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tinerary" sheetId="2" state="visible" r:id="rId2"/>
    <sheet name="Bookings" sheetId="3" state="visible" r:id="rId3"/>
    <sheet name="Expenses" sheetId="4" state="visible" r:id="rId4"/>
    <sheet name="Packing list" sheetId="5" state="visible" r:id="rId5"/>
    <sheet name="Setup" sheetId="6" state="visible" r:id="rId6"/>
    <sheet name="Start He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 MMM YYYY"/>
    <numFmt numFmtId="166" formatCode="0.0000"/>
    <numFmt numFmtId="167" formatCode="ddd d mmm yyyy"/>
    <numFmt numFmtId="168" formatCode="#,##0.##"/>
    <numFmt numFmtId="169" formatCode="#,##0.00;[Red]-#,##0.00"/>
    <numFmt numFmtId="170" formatCode="d mmm"/>
    <numFmt numFmtId="171" formatCode="ddd d mmm"/>
  </numFmts>
  <fonts count="16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b val="1"/>
      <color rgb="00FFFFFF"/>
      <sz val="11"/>
    </font>
    <font>
      <name val="Arial"/>
      <color rgb="001E2A2F"/>
      <sz val="11"/>
    </font>
    <font>
      <name val="Arial"/>
      <i val="1"/>
      <color rgb="006B7B80"/>
      <sz val="10"/>
    </font>
    <font>
      <name val="Arial"/>
      <b val="1"/>
      <color rgb="0015525A"/>
      <sz val="11"/>
    </font>
    <font>
      <name val="Arial"/>
      <b val="1"/>
      <color rgb="006B7B80"/>
      <sz val="10"/>
    </font>
    <font>
      <name val="Arial"/>
      <b val="1"/>
      <color rgb="00B07A00"/>
      <sz val="16"/>
    </font>
    <font>
      <name val="Arial"/>
      <b val="1"/>
      <color rgb="001F6F78"/>
      <sz val="16"/>
    </font>
    <font>
      <name val="Arial"/>
      <b val="1"/>
      <color rgb="00B4541F"/>
      <sz val="16"/>
    </font>
    <font>
      <name val="Arial"/>
      <color rgb="001F6F78"/>
      <sz val="9"/>
    </font>
    <font>
      <name val="Arial"/>
      <i val="1"/>
      <color rgb="006B7B80"/>
      <sz val="9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6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  <border>
      <left/>
      <right/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7" fillId="2" borderId="0" pivotButton="0" quotePrefix="0" xfId="0"/>
    <xf numFmtId="0" fontId="8" fillId="2" borderId="1" pivotButton="0" quotePrefix="0" xfId="0"/>
    <xf numFmtId="0" fontId="0" fillId="0" borderId="4" pivotButton="0" quotePrefix="0" xfId="0"/>
    <xf numFmtId="1" fontId="9" fillId="2" borderId="1" applyAlignment="1" pivotButton="0" quotePrefix="0" xfId="0">
      <alignment horizontal="right"/>
    </xf>
    <xf numFmtId="1" fontId="10" fillId="2" borderId="1" applyAlignment="1" pivotButton="0" quotePrefix="0" xfId="0">
      <alignment horizontal="right"/>
    </xf>
    <xf numFmtId="4" fontId="10" fillId="2" borderId="1" applyAlignment="1" pivotButton="0" quotePrefix="0" xfId="0">
      <alignment horizontal="right"/>
    </xf>
    <xf numFmtId="4" fontId="11" fillId="2" borderId="1" applyAlignment="1" pivotButton="0" quotePrefix="0" xfId="0">
      <alignment horizontal="right"/>
    </xf>
    <xf numFmtId="9" fontId="10" fillId="2" borderId="1" applyAlignment="1" pivotButton="0" quotePrefix="0" xfId="0">
      <alignment horizontal="right"/>
    </xf>
    <xf numFmtId="0" fontId="4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4" fontId="5" fillId="3" borderId="1" pivotButton="0" quotePrefix="0" xfId="0"/>
    <xf numFmtId="4" fontId="5" fillId="2" borderId="1" pivotButton="0" quotePrefix="0" xfId="0"/>
    <xf numFmtId="169" fontId="3" fillId="2" borderId="1" pivotButton="0" quotePrefix="0" xfId="0"/>
    <xf numFmtId="0" fontId="12" fillId="2" borderId="1" pivotButton="0" quotePrefix="0" xfId="0"/>
    <xf numFmtId="17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4" fontId="3" fillId="2" borderId="1" pivotButton="0" quotePrefix="0" xfId="0"/>
    <xf numFmtId="0" fontId="13" fillId="2" borderId="0" pivotButton="0" quotePrefix="0" xfId="0"/>
    <xf numFmtId="0" fontId="0" fillId="0" borderId="5" pivotButton="0" quotePrefix="0" xfId="0"/>
    <xf numFmtId="171" fontId="3" fillId="2" borderId="1" applyAlignment="1" pivotButton="0" quotePrefix="0" xfId="0">
      <alignment horizontal="center" vertical="center"/>
    </xf>
    <xf numFmtId="0" fontId="5" fillId="2" borderId="1" pivotButton="0" quotePrefix="0" xfId="0"/>
    <xf numFmtId="167" fontId="3" fillId="3" borderId="1" pivotButton="0" quotePrefix="0" xfId="0"/>
    <xf numFmtId="20" fontId="5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5" fillId="3" borderId="1" pivotButton="0" quotePrefix="0" xfId="0"/>
    <xf numFmtId="0" fontId="5" fillId="3" borderId="1" applyAlignment="1" pivotButton="0" quotePrefix="0" xfId="0">
      <alignment horizontal="center" vertical="center"/>
    </xf>
    <xf numFmtId="165" fontId="5" fillId="3" borderId="1" pivotButton="0" quotePrefix="0" xfId="0"/>
    <xf numFmtId="168" fontId="5" fillId="3" borderId="1" pivotButton="0" quotePrefix="0" xfId="0"/>
    <xf numFmtId="1" fontId="5" fillId="3" borderId="1" applyAlignment="1" pivotButton="0" quotePrefix="0" xfId="0">
      <alignment horizontal="center" vertical="center"/>
    </xf>
    <xf numFmtId="0" fontId="3" fillId="2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6" fillId="2" borderId="0" pivotButton="0" quotePrefix="0" xfId="0"/>
    <xf numFmtId="0" fontId="14" fillId="2" borderId="0" pivotButton="0" quotePrefix="0" xfId="0"/>
    <xf numFmtId="0" fontId="15" fillId="2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E6F2F2"/>
          <bgColor rgb="00E6F2F2"/>
        </patternFill>
      </fill>
    </dxf>
    <dxf>
      <fill>
        <patternFill patternType="solid">
          <fgColor rgb="00FCE9B8"/>
          <bgColor rgb="00FCE9B8"/>
        </patternFill>
      </fill>
    </dxf>
    <dxf>
      <fill>
        <patternFill patternType="solid">
          <fgColor rgb="00D8F0DC"/>
          <bgColor rgb="00D8F0DC"/>
        </patternFill>
      </fill>
    </dxf>
    <dxf>
      <font>
        <name val="Arial"/>
        <strike val="1"/>
        <color rgb="005E6E72"/>
      </font>
      <fill>
        <patternFill patternType="solid">
          <fgColor rgb="00D8F0DC"/>
          <bgColor rgb="00D8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and what is booked or spent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'Dashboard'!C11</f>
            </strRef>
          </tx>
          <spPr>
            <a:solidFill>
              <a:srgbClr val="B8D3CF"/>
            </a:solidFill>
            <a:ln>
              <a:prstDash val="solid"/>
            </a:ln>
          </spPr>
          <cat>
            <numRef>
              <f>'Dashboard'!$B$12:$B$18</f>
            </numRef>
          </cat>
          <val>
            <numRef>
              <f>'Dashboard'!$C$12:$C$18</f>
            </numRef>
          </val>
        </ser>
        <ser>
          <idx val="1"/>
          <order val="1"/>
          <tx>
            <strRef>
              <f>'Dashboard'!D11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'Dashboard'!$B$12:$B$18</f>
            </numRef>
          </cat>
          <val>
            <numRef>
              <f>'Dashboard'!$D$12:$D$18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" customWidth="1" min="8" max="8"/>
    <col width="12" customWidth="1" min="9" max="9"/>
    <col width="26" customWidth="1" min="10" max="10"/>
    <col width="13" customWidth="1" min="11" max="11"/>
    <col width="14" customWidth="1" min="12" max="12"/>
    <col width="3" customWidth="1" min="13" max="13"/>
    <col hidden="1" width="13" customWidth="1" min="15" max="15"/>
    <col hidden="1" width="13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>
        <f>Setup!$C$4&amp;" trip planner"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The countdown, the budget, what is booked and what is next.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4">
        <f>IF(Setup!$C$6="","",DAY(Setup!$C$6)&amp;" "&amp;CHOOSE(MONTH(Setup!$C$6),"Jan","Feb","Mar","Apr","May","Jun","Jul","Aug","Sep","Oct","Nov","Dec")&amp;" "&amp;YEAR(Setup!$C$6)&amp;" to "&amp;DAY(Setup!$C$7)&amp;" "&amp;CHOOSE(MONTH(Setup!$C$7),"Jan","Feb","Mar","Apr","May","Jun","Jul","Aug","Sep","Oct","Nov","Dec")&amp;" "&amp;YEAR(Setup!$C$7)&amp;", "&amp;Setup!$C$5&amp;IF(Setup!$C$5=1," traveler"," travelers"))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5" t="inlineStr">
        <is>
          <t>Days to go</t>
        </is>
      </c>
      <c r="C6" s="5" t="inlineStr">
        <is>
          <t>Nights</t>
        </is>
      </c>
      <c r="D6" s="5" t="inlineStr">
        <is>
          <t>Budget</t>
        </is>
      </c>
      <c r="E6" s="5" t="inlineStr">
        <is>
          <t>Booked and spent</t>
        </is>
      </c>
      <c r="F6" s="5" t="inlineStr">
        <is>
          <t>Left</t>
        </is>
      </c>
      <c r="G6" s="5" t="inlineStr">
        <is>
          <t>Still to pay</t>
        </is>
      </c>
      <c r="H6" s="1" t="n"/>
      <c r="I6" s="5" t="inlineStr">
        <is>
          <t>Packed</t>
        </is>
      </c>
      <c r="J6" s="6" t="n"/>
      <c r="K6" s="1" t="n"/>
      <c r="L6" s="1" t="n"/>
      <c r="M6" s="1" t="n"/>
      <c r="N6" s="1" t="n"/>
    </row>
    <row r="7" ht="34" customHeight="1">
      <c r="A7" s="1" t="n"/>
      <c r="B7" s="7">
        <f>IF(Setup!$C$6="","",IF(TODAY()&lt;Setup!$C$6,Setup!$C$6-TODAY(),IF(TODAY()&lt;=Setup!$C$7,"Day "&amp;(TODAY()-Setup!$C$6+1),"Home")))</f>
        <v/>
      </c>
      <c r="C7" s="8">
        <f>IF(Setup!$C$6="","",Setup!$C$7-Setup!$C$6)</f>
        <v/>
      </c>
      <c r="D7" s="9">
        <f>SUM(C12:C18)</f>
        <v/>
      </c>
      <c r="E7" s="9">
        <f>SUM(D12:D18)</f>
        <v/>
      </c>
      <c r="F7" s="10">
        <f>SUM(C12:C18)-SUM(D12:D18)</f>
        <v/>
      </c>
      <c r="G7" s="10">
        <f>SUM(Bookings!$L$6:$L$105)</f>
        <v/>
      </c>
      <c r="H7" s="1" t="n"/>
      <c r="I7" s="11">
        <f>IF(COUNTIF('Packing list'!$B$6:$B$255,"?*")=0,"",COUNTIFS('Packing list'!$B$6:$B$255,"?*",'Packing list'!$E$6:$E$255,"?*")/COUNTIF('Packing list'!$B$6:$B$255,"?*"))</f>
        <v/>
      </c>
      <c r="J7" s="6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 ht="30" customHeight="1">
      <c r="A11" s="1" t="n"/>
      <c r="B11" s="12" t="inlineStr">
        <is>
          <t>Budget</t>
        </is>
      </c>
      <c r="C11" s="12" t="inlineStr">
        <is>
          <t>Planned</t>
        </is>
      </c>
      <c r="D11" s="12" t="inlineStr">
        <is>
          <t>Booked and spent</t>
        </is>
      </c>
      <c r="E11" s="12" t="inlineStr">
        <is>
          <t>Paid so far</t>
        </is>
      </c>
      <c r="F11" s="12" t="inlineStr">
        <is>
          <t>Left</t>
        </is>
      </c>
      <c r="G11" s="12" t="inlineStr">
        <is>
          <t>Used</t>
        </is>
      </c>
      <c r="H11" s="1" t="n"/>
      <c r="I11" s="12" t="inlineStr">
        <is>
          <t>Next bookings</t>
        </is>
      </c>
      <c r="J11" s="6" t="n"/>
      <c r="K11" s="12" t="inlineStr">
        <is>
          <t>Confirmation</t>
        </is>
      </c>
      <c r="L11" s="12" t="inlineStr">
        <is>
          <t>Still to pay</t>
        </is>
      </c>
      <c r="M11" s="1" t="n"/>
      <c r="N11" s="1" t="n"/>
    </row>
    <row r="12">
      <c r="A12" s="1" t="n"/>
      <c r="B12" s="13" t="inlineStr">
        <is>
          <t>Flights</t>
        </is>
      </c>
      <c r="C12" s="14" t="n">
        <v>2400</v>
      </c>
      <c r="D12" s="15">
        <f>SUMIFS(Bookings!$K$6:$K$105,Bookings!$O$6:$O$105,B12)+SUMIFS(Expenses!$G$6:$G$505,Expenses!$D$6:$D$505,B12)</f>
        <v/>
      </c>
      <c r="E12" s="15">
        <f>SUMIFS(Bookings!$P$6:$P$105,Bookings!$O$6:$O$105,B12)+SUMIFS(Expenses!$G$6:$G$505,Expenses!$D$6:$D$505,B12)</f>
        <v/>
      </c>
      <c r="F12" s="16">
        <f>C12-D12</f>
        <v/>
      </c>
      <c r="G12" s="17">
        <f>IF(N(C12)=0,"",REPT("█",MIN(10,MAX(0,ROUND((D12/C12)*10,0))))&amp;REPT("░",10-MIN(10,MAX(0,ROUND((D12/C12)*10,0)))))</f>
        <v/>
      </c>
      <c r="H12" s="1" t="n"/>
      <c r="I12" s="18">
        <f>IF(O12="","",INT(O12))</f>
        <v/>
      </c>
      <c r="J12" s="13">
        <f>IF(O12="","",INDEX(Bookings!$C$6:$C$105,MATCH(O12,Bookings!$Q$6:$Q$105,0)))</f>
        <v/>
      </c>
      <c r="K12" s="19">
        <f>IF(O12="","",INDEX(Bookings!$G$6:$G$105,MATCH(O12,Bookings!$Q$6:$Q$105,0))&amp;"")</f>
        <v/>
      </c>
      <c r="L12" s="15">
        <f>IF(O12="","",INDEX(Bookings!$L$6:$L$105,MATCH(O12,Bookings!$Q$6:$Q$105,0)))</f>
        <v/>
      </c>
      <c r="M12" s="1" t="n"/>
      <c r="N12" s="1" t="n"/>
      <c r="O12">
        <f>IFERROR(SMALL(Bookings!$Q$6:$Q$105,1),"")</f>
        <v/>
      </c>
    </row>
    <row r="13">
      <c r="A13" s="1" t="n"/>
      <c r="B13" s="13" t="inlineStr">
        <is>
          <t>Lodging</t>
        </is>
      </c>
      <c r="C13" s="14" t="n">
        <v>2200</v>
      </c>
      <c r="D13" s="15">
        <f>SUMIFS(Bookings!$K$6:$K$105,Bookings!$O$6:$O$105,B13)+SUMIFS(Expenses!$G$6:$G$505,Expenses!$D$6:$D$505,B13)</f>
        <v/>
      </c>
      <c r="E13" s="15">
        <f>SUMIFS(Bookings!$P$6:$P$105,Bookings!$O$6:$O$105,B13)+SUMIFS(Expenses!$G$6:$G$505,Expenses!$D$6:$D$505,B13)</f>
        <v/>
      </c>
      <c r="F13" s="16">
        <f>C13-D13</f>
        <v/>
      </c>
      <c r="G13" s="17">
        <f>IF(N(C13)=0,"",REPT("█",MIN(10,MAX(0,ROUND((D13/C13)*10,0))))&amp;REPT("░",10-MIN(10,MAX(0,ROUND((D13/C13)*10,0)))))</f>
        <v/>
      </c>
      <c r="H13" s="1" t="n"/>
      <c r="I13" s="18">
        <f>IF(O13="","",INT(O13))</f>
        <v/>
      </c>
      <c r="J13" s="13">
        <f>IF(O13="","",INDEX(Bookings!$C$6:$C$105,MATCH(O13,Bookings!$Q$6:$Q$105,0)))</f>
        <v/>
      </c>
      <c r="K13" s="19">
        <f>IF(O13="","",INDEX(Bookings!$G$6:$G$105,MATCH(O13,Bookings!$Q$6:$Q$105,0))&amp;"")</f>
        <v/>
      </c>
      <c r="L13" s="15">
        <f>IF(O13="","",INDEX(Bookings!$L$6:$L$105,MATCH(O13,Bookings!$Q$6:$Q$105,0)))</f>
        <v/>
      </c>
      <c r="M13" s="1" t="n"/>
      <c r="N13" s="1" t="n"/>
      <c r="O13">
        <f>IFERROR(SMALL(Bookings!$Q$6:$Q$105,2),"")</f>
        <v/>
      </c>
    </row>
    <row r="14">
      <c r="A14" s="1" t="n"/>
      <c r="B14" s="13" t="inlineStr">
        <is>
          <t>Transport</t>
        </is>
      </c>
      <c r="C14" s="14" t="n">
        <v>900</v>
      </c>
      <c r="D14" s="15">
        <f>SUMIFS(Bookings!$K$6:$K$105,Bookings!$O$6:$O$105,B14)+SUMIFS(Expenses!$G$6:$G$505,Expenses!$D$6:$D$505,B14)</f>
        <v/>
      </c>
      <c r="E14" s="15">
        <f>SUMIFS(Bookings!$P$6:$P$105,Bookings!$O$6:$O$105,B14)+SUMIFS(Expenses!$G$6:$G$505,Expenses!$D$6:$D$505,B14)</f>
        <v/>
      </c>
      <c r="F14" s="16">
        <f>C14-D14</f>
        <v/>
      </c>
      <c r="G14" s="17">
        <f>IF(N(C14)=0,"",REPT("█",MIN(10,MAX(0,ROUND((D14/C14)*10,0))))&amp;REPT("░",10-MIN(10,MAX(0,ROUND((D14/C14)*10,0)))))</f>
        <v/>
      </c>
      <c r="H14" s="1" t="n"/>
      <c r="I14" s="18">
        <f>IF(O14="","",INT(O14))</f>
        <v/>
      </c>
      <c r="J14" s="13">
        <f>IF(O14="","",INDEX(Bookings!$C$6:$C$105,MATCH(O14,Bookings!$Q$6:$Q$105,0)))</f>
        <v/>
      </c>
      <c r="K14" s="19">
        <f>IF(O14="","",INDEX(Bookings!$G$6:$G$105,MATCH(O14,Bookings!$Q$6:$Q$105,0))&amp;"")</f>
        <v/>
      </c>
      <c r="L14" s="15">
        <f>IF(O14="","",INDEX(Bookings!$L$6:$L$105,MATCH(O14,Bookings!$Q$6:$Q$105,0)))</f>
        <v/>
      </c>
      <c r="M14" s="1" t="n"/>
      <c r="N14" s="1" t="n"/>
      <c r="O14">
        <f>IFERROR(SMALL(Bookings!$Q$6:$Q$105,3),"")</f>
        <v/>
      </c>
    </row>
    <row r="15">
      <c r="A15" s="1" t="n"/>
      <c r="B15" s="13" t="inlineStr">
        <is>
          <t>Food</t>
        </is>
      </c>
      <c r="C15" s="14" t="n">
        <v>1300</v>
      </c>
      <c r="D15" s="15">
        <f>SUMIFS(Bookings!$K$6:$K$105,Bookings!$O$6:$O$105,B15)+SUMIFS(Expenses!$G$6:$G$505,Expenses!$D$6:$D$505,B15)</f>
        <v/>
      </c>
      <c r="E15" s="15">
        <f>SUMIFS(Bookings!$P$6:$P$105,Bookings!$O$6:$O$105,B15)+SUMIFS(Expenses!$G$6:$G$505,Expenses!$D$6:$D$505,B15)</f>
        <v/>
      </c>
      <c r="F15" s="16">
        <f>C15-D15</f>
        <v/>
      </c>
      <c r="G15" s="17">
        <f>IF(N(C15)=0,"",REPT("█",MIN(10,MAX(0,ROUND((D15/C15)*10,0))))&amp;REPT("░",10-MIN(10,MAX(0,ROUND((D15/C15)*10,0)))))</f>
        <v/>
      </c>
      <c r="H15" s="1" t="n"/>
      <c r="I15" s="18">
        <f>IF(O15="","",INT(O15))</f>
        <v/>
      </c>
      <c r="J15" s="13">
        <f>IF(O15="","",INDEX(Bookings!$C$6:$C$105,MATCH(O15,Bookings!$Q$6:$Q$105,0)))</f>
        <v/>
      </c>
      <c r="K15" s="19">
        <f>IF(O15="","",INDEX(Bookings!$G$6:$G$105,MATCH(O15,Bookings!$Q$6:$Q$105,0))&amp;"")</f>
        <v/>
      </c>
      <c r="L15" s="15">
        <f>IF(O15="","",INDEX(Bookings!$L$6:$L$105,MATCH(O15,Bookings!$Q$6:$Q$105,0)))</f>
        <v/>
      </c>
      <c r="M15" s="1" t="n"/>
      <c r="N15" s="1" t="n"/>
      <c r="O15">
        <f>IFERROR(SMALL(Bookings!$Q$6:$Q$105,4),"")</f>
        <v/>
      </c>
    </row>
    <row r="16">
      <c r="A16" s="1" t="n"/>
      <c r="B16" s="13" t="inlineStr">
        <is>
          <t>Activities</t>
        </is>
      </c>
      <c r="C16" s="14" t="n">
        <v>800</v>
      </c>
      <c r="D16" s="15">
        <f>SUMIFS(Bookings!$K$6:$K$105,Bookings!$O$6:$O$105,B16)+SUMIFS(Expenses!$G$6:$G$505,Expenses!$D$6:$D$505,B16)</f>
        <v/>
      </c>
      <c r="E16" s="15">
        <f>SUMIFS(Bookings!$P$6:$P$105,Bookings!$O$6:$O$105,B16)+SUMIFS(Expenses!$G$6:$G$505,Expenses!$D$6:$D$505,B16)</f>
        <v/>
      </c>
      <c r="F16" s="16">
        <f>C16-D16</f>
        <v/>
      </c>
      <c r="G16" s="17">
        <f>IF(N(C16)=0,"",REPT("█",MIN(10,MAX(0,ROUND((D16/C16)*10,0))))&amp;REPT("░",10-MIN(10,MAX(0,ROUND((D16/C16)*10,0)))))</f>
        <v/>
      </c>
      <c r="H16" s="1" t="n"/>
      <c r="I16" s="18">
        <f>IF(O16="","",INT(O16))</f>
        <v/>
      </c>
      <c r="J16" s="13">
        <f>IF(O16="","",INDEX(Bookings!$C$6:$C$105,MATCH(O16,Bookings!$Q$6:$Q$105,0)))</f>
        <v/>
      </c>
      <c r="K16" s="19">
        <f>IF(O16="","",INDEX(Bookings!$G$6:$G$105,MATCH(O16,Bookings!$Q$6:$Q$105,0))&amp;"")</f>
        <v/>
      </c>
      <c r="L16" s="15">
        <f>IF(O16="","",INDEX(Bookings!$L$6:$L$105,MATCH(O16,Bookings!$Q$6:$Q$105,0)))</f>
        <v/>
      </c>
      <c r="M16" s="1" t="n"/>
      <c r="N16" s="1" t="n"/>
      <c r="O16">
        <f>IFERROR(SMALL(Bookings!$Q$6:$Q$105,5),"")</f>
        <v/>
      </c>
    </row>
    <row r="17">
      <c r="A17" s="1" t="n"/>
      <c r="B17" s="13" t="inlineStr">
        <is>
          <t>Shopping</t>
        </is>
      </c>
      <c r="C17" s="14" t="n">
        <v>500</v>
      </c>
      <c r="D17" s="15">
        <f>SUMIFS(Bookings!$K$6:$K$105,Bookings!$O$6:$O$105,B17)+SUMIFS(Expenses!$G$6:$G$505,Expenses!$D$6:$D$505,B17)</f>
        <v/>
      </c>
      <c r="E17" s="15">
        <f>SUMIFS(Bookings!$P$6:$P$105,Bookings!$O$6:$O$105,B17)+SUMIFS(Expenses!$G$6:$G$505,Expenses!$D$6:$D$505,B17)</f>
        <v/>
      </c>
      <c r="F17" s="16">
        <f>C17-D17</f>
        <v/>
      </c>
      <c r="G17" s="17">
        <f>IF(N(C17)=0,"",REPT("█",MIN(10,MAX(0,ROUND((D17/C17)*10,0))))&amp;REPT("░",10-MIN(10,MAX(0,ROUND((D17/C17)*10,0)))))</f>
        <v/>
      </c>
      <c r="H17" s="1" t="n"/>
      <c r="I17" s="18">
        <f>IF(O17="","",INT(O17))</f>
        <v/>
      </c>
      <c r="J17" s="13">
        <f>IF(O17="","",INDEX(Bookings!$C$6:$C$105,MATCH(O17,Bookings!$Q$6:$Q$105,0)))</f>
        <v/>
      </c>
      <c r="K17" s="19">
        <f>IF(O17="","",INDEX(Bookings!$G$6:$G$105,MATCH(O17,Bookings!$Q$6:$Q$105,0))&amp;"")</f>
        <v/>
      </c>
      <c r="L17" s="15">
        <f>IF(O17="","",INDEX(Bookings!$L$6:$L$105,MATCH(O17,Bookings!$Q$6:$Q$105,0)))</f>
        <v/>
      </c>
      <c r="M17" s="1" t="n"/>
      <c r="N17" s="1" t="n"/>
      <c r="O17">
        <f>IFERROR(SMALL(Bookings!$Q$6:$Q$105,6),"")</f>
        <v/>
      </c>
    </row>
    <row r="18">
      <c r="A18" s="1" t="n"/>
      <c r="B18" s="13" t="inlineStr">
        <is>
          <t>Other</t>
        </is>
      </c>
      <c r="C18" s="14" t="n">
        <v>400</v>
      </c>
      <c r="D18" s="15">
        <f>SUMIFS(Bookings!$K$6:$K$105,Bookings!$O$6:$O$105,B18)+SUMIFS(Expenses!$G$6:$G$505,Expenses!$D$6:$D$505,B18)</f>
        <v/>
      </c>
      <c r="E18" s="15">
        <f>SUMIFS(Bookings!$P$6:$P$105,Bookings!$O$6:$O$105,B18)+SUMIFS(Expenses!$G$6:$G$505,Expenses!$D$6:$D$505,B18)</f>
        <v/>
      </c>
      <c r="F18" s="16">
        <f>C18-D18</f>
        <v/>
      </c>
      <c r="G18" s="17">
        <f>IF(N(C18)=0,"",REPT("█",MIN(10,MAX(0,ROUND((D18/C18)*10,0))))&amp;REPT("░",10-MIN(10,MAX(0,ROUND((D18/C18)*10,0)))))</f>
        <v/>
      </c>
      <c r="H18" s="1" t="n"/>
      <c r="I18" s="18">
        <f>IF(O18="","",INT(O18))</f>
        <v/>
      </c>
      <c r="J18" s="13">
        <f>IF(O18="","",INDEX(Bookings!$C$6:$C$105,MATCH(O18,Bookings!$Q$6:$Q$105,0)))</f>
        <v/>
      </c>
      <c r="K18" s="19">
        <f>IF(O18="","",INDEX(Bookings!$G$6:$G$105,MATCH(O18,Bookings!$Q$6:$Q$105,0))&amp;"")</f>
        <v/>
      </c>
      <c r="L18" s="15">
        <f>IF(O18="","",INDEX(Bookings!$L$6:$L$105,MATCH(O18,Bookings!$Q$6:$Q$105,0)))</f>
        <v/>
      </c>
      <c r="M18" s="1" t="n"/>
      <c r="N18" s="1" t="n"/>
      <c r="O18">
        <f>IFERROR(SMALL(Bookings!$Q$6:$Q$105,7),"")</f>
        <v/>
      </c>
    </row>
    <row r="19">
      <c r="A19" s="1" t="n"/>
      <c r="B19" s="13" t="inlineStr">
        <is>
          <t>Total</t>
        </is>
      </c>
      <c r="C19" s="20">
        <f>SUM(C12:C18)</f>
        <v/>
      </c>
      <c r="D19" s="20">
        <f>SUM(D12:D18)</f>
        <v/>
      </c>
      <c r="E19" s="20">
        <f>SUM(E12:E18)</f>
        <v/>
      </c>
      <c r="F19" s="20">
        <f>SUM(F12:F18)</f>
        <v/>
      </c>
      <c r="G19" s="1" t="n"/>
      <c r="H19" s="1" t="n"/>
      <c r="I19" s="18">
        <f>IF(O19="","",INT(O19))</f>
        <v/>
      </c>
      <c r="J19" s="13">
        <f>IF(O19="","",INDEX(Bookings!$C$6:$C$105,MATCH(O19,Bookings!$Q$6:$Q$105,0)))</f>
        <v/>
      </c>
      <c r="K19" s="19">
        <f>IF(O19="","",INDEX(Bookings!$G$6:$G$105,MATCH(O19,Bookings!$Q$6:$Q$105,0))&amp;"")</f>
        <v/>
      </c>
      <c r="L19" s="15">
        <f>IF(O19="","",INDEX(Bookings!$L$6:$L$105,MATCH(O19,Bookings!$Q$6:$Q$105,0)))</f>
        <v/>
      </c>
      <c r="M19" s="1" t="n"/>
      <c r="N19" s="1" t="n"/>
      <c r="O19">
        <f>IFERROR(SMALL(Bookings!$Q$6:$Q$105,8),"")</f>
        <v/>
      </c>
    </row>
    <row r="20">
      <c r="A20" s="1" t="n"/>
      <c r="B20" s="21" t="inlineStr">
        <is>
          <t>Booked and spent counts the full cost of every booking, paid or not, plus the expenses.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 ht="30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2" t="inlineStr">
        <is>
          <t>Itinerary</t>
        </is>
      </c>
      <c r="J22" s="22" t="n"/>
      <c r="K22" s="6" t="n"/>
      <c r="L22" s="12" t="inlineStr">
        <is>
          <t>Where</t>
        </is>
      </c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23">
        <f>IF(P23="","",INT(P23))</f>
        <v/>
      </c>
      <c r="J23" s="24">
        <f>IF(P23="","",HOUR(P23)&amp;":"&amp;RIGHT("0"&amp;MINUTE(P23),2)&amp;"  "&amp;INDEX(Itinerary!$D$6:$D$305,MATCH(P23,Itinerary!$H$6:$H$305,0)))</f>
        <v/>
      </c>
      <c r="K23" s="24" t="n"/>
      <c r="L23" s="24">
        <f>IF(P23="","",INDEX(Itinerary!$E$6:$E$305,MATCH(P23,Itinerary!$H$6:$H$305,0)))</f>
        <v/>
      </c>
      <c r="M23" s="1" t="n"/>
      <c r="N23" s="1" t="n"/>
      <c r="P23">
        <f>IFERROR(SMALL(Itinerary!$H$6:$H$305,COUNTIF(Itinerary!$H$6:$H$305,"&lt;"&amp;IF(TODAY()&lt;Setup!$C$6,Setup!$C$6,TODAY()))+1),"")</f>
        <v/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23">
        <f>IF(P24="","",IF(INT(P24)=INT(N(P23)),"",INT(P24)))</f>
        <v/>
      </c>
      <c r="J24" s="24">
        <f>IF(P24="","",HOUR(P24)&amp;":"&amp;RIGHT("0"&amp;MINUTE(P24),2)&amp;"  "&amp;INDEX(Itinerary!$D$6:$D$305,MATCH(P24,Itinerary!$H$6:$H$305,0)))</f>
        <v/>
      </c>
      <c r="K24" s="24" t="n"/>
      <c r="L24" s="24">
        <f>IF(P24="","",INDEX(Itinerary!$E$6:$E$305,MATCH(P24,Itinerary!$H$6:$H$305,0)))</f>
        <v/>
      </c>
      <c r="M24" s="1" t="n"/>
      <c r="N24" s="1" t="n"/>
      <c r="P24">
        <f>IFERROR(SMALL(Itinerary!$H$6:$H$305,COUNTIF(Itinerary!$H$6:$H$305,"&lt;"&amp;IF(TODAY()&lt;Setup!$C$6,Setup!$C$6,TODAY()))+2),"")</f>
        <v/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23">
        <f>IF(P25="","",IF(INT(P25)=INT(N(P24)),"",INT(P25)))</f>
        <v/>
      </c>
      <c r="J25" s="24">
        <f>IF(P25="","",HOUR(P25)&amp;":"&amp;RIGHT("0"&amp;MINUTE(P25),2)&amp;"  "&amp;INDEX(Itinerary!$D$6:$D$305,MATCH(P25,Itinerary!$H$6:$H$305,0)))</f>
        <v/>
      </c>
      <c r="K25" s="24" t="n"/>
      <c r="L25" s="24">
        <f>IF(P25="","",INDEX(Itinerary!$E$6:$E$305,MATCH(P25,Itinerary!$H$6:$H$305,0)))</f>
        <v/>
      </c>
      <c r="M25" s="1" t="n"/>
      <c r="N25" s="1" t="n"/>
      <c r="P25">
        <f>IFERROR(SMALL(Itinerary!$H$6:$H$305,COUNTIF(Itinerary!$H$6:$H$305,"&lt;"&amp;IF(TODAY()&lt;Setup!$C$6,Setup!$C$6,TODAY()))+3),"")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23">
        <f>IF(P26="","",IF(INT(P26)=INT(N(P25)),"",INT(P26)))</f>
        <v/>
      </c>
      <c r="J26" s="24">
        <f>IF(P26="","",HOUR(P26)&amp;":"&amp;RIGHT("0"&amp;MINUTE(P26),2)&amp;"  "&amp;INDEX(Itinerary!$D$6:$D$305,MATCH(P26,Itinerary!$H$6:$H$305,0)))</f>
        <v/>
      </c>
      <c r="K26" s="24" t="n"/>
      <c r="L26" s="24">
        <f>IF(P26="","",INDEX(Itinerary!$E$6:$E$305,MATCH(P26,Itinerary!$H$6:$H$305,0)))</f>
        <v/>
      </c>
      <c r="M26" s="1" t="n"/>
      <c r="N26" s="1" t="n"/>
      <c r="P26">
        <f>IFERROR(SMALL(Itinerary!$H$6:$H$305,COUNTIF(Itinerary!$H$6:$H$305,"&lt;"&amp;IF(TODAY()&lt;Setup!$C$6,Setup!$C$6,TODAY()))+4),"")</f>
        <v/>
      </c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23">
        <f>IF(P27="","",IF(INT(P27)=INT(N(P26)),"",INT(P27)))</f>
        <v/>
      </c>
      <c r="J27" s="24">
        <f>IF(P27="","",HOUR(P27)&amp;":"&amp;RIGHT("0"&amp;MINUTE(P27),2)&amp;"  "&amp;INDEX(Itinerary!$D$6:$D$305,MATCH(P27,Itinerary!$H$6:$H$305,0)))</f>
        <v/>
      </c>
      <c r="K27" s="24" t="n"/>
      <c r="L27" s="24">
        <f>IF(P27="","",INDEX(Itinerary!$E$6:$E$305,MATCH(P27,Itinerary!$H$6:$H$305,0)))</f>
        <v/>
      </c>
      <c r="M27" s="1" t="n"/>
      <c r="N27" s="1" t="n"/>
      <c r="P27">
        <f>IFERROR(SMALL(Itinerary!$H$6:$H$305,COUNTIF(Itinerary!$H$6:$H$305,"&lt;"&amp;IF(TODAY()&lt;Setup!$C$6,Setup!$C$6,TODAY()))+5),"")</f>
        <v/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23">
        <f>IF(P28="","",IF(INT(P28)=INT(N(P27)),"",INT(P28)))</f>
        <v/>
      </c>
      <c r="J28" s="24">
        <f>IF(P28="","",HOUR(P28)&amp;":"&amp;RIGHT("0"&amp;MINUTE(P28),2)&amp;"  "&amp;INDEX(Itinerary!$D$6:$D$305,MATCH(P28,Itinerary!$H$6:$H$305,0)))</f>
        <v/>
      </c>
      <c r="K28" s="24" t="n"/>
      <c r="L28" s="24">
        <f>IF(P28="","",INDEX(Itinerary!$E$6:$E$305,MATCH(P28,Itinerary!$H$6:$H$305,0)))</f>
        <v/>
      </c>
      <c r="M28" s="1" t="n"/>
      <c r="N28" s="1" t="n"/>
      <c r="P28">
        <f>IFERROR(SMALL(Itinerary!$H$6:$H$305,COUNTIF(Itinerary!$H$6:$H$305,"&lt;"&amp;IF(TODAY()&lt;Setup!$C$6,Setup!$C$6,TODAY()))+6),"")</f>
        <v/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23">
        <f>IF(P29="","",IF(INT(P29)=INT(N(P28)),"",INT(P29)))</f>
        <v/>
      </c>
      <c r="J29" s="24">
        <f>IF(P29="","",HOUR(P29)&amp;":"&amp;RIGHT("0"&amp;MINUTE(P29),2)&amp;"  "&amp;INDEX(Itinerary!$D$6:$D$305,MATCH(P29,Itinerary!$H$6:$H$305,0)))</f>
        <v/>
      </c>
      <c r="K29" s="24" t="n"/>
      <c r="L29" s="24">
        <f>IF(P29="","",INDEX(Itinerary!$E$6:$E$305,MATCH(P29,Itinerary!$H$6:$H$305,0)))</f>
        <v/>
      </c>
      <c r="M29" s="1" t="n"/>
      <c r="N29" s="1" t="n"/>
      <c r="P29">
        <f>IFERROR(SMALL(Itinerary!$H$6:$H$305,COUNTIF(Itinerary!$H$6:$H$305,"&lt;"&amp;IF(TODAY()&lt;Setup!$C$6,Setup!$C$6,TODAY()))+7),"")</f>
        <v/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23">
        <f>IF(P30="","",IF(INT(P30)=INT(N(P29)),"",INT(P30)))</f>
        <v/>
      </c>
      <c r="J30" s="24">
        <f>IF(P30="","",HOUR(P30)&amp;":"&amp;RIGHT("0"&amp;MINUTE(P30),2)&amp;"  "&amp;INDEX(Itinerary!$D$6:$D$305,MATCH(P30,Itinerary!$H$6:$H$305,0)))</f>
        <v/>
      </c>
      <c r="K30" s="24" t="n"/>
      <c r="L30" s="24">
        <f>IF(P30="","",INDEX(Itinerary!$E$6:$E$305,MATCH(P30,Itinerary!$H$6:$H$305,0)))</f>
        <v/>
      </c>
      <c r="M30" s="1" t="n"/>
      <c r="N30" s="1" t="n"/>
      <c r="P30">
        <f>IFERROR(SMALL(Itinerary!$H$6:$H$305,COUNTIF(Itinerary!$H$6:$H$305,"&lt;"&amp;IF(TODAY()&lt;Setup!$C$6,Setup!$C$6,TODAY()))+8),"")</f>
        <v/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23">
        <f>IF(P31="","",IF(INT(P31)=INT(N(P30)),"",INT(P31)))</f>
        <v/>
      </c>
      <c r="J31" s="24">
        <f>IF(P31="","",HOUR(P31)&amp;":"&amp;RIGHT("0"&amp;MINUTE(P31),2)&amp;"  "&amp;INDEX(Itinerary!$D$6:$D$305,MATCH(P31,Itinerary!$H$6:$H$305,0)))</f>
        <v/>
      </c>
      <c r="K31" s="24" t="n"/>
      <c r="L31" s="24">
        <f>IF(P31="","",INDEX(Itinerary!$E$6:$E$305,MATCH(P31,Itinerary!$H$6:$H$305,0)))</f>
        <v/>
      </c>
      <c r="M31" s="1" t="n"/>
      <c r="N31" s="1" t="n"/>
      <c r="P31">
        <f>IFERROR(SMALL(Itinerary!$H$6:$H$305,COUNTIF(Itinerary!$H$6:$H$305,"&lt;"&amp;IF(TODAY()&lt;Setup!$C$6,Setup!$C$6,TODAY()))+9),"")</f>
        <v/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23">
        <f>IF(P32="","",IF(INT(P32)=INT(N(P31)),"",INT(P32)))</f>
        <v/>
      </c>
      <c r="J32" s="24">
        <f>IF(P32="","",HOUR(P32)&amp;":"&amp;RIGHT("0"&amp;MINUTE(P32),2)&amp;"  "&amp;INDEX(Itinerary!$D$6:$D$305,MATCH(P32,Itinerary!$H$6:$H$305,0)))</f>
        <v/>
      </c>
      <c r="K32" s="24" t="n"/>
      <c r="L32" s="24">
        <f>IF(P32="","",INDEX(Itinerary!$E$6:$E$305,MATCH(P32,Itinerary!$H$6:$H$305,0)))</f>
        <v/>
      </c>
      <c r="M32" s="1" t="n"/>
      <c r="N32" s="1" t="n"/>
      <c r="P32">
        <f>IFERROR(SMALL(Itinerary!$H$6:$H$305,COUNTIF(Itinerary!$H$6:$H$305,"&lt;"&amp;IF(TODAY()&lt;Setup!$C$6,Setup!$C$6,TODAY()))+10),"")</f>
        <v/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23">
        <f>IF(P33="","",IF(INT(P33)=INT(N(P32)),"",INT(P33)))</f>
        <v/>
      </c>
      <c r="J33" s="24">
        <f>IF(P33="","",HOUR(P33)&amp;":"&amp;RIGHT("0"&amp;MINUTE(P33),2)&amp;"  "&amp;INDEX(Itinerary!$D$6:$D$305,MATCH(P33,Itinerary!$H$6:$H$305,0)))</f>
        <v/>
      </c>
      <c r="K33" s="24" t="n"/>
      <c r="L33" s="24">
        <f>IF(P33="","",INDEX(Itinerary!$E$6:$E$305,MATCH(P33,Itinerary!$H$6:$H$305,0)))</f>
        <v/>
      </c>
      <c r="M33" s="1" t="n"/>
      <c r="N33" s="1" t="n"/>
      <c r="P33">
        <f>IFERROR(SMALL(Itinerary!$H$6:$H$305,COUNTIF(Itinerary!$H$6:$H$305,"&lt;"&amp;IF(TODAY()&lt;Setup!$C$6,Setup!$C$6,TODAY()))+11),"")</f>
        <v/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23">
        <f>IF(P34="","",IF(INT(P34)=INT(N(P33)),"",INT(P34)))</f>
        <v/>
      </c>
      <c r="J34" s="24">
        <f>IF(P34="","",HOUR(P34)&amp;":"&amp;RIGHT("0"&amp;MINUTE(P34),2)&amp;"  "&amp;INDEX(Itinerary!$D$6:$D$305,MATCH(P34,Itinerary!$H$6:$H$305,0)))</f>
        <v/>
      </c>
      <c r="K34" s="24" t="n"/>
      <c r="L34" s="24">
        <f>IF(P34="","",INDEX(Itinerary!$E$6:$E$305,MATCH(P34,Itinerary!$H$6:$H$305,0)))</f>
        <v/>
      </c>
      <c r="M34" s="1" t="n"/>
      <c r="N34" s="1" t="n"/>
      <c r="P34">
        <f>IFERROR(SMALL(Itinerary!$H$6:$H$305,COUNTIF(Itinerary!$H$6:$H$305,"&lt;"&amp;IF(TODAY()&lt;Setup!$C$6,Setup!$C$6,TODAY()))+12),"")</f>
        <v/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23">
        <f>IF(P35="","",IF(INT(P35)=INT(N(P34)),"",INT(P35)))</f>
        <v/>
      </c>
      <c r="J35" s="24">
        <f>IF(P35="","",HOUR(P35)&amp;":"&amp;RIGHT("0"&amp;MINUTE(P35),2)&amp;"  "&amp;INDEX(Itinerary!$D$6:$D$305,MATCH(P35,Itinerary!$H$6:$H$305,0)))</f>
        <v/>
      </c>
      <c r="K35" s="24" t="n"/>
      <c r="L35" s="24">
        <f>IF(P35="","",INDEX(Itinerary!$E$6:$E$305,MATCH(P35,Itinerary!$H$6:$H$305,0)))</f>
        <v/>
      </c>
      <c r="M35" s="1" t="n"/>
      <c r="N35" s="1" t="n"/>
      <c r="P35">
        <f>IFERROR(SMALL(Itinerary!$H$6:$H$305,COUNTIF(Itinerary!$H$6:$H$305,"&lt;"&amp;IF(TODAY()&lt;Setup!$C$6,Setup!$C$6,TODAY()))+13),"")</f>
        <v/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23">
        <f>IF(P36="","",IF(INT(P36)=INT(N(P35)),"",INT(P36)))</f>
        <v/>
      </c>
      <c r="J36" s="24">
        <f>IF(P36="","",HOUR(P36)&amp;":"&amp;RIGHT("0"&amp;MINUTE(P36),2)&amp;"  "&amp;INDEX(Itinerary!$D$6:$D$305,MATCH(P36,Itinerary!$H$6:$H$305,0)))</f>
        <v/>
      </c>
      <c r="K36" s="24" t="n"/>
      <c r="L36" s="24">
        <f>IF(P36="","",INDEX(Itinerary!$E$6:$E$305,MATCH(P36,Itinerary!$H$6:$H$305,0)))</f>
        <v/>
      </c>
      <c r="M36" s="1" t="n"/>
      <c r="N36" s="1" t="n"/>
      <c r="P36">
        <f>IFERROR(SMALL(Itinerary!$H$6:$H$305,COUNTIF(Itinerary!$H$6:$H$305,"&lt;"&amp;IF(TODAY()&lt;Setup!$C$6,Setup!$C$6,TODAY()))+14),"")</f>
        <v/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</sheetData>
  <mergeCells count="18">
    <mergeCell ref="J35:K35"/>
    <mergeCell ref="J30:K30"/>
    <mergeCell ref="J34:K34"/>
    <mergeCell ref="I6:J6"/>
    <mergeCell ref="J29:K29"/>
    <mergeCell ref="I22:K22"/>
    <mergeCell ref="J24:K24"/>
    <mergeCell ref="I7:J7"/>
    <mergeCell ref="J32:K32"/>
    <mergeCell ref="J25:K25"/>
    <mergeCell ref="I11:J11"/>
    <mergeCell ref="J33:K33"/>
    <mergeCell ref="J27:K27"/>
    <mergeCell ref="J28:K28"/>
    <mergeCell ref="J23:K23"/>
    <mergeCell ref="J31:K31"/>
    <mergeCell ref="J36:K36"/>
    <mergeCell ref="J26:K26"/>
  </mergeCells>
  <conditionalFormatting sqref="F12:F18">
    <cfRule type="expression" priority="1" dxfId="0">
      <formula>F12&lt;0</formula>
    </cfRule>
  </conditionalFormatting>
  <conditionalFormatting sqref="L12:L19">
    <cfRule type="expression" priority="2" dxfId="1">
      <formula>N(L12)&gt;0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8" customWidth="1" min="3" max="3"/>
    <col width="34" customWidth="1" min="4" max="4"/>
    <col width="22" customWidth="1" min="5" max="5"/>
    <col width="14" customWidth="1" min="6" max="6"/>
    <col width="26" customWidth="1" min="7" max="7"/>
    <col hidden="1" width="13" customWidth="1" min="8" max="8"/>
    <col hidden="1" width="1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Itinerary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What you plan to do, day by day. Put the lines in any order: the dashboard sorts them.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12" t="inlineStr">
        <is>
          <t>Date</t>
        </is>
      </c>
      <c r="C5" s="12" t="inlineStr">
        <is>
          <t>Time</t>
        </is>
      </c>
      <c r="D5" s="12" t="inlineStr">
        <is>
          <t>Plan</t>
        </is>
      </c>
      <c r="E5" s="12" t="inlineStr">
        <is>
          <t>Where</t>
        </is>
      </c>
      <c r="F5" s="12" t="inlineStr">
        <is>
          <t>Booking</t>
        </is>
      </c>
      <c r="G5" s="12" t="inlineStr">
        <is>
          <t>Note</t>
        </is>
      </c>
      <c r="H5" s="1" t="n"/>
    </row>
    <row r="6">
      <c r="A6" s="1" t="n"/>
      <c r="B6" s="25" t="n">
        <v>46315</v>
      </c>
      <c r="C6" s="26" t="n">
        <v>0.4618055555555556</v>
      </c>
      <c r="D6" s="27" t="inlineStr">
        <is>
          <t>Flight to Tokyo</t>
        </is>
      </c>
      <c r="E6" s="28" t="inlineStr">
        <is>
          <t>Los Angeles airport</t>
        </is>
      </c>
      <c r="F6" s="29" t="inlineStr">
        <is>
          <t>KX7Q2M</t>
        </is>
      </c>
      <c r="G6" s="28" t="n"/>
      <c r="H6" s="1">
        <f>IF(OR(B6="",D6=""),"",B6+N(C6)+ROW()/100000000)</f>
        <v/>
      </c>
      <c r="I6">
        <f>IF(B6="","","Day "&amp;(B6-Setup!$C$6+1))</f>
        <v/>
      </c>
    </row>
    <row r="7">
      <c r="A7" s="1" t="n"/>
      <c r="B7" s="25" t="n">
        <v>46316</v>
      </c>
      <c r="C7" s="26" t="n">
        <v>0.6458333333333334</v>
      </c>
      <c r="D7" s="27" t="inlineStr">
        <is>
          <t>Land at Haneda, train to Shinjuku</t>
        </is>
      </c>
      <c r="E7" s="28" t="inlineStr">
        <is>
          <t>Haneda airport</t>
        </is>
      </c>
      <c r="F7" s="29" t="n"/>
      <c r="G7" s="28" t="n"/>
      <c r="H7" s="1">
        <f>IF(OR(B7="",D7=""),"",B7+N(C7)+ROW()/100000000)</f>
        <v/>
      </c>
      <c r="I7">
        <f>IF(B7="","","Day "&amp;(B7-Setup!$C$6+1))</f>
        <v/>
      </c>
    </row>
    <row r="8">
      <c r="A8" s="1" t="n"/>
      <c r="B8" s="25" t="n">
        <v>46316</v>
      </c>
      <c r="C8" s="26" t="n">
        <v>0.7083333333333334</v>
      </c>
      <c r="D8" s="27" t="inlineStr">
        <is>
          <t>Check in</t>
        </is>
      </c>
      <c r="E8" s="28" t="inlineStr">
        <is>
          <t>Shinjuku hotel</t>
        </is>
      </c>
      <c r="F8" s="29" t="inlineStr">
        <is>
          <t>88213-04</t>
        </is>
      </c>
      <c r="G8" s="28" t="n"/>
      <c r="H8" s="1">
        <f>IF(OR(B8="",D8=""),"",B8+N(C8)+ROW()/100000000)</f>
        <v/>
      </c>
      <c r="I8">
        <f>IF(B8="","","Day "&amp;(B8-Setup!$C$6+1))</f>
        <v/>
      </c>
    </row>
    <row r="9">
      <c r="A9" s="1" t="n"/>
      <c r="B9" s="25" t="n">
        <v>46316</v>
      </c>
      <c r="C9" s="26" t="n">
        <v>0.7916666666666666</v>
      </c>
      <c r="D9" s="27" t="inlineStr">
        <is>
          <t>Ramen dinner</t>
        </is>
      </c>
      <c r="E9" s="28" t="inlineStr">
        <is>
          <t>Omoide Yokocho</t>
        </is>
      </c>
      <c r="F9" s="29" t="n"/>
      <c r="G9" s="28" t="n"/>
      <c r="H9" s="1">
        <f>IF(OR(B9="",D9=""),"",B9+N(C9)+ROW()/100000000)</f>
        <v/>
      </c>
      <c r="I9">
        <f>IF(B9="","","Day "&amp;(B9-Setup!$C$6+1))</f>
        <v/>
      </c>
    </row>
    <row r="10">
      <c r="A10" s="1" t="n"/>
      <c r="B10" s="25" t="n">
        <v>46317</v>
      </c>
      <c r="C10" s="26" t="n">
        <v>0.375</v>
      </c>
      <c r="D10" s="27" t="inlineStr">
        <is>
          <t>Meiji Shrine</t>
        </is>
      </c>
      <c r="E10" s="28" t="inlineStr">
        <is>
          <t>Harajuku</t>
        </is>
      </c>
      <c r="F10" s="29" t="n"/>
      <c r="G10" s="28" t="n"/>
      <c r="H10" s="1">
        <f>IF(OR(B10="",D10=""),"",B10+N(C10)+ROW()/100000000)</f>
        <v/>
      </c>
      <c r="I10">
        <f>IF(B10="","","Day "&amp;(B10-Setup!$C$6+1))</f>
        <v/>
      </c>
    </row>
    <row r="11">
      <c r="A11" s="1" t="n"/>
      <c r="B11" s="25" t="n">
        <v>46317</v>
      </c>
      <c r="C11" s="26" t="n">
        <v>0.4583333333333333</v>
      </c>
      <c r="D11" s="27" t="inlineStr">
        <is>
          <t>Walk Omotesando</t>
        </is>
      </c>
      <c r="E11" s="28" t="inlineStr">
        <is>
          <t>Omotesando</t>
        </is>
      </c>
      <c r="F11" s="29" t="n"/>
      <c r="G11" s="28" t="n"/>
      <c r="H11" s="1">
        <f>IF(OR(B11="",D11=""),"",B11+N(C11)+ROW()/100000000)</f>
        <v/>
      </c>
      <c r="I11">
        <f>IF(B11="","","Day "&amp;(B11-Setup!$C$6+1))</f>
        <v/>
      </c>
    </row>
    <row r="12">
      <c r="A12" s="1" t="n"/>
      <c r="B12" s="25" t="n">
        <v>46317</v>
      </c>
      <c r="C12" s="26" t="n">
        <v>0.625</v>
      </c>
      <c r="D12" s="27" t="inlineStr">
        <is>
          <t>teamLab Planets</t>
        </is>
      </c>
      <c r="E12" s="28" t="inlineStr">
        <is>
          <t>Toyosu</t>
        </is>
      </c>
      <c r="F12" s="29" t="inlineStr">
        <is>
          <t>TLP-5521</t>
        </is>
      </c>
      <c r="G12" s="28" t="n"/>
      <c r="H12" s="1">
        <f>IF(OR(B12="",D12=""),"",B12+N(C12)+ROW()/100000000)</f>
        <v/>
      </c>
      <c r="I12">
        <f>IF(B12="","","Day "&amp;(B12-Setup!$C$6+1))</f>
        <v/>
      </c>
    </row>
    <row r="13">
      <c r="A13" s="1" t="n"/>
      <c r="B13" s="25" t="n">
        <v>46317</v>
      </c>
      <c r="C13" s="26" t="n">
        <v>0.7916666666666666</v>
      </c>
      <c r="D13" s="27" t="inlineStr">
        <is>
          <t>Shibuya crossing at night</t>
        </is>
      </c>
      <c r="E13" s="28" t="inlineStr">
        <is>
          <t>Shibuya</t>
        </is>
      </c>
      <c r="F13" s="29" t="n"/>
      <c r="G13" s="28" t="n"/>
      <c r="H13" s="1">
        <f>IF(OR(B13="",D13=""),"",B13+N(C13)+ROW()/100000000)</f>
        <v/>
      </c>
      <c r="I13">
        <f>IF(B13="","","Day "&amp;(B13-Setup!$C$6+1))</f>
        <v/>
      </c>
    </row>
    <row r="14">
      <c r="A14" s="1" t="n"/>
      <c r="B14" s="25" t="n">
        <v>46318</v>
      </c>
      <c r="C14" s="26" t="n">
        <v>0.3333333333333333</v>
      </c>
      <c r="D14" s="27" t="inlineStr">
        <is>
          <t>Breakfast at the outer market</t>
        </is>
      </c>
      <c r="E14" s="28" t="inlineStr">
        <is>
          <t>Tsukiji</t>
        </is>
      </c>
      <c r="F14" s="29" t="n"/>
      <c r="G14" s="28" t="n"/>
      <c r="H14" s="1">
        <f>IF(OR(B14="",D14=""),"",B14+N(C14)+ROW()/100000000)</f>
        <v/>
      </c>
      <c r="I14">
        <f>IF(B14="","","Day "&amp;(B14-Setup!$C$6+1))</f>
        <v/>
      </c>
    </row>
    <row r="15">
      <c r="A15" s="1" t="n"/>
      <c r="B15" s="25" t="n">
        <v>46318</v>
      </c>
      <c r="C15" s="26" t="n">
        <v>0.4583333333333333</v>
      </c>
      <c r="D15" s="27" t="inlineStr">
        <is>
          <t>Senso-ji temple</t>
        </is>
      </c>
      <c r="E15" s="28" t="inlineStr">
        <is>
          <t>Asakusa</t>
        </is>
      </c>
      <c r="F15" s="29" t="n"/>
      <c r="G15" s="28" t="n"/>
      <c r="H15" s="1">
        <f>IF(OR(B15="",D15=""),"",B15+N(C15)+ROW()/100000000)</f>
        <v/>
      </c>
      <c r="I15">
        <f>IF(B15="","","Day "&amp;(B15-Setup!$C$6+1))</f>
        <v/>
      </c>
    </row>
    <row r="16">
      <c r="A16" s="1" t="n"/>
      <c r="B16" s="25" t="n">
        <v>46318</v>
      </c>
      <c r="C16" s="26" t="n">
        <v>0.6666666666666666</v>
      </c>
      <c r="D16" s="27" t="inlineStr">
        <is>
          <t>Tokyo Skytree</t>
        </is>
      </c>
      <c r="E16" s="28" t="inlineStr">
        <is>
          <t>Oshiage</t>
        </is>
      </c>
      <c r="F16" s="29" t="n"/>
      <c r="G16" s="28" t="n"/>
      <c r="H16" s="1">
        <f>IF(OR(B16="",D16=""),"",B16+N(C16)+ROW()/100000000)</f>
        <v/>
      </c>
      <c r="I16">
        <f>IF(B16="","","Day "&amp;(B16-Setup!$C$6+1))</f>
        <v/>
      </c>
    </row>
    <row r="17">
      <c r="A17" s="1" t="n"/>
      <c r="B17" s="25" t="n">
        <v>46319</v>
      </c>
      <c r="C17" s="26" t="n">
        <v>0.4166666666666667</v>
      </c>
      <c r="D17" s="27" t="inlineStr">
        <is>
          <t>Sushi cooking class</t>
        </is>
      </c>
      <c r="E17" s="28" t="inlineStr">
        <is>
          <t>Tsukiji</t>
        </is>
      </c>
      <c r="F17" s="29" t="inlineStr">
        <is>
          <t>SC-3310</t>
        </is>
      </c>
      <c r="G17" s="28" t="n"/>
      <c r="H17" s="1">
        <f>IF(OR(B17="",D17=""),"",B17+N(C17)+ROW()/100000000)</f>
        <v/>
      </c>
      <c r="I17">
        <f>IF(B17="","","Day "&amp;(B17-Setup!$C$6+1))</f>
        <v/>
      </c>
    </row>
    <row r="18">
      <c r="A18" s="1" t="n"/>
      <c r="B18" s="25" t="n">
        <v>46319</v>
      </c>
      <c r="C18" s="26" t="n">
        <v>0.625</v>
      </c>
      <c r="D18" s="27" t="inlineStr">
        <is>
          <t>Akihabara</t>
        </is>
      </c>
      <c r="E18" s="28" t="inlineStr">
        <is>
          <t>Akihabara</t>
        </is>
      </c>
      <c r="F18" s="29" t="n"/>
      <c r="G18" s="28" t="n"/>
      <c r="H18" s="1">
        <f>IF(OR(B18="",D18=""),"",B18+N(C18)+ROW()/100000000)</f>
        <v/>
      </c>
      <c r="I18">
        <f>IF(B18="","","Day "&amp;(B18-Setup!$C$6+1))</f>
        <v/>
      </c>
    </row>
    <row r="19">
      <c r="A19" s="1" t="n"/>
      <c r="B19" s="25" t="n">
        <v>46320</v>
      </c>
      <c r="C19" s="26" t="n">
        <v>0.3333333333333333</v>
      </c>
      <c r="D19" s="27" t="inlineStr">
        <is>
          <t>Day trip to Nikko</t>
        </is>
      </c>
      <c r="E19" s="28" t="inlineStr">
        <is>
          <t>Nikko</t>
        </is>
      </c>
      <c r="F19" s="29" t="n"/>
      <c r="G19" s="28" t="n"/>
      <c r="H19" s="1">
        <f>IF(OR(B19="",D19=""),"",B19+N(C19)+ROW()/100000000)</f>
        <v/>
      </c>
      <c r="I19">
        <f>IF(B19="","","Day "&amp;(B19-Setup!$C$6+1))</f>
        <v/>
      </c>
    </row>
    <row r="20">
      <c r="A20" s="1" t="n"/>
      <c r="B20" s="25" t="n">
        <v>46321</v>
      </c>
      <c r="C20" s="26" t="n">
        <v>0.3333333333333333</v>
      </c>
      <c r="D20" s="27" t="inlineStr">
        <is>
          <t>Exchange rail pass, train to Kyoto</t>
        </is>
      </c>
      <c r="E20" s="28" t="inlineStr">
        <is>
          <t>Tokyo station</t>
        </is>
      </c>
      <c r="F20" s="29" t="inlineStr">
        <is>
          <t>JRP-77410</t>
        </is>
      </c>
      <c r="G20" s="28" t="n"/>
      <c r="H20" s="1">
        <f>IF(OR(B20="",D20=""),"",B20+N(C20)+ROW()/100000000)</f>
        <v/>
      </c>
      <c r="I20">
        <f>IF(B20="","","Day "&amp;(B20-Setup!$C$6+1))</f>
        <v/>
      </c>
    </row>
    <row r="21">
      <c r="A21" s="1" t="n"/>
      <c r="B21" s="25" t="n">
        <v>46321</v>
      </c>
      <c r="C21" s="26" t="n">
        <v>0.625</v>
      </c>
      <c r="D21" s="27" t="inlineStr">
        <is>
          <t>Check in</t>
        </is>
      </c>
      <c r="E21" s="28" t="inlineStr">
        <is>
          <t>Kyoto ryokan</t>
        </is>
      </c>
      <c r="F21" s="29" t="inlineStr">
        <is>
          <t>RK-2291</t>
        </is>
      </c>
      <c r="G21" s="28" t="n"/>
      <c r="H21" s="1">
        <f>IF(OR(B21="",D21=""),"",B21+N(C21)+ROW()/100000000)</f>
        <v/>
      </c>
      <c r="I21">
        <f>IF(B21="","","Day "&amp;(B21-Setup!$C$6+1))</f>
        <v/>
      </c>
    </row>
    <row r="22">
      <c r="A22" s="1" t="n"/>
      <c r="B22" s="25" t="n">
        <v>46321</v>
      </c>
      <c r="C22" s="26" t="n">
        <v>0.7083333333333334</v>
      </c>
      <c r="D22" s="27" t="inlineStr">
        <is>
          <t>Fushimi Inari at sunset</t>
        </is>
      </c>
      <c r="E22" s="28" t="inlineStr">
        <is>
          <t>Fushimi</t>
        </is>
      </c>
      <c r="F22" s="29" t="n"/>
      <c r="G22" s="28" t="n"/>
      <c r="H22" s="1">
        <f>IF(OR(B22="",D22=""),"",B22+N(C22)+ROW()/100000000)</f>
        <v/>
      </c>
      <c r="I22">
        <f>IF(B22="","","Day "&amp;(B22-Setup!$C$6+1))</f>
        <v/>
      </c>
    </row>
    <row r="23">
      <c r="A23" s="1" t="n"/>
      <c r="B23" s="25" t="n">
        <v>46322</v>
      </c>
      <c r="C23" s="26" t="n">
        <v>0.3125</v>
      </c>
      <c r="D23" s="27" t="inlineStr">
        <is>
          <t>Bamboo grove before the crowds</t>
        </is>
      </c>
      <c r="E23" s="28" t="inlineStr">
        <is>
          <t>Arashiyama</t>
        </is>
      </c>
      <c r="F23" s="29" t="n"/>
      <c r="G23" s="28" t="n"/>
      <c r="H23" s="1">
        <f>IF(OR(B23="",D23=""),"",B23+N(C23)+ROW()/100000000)</f>
        <v/>
      </c>
      <c r="I23">
        <f>IF(B23="","","Day "&amp;(B23-Setup!$C$6+1))</f>
        <v/>
      </c>
    </row>
    <row r="24">
      <c r="A24" s="1" t="n"/>
      <c r="B24" s="25" t="n">
        <v>46322</v>
      </c>
      <c r="C24" s="26" t="n">
        <v>0.5416666666666666</v>
      </c>
      <c r="D24" s="27" t="inlineStr">
        <is>
          <t>Golden Pavilion</t>
        </is>
      </c>
      <c r="E24" s="28" t="inlineStr">
        <is>
          <t>Kinkaku-ji</t>
        </is>
      </c>
      <c r="F24" s="29" t="n"/>
      <c r="G24" s="28" t="n"/>
      <c r="H24" s="1">
        <f>IF(OR(B24="",D24=""),"",B24+N(C24)+ROW()/100000000)</f>
        <v/>
      </c>
      <c r="I24">
        <f>IF(B24="","","Day "&amp;(B24-Setup!$C$6+1))</f>
        <v/>
      </c>
    </row>
    <row r="25">
      <c r="A25" s="1" t="n"/>
      <c r="B25" s="25" t="n">
        <v>46323</v>
      </c>
      <c r="C25" s="26" t="n">
        <v>0.4166666666666667</v>
      </c>
      <c r="D25" s="27" t="inlineStr">
        <is>
          <t>Nishiki market</t>
        </is>
      </c>
      <c r="E25" s="28" t="inlineStr">
        <is>
          <t>Central Kyoto</t>
        </is>
      </c>
      <c r="F25" s="29" t="n"/>
      <c r="G25" s="28" t="n"/>
      <c r="H25" s="1">
        <f>IF(OR(B25="",D25=""),"",B25+N(C25)+ROW()/100000000)</f>
        <v/>
      </c>
      <c r="I25">
        <f>IF(B25="","","Day "&amp;(B25-Setup!$C$6+1))</f>
        <v/>
      </c>
    </row>
    <row r="26">
      <c r="A26" s="1" t="n"/>
      <c r="B26" s="25" t="n">
        <v>46323</v>
      </c>
      <c r="C26" s="26" t="n">
        <v>0.5833333333333334</v>
      </c>
      <c r="D26" s="27" t="inlineStr">
        <is>
          <t>Tea ceremony</t>
        </is>
      </c>
      <c r="E26" s="28" t="inlineStr">
        <is>
          <t>Gion</t>
        </is>
      </c>
      <c r="F26" s="29" t="n"/>
      <c r="G26" s="28" t="n"/>
      <c r="H26" s="1">
        <f>IF(OR(B26="",D26=""),"",B26+N(C26)+ROW()/100000000)</f>
        <v/>
      </c>
      <c r="I26">
        <f>IF(B26="","","Day "&amp;(B26-Setup!$C$6+1))</f>
        <v/>
      </c>
    </row>
    <row r="27">
      <c r="A27" s="1" t="n"/>
      <c r="B27" s="25" t="n">
        <v>46323</v>
      </c>
      <c r="C27" s="26" t="n">
        <v>0.75</v>
      </c>
      <c r="D27" s="27" t="inlineStr">
        <is>
          <t>Evening walk in Gion</t>
        </is>
      </c>
      <c r="E27" s="28" t="inlineStr">
        <is>
          <t>Gion</t>
        </is>
      </c>
      <c r="F27" s="29" t="n"/>
      <c r="G27" s="28" t="n"/>
      <c r="H27" s="1">
        <f>IF(OR(B27="",D27=""),"",B27+N(C27)+ROW()/100000000)</f>
        <v/>
      </c>
      <c r="I27">
        <f>IF(B27="","","Day "&amp;(B27-Setup!$C$6+1))</f>
        <v/>
      </c>
    </row>
    <row r="28">
      <c r="A28" s="1" t="n"/>
      <c r="B28" s="25" t="n">
        <v>46324</v>
      </c>
      <c r="C28" s="26" t="n">
        <v>0.375</v>
      </c>
      <c r="D28" s="27" t="inlineStr">
        <is>
          <t>Day trip to Nara, deer park</t>
        </is>
      </c>
      <c r="E28" s="28" t="inlineStr">
        <is>
          <t>Nara</t>
        </is>
      </c>
      <c r="F28" s="29" t="n"/>
      <c r="G28" s="28" t="n"/>
      <c r="H28" s="1">
        <f>IF(OR(B28="",D28=""),"",B28+N(C28)+ROW()/100000000)</f>
        <v/>
      </c>
      <c r="I28">
        <f>IF(B28="","","Day "&amp;(B28-Setup!$C$6+1))</f>
        <v/>
      </c>
    </row>
    <row r="29">
      <c r="A29" s="1" t="n"/>
      <c r="B29" s="25" t="n">
        <v>46324</v>
      </c>
      <c r="C29" s="26" t="n">
        <v>0.7916666666666666</v>
      </c>
      <c r="D29" s="27" t="inlineStr">
        <is>
          <t>Kaiseki dinner</t>
        </is>
      </c>
      <c r="E29" s="28" t="inlineStr">
        <is>
          <t>Pontocho</t>
        </is>
      </c>
      <c r="F29" s="29" t="inlineStr">
        <is>
          <t>KD-14</t>
        </is>
      </c>
      <c r="G29" s="28" t="n"/>
      <c r="H29" s="1">
        <f>IF(OR(B29="",D29=""),"",B29+N(C29)+ROW()/100000000)</f>
        <v/>
      </c>
      <c r="I29">
        <f>IF(B29="","","Day "&amp;(B29-Setup!$C$6+1))</f>
        <v/>
      </c>
    </row>
    <row r="30">
      <c r="A30" s="1" t="n"/>
      <c r="B30" s="25" t="n">
        <v>46325</v>
      </c>
      <c r="C30" s="26" t="n">
        <v>0.4583333333333333</v>
      </c>
      <c r="D30" s="27" t="inlineStr">
        <is>
          <t>Train to Osaka, check in</t>
        </is>
      </c>
      <c r="E30" s="28" t="inlineStr">
        <is>
          <t>Osaka hotel</t>
        </is>
      </c>
      <c r="F30" s="29" t="inlineStr">
        <is>
          <t>OS-5570</t>
        </is>
      </c>
      <c r="G30" s="28" t="n"/>
      <c r="H30" s="1">
        <f>IF(OR(B30="",D30=""),"",B30+N(C30)+ROW()/100000000)</f>
        <v/>
      </c>
      <c r="I30">
        <f>IF(B30="","","Day "&amp;(B30-Setup!$C$6+1))</f>
        <v/>
      </c>
    </row>
    <row r="31">
      <c r="A31" s="1" t="n"/>
      <c r="B31" s="25" t="n">
        <v>46325</v>
      </c>
      <c r="C31" s="26" t="n">
        <v>0.75</v>
      </c>
      <c r="D31" s="27" t="inlineStr">
        <is>
          <t>Street food in Dotonbori</t>
        </is>
      </c>
      <c r="E31" s="28" t="inlineStr">
        <is>
          <t>Dotonbori</t>
        </is>
      </c>
      <c r="F31" s="29" t="n"/>
      <c r="G31" s="28" t="n"/>
      <c r="H31" s="1">
        <f>IF(OR(B31="",D31=""),"",B31+N(C31)+ROW()/100000000)</f>
        <v/>
      </c>
      <c r="I31">
        <f>IF(B31="","","Day "&amp;(B31-Setup!$C$6+1))</f>
        <v/>
      </c>
    </row>
    <row r="32">
      <c r="A32" s="1" t="n"/>
      <c r="B32" s="25" t="n">
        <v>46326</v>
      </c>
      <c r="C32" s="26" t="n">
        <v>0.4166666666666667</v>
      </c>
      <c r="D32" s="27" t="inlineStr">
        <is>
          <t>Osaka castle</t>
        </is>
      </c>
      <c r="E32" s="28" t="inlineStr">
        <is>
          <t>Osaka</t>
        </is>
      </c>
      <c r="F32" s="29" t="n"/>
      <c r="G32" s="28" t="n"/>
      <c r="H32" s="1">
        <f>IF(OR(B32="",D32=""),"",B32+N(C32)+ROW()/100000000)</f>
        <v/>
      </c>
      <c r="I32">
        <f>IF(B32="","","Day "&amp;(B32-Setup!$C$6+1))</f>
        <v/>
      </c>
    </row>
    <row r="33">
      <c r="A33" s="1" t="n"/>
      <c r="B33" s="25" t="n">
        <v>46326</v>
      </c>
      <c r="C33" s="26" t="n">
        <v>0.7222222222222222</v>
      </c>
      <c r="D33" s="27" t="inlineStr">
        <is>
          <t>Flight home</t>
        </is>
      </c>
      <c r="E33" s="28" t="inlineStr">
        <is>
          <t>Kansai airport</t>
        </is>
      </c>
      <c r="F33" s="29" t="inlineStr">
        <is>
          <t>KX7Q2M</t>
        </is>
      </c>
      <c r="G33" s="28" t="n"/>
      <c r="H33" s="1">
        <f>IF(OR(B33="",D33=""),"",B33+N(C33)+ROW()/100000000)</f>
        <v/>
      </c>
      <c r="I33">
        <f>IF(B33="","","Day "&amp;(B33-Setup!$C$6+1))</f>
        <v/>
      </c>
    </row>
    <row r="34">
      <c r="A34" s="1" t="n"/>
      <c r="B34" s="25" t="n"/>
      <c r="C34" s="26" t="n"/>
      <c r="D34" s="27" t="n"/>
      <c r="E34" s="28" t="n"/>
      <c r="F34" s="29" t="n"/>
      <c r="G34" s="28" t="n"/>
      <c r="H34" s="1">
        <f>IF(OR(B34="",D34=""),"",B34+N(C34)+ROW()/100000000)</f>
        <v/>
      </c>
      <c r="I34">
        <f>IF(B34="","","Day "&amp;(B34-Setup!$C$6+1))</f>
        <v/>
      </c>
    </row>
    <row r="35">
      <c r="A35" s="1" t="n"/>
      <c r="B35" s="25" t="n"/>
      <c r="C35" s="26" t="n"/>
      <c r="D35" s="27" t="n"/>
      <c r="E35" s="28" t="n"/>
      <c r="F35" s="29" t="n"/>
      <c r="G35" s="28" t="n"/>
      <c r="H35" s="1">
        <f>IF(OR(B35="",D35=""),"",B35+N(C35)+ROW()/100000000)</f>
        <v/>
      </c>
      <c r="I35">
        <f>IF(B35="","","Day "&amp;(B35-Setup!$C$6+1))</f>
        <v/>
      </c>
    </row>
    <row r="36">
      <c r="A36" s="1" t="n"/>
      <c r="B36" s="25" t="n"/>
      <c r="C36" s="26" t="n"/>
      <c r="D36" s="27" t="n"/>
      <c r="E36" s="28" t="n"/>
      <c r="F36" s="29" t="n"/>
      <c r="G36" s="28" t="n"/>
      <c r="H36" s="1">
        <f>IF(OR(B36="",D36=""),"",B36+N(C36)+ROW()/100000000)</f>
        <v/>
      </c>
      <c r="I36">
        <f>IF(B36="","","Day "&amp;(B36-Setup!$C$6+1))</f>
        <v/>
      </c>
    </row>
    <row r="37">
      <c r="A37" s="1" t="n"/>
      <c r="B37" s="25" t="n"/>
      <c r="C37" s="26" t="n"/>
      <c r="D37" s="27" t="n"/>
      <c r="E37" s="28" t="n"/>
      <c r="F37" s="29" t="n"/>
      <c r="G37" s="28" t="n"/>
      <c r="H37" s="1">
        <f>IF(OR(B37="",D37=""),"",B37+N(C37)+ROW()/100000000)</f>
        <v/>
      </c>
      <c r="I37">
        <f>IF(B37="","","Day "&amp;(B37-Setup!$C$6+1))</f>
        <v/>
      </c>
    </row>
    <row r="38">
      <c r="A38" s="1" t="n"/>
      <c r="B38" s="25" t="n"/>
      <c r="C38" s="26" t="n"/>
      <c r="D38" s="27" t="n"/>
      <c r="E38" s="28" t="n"/>
      <c r="F38" s="29" t="n"/>
      <c r="G38" s="28" t="n"/>
      <c r="H38" s="1">
        <f>IF(OR(B38="",D38=""),"",B38+N(C38)+ROW()/100000000)</f>
        <v/>
      </c>
      <c r="I38">
        <f>IF(B38="","","Day "&amp;(B38-Setup!$C$6+1))</f>
        <v/>
      </c>
    </row>
    <row r="39">
      <c r="A39" s="1" t="n"/>
      <c r="B39" s="25" t="n"/>
      <c r="C39" s="26" t="n"/>
      <c r="D39" s="27" t="n"/>
      <c r="E39" s="28" t="n"/>
      <c r="F39" s="29" t="n"/>
      <c r="G39" s="28" t="n"/>
      <c r="H39" s="1">
        <f>IF(OR(B39="",D39=""),"",B39+N(C39)+ROW()/100000000)</f>
        <v/>
      </c>
      <c r="I39">
        <f>IF(B39="","","Day "&amp;(B39-Setup!$C$6+1))</f>
        <v/>
      </c>
    </row>
    <row r="40">
      <c r="A40" s="1" t="n"/>
      <c r="B40" s="25" t="n"/>
      <c r="C40" s="26" t="n"/>
      <c r="D40" s="27" t="n"/>
      <c r="E40" s="28" t="n"/>
      <c r="F40" s="29" t="n"/>
      <c r="G40" s="28" t="n"/>
      <c r="H40" s="1">
        <f>IF(OR(B40="",D40=""),"",B40+N(C40)+ROW()/100000000)</f>
        <v/>
      </c>
      <c r="I40">
        <f>IF(B40="","","Day "&amp;(B40-Setup!$C$6+1))</f>
        <v/>
      </c>
    </row>
    <row r="41">
      <c r="A41" s="1" t="n"/>
      <c r="B41" s="25" t="n"/>
      <c r="C41" s="26" t="n"/>
      <c r="D41" s="27" t="n"/>
      <c r="E41" s="28" t="n"/>
      <c r="F41" s="29" t="n"/>
      <c r="G41" s="28" t="n"/>
      <c r="H41" s="1">
        <f>IF(OR(B41="",D41=""),"",B41+N(C41)+ROW()/100000000)</f>
        <v/>
      </c>
      <c r="I41">
        <f>IF(B41="","","Day "&amp;(B41-Setup!$C$6+1))</f>
        <v/>
      </c>
    </row>
    <row r="42">
      <c r="A42" s="1" t="n"/>
      <c r="B42" s="25" t="n"/>
      <c r="C42" s="26" t="n"/>
      <c r="D42" s="27" t="n"/>
      <c r="E42" s="28" t="n"/>
      <c r="F42" s="29" t="n"/>
      <c r="G42" s="28" t="n"/>
      <c r="H42" s="1">
        <f>IF(OR(B42="",D42=""),"",B42+N(C42)+ROW()/100000000)</f>
        <v/>
      </c>
      <c r="I42">
        <f>IF(B42="","","Day "&amp;(B42-Setup!$C$6+1))</f>
        <v/>
      </c>
    </row>
    <row r="43">
      <c r="A43" s="1" t="n"/>
      <c r="B43" s="25" t="n"/>
      <c r="C43" s="26" t="n"/>
      <c r="D43" s="27" t="n"/>
      <c r="E43" s="28" t="n"/>
      <c r="F43" s="29" t="n"/>
      <c r="G43" s="28" t="n"/>
      <c r="H43" s="1">
        <f>IF(OR(B43="",D43=""),"",B43+N(C43)+ROW()/100000000)</f>
        <v/>
      </c>
      <c r="I43">
        <f>IF(B43="","","Day "&amp;(B43-Setup!$C$6+1))</f>
        <v/>
      </c>
    </row>
    <row r="44">
      <c r="A44" s="1" t="n"/>
      <c r="B44" s="25" t="n"/>
      <c r="C44" s="26" t="n"/>
      <c r="D44" s="27" t="n"/>
      <c r="E44" s="28" t="n"/>
      <c r="F44" s="29" t="n"/>
      <c r="G44" s="28" t="n"/>
      <c r="H44" s="1">
        <f>IF(OR(B44="",D44=""),"",B44+N(C44)+ROW()/100000000)</f>
        <v/>
      </c>
      <c r="I44">
        <f>IF(B44="","","Day "&amp;(B44-Setup!$C$6+1))</f>
        <v/>
      </c>
    </row>
    <row r="45">
      <c r="A45" s="1" t="n"/>
      <c r="B45" s="25" t="n"/>
      <c r="C45" s="26" t="n"/>
      <c r="D45" s="27" t="n"/>
      <c r="E45" s="28" t="n"/>
      <c r="F45" s="29" t="n"/>
      <c r="G45" s="28" t="n"/>
      <c r="H45" s="1">
        <f>IF(OR(B45="",D45=""),"",B45+N(C45)+ROW()/100000000)</f>
        <v/>
      </c>
      <c r="I45">
        <f>IF(B45="","","Day "&amp;(B45-Setup!$C$6+1))</f>
        <v/>
      </c>
    </row>
    <row r="46">
      <c r="A46" s="1" t="n"/>
      <c r="B46" s="25" t="n"/>
      <c r="C46" s="26" t="n"/>
      <c r="D46" s="27" t="n"/>
      <c r="E46" s="28" t="n"/>
      <c r="F46" s="29" t="n"/>
      <c r="G46" s="28" t="n"/>
      <c r="H46" s="1">
        <f>IF(OR(B46="",D46=""),"",B46+N(C46)+ROW()/100000000)</f>
        <v/>
      </c>
      <c r="I46">
        <f>IF(B46="","","Day "&amp;(B46-Setup!$C$6+1))</f>
        <v/>
      </c>
    </row>
    <row r="47">
      <c r="A47" s="1" t="n"/>
      <c r="B47" s="25" t="n"/>
      <c r="C47" s="26" t="n"/>
      <c r="D47" s="27" t="n"/>
      <c r="E47" s="28" t="n"/>
      <c r="F47" s="29" t="n"/>
      <c r="G47" s="28" t="n"/>
      <c r="H47" s="1">
        <f>IF(OR(B47="",D47=""),"",B47+N(C47)+ROW()/100000000)</f>
        <v/>
      </c>
      <c r="I47">
        <f>IF(B47="","","Day "&amp;(B47-Setup!$C$6+1))</f>
        <v/>
      </c>
    </row>
    <row r="48">
      <c r="A48" s="1" t="n"/>
      <c r="B48" s="25" t="n"/>
      <c r="C48" s="26" t="n"/>
      <c r="D48" s="27" t="n"/>
      <c r="E48" s="28" t="n"/>
      <c r="F48" s="29" t="n"/>
      <c r="G48" s="28" t="n"/>
      <c r="H48" s="1">
        <f>IF(OR(B48="",D48=""),"",B48+N(C48)+ROW()/100000000)</f>
        <v/>
      </c>
      <c r="I48">
        <f>IF(B48="","","Day "&amp;(B48-Setup!$C$6+1))</f>
        <v/>
      </c>
    </row>
    <row r="49">
      <c r="A49" s="1" t="n"/>
      <c r="B49" s="25" t="n"/>
      <c r="C49" s="26" t="n"/>
      <c r="D49" s="27" t="n"/>
      <c r="E49" s="28" t="n"/>
      <c r="F49" s="29" t="n"/>
      <c r="G49" s="28" t="n"/>
      <c r="H49" s="1">
        <f>IF(OR(B49="",D49=""),"",B49+N(C49)+ROW()/100000000)</f>
        <v/>
      </c>
      <c r="I49">
        <f>IF(B49="","","Day "&amp;(B49-Setup!$C$6+1))</f>
        <v/>
      </c>
    </row>
    <row r="50">
      <c r="A50" s="1" t="n"/>
      <c r="B50" s="25" t="n"/>
      <c r="C50" s="26" t="n"/>
      <c r="D50" s="27" t="n"/>
      <c r="E50" s="28" t="n"/>
      <c r="F50" s="29" t="n"/>
      <c r="G50" s="28" t="n"/>
      <c r="H50" s="1">
        <f>IF(OR(B50="",D50=""),"",B50+N(C50)+ROW()/100000000)</f>
        <v/>
      </c>
      <c r="I50">
        <f>IF(B50="","","Day "&amp;(B50-Setup!$C$6+1))</f>
        <v/>
      </c>
    </row>
    <row r="51">
      <c r="A51" s="1" t="n"/>
      <c r="B51" s="25" t="n"/>
      <c r="C51" s="26" t="n"/>
      <c r="D51" s="27" t="n"/>
      <c r="E51" s="28" t="n"/>
      <c r="F51" s="29" t="n"/>
      <c r="G51" s="28" t="n"/>
      <c r="H51" s="1">
        <f>IF(OR(B51="",D51=""),"",B51+N(C51)+ROW()/100000000)</f>
        <v/>
      </c>
      <c r="I51">
        <f>IF(B51="","","Day "&amp;(B51-Setup!$C$6+1))</f>
        <v/>
      </c>
    </row>
    <row r="52">
      <c r="A52" s="1" t="n"/>
      <c r="B52" s="25" t="n"/>
      <c r="C52" s="26" t="n"/>
      <c r="D52" s="27" t="n"/>
      <c r="E52" s="28" t="n"/>
      <c r="F52" s="29" t="n"/>
      <c r="G52" s="28" t="n"/>
      <c r="H52" s="1">
        <f>IF(OR(B52="",D52=""),"",B52+N(C52)+ROW()/100000000)</f>
        <v/>
      </c>
      <c r="I52">
        <f>IF(B52="","","Day "&amp;(B52-Setup!$C$6+1))</f>
        <v/>
      </c>
    </row>
    <row r="53">
      <c r="A53" s="1" t="n"/>
      <c r="B53" s="25" t="n"/>
      <c r="C53" s="26" t="n"/>
      <c r="D53" s="27" t="n"/>
      <c r="E53" s="28" t="n"/>
      <c r="F53" s="29" t="n"/>
      <c r="G53" s="28" t="n"/>
      <c r="H53" s="1">
        <f>IF(OR(B53="",D53=""),"",B53+N(C53)+ROW()/100000000)</f>
        <v/>
      </c>
      <c r="I53">
        <f>IF(B53="","","Day "&amp;(B53-Setup!$C$6+1))</f>
        <v/>
      </c>
    </row>
    <row r="54">
      <c r="A54" s="1" t="n"/>
      <c r="B54" s="25" t="n"/>
      <c r="C54" s="26" t="n"/>
      <c r="D54" s="27" t="n"/>
      <c r="E54" s="28" t="n"/>
      <c r="F54" s="29" t="n"/>
      <c r="G54" s="28" t="n"/>
      <c r="H54" s="1">
        <f>IF(OR(B54="",D54=""),"",B54+N(C54)+ROW()/100000000)</f>
        <v/>
      </c>
      <c r="I54">
        <f>IF(B54="","","Day "&amp;(B54-Setup!$C$6+1))</f>
        <v/>
      </c>
    </row>
    <row r="55">
      <c r="A55" s="1" t="n"/>
      <c r="B55" s="25" t="n"/>
      <c r="C55" s="26" t="n"/>
      <c r="D55" s="27" t="n"/>
      <c r="E55" s="28" t="n"/>
      <c r="F55" s="29" t="n"/>
      <c r="G55" s="28" t="n"/>
      <c r="H55" s="1">
        <f>IF(OR(B55="",D55=""),"",B55+N(C55)+ROW()/100000000)</f>
        <v/>
      </c>
      <c r="I55">
        <f>IF(B55="","","Day "&amp;(B55-Setup!$C$6+1))</f>
        <v/>
      </c>
    </row>
    <row r="56">
      <c r="A56" s="1" t="n"/>
      <c r="B56" s="25" t="n"/>
      <c r="C56" s="26" t="n"/>
      <c r="D56" s="27" t="n"/>
      <c r="E56" s="28" t="n"/>
      <c r="F56" s="29" t="n"/>
      <c r="G56" s="28" t="n"/>
      <c r="H56" s="1">
        <f>IF(OR(B56="",D56=""),"",B56+N(C56)+ROW()/100000000)</f>
        <v/>
      </c>
      <c r="I56">
        <f>IF(B56="","","Day "&amp;(B56-Setup!$C$6+1))</f>
        <v/>
      </c>
    </row>
    <row r="57">
      <c r="A57" s="1" t="n"/>
      <c r="B57" s="25" t="n"/>
      <c r="C57" s="26" t="n"/>
      <c r="D57" s="27" t="n"/>
      <c r="E57" s="28" t="n"/>
      <c r="F57" s="29" t="n"/>
      <c r="G57" s="28" t="n"/>
      <c r="H57" s="1">
        <f>IF(OR(B57="",D57=""),"",B57+N(C57)+ROW()/100000000)</f>
        <v/>
      </c>
      <c r="I57">
        <f>IF(B57="","","Day "&amp;(B57-Setup!$C$6+1))</f>
        <v/>
      </c>
    </row>
    <row r="58">
      <c r="A58" s="1" t="n"/>
      <c r="B58" s="25" t="n"/>
      <c r="C58" s="26" t="n"/>
      <c r="D58" s="27" t="n"/>
      <c r="E58" s="28" t="n"/>
      <c r="F58" s="29" t="n"/>
      <c r="G58" s="28" t="n"/>
      <c r="H58" s="1">
        <f>IF(OR(B58="",D58=""),"",B58+N(C58)+ROW()/100000000)</f>
        <v/>
      </c>
      <c r="I58">
        <f>IF(B58="","","Day "&amp;(B58-Setup!$C$6+1))</f>
        <v/>
      </c>
    </row>
    <row r="59">
      <c r="A59" s="1" t="n"/>
      <c r="B59" s="25" t="n"/>
      <c r="C59" s="26" t="n"/>
      <c r="D59" s="27" t="n"/>
      <c r="E59" s="28" t="n"/>
      <c r="F59" s="29" t="n"/>
      <c r="G59" s="28" t="n"/>
      <c r="H59" s="1">
        <f>IF(OR(B59="",D59=""),"",B59+N(C59)+ROW()/100000000)</f>
        <v/>
      </c>
      <c r="I59">
        <f>IF(B59="","","Day "&amp;(B59-Setup!$C$6+1))</f>
        <v/>
      </c>
    </row>
    <row r="60">
      <c r="A60" s="1" t="n"/>
      <c r="B60" s="25" t="n"/>
      <c r="C60" s="26" t="n"/>
      <c r="D60" s="27" t="n"/>
      <c r="E60" s="28" t="n"/>
      <c r="F60" s="29" t="n"/>
      <c r="G60" s="28" t="n"/>
      <c r="H60" s="1">
        <f>IF(OR(B60="",D60=""),"",B60+N(C60)+ROW()/100000000)</f>
        <v/>
      </c>
      <c r="I60">
        <f>IF(B60="","","Day "&amp;(B60-Setup!$C$6+1))</f>
        <v/>
      </c>
    </row>
    <row r="61">
      <c r="A61" s="1" t="n"/>
      <c r="B61" s="25" t="n"/>
      <c r="C61" s="26" t="n"/>
      <c r="D61" s="27" t="n"/>
      <c r="E61" s="28" t="n"/>
      <c r="F61" s="29" t="n"/>
      <c r="G61" s="28" t="n"/>
      <c r="H61" s="1">
        <f>IF(OR(B61="",D61=""),"",B61+N(C61)+ROW()/100000000)</f>
        <v/>
      </c>
      <c r="I61">
        <f>IF(B61="","","Day "&amp;(B61-Setup!$C$6+1))</f>
        <v/>
      </c>
    </row>
    <row r="62">
      <c r="A62" s="1" t="n"/>
      <c r="B62" s="25" t="n"/>
      <c r="C62" s="26" t="n"/>
      <c r="D62" s="27" t="n"/>
      <c r="E62" s="28" t="n"/>
      <c r="F62" s="29" t="n"/>
      <c r="G62" s="28" t="n"/>
      <c r="H62" s="1">
        <f>IF(OR(B62="",D62=""),"",B62+N(C62)+ROW()/100000000)</f>
        <v/>
      </c>
      <c r="I62">
        <f>IF(B62="","","Day "&amp;(B62-Setup!$C$6+1))</f>
        <v/>
      </c>
    </row>
    <row r="63">
      <c r="A63" s="1" t="n"/>
      <c r="B63" s="25" t="n"/>
      <c r="C63" s="26" t="n"/>
      <c r="D63" s="27" t="n"/>
      <c r="E63" s="28" t="n"/>
      <c r="F63" s="29" t="n"/>
      <c r="G63" s="28" t="n"/>
      <c r="H63" s="1">
        <f>IF(OR(B63="",D63=""),"",B63+N(C63)+ROW()/100000000)</f>
        <v/>
      </c>
      <c r="I63">
        <f>IF(B63="","","Day "&amp;(B63-Setup!$C$6+1))</f>
        <v/>
      </c>
    </row>
    <row r="64">
      <c r="A64" s="1" t="n"/>
      <c r="B64" s="25" t="n"/>
      <c r="C64" s="26" t="n"/>
      <c r="D64" s="27" t="n"/>
      <c r="E64" s="28" t="n"/>
      <c r="F64" s="29" t="n"/>
      <c r="G64" s="28" t="n"/>
      <c r="H64" s="1">
        <f>IF(OR(B64="",D64=""),"",B64+N(C64)+ROW()/100000000)</f>
        <v/>
      </c>
      <c r="I64">
        <f>IF(B64="","","Day "&amp;(B64-Setup!$C$6+1))</f>
        <v/>
      </c>
    </row>
    <row r="65">
      <c r="A65" s="1" t="n"/>
      <c r="B65" s="25" t="n"/>
      <c r="C65" s="26" t="n"/>
      <c r="D65" s="27" t="n"/>
      <c r="E65" s="28" t="n"/>
      <c r="F65" s="29" t="n"/>
      <c r="G65" s="28" t="n"/>
      <c r="H65" s="1">
        <f>IF(OR(B65="",D65=""),"",B65+N(C65)+ROW()/100000000)</f>
        <v/>
      </c>
      <c r="I65">
        <f>IF(B65="","","Day "&amp;(B65-Setup!$C$6+1))</f>
        <v/>
      </c>
    </row>
    <row r="66">
      <c r="A66" s="1" t="n"/>
      <c r="B66" s="25" t="n"/>
      <c r="C66" s="26" t="n"/>
      <c r="D66" s="27" t="n"/>
      <c r="E66" s="28" t="n"/>
      <c r="F66" s="29" t="n"/>
      <c r="G66" s="28" t="n"/>
      <c r="H66" s="1">
        <f>IF(OR(B66="",D66=""),"",B66+N(C66)+ROW()/100000000)</f>
        <v/>
      </c>
      <c r="I66">
        <f>IF(B66="","","Day "&amp;(B66-Setup!$C$6+1))</f>
        <v/>
      </c>
    </row>
    <row r="67">
      <c r="A67" s="1" t="n"/>
      <c r="B67" s="25" t="n"/>
      <c r="C67" s="26" t="n"/>
      <c r="D67" s="27" t="n"/>
      <c r="E67" s="28" t="n"/>
      <c r="F67" s="29" t="n"/>
      <c r="G67" s="28" t="n"/>
      <c r="H67" s="1">
        <f>IF(OR(B67="",D67=""),"",B67+N(C67)+ROW()/100000000)</f>
        <v/>
      </c>
      <c r="I67">
        <f>IF(B67="","","Day "&amp;(B67-Setup!$C$6+1))</f>
        <v/>
      </c>
    </row>
    <row r="68">
      <c r="A68" s="1" t="n"/>
      <c r="B68" s="25" t="n"/>
      <c r="C68" s="26" t="n"/>
      <c r="D68" s="27" t="n"/>
      <c r="E68" s="28" t="n"/>
      <c r="F68" s="29" t="n"/>
      <c r="G68" s="28" t="n"/>
      <c r="H68" s="1">
        <f>IF(OR(B68="",D68=""),"",B68+N(C68)+ROW()/100000000)</f>
        <v/>
      </c>
      <c r="I68">
        <f>IF(B68="","","Day "&amp;(B68-Setup!$C$6+1))</f>
        <v/>
      </c>
    </row>
    <row r="69">
      <c r="A69" s="1" t="n"/>
      <c r="B69" s="25" t="n"/>
      <c r="C69" s="26" t="n"/>
      <c r="D69" s="27" t="n"/>
      <c r="E69" s="28" t="n"/>
      <c r="F69" s="29" t="n"/>
      <c r="G69" s="28" t="n"/>
      <c r="H69" s="1">
        <f>IF(OR(B69="",D69=""),"",B69+N(C69)+ROW()/100000000)</f>
        <v/>
      </c>
      <c r="I69">
        <f>IF(B69="","","Day "&amp;(B69-Setup!$C$6+1))</f>
        <v/>
      </c>
    </row>
    <row r="70">
      <c r="A70" s="1" t="n"/>
      <c r="B70" s="25" t="n"/>
      <c r="C70" s="26" t="n"/>
      <c r="D70" s="27" t="n"/>
      <c r="E70" s="28" t="n"/>
      <c r="F70" s="29" t="n"/>
      <c r="G70" s="28" t="n"/>
      <c r="H70" s="1">
        <f>IF(OR(B70="",D70=""),"",B70+N(C70)+ROW()/100000000)</f>
        <v/>
      </c>
      <c r="I70">
        <f>IF(B70="","","Day "&amp;(B70-Setup!$C$6+1))</f>
        <v/>
      </c>
    </row>
    <row r="71">
      <c r="A71" s="1" t="n"/>
      <c r="B71" s="25" t="n"/>
      <c r="C71" s="26" t="n"/>
      <c r="D71" s="27" t="n"/>
      <c r="E71" s="28" t="n"/>
      <c r="F71" s="29" t="n"/>
      <c r="G71" s="28" t="n"/>
      <c r="H71" s="1">
        <f>IF(OR(B71="",D71=""),"",B71+N(C71)+ROW()/100000000)</f>
        <v/>
      </c>
      <c r="I71">
        <f>IF(B71="","","Day "&amp;(B71-Setup!$C$6+1))</f>
        <v/>
      </c>
    </row>
    <row r="72">
      <c r="A72" s="1" t="n"/>
      <c r="B72" s="25" t="n"/>
      <c r="C72" s="26" t="n"/>
      <c r="D72" s="27" t="n"/>
      <c r="E72" s="28" t="n"/>
      <c r="F72" s="29" t="n"/>
      <c r="G72" s="28" t="n"/>
      <c r="H72" s="1">
        <f>IF(OR(B72="",D72=""),"",B72+N(C72)+ROW()/100000000)</f>
        <v/>
      </c>
      <c r="I72">
        <f>IF(B72="","","Day "&amp;(B72-Setup!$C$6+1))</f>
        <v/>
      </c>
    </row>
    <row r="73">
      <c r="A73" s="1" t="n"/>
      <c r="B73" s="25" t="n"/>
      <c r="C73" s="26" t="n"/>
      <c r="D73" s="27" t="n"/>
      <c r="E73" s="28" t="n"/>
      <c r="F73" s="29" t="n"/>
      <c r="G73" s="28" t="n"/>
      <c r="H73" s="1">
        <f>IF(OR(B73="",D73=""),"",B73+N(C73)+ROW()/100000000)</f>
        <v/>
      </c>
      <c r="I73">
        <f>IF(B73="","","Day "&amp;(B73-Setup!$C$6+1))</f>
        <v/>
      </c>
    </row>
    <row r="74">
      <c r="A74" s="1" t="n"/>
      <c r="B74" s="25" t="n"/>
      <c r="C74" s="26" t="n"/>
      <c r="D74" s="27" t="n"/>
      <c r="E74" s="28" t="n"/>
      <c r="F74" s="29" t="n"/>
      <c r="G74" s="28" t="n"/>
      <c r="H74" s="1">
        <f>IF(OR(B74="",D74=""),"",B74+N(C74)+ROW()/100000000)</f>
        <v/>
      </c>
      <c r="I74">
        <f>IF(B74="","","Day "&amp;(B74-Setup!$C$6+1))</f>
        <v/>
      </c>
    </row>
    <row r="75">
      <c r="A75" s="1" t="n"/>
      <c r="B75" s="25" t="n"/>
      <c r="C75" s="26" t="n"/>
      <c r="D75" s="27" t="n"/>
      <c r="E75" s="28" t="n"/>
      <c r="F75" s="29" t="n"/>
      <c r="G75" s="28" t="n"/>
      <c r="H75" s="1">
        <f>IF(OR(B75="",D75=""),"",B75+N(C75)+ROW()/100000000)</f>
        <v/>
      </c>
      <c r="I75">
        <f>IF(B75="","","Day "&amp;(B75-Setup!$C$6+1))</f>
        <v/>
      </c>
    </row>
    <row r="76">
      <c r="A76" s="1" t="n"/>
      <c r="B76" s="25" t="n"/>
      <c r="C76" s="26" t="n"/>
      <c r="D76" s="27" t="n"/>
      <c r="E76" s="28" t="n"/>
      <c r="F76" s="29" t="n"/>
      <c r="G76" s="28" t="n"/>
      <c r="H76" s="1">
        <f>IF(OR(B76="",D76=""),"",B76+N(C76)+ROW()/100000000)</f>
        <v/>
      </c>
      <c r="I76">
        <f>IF(B76="","","Day "&amp;(B76-Setup!$C$6+1))</f>
        <v/>
      </c>
    </row>
    <row r="77">
      <c r="A77" s="1" t="n"/>
      <c r="B77" s="25" t="n"/>
      <c r="C77" s="26" t="n"/>
      <c r="D77" s="27" t="n"/>
      <c r="E77" s="28" t="n"/>
      <c r="F77" s="29" t="n"/>
      <c r="G77" s="28" t="n"/>
      <c r="H77" s="1">
        <f>IF(OR(B77="",D77=""),"",B77+N(C77)+ROW()/100000000)</f>
        <v/>
      </c>
      <c r="I77">
        <f>IF(B77="","","Day "&amp;(B77-Setup!$C$6+1))</f>
        <v/>
      </c>
    </row>
    <row r="78">
      <c r="A78" s="1" t="n"/>
      <c r="B78" s="25" t="n"/>
      <c r="C78" s="26" t="n"/>
      <c r="D78" s="27" t="n"/>
      <c r="E78" s="28" t="n"/>
      <c r="F78" s="29" t="n"/>
      <c r="G78" s="28" t="n"/>
      <c r="H78" s="1">
        <f>IF(OR(B78="",D78=""),"",B78+N(C78)+ROW()/100000000)</f>
        <v/>
      </c>
      <c r="I78">
        <f>IF(B78="","","Day "&amp;(B78-Setup!$C$6+1))</f>
        <v/>
      </c>
    </row>
    <row r="79">
      <c r="A79" s="1" t="n"/>
      <c r="B79" s="25" t="n"/>
      <c r="C79" s="26" t="n"/>
      <c r="D79" s="27" t="n"/>
      <c r="E79" s="28" t="n"/>
      <c r="F79" s="29" t="n"/>
      <c r="G79" s="28" t="n"/>
      <c r="H79" s="1">
        <f>IF(OR(B79="",D79=""),"",B79+N(C79)+ROW()/100000000)</f>
        <v/>
      </c>
      <c r="I79">
        <f>IF(B79="","","Day "&amp;(B79-Setup!$C$6+1))</f>
        <v/>
      </c>
    </row>
    <row r="80">
      <c r="A80" s="1" t="n"/>
      <c r="B80" s="25" t="n"/>
      <c r="C80" s="26" t="n"/>
      <c r="D80" s="27" t="n"/>
      <c r="E80" s="28" t="n"/>
      <c r="F80" s="29" t="n"/>
      <c r="G80" s="28" t="n"/>
      <c r="H80" s="1">
        <f>IF(OR(B80="",D80=""),"",B80+N(C80)+ROW()/100000000)</f>
        <v/>
      </c>
      <c r="I80">
        <f>IF(B80="","","Day "&amp;(B80-Setup!$C$6+1))</f>
        <v/>
      </c>
    </row>
    <row r="81">
      <c r="A81" s="1" t="n"/>
      <c r="B81" s="25" t="n"/>
      <c r="C81" s="26" t="n"/>
      <c r="D81" s="27" t="n"/>
      <c r="E81" s="28" t="n"/>
      <c r="F81" s="29" t="n"/>
      <c r="G81" s="28" t="n"/>
      <c r="H81" s="1">
        <f>IF(OR(B81="",D81=""),"",B81+N(C81)+ROW()/100000000)</f>
        <v/>
      </c>
      <c r="I81">
        <f>IF(B81="","","Day "&amp;(B81-Setup!$C$6+1))</f>
        <v/>
      </c>
    </row>
    <row r="82">
      <c r="A82" s="1" t="n"/>
      <c r="B82" s="25" t="n"/>
      <c r="C82" s="26" t="n"/>
      <c r="D82" s="27" t="n"/>
      <c r="E82" s="28" t="n"/>
      <c r="F82" s="29" t="n"/>
      <c r="G82" s="28" t="n"/>
      <c r="H82" s="1">
        <f>IF(OR(B82="",D82=""),"",B82+N(C82)+ROW()/100000000)</f>
        <v/>
      </c>
      <c r="I82">
        <f>IF(B82="","","Day "&amp;(B82-Setup!$C$6+1))</f>
        <v/>
      </c>
    </row>
    <row r="83">
      <c r="A83" s="1" t="n"/>
      <c r="B83" s="25" t="n"/>
      <c r="C83" s="26" t="n"/>
      <c r="D83" s="27" t="n"/>
      <c r="E83" s="28" t="n"/>
      <c r="F83" s="29" t="n"/>
      <c r="G83" s="28" t="n"/>
      <c r="H83" s="1">
        <f>IF(OR(B83="",D83=""),"",B83+N(C83)+ROW()/100000000)</f>
        <v/>
      </c>
      <c r="I83">
        <f>IF(B83="","","Day "&amp;(B83-Setup!$C$6+1))</f>
        <v/>
      </c>
    </row>
    <row r="84">
      <c r="A84" s="1" t="n"/>
      <c r="B84" s="25" t="n"/>
      <c r="C84" s="26" t="n"/>
      <c r="D84" s="27" t="n"/>
      <c r="E84" s="28" t="n"/>
      <c r="F84" s="29" t="n"/>
      <c r="G84" s="28" t="n"/>
      <c r="H84" s="1">
        <f>IF(OR(B84="",D84=""),"",B84+N(C84)+ROW()/100000000)</f>
        <v/>
      </c>
      <c r="I84">
        <f>IF(B84="","","Day "&amp;(B84-Setup!$C$6+1))</f>
        <v/>
      </c>
    </row>
    <row r="85">
      <c r="A85" s="1" t="n"/>
      <c r="B85" s="25" t="n"/>
      <c r="C85" s="26" t="n"/>
      <c r="D85" s="27" t="n"/>
      <c r="E85" s="28" t="n"/>
      <c r="F85" s="29" t="n"/>
      <c r="G85" s="28" t="n"/>
      <c r="H85" s="1">
        <f>IF(OR(B85="",D85=""),"",B85+N(C85)+ROW()/100000000)</f>
        <v/>
      </c>
      <c r="I85">
        <f>IF(B85="","","Day "&amp;(B85-Setup!$C$6+1))</f>
        <v/>
      </c>
    </row>
    <row r="86">
      <c r="A86" s="1" t="n"/>
      <c r="B86" s="25" t="n"/>
      <c r="C86" s="26" t="n"/>
      <c r="D86" s="27" t="n"/>
      <c r="E86" s="28" t="n"/>
      <c r="F86" s="29" t="n"/>
      <c r="G86" s="28" t="n"/>
      <c r="H86" s="1">
        <f>IF(OR(B86="",D86=""),"",B86+N(C86)+ROW()/100000000)</f>
        <v/>
      </c>
      <c r="I86">
        <f>IF(B86="","","Day "&amp;(B86-Setup!$C$6+1))</f>
        <v/>
      </c>
    </row>
    <row r="87">
      <c r="A87" s="1" t="n"/>
      <c r="B87" s="25" t="n"/>
      <c r="C87" s="26" t="n"/>
      <c r="D87" s="27" t="n"/>
      <c r="E87" s="28" t="n"/>
      <c r="F87" s="29" t="n"/>
      <c r="G87" s="28" t="n"/>
      <c r="H87" s="1">
        <f>IF(OR(B87="",D87=""),"",B87+N(C87)+ROW()/100000000)</f>
        <v/>
      </c>
      <c r="I87">
        <f>IF(B87="","","Day "&amp;(B87-Setup!$C$6+1))</f>
        <v/>
      </c>
    </row>
    <row r="88">
      <c r="A88" s="1" t="n"/>
      <c r="B88" s="25" t="n"/>
      <c r="C88" s="26" t="n"/>
      <c r="D88" s="27" t="n"/>
      <c r="E88" s="28" t="n"/>
      <c r="F88" s="29" t="n"/>
      <c r="G88" s="28" t="n"/>
      <c r="H88" s="1">
        <f>IF(OR(B88="",D88=""),"",B88+N(C88)+ROW()/100000000)</f>
        <v/>
      </c>
      <c r="I88">
        <f>IF(B88="","","Day "&amp;(B88-Setup!$C$6+1))</f>
        <v/>
      </c>
    </row>
    <row r="89">
      <c r="A89" s="1" t="n"/>
      <c r="B89" s="25" t="n"/>
      <c r="C89" s="26" t="n"/>
      <c r="D89" s="27" t="n"/>
      <c r="E89" s="28" t="n"/>
      <c r="F89" s="29" t="n"/>
      <c r="G89" s="28" t="n"/>
      <c r="H89" s="1">
        <f>IF(OR(B89="",D89=""),"",B89+N(C89)+ROW()/100000000)</f>
        <v/>
      </c>
      <c r="I89">
        <f>IF(B89="","","Day "&amp;(B89-Setup!$C$6+1))</f>
        <v/>
      </c>
    </row>
    <row r="90">
      <c r="A90" s="1" t="n"/>
      <c r="B90" s="25" t="n"/>
      <c r="C90" s="26" t="n"/>
      <c r="D90" s="27" t="n"/>
      <c r="E90" s="28" t="n"/>
      <c r="F90" s="29" t="n"/>
      <c r="G90" s="28" t="n"/>
      <c r="H90" s="1">
        <f>IF(OR(B90="",D90=""),"",B90+N(C90)+ROW()/100000000)</f>
        <v/>
      </c>
      <c r="I90">
        <f>IF(B90="","","Day "&amp;(B90-Setup!$C$6+1))</f>
        <v/>
      </c>
    </row>
    <row r="91">
      <c r="A91" s="1" t="n"/>
      <c r="B91" s="25" t="n"/>
      <c r="C91" s="26" t="n"/>
      <c r="D91" s="27" t="n"/>
      <c r="E91" s="28" t="n"/>
      <c r="F91" s="29" t="n"/>
      <c r="G91" s="28" t="n"/>
      <c r="H91" s="1">
        <f>IF(OR(B91="",D91=""),"",B91+N(C91)+ROW()/100000000)</f>
        <v/>
      </c>
      <c r="I91">
        <f>IF(B91="","","Day "&amp;(B91-Setup!$C$6+1))</f>
        <v/>
      </c>
    </row>
    <row r="92">
      <c r="A92" s="1" t="n"/>
      <c r="B92" s="25" t="n"/>
      <c r="C92" s="26" t="n"/>
      <c r="D92" s="27" t="n"/>
      <c r="E92" s="28" t="n"/>
      <c r="F92" s="29" t="n"/>
      <c r="G92" s="28" t="n"/>
      <c r="H92" s="1">
        <f>IF(OR(B92="",D92=""),"",B92+N(C92)+ROW()/100000000)</f>
        <v/>
      </c>
      <c r="I92">
        <f>IF(B92="","","Day "&amp;(B92-Setup!$C$6+1))</f>
        <v/>
      </c>
    </row>
    <row r="93">
      <c r="A93" s="1" t="n"/>
      <c r="B93" s="25" t="n"/>
      <c r="C93" s="26" t="n"/>
      <c r="D93" s="27" t="n"/>
      <c r="E93" s="28" t="n"/>
      <c r="F93" s="29" t="n"/>
      <c r="G93" s="28" t="n"/>
      <c r="H93" s="1">
        <f>IF(OR(B93="",D93=""),"",B93+N(C93)+ROW()/100000000)</f>
        <v/>
      </c>
      <c r="I93">
        <f>IF(B93="","","Day "&amp;(B93-Setup!$C$6+1))</f>
        <v/>
      </c>
    </row>
    <row r="94">
      <c r="A94" s="1" t="n"/>
      <c r="B94" s="25" t="n"/>
      <c r="C94" s="26" t="n"/>
      <c r="D94" s="27" t="n"/>
      <c r="E94" s="28" t="n"/>
      <c r="F94" s="29" t="n"/>
      <c r="G94" s="28" t="n"/>
      <c r="H94" s="1">
        <f>IF(OR(B94="",D94=""),"",B94+N(C94)+ROW()/100000000)</f>
        <v/>
      </c>
      <c r="I94">
        <f>IF(B94="","","Day "&amp;(B94-Setup!$C$6+1))</f>
        <v/>
      </c>
    </row>
    <row r="95">
      <c r="A95" s="1" t="n"/>
      <c r="B95" s="25" t="n"/>
      <c r="C95" s="26" t="n"/>
      <c r="D95" s="27" t="n"/>
      <c r="E95" s="28" t="n"/>
      <c r="F95" s="29" t="n"/>
      <c r="G95" s="28" t="n"/>
      <c r="H95" s="1">
        <f>IF(OR(B95="",D95=""),"",B95+N(C95)+ROW()/100000000)</f>
        <v/>
      </c>
      <c r="I95">
        <f>IF(B95="","","Day "&amp;(B95-Setup!$C$6+1))</f>
        <v/>
      </c>
    </row>
    <row r="96">
      <c r="A96" s="1" t="n"/>
      <c r="B96" s="25" t="n"/>
      <c r="C96" s="26" t="n"/>
      <c r="D96" s="27" t="n"/>
      <c r="E96" s="28" t="n"/>
      <c r="F96" s="29" t="n"/>
      <c r="G96" s="28" t="n"/>
      <c r="H96" s="1">
        <f>IF(OR(B96="",D96=""),"",B96+N(C96)+ROW()/100000000)</f>
        <v/>
      </c>
      <c r="I96">
        <f>IF(B96="","","Day "&amp;(B96-Setup!$C$6+1))</f>
        <v/>
      </c>
    </row>
    <row r="97">
      <c r="A97" s="1" t="n"/>
      <c r="B97" s="25" t="n"/>
      <c r="C97" s="26" t="n"/>
      <c r="D97" s="27" t="n"/>
      <c r="E97" s="28" t="n"/>
      <c r="F97" s="29" t="n"/>
      <c r="G97" s="28" t="n"/>
      <c r="H97" s="1">
        <f>IF(OR(B97="",D97=""),"",B97+N(C97)+ROW()/100000000)</f>
        <v/>
      </c>
      <c r="I97">
        <f>IF(B97="","","Day "&amp;(B97-Setup!$C$6+1))</f>
        <v/>
      </c>
    </row>
    <row r="98">
      <c r="A98" s="1" t="n"/>
      <c r="B98" s="25" t="n"/>
      <c r="C98" s="26" t="n"/>
      <c r="D98" s="27" t="n"/>
      <c r="E98" s="28" t="n"/>
      <c r="F98" s="29" t="n"/>
      <c r="G98" s="28" t="n"/>
      <c r="H98" s="1">
        <f>IF(OR(B98="",D98=""),"",B98+N(C98)+ROW()/100000000)</f>
        <v/>
      </c>
      <c r="I98">
        <f>IF(B98="","","Day "&amp;(B98-Setup!$C$6+1))</f>
        <v/>
      </c>
    </row>
    <row r="99">
      <c r="A99" s="1" t="n"/>
      <c r="B99" s="25" t="n"/>
      <c r="C99" s="26" t="n"/>
      <c r="D99" s="27" t="n"/>
      <c r="E99" s="28" t="n"/>
      <c r="F99" s="29" t="n"/>
      <c r="G99" s="28" t="n"/>
      <c r="H99" s="1">
        <f>IF(OR(B99="",D99=""),"",B99+N(C99)+ROW()/100000000)</f>
        <v/>
      </c>
      <c r="I99">
        <f>IF(B99="","","Day "&amp;(B99-Setup!$C$6+1))</f>
        <v/>
      </c>
    </row>
    <row r="100">
      <c r="A100" s="1" t="n"/>
      <c r="B100" s="25" t="n"/>
      <c r="C100" s="26" t="n"/>
      <c r="D100" s="27" t="n"/>
      <c r="E100" s="28" t="n"/>
      <c r="F100" s="29" t="n"/>
      <c r="G100" s="28" t="n"/>
      <c r="H100" s="1">
        <f>IF(OR(B100="",D100=""),"",B100+N(C100)+ROW()/100000000)</f>
        <v/>
      </c>
      <c r="I100">
        <f>IF(B100="","","Day "&amp;(B100-Setup!$C$6+1))</f>
        <v/>
      </c>
    </row>
    <row r="101">
      <c r="A101" s="1" t="n"/>
      <c r="B101" s="25" t="n"/>
      <c r="C101" s="26" t="n"/>
      <c r="D101" s="27" t="n"/>
      <c r="E101" s="28" t="n"/>
      <c r="F101" s="29" t="n"/>
      <c r="G101" s="28" t="n"/>
      <c r="H101" s="1">
        <f>IF(OR(B101="",D101=""),"",B101+N(C101)+ROW()/100000000)</f>
        <v/>
      </c>
      <c r="I101">
        <f>IF(B101="","","Day "&amp;(B101-Setup!$C$6+1))</f>
        <v/>
      </c>
    </row>
    <row r="102">
      <c r="A102" s="1" t="n"/>
      <c r="B102" s="25" t="n"/>
      <c r="C102" s="26" t="n"/>
      <c r="D102" s="27" t="n"/>
      <c r="E102" s="28" t="n"/>
      <c r="F102" s="29" t="n"/>
      <c r="G102" s="28" t="n"/>
      <c r="H102" s="1">
        <f>IF(OR(B102="",D102=""),"",B102+N(C102)+ROW()/100000000)</f>
        <v/>
      </c>
      <c r="I102">
        <f>IF(B102="","","Day "&amp;(B102-Setup!$C$6+1))</f>
        <v/>
      </c>
    </row>
    <row r="103">
      <c r="A103" s="1" t="n"/>
      <c r="B103" s="25" t="n"/>
      <c r="C103" s="26" t="n"/>
      <c r="D103" s="27" t="n"/>
      <c r="E103" s="28" t="n"/>
      <c r="F103" s="29" t="n"/>
      <c r="G103" s="28" t="n"/>
      <c r="H103" s="1">
        <f>IF(OR(B103="",D103=""),"",B103+N(C103)+ROW()/100000000)</f>
        <v/>
      </c>
      <c r="I103">
        <f>IF(B103="","","Day "&amp;(B103-Setup!$C$6+1))</f>
        <v/>
      </c>
    </row>
    <row r="104">
      <c r="A104" s="1" t="n"/>
      <c r="B104" s="25" t="n"/>
      <c r="C104" s="26" t="n"/>
      <c r="D104" s="27" t="n"/>
      <c r="E104" s="28" t="n"/>
      <c r="F104" s="29" t="n"/>
      <c r="G104" s="28" t="n"/>
      <c r="H104" s="1">
        <f>IF(OR(B104="",D104=""),"",B104+N(C104)+ROW()/100000000)</f>
        <v/>
      </c>
      <c r="I104">
        <f>IF(B104="","","Day "&amp;(B104-Setup!$C$6+1))</f>
        <v/>
      </c>
    </row>
    <row r="105">
      <c r="A105" s="1" t="n"/>
      <c r="B105" s="25" t="n"/>
      <c r="C105" s="26" t="n"/>
      <c r="D105" s="27" t="n"/>
      <c r="E105" s="28" t="n"/>
      <c r="F105" s="29" t="n"/>
      <c r="G105" s="28" t="n"/>
      <c r="H105" s="1">
        <f>IF(OR(B105="",D105=""),"",B105+N(C105)+ROW()/100000000)</f>
        <v/>
      </c>
      <c r="I105">
        <f>IF(B105="","","Day "&amp;(B105-Setup!$C$6+1))</f>
        <v/>
      </c>
    </row>
    <row r="106">
      <c r="A106" s="1" t="n"/>
      <c r="B106" s="25" t="n"/>
      <c r="C106" s="26" t="n"/>
      <c r="D106" s="27" t="n"/>
      <c r="E106" s="28" t="n"/>
      <c r="F106" s="29" t="n"/>
      <c r="G106" s="28" t="n"/>
      <c r="H106" s="1">
        <f>IF(OR(B106="",D106=""),"",B106+N(C106)+ROW()/100000000)</f>
        <v/>
      </c>
      <c r="I106">
        <f>IF(B106="","","Day "&amp;(B106-Setup!$C$6+1))</f>
        <v/>
      </c>
    </row>
    <row r="107">
      <c r="A107" s="1" t="n"/>
      <c r="B107" s="25" t="n"/>
      <c r="C107" s="26" t="n"/>
      <c r="D107" s="27" t="n"/>
      <c r="E107" s="28" t="n"/>
      <c r="F107" s="29" t="n"/>
      <c r="G107" s="28" t="n"/>
      <c r="H107" s="1">
        <f>IF(OR(B107="",D107=""),"",B107+N(C107)+ROW()/100000000)</f>
        <v/>
      </c>
      <c r="I107">
        <f>IF(B107="","","Day "&amp;(B107-Setup!$C$6+1))</f>
        <v/>
      </c>
    </row>
    <row r="108">
      <c r="A108" s="1" t="n"/>
      <c r="B108" s="25" t="n"/>
      <c r="C108" s="26" t="n"/>
      <c r="D108" s="27" t="n"/>
      <c r="E108" s="28" t="n"/>
      <c r="F108" s="29" t="n"/>
      <c r="G108" s="28" t="n"/>
      <c r="H108" s="1">
        <f>IF(OR(B108="",D108=""),"",B108+N(C108)+ROW()/100000000)</f>
        <v/>
      </c>
      <c r="I108">
        <f>IF(B108="","","Day "&amp;(B108-Setup!$C$6+1))</f>
        <v/>
      </c>
    </row>
    <row r="109">
      <c r="A109" s="1" t="n"/>
      <c r="B109" s="25" t="n"/>
      <c r="C109" s="26" t="n"/>
      <c r="D109" s="27" t="n"/>
      <c r="E109" s="28" t="n"/>
      <c r="F109" s="29" t="n"/>
      <c r="G109" s="28" t="n"/>
      <c r="H109" s="1">
        <f>IF(OR(B109="",D109=""),"",B109+N(C109)+ROW()/100000000)</f>
        <v/>
      </c>
      <c r="I109">
        <f>IF(B109="","","Day "&amp;(B109-Setup!$C$6+1))</f>
        <v/>
      </c>
    </row>
    <row r="110">
      <c r="A110" s="1" t="n"/>
      <c r="B110" s="25" t="n"/>
      <c r="C110" s="26" t="n"/>
      <c r="D110" s="27" t="n"/>
      <c r="E110" s="28" t="n"/>
      <c r="F110" s="29" t="n"/>
      <c r="G110" s="28" t="n"/>
      <c r="H110" s="1">
        <f>IF(OR(B110="",D110=""),"",B110+N(C110)+ROW()/100000000)</f>
        <v/>
      </c>
      <c r="I110">
        <f>IF(B110="","","Day "&amp;(B110-Setup!$C$6+1))</f>
        <v/>
      </c>
    </row>
    <row r="111">
      <c r="A111" s="1" t="n"/>
      <c r="B111" s="25" t="n"/>
      <c r="C111" s="26" t="n"/>
      <c r="D111" s="27" t="n"/>
      <c r="E111" s="28" t="n"/>
      <c r="F111" s="29" t="n"/>
      <c r="G111" s="28" t="n"/>
      <c r="H111" s="1">
        <f>IF(OR(B111="",D111=""),"",B111+N(C111)+ROW()/100000000)</f>
        <v/>
      </c>
      <c r="I111">
        <f>IF(B111="","","Day "&amp;(B111-Setup!$C$6+1))</f>
        <v/>
      </c>
    </row>
    <row r="112">
      <c r="A112" s="1" t="n"/>
      <c r="B112" s="25" t="n"/>
      <c r="C112" s="26" t="n"/>
      <c r="D112" s="27" t="n"/>
      <c r="E112" s="28" t="n"/>
      <c r="F112" s="29" t="n"/>
      <c r="G112" s="28" t="n"/>
      <c r="H112" s="1">
        <f>IF(OR(B112="",D112=""),"",B112+N(C112)+ROW()/100000000)</f>
        <v/>
      </c>
      <c r="I112">
        <f>IF(B112="","","Day "&amp;(B112-Setup!$C$6+1))</f>
        <v/>
      </c>
    </row>
    <row r="113">
      <c r="A113" s="1" t="n"/>
      <c r="B113" s="25" t="n"/>
      <c r="C113" s="26" t="n"/>
      <c r="D113" s="27" t="n"/>
      <c r="E113" s="28" t="n"/>
      <c r="F113" s="29" t="n"/>
      <c r="G113" s="28" t="n"/>
      <c r="H113" s="1">
        <f>IF(OR(B113="",D113=""),"",B113+N(C113)+ROW()/100000000)</f>
        <v/>
      </c>
      <c r="I113">
        <f>IF(B113="","","Day "&amp;(B113-Setup!$C$6+1))</f>
        <v/>
      </c>
    </row>
    <row r="114">
      <c r="A114" s="1" t="n"/>
      <c r="B114" s="25" t="n"/>
      <c r="C114" s="26" t="n"/>
      <c r="D114" s="27" t="n"/>
      <c r="E114" s="28" t="n"/>
      <c r="F114" s="29" t="n"/>
      <c r="G114" s="28" t="n"/>
      <c r="H114" s="1">
        <f>IF(OR(B114="",D114=""),"",B114+N(C114)+ROW()/100000000)</f>
        <v/>
      </c>
      <c r="I114">
        <f>IF(B114="","","Day "&amp;(B114-Setup!$C$6+1))</f>
        <v/>
      </c>
    </row>
    <row r="115">
      <c r="A115" s="1" t="n"/>
      <c r="B115" s="25" t="n"/>
      <c r="C115" s="26" t="n"/>
      <c r="D115" s="27" t="n"/>
      <c r="E115" s="28" t="n"/>
      <c r="F115" s="29" t="n"/>
      <c r="G115" s="28" t="n"/>
      <c r="H115" s="1">
        <f>IF(OR(B115="",D115=""),"",B115+N(C115)+ROW()/100000000)</f>
        <v/>
      </c>
      <c r="I115">
        <f>IF(B115="","","Day "&amp;(B115-Setup!$C$6+1))</f>
        <v/>
      </c>
    </row>
    <row r="116">
      <c r="A116" s="1" t="n"/>
      <c r="B116" s="25" t="n"/>
      <c r="C116" s="26" t="n"/>
      <c r="D116" s="27" t="n"/>
      <c r="E116" s="28" t="n"/>
      <c r="F116" s="29" t="n"/>
      <c r="G116" s="28" t="n"/>
      <c r="H116" s="1">
        <f>IF(OR(B116="",D116=""),"",B116+N(C116)+ROW()/100000000)</f>
        <v/>
      </c>
      <c r="I116">
        <f>IF(B116="","","Day "&amp;(B116-Setup!$C$6+1))</f>
        <v/>
      </c>
    </row>
    <row r="117">
      <c r="A117" s="1" t="n"/>
      <c r="B117" s="25" t="n"/>
      <c r="C117" s="26" t="n"/>
      <c r="D117" s="27" t="n"/>
      <c r="E117" s="28" t="n"/>
      <c r="F117" s="29" t="n"/>
      <c r="G117" s="28" t="n"/>
      <c r="H117" s="1">
        <f>IF(OR(B117="",D117=""),"",B117+N(C117)+ROW()/100000000)</f>
        <v/>
      </c>
      <c r="I117">
        <f>IF(B117="","","Day "&amp;(B117-Setup!$C$6+1))</f>
        <v/>
      </c>
    </row>
    <row r="118">
      <c r="A118" s="1" t="n"/>
      <c r="B118" s="25" t="n"/>
      <c r="C118" s="26" t="n"/>
      <c r="D118" s="27" t="n"/>
      <c r="E118" s="28" t="n"/>
      <c r="F118" s="29" t="n"/>
      <c r="G118" s="28" t="n"/>
      <c r="H118" s="1">
        <f>IF(OR(B118="",D118=""),"",B118+N(C118)+ROW()/100000000)</f>
        <v/>
      </c>
      <c r="I118">
        <f>IF(B118="","","Day "&amp;(B118-Setup!$C$6+1))</f>
        <v/>
      </c>
    </row>
    <row r="119">
      <c r="A119" s="1" t="n"/>
      <c r="B119" s="25" t="n"/>
      <c r="C119" s="26" t="n"/>
      <c r="D119" s="27" t="n"/>
      <c r="E119" s="28" t="n"/>
      <c r="F119" s="29" t="n"/>
      <c r="G119" s="28" t="n"/>
      <c r="H119" s="1">
        <f>IF(OR(B119="",D119=""),"",B119+N(C119)+ROW()/100000000)</f>
        <v/>
      </c>
      <c r="I119">
        <f>IF(B119="","","Day "&amp;(B119-Setup!$C$6+1))</f>
        <v/>
      </c>
    </row>
    <row r="120">
      <c r="A120" s="1" t="n"/>
      <c r="B120" s="25" t="n"/>
      <c r="C120" s="26" t="n"/>
      <c r="D120" s="27" t="n"/>
      <c r="E120" s="28" t="n"/>
      <c r="F120" s="29" t="n"/>
      <c r="G120" s="28" t="n"/>
      <c r="H120" s="1">
        <f>IF(OR(B120="",D120=""),"",B120+N(C120)+ROW()/100000000)</f>
        <v/>
      </c>
      <c r="I120">
        <f>IF(B120="","","Day "&amp;(B120-Setup!$C$6+1))</f>
        <v/>
      </c>
    </row>
    <row r="121">
      <c r="A121" s="1" t="n"/>
      <c r="B121" s="25" t="n"/>
      <c r="C121" s="26" t="n"/>
      <c r="D121" s="27" t="n"/>
      <c r="E121" s="28" t="n"/>
      <c r="F121" s="29" t="n"/>
      <c r="G121" s="28" t="n"/>
      <c r="H121" s="1">
        <f>IF(OR(B121="",D121=""),"",B121+N(C121)+ROW()/100000000)</f>
        <v/>
      </c>
      <c r="I121">
        <f>IF(B121="","","Day "&amp;(B121-Setup!$C$6+1))</f>
        <v/>
      </c>
    </row>
    <row r="122">
      <c r="A122" s="1" t="n"/>
      <c r="B122" s="25" t="n"/>
      <c r="C122" s="26" t="n"/>
      <c r="D122" s="27" t="n"/>
      <c r="E122" s="28" t="n"/>
      <c r="F122" s="29" t="n"/>
      <c r="G122" s="28" t="n"/>
      <c r="H122" s="1">
        <f>IF(OR(B122="",D122=""),"",B122+N(C122)+ROW()/100000000)</f>
        <v/>
      </c>
      <c r="I122">
        <f>IF(B122="","","Day "&amp;(B122-Setup!$C$6+1))</f>
        <v/>
      </c>
    </row>
    <row r="123">
      <c r="A123" s="1" t="n"/>
      <c r="B123" s="25" t="n"/>
      <c r="C123" s="26" t="n"/>
      <c r="D123" s="27" t="n"/>
      <c r="E123" s="28" t="n"/>
      <c r="F123" s="29" t="n"/>
      <c r="G123" s="28" t="n"/>
      <c r="H123" s="1">
        <f>IF(OR(B123="",D123=""),"",B123+N(C123)+ROW()/100000000)</f>
        <v/>
      </c>
      <c r="I123">
        <f>IF(B123="","","Day "&amp;(B123-Setup!$C$6+1))</f>
        <v/>
      </c>
    </row>
    <row r="124">
      <c r="A124" s="1" t="n"/>
      <c r="B124" s="25" t="n"/>
      <c r="C124" s="26" t="n"/>
      <c r="D124" s="27" t="n"/>
      <c r="E124" s="28" t="n"/>
      <c r="F124" s="29" t="n"/>
      <c r="G124" s="28" t="n"/>
      <c r="H124" s="1">
        <f>IF(OR(B124="",D124=""),"",B124+N(C124)+ROW()/100000000)</f>
        <v/>
      </c>
      <c r="I124">
        <f>IF(B124="","","Day "&amp;(B124-Setup!$C$6+1))</f>
        <v/>
      </c>
    </row>
    <row r="125">
      <c r="A125" s="1" t="n"/>
      <c r="B125" s="25" t="n"/>
      <c r="C125" s="26" t="n"/>
      <c r="D125" s="27" t="n"/>
      <c r="E125" s="28" t="n"/>
      <c r="F125" s="29" t="n"/>
      <c r="G125" s="28" t="n"/>
      <c r="H125" s="1">
        <f>IF(OR(B125="",D125=""),"",B125+N(C125)+ROW()/100000000)</f>
        <v/>
      </c>
      <c r="I125">
        <f>IF(B125="","","Day "&amp;(B125-Setup!$C$6+1))</f>
        <v/>
      </c>
    </row>
    <row r="126">
      <c r="A126" s="1" t="n"/>
      <c r="B126" s="25" t="n"/>
      <c r="C126" s="26" t="n"/>
      <c r="D126" s="27" t="n"/>
      <c r="E126" s="28" t="n"/>
      <c r="F126" s="29" t="n"/>
      <c r="G126" s="28" t="n"/>
      <c r="H126" s="1">
        <f>IF(OR(B126="",D126=""),"",B126+N(C126)+ROW()/100000000)</f>
        <v/>
      </c>
      <c r="I126">
        <f>IF(B126="","","Day "&amp;(B126-Setup!$C$6+1))</f>
        <v/>
      </c>
    </row>
    <row r="127">
      <c r="A127" s="1" t="n"/>
      <c r="B127" s="25" t="n"/>
      <c r="C127" s="26" t="n"/>
      <c r="D127" s="27" t="n"/>
      <c r="E127" s="28" t="n"/>
      <c r="F127" s="29" t="n"/>
      <c r="G127" s="28" t="n"/>
      <c r="H127" s="1">
        <f>IF(OR(B127="",D127=""),"",B127+N(C127)+ROW()/100000000)</f>
        <v/>
      </c>
      <c r="I127">
        <f>IF(B127="","","Day "&amp;(B127-Setup!$C$6+1))</f>
        <v/>
      </c>
    </row>
    <row r="128">
      <c r="A128" s="1" t="n"/>
      <c r="B128" s="25" t="n"/>
      <c r="C128" s="26" t="n"/>
      <c r="D128" s="27" t="n"/>
      <c r="E128" s="28" t="n"/>
      <c r="F128" s="29" t="n"/>
      <c r="G128" s="28" t="n"/>
      <c r="H128" s="1">
        <f>IF(OR(B128="",D128=""),"",B128+N(C128)+ROW()/100000000)</f>
        <v/>
      </c>
      <c r="I128">
        <f>IF(B128="","","Day "&amp;(B128-Setup!$C$6+1))</f>
        <v/>
      </c>
    </row>
    <row r="129">
      <c r="A129" s="1" t="n"/>
      <c r="B129" s="25" t="n"/>
      <c r="C129" s="26" t="n"/>
      <c r="D129" s="27" t="n"/>
      <c r="E129" s="28" t="n"/>
      <c r="F129" s="29" t="n"/>
      <c r="G129" s="28" t="n"/>
      <c r="H129" s="1">
        <f>IF(OR(B129="",D129=""),"",B129+N(C129)+ROW()/100000000)</f>
        <v/>
      </c>
      <c r="I129">
        <f>IF(B129="","","Day "&amp;(B129-Setup!$C$6+1))</f>
        <v/>
      </c>
    </row>
    <row r="130">
      <c r="A130" s="1" t="n"/>
      <c r="B130" s="25" t="n"/>
      <c r="C130" s="26" t="n"/>
      <c r="D130" s="27" t="n"/>
      <c r="E130" s="28" t="n"/>
      <c r="F130" s="29" t="n"/>
      <c r="G130" s="28" t="n"/>
      <c r="H130" s="1">
        <f>IF(OR(B130="",D130=""),"",B130+N(C130)+ROW()/100000000)</f>
        <v/>
      </c>
      <c r="I130">
        <f>IF(B130="","","Day "&amp;(B130-Setup!$C$6+1))</f>
        <v/>
      </c>
    </row>
    <row r="131">
      <c r="A131" s="1" t="n"/>
      <c r="B131" s="25" t="n"/>
      <c r="C131" s="26" t="n"/>
      <c r="D131" s="27" t="n"/>
      <c r="E131" s="28" t="n"/>
      <c r="F131" s="29" t="n"/>
      <c r="G131" s="28" t="n"/>
      <c r="H131" s="1">
        <f>IF(OR(B131="",D131=""),"",B131+N(C131)+ROW()/100000000)</f>
        <v/>
      </c>
      <c r="I131">
        <f>IF(B131="","","Day "&amp;(B131-Setup!$C$6+1))</f>
        <v/>
      </c>
    </row>
    <row r="132">
      <c r="A132" s="1" t="n"/>
      <c r="B132" s="25" t="n"/>
      <c r="C132" s="26" t="n"/>
      <c r="D132" s="27" t="n"/>
      <c r="E132" s="28" t="n"/>
      <c r="F132" s="29" t="n"/>
      <c r="G132" s="28" t="n"/>
      <c r="H132" s="1">
        <f>IF(OR(B132="",D132=""),"",B132+N(C132)+ROW()/100000000)</f>
        <v/>
      </c>
      <c r="I132">
        <f>IF(B132="","","Day "&amp;(B132-Setup!$C$6+1))</f>
        <v/>
      </c>
    </row>
    <row r="133">
      <c r="A133" s="1" t="n"/>
      <c r="B133" s="25" t="n"/>
      <c r="C133" s="26" t="n"/>
      <c r="D133" s="27" t="n"/>
      <c r="E133" s="28" t="n"/>
      <c r="F133" s="29" t="n"/>
      <c r="G133" s="28" t="n"/>
      <c r="H133" s="1">
        <f>IF(OR(B133="",D133=""),"",B133+N(C133)+ROW()/100000000)</f>
        <v/>
      </c>
      <c r="I133">
        <f>IF(B133="","","Day "&amp;(B133-Setup!$C$6+1))</f>
        <v/>
      </c>
    </row>
    <row r="134">
      <c r="A134" s="1" t="n"/>
      <c r="B134" s="25" t="n"/>
      <c r="C134" s="26" t="n"/>
      <c r="D134" s="27" t="n"/>
      <c r="E134" s="28" t="n"/>
      <c r="F134" s="29" t="n"/>
      <c r="G134" s="28" t="n"/>
      <c r="H134" s="1">
        <f>IF(OR(B134="",D134=""),"",B134+N(C134)+ROW()/100000000)</f>
        <v/>
      </c>
      <c r="I134">
        <f>IF(B134="","","Day "&amp;(B134-Setup!$C$6+1))</f>
        <v/>
      </c>
    </row>
    <row r="135">
      <c r="A135" s="1" t="n"/>
      <c r="B135" s="25" t="n"/>
      <c r="C135" s="26" t="n"/>
      <c r="D135" s="27" t="n"/>
      <c r="E135" s="28" t="n"/>
      <c r="F135" s="29" t="n"/>
      <c r="G135" s="28" t="n"/>
      <c r="H135" s="1">
        <f>IF(OR(B135="",D135=""),"",B135+N(C135)+ROW()/100000000)</f>
        <v/>
      </c>
      <c r="I135">
        <f>IF(B135="","","Day "&amp;(B135-Setup!$C$6+1))</f>
        <v/>
      </c>
    </row>
    <row r="136">
      <c r="A136" s="1" t="n"/>
      <c r="B136" s="25" t="n"/>
      <c r="C136" s="26" t="n"/>
      <c r="D136" s="27" t="n"/>
      <c r="E136" s="28" t="n"/>
      <c r="F136" s="29" t="n"/>
      <c r="G136" s="28" t="n"/>
      <c r="H136" s="1">
        <f>IF(OR(B136="",D136=""),"",B136+N(C136)+ROW()/100000000)</f>
        <v/>
      </c>
      <c r="I136">
        <f>IF(B136="","","Day "&amp;(B136-Setup!$C$6+1))</f>
        <v/>
      </c>
    </row>
    <row r="137">
      <c r="A137" s="1" t="n"/>
      <c r="B137" s="25" t="n"/>
      <c r="C137" s="26" t="n"/>
      <c r="D137" s="27" t="n"/>
      <c r="E137" s="28" t="n"/>
      <c r="F137" s="29" t="n"/>
      <c r="G137" s="28" t="n"/>
      <c r="H137" s="1">
        <f>IF(OR(B137="",D137=""),"",B137+N(C137)+ROW()/100000000)</f>
        <v/>
      </c>
      <c r="I137">
        <f>IF(B137="","","Day "&amp;(B137-Setup!$C$6+1))</f>
        <v/>
      </c>
    </row>
    <row r="138">
      <c r="A138" s="1" t="n"/>
      <c r="B138" s="25" t="n"/>
      <c r="C138" s="26" t="n"/>
      <c r="D138" s="27" t="n"/>
      <c r="E138" s="28" t="n"/>
      <c r="F138" s="29" t="n"/>
      <c r="G138" s="28" t="n"/>
      <c r="H138" s="1">
        <f>IF(OR(B138="",D138=""),"",B138+N(C138)+ROW()/100000000)</f>
        <v/>
      </c>
      <c r="I138">
        <f>IF(B138="","","Day "&amp;(B138-Setup!$C$6+1))</f>
        <v/>
      </c>
    </row>
    <row r="139">
      <c r="A139" s="1" t="n"/>
      <c r="B139" s="25" t="n"/>
      <c r="C139" s="26" t="n"/>
      <c r="D139" s="27" t="n"/>
      <c r="E139" s="28" t="n"/>
      <c r="F139" s="29" t="n"/>
      <c r="G139" s="28" t="n"/>
      <c r="H139" s="1">
        <f>IF(OR(B139="",D139=""),"",B139+N(C139)+ROW()/100000000)</f>
        <v/>
      </c>
      <c r="I139">
        <f>IF(B139="","","Day "&amp;(B139-Setup!$C$6+1))</f>
        <v/>
      </c>
    </row>
    <row r="140">
      <c r="A140" s="1" t="n"/>
      <c r="B140" s="25" t="n"/>
      <c r="C140" s="26" t="n"/>
      <c r="D140" s="27" t="n"/>
      <c r="E140" s="28" t="n"/>
      <c r="F140" s="29" t="n"/>
      <c r="G140" s="28" t="n"/>
      <c r="H140" s="1">
        <f>IF(OR(B140="",D140=""),"",B140+N(C140)+ROW()/100000000)</f>
        <v/>
      </c>
      <c r="I140">
        <f>IF(B140="","","Day "&amp;(B140-Setup!$C$6+1))</f>
        <v/>
      </c>
    </row>
    <row r="141">
      <c r="A141" s="1" t="n"/>
      <c r="B141" s="25" t="n"/>
      <c r="C141" s="26" t="n"/>
      <c r="D141" s="27" t="n"/>
      <c r="E141" s="28" t="n"/>
      <c r="F141" s="29" t="n"/>
      <c r="G141" s="28" t="n"/>
      <c r="H141" s="1">
        <f>IF(OR(B141="",D141=""),"",B141+N(C141)+ROW()/100000000)</f>
        <v/>
      </c>
      <c r="I141">
        <f>IF(B141="","","Day "&amp;(B141-Setup!$C$6+1))</f>
        <v/>
      </c>
    </row>
    <row r="142">
      <c r="A142" s="1" t="n"/>
      <c r="B142" s="25" t="n"/>
      <c r="C142" s="26" t="n"/>
      <c r="D142" s="27" t="n"/>
      <c r="E142" s="28" t="n"/>
      <c r="F142" s="29" t="n"/>
      <c r="G142" s="28" t="n"/>
      <c r="H142" s="1">
        <f>IF(OR(B142="",D142=""),"",B142+N(C142)+ROW()/100000000)</f>
        <v/>
      </c>
      <c r="I142">
        <f>IF(B142="","","Day "&amp;(B142-Setup!$C$6+1))</f>
        <v/>
      </c>
    </row>
    <row r="143">
      <c r="A143" s="1" t="n"/>
      <c r="B143" s="25" t="n"/>
      <c r="C143" s="26" t="n"/>
      <c r="D143" s="27" t="n"/>
      <c r="E143" s="28" t="n"/>
      <c r="F143" s="29" t="n"/>
      <c r="G143" s="28" t="n"/>
      <c r="H143" s="1">
        <f>IF(OR(B143="",D143=""),"",B143+N(C143)+ROW()/100000000)</f>
        <v/>
      </c>
      <c r="I143">
        <f>IF(B143="","","Day "&amp;(B143-Setup!$C$6+1))</f>
        <v/>
      </c>
    </row>
    <row r="144">
      <c r="A144" s="1" t="n"/>
      <c r="B144" s="25" t="n"/>
      <c r="C144" s="26" t="n"/>
      <c r="D144" s="27" t="n"/>
      <c r="E144" s="28" t="n"/>
      <c r="F144" s="29" t="n"/>
      <c r="G144" s="28" t="n"/>
      <c r="H144" s="1">
        <f>IF(OR(B144="",D144=""),"",B144+N(C144)+ROW()/100000000)</f>
        <v/>
      </c>
      <c r="I144">
        <f>IF(B144="","","Day "&amp;(B144-Setup!$C$6+1))</f>
        <v/>
      </c>
    </row>
    <row r="145">
      <c r="A145" s="1" t="n"/>
      <c r="B145" s="25" t="n"/>
      <c r="C145" s="26" t="n"/>
      <c r="D145" s="27" t="n"/>
      <c r="E145" s="28" t="n"/>
      <c r="F145" s="29" t="n"/>
      <c r="G145" s="28" t="n"/>
      <c r="H145" s="1">
        <f>IF(OR(B145="",D145=""),"",B145+N(C145)+ROW()/100000000)</f>
        <v/>
      </c>
      <c r="I145">
        <f>IF(B145="","","Day "&amp;(B145-Setup!$C$6+1))</f>
        <v/>
      </c>
    </row>
    <row r="146">
      <c r="A146" s="1" t="n"/>
      <c r="B146" s="25" t="n"/>
      <c r="C146" s="26" t="n"/>
      <c r="D146" s="27" t="n"/>
      <c r="E146" s="28" t="n"/>
      <c r="F146" s="29" t="n"/>
      <c r="G146" s="28" t="n"/>
      <c r="H146" s="1">
        <f>IF(OR(B146="",D146=""),"",B146+N(C146)+ROW()/100000000)</f>
        <v/>
      </c>
      <c r="I146">
        <f>IF(B146="","","Day "&amp;(B146-Setup!$C$6+1))</f>
        <v/>
      </c>
    </row>
    <row r="147">
      <c r="A147" s="1" t="n"/>
      <c r="B147" s="25" t="n"/>
      <c r="C147" s="26" t="n"/>
      <c r="D147" s="27" t="n"/>
      <c r="E147" s="28" t="n"/>
      <c r="F147" s="29" t="n"/>
      <c r="G147" s="28" t="n"/>
      <c r="H147" s="1">
        <f>IF(OR(B147="",D147=""),"",B147+N(C147)+ROW()/100000000)</f>
        <v/>
      </c>
      <c r="I147">
        <f>IF(B147="","","Day "&amp;(B147-Setup!$C$6+1))</f>
        <v/>
      </c>
    </row>
    <row r="148">
      <c r="A148" s="1" t="n"/>
      <c r="B148" s="25" t="n"/>
      <c r="C148" s="26" t="n"/>
      <c r="D148" s="27" t="n"/>
      <c r="E148" s="28" t="n"/>
      <c r="F148" s="29" t="n"/>
      <c r="G148" s="28" t="n"/>
      <c r="H148" s="1">
        <f>IF(OR(B148="",D148=""),"",B148+N(C148)+ROW()/100000000)</f>
        <v/>
      </c>
      <c r="I148">
        <f>IF(B148="","","Day "&amp;(B148-Setup!$C$6+1))</f>
        <v/>
      </c>
    </row>
    <row r="149">
      <c r="A149" s="1" t="n"/>
      <c r="B149" s="25" t="n"/>
      <c r="C149" s="26" t="n"/>
      <c r="D149" s="27" t="n"/>
      <c r="E149" s="28" t="n"/>
      <c r="F149" s="29" t="n"/>
      <c r="G149" s="28" t="n"/>
      <c r="H149" s="1">
        <f>IF(OR(B149="",D149=""),"",B149+N(C149)+ROW()/100000000)</f>
        <v/>
      </c>
      <c r="I149">
        <f>IF(B149="","","Day "&amp;(B149-Setup!$C$6+1))</f>
        <v/>
      </c>
    </row>
    <row r="150">
      <c r="A150" s="1" t="n"/>
      <c r="B150" s="25" t="n"/>
      <c r="C150" s="26" t="n"/>
      <c r="D150" s="27" t="n"/>
      <c r="E150" s="28" t="n"/>
      <c r="F150" s="29" t="n"/>
      <c r="G150" s="28" t="n"/>
      <c r="H150" s="1">
        <f>IF(OR(B150="",D150=""),"",B150+N(C150)+ROW()/100000000)</f>
        <v/>
      </c>
      <c r="I150">
        <f>IF(B150="","","Day "&amp;(B150-Setup!$C$6+1))</f>
        <v/>
      </c>
    </row>
    <row r="151">
      <c r="A151" s="1" t="n"/>
      <c r="B151" s="25" t="n"/>
      <c r="C151" s="26" t="n"/>
      <c r="D151" s="27" t="n"/>
      <c r="E151" s="28" t="n"/>
      <c r="F151" s="29" t="n"/>
      <c r="G151" s="28" t="n"/>
      <c r="H151" s="1">
        <f>IF(OR(B151="",D151=""),"",B151+N(C151)+ROW()/100000000)</f>
        <v/>
      </c>
      <c r="I151">
        <f>IF(B151="","","Day "&amp;(B151-Setup!$C$6+1))</f>
        <v/>
      </c>
    </row>
    <row r="152">
      <c r="A152" s="1" t="n"/>
      <c r="B152" s="25" t="n"/>
      <c r="C152" s="26" t="n"/>
      <c r="D152" s="27" t="n"/>
      <c r="E152" s="28" t="n"/>
      <c r="F152" s="29" t="n"/>
      <c r="G152" s="28" t="n"/>
      <c r="H152" s="1">
        <f>IF(OR(B152="",D152=""),"",B152+N(C152)+ROW()/100000000)</f>
        <v/>
      </c>
      <c r="I152">
        <f>IF(B152="","","Day "&amp;(B152-Setup!$C$6+1))</f>
        <v/>
      </c>
    </row>
    <row r="153">
      <c r="A153" s="1" t="n"/>
      <c r="B153" s="25" t="n"/>
      <c r="C153" s="26" t="n"/>
      <c r="D153" s="27" t="n"/>
      <c r="E153" s="28" t="n"/>
      <c r="F153" s="29" t="n"/>
      <c r="G153" s="28" t="n"/>
      <c r="H153" s="1">
        <f>IF(OR(B153="",D153=""),"",B153+N(C153)+ROW()/100000000)</f>
        <v/>
      </c>
      <c r="I153">
        <f>IF(B153="","","Day "&amp;(B153-Setup!$C$6+1))</f>
        <v/>
      </c>
    </row>
    <row r="154">
      <c r="A154" s="1" t="n"/>
      <c r="B154" s="25" t="n"/>
      <c r="C154" s="26" t="n"/>
      <c r="D154" s="27" t="n"/>
      <c r="E154" s="28" t="n"/>
      <c r="F154" s="29" t="n"/>
      <c r="G154" s="28" t="n"/>
      <c r="H154" s="1">
        <f>IF(OR(B154="",D154=""),"",B154+N(C154)+ROW()/100000000)</f>
        <v/>
      </c>
      <c r="I154">
        <f>IF(B154="","","Day "&amp;(B154-Setup!$C$6+1))</f>
        <v/>
      </c>
    </row>
    <row r="155">
      <c r="A155" s="1" t="n"/>
      <c r="B155" s="25" t="n"/>
      <c r="C155" s="26" t="n"/>
      <c r="D155" s="27" t="n"/>
      <c r="E155" s="28" t="n"/>
      <c r="F155" s="29" t="n"/>
      <c r="G155" s="28" t="n"/>
      <c r="H155" s="1">
        <f>IF(OR(B155="",D155=""),"",B155+N(C155)+ROW()/100000000)</f>
        <v/>
      </c>
      <c r="I155">
        <f>IF(B155="","","Day "&amp;(B155-Setup!$C$6+1))</f>
        <v/>
      </c>
    </row>
    <row r="156">
      <c r="A156" s="1" t="n"/>
      <c r="B156" s="25" t="n"/>
      <c r="C156" s="26" t="n"/>
      <c r="D156" s="27" t="n"/>
      <c r="E156" s="28" t="n"/>
      <c r="F156" s="29" t="n"/>
      <c r="G156" s="28" t="n"/>
      <c r="H156" s="1">
        <f>IF(OR(B156="",D156=""),"",B156+N(C156)+ROW()/100000000)</f>
        <v/>
      </c>
      <c r="I156">
        <f>IF(B156="","","Day "&amp;(B156-Setup!$C$6+1))</f>
        <v/>
      </c>
    </row>
    <row r="157">
      <c r="A157" s="1" t="n"/>
      <c r="B157" s="25" t="n"/>
      <c r="C157" s="26" t="n"/>
      <c r="D157" s="27" t="n"/>
      <c r="E157" s="28" t="n"/>
      <c r="F157" s="29" t="n"/>
      <c r="G157" s="28" t="n"/>
      <c r="H157" s="1">
        <f>IF(OR(B157="",D157=""),"",B157+N(C157)+ROW()/100000000)</f>
        <v/>
      </c>
      <c r="I157">
        <f>IF(B157="","","Day "&amp;(B157-Setup!$C$6+1))</f>
        <v/>
      </c>
    </row>
    <row r="158">
      <c r="A158" s="1" t="n"/>
      <c r="B158" s="25" t="n"/>
      <c r="C158" s="26" t="n"/>
      <c r="D158" s="27" t="n"/>
      <c r="E158" s="28" t="n"/>
      <c r="F158" s="29" t="n"/>
      <c r="G158" s="28" t="n"/>
      <c r="H158" s="1">
        <f>IF(OR(B158="",D158=""),"",B158+N(C158)+ROW()/100000000)</f>
        <v/>
      </c>
      <c r="I158">
        <f>IF(B158="","","Day "&amp;(B158-Setup!$C$6+1))</f>
        <v/>
      </c>
    </row>
    <row r="159">
      <c r="A159" s="1" t="n"/>
      <c r="B159" s="25" t="n"/>
      <c r="C159" s="26" t="n"/>
      <c r="D159" s="27" t="n"/>
      <c r="E159" s="28" t="n"/>
      <c r="F159" s="29" t="n"/>
      <c r="G159" s="28" t="n"/>
      <c r="H159" s="1">
        <f>IF(OR(B159="",D159=""),"",B159+N(C159)+ROW()/100000000)</f>
        <v/>
      </c>
      <c r="I159">
        <f>IF(B159="","","Day "&amp;(B159-Setup!$C$6+1))</f>
        <v/>
      </c>
    </row>
    <row r="160">
      <c r="A160" s="1" t="n"/>
      <c r="B160" s="25" t="n"/>
      <c r="C160" s="26" t="n"/>
      <c r="D160" s="27" t="n"/>
      <c r="E160" s="28" t="n"/>
      <c r="F160" s="29" t="n"/>
      <c r="G160" s="28" t="n"/>
      <c r="H160" s="1">
        <f>IF(OR(B160="",D160=""),"",B160+N(C160)+ROW()/100000000)</f>
        <v/>
      </c>
      <c r="I160">
        <f>IF(B160="","","Day "&amp;(B160-Setup!$C$6+1))</f>
        <v/>
      </c>
    </row>
    <row r="161">
      <c r="A161" s="1" t="n"/>
      <c r="B161" s="25" t="n"/>
      <c r="C161" s="26" t="n"/>
      <c r="D161" s="27" t="n"/>
      <c r="E161" s="28" t="n"/>
      <c r="F161" s="29" t="n"/>
      <c r="G161" s="28" t="n"/>
      <c r="H161" s="1">
        <f>IF(OR(B161="",D161=""),"",B161+N(C161)+ROW()/100000000)</f>
        <v/>
      </c>
      <c r="I161">
        <f>IF(B161="","","Day "&amp;(B161-Setup!$C$6+1))</f>
        <v/>
      </c>
    </row>
    <row r="162">
      <c r="A162" s="1" t="n"/>
      <c r="B162" s="25" t="n"/>
      <c r="C162" s="26" t="n"/>
      <c r="D162" s="27" t="n"/>
      <c r="E162" s="28" t="n"/>
      <c r="F162" s="29" t="n"/>
      <c r="G162" s="28" t="n"/>
      <c r="H162" s="1">
        <f>IF(OR(B162="",D162=""),"",B162+N(C162)+ROW()/100000000)</f>
        <v/>
      </c>
      <c r="I162">
        <f>IF(B162="","","Day "&amp;(B162-Setup!$C$6+1))</f>
        <v/>
      </c>
    </row>
    <row r="163">
      <c r="A163" s="1" t="n"/>
      <c r="B163" s="25" t="n"/>
      <c r="C163" s="26" t="n"/>
      <c r="D163" s="27" t="n"/>
      <c r="E163" s="28" t="n"/>
      <c r="F163" s="29" t="n"/>
      <c r="G163" s="28" t="n"/>
      <c r="H163" s="1">
        <f>IF(OR(B163="",D163=""),"",B163+N(C163)+ROW()/100000000)</f>
        <v/>
      </c>
      <c r="I163">
        <f>IF(B163="","","Day "&amp;(B163-Setup!$C$6+1))</f>
        <v/>
      </c>
    </row>
    <row r="164">
      <c r="A164" s="1" t="n"/>
      <c r="B164" s="25" t="n"/>
      <c r="C164" s="26" t="n"/>
      <c r="D164" s="27" t="n"/>
      <c r="E164" s="28" t="n"/>
      <c r="F164" s="29" t="n"/>
      <c r="G164" s="28" t="n"/>
      <c r="H164" s="1">
        <f>IF(OR(B164="",D164=""),"",B164+N(C164)+ROW()/100000000)</f>
        <v/>
      </c>
      <c r="I164">
        <f>IF(B164="","","Day "&amp;(B164-Setup!$C$6+1))</f>
        <v/>
      </c>
    </row>
    <row r="165">
      <c r="A165" s="1" t="n"/>
      <c r="B165" s="25" t="n"/>
      <c r="C165" s="26" t="n"/>
      <c r="D165" s="27" t="n"/>
      <c r="E165" s="28" t="n"/>
      <c r="F165" s="29" t="n"/>
      <c r="G165" s="28" t="n"/>
      <c r="H165" s="1">
        <f>IF(OR(B165="",D165=""),"",B165+N(C165)+ROW()/100000000)</f>
        <v/>
      </c>
      <c r="I165">
        <f>IF(B165="","","Day "&amp;(B165-Setup!$C$6+1))</f>
        <v/>
      </c>
    </row>
    <row r="166">
      <c r="A166" s="1" t="n"/>
      <c r="B166" s="25" t="n"/>
      <c r="C166" s="26" t="n"/>
      <c r="D166" s="27" t="n"/>
      <c r="E166" s="28" t="n"/>
      <c r="F166" s="29" t="n"/>
      <c r="G166" s="28" t="n"/>
      <c r="H166" s="1">
        <f>IF(OR(B166="",D166=""),"",B166+N(C166)+ROW()/100000000)</f>
        <v/>
      </c>
      <c r="I166">
        <f>IF(B166="","","Day "&amp;(B166-Setup!$C$6+1))</f>
        <v/>
      </c>
    </row>
    <row r="167">
      <c r="A167" s="1" t="n"/>
      <c r="B167" s="25" t="n"/>
      <c r="C167" s="26" t="n"/>
      <c r="D167" s="27" t="n"/>
      <c r="E167" s="28" t="n"/>
      <c r="F167" s="29" t="n"/>
      <c r="G167" s="28" t="n"/>
      <c r="H167" s="1">
        <f>IF(OR(B167="",D167=""),"",B167+N(C167)+ROW()/100000000)</f>
        <v/>
      </c>
      <c r="I167">
        <f>IF(B167="","","Day "&amp;(B167-Setup!$C$6+1))</f>
        <v/>
      </c>
    </row>
    <row r="168">
      <c r="A168" s="1" t="n"/>
      <c r="B168" s="25" t="n"/>
      <c r="C168" s="26" t="n"/>
      <c r="D168" s="27" t="n"/>
      <c r="E168" s="28" t="n"/>
      <c r="F168" s="29" t="n"/>
      <c r="G168" s="28" t="n"/>
      <c r="H168" s="1">
        <f>IF(OR(B168="",D168=""),"",B168+N(C168)+ROW()/100000000)</f>
        <v/>
      </c>
      <c r="I168">
        <f>IF(B168="","","Day "&amp;(B168-Setup!$C$6+1))</f>
        <v/>
      </c>
    </row>
    <row r="169">
      <c r="A169" s="1" t="n"/>
      <c r="B169" s="25" t="n"/>
      <c r="C169" s="26" t="n"/>
      <c r="D169" s="27" t="n"/>
      <c r="E169" s="28" t="n"/>
      <c r="F169" s="29" t="n"/>
      <c r="G169" s="28" t="n"/>
      <c r="H169" s="1">
        <f>IF(OR(B169="",D169=""),"",B169+N(C169)+ROW()/100000000)</f>
        <v/>
      </c>
      <c r="I169">
        <f>IF(B169="","","Day "&amp;(B169-Setup!$C$6+1))</f>
        <v/>
      </c>
    </row>
    <row r="170">
      <c r="A170" s="1" t="n"/>
      <c r="B170" s="25" t="n"/>
      <c r="C170" s="26" t="n"/>
      <c r="D170" s="27" t="n"/>
      <c r="E170" s="28" t="n"/>
      <c r="F170" s="29" t="n"/>
      <c r="G170" s="28" t="n"/>
      <c r="H170" s="1">
        <f>IF(OR(B170="",D170=""),"",B170+N(C170)+ROW()/100000000)</f>
        <v/>
      </c>
      <c r="I170">
        <f>IF(B170="","","Day "&amp;(B170-Setup!$C$6+1))</f>
        <v/>
      </c>
    </row>
    <row r="171">
      <c r="A171" s="1" t="n"/>
      <c r="B171" s="25" t="n"/>
      <c r="C171" s="26" t="n"/>
      <c r="D171" s="27" t="n"/>
      <c r="E171" s="28" t="n"/>
      <c r="F171" s="29" t="n"/>
      <c r="G171" s="28" t="n"/>
      <c r="H171" s="1">
        <f>IF(OR(B171="",D171=""),"",B171+N(C171)+ROW()/100000000)</f>
        <v/>
      </c>
      <c r="I171">
        <f>IF(B171="","","Day "&amp;(B171-Setup!$C$6+1))</f>
        <v/>
      </c>
    </row>
    <row r="172">
      <c r="A172" s="1" t="n"/>
      <c r="B172" s="25" t="n"/>
      <c r="C172" s="26" t="n"/>
      <c r="D172" s="27" t="n"/>
      <c r="E172" s="28" t="n"/>
      <c r="F172" s="29" t="n"/>
      <c r="G172" s="28" t="n"/>
      <c r="H172" s="1">
        <f>IF(OR(B172="",D172=""),"",B172+N(C172)+ROW()/100000000)</f>
        <v/>
      </c>
      <c r="I172">
        <f>IF(B172="","","Day "&amp;(B172-Setup!$C$6+1))</f>
        <v/>
      </c>
    </row>
    <row r="173">
      <c r="A173" s="1" t="n"/>
      <c r="B173" s="25" t="n"/>
      <c r="C173" s="26" t="n"/>
      <c r="D173" s="27" t="n"/>
      <c r="E173" s="28" t="n"/>
      <c r="F173" s="29" t="n"/>
      <c r="G173" s="28" t="n"/>
      <c r="H173" s="1">
        <f>IF(OR(B173="",D173=""),"",B173+N(C173)+ROW()/100000000)</f>
        <v/>
      </c>
      <c r="I173">
        <f>IF(B173="","","Day "&amp;(B173-Setup!$C$6+1))</f>
        <v/>
      </c>
    </row>
    <row r="174">
      <c r="A174" s="1" t="n"/>
      <c r="B174" s="25" t="n"/>
      <c r="C174" s="26" t="n"/>
      <c r="D174" s="27" t="n"/>
      <c r="E174" s="28" t="n"/>
      <c r="F174" s="29" t="n"/>
      <c r="G174" s="28" t="n"/>
      <c r="H174" s="1">
        <f>IF(OR(B174="",D174=""),"",B174+N(C174)+ROW()/100000000)</f>
        <v/>
      </c>
      <c r="I174">
        <f>IF(B174="","","Day "&amp;(B174-Setup!$C$6+1))</f>
        <v/>
      </c>
    </row>
    <row r="175">
      <c r="A175" s="1" t="n"/>
      <c r="B175" s="25" t="n"/>
      <c r="C175" s="26" t="n"/>
      <c r="D175" s="27" t="n"/>
      <c r="E175" s="28" t="n"/>
      <c r="F175" s="29" t="n"/>
      <c r="G175" s="28" t="n"/>
      <c r="H175" s="1">
        <f>IF(OR(B175="",D175=""),"",B175+N(C175)+ROW()/100000000)</f>
        <v/>
      </c>
      <c r="I175">
        <f>IF(B175="","","Day "&amp;(B175-Setup!$C$6+1))</f>
        <v/>
      </c>
    </row>
    <row r="176">
      <c r="A176" s="1" t="n"/>
      <c r="B176" s="25" t="n"/>
      <c r="C176" s="26" t="n"/>
      <c r="D176" s="27" t="n"/>
      <c r="E176" s="28" t="n"/>
      <c r="F176" s="29" t="n"/>
      <c r="G176" s="28" t="n"/>
      <c r="H176" s="1">
        <f>IF(OR(B176="",D176=""),"",B176+N(C176)+ROW()/100000000)</f>
        <v/>
      </c>
      <c r="I176">
        <f>IF(B176="","","Day "&amp;(B176-Setup!$C$6+1))</f>
        <v/>
      </c>
    </row>
    <row r="177">
      <c r="A177" s="1" t="n"/>
      <c r="B177" s="25" t="n"/>
      <c r="C177" s="26" t="n"/>
      <c r="D177" s="27" t="n"/>
      <c r="E177" s="28" t="n"/>
      <c r="F177" s="29" t="n"/>
      <c r="G177" s="28" t="n"/>
      <c r="H177" s="1">
        <f>IF(OR(B177="",D177=""),"",B177+N(C177)+ROW()/100000000)</f>
        <v/>
      </c>
      <c r="I177">
        <f>IF(B177="","","Day "&amp;(B177-Setup!$C$6+1))</f>
        <v/>
      </c>
    </row>
    <row r="178">
      <c r="A178" s="1" t="n"/>
      <c r="B178" s="25" t="n"/>
      <c r="C178" s="26" t="n"/>
      <c r="D178" s="27" t="n"/>
      <c r="E178" s="28" t="n"/>
      <c r="F178" s="29" t="n"/>
      <c r="G178" s="28" t="n"/>
      <c r="H178" s="1">
        <f>IF(OR(B178="",D178=""),"",B178+N(C178)+ROW()/100000000)</f>
        <v/>
      </c>
      <c r="I178">
        <f>IF(B178="","","Day "&amp;(B178-Setup!$C$6+1))</f>
        <v/>
      </c>
    </row>
    <row r="179">
      <c r="A179" s="1" t="n"/>
      <c r="B179" s="25" t="n"/>
      <c r="C179" s="26" t="n"/>
      <c r="D179" s="27" t="n"/>
      <c r="E179" s="28" t="n"/>
      <c r="F179" s="29" t="n"/>
      <c r="G179" s="28" t="n"/>
      <c r="H179" s="1">
        <f>IF(OR(B179="",D179=""),"",B179+N(C179)+ROW()/100000000)</f>
        <v/>
      </c>
      <c r="I179">
        <f>IF(B179="","","Day "&amp;(B179-Setup!$C$6+1))</f>
        <v/>
      </c>
    </row>
    <row r="180">
      <c r="A180" s="1" t="n"/>
      <c r="B180" s="25" t="n"/>
      <c r="C180" s="26" t="n"/>
      <c r="D180" s="27" t="n"/>
      <c r="E180" s="28" t="n"/>
      <c r="F180" s="29" t="n"/>
      <c r="G180" s="28" t="n"/>
      <c r="H180" s="1">
        <f>IF(OR(B180="",D180=""),"",B180+N(C180)+ROW()/100000000)</f>
        <v/>
      </c>
      <c r="I180">
        <f>IF(B180="","","Day "&amp;(B180-Setup!$C$6+1))</f>
        <v/>
      </c>
    </row>
    <row r="181">
      <c r="A181" s="1" t="n"/>
      <c r="B181" s="25" t="n"/>
      <c r="C181" s="26" t="n"/>
      <c r="D181" s="27" t="n"/>
      <c r="E181" s="28" t="n"/>
      <c r="F181" s="29" t="n"/>
      <c r="G181" s="28" t="n"/>
      <c r="H181" s="1">
        <f>IF(OR(B181="",D181=""),"",B181+N(C181)+ROW()/100000000)</f>
        <v/>
      </c>
      <c r="I181">
        <f>IF(B181="","","Day "&amp;(B181-Setup!$C$6+1))</f>
        <v/>
      </c>
    </row>
    <row r="182">
      <c r="A182" s="1" t="n"/>
      <c r="B182" s="25" t="n"/>
      <c r="C182" s="26" t="n"/>
      <c r="D182" s="27" t="n"/>
      <c r="E182" s="28" t="n"/>
      <c r="F182" s="29" t="n"/>
      <c r="G182" s="28" t="n"/>
      <c r="H182" s="1">
        <f>IF(OR(B182="",D182=""),"",B182+N(C182)+ROW()/100000000)</f>
        <v/>
      </c>
      <c r="I182">
        <f>IF(B182="","","Day "&amp;(B182-Setup!$C$6+1))</f>
        <v/>
      </c>
    </row>
    <row r="183">
      <c r="A183" s="1" t="n"/>
      <c r="B183" s="25" t="n"/>
      <c r="C183" s="26" t="n"/>
      <c r="D183" s="27" t="n"/>
      <c r="E183" s="28" t="n"/>
      <c r="F183" s="29" t="n"/>
      <c r="G183" s="28" t="n"/>
      <c r="H183" s="1">
        <f>IF(OR(B183="",D183=""),"",B183+N(C183)+ROW()/100000000)</f>
        <v/>
      </c>
      <c r="I183">
        <f>IF(B183="","","Day "&amp;(B183-Setup!$C$6+1))</f>
        <v/>
      </c>
    </row>
    <row r="184">
      <c r="A184" s="1" t="n"/>
      <c r="B184" s="25" t="n"/>
      <c r="C184" s="26" t="n"/>
      <c r="D184" s="27" t="n"/>
      <c r="E184" s="28" t="n"/>
      <c r="F184" s="29" t="n"/>
      <c r="G184" s="28" t="n"/>
      <c r="H184" s="1">
        <f>IF(OR(B184="",D184=""),"",B184+N(C184)+ROW()/100000000)</f>
        <v/>
      </c>
      <c r="I184">
        <f>IF(B184="","","Day "&amp;(B184-Setup!$C$6+1))</f>
        <v/>
      </c>
    </row>
    <row r="185">
      <c r="A185" s="1" t="n"/>
      <c r="B185" s="25" t="n"/>
      <c r="C185" s="26" t="n"/>
      <c r="D185" s="27" t="n"/>
      <c r="E185" s="28" t="n"/>
      <c r="F185" s="29" t="n"/>
      <c r="G185" s="28" t="n"/>
      <c r="H185" s="1">
        <f>IF(OR(B185="",D185=""),"",B185+N(C185)+ROW()/100000000)</f>
        <v/>
      </c>
      <c r="I185">
        <f>IF(B185="","","Day "&amp;(B185-Setup!$C$6+1))</f>
        <v/>
      </c>
    </row>
    <row r="186">
      <c r="A186" s="1" t="n"/>
      <c r="B186" s="25" t="n"/>
      <c r="C186" s="26" t="n"/>
      <c r="D186" s="27" t="n"/>
      <c r="E186" s="28" t="n"/>
      <c r="F186" s="29" t="n"/>
      <c r="G186" s="28" t="n"/>
      <c r="H186" s="1">
        <f>IF(OR(B186="",D186=""),"",B186+N(C186)+ROW()/100000000)</f>
        <v/>
      </c>
      <c r="I186">
        <f>IF(B186="","","Day "&amp;(B186-Setup!$C$6+1))</f>
        <v/>
      </c>
    </row>
    <row r="187">
      <c r="A187" s="1" t="n"/>
      <c r="B187" s="25" t="n"/>
      <c r="C187" s="26" t="n"/>
      <c r="D187" s="27" t="n"/>
      <c r="E187" s="28" t="n"/>
      <c r="F187" s="29" t="n"/>
      <c r="G187" s="28" t="n"/>
      <c r="H187" s="1">
        <f>IF(OR(B187="",D187=""),"",B187+N(C187)+ROW()/100000000)</f>
        <v/>
      </c>
      <c r="I187">
        <f>IF(B187="","","Day "&amp;(B187-Setup!$C$6+1))</f>
        <v/>
      </c>
    </row>
    <row r="188">
      <c r="A188" s="1" t="n"/>
      <c r="B188" s="25" t="n"/>
      <c r="C188" s="26" t="n"/>
      <c r="D188" s="27" t="n"/>
      <c r="E188" s="28" t="n"/>
      <c r="F188" s="29" t="n"/>
      <c r="G188" s="28" t="n"/>
      <c r="H188" s="1">
        <f>IF(OR(B188="",D188=""),"",B188+N(C188)+ROW()/100000000)</f>
        <v/>
      </c>
      <c r="I188">
        <f>IF(B188="","","Day "&amp;(B188-Setup!$C$6+1))</f>
        <v/>
      </c>
    </row>
    <row r="189">
      <c r="A189" s="1" t="n"/>
      <c r="B189" s="25" t="n"/>
      <c r="C189" s="26" t="n"/>
      <c r="D189" s="27" t="n"/>
      <c r="E189" s="28" t="n"/>
      <c r="F189" s="29" t="n"/>
      <c r="G189" s="28" t="n"/>
      <c r="H189" s="1">
        <f>IF(OR(B189="",D189=""),"",B189+N(C189)+ROW()/100000000)</f>
        <v/>
      </c>
      <c r="I189">
        <f>IF(B189="","","Day "&amp;(B189-Setup!$C$6+1))</f>
        <v/>
      </c>
    </row>
    <row r="190">
      <c r="A190" s="1" t="n"/>
      <c r="B190" s="25" t="n"/>
      <c r="C190" s="26" t="n"/>
      <c r="D190" s="27" t="n"/>
      <c r="E190" s="28" t="n"/>
      <c r="F190" s="29" t="n"/>
      <c r="G190" s="28" t="n"/>
      <c r="H190" s="1">
        <f>IF(OR(B190="",D190=""),"",B190+N(C190)+ROW()/100000000)</f>
        <v/>
      </c>
      <c r="I190">
        <f>IF(B190="","","Day "&amp;(B190-Setup!$C$6+1))</f>
        <v/>
      </c>
    </row>
    <row r="191">
      <c r="A191" s="1" t="n"/>
      <c r="B191" s="25" t="n"/>
      <c r="C191" s="26" t="n"/>
      <c r="D191" s="27" t="n"/>
      <c r="E191" s="28" t="n"/>
      <c r="F191" s="29" t="n"/>
      <c r="G191" s="28" t="n"/>
      <c r="H191" s="1">
        <f>IF(OR(B191="",D191=""),"",B191+N(C191)+ROW()/100000000)</f>
        <v/>
      </c>
      <c r="I191">
        <f>IF(B191="","","Day "&amp;(B191-Setup!$C$6+1))</f>
        <v/>
      </c>
    </row>
    <row r="192">
      <c r="A192" s="1" t="n"/>
      <c r="B192" s="25" t="n"/>
      <c r="C192" s="26" t="n"/>
      <c r="D192" s="27" t="n"/>
      <c r="E192" s="28" t="n"/>
      <c r="F192" s="29" t="n"/>
      <c r="G192" s="28" t="n"/>
      <c r="H192" s="1">
        <f>IF(OR(B192="",D192=""),"",B192+N(C192)+ROW()/100000000)</f>
        <v/>
      </c>
      <c r="I192">
        <f>IF(B192="","","Day "&amp;(B192-Setup!$C$6+1))</f>
        <v/>
      </c>
    </row>
    <row r="193">
      <c r="A193" s="1" t="n"/>
      <c r="B193" s="25" t="n"/>
      <c r="C193" s="26" t="n"/>
      <c r="D193" s="27" t="n"/>
      <c r="E193" s="28" t="n"/>
      <c r="F193" s="29" t="n"/>
      <c r="G193" s="28" t="n"/>
      <c r="H193" s="1">
        <f>IF(OR(B193="",D193=""),"",B193+N(C193)+ROW()/100000000)</f>
        <v/>
      </c>
      <c r="I193">
        <f>IF(B193="","","Day "&amp;(B193-Setup!$C$6+1))</f>
        <v/>
      </c>
    </row>
    <row r="194">
      <c r="A194" s="1" t="n"/>
      <c r="B194" s="25" t="n"/>
      <c r="C194" s="26" t="n"/>
      <c r="D194" s="27" t="n"/>
      <c r="E194" s="28" t="n"/>
      <c r="F194" s="29" t="n"/>
      <c r="G194" s="28" t="n"/>
      <c r="H194" s="1">
        <f>IF(OR(B194="",D194=""),"",B194+N(C194)+ROW()/100000000)</f>
        <v/>
      </c>
      <c r="I194">
        <f>IF(B194="","","Day "&amp;(B194-Setup!$C$6+1))</f>
        <v/>
      </c>
    </row>
    <row r="195">
      <c r="A195" s="1" t="n"/>
      <c r="B195" s="25" t="n"/>
      <c r="C195" s="26" t="n"/>
      <c r="D195" s="27" t="n"/>
      <c r="E195" s="28" t="n"/>
      <c r="F195" s="29" t="n"/>
      <c r="G195" s="28" t="n"/>
      <c r="H195" s="1">
        <f>IF(OR(B195="",D195=""),"",B195+N(C195)+ROW()/100000000)</f>
        <v/>
      </c>
      <c r="I195">
        <f>IF(B195="","","Day "&amp;(B195-Setup!$C$6+1))</f>
        <v/>
      </c>
    </row>
    <row r="196">
      <c r="A196" s="1" t="n"/>
      <c r="B196" s="25" t="n"/>
      <c r="C196" s="26" t="n"/>
      <c r="D196" s="27" t="n"/>
      <c r="E196" s="28" t="n"/>
      <c r="F196" s="29" t="n"/>
      <c r="G196" s="28" t="n"/>
      <c r="H196" s="1">
        <f>IF(OR(B196="",D196=""),"",B196+N(C196)+ROW()/100000000)</f>
        <v/>
      </c>
      <c r="I196">
        <f>IF(B196="","","Day "&amp;(B196-Setup!$C$6+1))</f>
        <v/>
      </c>
    </row>
    <row r="197">
      <c r="A197" s="1" t="n"/>
      <c r="B197" s="25" t="n"/>
      <c r="C197" s="26" t="n"/>
      <c r="D197" s="27" t="n"/>
      <c r="E197" s="28" t="n"/>
      <c r="F197" s="29" t="n"/>
      <c r="G197" s="28" t="n"/>
      <c r="H197" s="1">
        <f>IF(OR(B197="",D197=""),"",B197+N(C197)+ROW()/100000000)</f>
        <v/>
      </c>
      <c r="I197">
        <f>IF(B197="","","Day "&amp;(B197-Setup!$C$6+1))</f>
        <v/>
      </c>
    </row>
    <row r="198">
      <c r="A198" s="1" t="n"/>
      <c r="B198" s="25" t="n"/>
      <c r="C198" s="26" t="n"/>
      <c r="D198" s="27" t="n"/>
      <c r="E198" s="28" t="n"/>
      <c r="F198" s="29" t="n"/>
      <c r="G198" s="28" t="n"/>
      <c r="H198" s="1">
        <f>IF(OR(B198="",D198=""),"",B198+N(C198)+ROW()/100000000)</f>
        <v/>
      </c>
      <c r="I198">
        <f>IF(B198="","","Day "&amp;(B198-Setup!$C$6+1))</f>
        <v/>
      </c>
    </row>
    <row r="199">
      <c r="A199" s="1" t="n"/>
      <c r="B199" s="25" t="n"/>
      <c r="C199" s="26" t="n"/>
      <c r="D199" s="27" t="n"/>
      <c r="E199" s="28" t="n"/>
      <c r="F199" s="29" t="n"/>
      <c r="G199" s="28" t="n"/>
      <c r="H199" s="1">
        <f>IF(OR(B199="",D199=""),"",B199+N(C199)+ROW()/100000000)</f>
        <v/>
      </c>
      <c r="I199">
        <f>IF(B199="","","Day "&amp;(B199-Setup!$C$6+1))</f>
        <v/>
      </c>
    </row>
    <row r="200">
      <c r="A200" s="1" t="n"/>
      <c r="B200" s="25" t="n"/>
      <c r="C200" s="26" t="n"/>
      <c r="D200" s="27" t="n"/>
      <c r="E200" s="28" t="n"/>
      <c r="F200" s="29" t="n"/>
      <c r="G200" s="28" t="n"/>
      <c r="H200" s="1">
        <f>IF(OR(B200="",D200=""),"",B200+N(C200)+ROW()/100000000)</f>
        <v/>
      </c>
      <c r="I200">
        <f>IF(B200="","","Day "&amp;(B200-Setup!$C$6+1))</f>
        <v/>
      </c>
    </row>
    <row r="201">
      <c r="A201" s="1" t="n"/>
      <c r="B201" s="25" t="n"/>
      <c r="C201" s="26" t="n"/>
      <c r="D201" s="27" t="n"/>
      <c r="E201" s="28" t="n"/>
      <c r="F201" s="29" t="n"/>
      <c r="G201" s="28" t="n"/>
      <c r="H201" s="1">
        <f>IF(OR(B201="",D201=""),"",B201+N(C201)+ROW()/100000000)</f>
        <v/>
      </c>
      <c r="I201">
        <f>IF(B201="","","Day "&amp;(B201-Setup!$C$6+1))</f>
        <v/>
      </c>
    </row>
    <row r="202">
      <c r="A202" s="1" t="n"/>
      <c r="B202" s="25" t="n"/>
      <c r="C202" s="26" t="n"/>
      <c r="D202" s="27" t="n"/>
      <c r="E202" s="28" t="n"/>
      <c r="F202" s="29" t="n"/>
      <c r="G202" s="28" t="n"/>
      <c r="H202" s="1">
        <f>IF(OR(B202="",D202=""),"",B202+N(C202)+ROW()/100000000)</f>
        <v/>
      </c>
      <c r="I202">
        <f>IF(B202="","","Day "&amp;(B202-Setup!$C$6+1))</f>
        <v/>
      </c>
    </row>
    <row r="203">
      <c r="A203" s="1" t="n"/>
      <c r="B203" s="25" t="n"/>
      <c r="C203" s="26" t="n"/>
      <c r="D203" s="27" t="n"/>
      <c r="E203" s="28" t="n"/>
      <c r="F203" s="29" t="n"/>
      <c r="G203" s="28" t="n"/>
      <c r="H203" s="1">
        <f>IF(OR(B203="",D203=""),"",B203+N(C203)+ROW()/100000000)</f>
        <v/>
      </c>
      <c r="I203">
        <f>IF(B203="","","Day "&amp;(B203-Setup!$C$6+1))</f>
        <v/>
      </c>
    </row>
    <row r="204">
      <c r="A204" s="1" t="n"/>
      <c r="B204" s="25" t="n"/>
      <c r="C204" s="26" t="n"/>
      <c r="D204" s="27" t="n"/>
      <c r="E204" s="28" t="n"/>
      <c r="F204" s="29" t="n"/>
      <c r="G204" s="28" t="n"/>
      <c r="H204" s="1">
        <f>IF(OR(B204="",D204=""),"",B204+N(C204)+ROW()/100000000)</f>
        <v/>
      </c>
      <c r="I204">
        <f>IF(B204="","","Day "&amp;(B204-Setup!$C$6+1))</f>
        <v/>
      </c>
    </row>
    <row r="205">
      <c r="A205" s="1" t="n"/>
      <c r="B205" s="25" t="n"/>
      <c r="C205" s="26" t="n"/>
      <c r="D205" s="27" t="n"/>
      <c r="E205" s="28" t="n"/>
      <c r="F205" s="29" t="n"/>
      <c r="G205" s="28" t="n"/>
      <c r="H205" s="1">
        <f>IF(OR(B205="",D205=""),"",B205+N(C205)+ROW()/100000000)</f>
        <v/>
      </c>
      <c r="I205">
        <f>IF(B205="","","Day "&amp;(B205-Setup!$C$6+1))</f>
        <v/>
      </c>
    </row>
    <row r="206">
      <c r="A206" s="1" t="n"/>
      <c r="B206" s="25" t="n"/>
      <c r="C206" s="26" t="n"/>
      <c r="D206" s="27" t="n"/>
      <c r="E206" s="28" t="n"/>
      <c r="F206" s="29" t="n"/>
      <c r="G206" s="28" t="n"/>
      <c r="H206" s="1">
        <f>IF(OR(B206="",D206=""),"",B206+N(C206)+ROW()/100000000)</f>
        <v/>
      </c>
      <c r="I206">
        <f>IF(B206="","","Day "&amp;(B206-Setup!$C$6+1))</f>
        <v/>
      </c>
    </row>
    <row r="207">
      <c r="A207" s="1" t="n"/>
      <c r="B207" s="25" t="n"/>
      <c r="C207" s="26" t="n"/>
      <c r="D207" s="27" t="n"/>
      <c r="E207" s="28" t="n"/>
      <c r="F207" s="29" t="n"/>
      <c r="G207" s="28" t="n"/>
      <c r="H207" s="1">
        <f>IF(OR(B207="",D207=""),"",B207+N(C207)+ROW()/100000000)</f>
        <v/>
      </c>
      <c r="I207">
        <f>IF(B207="","","Day "&amp;(B207-Setup!$C$6+1))</f>
        <v/>
      </c>
    </row>
    <row r="208">
      <c r="A208" s="1" t="n"/>
      <c r="B208" s="25" t="n"/>
      <c r="C208" s="26" t="n"/>
      <c r="D208" s="27" t="n"/>
      <c r="E208" s="28" t="n"/>
      <c r="F208" s="29" t="n"/>
      <c r="G208" s="28" t="n"/>
      <c r="H208" s="1">
        <f>IF(OR(B208="",D208=""),"",B208+N(C208)+ROW()/100000000)</f>
        <v/>
      </c>
      <c r="I208">
        <f>IF(B208="","","Day "&amp;(B208-Setup!$C$6+1))</f>
        <v/>
      </c>
    </row>
    <row r="209">
      <c r="A209" s="1" t="n"/>
      <c r="B209" s="25" t="n"/>
      <c r="C209" s="26" t="n"/>
      <c r="D209" s="27" t="n"/>
      <c r="E209" s="28" t="n"/>
      <c r="F209" s="29" t="n"/>
      <c r="G209" s="28" t="n"/>
      <c r="H209" s="1">
        <f>IF(OR(B209="",D209=""),"",B209+N(C209)+ROW()/100000000)</f>
        <v/>
      </c>
      <c r="I209">
        <f>IF(B209="","","Day "&amp;(B209-Setup!$C$6+1))</f>
        <v/>
      </c>
    </row>
    <row r="210">
      <c r="A210" s="1" t="n"/>
      <c r="B210" s="25" t="n"/>
      <c r="C210" s="26" t="n"/>
      <c r="D210" s="27" t="n"/>
      <c r="E210" s="28" t="n"/>
      <c r="F210" s="29" t="n"/>
      <c r="G210" s="28" t="n"/>
      <c r="H210" s="1">
        <f>IF(OR(B210="",D210=""),"",B210+N(C210)+ROW()/100000000)</f>
        <v/>
      </c>
      <c r="I210">
        <f>IF(B210="","","Day "&amp;(B210-Setup!$C$6+1))</f>
        <v/>
      </c>
    </row>
    <row r="211">
      <c r="A211" s="1" t="n"/>
      <c r="B211" s="25" t="n"/>
      <c r="C211" s="26" t="n"/>
      <c r="D211" s="27" t="n"/>
      <c r="E211" s="28" t="n"/>
      <c r="F211" s="29" t="n"/>
      <c r="G211" s="28" t="n"/>
      <c r="H211" s="1">
        <f>IF(OR(B211="",D211=""),"",B211+N(C211)+ROW()/100000000)</f>
        <v/>
      </c>
      <c r="I211">
        <f>IF(B211="","","Day "&amp;(B211-Setup!$C$6+1))</f>
        <v/>
      </c>
    </row>
    <row r="212">
      <c r="A212" s="1" t="n"/>
      <c r="B212" s="25" t="n"/>
      <c r="C212" s="26" t="n"/>
      <c r="D212" s="27" t="n"/>
      <c r="E212" s="28" t="n"/>
      <c r="F212" s="29" t="n"/>
      <c r="G212" s="28" t="n"/>
      <c r="H212" s="1">
        <f>IF(OR(B212="",D212=""),"",B212+N(C212)+ROW()/100000000)</f>
        <v/>
      </c>
      <c r="I212">
        <f>IF(B212="","","Day "&amp;(B212-Setup!$C$6+1))</f>
        <v/>
      </c>
    </row>
    <row r="213">
      <c r="A213" s="1" t="n"/>
      <c r="B213" s="25" t="n"/>
      <c r="C213" s="26" t="n"/>
      <c r="D213" s="27" t="n"/>
      <c r="E213" s="28" t="n"/>
      <c r="F213" s="29" t="n"/>
      <c r="G213" s="28" t="n"/>
      <c r="H213" s="1">
        <f>IF(OR(B213="",D213=""),"",B213+N(C213)+ROW()/100000000)</f>
        <v/>
      </c>
      <c r="I213">
        <f>IF(B213="","","Day "&amp;(B213-Setup!$C$6+1))</f>
        <v/>
      </c>
    </row>
    <row r="214">
      <c r="A214" s="1" t="n"/>
      <c r="B214" s="25" t="n"/>
      <c r="C214" s="26" t="n"/>
      <c r="D214" s="27" t="n"/>
      <c r="E214" s="28" t="n"/>
      <c r="F214" s="29" t="n"/>
      <c r="G214" s="28" t="n"/>
      <c r="H214" s="1">
        <f>IF(OR(B214="",D214=""),"",B214+N(C214)+ROW()/100000000)</f>
        <v/>
      </c>
      <c r="I214">
        <f>IF(B214="","","Day "&amp;(B214-Setup!$C$6+1))</f>
        <v/>
      </c>
    </row>
    <row r="215">
      <c r="A215" s="1" t="n"/>
      <c r="B215" s="25" t="n"/>
      <c r="C215" s="26" t="n"/>
      <c r="D215" s="27" t="n"/>
      <c r="E215" s="28" t="n"/>
      <c r="F215" s="29" t="n"/>
      <c r="G215" s="28" t="n"/>
      <c r="H215" s="1">
        <f>IF(OR(B215="",D215=""),"",B215+N(C215)+ROW()/100000000)</f>
        <v/>
      </c>
      <c r="I215">
        <f>IF(B215="","","Day "&amp;(B215-Setup!$C$6+1))</f>
        <v/>
      </c>
    </row>
    <row r="216">
      <c r="A216" s="1" t="n"/>
      <c r="B216" s="25" t="n"/>
      <c r="C216" s="26" t="n"/>
      <c r="D216" s="27" t="n"/>
      <c r="E216" s="28" t="n"/>
      <c r="F216" s="29" t="n"/>
      <c r="G216" s="28" t="n"/>
      <c r="H216" s="1">
        <f>IF(OR(B216="",D216=""),"",B216+N(C216)+ROW()/100000000)</f>
        <v/>
      </c>
      <c r="I216">
        <f>IF(B216="","","Day "&amp;(B216-Setup!$C$6+1))</f>
        <v/>
      </c>
    </row>
    <row r="217">
      <c r="A217" s="1" t="n"/>
      <c r="B217" s="25" t="n"/>
      <c r="C217" s="26" t="n"/>
      <c r="D217" s="27" t="n"/>
      <c r="E217" s="28" t="n"/>
      <c r="F217" s="29" t="n"/>
      <c r="G217" s="28" t="n"/>
      <c r="H217" s="1">
        <f>IF(OR(B217="",D217=""),"",B217+N(C217)+ROW()/100000000)</f>
        <v/>
      </c>
      <c r="I217">
        <f>IF(B217="","","Day "&amp;(B217-Setup!$C$6+1))</f>
        <v/>
      </c>
    </row>
    <row r="218">
      <c r="A218" s="1" t="n"/>
      <c r="B218" s="25" t="n"/>
      <c r="C218" s="26" t="n"/>
      <c r="D218" s="27" t="n"/>
      <c r="E218" s="28" t="n"/>
      <c r="F218" s="29" t="n"/>
      <c r="G218" s="28" t="n"/>
      <c r="H218" s="1">
        <f>IF(OR(B218="",D218=""),"",B218+N(C218)+ROW()/100000000)</f>
        <v/>
      </c>
      <c r="I218">
        <f>IF(B218="","","Day "&amp;(B218-Setup!$C$6+1))</f>
        <v/>
      </c>
    </row>
    <row r="219">
      <c r="A219" s="1" t="n"/>
      <c r="B219" s="25" t="n"/>
      <c r="C219" s="26" t="n"/>
      <c r="D219" s="27" t="n"/>
      <c r="E219" s="28" t="n"/>
      <c r="F219" s="29" t="n"/>
      <c r="G219" s="28" t="n"/>
      <c r="H219" s="1">
        <f>IF(OR(B219="",D219=""),"",B219+N(C219)+ROW()/100000000)</f>
        <v/>
      </c>
      <c r="I219">
        <f>IF(B219="","","Day "&amp;(B219-Setup!$C$6+1))</f>
        <v/>
      </c>
    </row>
    <row r="220">
      <c r="A220" s="1" t="n"/>
      <c r="B220" s="25" t="n"/>
      <c r="C220" s="26" t="n"/>
      <c r="D220" s="27" t="n"/>
      <c r="E220" s="28" t="n"/>
      <c r="F220" s="29" t="n"/>
      <c r="G220" s="28" t="n"/>
      <c r="H220" s="1">
        <f>IF(OR(B220="",D220=""),"",B220+N(C220)+ROW()/100000000)</f>
        <v/>
      </c>
      <c r="I220">
        <f>IF(B220="","","Day "&amp;(B220-Setup!$C$6+1))</f>
        <v/>
      </c>
    </row>
    <row r="221">
      <c r="A221" s="1" t="n"/>
      <c r="B221" s="25" t="n"/>
      <c r="C221" s="26" t="n"/>
      <c r="D221" s="27" t="n"/>
      <c r="E221" s="28" t="n"/>
      <c r="F221" s="29" t="n"/>
      <c r="G221" s="28" t="n"/>
      <c r="H221" s="1">
        <f>IF(OR(B221="",D221=""),"",B221+N(C221)+ROW()/100000000)</f>
        <v/>
      </c>
      <c r="I221">
        <f>IF(B221="","","Day "&amp;(B221-Setup!$C$6+1))</f>
        <v/>
      </c>
    </row>
    <row r="222">
      <c r="A222" s="1" t="n"/>
      <c r="B222" s="25" t="n"/>
      <c r="C222" s="26" t="n"/>
      <c r="D222" s="27" t="n"/>
      <c r="E222" s="28" t="n"/>
      <c r="F222" s="29" t="n"/>
      <c r="G222" s="28" t="n"/>
      <c r="H222" s="1">
        <f>IF(OR(B222="",D222=""),"",B222+N(C222)+ROW()/100000000)</f>
        <v/>
      </c>
      <c r="I222">
        <f>IF(B222="","","Day "&amp;(B222-Setup!$C$6+1))</f>
        <v/>
      </c>
    </row>
    <row r="223">
      <c r="A223" s="1" t="n"/>
      <c r="B223" s="25" t="n"/>
      <c r="C223" s="26" t="n"/>
      <c r="D223" s="27" t="n"/>
      <c r="E223" s="28" t="n"/>
      <c r="F223" s="29" t="n"/>
      <c r="G223" s="28" t="n"/>
      <c r="H223" s="1">
        <f>IF(OR(B223="",D223=""),"",B223+N(C223)+ROW()/100000000)</f>
        <v/>
      </c>
      <c r="I223">
        <f>IF(B223="","","Day "&amp;(B223-Setup!$C$6+1))</f>
        <v/>
      </c>
    </row>
    <row r="224">
      <c r="A224" s="1" t="n"/>
      <c r="B224" s="25" t="n"/>
      <c r="C224" s="26" t="n"/>
      <c r="D224" s="27" t="n"/>
      <c r="E224" s="28" t="n"/>
      <c r="F224" s="29" t="n"/>
      <c r="G224" s="28" t="n"/>
      <c r="H224" s="1">
        <f>IF(OR(B224="",D224=""),"",B224+N(C224)+ROW()/100000000)</f>
        <v/>
      </c>
      <c r="I224">
        <f>IF(B224="","","Day "&amp;(B224-Setup!$C$6+1))</f>
        <v/>
      </c>
    </row>
    <row r="225">
      <c r="A225" s="1" t="n"/>
      <c r="B225" s="25" t="n"/>
      <c r="C225" s="26" t="n"/>
      <c r="D225" s="27" t="n"/>
      <c r="E225" s="28" t="n"/>
      <c r="F225" s="29" t="n"/>
      <c r="G225" s="28" t="n"/>
      <c r="H225" s="1">
        <f>IF(OR(B225="",D225=""),"",B225+N(C225)+ROW()/100000000)</f>
        <v/>
      </c>
      <c r="I225">
        <f>IF(B225="","","Day "&amp;(B225-Setup!$C$6+1))</f>
        <v/>
      </c>
    </row>
    <row r="226">
      <c r="A226" s="1" t="n"/>
      <c r="B226" s="25" t="n"/>
      <c r="C226" s="26" t="n"/>
      <c r="D226" s="27" t="n"/>
      <c r="E226" s="28" t="n"/>
      <c r="F226" s="29" t="n"/>
      <c r="G226" s="28" t="n"/>
      <c r="H226" s="1">
        <f>IF(OR(B226="",D226=""),"",B226+N(C226)+ROW()/100000000)</f>
        <v/>
      </c>
      <c r="I226">
        <f>IF(B226="","","Day "&amp;(B226-Setup!$C$6+1))</f>
        <v/>
      </c>
    </row>
    <row r="227">
      <c r="A227" s="1" t="n"/>
      <c r="B227" s="25" t="n"/>
      <c r="C227" s="26" t="n"/>
      <c r="D227" s="27" t="n"/>
      <c r="E227" s="28" t="n"/>
      <c r="F227" s="29" t="n"/>
      <c r="G227" s="28" t="n"/>
      <c r="H227" s="1">
        <f>IF(OR(B227="",D227=""),"",B227+N(C227)+ROW()/100000000)</f>
        <v/>
      </c>
      <c r="I227">
        <f>IF(B227="","","Day "&amp;(B227-Setup!$C$6+1))</f>
        <v/>
      </c>
    </row>
    <row r="228">
      <c r="A228" s="1" t="n"/>
      <c r="B228" s="25" t="n"/>
      <c r="C228" s="26" t="n"/>
      <c r="D228" s="27" t="n"/>
      <c r="E228" s="28" t="n"/>
      <c r="F228" s="29" t="n"/>
      <c r="G228" s="28" t="n"/>
      <c r="H228" s="1">
        <f>IF(OR(B228="",D228=""),"",B228+N(C228)+ROW()/100000000)</f>
        <v/>
      </c>
      <c r="I228">
        <f>IF(B228="","","Day "&amp;(B228-Setup!$C$6+1))</f>
        <v/>
      </c>
    </row>
    <row r="229">
      <c r="A229" s="1" t="n"/>
      <c r="B229" s="25" t="n"/>
      <c r="C229" s="26" t="n"/>
      <c r="D229" s="27" t="n"/>
      <c r="E229" s="28" t="n"/>
      <c r="F229" s="29" t="n"/>
      <c r="G229" s="28" t="n"/>
      <c r="H229" s="1">
        <f>IF(OR(B229="",D229=""),"",B229+N(C229)+ROW()/100000000)</f>
        <v/>
      </c>
      <c r="I229">
        <f>IF(B229="","","Day "&amp;(B229-Setup!$C$6+1))</f>
        <v/>
      </c>
    </row>
    <row r="230">
      <c r="A230" s="1" t="n"/>
      <c r="B230" s="25" t="n"/>
      <c r="C230" s="26" t="n"/>
      <c r="D230" s="27" t="n"/>
      <c r="E230" s="28" t="n"/>
      <c r="F230" s="29" t="n"/>
      <c r="G230" s="28" t="n"/>
      <c r="H230" s="1">
        <f>IF(OR(B230="",D230=""),"",B230+N(C230)+ROW()/100000000)</f>
        <v/>
      </c>
      <c r="I230">
        <f>IF(B230="","","Day "&amp;(B230-Setup!$C$6+1))</f>
        <v/>
      </c>
    </row>
    <row r="231">
      <c r="A231" s="1" t="n"/>
      <c r="B231" s="25" t="n"/>
      <c r="C231" s="26" t="n"/>
      <c r="D231" s="27" t="n"/>
      <c r="E231" s="28" t="n"/>
      <c r="F231" s="29" t="n"/>
      <c r="G231" s="28" t="n"/>
      <c r="H231" s="1">
        <f>IF(OR(B231="",D231=""),"",B231+N(C231)+ROW()/100000000)</f>
        <v/>
      </c>
      <c r="I231">
        <f>IF(B231="","","Day "&amp;(B231-Setup!$C$6+1))</f>
        <v/>
      </c>
    </row>
    <row r="232">
      <c r="A232" s="1" t="n"/>
      <c r="B232" s="25" t="n"/>
      <c r="C232" s="26" t="n"/>
      <c r="D232" s="27" t="n"/>
      <c r="E232" s="28" t="n"/>
      <c r="F232" s="29" t="n"/>
      <c r="G232" s="28" t="n"/>
      <c r="H232" s="1">
        <f>IF(OR(B232="",D232=""),"",B232+N(C232)+ROW()/100000000)</f>
        <v/>
      </c>
      <c r="I232">
        <f>IF(B232="","","Day "&amp;(B232-Setup!$C$6+1))</f>
        <v/>
      </c>
    </row>
    <row r="233">
      <c r="A233" s="1" t="n"/>
      <c r="B233" s="25" t="n"/>
      <c r="C233" s="26" t="n"/>
      <c r="D233" s="27" t="n"/>
      <c r="E233" s="28" t="n"/>
      <c r="F233" s="29" t="n"/>
      <c r="G233" s="28" t="n"/>
      <c r="H233" s="1">
        <f>IF(OR(B233="",D233=""),"",B233+N(C233)+ROW()/100000000)</f>
        <v/>
      </c>
      <c r="I233">
        <f>IF(B233="","","Day "&amp;(B233-Setup!$C$6+1))</f>
        <v/>
      </c>
    </row>
    <row r="234">
      <c r="A234" s="1" t="n"/>
      <c r="B234" s="25" t="n"/>
      <c r="C234" s="26" t="n"/>
      <c r="D234" s="27" t="n"/>
      <c r="E234" s="28" t="n"/>
      <c r="F234" s="29" t="n"/>
      <c r="G234" s="28" t="n"/>
      <c r="H234" s="1">
        <f>IF(OR(B234="",D234=""),"",B234+N(C234)+ROW()/100000000)</f>
        <v/>
      </c>
      <c r="I234">
        <f>IF(B234="","","Day "&amp;(B234-Setup!$C$6+1))</f>
        <v/>
      </c>
    </row>
    <row r="235">
      <c r="A235" s="1" t="n"/>
      <c r="B235" s="25" t="n"/>
      <c r="C235" s="26" t="n"/>
      <c r="D235" s="27" t="n"/>
      <c r="E235" s="28" t="n"/>
      <c r="F235" s="29" t="n"/>
      <c r="G235" s="28" t="n"/>
      <c r="H235" s="1">
        <f>IF(OR(B235="",D235=""),"",B235+N(C235)+ROW()/100000000)</f>
        <v/>
      </c>
      <c r="I235">
        <f>IF(B235="","","Day "&amp;(B235-Setup!$C$6+1))</f>
        <v/>
      </c>
    </row>
    <row r="236">
      <c r="A236" s="1" t="n"/>
      <c r="B236" s="25" t="n"/>
      <c r="C236" s="26" t="n"/>
      <c r="D236" s="27" t="n"/>
      <c r="E236" s="28" t="n"/>
      <c r="F236" s="29" t="n"/>
      <c r="G236" s="28" t="n"/>
      <c r="H236" s="1">
        <f>IF(OR(B236="",D236=""),"",B236+N(C236)+ROW()/100000000)</f>
        <v/>
      </c>
      <c r="I236">
        <f>IF(B236="","","Day "&amp;(B236-Setup!$C$6+1))</f>
        <v/>
      </c>
    </row>
    <row r="237">
      <c r="A237" s="1" t="n"/>
      <c r="B237" s="25" t="n"/>
      <c r="C237" s="26" t="n"/>
      <c r="D237" s="27" t="n"/>
      <c r="E237" s="28" t="n"/>
      <c r="F237" s="29" t="n"/>
      <c r="G237" s="28" t="n"/>
      <c r="H237" s="1">
        <f>IF(OR(B237="",D237=""),"",B237+N(C237)+ROW()/100000000)</f>
        <v/>
      </c>
      <c r="I237">
        <f>IF(B237="","","Day "&amp;(B237-Setup!$C$6+1))</f>
        <v/>
      </c>
    </row>
    <row r="238">
      <c r="A238" s="1" t="n"/>
      <c r="B238" s="25" t="n"/>
      <c r="C238" s="26" t="n"/>
      <c r="D238" s="27" t="n"/>
      <c r="E238" s="28" t="n"/>
      <c r="F238" s="29" t="n"/>
      <c r="G238" s="28" t="n"/>
      <c r="H238" s="1">
        <f>IF(OR(B238="",D238=""),"",B238+N(C238)+ROW()/100000000)</f>
        <v/>
      </c>
      <c r="I238">
        <f>IF(B238="","","Day "&amp;(B238-Setup!$C$6+1))</f>
        <v/>
      </c>
    </row>
    <row r="239">
      <c r="A239" s="1" t="n"/>
      <c r="B239" s="25" t="n"/>
      <c r="C239" s="26" t="n"/>
      <c r="D239" s="27" t="n"/>
      <c r="E239" s="28" t="n"/>
      <c r="F239" s="29" t="n"/>
      <c r="G239" s="28" t="n"/>
      <c r="H239" s="1">
        <f>IF(OR(B239="",D239=""),"",B239+N(C239)+ROW()/100000000)</f>
        <v/>
      </c>
      <c r="I239">
        <f>IF(B239="","","Day "&amp;(B239-Setup!$C$6+1))</f>
        <v/>
      </c>
    </row>
    <row r="240">
      <c r="A240" s="1" t="n"/>
      <c r="B240" s="25" t="n"/>
      <c r="C240" s="26" t="n"/>
      <c r="D240" s="27" t="n"/>
      <c r="E240" s="28" t="n"/>
      <c r="F240" s="29" t="n"/>
      <c r="G240" s="28" t="n"/>
      <c r="H240" s="1">
        <f>IF(OR(B240="",D240=""),"",B240+N(C240)+ROW()/100000000)</f>
        <v/>
      </c>
      <c r="I240">
        <f>IF(B240="","","Day "&amp;(B240-Setup!$C$6+1))</f>
        <v/>
      </c>
    </row>
    <row r="241">
      <c r="A241" s="1" t="n"/>
      <c r="B241" s="25" t="n"/>
      <c r="C241" s="26" t="n"/>
      <c r="D241" s="27" t="n"/>
      <c r="E241" s="28" t="n"/>
      <c r="F241" s="29" t="n"/>
      <c r="G241" s="28" t="n"/>
      <c r="H241" s="1">
        <f>IF(OR(B241="",D241=""),"",B241+N(C241)+ROW()/100000000)</f>
        <v/>
      </c>
      <c r="I241">
        <f>IF(B241="","","Day "&amp;(B241-Setup!$C$6+1))</f>
        <v/>
      </c>
    </row>
    <row r="242">
      <c r="A242" s="1" t="n"/>
      <c r="B242" s="25" t="n"/>
      <c r="C242" s="26" t="n"/>
      <c r="D242" s="27" t="n"/>
      <c r="E242" s="28" t="n"/>
      <c r="F242" s="29" t="n"/>
      <c r="G242" s="28" t="n"/>
      <c r="H242" s="1">
        <f>IF(OR(B242="",D242=""),"",B242+N(C242)+ROW()/100000000)</f>
        <v/>
      </c>
      <c r="I242">
        <f>IF(B242="","","Day "&amp;(B242-Setup!$C$6+1))</f>
        <v/>
      </c>
    </row>
    <row r="243">
      <c r="A243" s="1" t="n"/>
      <c r="B243" s="25" t="n"/>
      <c r="C243" s="26" t="n"/>
      <c r="D243" s="27" t="n"/>
      <c r="E243" s="28" t="n"/>
      <c r="F243" s="29" t="n"/>
      <c r="G243" s="28" t="n"/>
      <c r="H243" s="1">
        <f>IF(OR(B243="",D243=""),"",B243+N(C243)+ROW()/100000000)</f>
        <v/>
      </c>
      <c r="I243">
        <f>IF(B243="","","Day "&amp;(B243-Setup!$C$6+1))</f>
        <v/>
      </c>
    </row>
    <row r="244">
      <c r="A244" s="1" t="n"/>
      <c r="B244" s="25" t="n"/>
      <c r="C244" s="26" t="n"/>
      <c r="D244" s="27" t="n"/>
      <c r="E244" s="28" t="n"/>
      <c r="F244" s="29" t="n"/>
      <c r="G244" s="28" t="n"/>
      <c r="H244" s="1">
        <f>IF(OR(B244="",D244=""),"",B244+N(C244)+ROW()/100000000)</f>
        <v/>
      </c>
      <c r="I244">
        <f>IF(B244="","","Day "&amp;(B244-Setup!$C$6+1))</f>
        <v/>
      </c>
    </row>
    <row r="245">
      <c r="A245" s="1" t="n"/>
      <c r="B245" s="25" t="n"/>
      <c r="C245" s="26" t="n"/>
      <c r="D245" s="27" t="n"/>
      <c r="E245" s="28" t="n"/>
      <c r="F245" s="29" t="n"/>
      <c r="G245" s="28" t="n"/>
      <c r="H245" s="1">
        <f>IF(OR(B245="",D245=""),"",B245+N(C245)+ROW()/100000000)</f>
        <v/>
      </c>
      <c r="I245">
        <f>IF(B245="","","Day "&amp;(B245-Setup!$C$6+1))</f>
        <v/>
      </c>
    </row>
    <row r="246">
      <c r="A246" s="1" t="n"/>
      <c r="B246" s="25" t="n"/>
      <c r="C246" s="26" t="n"/>
      <c r="D246" s="27" t="n"/>
      <c r="E246" s="28" t="n"/>
      <c r="F246" s="29" t="n"/>
      <c r="G246" s="28" t="n"/>
      <c r="H246" s="1">
        <f>IF(OR(B246="",D246=""),"",B246+N(C246)+ROW()/100000000)</f>
        <v/>
      </c>
      <c r="I246">
        <f>IF(B246="","","Day "&amp;(B246-Setup!$C$6+1))</f>
        <v/>
      </c>
    </row>
    <row r="247">
      <c r="A247" s="1" t="n"/>
      <c r="B247" s="25" t="n"/>
      <c r="C247" s="26" t="n"/>
      <c r="D247" s="27" t="n"/>
      <c r="E247" s="28" t="n"/>
      <c r="F247" s="29" t="n"/>
      <c r="G247" s="28" t="n"/>
      <c r="H247" s="1">
        <f>IF(OR(B247="",D247=""),"",B247+N(C247)+ROW()/100000000)</f>
        <v/>
      </c>
      <c r="I247">
        <f>IF(B247="","","Day "&amp;(B247-Setup!$C$6+1))</f>
        <v/>
      </c>
    </row>
    <row r="248">
      <c r="A248" s="1" t="n"/>
      <c r="B248" s="25" t="n"/>
      <c r="C248" s="26" t="n"/>
      <c r="D248" s="27" t="n"/>
      <c r="E248" s="28" t="n"/>
      <c r="F248" s="29" t="n"/>
      <c r="G248" s="28" t="n"/>
      <c r="H248" s="1">
        <f>IF(OR(B248="",D248=""),"",B248+N(C248)+ROW()/100000000)</f>
        <v/>
      </c>
      <c r="I248">
        <f>IF(B248="","","Day "&amp;(B248-Setup!$C$6+1))</f>
        <v/>
      </c>
    </row>
    <row r="249">
      <c r="A249" s="1" t="n"/>
      <c r="B249" s="25" t="n"/>
      <c r="C249" s="26" t="n"/>
      <c r="D249" s="27" t="n"/>
      <c r="E249" s="28" t="n"/>
      <c r="F249" s="29" t="n"/>
      <c r="G249" s="28" t="n"/>
      <c r="H249" s="1">
        <f>IF(OR(B249="",D249=""),"",B249+N(C249)+ROW()/100000000)</f>
        <v/>
      </c>
      <c r="I249">
        <f>IF(B249="","","Day "&amp;(B249-Setup!$C$6+1))</f>
        <v/>
      </c>
    </row>
    <row r="250">
      <c r="A250" s="1" t="n"/>
      <c r="B250" s="25" t="n"/>
      <c r="C250" s="26" t="n"/>
      <c r="D250" s="27" t="n"/>
      <c r="E250" s="28" t="n"/>
      <c r="F250" s="29" t="n"/>
      <c r="G250" s="28" t="n"/>
      <c r="H250" s="1">
        <f>IF(OR(B250="",D250=""),"",B250+N(C250)+ROW()/100000000)</f>
        <v/>
      </c>
      <c r="I250">
        <f>IF(B250="","","Day "&amp;(B250-Setup!$C$6+1))</f>
        <v/>
      </c>
    </row>
    <row r="251">
      <c r="A251" s="1" t="n"/>
      <c r="B251" s="25" t="n"/>
      <c r="C251" s="26" t="n"/>
      <c r="D251" s="27" t="n"/>
      <c r="E251" s="28" t="n"/>
      <c r="F251" s="29" t="n"/>
      <c r="G251" s="28" t="n"/>
      <c r="H251" s="1">
        <f>IF(OR(B251="",D251=""),"",B251+N(C251)+ROW()/100000000)</f>
        <v/>
      </c>
      <c r="I251">
        <f>IF(B251="","","Day "&amp;(B251-Setup!$C$6+1))</f>
        <v/>
      </c>
    </row>
    <row r="252">
      <c r="A252" s="1" t="n"/>
      <c r="B252" s="25" t="n"/>
      <c r="C252" s="26" t="n"/>
      <c r="D252" s="27" t="n"/>
      <c r="E252" s="28" t="n"/>
      <c r="F252" s="29" t="n"/>
      <c r="G252" s="28" t="n"/>
      <c r="H252" s="1">
        <f>IF(OR(B252="",D252=""),"",B252+N(C252)+ROW()/100000000)</f>
        <v/>
      </c>
      <c r="I252">
        <f>IF(B252="","","Day "&amp;(B252-Setup!$C$6+1))</f>
        <v/>
      </c>
    </row>
    <row r="253">
      <c r="A253" s="1" t="n"/>
      <c r="B253" s="25" t="n"/>
      <c r="C253" s="26" t="n"/>
      <c r="D253" s="27" t="n"/>
      <c r="E253" s="28" t="n"/>
      <c r="F253" s="29" t="n"/>
      <c r="G253" s="28" t="n"/>
      <c r="H253" s="1">
        <f>IF(OR(B253="",D253=""),"",B253+N(C253)+ROW()/100000000)</f>
        <v/>
      </c>
      <c r="I253">
        <f>IF(B253="","","Day "&amp;(B253-Setup!$C$6+1))</f>
        <v/>
      </c>
    </row>
    <row r="254">
      <c r="A254" s="1" t="n"/>
      <c r="B254" s="25" t="n"/>
      <c r="C254" s="26" t="n"/>
      <c r="D254" s="27" t="n"/>
      <c r="E254" s="28" t="n"/>
      <c r="F254" s="29" t="n"/>
      <c r="G254" s="28" t="n"/>
      <c r="H254" s="1">
        <f>IF(OR(B254="",D254=""),"",B254+N(C254)+ROW()/100000000)</f>
        <v/>
      </c>
      <c r="I254">
        <f>IF(B254="","","Day "&amp;(B254-Setup!$C$6+1))</f>
        <v/>
      </c>
    </row>
    <row r="255">
      <c r="A255" s="1" t="n"/>
      <c r="B255" s="25" t="n"/>
      <c r="C255" s="26" t="n"/>
      <c r="D255" s="27" t="n"/>
      <c r="E255" s="28" t="n"/>
      <c r="F255" s="29" t="n"/>
      <c r="G255" s="28" t="n"/>
      <c r="H255" s="1">
        <f>IF(OR(B255="",D255=""),"",B255+N(C255)+ROW()/100000000)</f>
        <v/>
      </c>
      <c r="I255">
        <f>IF(B255="","","Day "&amp;(B255-Setup!$C$6+1))</f>
        <v/>
      </c>
    </row>
    <row r="256">
      <c r="A256" s="1" t="n"/>
      <c r="B256" s="25" t="n"/>
      <c r="C256" s="26" t="n"/>
      <c r="D256" s="27" t="n"/>
      <c r="E256" s="28" t="n"/>
      <c r="F256" s="29" t="n"/>
      <c r="G256" s="28" t="n"/>
      <c r="H256" s="1">
        <f>IF(OR(B256="",D256=""),"",B256+N(C256)+ROW()/100000000)</f>
        <v/>
      </c>
      <c r="I256">
        <f>IF(B256="","","Day "&amp;(B256-Setup!$C$6+1))</f>
        <v/>
      </c>
    </row>
    <row r="257">
      <c r="A257" s="1" t="n"/>
      <c r="B257" s="25" t="n"/>
      <c r="C257" s="26" t="n"/>
      <c r="D257" s="27" t="n"/>
      <c r="E257" s="28" t="n"/>
      <c r="F257" s="29" t="n"/>
      <c r="G257" s="28" t="n"/>
      <c r="H257" s="1">
        <f>IF(OR(B257="",D257=""),"",B257+N(C257)+ROW()/100000000)</f>
        <v/>
      </c>
      <c r="I257">
        <f>IF(B257="","","Day "&amp;(B257-Setup!$C$6+1))</f>
        <v/>
      </c>
    </row>
    <row r="258">
      <c r="A258" s="1" t="n"/>
      <c r="B258" s="25" t="n"/>
      <c r="C258" s="26" t="n"/>
      <c r="D258" s="27" t="n"/>
      <c r="E258" s="28" t="n"/>
      <c r="F258" s="29" t="n"/>
      <c r="G258" s="28" t="n"/>
      <c r="H258" s="1">
        <f>IF(OR(B258="",D258=""),"",B258+N(C258)+ROW()/100000000)</f>
        <v/>
      </c>
      <c r="I258">
        <f>IF(B258="","","Day "&amp;(B258-Setup!$C$6+1))</f>
        <v/>
      </c>
    </row>
    <row r="259">
      <c r="A259" s="1" t="n"/>
      <c r="B259" s="25" t="n"/>
      <c r="C259" s="26" t="n"/>
      <c r="D259" s="27" t="n"/>
      <c r="E259" s="28" t="n"/>
      <c r="F259" s="29" t="n"/>
      <c r="G259" s="28" t="n"/>
      <c r="H259" s="1">
        <f>IF(OR(B259="",D259=""),"",B259+N(C259)+ROW()/100000000)</f>
        <v/>
      </c>
      <c r="I259">
        <f>IF(B259="","","Day "&amp;(B259-Setup!$C$6+1))</f>
        <v/>
      </c>
    </row>
    <row r="260">
      <c r="A260" s="1" t="n"/>
      <c r="B260" s="25" t="n"/>
      <c r="C260" s="26" t="n"/>
      <c r="D260" s="27" t="n"/>
      <c r="E260" s="28" t="n"/>
      <c r="F260" s="29" t="n"/>
      <c r="G260" s="28" t="n"/>
      <c r="H260" s="1">
        <f>IF(OR(B260="",D260=""),"",B260+N(C260)+ROW()/100000000)</f>
        <v/>
      </c>
      <c r="I260">
        <f>IF(B260="","","Day "&amp;(B260-Setup!$C$6+1))</f>
        <v/>
      </c>
    </row>
    <row r="261">
      <c r="A261" s="1" t="n"/>
      <c r="B261" s="25" t="n"/>
      <c r="C261" s="26" t="n"/>
      <c r="D261" s="27" t="n"/>
      <c r="E261" s="28" t="n"/>
      <c r="F261" s="29" t="n"/>
      <c r="G261" s="28" t="n"/>
      <c r="H261" s="1">
        <f>IF(OR(B261="",D261=""),"",B261+N(C261)+ROW()/100000000)</f>
        <v/>
      </c>
      <c r="I261">
        <f>IF(B261="","","Day "&amp;(B261-Setup!$C$6+1))</f>
        <v/>
      </c>
    </row>
    <row r="262">
      <c r="A262" s="1" t="n"/>
      <c r="B262" s="25" t="n"/>
      <c r="C262" s="26" t="n"/>
      <c r="D262" s="27" t="n"/>
      <c r="E262" s="28" t="n"/>
      <c r="F262" s="29" t="n"/>
      <c r="G262" s="28" t="n"/>
      <c r="H262" s="1">
        <f>IF(OR(B262="",D262=""),"",B262+N(C262)+ROW()/100000000)</f>
        <v/>
      </c>
      <c r="I262">
        <f>IF(B262="","","Day "&amp;(B262-Setup!$C$6+1))</f>
        <v/>
      </c>
    </row>
    <row r="263">
      <c r="A263" s="1" t="n"/>
      <c r="B263" s="25" t="n"/>
      <c r="C263" s="26" t="n"/>
      <c r="D263" s="27" t="n"/>
      <c r="E263" s="28" t="n"/>
      <c r="F263" s="29" t="n"/>
      <c r="G263" s="28" t="n"/>
      <c r="H263" s="1">
        <f>IF(OR(B263="",D263=""),"",B263+N(C263)+ROW()/100000000)</f>
        <v/>
      </c>
      <c r="I263">
        <f>IF(B263="","","Day "&amp;(B263-Setup!$C$6+1))</f>
        <v/>
      </c>
    </row>
    <row r="264">
      <c r="A264" s="1" t="n"/>
      <c r="B264" s="25" t="n"/>
      <c r="C264" s="26" t="n"/>
      <c r="D264" s="27" t="n"/>
      <c r="E264" s="28" t="n"/>
      <c r="F264" s="29" t="n"/>
      <c r="G264" s="28" t="n"/>
      <c r="H264" s="1">
        <f>IF(OR(B264="",D264=""),"",B264+N(C264)+ROW()/100000000)</f>
        <v/>
      </c>
      <c r="I264">
        <f>IF(B264="","","Day "&amp;(B264-Setup!$C$6+1))</f>
        <v/>
      </c>
    </row>
    <row r="265">
      <c r="A265" s="1" t="n"/>
      <c r="B265" s="25" t="n"/>
      <c r="C265" s="26" t="n"/>
      <c r="D265" s="27" t="n"/>
      <c r="E265" s="28" t="n"/>
      <c r="F265" s="29" t="n"/>
      <c r="G265" s="28" t="n"/>
      <c r="H265" s="1">
        <f>IF(OR(B265="",D265=""),"",B265+N(C265)+ROW()/100000000)</f>
        <v/>
      </c>
      <c r="I265">
        <f>IF(B265="","","Day "&amp;(B265-Setup!$C$6+1))</f>
        <v/>
      </c>
    </row>
    <row r="266">
      <c r="A266" s="1" t="n"/>
      <c r="B266" s="25" t="n"/>
      <c r="C266" s="26" t="n"/>
      <c r="D266" s="27" t="n"/>
      <c r="E266" s="28" t="n"/>
      <c r="F266" s="29" t="n"/>
      <c r="G266" s="28" t="n"/>
      <c r="H266" s="1">
        <f>IF(OR(B266="",D266=""),"",B266+N(C266)+ROW()/100000000)</f>
        <v/>
      </c>
      <c r="I266">
        <f>IF(B266="","","Day "&amp;(B266-Setup!$C$6+1))</f>
        <v/>
      </c>
    </row>
    <row r="267">
      <c r="A267" s="1" t="n"/>
      <c r="B267" s="25" t="n"/>
      <c r="C267" s="26" t="n"/>
      <c r="D267" s="27" t="n"/>
      <c r="E267" s="28" t="n"/>
      <c r="F267" s="29" t="n"/>
      <c r="G267" s="28" t="n"/>
      <c r="H267" s="1">
        <f>IF(OR(B267="",D267=""),"",B267+N(C267)+ROW()/100000000)</f>
        <v/>
      </c>
      <c r="I267">
        <f>IF(B267="","","Day "&amp;(B267-Setup!$C$6+1))</f>
        <v/>
      </c>
    </row>
    <row r="268">
      <c r="A268" s="1" t="n"/>
      <c r="B268" s="25" t="n"/>
      <c r="C268" s="26" t="n"/>
      <c r="D268" s="27" t="n"/>
      <c r="E268" s="28" t="n"/>
      <c r="F268" s="29" t="n"/>
      <c r="G268" s="28" t="n"/>
      <c r="H268" s="1">
        <f>IF(OR(B268="",D268=""),"",B268+N(C268)+ROW()/100000000)</f>
        <v/>
      </c>
      <c r="I268">
        <f>IF(B268="","","Day "&amp;(B268-Setup!$C$6+1))</f>
        <v/>
      </c>
    </row>
    <row r="269">
      <c r="A269" s="1" t="n"/>
      <c r="B269" s="25" t="n"/>
      <c r="C269" s="26" t="n"/>
      <c r="D269" s="27" t="n"/>
      <c r="E269" s="28" t="n"/>
      <c r="F269" s="29" t="n"/>
      <c r="G269" s="28" t="n"/>
      <c r="H269" s="1">
        <f>IF(OR(B269="",D269=""),"",B269+N(C269)+ROW()/100000000)</f>
        <v/>
      </c>
      <c r="I269">
        <f>IF(B269="","","Day "&amp;(B269-Setup!$C$6+1))</f>
        <v/>
      </c>
    </row>
    <row r="270">
      <c r="A270" s="1" t="n"/>
      <c r="B270" s="25" t="n"/>
      <c r="C270" s="26" t="n"/>
      <c r="D270" s="27" t="n"/>
      <c r="E270" s="28" t="n"/>
      <c r="F270" s="29" t="n"/>
      <c r="G270" s="28" t="n"/>
      <c r="H270" s="1">
        <f>IF(OR(B270="",D270=""),"",B270+N(C270)+ROW()/100000000)</f>
        <v/>
      </c>
      <c r="I270">
        <f>IF(B270="","","Day "&amp;(B270-Setup!$C$6+1))</f>
        <v/>
      </c>
    </row>
    <row r="271">
      <c r="A271" s="1" t="n"/>
      <c r="B271" s="25" t="n"/>
      <c r="C271" s="26" t="n"/>
      <c r="D271" s="27" t="n"/>
      <c r="E271" s="28" t="n"/>
      <c r="F271" s="29" t="n"/>
      <c r="G271" s="28" t="n"/>
      <c r="H271" s="1">
        <f>IF(OR(B271="",D271=""),"",B271+N(C271)+ROW()/100000000)</f>
        <v/>
      </c>
      <c r="I271">
        <f>IF(B271="","","Day "&amp;(B271-Setup!$C$6+1))</f>
        <v/>
      </c>
    </row>
    <row r="272">
      <c r="A272" s="1" t="n"/>
      <c r="B272" s="25" t="n"/>
      <c r="C272" s="26" t="n"/>
      <c r="D272" s="27" t="n"/>
      <c r="E272" s="28" t="n"/>
      <c r="F272" s="29" t="n"/>
      <c r="G272" s="28" t="n"/>
      <c r="H272" s="1">
        <f>IF(OR(B272="",D272=""),"",B272+N(C272)+ROW()/100000000)</f>
        <v/>
      </c>
      <c r="I272">
        <f>IF(B272="","","Day "&amp;(B272-Setup!$C$6+1))</f>
        <v/>
      </c>
    </row>
    <row r="273">
      <c r="A273" s="1" t="n"/>
      <c r="B273" s="25" t="n"/>
      <c r="C273" s="26" t="n"/>
      <c r="D273" s="27" t="n"/>
      <c r="E273" s="28" t="n"/>
      <c r="F273" s="29" t="n"/>
      <c r="G273" s="28" t="n"/>
      <c r="H273" s="1">
        <f>IF(OR(B273="",D273=""),"",B273+N(C273)+ROW()/100000000)</f>
        <v/>
      </c>
      <c r="I273">
        <f>IF(B273="","","Day "&amp;(B273-Setup!$C$6+1))</f>
        <v/>
      </c>
    </row>
    <row r="274">
      <c r="A274" s="1" t="n"/>
      <c r="B274" s="25" t="n"/>
      <c r="C274" s="26" t="n"/>
      <c r="D274" s="27" t="n"/>
      <c r="E274" s="28" t="n"/>
      <c r="F274" s="29" t="n"/>
      <c r="G274" s="28" t="n"/>
      <c r="H274" s="1">
        <f>IF(OR(B274="",D274=""),"",B274+N(C274)+ROW()/100000000)</f>
        <v/>
      </c>
      <c r="I274">
        <f>IF(B274="","","Day "&amp;(B274-Setup!$C$6+1))</f>
        <v/>
      </c>
    </row>
    <row r="275">
      <c r="A275" s="1" t="n"/>
      <c r="B275" s="25" t="n"/>
      <c r="C275" s="26" t="n"/>
      <c r="D275" s="27" t="n"/>
      <c r="E275" s="28" t="n"/>
      <c r="F275" s="29" t="n"/>
      <c r="G275" s="28" t="n"/>
      <c r="H275" s="1">
        <f>IF(OR(B275="",D275=""),"",B275+N(C275)+ROW()/100000000)</f>
        <v/>
      </c>
      <c r="I275">
        <f>IF(B275="","","Day "&amp;(B275-Setup!$C$6+1))</f>
        <v/>
      </c>
    </row>
    <row r="276">
      <c r="A276" s="1" t="n"/>
      <c r="B276" s="25" t="n"/>
      <c r="C276" s="26" t="n"/>
      <c r="D276" s="27" t="n"/>
      <c r="E276" s="28" t="n"/>
      <c r="F276" s="29" t="n"/>
      <c r="G276" s="28" t="n"/>
      <c r="H276" s="1">
        <f>IF(OR(B276="",D276=""),"",B276+N(C276)+ROW()/100000000)</f>
        <v/>
      </c>
      <c r="I276">
        <f>IF(B276="","","Day "&amp;(B276-Setup!$C$6+1))</f>
        <v/>
      </c>
    </row>
    <row r="277">
      <c r="A277" s="1" t="n"/>
      <c r="B277" s="25" t="n"/>
      <c r="C277" s="26" t="n"/>
      <c r="D277" s="27" t="n"/>
      <c r="E277" s="28" t="n"/>
      <c r="F277" s="29" t="n"/>
      <c r="G277" s="28" t="n"/>
      <c r="H277" s="1">
        <f>IF(OR(B277="",D277=""),"",B277+N(C277)+ROW()/100000000)</f>
        <v/>
      </c>
      <c r="I277">
        <f>IF(B277="","","Day "&amp;(B277-Setup!$C$6+1))</f>
        <v/>
      </c>
    </row>
    <row r="278">
      <c r="A278" s="1" t="n"/>
      <c r="B278" s="25" t="n"/>
      <c r="C278" s="26" t="n"/>
      <c r="D278" s="27" t="n"/>
      <c r="E278" s="28" t="n"/>
      <c r="F278" s="29" t="n"/>
      <c r="G278" s="28" t="n"/>
      <c r="H278" s="1">
        <f>IF(OR(B278="",D278=""),"",B278+N(C278)+ROW()/100000000)</f>
        <v/>
      </c>
      <c r="I278">
        <f>IF(B278="","","Day "&amp;(B278-Setup!$C$6+1))</f>
        <v/>
      </c>
    </row>
    <row r="279">
      <c r="A279" s="1" t="n"/>
      <c r="B279" s="25" t="n"/>
      <c r="C279" s="26" t="n"/>
      <c r="D279" s="27" t="n"/>
      <c r="E279" s="28" t="n"/>
      <c r="F279" s="29" t="n"/>
      <c r="G279" s="28" t="n"/>
      <c r="H279" s="1">
        <f>IF(OR(B279="",D279=""),"",B279+N(C279)+ROW()/100000000)</f>
        <v/>
      </c>
      <c r="I279">
        <f>IF(B279="","","Day "&amp;(B279-Setup!$C$6+1))</f>
        <v/>
      </c>
    </row>
    <row r="280">
      <c r="A280" s="1" t="n"/>
      <c r="B280" s="25" t="n"/>
      <c r="C280" s="26" t="n"/>
      <c r="D280" s="27" t="n"/>
      <c r="E280" s="28" t="n"/>
      <c r="F280" s="29" t="n"/>
      <c r="G280" s="28" t="n"/>
      <c r="H280" s="1">
        <f>IF(OR(B280="",D280=""),"",B280+N(C280)+ROW()/100000000)</f>
        <v/>
      </c>
      <c r="I280">
        <f>IF(B280="","","Day "&amp;(B280-Setup!$C$6+1))</f>
        <v/>
      </c>
    </row>
    <row r="281">
      <c r="A281" s="1" t="n"/>
      <c r="B281" s="25" t="n"/>
      <c r="C281" s="26" t="n"/>
      <c r="D281" s="27" t="n"/>
      <c r="E281" s="28" t="n"/>
      <c r="F281" s="29" t="n"/>
      <c r="G281" s="28" t="n"/>
      <c r="H281" s="1">
        <f>IF(OR(B281="",D281=""),"",B281+N(C281)+ROW()/100000000)</f>
        <v/>
      </c>
      <c r="I281">
        <f>IF(B281="","","Day "&amp;(B281-Setup!$C$6+1))</f>
        <v/>
      </c>
    </row>
    <row r="282">
      <c r="A282" s="1" t="n"/>
      <c r="B282" s="25" t="n"/>
      <c r="C282" s="26" t="n"/>
      <c r="D282" s="27" t="n"/>
      <c r="E282" s="28" t="n"/>
      <c r="F282" s="29" t="n"/>
      <c r="G282" s="28" t="n"/>
      <c r="H282" s="1">
        <f>IF(OR(B282="",D282=""),"",B282+N(C282)+ROW()/100000000)</f>
        <v/>
      </c>
      <c r="I282">
        <f>IF(B282="","","Day "&amp;(B282-Setup!$C$6+1))</f>
        <v/>
      </c>
    </row>
    <row r="283">
      <c r="A283" s="1" t="n"/>
      <c r="B283" s="25" t="n"/>
      <c r="C283" s="26" t="n"/>
      <c r="D283" s="27" t="n"/>
      <c r="E283" s="28" t="n"/>
      <c r="F283" s="29" t="n"/>
      <c r="G283" s="28" t="n"/>
      <c r="H283" s="1">
        <f>IF(OR(B283="",D283=""),"",B283+N(C283)+ROW()/100000000)</f>
        <v/>
      </c>
      <c r="I283">
        <f>IF(B283="","","Day "&amp;(B283-Setup!$C$6+1))</f>
        <v/>
      </c>
    </row>
    <row r="284">
      <c r="A284" s="1" t="n"/>
      <c r="B284" s="25" t="n"/>
      <c r="C284" s="26" t="n"/>
      <c r="D284" s="27" t="n"/>
      <c r="E284" s="28" t="n"/>
      <c r="F284" s="29" t="n"/>
      <c r="G284" s="28" t="n"/>
      <c r="H284" s="1">
        <f>IF(OR(B284="",D284=""),"",B284+N(C284)+ROW()/100000000)</f>
        <v/>
      </c>
      <c r="I284">
        <f>IF(B284="","","Day "&amp;(B284-Setup!$C$6+1))</f>
        <v/>
      </c>
    </row>
    <row r="285">
      <c r="A285" s="1" t="n"/>
      <c r="B285" s="25" t="n"/>
      <c r="C285" s="26" t="n"/>
      <c r="D285" s="27" t="n"/>
      <c r="E285" s="28" t="n"/>
      <c r="F285" s="29" t="n"/>
      <c r="G285" s="28" t="n"/>
      <c r="H285" s="1">
        <f>IF(OR(B285="",D285=""),"",B285+N(C285)+ROW()/100000000)</f>
        <v/>
      </c>
      <c r="I285">
        <f>IF(B285="","","Day "&amp;(B285-Setup!$C$6+1))</f>
        <v/>
      </c>
    </row>
    <row r="286">
      <c r="A286" s="1" t="n"/>
      <c r="B286" s="25" t="n"/>
      <c r="C286" s="26" t="n"/>
      <c r="D286" s="27" t="n"/>
      <c r="E286" s="28" t="n"/>
      <c r="F286" s="29" t="n"/>
      <c r="G286" s="28" t="n"/>
      <c r="H286" s="1">
        <f>IF(OR(B286="",D286=""),"",B286+N(C286)+ROW()/100000000)</f>
        <v/>
      </c>
      <c r="I286">
        <f>IF(B286="","","Day "&amp;(B286-Setup!$C$6+1))</f>
        <v/>
      </c>
    </row>
    <row r="287">
      <c r="A287" s="1" t="n"/>
      <c r="B287" s="25" t="n"/>
      <c r="C287" s="26" t="n"/>
      <c r="D287" s="27" t="n"/>
      <c r="E287" s="28" t="n"/>
      <c r="F287" s="29" t="n"/>
      <c r="G287" s="28" t="n"/>
      <c r="H287" s="1">
        <f>IF(OR(B287="",D287=""),"",B287+N(C287)+ROW()/100000000)</f>
        <v/>
      </c>
      <c r="I287">
        <f>IF(B287="","","Day "&amp;(B287-Setup!$C$6+1))</f>
        <v/>
      </c>
    </row>
    <row r="288">
      <c r="A288" s="1" t="n"/>
      <c r="B288" s="25" t="n"/>
      <c r="C288" s="26" t="n"/>
      <c r="D288" s="27" t="n"/>
      <c r="E288" s="28" t="n"/>
      <c r="F288" s="29" t="n"/>
      <c r="G288" s="28" t="n"/>
      <c r="H288" s="1">
        <f>IF(OR(B288="",D288=""),"",B288+N(C288)+ROW()/100000000)</f>
        <v/>
      </c>
      <c r="I288">
        <f>IF(B288="","","Day "&amp;(B288-Setup!$C$6+1))</f>
        <v/>
      </c>
    </row>
    <row r="289">
      <c r="A289" s="1" t="n"/>
      <c r="B289" s="25" t="n"/>
      <c r="C289" s="26" t="n"/>
      <c r="D289" s="27" t="n"/>
      <c r="E289" s="28" t="n"/>
      <c r="F289" s="29" t="n"/>
      <c r="G289" s="28" t="n"/>
      <c r="H289" s="1">
        <f>IF(OR(B289="",D289=""),"",B289+N(C289)+ROW()/100000000)</f>
        <v/>
      </c>
      <c r="I289">
        <f>IF(B289="","","Day "&amp;(B289-Setup!$C$6+1))</f>
        <v/>
      </c>
    </row>
    <row r="290">
      <c r="A290" s="1" t="n"/>
      <c r="B290" s="25" t="n"/>
      <c r="C290" s="26" t="n"/>
      <c r="D290" s="27" t="n"/>
      <c r="E290" s="28" t="n"/>
      <c r="F290" s="29" t="n"/>
      <c r="G290" s="28" t="n"/>
      <c r="H290" s="1">
        <f>IF(OR(B290="",D290=""),"",B290+N(C290)+ROW()/100000000)</f>
        <v/>
      </c>
      <c r="I290">
        <f>IF(B290="","","Day "&amp;(B290-Setup!$C$6+1))</f>
        <v/>
      </c>
    </row>
    <row r="291">
      <c r="A291" s="1" t="n"/>
      <c r="B291" s="25" t="n"/>
      <c r="C291" s="26" t="n"/>
      <c r="D291" s="27" t="n"/>
      <c r="E291" s="28" t="n"/>
      <c r="F291" s="29" t="n"/>
      <c r="G291" s="28" t="n"/>
      <c r="H291" s="1">
        <f>IF(OR(B291="",D291=""),"",B291+N(C291)+ROW()/100000000)</f>
        <v/>
      </c>
      <c r="I291">
        <f>IF(B291="","","Day "&amp;(B291-Setup!$C$6+1))</f>
        <v/>
      </c>
    </row>
    <row r="292">
      <c r="A292" s="1" t="n"/>
      <c r="B292" s="25" t="n"/>
      <c r="C292" s="26" t="n"/>
      <c r="D292" s="27" t="n"/>
      <c r="E292" s="28" t="n"/>
      <c r="F292" s="29" t="n"/>
      <c r="G292" s="28" t="n"/>
      <c r="H292" s="1">
        <f>IF(OR(B292="",D292=""),"",B292+N(C292)+ROW()/100000000)</f>
        <v/>
      </c>
      <c r="I292">
        <f>IF(B292="","","Day "&amp;(B292-Setup!$C$6+1))</f>
        <v/>
      </c>
    </row>
    <row r="293">
      <c r="A293" s="1" t="n"/>
      <c r="B293" s="25" t="n"/>
      <c r="C293" s="26" t="n"/>
      <c r="D293" s="27" t="n"/>
      <c r="E293" s="28" t="n"/>
      <c r="F293" s="29" t="n"/>
      <c r="G293" s="28" t="n"/>
      <c r="H293" s="1">
        <f>IF(OR(B293="",D293=""),"",B293+N(C293)+ROW()/100000000)</f>
        <v/>
      </c>
      <c r="I293">
        <f>IF(B293="","","Day "&amp;(B293-Setup!$C$6+1))</f>
        <v/>
      </c>
    </row>
    <row r="294">
      <c r="A294" s="1" t="n"/>
      <c r="B294" s="25" t="n"/>
      <c r="C294" s="26" t="n"/>
      <c r="D294" s="27" t="n"/>
      <c r="E294" s="28" t="n"/>
      <c r="F294" s="29" t="n"/>
      <c r="G294" s="28" t="n"/>
      <c r="H294" s="1">
        <f>IF(OR(B294="",D294=""),"",B294+N(C294)+ROW()/100000000)</f>
        <v/>
      </c>
      <c r="I294">
        <f>IF(B294="","","Day "&amp;(B294-Setup!$C$6+1))</f>
        <v/>
      </c>
    </row>
    <row r="295">
      <c r="A295" s="1" t="n"/>
      <c r="B295" s="25" t="n"/>
      <c r="C295" s="26" t="n"/>
      <c r="D295" s="27" t="n"/>
      <c r="E295" s="28" t="n"/>
      <c r="F295" s="29" t="n"/>
      <c r="G295" s="28" t="n"/>
      <c r="H295" s="1">
        <f>IF(OR(B295="",D295=""),"",B295+N(C295)+ROW()/100000000)</f>
        <v/>
      </c>
      <c r="I295">
        <f>IF(B295="","","Day "&amp;(B295-Setup!$C$6+1))</f>
        <v/>
      </c>
    </row>
    <row r="296">
      <c r="A296" s="1" t="n"/>
      <c r="B296" s="25" t="n"/>
      <c r="C296" s="26" t="n"/>
      <c r="D296" s="27" t="n"/>
      <c r="E296" s="28" t="n"/>
      <c r="F296" s="29" t="n"/>
      <c r="G296" s="28" t="n"/>
      <c r="H296" s="1">
        <f>IF(OR(B296="",D296=""),"",B296+N(C296)+ROW()/100000000)</f>
        <v/>
      </c>
      <c r="I296">
        <f>IF(B296="","","Day "&amp;(B296-Setup!$C$6+1))</f>
        <v/>
      </c>
    </row>
    <row r="297">
      <c r="A297" s="1" t="n"/>
      <c r="B297" s="25" t="n"/>
      <c r="C297" s="26" t="n"/>
      <c r="D297" s="27" t="n"/>
      <c r="E297" s="28" t="n"/>
      <c r="F297" s="29" t="n"/>
      <c r="G297" s="28" t="n"/>
      <c r="H297" s="1">
        <f>IF(OR(B297="",D297=""),"",B297+N(C297)+ROW()/100000000)</f>
        <v/>
      </c>
      <c r="I297">
        <f>IF(B297="","","Day "&amp;(B297-Setup!$C$6+1))</f>
        <v/>
      </c>
    </row>
    <row r="298">
      <c r="A298" s="1" t="n"/>
      <c r="B298" s="25" t="n"/>
      <c r="C298" s="26" t="n"/>
      <c r="D298" s="27" t="n"/>
      <c r="E298" s="28" t="n"/>
      <c r="F298" s="29" t="n"/>
      <c r="G298" s="28" t="n"/>
      <c r="H298" s="1">
        <f>IF(OR(B298="",D298=""),"",B298+N(C298)+ROW()/100000000)</f>
        <v/>
      </c>
      <c r="I298">
        <f>IF(B298="","","Day "&amp;(B298-Setup!$C$6+1))</f>
        <v/>
      </c>
    </row>
    <row r="299">
      <c r="A299" s="1" t="n"/>
      <c r="B299" s="25" t="n"/>
      <c r="C299" s="26" t="n"/>
      <c r="D299" s="27" t="n"/>
      <c r="E299" s="28" t="n"/>
      <c r="F299" s="29" t="n"/>
      <c r="G299" s="28" t="n"/>
      <c r="H299" s="1">
        <f>IF(OR(B299="",D299=""),"",B299+N(C299)+ROW()/100000000)</f>
        <v/>
      </c>
      <c r="I299">
        <f>IF(B299="","","Day "&amp;(B299-Setup!$C$6+1))</f>
        <v/>
      </c>
    </row>
    <row r="300">
      <c r="A300" s="1" t="n"/>
      <c r="B300" s="25" t="n"/>
      <c r="C300" s="26" t="n"/>
      <c r="D300" s="27" t="n"/>
      <c r="E300" s="28" t="n"/>
      <c r="F300" s="29" t="n"/>
      <c r="G300" s="28" t="n"/>
      <c r="H300" s="1">
        <f>IF(OR(B300="",D300=""),"",B300+N(C300)+ROW()/100000000)</f>
        <v/>
      </c>
      <c r="I300">
        <f>IF(B300="","","Day "&amp;(B300-Setup!$C$6+1))</f>
        <v/>
      </c>
    </row>
    <row r="301">
      <c r="A301" s="1" t="n"/>
      <c r="B301" s="25" t="n"/>
      <c r="C301" s="26" t="n"/>
      <c r="D301" s="27" t="n"/>
      <c r="E301" s="28" t="n"/>
      <c r="F301" s="29" t="n"/>
      <c r="G301" s="28" t="n"/>
      <c r="H301" s="1">
        <f>IF(OR(B301="",D301=""),"",B301+N(C301)+ROW()/100000000)</f>
        <v/>
      </c>
      <c r="I301">
        <f>IF(B301="","","Day "&amp;(B301-Setup!$C$6+1))</f>
        <v/>
      </c>
    </row>
    <row r="302">
      <c r="A302" s="1" t="n"/>
      <c r="B302" s="25" t="n"/>
      <c r="C302" s="26" t="n"/>
      <c r="D302" s="27" t="n"/>
      <c r="E302" s="28" t="n"/>
      <c r="F302" s="29" t="n"/>
      <c r="G302" s="28" t="n"/>
      <c r="H302" s="1">
        <f>IF(OR(B302="",D302=""),"",B302+N(C302)+ROW()/100000000)</f>
        <v/>
      </c>
      <c r="I302">
        <f>IF(B302="","","Day "&amp;(B302-Setup!$C$6+1))</f>
        <v/>
      </c>
    </row>
    <row r="303">
      <c r="A303" s="1" t="n"/>
      <c r="B303" s="25" t="n"/>
      <c r="C303" s="26" t="n"/>
      <c r="D303" s="27" t="n"/>
      <c r="E303" s="28" t="n"/>
      <c r="F303" s="29" t="n"/>
      <c r="G303" s="28" t="n"/>
      <c r="H303" s="1">
        <f>IF(OR(B303="",D303=""),"",B303+N(C303)+ROW()/100000000)</f>
        <v/>
      </c>
      <c r="I303">
        <f>IF(B303="","","Day "&amp;(B303-Setup!$C$6+1))</f>
        <v/>
      </c>
    </row>
    <row r="304">
      <c r="A304" s="1" t="n"/>
      <c r="B304" s="25" t="n"/>
      <c r="C304" s="26" t="n"/>
      <c r="D304" s="27" t="n"/>
      <c r="E304" s="28" t="n"/>
      <c r="F304" s="29" t="n"/>
      <c r="G304" s="28" t="n"/>
      <c r="H304" s="1">
        <f>IF(OR(B304="",D304=""),"",B304+N(C304)+ROW()/100000000)</f>
        <v/>
      </c>
      <c r="I304">
        <f>IF(B304="","","Day "&amp;(B304-Setup!$C$6+1))</f>
        <v/>
      </c>
    </row>
    <row r="305">
      <c r="A305" s="1" t="n"/>
      <c r="B305" s="25" t="n"/>
      <c r="C305" s="26" t="n"/>
      <c r="D305" s="27" t="n"/>
      <c r="E305" s="28" t="n"/>
      <c r="F305" s="29" t="n"/>
      <c r="G305" s="28" t="n"/>
      <c r="H305" s="1">
        <f>IF(OR(B305="",D305=""),"",B305+N(C305)+ROW()/100000000)</f>
        <v/>
      </c>
      <c r="I305">
        <f>IF(B305="","","Day "&amp;(B305-Setup!$C$6+1))</f>
        <v/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</row>
  </sheetData>
  <conditionalFormatting sqref="B6:G305">
    <cfRule type="expression" priority="1" dxfId="2">
      <formula>AND($B6&lt;&gt;"",$B6&lt;&gt;$B5,ROW()&gt;6)</formula>
    </cfRule>
    <cfRule type="expression" priority="2" dxfId="3">
      <formula>AND($B6&lt;&gt;"",$B6=TODAY())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1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0" customWidth="1" min="3" max="3"/>
    <col width="13" customWidth="1" min="4" max="4"/>
    <col width="8" customWidth="1" min="5" max="5"/>
    <col width="13" customWidth="1" min="6" max="6"/>
    <col width="14" customWidth="1" min="7" max="7"/>
    <col width="12" customWidth="1" min="8" max="8"/>
    <col width="9" customWidth="1" min="9" max="9"/>
    <col width="12" customWidth="1" min="10" max="10"/>
    <col width="13" customWidth="1" min="11" max="11"/>
    <col width="13" customWidth="1" min="12" max="12"/>
    <col width="14" customWidth="1" min="13" max="13"/>
    <col width="24" customWidth="1" min="14" max="14"/>
    <col hidden="1" width="13" customWidth="1" min="15" max="15"/>
    <col hidden="1" width="13" customWidth="1" min="16" max="16"/>
    <col hidden="1"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2" customHeight="1">
      <c r="A2" s="1" t="n"/>
      <c r="B2" s="2" t="inlineStr">
        <is>
          <t>Bookings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3" t="inlineStr">
        <is>
          <t>Every flight, hotel, train and ticket, with its confirmation code and what is still to pay.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30" customHeight="1">
      <c r="A5" s="1" t="n"/>
      <c r="B5" s="12" t="inlineStr">
        <is>
          <t>Type</t>
        </is>
      </c>
      <c r="C5" s="12" t="inlineStr">
        <is>
          <t>What</t>
        </is>
      </c>
      <c r="D5" s="12" t="inlineStr">
        <is>
          <t>Starts</t>
        </is>
      </c>
      <c r="E5" s="12" t="inlineStr">
        <is>
          <t>Time</t>
        </is>
      </c>
      <c r="F5" s="12" t="inlineStr">
        <is>
          <t>Ends</t>
        </is>
      </c>
      <c r="G5" s="12" t="inlineStr">
        <is>
          <t>Confirmation</t>
        </is>
      </c>
      <c r="H5" s="12" t="inlineStr">
        <is>
          <t>Cost</t>
        </is>
      </c>
      <c r="I5" s="12" t="inlineStr">
        <is>
          <t>Currency</t>
        </is>
      </c>
      <c r="J5" s="12" t="inlineStr">
        <is>
          <t>Paid</t>
        </is>
      </c>
      <c r="K5" s="12" t="inlineStr">
        <is>
          <t>In home currency</t>
        </is>
      </c>
      <c r="L5" s="12" t="inlineStr">
        <is>
          <t>Still to pay</t>
        </is>
      </c>
      <c r="M5" s="12" t="inlineStr">
        <is>
          <t>When</t>
        </is>
      </c>
      <c r="N5" s="12" t="inlineStr">
        <is>
          <t>Note</t>
        </is>
      </c>
      <c r="O5" s="1" t="n"/>
    </row>
    <row r="6">
      <c r="A6" s="1" t="n"/>
      <c r="B6" s="27" t="inlineStr">
        <is>
          <t>Flight</t>
        </is>
      </c>
      <c r="C6" s="28" t="inlineStr">
        <is>
          <t>Los Angeles to Tokyo Haneda</t>
        </is>
      </c>
      <c r="D6" s="30" t="n">
        <v>46315</v>
      </c>
      <c r="E6" s="26" t="n">
        <v>0.4618055555555556</v>
      </c>
      <c r="F6" s="30" t="n">
        <v>46316</v>
      </c>
      <c r="G6" s="29" t="inlineStr">
        <is>
          <t>KX7Q2M</t>
        </is>
      </c>
      <c r="H6" s="31" t="n">
        <v>1180</v>
      </c>
      <c r="I6" s="29" t="inlineStr">
        <is>
          <t>USD</t>
        </is>
      </c>
      <c r="J6" s="31" t="n">
        <v>1180</v>
      </c>
      <c r="K6" s="20">
        <f>IF(N(H6)=0,"",IF(N(H6)=0,0,H6*IF(I6="",1,IFERROR(INDEX(Setup!$F$9:$F$18,MATCH(I6,Setup!$E$9:$E$18,0)),0))))</f>
        <v/>
      </c>
      <c r="L6" s="15">
        <f>IF(N(H6)=0,"",IF(IF(N(H6)=0,0,H6*IF(I6="",1,IFERROR(INDEX(Setup!$F$9:$F$18,MATCH(I6,Setup!$E$9:$E$18,0)),0)))-IF(N(J6)=0,0,J6*IF(I6="",1,IFERROR(INDEX(Setup!$F$9:$F$18,MATCH(I6,Setup!$E$9:$E$18,0)),0)))&gt;0.005,IF(N(H6)=0,0,H6*IF(I6="",1,IFERROR(INDEX(Setup!$F$9:$F$18,MATCH(I6,Setup!$E$9:$E$18,0)),0)))-IF(N(J6)=0,0,J6*IF(I6="",1,IFERROR(INDEX(Setup!$F$9:$F$18,MATCH(I6,Setup!$E$9:$E$18,0)),0))),""))</f>
        <v/>
      </c>
      <c r="M6" s="19">
        <f>IF(D6="","",IF(D6&gt;TODAY(),"In "&amp;(D6-TODAY())&amp;IF((D6-TODAY())=1," day"," days"),IF(D6=TODAY(),"Today",IF(OR(F6="",F6&lt;TODAY()),"Done","Now"))))</f>
        <v/>
      </c>
      <c r="N6" s="28" t="inlineStr">
        <is>
          <t>Two seats, 23 kg bags</t>
        </is>
      </c>
      <c r="O6" s="1">
        <f>IF(B6="","",IFERROR(INDEX(Setup!$I$9:$I$15,MATCH(B6,Setup!$H$9:$H$15,0)),"Other"))</f>
        <v/>
      </c>
      <c r="P6">
        <f>IF(N(H6)=0,0,IF(N(J6)=0,0,J6*IF(I6="",1,IFERROR(INDEX(Setup!$F$9:$F$18,MATCH(I6,Setup!$E$9:$E$18,0)),0))))</f>
        <v/>
      </c>
      <c r="Q6">
        <f>IF(OR(D6="",M6="Done"),"",D6+N(E6)+ROW()/100000000)</f>
        <v/>
      </c>
    </row>
    <row r="7">
      <c r="A7" s="1" t="n"/>
      <c r="B7" s="27" t="inlineStr">
        <is>
          <t>Hotel</t>
        </is>
      </c>
      <c r="C7" s="28" t="inlineStr">
        <is>
          <t>Shinjuku hotel, 5 nights</t>
        </is>
      </c>
      <c r="D7" s="30" t="n">
        <v>46316</v>
      </c>
      <c r="E7" s="26" t="n">
        <v>0.625</v>
      </c>
      <c r="F7" s="30" t="n">
        <v>46321</v>
      </c>
      <c r="G7" s="29" t="inlineStr">
        <is>
          <t>88213-04</t>
        </is>
      </c>
      <c r="H7" s="31" t="n">
        <v>145000</v>
      </c>
      <c r="I7" s="29" t="inlineStr">
        <is>
          <t>JPY</t>
        </is>
      </c>
      <c r="J7" s="31" t="n">
        <v>0</v>
      </c>
      <c r="K7" s="20">
        <f>IF(N(H7)=0,"",IF(N(H7)=0,0,H7*IF(I7="",1,IFERROR(INDEX(Setup!$F$9:$F$18,MATCH(I7,Setup!$E$9:$E$18,0)),0))))</f>
        <v/>
      </c>
      <c r="L7" s="15">
        <f>IF(N(H7)=0,"",IF(IF(N(H7)=0,0,H7*IF(I7="",1,IFERROR(INDEX(Setup!$F$9:$F$18,MATCH(I7,Setup!$E$9:$E$18,0)),0)))-IF(N(J7)=0,0,J7*IF(I7="",1,IFERROR(INDEX(Setup!$F$9:$F$18,MATCH(I7,Setup!$E$9:$E$18,0)),0)))&gt;0.005,IF(N(H7)=0,0,H7*IF(I7="",1,IFERROR(INDEX(Setup!$F$9:$F$18,MATCH(I7,Setup!$E$9:$E$18,0)),0)))-IF(N(J7)=0,0,J7*IF(I7="",1,IFERROR(INDEX(Setup!$F$9:$F$18,MATCH(I7,Setup!$E$9:$E$18,0)),0))),""))</f>
        <v/>
      </c>
      <c r="M7" s="19">
        <f>IF(D7="","",IF(D7&gt;TODAY(),"In "&amp;(D7-TODAY())&amp;IF((D7-TODAY())=1," day"," days"),IF(D7=TODAY(),"Today",IF(OR(F7="",F7&lt;TODAY()),"Done","Now"))))</f>
        <v/>
      </c>
      <c r="N7" s="28" t="inlineStr">
        <is>
          <t>Pay at the hotel</t>
        </is>
      </c>
      <c r="O7" s="1">
        <f>IF(B7="","",IFERROR(INDEX(Setup!$I$9:$I$15,MATCH(B7,Setup!$H$9:$H$15,0)),"Other"))</f>
        <v/>
      </c>
      <c r="P7">
        <f>IF(N(H7)=0,0,IF(N(J7)=0,0,J7*IF(I7="",1,IFERROR(INDEX(Setup!$F$9:$F$18,MATCH(I7,Setup!$E$9:$E$18,0)),0))))</f>
        <v/>
      </c>
      <c r="Q7">
        <f>IF(OR(D7="",M7="Done"),"",D7+N(E7)+ROW()/100000000)</f>
        <v/>
      </c>
    </row>
    <row r="8">
      <c r="A8" s="1" t="n"/>
      <c r="B8" s="27" t="inlineStr">
        <is>
          <t>Tour</t>
        </is>
      </c>
      <c r="C8" s="28" t="inlineStr">
        <is>
          <t>teamLab Planets</t>
        </is>
      </c>
      <c r="D8" s="30" t="n">
        <v>46317</v>
      </c>
      <c r="E8" s="26" t="n">
        <v>0.625</v>
      </c>
      <c r="F8" s="30" t="n">
        <v>46317</v>
      </c>
      <c r="G8" s="29" t="inlineStr">
        <is>
          <t>TLP-5521</t>
        </is>
      </c>
      <c r="H8" s="31" t="n">
        <v>7600</v>
      </c>
      <c r="I8" s="29" t="inlineStr">
        <is>
          <t>JPY</t>
        </is>
      </c>
      <c r="J8" s="31" t="n">
        <v>7600</v>
      </c>
      <c r="K8" s="20">
        <f>IF(N(H8)=0,"",IF(N(H8)=0,0,H8*IF(I8="",1,IFERROR(INDEX(Setup!$F$9:$F$18,MATCH(I8,Setup!$E$9:$E$18,0)),0))))</f>
        <v/>
      </c>
      <c r="L8" s="15">
        <f>IF(N(H8)=0,"",IF(IF(N(H8)=0,0,H8*IF(I8="",1,IFERROR(INDEX(Setup!$F$9:$F$18,MATCH(I8,Setup!$E$9:$E$18,0)),0)))-IF(N(J8)=0,0,J8*IF(I8="",1,IFERROR(INDEX(Setup!$F$9:$F$18,MATCH(I8,Setup!$E$9:$E$18,0)),0)))&gt;0.005,IF(N(H8)=0,0,H8*IF(I8="",1,IFERROR(INDEX(Setup!$F$9:$F$18,MATCH(I8,Setup!$E$9:$E$18,0)),0)))-IF(N(J8)=0,0,J8*IF(I8="",1,IFERROR(INDEX(Setup!$F$9:$F$18,MATCH(I8,Setup!$E$9:$E$18,0)),0))),""))</f>
        <v/>
      </c>
      <c r="M8" s="19">
        <f>IF(D8="","",IF(D8&gt;TODAY(),"In "&amp;(D8-TODAY())&amp;IF((D8-TODAY())=1," day"," days"),IF(D8=TODAY(),"Today",IF(OR(F8="",F8&lt;TODAY()),"Done","Now"))))</f>
        <v/>
      </c>
      <c r="N8" s="28" t="n"/>
      <c r="O8" s="1">
        <f>IF(B8="","",IFERROR(INDEX(Setup!$I$9:$I$15,MATCH(B8,Setup!$H$9:$H$15,0)),"Other"))</f>
        <v/>
      </c>
      <c r="P8">
        <f>IF(N(H8)=0,0,IF(N(J8)=0,0,J8*IF(I8="",1,IFERROR(INDEX(Setup!$F$9:$F$18,MATCH(I8,Setup!$E$9:$E$18,0)),0))))</f>
        <v/>
      </c>
      <c r="Q8">
        <f>IF(OR(D8="",M8="Done"),"",D8+N(E8)+ROW()/100000000)</f>
        <v/>
      </c>
    </row>
    <row r="9">
      <c r="A9" s="1" t="n"/>
      <c r="B9" s="27" t="inlineStr">
        <is>
          <t>Tour</t>
        </is>
      </c>
      <c r="C9" s="28" t="inlineStr">
        <is>
          <t>Sushi cooking class</t>
        </is>
      </c>
      <c r="D9" s="30" t="n">
        <v>46319</v>
      </c>
      <c r="E9" s="26" t="n">
        <v>0.4166666666666667</v>
      </c>
      <c r="F9" s="30" t="n">
        <v>46319</v>
      </c>
      <c r="G9" s="29" t="inlineStr">
        <is>
          <t>SC-3310</t>
        </is>
      </c>
      <c r="H9" s="31" t="n">
        <v>24000</v>
      </c>
      <c r="I9" s="29" t="inlineStr">
        <is>
          <t>JPY</t>
        </is>
      </c>
      <c r="J9" s="31" t="n">
        <v>24000</v>
      </c>
      <c r="K9" s="20">
        <f>IF(N(H9)=0,"",IF(N(H9)=0,0,H9*IF(I9="",1,IFERROR(INDEX(Setup!$F$9:$F$18,MATCH(I9,Setup!$E$9:$E$18,0)),0))))</f>
        <v/>
      </c>
      <c r="L9" s="15">
        <f>IF(N(H9)=0,"",IF(IF(N(H9)=0,0,H9*IF(I9="",1,IFERROR(INDEX(Setup!$F$9:$F$18,MATCH(I9,Setup!$E$9:$E$18,0)),0)))-IF(N(J9)=0,0,J9*IF(I9="",1,IFERROR(INDEX(Setup!$F$9:$F$18,MATCH(I9,Setup!$E$9:$E$18,0)),0)))&gt;0.005,IF(N(H9)=0,0,H9*IF(I9="",1,IFERROR(INDEX(Setup!$F$9:$F$18,MATCH(I9,Setup!$E$9:$E$18,0)),0)))-IF(N(J9)=0,0,J9*IF(I9="",1,IFERROR(INDEX(Setup!$F$9:$F$18,MATCH(I9,Setup!$E$9:$E$18,0)),0))),""))</f>
        <v/>
      </c>
      <c r="M9" s="19">
        <f>IF(D9="","",IF(D9&gt;TODAY(),"In "&amp;(D9-TODAY())&amp;IF((D9-TODAY())=1," day"," days"),IF(D9=TODAY(),"Today",IF(OR(F9="",F9&lt;TODAY()),"Done","Now"))))</f>
        <v/>
      </c>
      <c r="N9" s="28" t="inlineStr">
        <is>
          <t>Meet at Tsukiji station</t>
        </is>
      </c>
      <c r="O9" s="1">
        <f>IF(B9="","",IFERROR(INDEX(Setup!$I$9:$I$15,MATCH(B9,Setup!$H$9:$H$15,0)),"Other"))</f>
        <v/>
      </c>
      <c r="P9">
        <f>IF(N(H9)=0,0,IF(N(J9)=0,0,J9*IF(I9="",1,IFERROR(INDEX(Setup!$F$9:$F$18,MATCH(I9,Setup!$E$9:$E$18,0)),0))))</f>
        <v/>
      </c>
      <c r="Q9">
        <f>IF(OR(D9="",M9="Done"),"",D9+N(E9)+ROW()/100000000)</f>
        <v/>
      </c>
    </row>
    <row r="10">
      <c r="A10" s="1" t="n"/>
      <c r="B10" s="27" t="inlineStr">
        <is>
          <t>Train</t>
        </is>
      </c>
      <c r="C10" s="28" t="inlineStr">
        <is>
          <t>Rail pass, 7 days, two people</t>
        </is>
      </c>
      <c r="D10" s="30" t="n">
        <v>46321</v>
      </c>
      <c r="E10" s="26" t="n">
        <v>0.3333333333333333</v>
      </c>
      <c r="F10" s="30" t="n">
        <v>46327</v>
      </c>
      <c r="G10" s="29" t="inlineStr">
        <is>
          <t>JRP-77410</t>
        </is>
      </c>
      <c r="H10" s="31" t="n">
        <v>100000</v>
      </c>
      <c r="I10" s="29" t="inlineStr">
        <is>
          <t>JPY</t>
        </is>
      </c>
      <c r="J10" s="31" t="n">
        <v>100000</v>
      </c>
      <c r="K10" s="20">
        <f>IF(N(H10)=0,"",IF(N(H10)=0,0,H10*IF(I10="",1,IFERROR(INDEX(Setup!$F$9:$F$18,MATCH(I10,Setup!$E$9:$E$18,0)),0))))</f>
        <v/>
      </c>
      <c r="L10" s="15">
        <f>IF(N(H10)=0,"",IF(IF(N(H10)=0,0,H10*IF(I10="",1,IFERROR(INDEX(Setup!$F$9:$F$18,MATCH(I10,Setup!$E$9:$E$18,0)),0)))-IF(N(J10)=0,0,J10*IF(I10="",1,IFERROR(INDEX(Setup!$F$9:$F$18,MATCH(I10,Setup!$E$9:$E$18,0)),0)))&gt;0.005,IF(N(H10)=0,0,H10*IF(I10="",1,IFERROR(INDEX(Setup!$F$9:$F$18,MATCH(I10,Setup!$E$9:$E$18,0)),0)))-IF(N(J10)=0,0,J10*IF(I10="",1,IFERROR(INDEX(Setup!$F$9:$F$18,MATCH(I10,Setup!$E$9:$E$18,0)),0))),""))</f>
        <v/>
      </c>
      <c r="M10" s="19">
        <f>IF(D10="","",IF(D10&gt;TODAY(),"In "&amp;(D10-TODAY())&amp;IF((D10-TODAY())=1," day"," days"),IF(D10=TODAY(),"Today",IF(OR(F10="",F10&lt;TODAY()),"Done","Now"))))</f>
        <v/>
      </c>
      <c r="N10" s="28" t="inlineStr">
        <is>
          <t>Exchange at Tokyo station</t>
        </is>
      </c>
      <c r="O10" s="1">
        <f>IF(B10="","",IFERROR(INDEX(Setup!$I$9:$I$15,MATCH(B10,Setup!$H$9:$H$15,0)),"Other"))</f>
        <v/>
      </c>
      <c r="P10">
        <f>IF(N(H10)=0,0,IF(N(J10)=0,0,J10*IF(I10="",1,IFERROR(INDEX(Setup!$F$9:$F$18,MATCH(I10,Setup!$E$9:$E$18,0)),0))))</f>
        <v/>
      </c>
      <c r="Q10">
        <f>IF(OR(D10="",M10="Done"),"",D10+N(E10)+ROW()/100000000)</f>
        <v/>
      </c>
    </row>
    <row r="11">
      <c r="A11" s="1" t="n"/>
      <c r="B11" s="27" t="inlineStr">
        <is>
          <t>Hotel</t>
        </is>
      </c>
      <c r="C11" s="28" t="inlineStr">
        <is>
          <t>Kyoto ryokan, 4 nights</t>
        </is>
      </c>
      <c r="D11" s="30" t="n">
        <v>46321</v>
      </c>
      <c r="E11" s="26" t="n">
        <v>0.625</v>
      </c>
      <c r="F11" s="30" t="n">
        <v>46325</v>
      </c>
      <c r="G11" s="29" t="inlineStr">
        <is>
          <t>RK-2291</t>
        </is>
      </c>
      <c r="H11" s="31" t="n">
        <v>168000</v>
      </c>
      <c r="I11" s="29" t="inlineStr">
        <is>
          <t>JPY</t>
        </is>
      </c>
      <c r="J11" s="31" t="n">
        <v>50000</v>
      </c>
      <c r="K11" s="20">
        <f>IF(N(H11)=0,"",IF(N(H11)=0,0,H11*IF(I11="",1,IFERROR(INDEX(Setup!$F$9:$F$18,MATCH(I11,Setup!$E$9:$E$18,0)),0))))</f>
        <v/>
      </c>
      <c r="L11" s="15">
        <f>IF(N(H11)=0,"",IF(IF(N(H11)=0,0,H11*IF(I11="",1,IFERROR(INDEX(Setup!$F$9:$F$18,MATCH(I11,Setup!$E$9:$E$18,0)),0)))-IF(N(J11)=0,0,J11*IF(I11="",1,IFERROR(INDEX(Setup!$F$9:$F$18,MATCH(I11,Setup!$E$9:$E$18,0)),0)))&gt;0.005,IF(N(H11)=0,0,H11*IF(I11="",1,IFERROR(INDEX(Setup!$F$9:$F$18,MATCH(I11,Setup!$E$9:$E$18,0)),0)))-IF(N(J11)=0,0,J11*IF(I11="",1,IFERROR(INDEX(Setup!$F$9:$F$18,MATCH(I11,Setup!$E$9:$E$18,0)),0))),""))</f>
        <v/>
      </c>
      <c r="M11" s="19">
        <f>IF(D11="","",IF(D11&gt;TODAY(),"In "&amp;(D11-TODAY())&amp;IF((D11-TODAY())=1," day"," days"),IF(D11=TODAY(),"Today",IF(OR(F11="",F11&lt;TODAY()),"Done","Now"))))</f>
        <v/>
      </c>
      <c r="N11" s="28" t="inlineStr">
        <is>
          <t>Dinner included twice</t>
        </is>
      </c>
      <c r="O11" s="1">
        <f>IF(B11="","",IFERROR(INDEX(Setup!$I$9:$I$15,MATCH(B11,Setup!$H$9:$H$15,0)),"Other"))</f>
        <v/>
      </c>
      <c r="P11">
        <f>IF(N(H11)=0,0,IF(N(J11)=0,0,J11*IF(I11="",1,IFERROR(INDEX(Setup!$F$9:$F$18,MATCH(I11,Setup!$E$9:$E$18,0)),0))))</f>
        <v/>
      </c>
      <c r="Q11">
        <f>IF(OR(D11="",M11="Done"),"",D11+N(E11)+ROW()/100000000)</f>
        <v/>
      </c>
    </row>
    <row r="12">
      <c r="A12" s="1" t="n"/>
      <c r="B12" s="27" t="inlineStr">
        <is>
          <t>Tour</t>
        </is>
      </c>
      <c r="C12" s="28" t="inlineStr">
        <is>
          <t>Tea ceremony in Kyoto</t>
        </is>
      </c>
      <c r="D12" s="30" t="n">
        <v>46323</v>
      </c>
      <c r="E12" s="26" t="n">
        <v>0.5833333333333334</v>
      </c>
      <c r="F12" s="30" t="n">
        <v>46323</v>
      </c>
      <c r="G12" s="29" t="n"/>
      <c r="H12" s="31" t="n">
        <v>8000</v>
      </c>
      <c r="I12" s="29" t="inlineStr">
        <is>
          <t>JPY</t>
        </is>
      </c>
      <c r="J12" s="31" t="n">
        <v>0</v>
      </c>
      <c r="K12" s="20">
        <f>IF(N(H12)=0,"",IF(N(H12)=0,0,H12*IF(I12="",1,IFERROR(INDEX(Setup!$F$9:$F$18,MATCH(I12,Setup!$E$9:$E$18,0)),0))))</f>
        <v/>
      </c>
      <c r="L12" s="15">
        <f>IF(N(H12)=0,"",IF(IF(N(H12)=0,0,H12*IF(I12="",1,IFERROR(INDEX(Setup!$F$9:$F$18,MATCH(I12,Setup!$E$9:$E$18,0)),0)))-IF(N(J12)=0,0,J12*IF(I12="",1,IFERROR(INDEX(Setup!$F$9:$F$18,MATCH(I12,Setup!$E$9:$E$18,0)),0)))&gt;0.005,IF(N(H12)=0,0,H12*IF(I12="",1,IFERROR(INDEX(Setup!$F$9:$F$18,MATCH(I12,Setup!$E$9:$E$18,0)),0)))-IF(N(J12)=0,0,J12*IF(I12="",1,IFERROR(INDEX(Setup!$F$9:$F$18,MATCH(I12,Setup!$E$9:$E$18,0)),0))),""))</f>
        <v/>
      </c>
      <c r="M12" s="19">
        <f>IF(D12="","",IF(D12&gt;TODAY(),"In "&amp;(D12-TODAY())&amp;IF((D12-TODAY())=1," day"," days"),IF(D12=TODAY(),"Today",IF(OR(F12="",F12&lt;TODAY()),"Done","Now"))))</f>
        <v/>
      </c>
      <c r="N12" s="28" t="inlineStr">
        <is>
          <t>Pay on the day</t>
        </is>
      </c>
      <c r="O12" s="1">
        <f>IF(B12="","",IFERROR(INDEX(Setup!$I$9:$I$15,MATCH(B12,Setup!$H$9:$H$15,0)),"Other"))</f>
        <v/>
      </c>
      <c r="P12">
        <f>IF(N(H12)=0,0,IF(N(J12)=0,0,J12*IF(I12="",1,IFERROR(INDEX(Setup!$F$9:$F$18,MATCH(I12,Setup!$E$9:$E$18,0)),0))))</f>
        <v/>
      </c>
      <c r="Q12">
        <f>IF(OR(D12="",M12="Done"),"",D12+N(E12)+ROW()/100000000)</f>
        <v/>
      </c>
    </row>
    <row r="13">
      <c r="A13" s="1" t="n"/>
      <c r="B13" s="27" t="inlineStr">
        <is>
          <t>Restaurant</t>
        </is>
      </c>
      <c r="C13" s="28" t="inlineStr">
        <is>
          <t>Kaiseki dinner</t>
        </is>
      </c>
      <c r="D13" s="30" t="n">
        <v>46324</v>
      </c>
      <c r="E13" s="26" t="n">
        <v>0.7916666666666666</v>
      </c>
      <c r="F13" s="30" t="n">
        <v>46324</v>
      </c>
      <c r="G13" s="29" t="inlineStr">
        <is>
          <t>KD-14</t>
        </is>
      </c>
      <c r="H13" s="31" t="n">
        <v>36000</v>
      </c>
      <c r="I13" s="29" t="inlineStr">
        <is>
          <t>JPY</t>
        </is>
      </c>
      <c r="J13" s="31" t="n">
        <v>0</v>
      </c>
      <c r="K13" s="20">
        <f>IF(N(H13)=0,"",IF(N(H13)=0,0,H13*IF(I13="",1,IFERROR(INDEX(Setup!$F$9:$F$18,MATCH(I13,Setup!$E$9:$E$18,0)),0))))</f>
        <v/>
      </c>
      <c r="L13" s="15">
        <f>IF(N(H13)=0,"",IF(IF(N(H13)=0,0,H13*IF(I13="",1,IFERROR(INDEX(Setup!$F$9:$F$18,MATCH(I13,Setup!$E$9:$E$18,0)),0)))-IF(N(J13)=0,0,J13*IF(I13="",1,IFERROR(INDEX(Setup!$F$9:$F$18,MATCH(I13,Setup!$E$9:$E$18,0)),0)))&gt;0.005,IF(N(H13)=0,0,H13*IF(I13="",1,IFERROR(INDEX(Setup!$F$9:$F$18,MATCH(I13,Setup!$E$9:$E$18,0)),0)))-IF(N(J13)=0,0,J13*IF(I13="",1,IFERROR(INDEX(Setup!$F$9:$F$18,MATCH(I13,Setup!$E$9:$E$18,0)),0))),""))</f>
        <v/>
      </c>
      <c r="M13" s="19">
        <f>IF(D13="","",IF(D13&gt;TODAY(),"In "&amp;(D13-TODAY())&amp;IF((D13-TODAY())=1," day"," days"),IF(D13=TODAY(),"Today",IF(OR(F13="",F13&lt;TODAY()),"Done","Now"))))</f>
        <v/>
      </c>
      <c r="N13" s="28" t="n"/>
      <c r="O13" s="1">
        <f>IF(B13="","",IFERROR(INDEX(Setup!$I$9:$I$15,MATCH(B13,Setup!$H$9:$H$15,0)),"Other"))</f>
        <v/>
      </c>
      <c r="P13">
        <f>IF(N(H13)=0,0,IF(N(J13)=0,0,J13*IF(I13="",1,IFERROR(INDEX(Setup!$F$9:$F$18,MATCH(I13,Setup!$E$9:$E$18,0)),0))))</f>
        <v/>
      </c>
      <c r="Q13">
        <f>IF(OR(D13="",M13="Done"),"",D13+N(E13)+ROW()/100000000)</f>
        <v/>
      </c>
    </row>
    <row r="14">
      <c r="A14" s="1" t="n"/>
      <c r="B14" s="27" t="inlineStr">
        <is>
          <t>Hotel</t>
        </is>
      </c>
      <c r="C14" s="28" t="inlineStr">
        <is>
          <t>Osaka hotel, 1 night</t>
        </is>
      </c>
      <c r="D14" s="30" t="n">
        <v>46325</v>
      </c>
      <c r="E14" s="26" t="n">
        <v>0.625</v>
      </c>
      <c r="F14" s="30" t="n">
        <v>46326</v>
      </c>
      <c r="G14" s="29" t="inlineStr">
        <is>
          <t>OS-5570</t>
        </is>
      </c>
      <c r="H14" s="31" t="n">
        <v>22000</v>
      </c>
      <c r="I14" s="29" t="inlineStr">
        <is>
          <t>JPY</t>
        </is>
      </c>
      <c r="J14" s="31" t="n">
        <v>22000</v>
      </c>
      <c r="K14" s="20">
        <f>IF(N(H14)=0,"",IF(N(H14)=0,0,H14*IF(I14="",1,IFERROR(INDEX(Setup!$F$9:$F$18,MATCH(I14,Setup!$E$9:$E$18,0)),0))))</f>
        <v/>
      </c>
      <c r="L14" s="15">
        <f>IF(N(H14)=0,"",IF(IF(N(H14)=0,0,H14*IF(I14="",1,IFERROR(INDEX(Setup!$F$9:$F$18,MATCH(I14,Setup!$E$9:$E$18,0)),0)))-IF(N(J14)=0,0,J14*IF(I14="",1,IFERROR(INDEX(Setup!$F$9:$F$18,MATCH(I14,Setup!$E$9:$E$18,0)),0)))&gt;0.005,IF(N(H14)=0,0,H14*IF(I14="",1,IFERROR(INDEX(Setup!$F$9:$F$18,MATCH(I14,Setup!$E$9:$E$18,0)),0)))-IF(N(J14)=0,0,J14*IF(I14="",1,IFERROR(INDEX(Setup!$F$9:$F$18,MATCH(I14,Setup!$E$9:$E$18,0)),0))),""))</f>
        <v/>
      </c>
      <c r="M14" s="19">
        <f>IF(D14="","",IF(D14&gt;TODAY(),"In "&amp;(D14-TODAY())&amp;IF((D14-TODAY())=1," day"," days"),IF(D14=TODAY(),"Today",IF(OR(F14="",F14&lt;TODAY()),"Done","Now"))))</f>
        <v/>
      </c>
      <c r="N14" s="28" t="n"/>
      <c r="O14" s="1">
        <f>IF(B14="","",IFERROR(INDEX(Setup!$I$9:$I$15,MATCH(B14,Setup!$H$9:$H$15,0)),"Other"))</f>
        <v/>
      </c>
      <c r="P14">
        <f>IF(N(H14)=0,0,IF(N(J14)=0,0,J14*IF(I14="",1,IFERROR(INDEX(Setup!$F$9:$F$18,MATCH(I14,Setup!$E$9:$E$18,0)),0))))</f>
        <v/>
      </c>
      <c r="Q14">
        <f>IF(OR(D14="",M14="Done"),"",D14+N(E14)+ROW()/100000000)</f>
        <v/>
      </c>
    </row>
    <row r="15">
      <c r="A15" s="1" t="n"/>
      <c r="B15" s="27" t="inlineStr">
        <is>
          <t>Flight</t>
        </is>
      </c>
      <c r="C15" s="28" t="inlineStr">
        <is>
          <t>Osaka Kansai to Los Angeles</t>
        </is>
      </c>
      <c r="D15" s="30" t="n">
        <v>46326</v>
      </c>
      <c r="E15" s="26" t="n">
        <v>0.7222222222222222</v>
      </c>
      <c r="F15" s="30" t="n">
        <v>46326</v>
      </c>
      <c r="G15" s="29" t="inlineStr">
        <is>
          <t>KX7Q2M</t>
        </is>
      </c>
      <c r="H15" s="31" t="n">
        <v>1180</v>
      </c>
      <c r="I15" s="29" t="inlineStr">
        <is>
          <t>USD</t>
        </is>
      </c>
      <c r="J15" s="31" t="n">
        <v>1180</v>
      </c>
      <c r="K15" s="20">
        <f>IF(N(H15)=0,"",IF(N(H15)=0,0,H15*IF(I15="",1,IFERROR(INDEX(Setup!$F$9:$F$18,MATCH(I15,Setup!$E$9:$E$18,0)),0))))</f>
        <v/>
      </c>
      <c r="L15" s="15">
        <f>IF(N(H15)=0,"",IF(IF(N(H15)=0,0,H15*IF(I15="",1,IFERROR(INDEX(Setup!$F$9:$F$18,MATCH(I15,Setup!$E$9:$E$18,0)),0)))-IF(N(J15)=0,0,J15*IF(I15="",1,IFERROR(INDEX(Setup!$F$9:$F$18,MATCH(I15,Setup!$E$9:$E$18,0)),0)))&gt;0.005,IF(N(H15)=0,0,H15*IF(I15="",1,IFERROR(INDEX(Setup!$F$9:$F$18,MATCH(I15,Setup!$E$9:$E$18,0)),0)))-IF(N(J15)=0,0,J15*IF(I15="",1,IFERROR(INDEX(Setup!$F$9:$F$18,MATCH(I15,Setup!$E$9:$E$18,0)),0))),""))</f>
        <v/>
      </c>
      <c r="M15" s="19">
        <f>IF(D15="","",IF(D15&gt;TODAY(),"In "&amp;(D15-TODAY())&amp;IF((D15-TODAY())=1," day"," days"),IF(D15=TODAY(),"Today",IF(OR(F15="",F15&lt;TODAY()),"Done","Now"))))</f>
        <v/>
      </c>
      <c r="N15" s="28" t="n"/>
      <c r="O15" s="1">
        <f>IF(B15="","",IFERROR(INDEX(Setup!$I$9:$I$15,MATCH(B15,Setup!$H$9:$H$15,0)),"Other"))</f>
        <v/>
      </c>
      <c r="P15">
        <f>IF(N(H15)=0,0,IF(N(J15)=0,0,J15*IF(I15="",1,IFERROR(INDEX(Setup!$F$9:$F$18,MATCH(I15,Setup!$E$9:$E$18,0)),0))))</f>
        <v/>
      </c>
      <c r="Q15">
        <f>IF(OR(D15="",M15="Done"),"",D15+N(E15)+ROW()/100000000)</f>
        <v/>
      </c>
    </row>
    <row r="16">
      <c r="A16" s="1" t="n"/>
      <c r="B16" s="27" t="n"/>
      <c r="C16" s="28" t="n"/>
      <c r="D16" s="30" t="n"/>
      <c r="E16" s="26" t="n"/>
      <c r="F16" s="30" t="n"/>
      <c r="G16" s="29" t="n"/>
      <c r="H16" s="31" t="n"/>
      <c r="I16" s="29" t="n"/>
      <c r="J16" s="31" t="n"/>
      <c r="K16" s="20">
        <f>IF(N(H16)=0,"",IF(N(H16)=0,0,H16*IF(I16="",1,IFERROR(INDEX(Setup!$F$9:$F$18,MATCH(I16,Setup!$E$9:$E$18,0)),0))))</f>
        <v/>
      </c>
      <c r="L16" s="15">
        <f>IF(N(H16)=0,"",IF(IF(N(H16)=0,0,H16*IF(I16="",1,IFERROR(INDEX(Setup!$F$9:$F$18,MATCH(I16,Setup!$E$9:$E$18,0)),0)))-IF(N(J16)=0,0,J16*IF(I16="",1,IFERROR(INDEX(Setup!$F$9:$F$18,MATCH(I16,Setup!$E$9:$E$18,0)),0)))&gt;0.005,IF(N(H16)=0,0,H16*IF(I16="",1,IFERROR(INDEX(Setup!$F$9:$F$18,MATCH(I16,Setup!$E$9:$E$18,0)),0)))-IF(N(J16)=0,0,J16*IF(I16="",1,IFERROR(INDEX(Setup!$F$9:$F$18,MATCH(I16,Setup!$E$9:$E$18,0)),0))),""))</f>
        <v/>
      </c>
      <c r="M16" s="19">
        <f>IF(D16="","",IF(D16&gt;TODAY(),"In "&amp;(D16-TODAY())&amp;IF((D16-TODAY())=1," day"," days"),IF(D16=TODAY(),"Today",IF(OR(F16="",F16&lt;TODAY()),"Done","Now"))))</f>
        <v/>
      </c>
      <c r="N16" s="28" t="n"/>
      <c r="O16" s="1">
        <f>IF(B16="","",IFERROR(INDEX(Setup!$I$9:$I$15,MATCH(B16,Setup!$H$9:$H$15,0)),"Other"))</f>
        <v/>
      </c>
      <c r="P16">
        <f>IF(N(H16)=0,0,IF(N(J16)=0,0,J16*IF(I16="",1,IFERROR(INDEX(Setup!$F$9:$F$18,MATCH(I16,Setup!$E$9:$E$18,0)),0))))</f>
        <v/>
      </c>
      <c r="Q16">
        <f>IF(OR(D16="",M16="Done"),"",D16+N(E16)+ROW()/100000000)</f>
        <v/>
      </c>
    </row>
    <row r="17">
      <c r="A17" s="1" t="n"/>
      <c r="B17" s="27" t="n"/>
      <c r="C17" s="28" t="n"/>
      <c r="D17" s="30" t="n"/>
      <c r="E17" s="26" t="n"/>
      <c r="F17" s="30" t="n"/>
      <c r="G17" s="29" t="n"/>
      <c r="H17" s="31" t="n"/>
      <c r="I17" s="29" t="n"/>
      <c r="J17" s="31" t="n"/>
      <c r="K17" s="20">
        <f>IF(N(H17)=0,"",IF(N(H17)=0,0,H17*IF(I17="",1,IFERROR(INDEX(Setup!$F$9:$F$18,MATCH(I17,Setup!$E$9:$E$18,0)),0))))</f>
        <v/>
      </c>
      <c r="L17" s="15">
        <f>IF(N(H17)=0,"",IF(IF(N(H17)=0,0,H17*IF(I17="",1,IFERROR(INDEX(Setup!$F$9:$F$18,MATCH(I17,Setup!$E$9:$E$18,0)),0)))-IF(N(J17)=0,0,J17*IF(I17="",1,IFERROR(INDEX(Setup!$F$9:$F$18,MATCH(I17,Setup!$E$9:$E$18,0)),0)))&gt;0.005,IF(N(H17)=0,0,H17*IF(I17="",1,IFERROR(INDEX(Setup!$F$9:$F$18,MATCH(I17,Setup!$E$9:$E$18,0)),0)))-IF(N(J17)=0,0,J17*IF(I17="",1,IFERROR(INDEX(Setup!$F$9:$F$18,MATCH(I17,Setup!$E$9:$E$18,0)),0))),""))</f>
        <v/>
      </c>
      <c r="M17" s="19">
        <f>IF(D17="","",IF(D17&gt;TODAY(),"In "&amp;(D17-TODAY())&amp;IF((D17-TODAY())=1," day"," days"),IF(D17=TODAY(),"Today",IF(OR(F17="",F17&lt;TODAY()),"Done","Now"))))</f>
        <v/>
      </c>
      <c r="N17" s="28" t="n"/>
      <c r="O17" s="1">
        <f>IF(B17="","",IFERROR(INDEX(Setup!$I$9:$I$15,MATCH(B17,Setup!$H$9:$H$15,0)),"Other"))</f>
        <v/>
      </c>
      <c r="P17">
        <f>IF(N(H17)=0,0,IF(N(J17)=0,0,J17*IF(I17="",1,IFERROR(INDEX(Setup!$F$9:$F$18,MATCH(I17,Setup!$E$9:$E$18,0)),0))))</f>
        <v/>
      </c>
      <c r="Q17">
        <f>IF(OR(D17="",M17="Done"),"",D17+N(E17)+ROW()/100000000)</f>
        <v/>
      </c>
    </row>
    <row r="18">
      <c r="A18" s="1" t="n"/>
      <c r="B18" s="27" t="n"/>
      <c r="C18" s="28" t="n"/>
      <c r="D18" s="30" t="n"/>
      <c r="E18" s="26" t="n"/>
      <c r="F18" s="30" t="n"/>
      <c r="G18" s="29" t="n"/>
      <c r="H18" s="31" t="n"/>
      <c r="I18" s="29" t="n"/>
      <c r="J18" s="31" t="n"/>
      <c r="K18" s="20">
        <f>IF(N(H18)=0,"",IF(N(H18)=0,0,H18*IF(I18="",1,IFERROR(INDEX(Setup!$F$9:$F$18,MATCH(I18,Setup!$E$9:$E$18,0)),0))))</f>
        <v/>
      </c>
      <c r="L18" s="15">
        <f>IF(N(H18)=0,"",IF(IF(N(H18)=0,0,H18*IF(I18="",1,IFERROR(INDEX(Setup!$F$9:$F$18,MATCH(I18,Setup!$E$9:$E$18,0)),0)))-IF(N(J18)=0,0,J18*IF(I18="",1,IFERROR(INDEX(Setup!$F$9:$F$18,MATCH(I18,Setup!$E$9:$E$18,0)),0)))&gt;0.005,IF(N(H18)=0,0,H18*IF(I18="",1,IFERROR(INDEX(Setup!$F$9:$F$18,MATCH(I18,Setup!$E$9:$E$18,0)),0)))-IF(N(J18)=0,0,J18*IF(I18="",1,IFERROR(INDEX(Setup!$F$9:$F$18,MATCH(I18,Setup!$E$9:$E$18,0)),0))),""))</f>
        <v/>
      </c>
      <c r="M18" s="19">
        <f>IF(D18="","",IF(D18&gt;TODAY(),"In "&amp;(D18-TODAY())&amp;IF((D18-TODAY())=1," day"," days"),IF(D18=TODAY(),"Today",IF(OR(F18="",F18&lt;TODAY()),"Done","Now"))))</f>
        <v/>
      </c>
      <c r="N18" s="28" t="n"/>
      <c r="O18" s="1">
        <f>IF(B18="","",IFERROR(INDEX(Setup!$I$9:$I$15,MATCH(B18,Setup!$H$9:$H$15,0)),"Other"))</f>
        <v/>
      </c>
      <c r="P18">
        <f>IF(N(H18)=0,0,IF(N(J18)=0,0,J18*IF(I18="",1,IFERROR(INDEX(Setup!$F$9:$F$18,MATCH(I18,Setup!$E$9:$E$18,0)),0))))</f>
        <v/>
      </c>
      <c r="Q18">
        <f>IF(OR(D18="",M18="Done"),"",D18+N(E18)+ROW()/100000000)</f>
        <v/>
      </c>
    </row>
    <row r="19">
      <c r="A19" s="1" t="n"/>
      <c r="B19" s="27" t="n"/>
      <c r="C19" s="28" t="n"/>
      <c r="D19" s="30" t="n"/>
      <c r="E19" s="26" t="n"/>
      <c r="F19" s="30" t="n"/>
      <c r="G19" s="29" t="n"/>
      <c r="H19" s="31" t="n"/>
      <c r="I19" s="29" t="n"/>
      <c r="J19" s="31" t="n"/>
      <c r="K19" s="20">
        <f>IF(N(H19)=0,"",IF(N(H19)=0,0,H19*IF(I19="",1,IFERROR(INDEX(Setup!$F$9:$F$18,MATCH(I19,Setup!$E$9:$E$18,0)),0))))</f>
        <v/>
      </c>
      <c r="L19" s="15">
        <f>IF(N(H19)=0,"",IF(IF(N(H19)=0,0,H19*IF(I19="",1,IFERROR(INDEX(Setup!$F$9:$F$18,MATCH(I19,Setup!$E$9:$E$18,0)),0)))-IF(N(J19)=0,0,J19*IF(I19="",1,IFERROR(INDEX(Setup!$F$9:$F$18,MATCH(I19,Setup!$E$9:$E$18,0)),0)))&gt;0.005,IF(N(H19)=0,0,H19*IF(I19="",1,IFERROR(INDEX(Setup!$F$9:$F$18,MATCH(I19,Setup!$E$9:$E$18,0)),0)))-IF(N(J19)=0,0,J19*IF(I19="",1,IFERROR(INDEX(Setup!$F$9:$F$18,MATCH(I19,Setup!$E$9:$E$18,0)),0))),""))</f>
        <v/>
      </c>
      <c r="M19" s="19">
        <f>IF(D19="","",IF(D19&gt;TODAY(),"In "&amp;(D19-TODAY())&amp;IF((D19-TODAY())=1," day"," days"),IF(D19=TODAY(),"Today",IF(OR(F19="",F19&lt;TODAY()),"Done","Now"))))</f>
        <v/>
      </c>
      <c r="N19" s="28" t="n"/>
      <c r="O19" s="1">
        <f>IF(B19="","",IFERROR(INDEX(Setup!$I$9:$I$15,MATCH(B19,Setup!$H$9:$H$15,0)),"Other"))</f>
        <v/>
      </c>
      <c r="P19">
        <f>IF(N(H19)=0,0,IF(N(J19)=0,0,J19*IF(I19="",1,IFERROR(INDEX(Setup!$F$9:$F$18,MATCH(I19,Setup!$E$9:$E$18,0)),0))))</f>
        <v/>
      </c>
      <c r="Q19">
        <f>IF(OR(D19="",M19="Done"),"",D19+N(E19)+ROW()/100000000)</f>
        <v/>
      </c>
    </row>
    <row r="20">
      <c r="A20" s="1" t="n"/>
      <c r="B20" s="27" t="n"/>
      <c r="C20" s="28" t="n"/>
      <c r="D20" s="30" t="n"/>
      <c r="E20" s="26" t="n"/>
      <c r="F20" s="30" t="n"/>
      <c r="G20" s="29" t="n"/>
      <c r="H20" s="31" t="n"/>
      <c r="I20" s="29" t="n"/>
      <c r="J20" s="31" t="n"/>
      <c r="K20" s="20">
        <f>IF(N(H20)=0,"",IF(N(H20)=0,0,H20*IF(I20="",1,IFERROR(INDEX(Setup!$F$9:$F$18,MATCH(I20,Setup!$E$9:$E$18,0)),0))))</f>
        <v/>
      </c>
      <c r="L20" s="15">
        <f>IF(N(H20)=0,"",IF(IF(N(H20)=0,0,H20*IF(I20="",1,IFERROR(INDEX(Setup!$F$9:$F$18,MATCH(I20,Setup!$E$9:$E$18,0)),0)))-IF(N(J20)=0,0,J20*IF(I20="",1,IFERROR(INDEX(Setup!$F$9:$F$18,MATCH(I20,Setup!$E$9:$E$18,0)),0)))&gt;0.005,IF(N(H20)=0,0,H20*IF(I20="",1,IFERROR(INDEX(Setup!$F$9:$F$18,MATCH(I20,Setup!$E$9:$E$18,0)),0)))-IF(N(J20)=0,0,J20*IF(I20="",1,IFERROR(INDEX(Setup!$F$9:$F$18,MATCH(I20,Setup!$E$9:$E$18,0)),0))),""))</f>
        <v/>
      </c>
      <c r="M20" s="19">
        <f>IF(D20="","",IF(D20&gt;TODAY(),"In "&amp;(D20-TODAY())&amp;IF((D20-TODAY())=1," day"," days"),IF(D20=TODAY(),"Today",IF(OR(F20="",F20&lt;TODAY()),"Done","Now"))))</f>
        <v/>
      </c>
      <c r="N20" s="28" t="n"/>
      <c r="O20" s="1">
        <f>IF(B20="","",IFERROR(INDEX(Setup!$I$9:$I$15,MATCH(B20,Setup!$H$9:$H$15,0)),"Other"))</f>
        <v/>
      </c>
      <c r="P20">
        <f>IF(N(H20)=0,0,IF(N(J20)=0,0,J20*IF(I20="",1,IFERROR(INDEX(Setup!$F$9:$F$18,MATCH(I20,Setup!$E$9:$E$18,0)),0))))</f>
        <v/>
      </c>
      <c r="Q20">
        <f>IF(OR(D20="",M20="Done"),"",D20+N(E20)+ROW()/100000000)</f>
        <v/>
      </c>
    </row>
    <row r="21">
      <c r="A21" s="1" t="n"/>
      <c r="B21" s="27" t="n"/>
      <c r="C21" s="28" t="n"/>
      <c r="D21" s="30" t="n"/>
      <c r="E21" s="26" t="n"/>
      <c r="F21" s="30" t="n"/>
      <c r="G21" s="29" t="n"/>
      <c r="H21" s="31" t="n"/>
      <c r="I21" s="29" t="n"/>
      <c r="J21" s="31" t="n"/>
      <c r="K21" s="20">
        <f>IF(N(H21)=0,"",IF(N(H21)=0,0,H21*IF(I21="",1,IFERROR(INDEX(Setup!$F$9:$F$18,MATCH(I21,Setup!$E$9:$E$18,0)),0))))</f>
        <v/>
      </c>
      <c r="L21" s="15">
        <f>IF(N(H21)=0,"",IF(IF(N(H21)=0,0,H21*IF(I21="",1,IFERROR(INDEX(Setup!$F$9:$F$18,MATCH(I21,Setup!$E$9:$E$18,0)),0)))-IF(N(J21)=0,0,J21*IF(I21="",1,IFERROR(INDEX(Setup!$F$9:$F$18,MATCH(I21,Setup!$E$9:$E$18,0)),0)))&gt;0.005,IF(N(H21)=0,0,H21*IF(I21="",1,IFERROR(INDEX(Setup!$F$9:$F$18,MATCH(I21,Setup!$E$9:$E$18,0)),0)))-IF(N(J21)=0,0,J21*IF(I21="",1,IFERROR(INDEX(Setup!$F$9:$F$18,MATCH(I21,Setup!$E$9:$E$18,0)),0))),""))</f>
        <v/>
      </c>
      <c r="M21" s="19">
        <f>IF(D21="","",IF(D21&gt;TODAY(),"In "&amp;(D21-TODAY())&amp;IF((D21-TODAY())=1," day"," days"),IF(D21=TODAY(),"Today",IF(OR(F21="",F21&lt;TODAY()),"Done","Now"))))</f>
        <v/>
      </c>
      <c r="N21" s="28" t="n"/>
      <c r="O21" s="1">
        <f>IF(B21="","",IFERROR(INDEX(Setup!$I$9:$I$15,MATCH(B21,Setup!$H$9:$H$15,0)),"Other"))</f>
        <v/>
      </c>
      <c r="P21">
        <f>IF(N(H21)=0,0,IF(N(J21)=0,0,J21*IF(I21="",1,IFERROR(INDEX(Setup!$F$9:$F$18,MATCH(I21,Setup!$E$9:$E$18,0)),0))))</f>
        <v/>
      </c>
      <c r="Q21">
        <f>IF(OR(D21="",M21="Done"),"",D21+N(E21)+ROW()/100000000)</f>
        <v/>
      </c>
    </row>
    <row r="22">
      <c r="A22" s="1" t="n"/>
      <c r="B22" s="27" t="n"/>
      <c r="C22" s="28" t="n"/>
      <c r="D22" s="30" t="n"/>
      <c r="E22" s="26" t="n"/>
      <c r="F22" s="30" t="n"/>
      <c r="G22" s="29" t="n"/>
      <c r="H22" s="31" t="n"/>
      <c r="I22" s="29" t="n"/>
      <c r="J22" s="31" t="n"/>
      <c r="K22" s="20">
        <f>IF(N(H22)=0,"",IF(N(H22)=0,0,H22*IF(I22="",1,IFERROR(INDEX(Setup!$F$9:$F$18,MATCH(I22,Setup!$E$9:$E$18,0)),0))))</f>
        <v/>
      </c>
      <c r="L22" s="15">
        <f>IF(N(H22)=0,"",IF(IF(N(H22)=0,0,H22*IF(I22="",1,IFERROR(INDEX(Setup!$F$9:$F$18,MATCH(I22,Setup!$E$9:$E$18,0)),0)))-IF(N(J22)=0,0,J22*IF(I22="",1,IFERROR(INDEX(Setup!$F$9:$F$18,MATCH(I22,Setup!$E$9:$E$18,0)),0)))&gt;0.005,IF(N(H22)=0,0,H22*IF(I22="",1,IFERROR(INDEX(Setup!$F$9:$F$18,MATCH(I22,Setup!$E$9:$E$18,0)),0)))-IF(N(J22)=0,0,J22*IF(I22="",1,IFERROR(INDEX(Setup!$F$9:$F$18,MATCH(I22,Setup!$E$9:$E$18,0)),0))),""))</f>
        <v/>
      </c>
      <c r="M22" s="19">
        <f>IF(D22="","",IF(D22&gt;TODAY(),"In "&amp;(D22-TODAY())&amp;IF((D22-TODAY())=1," day"," days"),IF(D22=TODAY(),"Today",IF(OR(F22="",F22&lt;TODAY()),"Done","Now"))))</f>
        <v/>
      </c>
      <c r="N22" s="28" t="n"/>
      <c r="O22" s="1">
        <f>IF(B22="","",IFERROR(INDEX(Setup!$I$9:$I$15,MATCH(B22,Setup!$H$9:$H$15,0)),"Other"))</f>
        <v/>
      </c>
      <c r="P22">
        <f>IF(N(H22)=0,0,IF(N(J22)=0,0,J22*IF(I22="",1,IFERROR(INDEX(Setup!$F$9:$F$18,MATCH(I22,Setup!$E$9:$E$18,0)),0))))</f>
        <v/>
      </c>
      <c r="Q22">
        <f>IF(OR(D22="",M22="Done"),"",D22+N(E22)+ROW()/100000000)</f>
        <v/>
      </c>
    </row>
    <row r="23">
      <c r="A23" s="1" t="n"/>
      <c r="B23" s="27" t="n"/>
      <c r="C23" s="28" t="n"/>
      <c r="D23" s="30" t="n"/>
      <c r="E23" s="26" t="n"/>
      <c r="F23" s="30" t="n"/>
      <c r="G23" s="29" t="n"/>
      <c r="H23" s="31" t="n"/>
      <c r="I23" s="29" t="n"/>
      <c r="J23" s="31" t="n"/>
      <c r="K23" s="20">
        <f>IF(N(H23)=0,"",IF(N(H23)=0,0,H23*IF(I23="",1,IFERROR(INDEX(Setup!$F$9:$F$18,MATCH(I23,Setup!$E$9:$E$18,0)),0))))</f>
        <v/>
      </c>
      <c r="L23" s="15">
        <f>IF(N(H23)=0,"",IF(IF(N(H23)=0,0,H23*IF(I23="",1,IFERROR(INDEX(Setup!$F$9:$F$18,MATCH(I23,Setup!$E$9:$E$18,0)),0)))-IF(N(J23)=0,0,J23*IF(I23="",1,IFERROR(INDEX(Setup!$F$9:$F$18,MATCH(I23,Setup!$E$9:$E$18,0)),0)))&gt;0.005,IF(N(H23)=0,0,H23*IF(I23="",1,IFERROR(INDEX(Setup!$F$9:$F$18,MATCH(I23,Setup!$E$9:$E$18,0)),0)))-IF(N(J23)=0,0,J23*IF(I23="",1,IFERROR(INDEX(Setup!$F$9:$F$18,MATCH(I23,Setup!$E$9:$E$18,0)),0))),""))</f>
        <v/>
      </c>
      <c r="M23" s="19">
        <f>IF(D23="","",IF(D23&gt;TODAY(),"In "&amp;(D23-TODAY())&amp;IF((D23-TODAY())=1," day"," days"),IF(D23=TODAY(),"Today",IF(OR(F23="",F23&lt;TODAY()),"Done","Now"))))</f>
        <v/>
      </c>
      <c r="N23" s="28" t="n"/>
      <c r="O23" s="1">
        <f>IF(B23="","",IFERROR(INDEX(Setup!$I$9:$I$15,MATCH(B23,Setup!$H$9:$H$15,0)),"Other"))</f>
        <v/>
      </c>
      <c r="P23">
        <f>IF(N(H23)=0,0,IF(N(J23)=0,0,J23*IF(I23="",1,IFERROR(INDEX(Setup!$F$9:$F$18,MATCH(I23,Setup!$E$9:$E$18,0)),0))))</f>
        <v/>
      </c>
      <c r="Q23">
        <f>IF(OR(D23="",M23="Done"),"",D23+N(E23)+ROW()/100000000)</f>
        <v/>
      </c>
    </row>
    <row r="24">
      <c r="A24" s="1" t="n"/>
      <c r="B24" s="27" t="n"/>
      <c r="C24" s="28" t="n"/>
      <c r="D24" s="30" t="n"/>
      <c r="E24" s="26" t="n"/>
      <c r="F24" s="30" t="n"/>
      <c r="G24" s="29" t="n"/>
      <c r="H24" s="31" t="n"/>
      <c r="I24" s="29" t="n"/>
      <c r="J24" s="31" t="n"/>
      <c r="K24" s="20">
        <f>IF(N(H24)=0,"",IF(N(H24)=0,0,H24*IF(I24="",1,IFERROR(INDEX(Setup!$F$9:$F$18,MATCH(I24,Setup!$E$9:$E$18,0)),0))))</f>
        <v/>
      </c>
      <c r="L24" s="15">
        <f>IF(N(H24)=0,"",IF(IF(N(H24)=0,0,H24*IF(I24="",1,IFERROR(INDEX(Setup!$F$9:$F$18,MATCH(I24,Setup!$E$9:$E$18,0)),0)))-IF(N(J24)=0,0,J24*IF(I24="",1,IFERROR(INDEX(Setup!$F$9:$F$18,MATCH(I24,Setup!$E$9:$E$18,0)),0)))&gt;0.005,IF(N(H24)=0,0,H24*IF(I24="",1,IFERROR(INDEX(Setup!$F$9:$F$18,MATCH(I24,Setup!$E$9:$E$18,0)),0)))-IF(N(J24)=0,0,J24*IF(I24="",1,IFERROR(INDEX(Setup!$F$9:$F$18,MATCH(I24,Setup!$E$9:$E$18,0)),0))),""))</f>
        <v/>
      </c>
      <c r="M24" s="19">
        <f>IF(D24="","",IF(D24&gt;TODAY(),"In "&amp;(D24-TODAY())&amp;IF((D24-TODAY())=1," day"," days"),IF(D24=TODAY(),"Today",IF(OR(F24="",F24&lt;TODAY()),"Done","Now"))))</f>
        <v/>
      </c>
      <c r="N24" s="28" t="n"/>
      <c r="O24" s="1">
        <f>IF(B24="","",IFERROR(INDEX(Setup!$I$9:$I$15,MATCH(B24,Setup!$H$9:$H$15,0)),"Other"))</f>
        <v/>
      </c>
      <c r="P24">
        <f>IF(N(H24)=0,0,IF(N(J24)=0,0,J24*IF(I24="",1,IFERROR(INDEX(Setup!$F$9:$F$18,MATCH(I24,Setup!$E$9:$E$18,0)),0))))</f>
        <v/>
      </c>
      <c r="Q24">
        <f>IF(OR(D24="",M24="Done"),"",D24+N(E24)+ROW()/100000000)</f>
        <v/>
      </c>
    </row>
    <row r="25">
      <c r="A25" s="1" t="n"/>
      <c r="B25" s="27" t="n"/>
      <c r="C25" s="28" t="n"/>
      <c r="D25" s="30" t="n"/>
      <c r="E25" s="26" t="n"/>
      <c r="F25" s="30" t="n"/>
      <c r="G25" s="29" t="n"/>
      <c r="H25" s="31" t="n"/>
      <c r="I25" s="29" t="n"/>
      <c r="J25" s="31" t="n"/>
      <c r="K25" s="20">
        <f>IF(N(H25)=0,"",IF(N(H25)=0,0,H25*IF(I25="",1,IFERROR(INDEX(Setup!$F$9:$F$18,MATCH(I25,Setup!$E$9:$E$18,0)),0))))</f>
        <v/>
      </c>
      <c r="L25" s="15">
        <f>IF(N(H25)=0,"",IF(IF(N(H25)=0,0,H25*IF(I25="",1,IFERROR(INDEX(Setup!$F$9:$F$18,MATCH(I25,Setup!$E$9:$E$18,0)),0)))-IF(N(J25)=0,0,J25*IF(I25="",1,IFERROR(INDEX(Setup!$F$9:$F$18,MATCH(I25,Setup!$E$9:$E$18,0)),0)))&gt;0.005,IF(N(H25)=0,0,H25*IF(I25="",1,IFERROR(INDEX(Setup!$F$9:$F$18,MATCH(I25,Setup!$E$9:$E$18,0)),0)))-IF(N(J25)=0,0,J25*IF(I25="",1,IFERROR(INDEX(Setup!$F$9:$F$18,MATCH(I25,Setup!$E$9:$E$18,0)),0))),""))</f>
        <v/>
      </c>
      <c r="M25" s="19">
        <f>IF(D25="","",IF(D25&gt;TODAY(),"In "&amp;(D25-TODAY())&amp;IF((D25-TODAY())=1," day"," days"),IF(D25=TODAY(),"Today",IF(OR(F25="",F25&lt;TODAY()),"Done","Now"))))</f>
        <v/>
      </c>
      <c r="N25" s="28" t="n"/>
      <c r="O25" s="1">
        <f>IF(B25="","",IFERROR(INDEX(Setup!$I$9:$I$15,MATCH(B25,Setup!$H$9:$H$15,0)),"Other"))</f>
        <v/>
      </c>
      <c r="P25">
        <f>IF(N(H25)=0,0,IF(N(J25)=0,0,J25*IF(I25="",1,IFERROR(INDEX(Setup!$F$9:$F$18,MATCH(I25,Setup!$E$9:$E$18,0)),0))))</f>
        <v/>
      </c>
      <c r="Q25">
        <f>IF(OR(D25="",M25="Done"),"",D25+N(E25)+ROW()/100000000)</f>
        <v/>
      </c>
    </row>
    <row r="26">
      <c r="A26" s="1" t="n"/>
      <c r="B26" s="27" t="n"/>
      <c r="C26" s="28" t="n"/>
      <c r="D26" s="30" t="n"/>
      <c r="E26" s="26" t="n"/>
      <c r="F26" s="30" t="n"/>
      <c r="G26" s="29" t="n"/>
      <c r="H26" s="31" t="n"/>
      <c r="I26" s="29" t="n"/>
      <c r="J26" s="31" t="n"/>
      <c r="K26" s="20">
        <f>IF(N(H26)=0,"",IF(N(H26)=0,0,H26*IF(I26="",1,IFERROR(INDEX(Setup!$F$9:$F$18,MATCH(I26,Setup!$E$9:$E$18,0)),0))))</f>
        <v/>
      </c>
      <c r="L26" s="15">
        <f>IF(N(H26)=0,"",IF(IF(N(H26)=0,0,H26*IF(I26="",1,IFERROR(INDEX(Setup!$F$9:$F$18,MATCH(I26,Setup!$E$9:$E$18,0)),0)))-IF(N(J26)=0,0,J26*IF(I26="",1,IFERROR(INDEX(Setup!$F$9:$F$18,MATCH(I26,Setup!$E$9:$E$18,0)),0)))&gt;0.005,IF(N(H26)=0,0,H26*IF(I26="",1,IFERROR(INDEX(Setup!$F$9:$F$18,MATCH(I26,Setup!$E$9:$E$18,0)),0)))-IF(N(J26)=0,0,J26*IF(I26="",1,IFERROR(INDEX(Setup!$F$9:$F$18,MATCH(I26,Setup!$E$9:$E$18,0)),0))),""))</f>
        <v/>
      </c>
      <c r="M26" s="19">
        <f>IF(D26="","",IF(D26&gt;TODAY(),"In "&amp;(D26-TODAY())&amp;IF((D26-TODAY())=1," day"," days"),IF(D26=TODAY(),"Today",IF(OR(F26="",F26&lt;TODAY()),"Done","Now"))))</f>
        <v/>
      </c>
      <c r="N26" s="28" t="n"/>
      <c r="O26" s="1">
        <f>IF(B26="","",IFERROR(INDEX(Setup!$I$9:$I$15,MATCH(B26,Setup!$H$9:$H$15,0)),"Other"))</f>
        <v/>
      </c>
      <c r="P26">
        <f>IF(N(H26)=0,0,IF(N(J26)=0,0,J26*IF(I26="",1,IFERROR(INDEX(Setup!$F$9:$F$18,MATCH(I26,Setup!$E$9:$E$18,0)),0))))</f>
        <v/>
      </c>
      <c r="Q26">
        <f>IF(OR(D26="",M26="Done"),"",D26+N(E26)+ROW()/100000000)</f>
        <v/>
      </c>
    </row>
    <row r="27">
      <c r="A27" s="1" t="n"/>
      <c r="B27" s="27" t="n"/>
      <c r="C27" s="28" t="n"/>
      <c r="D27" s="30" t="n"/>
      <c r="E27" s="26" t="n"/>
      <c r="F27" s="30" t="n"/>
      <c r="G27" s="29" t="n"/>
      <c r="H27" s="31" t="n"/>
      <c r="I27" s="29" t="n"/>
      <c r="J27" s="31" t="n"/>
      <c r="K27" s="20">
        <f>IF(N(H27)=0,"",IF(N(H27)=0,0,H27*IF(I27="",1,IFERROR(INDEX(Setup!$F$9:$F$18,MATCH(I27,Setup!$E$9:$E$18,0)),0))))</f>
        <v/>
      </c>
      <c r="L27" s="15">
        <f>IF(N(H27)=0,"",IF(IF(N(H27)=0,0,H27*IF(I27="",1,IFERROR(INDEX(Setup!$F$9:$F$18,MATCH(I27,Setup!$E$9:$E$18,0)),0)))-IF(N(J27)=0,0,J27*IF(I27="",1,IFERROR(INDEX(Setup!$F$9:$F$18,MATCH(I27,Setup!$E$9:$E$18,0)),0)))&gt;0.005,IF(N(H27)=0,0,H27*IF(I27="",1,IFERROR(INDEX(Setup!$F$9:$F$18,MATCH(I27,Setup!$E$9:$E$18,0)),0)))-IF(N(J27)=0,0,J27*IF(I27="",1,IFERROR(INDEX(Setup!$F$9:$F$18,MATCH(I27,Setup!$E$9:$E$18,0)),0))),""))</f>
        <v/>
      </c>
      <c r="M27" s="19">
        <f>IF(D27="","",IF(D27&gt;TODAY(),"In "&amp;(D27-TODAY())&amp;IF((D27-TODAY())=1," day"," days"),IF(D27=TODAY(),"Today",IF(OR(F27="",F27&lt;TODAY()),"Done","Now"))))</f>
        <v/>
      </c>
      <c r="N27" s="28" t="n"/>
      <c r="O27" s="1">
        <f>IF(B27="","",IFERROR(INDEX(Setup!$I$9:$I$15,MATCH(B27,Setup!$H$9:$H$15,0)),"Other"))</f>
        <v/>
      </c>
      <c r="P27">
        <f>IF(N(H27)=0,0,IF(N(J27)=0,0,J27*IF(I27="",1,IFERROR(INDEX(Setup!$F$9:$F$18,MATCH(I27,Setup!$E$9:$E$18,0)),0))))</f>
        <v/>
      </c>
      <c r="Q27">
        <f>IF(OR(D27="",M27="Done"),"",D27+N(E27)+ROW()/100000000)</f>
        <v/>
      </c>
    </row>
    <row r="28">
      <c r="A28" s="1" t="n"/>
      <c r="B28" s="27" t="n"/>
      <c r="C28" s="28" t="n"/>
      <c r="D28" s="30" t="n"/>
      <c r="E28" s="26" t="n"/>
      <c r="F28" s="30" t="n"/>
      <c r="G28" s="29" t="n"/>
      <c r="H28" s="31" t="n"/>
      <c r="I28" s="29" t="n"/>
      <c r="J28" s="31" t="n"/>
      <c r="K28" s="20">
        <f>IF(N(H28)=0,"",IF(N(H28)=0,0,H28*IF(I28="",1,IFERROR(INDEX(Setup!$F$9:$F$18,MATCH(I28,Setup!$E$9:$E$18,0)),0))))</f>
        <v/>
      </c>
      <c r="L28" s="15">
        <f>IF(N(H28)=0,"",IF(IF(N(H28)=0,0,H28*IF(I28="",1,IFERROR(INDEX(Setup!$F$9:$F$18,MATCH(I28,Setup!$E$9:$E$18,0)),0)))-IF(N(J28)=0,0,J28*IF(I28="",1,IFERROR(INDEX(Setup!$F$9:$F$18,MATCH(I28,Setup!$E$9:$E$18,0)),0)))&gt;0.005,IF(N(H28)=0,0,H28*IF(I28="",1,IFERROR(INDEX(Setup!$F$9:$F$18,MATCH(I28,Setup!$E$9:$E$18,0)),0)))-IF(N(J28)=0,0,J28*IF(I28="",1,IFERROR(INDEX(Setup!$F$9:$F$18,MATCH(I28,Setup!$E$9:$E$18,0)),0))),""))</f>
        <v/>
      </c>
      <c r="M28" s="19">
        <f>IF(D28="","",IF(D28&gt;TODAY(),"In "&amp;(D28-TODAY())&amp;IF((D28-TODAY())=1," day"," days"),IF(D28=TODAY(),"Today",IF(OR(F28="",F28&lt;TODAY()),"Done","Now"))))</f>
        <v/>
      </c>
      <c r="N28" s="28" t="n"/>
      <c r="O28" s="1">
        <f>IF(B28="","",IFERROR(INDEX(Setup!$I$9:$I$15,MATCH(B28,Setup!$H$9:$H$15,0)),"Other"))</f>
        <v/>
      </c>
      <c r="P28">
        <f>IF(N(H28)=0,0,IF(N(J28)=0,0,J28*IF(I28="",1,IFERROR(INDEX(Setup!$F$9:$F$18,MATCH(I28,Setup!$E$9:$E$18,0)),0))))</f>
        <v/>
      </c>
      <c r="Q28">
        <f>IF(OR(D28="",M28="Done"),"",D28+N(E28)+ROW()/100000000)</f>
        <v/>
      </c>
    </row>
    <row r="29">
      <c r="A29" s="1" t="n"/>
      <c r="B29" s="27" t="n"/>
      <c r="C29" s="28" t="n"/>
      <c r="D29" s="30" t="n"/>
      <c r="E29" s="26" t="n"/>
      <c r="F29" s="30" t="n"/>
      <c r="G29" s="29" t="n"/>
      <c r="H29" s="31" t="n"/>
      <c r="I29" s="29" t="n"/>
      <c r="J29" s="31" t="n"/>
      <c r="K29" s="20">
        <f>IF(N(H29)=0,"",IF(N(H29)=0,0,H29*IF(I29="",1,IFERROR(INDEX(Setup!$F$9:$F$18,MATCH(I29,Setup!$E$9:$E$18,0)),0))))</f>
        <v/>
      </c>
      <c r="L29" s="15">
        <f>IF(N(H29)=0,"",IF(IF(N(H29)=0,0,H29*IF(I29="",1,IFERROR(INDEX(Setup!$F$9:$F$18,MATCH(I29,Setup!$E$9:$E$18,0)),0)))-IF(N(J29)=0,0,J29*IF(I29="",1,IFERROR(INDEX(Setup!$F$9:$F$18,MATCH(I29,Setup!$E$9:$E$18,0)),0)))&gt;0.005,IF(N(H29)=0,0,H29*IF(I29="",1,IFERROR(INDEX(Setup!$F$9:$F$18,MATCH(I29,Setup!$E$9:$E$18,0)),0)))-IF(N(J29)=0,0,J29*IF(I29="",1,IFERROR(INDEX(Setup!$F$9:$F$18,MATCH(I29,Setup!$E$9:$E$18,0)),0))),""))</f>
        <v/>
      </c>
      <c r="M29" s="19">
        <f>IF(D29="","",IF(D29&gt;TODAY(),"In "&amp;(D29-TODAY())&amp;IF((D29-TODAY())=1," day"," days"),IF(D29=TODAY(),"Today",IF(OR(F29="",F29&lt;TODAY()),"Done","Now"))))</f>
        <v/>
      </c>
      <c r="N29" s="28" t="n"/>
      <c r="O29" s="1">
        <f>IF(B29="","",IFERROR(INDEX(Setup!$I$9:$I$15,MATCH(B29,Setup!$H$9:$H$15,0)),"Other"))</f>
        <v/>
      </c>
      <c r="P29">
        <f>IF(N(H29)=0,0,IF(N(J29)=0,0,J29*IF(I29="",1,IFERROR(INDEX(Setup!$F$9:$F$18,MATCH(I29,Setup!$E$9:$E$18,0)),0))))</f>
        <v/>
      </c>
      <c r="Q29">
        <f>IF(OR(D29="",M29="Done"),"",D29+N(E29)+ROW()/100000000)</f>
        <v/>
      </c>
    </row>
    <row r="30">
      <c r="A30" s="1" t="n"/>
      <c r="B30" s="27" t="n"/>
      <c r="C30" s="28" t="n"/>
      <c r="D30" s="30" t="n"/>
      <c r="E30" s="26" t="n"/>
      <c r="F30" s="30" t="n"/>
      <c r="G30" s="29" t="n"/>
      <c r="H30" s="31" t="n"/>
      <c r="I30" s="29" t="n"/>
      <c r="J30" s="31" t="n"/>
      <c r="K30" s="20">
        <f>IF(N(H30)=0,"",IF(N(H30)=0,0,H30*IF(I30="",1,IFERROR(INDEX(Setup!$F$9:$F$18,MATCH(I30,Setup!$E$9:$E$18,0)),0))))</f>
        <v/>
      </c>
      <c r="L30" s="15">
        <f>IF(N(H30)=0,"",IF(IF(N(H30)=0,0,H30*IF(I30="",1,IFERROR(INDEX(Setup!$F$9:$F$18,MATCH(I30,Setup!$E$9:$E$18,0)),0)))-IF(N(J30)=0,0,J30*IF(I30="",1,IFERROR(INDEX(Setup!$F$9:$F$18,MATCH(I30,Setup!$E$9:$E$18,0)),0)))&gt;0.005,IF(N(H30)=0,0,H30*IF(I30="",1,IFERROR(INDEX(Setup!$F$9:$F$18,MATCH(I30,Setup!$E$9:$E$18,0)),0)))-IF(N(J30)=0,0,J30*IF(I30="",1,IFERROR(INDEX(Setup!$F$9:$F$18,MATCH(I30,Setup!$E$9:$E$18,0)),0))),""))</f>
        <v/>
      </c>
      <c r="M30" s="19">
        <f>IF(D30="","",IF(D30&gt;TODAY(),"In "&amp;(D30-TODAY())&amp;IF((D30-TODAY())=1," day"," days"),IF(D30=TODAY(),"Today",IF(OR(F30="",F30&lt;TODAY()),"Done","Now"))))</f>
        <v/>
      </c>
      <c r="N30" s="28" t="n"/>
      <c r="O30" s="1">
        <f>IF(B30="","",IFERROR(INDEX(Setup!$I$9:$I$15,MATCH(B30,Setup!$H$9:$H$15,0)),"Other"))</f>
        <v/>
      </c>
      <c r="P30">
        <f>IF(N(H30)=0,0,IF(N(J30)=0,0,J30*IF(I30="",1,IFERROR(INDEX(Setup!$F$9:$F$18,MATCH(I30,Setup!$E$9:$E$18,0)),0))))</f>
        <v/>
      </c>
      <c r="Q30">
        <f>IF(OR(D30="",M30="Done"),"",D30+N(E30)+ROW()/100000000)</f>
        <v/>
      </c>
    </row>
    <row r="31">
      <c r="A31" s="1" t="n"/>
      <c r="B31" s="27" t="n"/>
      <c r="C31" s="28" t="n"/>
      <c r="D31" s="30" t="n"/>
      <c r="E31" s="26" t="n"/>
      <c r="F31" s="30" t="n"/>
      <c r="G31" s="29" t="n"/>
      <c r="H31" s="31" t="n"/>
      <c r="I31" s="29" t="n"/>
      <c r="J31" s="31" t="n"/>
      <c r="K31" s="20">
        <f>IF(N(H31)=0,"",IF(N(H31)=0,0,H31*IF(I31="",1,IFERROR(INDEX(Setup!$F$9:$F$18,MATCH(I31,Setup!$E$9:$E$18,0)),0))))</f>
        <v/>
      </c>
      <c r="L31" s="15">
        <f>IF(N(H31)=0,"",IF(IF(N(H31)=0,0,H31*IF(I31="",1,IFERROR(INDEX(Setup!$F$9:$F$18,MATCH(I31,Setup!$E$9:$E$18,0)),0)))-IF(N(J31)=0,0,J31*IF(I31="",1,IFERROR(INDEX(Setup!$F$9:$F$18,MATCH(I31,Setup!$E$9:$E$18,0)),0)))&gt;0.005,IF(N(H31)=0,0,H31*IF(I31="",1,IFERROR(INDEX(Setup!$F$9:$F$18,MATCH(I31,Setup!$E$9:$E$18,0)),0)))-IF(N(J31)=0,0,J31*IF(I31="",1,IFERROR(INDEX(Setup!$F$9:$F$18,MATCH(I31,Setup!$E$9:$E$18,0)),0))),""))</f>
        <v/>
      </c>
      <c r="M31" s="19">
        <f>IF(D31="","",IF(D31&gt;TODAY(),"In "&amp;(D31-TODAY())&amp;IF((D31-TODAY())=1," day"," days"),IF(D31=TODAY(),"Today",IF(OR(F31="",F31&lt;TODAY()),"Done","Now"))))</f>
        <v/>
      </c>
      <c r="N31" s="28" t="n"/>
      <c r="O31" s="1">
        <f>IF(B31="","",IFERROR(INDEX(Setup!$I$9:$I$15,MATCH(B31,Setup!$H$9:$H$15,0)),"Other"))</f>
        <v/>
      </c>
      <c r="P31">
        <f>IF(N(H31)=0,0,IF(N(J31)=0,0,J31*IF(I31="",1,IFERROR(INDEX(Setup!$F$9:$F$18,MATCH(I31,Setup!$E$9:$E$18,0)),0))))</f>
        <v/>
      </c>
      <c r="Q31">
        <f>IF(OR(D31="",M31="Done"),"",D31+N(E31)+ROW()/100000000)</f>
        <v/>
      </c>
    </row>
    <row r="32">
      <c r="A32" s="1" t="n"/>
      <c r="B32" s="27" t="n"/>
      <c r="C32" s="28" t="n"/>
      <c r="D32" s="30" t="n"/>
      <c r="E32" s="26" t="n"/>
      <c r="F32" s="30" t="n"/>
      <c r="G32" s="29" t="n"/>
      <c r="H32" s="31" t="n"/>
      <c r="I32" s="29" t="n"/>
      <c r="J32" s="31" t="n"/>
      <c r="K32" s="20">
        <f>IF(N(H32)=0,"",IF(N(H32)=0,0,H32*IF(I32="",1,IFERROR(INDEX(Setup!$F$9:$F$18,MATCH(I32,Setup!$E$9:$E$18,0)),0))))</f>
        <v/>
      </c>
      <c r="L32" s="15">
        <f>IF(N(H32)=0,"",IF(IF(N(H32)=0,0,H32*IF(I32="",1,IFERROR(INDEX(Setup!$F$9:$F$18,MATCH(I32,Setup!$E$9:$E$18,0)),0)))-IF(N(J32)=0,0,J32*IF(I32="",1,IFERROR(INDEX(Setup!$F$9:$F$18,MATCH(I32,Setup!$E$9:$E$18,0)),0)))&gt;0.005,IF(N(H32)=0,0,H32*IF(I32="",1,IFERROR(INDEX(Setup!$F$9:$F$18,MATCH(I32,Setup!$E$9:$E$18,0)),0)))-IF(N(J32)=0,0,J32*IF(I32="",1,IFERROR(INDEX(Setup!$F$9:$F$18,MATCH(I32,Setup!$E$9:$E$18,0)),0))),""))</f>
        <v/>
      </c>
      <c r="M32" s="19">
        <f>IF(D32="","",IF(D32&gt;TODAY(),"In "&amp;(D32-TODAY())&amp;IF((D32-TODAY())=1," day"," days"),IF(D32=TODAY(),"Today",IF(OR(F32="",F32&lt;TODAY()),"Done","Now"))))</f>
        <v/>
      </c>
      <c r="N32" s="28" t="n"/>
      <c r="O32" s="1">
        <f>IF(B32="","",IFERROR(INDEX(Setup!$I$9:$I$15,MATCH(B32,Setup!$H$9:$H$15,0)),"Other"))</f>
        <v/>
      </c>
      <c r="P32">
        <f>IF(N(H32)=0,0,IF(N(J32)=0,0,J32*IF(I32="",1,IFERROR(INDEX(Setup!$F$9:$F$18,MATCH(I32,Setup!$E$9:$E$18,0)),0))))</f>
        <v/>
      </c>
      <c r="Q32">
        <f>IF(OR(D32="",M32="Done"),"",D32+N(E32)+ROW()/100000000)</f>
        <v/>
      </c>
    </row>
    <row r="33">
      <c r="A33" s="1" t="n"/>
      <c r="B33" s="27" t="n"/>
      <c r="C33" s="28" t="n"/>
      <c r="D33" s="30" t="n"/>
      <c r="E33" s="26" t="n"/>
      <c r="F33" s="30" t="n"/>
      <c r="G33" s="29" t="n"/>
      <c r="H33" s="31" t="n"/>
      <c r="I33" s="29" t="n"/>
      <c r="J33" s="31" t="n"/>
      <c r="K33" s="20">
        <f>IF(N(H33)=0,"",IF(N(H33)=0,0,H33*IF(I33="",1,IFERROR(INDEX(Setup!$F$9:$F$18,MATCH(I33,Setup!$E$9:$E$18,0)),0))))</f>
        <v/>
      </c>
      <c r="L33" s="15">
        <f>IF(N(H33)=0,"",IF(IF(N(H33)=0,0,H33*IF(I33="",1,IFERROR(INDEX(Setup!$F$9:$F$18,MATCH(I33,Setup!$E$9:$E$18,0)),0)))-IF(N(J33)=0,0,J33*IF(I33="",1,IFERROR(INDEX(Setup!$F$9:$F$18,MATCH(I33,Setup!$E$9:$E$18,0)),0)))&gt;0.005,IF(N(H33)=0,0,H33*IF(I33="",1,IFERROR(INDEX(Setup!$F$9:$F$18,MATCH(I33,Setup!$E$9:$E$18,0)),0)))-IF(N(J33)=0,0,J33*IF(I33="",1,IFERROR(INDEX(Setup!$F$9:$F$18,MATCH(I33,Setup!$E$9:$E$18,0)),0))),""))</f>
        <v/>
      </c>
      <c r="M33" s="19">
        <f>IF(D33="","",IF(D33&gt;TODAY(),"In "&amp;(D33-TODAY())&amp;IF((D33-TODAY())=1," day"," days"),IF(D33=TODAY(),"Today",IF(OR(F33="",F33&lt;TODAY()),"Done","Now"))))</f>
        <v/>
      </c>
      <c r="N33" s="28" t="n"/>
      <c r="O33" s="1">
        <f>IF(B33="","",IFERROR(INDEX(Setup!$I$9:$I$15,MATCH(B33,Setup!$H$9:$H$15,0)),"Other"))</f>
        <v/>
      </c>
      <c r="P33">
        <f>IF(N(H33)=0,0,IF(N(J33)=0,0,J33*IF(I33="",1,IFERROR(INDEX(Setup!$F$9:$F$18,MATCH(I33,Setup!$E$9:$E$18,0)),0))))</f>
        <v/>
      </c>
      <c r="Q33">
        <f>IF(OR(D33="",M33="Done"),"",D33+N(E33)+ROW()/100000000)</f>
        <v/>
      </c>
    </row>
    <row r="34">
      <c r="A34" s="1" t="n"/>
      <c r="B34" s="27" t="n"/>
      <c r="C34" s="28" t="n"/>
      <c r="D34" s="30" t="n"/>
      <c r="E34" s="26" t="n"/>
      <c r="F34" s="30" t="n"/>
      <c r="G34" s="29" t="n"/>
      <c r="H34" s="31" t="n"/>
      <c r="I34" s="29" t="n"/>
      <c r="J34" s="31" t="n"/>
      <c r="K34" s="20">
        <f>IF(N(H34)=0,"",IF(N(H34)=0,0,H34*IF(I34="",1,IFERROR(INDEX(Setup!$F$9:$F$18,MATCH(I34,Setup!$E$9:$E$18,0)),0))))</f>
        <v/>
      </c>
      <c r="L34" s="15">
        <f>IF(N(H34)=0,"",IF(IF(N(H34)=0,0,H34*IF(I34="",1,IFERROR(INDEX(Setup!$F$9:$F$18,MATCH(I34,Setup!$E$9:$E$18,0)),0)))-IF(N(J34)=0,0,J34*IF(I34="",1,IFERROR(INDEX(Setup!$F$9:$F$18,MATCH(I34,Setup!$E$9:$E$18,0)),0)))&gt;0.005,IF(N(H34)=0,0,H34*IF(I34="",1,IFERROR(INDEX(Setup!$F$9:$F$18,MATCH(I34,Setup!$E$9:$E$18,0)),0)))-IF(N(J34)=0,0,J34*IF(I34="",1,IFERROR(INDEX(Setup!$F$9:$F$18,MATCH(I34,Setup!$E$9:$E$18,0)),0))),""))</f>
        <v/>
      </c>
      <c r="M34" s="19">
        <f>IF(D34="","",IF(D34&gt;TODAY(),"In "&amp;(D34-TODAY())&amp;IF((D34-TODAY())=1," day"," days"),IF(D34=TODAY(),"Today",IF(OR(F34="",F34&lt;TODAY()),"Done","Now"))))</f>
        <v/>
      </c>
      <c r="N34" s="28" t="n"/>
      <c r="O34" s="1">
        <f>IF(B34="","",IFERROR(INDEX(Setup!$I$9:$I$15,MATCH(B34,Setup!$H$9:$H$15,0)),"Other"))</f>
        <v/>
      </c>
      <c r="P34">
        <f>IF(N(H34)=0,0,IF(N(J34)=0,0,J34*IF(I34="",1,IFERROR(INDEX(Setup!$F$9:$F$18,MATCH(I34,Setup!$E$9:$E$18,0)),0))))</f>
        <v/>
      </c>
      <c r="Q34">
        <f>IF(OR(D34="",M34="Done"),"",D34+N(E34)+ROW()/100000000)</f>
        <v/>
      </c>
    </row>
    <row r="35">
      <c r="A35" s="1" t="n"/>
      <c r="B35" s="27" t="n"/>
      <c r="C35" s="28" t="n"/>
      <c r="D35" s="30" t="n"/>
      <c r="E35" s="26" t="n"/>
      <c r="F35" s="30" t="n"/>
      <c r="G35" s="29" t="n"/>
      <c r="H35" s="31" t="n"/>
      <c r="I35" s="29" t="n"/>
      <c r="J35" s="31" t="n"/>
      <c r="K35" s="20">
        <f>IF(N(H35)=0,"",IF(N(H35)=0,0,H35*IF(I35="",1,IFERROR(INDEX(Setup!$F$9:$F$18,MATCH(I35,Setup!$E$9:$E$18,0)),0))))</f>
        <v/>
      </c>
      <c r="L35" s="15">
        <f>IF(N(H35)=0,"",IF(IF(N(H35)=0,0,H35*IF(I35="",1,IFERROR(INDEX(Setup!$F$9:$F$18,MATCH(I35,Setup!$E$9:$E$18,0)),0)))-IF(N(J35)=0,0,J35*IF(I35="",1,IFERROR(INDEX(Setup!$F$9:$F$18,MATCH(I35,Setup!$E$9:$E$18,0)),0)))&gt;0.005,IF(N(H35)=0,0,H35*IF(I35="",1,IFERROR(INDEX(Setup!$F$9:$F$18,MATCH(I35,Setup!$E$9:$E$18,0)),0)))-IF(N(J35)=0,0,J35*IF(I35="",1,IFERROR(INDEX(Setup!$F$9:$F$18,MATCH(I35,Setup!$E$9:$E$18,0)),0))),""))</f>
        <v/>
      </c>
      <c r="M35" s="19">
        <f>IF(D35="","",IF(D35&gt;TODAY(),"In "&amp;(D35-TODAY())&amp;IF((D35-TODAY())=1," day"," days"),IF(D35=TODAY(),"Today",IF(OR(F35="",F35&lt;TODAY()),"Done","Now"))))</f>
        <v/>
      </c>
      <c r="N35" s="28" t="n"/>
      <c r="O35" s="1">
        <f>IF(B35="","",IFERROR(INDEX(Setup!$I$9:$I$15,MATCH(B35,Setup!$H$9:$H$15,0)),"Other"))</f>
        <v/>
      </c>
      <c r="P35">
        <f>IF(N(H35)=0,0,IF(N(J35)=0,0,J35*IF(I35="",1,IFERROR(INDEX(Setup!$F$9:$F$18,MATCH(I35,Setup!$E$9:$E$18,0)),0))))</f>
        <v/>
      </c>
      <c r="Q35">
        <f>IF(OR(D35="",M35="Done"),"",D35+N(E35)+ROW()/100000000)</f>
        <v/>
      </c>
    </row>
    <row r="36">
      <c r="A36" s="1" t="n"/>
      <c r="B36" s="27" t="n"/>
      <c r="C36" s="28" t="n"/>
      <c r="D36" s="30" t="n"/>
      <c r="E36" s="26" t="n"/>
      <c r="F36" s="30" t="n"/>
      <c r="G36" s="29" t="n"/>
      <c r="H36" s="31" t="n"/>
      <c r="I36" s="29" t="n"/>
      <c r="J36" s="31" t="n"/>
      <c r="K36" s="20">
        <f>IF(N(H36)=0,"",IF(N(H36)=0,0,H36*IF(I36="",1,IFERROR(INDEX(Setup!$F$9:$F$18,MATCH(I36,Setup!$E$9:$E$18,0)),0))))</f>
        <v/>
      </c>
      <c r="L36" s="15">
        <f>IF(N(H36)=0,"",IF(IF(N(H36)=0,0,H36*IF(I36="",1,IFERROR(INDEX(Setup!$F$9:$F$18,MATCH(I36,Setup!$E$9:$E$18,0)),0)))-IF(N(J36)=0,0,J36*IF(I36="",1,IFERROR(INDEX(Setup!$F$9:$F$18,MATCH(I36,Setup!$E$9:$E$18,0)),0)))&gt;0.005,IF(N(H36)=0,0,H36*IF(I36="",1,IFERROR(INDEX(Setup!$F$9:$F$18,MATCH(I36,Setup!$E$9:$E$18,0)),0)))-IF(N(J36)=0,0,J36*IF(I36="",1,IFERROR(INDEX(Setup!$F$9:$F$18,MATCH(I36,Setup!$E$9:$E$18,0)),0))),""))</f>
        <v/>
      </c>
      <c r="M36" s="19">
        <f>IF(D36="","",IF(D36&gt;TODAY(),"In "&amp;(D36-TODAY())&amp;IF((D36-TODAY())=1," day"," days"),IF(D36=TODAY(),"Today",IF(OR(F36="",F36&lt;TODAY()),"Done","Now"))))</f>
        <v/>
      </c>
      <c r="N36" s="28" t="n"/>
      <c r="O36" s="1">
        <f>IF(B36="","",IFERROR(INDEX(Setup!$I$9:$I$15,MATCH(B36,Setup!$H$9:$H$15,0)),"Other"))</f>
        <v/>
      </c>
      <c r="P36">
        <f>IF(N(H36)=0,0,IF(N(J36)=0,0,J36*IF(I36="",1,IFERROR(INDEX(Setup!$F$9:$F$18,MATCH(I36,Setup!$E$9:$E$18,0)),0))))</f>
        <v/>
      </c>
      <c r="Q36">
        <f>IF(OR(D36="",M36="Done"),"",D36+N(E36)+ROW()/100000000)</f>
        <v/>
      </c>
    </row>
    <row r="37">
      <c r="A37" s="1" t="n"/>
      <c r="B37" s="27" t="n"/>
      <c r="C37" s="28" t="n"/>
      <c r="D37" s="30" t="n"/>
      <c r="E37" s="26" t="n"/>
      <c r="F37" s="30" t="n"/>
      <c r="G37" s="29" t="n"/>
      <c r="H37" s="31" t="n"/>
      <c r="I37" s="29" t="n"/>
      <c r="J37" s="31" t="n"/>
      <c r="K37" s="20">
        <f>IF(N(H37)=0,"",IF(N(H37)=0,0,H37*IF(I37="",1,IFERROR(INDEX(Setup!$F$9:$F$18,MATCH(I37,Setup!$E$9:$E$18,0)),0))))</f>
        <v/>
      </c>
      <c r="L37" s="15">
        <f>IF(N(H37)=0,"",IF(IF(N(H37)=0,0,H37*IF(I37="",1,IFERROR(INDEX(Setup!$F$9:$F$18,MATCH(I37,Setup!$E$9:$E$18,0)),0)))-IF(N(J37)=0,0,J37*IF(I37="",1,IFERROR(INDEX(Setup!$F$9:$F$18,MATCH(I37,Setup!$E$9:$E$18,0)),0)))&gt;0.005,IF(N(H37)=0,0,H37*IF(I37="",1,IFERROR(INDEX(Setup!$F$9:$F$18,MATCH(I37,Setup!$E$9:$E$18,0)),0)))-IF(N(J37)=0,0,J37*IF(I37="",1,IFERROR(INDEX(Setup!$F$9:$F$18,MATCH(I37,Setup!$E$9:$E$18,0)),0))),""))</f>
        <v/>
      </c>
      <c r="M37" s="19">
        <f>IF(D37="","",IF(D37&gt;TODAY(),"In "&amp;(D37-TODAY())&amp;IF((D37-TODAY())=1," day"," days"),IF(D37=TODAY(),"Today",IF(OR(F37="",F37&lt;TODAY()),"Done","Now"))))</f>
        <v/>
      </c>
      <c r="N37" s="28" t="n"/>
      <c r="O37" s="1">
        <f>IF(B37="","",IFERROR(INDEX(Setup!$I$9:$I$15,MATCH(B37,Setup!$H$9:$H$15,0)),"Other"))</f>
        <v/>
      </c>
      <c r="P37">
        <f>IF(N(H37)=0,0,IF(N(J37)=0,0,J37*IF(I37="",1,IFERROR(INDEX(Setup!$F$9:$F$18,MATCH(I37,Setup!$E$9:$E$18,0)),0))))</f>
        <v/>
      </c>
      <c r="Q37">
        <f>IF(OR(D37="",M37="Done"),"",D37+N(E37)+ROW()/100000000)</f>
        <v/>
      </c>
    </row>
    <row r="38">
      <c r="A38" s="1" t="n"/>
      <c r="B38" s="27" t="n"/>
      <c r="C38" s="28" t="n"/>
      <c r="D38" s="30" t="n"/>
      <c r="E38" s="26" t="n"/>
      <c r="F38" s="30" t="n"/>
      <c r="G38" s="29" t="n"/>
      <c r="H38" s="31" t="n"/>
      <c r="I38" s="29" t="n"/>
      <c r="J38" s="31" t="n"/>
      <c r="K38" s="20">
        <f>IF(N(H38)=0,"",IF(N(H38)=0,0,H38*IF(I38="",1,IFERROR(INDEX(Setup!$F$9:$F$18,MATCH(I38,Setup!$E$9:$E$18,0)),0))))</f>
        <v/>
      </c>
      <c r="L38" s="15">
        <f>IF(N(H38)=0,"",IF(IF(N(H38)=0,0,H38*IF(I38="",1,IFERROR(INDEX(Setup!$F$9:$F$18,MATCH(I38,Setup!$E$9:$E$18,0)),0)))-IF(N(J38)=0,0,J38*IF(I38="",1,IFERROR(INDEX(Setup!$F$9:$F$18,MATCH(I38,Setup!$E$9:$E$18,0)),0)))&gt;0.005,IF(N(H38)=0,0,H38*IF(I38="",1,IFERROR(INDEX(Setup!$F$9:$F$18,MATCH(I38,Setup!$E$9:$E$18,0)),0)))-IF(N(J38)=0,0,J38*IF(I38="",1,IFERROR(INDEX(Setup!$F$9:$F$18,MATCH(I38,Setup!$E$9:$E$18,0)),0))),""))</f>
        <v/>
      </c>
      <c r="M38" s="19">
        <f>IF(D38="","",IF(D38&gt;TODAY(),"In "&amp;(D38-TODAY())&amp;IF((D38-TODAY())=1," day"," days"),IF(D38=TODAY(),"Today",IF(OR(F38="",F38&lt;TODAY()),"Done","Now"))))</f>
        <v/>
      </c>
      <c r="N38" s="28" t="n"/>
      <c r="O38" s="1">
        <f>IF(B38="","",IFERROR(INDEX(Setup!$I$9:$I$15,MATCH(B38,Setup!$H$9:$H$15,0)),"Other"))</f>
        <v/>
      </c>
      <c r="P38">
        <f>IF(N(H38)=0,0,IF(N(J38)=0,0,J38*IF(I38="",1,IFERROR(INDEX(Setup!$F$9:$F$18,MATCH(I38,Setup!$E$9:$E$18,0)),0))))</f>
        <v/>
      </c>
      <c r="Q38">
        <f>IF(OR(D38="",M38="Done"),"",D38+N(E38)+ROW()/100000000)</f>
        <v/>
      </c>
    </row>
    <row r="39">
      <c r="A39" s="1" t="n"/>
      <c r="B39" s="27" t="n"/>
      <c r="C39" s="28" t="n"/>
      <c r="D39" s="30" t="n"/>
      <c r="E39" s="26" t="n"/>
      <c r="F39" s="30" t="n"/>
      <c r="G39" s="29" t="n"/>
      <c r="H39" s="31" t="n"/>
      <c r="I39" s="29" t="n"/>
      <c r="J39" s="31" t="n"/>
      <c r="K39" s="20">
        <f>IF(N(H39)=0,"",IF(N(H39)=0,0,H39*IF(I39="",1,IFERROR(INDEX(Setup!$F$9:$F$18,MATCH(I39,Setup!$E$9:$E$18,0)),0))))</f>
        <v/>
      </c>
      <c r="L39" s="15">
        <f>IF(N(H39)=0,"",IF(IF(N(H39)=0,0,H39*IF(I39="",1,IFERROR(INDEX(Setup!$F$9:$F$18,MATCH(I39,Setup!$E$9:$E$18,0)),0)))-IF(N(J39)=0,0,J39*IF(I39="",1,IFERROR(INDEX(Setup!$F$9:$F$18,MATCH(I39,Setup!$E$9:$E$18,0)),0)))&gt;0.005,IF(N(H39)=0,0,H39*IF(I39="",1,IFERROR(INDEX(Setup!$F$9:$F$18,MATCH(I39,Setup!$E$9:$E$18,0)),0)))-IF(N(J39)=0,0,J39*IF(I39="",1,IFERROR(INDEX(Setup!$F$9:$F$18,MATCH(I39,Setup!$E$9:$E$18,0)),0))),""))</f>
        <v/>
      </c>
      <c r="M39" s="19">
        <f>IF(D39="","",IF(D39&gt;TODAY(),"In "&amp;(D39-TODAY())&amp;IF((D39-TODAY())=1," day"," days"),IF(D39=TODAY(),"Today",IF(OR(F39="",F39&lt;TODAY()),"Done","Now"))))</f>
        <v/>
      </c>
      <c r="N39" s="28" t="n"/>
      <c r="O39" s="1">
        <f>IF(B39="","",IFERROR(INDEX(Setup!$I$9:$I$15,MATCH(B39,Setup!$H$9:$H$15,0)),"Other"))</f>
        <v/>
      </c>
      <c r="P39">
        <f>IF(N(H39)=0,0,IF(N(J39)=0,0,J39*IF(I39="",1,IFERROR(INDEX(Setup!$F$9:$F$18,MATCH(I39,Setup!$E$9:$E$18,0)),0))))</f>
        <v/>
      </c>
      <c r="Q39">
        <f>IF(OR(D39="",M39="Done"),"",D39+N(E39)+ROW()/100000000)</f>
        <v/>
      </c>
    </row>
    <row r="40">
      <c r="A40" s="1" t="n"/>
      <c r="B40" s="27" t="n"/>
      <c r="C40" s="28" t="n"/>
      <c r="D40" s="30" t="n"/>
      <c r="E40" s="26" t="n"/>
      <c r="F40" s="30" t="n"/>
      <c r="G40" s="29" t="n"/>
      <c r="H40" s="31" t="n"/>
      <c r="I40" s="29" t="n"/>
      <c r="J40" s="31" t="n"/>
      <c r="K40" s="20">
        <f>IF(N(H40)=0,"",IF(N(H40)=0,0,H40*IF(I40="",1,IFERROR(INDEX(Setup!$F$9:$F$18,MATCH(I40,Setup!$E$9:$E$18,0)),0))))</f>
        <v/>
      </c>
      <c r="L40" s="15">
        <f>IF(N(H40)=0,"",IF(IF(N(H40)=0,0,H40*IF(I40="",1,IFERROR(INDEX(Setup!$F$9:$F$18,MATCH(I40,Setup!$E$9:$E$18,0)),0)))-IF(N(J40)=0,0,J40*IF(I40="",1,IFERROR(INDEX(Setup!$F$9:$F$18,MATCH(I40,Setup!$E$9:$E$18,0)),0)))&gt;0.005,IF(N(H40)=0,0,H40*IF(I40="",1,IFERROR(INDEX(Setup!$F$9:$F$18,MATCH(I40,Setup!$E$9:$E$18,0)),0)))-IF(N(J40)=0,0,J40*IF(I40="",1,IFERROR(INDEX(Setup!$F$9:$F$18,MATCH(I40,Setup!$E$9:$E$18,0)),0))),""))</f>
        <v/>
      </c>
      <c r="M40" s="19">
        <f>IF(D40="","",IF(D40&gt;TODAY(),"In "&amp;(D40-TODAY())&amp;IF((D40-TODAY())=1," day"," days"),IF(D40=TODAY(),"Today",IF(OR(F40="",F40&lt;TODAY()),"Done","Now"))))</f>
        <v/>
      </c>
      <c r="N40" s="28" t="n"/>
      <c r="O40" s="1">
        <f>IF(B40="","",IFERROR(INDEX(Setup!$I$9:$I$15,MATCH(B40,Setup!$H$9:$H$15,0)),"Other"))</f>
        <v/>
      </c>
      <c r="P40">
        <f>IF(N(H40)=0,0,IF(N(J40)=0,0,J40*IF(I40="",1,IFERROR(INDEX(Setup!$F$9:$F$18,MATCH(I40,Setup!$E$9:$E$18,0)),0))))</f>
        <v/>
      </c>
      <c r="Q40">
        <f>IF(OR(D40="",M40="Done"),"",D40+N(E40)+ROW()/100000000)</f>
        <v/>
      </c>
    </row>
    <row r="41">
      <c r="A41" s="1" t="n"/>
      <c r="B41" s="27" t="n"/>
      <c r="C41" s="28" t="n"/>
      <c r="D41" s="30" t="n"/>
      <c r="E41" s="26" t="n"/>
      <c r="F41" s="30" t="n"/>
      <c r="G41" s="29" t="n"/>
      <c r="H41" s="31" t="n"/>
      <c r="I41" s="29" t="n"/>
      <c r="J41" s="31" t="n"/>
      <c r="K41" s="20">
        <f>IF(N(H41)=0,"",IF(N(H41)=0,0,H41*IF(I41="",1,IFERROR(INDEX(Setup!$F$9:$F$18,MATCH(I41,Setup!$E$9:$E$18,0)),0))))</f>
        <v/>
      </c>
      <c r="L41" s="15">
        <f>IF(N(H41)=0,"",IF(IF(N(H41)=0,0,H41*IF(I41="",1,IFERROR(INDEX(Setup!$F$9:$F$18,MATCH(I41,Setup!$E$9:$E$18,0)),0)))-IF(N(J41)=0,0,J41*IF(I41="",1,IFERROR(INDEX(Setup!$F$9:$F$18,MATCH(I41,Setup!$E$9:$E$18,0)),0)))&gt;0.005,IF(N(H41)=0,0,H41*IF(I41="",1,IFERROR(INDEX(Setup!$F$9:$F$18,MATCH(I41,Setup!$E$9:$E$18,0)),0)))-IF(N(J41)=0,0,J41*IF(I41="",1,IFERROR(INDEX(Setup!$F$9:$F$18,MATCH(I41,Setup!$E$9:$E$18,0)),0))),""))</f>
        <v/>
      </c>
      <c r="M41" s="19">
        <f>IF(D41="","",IF(D41&gt;TODAY(),"In "&amp;(D41-TODAY())&amp;IF((D41-TODAY())=1," day"," days"),IF(D41=TODAY(),"Today",IF(OR(F41="",F41&lt;TODAY()),"Done","Now"))))</f>
        <v/>
      </c>
      <c r="N41" s="28" t="n"/>
      <c r="O41" s="1">
        <f>IF(B41="","",IFERROR(INDEX(Setup!$I$9:$I$15,MATCH(B41,Setup!$H$9:$H$15,0)),"Other"))</f>
        <v/>
      </c>
      <c r="P41">
        <f>IF(N(H41)=0,0,IF(N(J41)=0,0,J41*IF(I41="",1,IFERROR(INDEX(Setup!$F$9:$F$18,MATCH(I41,Setup!$E$9:$E$18,0)),0))))</f>
        <v/>
      </c>
      <c r="Q41">
        <f>IF(OR(D41="",M41="Done"),"",D41+N(E41)+ROW()/100000000)</f>
        <v/>
      </c>
    </row>
    <row r="42">
      <c r="A42" s="1" t="n"/>
      <c r="B42" s="27" t="n"/>
      <c r="C42" s="28" t="n"/>
      <c r="D42" s="30" t="n"/>
      <c r="E42" s="26" t="n"/>
      <c r="F42" s="30" t="n"/>
      <c r="G42" s="29" t="n"/>
      <c r="H42" s="31" t="n"/>
      <c r="I42" s="29" t="n"/>
      <c r="J42" s="31" t="n"/>
      <c r="K42" s="20">
        <f>IF(N(H42)=0,"",IF(N(H42)=0,0,H42*IF(I42="",1,IFERROR(INDEX(Setup!$F$9:$F$18,MATCH(I42,Setup!$E$9:$E$18,0)),0))))</f>
        <v/>
      </c>
      <c r="L42" s="15">
        <f>IF(N(H42)=0,"",IF(IF(N(H42)=0,0,H42*IF(I42="",1,IFERROR(INDEX(Setup!$F$9:$F$18,MATCH(I42,Setup!$E$9:$E$18,0)),0)))-IF(N(J42)=0,0,J42*IF(I42="",1,IFERROR(INDEX(Setup!$F$9:$F$18,MATCH(I42,Setup!$E$9:$E$18,0)),0)))&gt;0.005,IF(N(H42)=0,0,H42*IF(I42="",1,IFERROR(INDEX(Setup!$F$9:$F$18,MATCH(I42,Setup!$E$9:$E$18,0)),0)))-IF(N(J42)=0,0,J42*IF(I42="",1,IFERROR(INDEX(Setup!$F$9:$F$18,MATCH(I42,Setup!$E$9:$E$18,0)),0))),""))</f>
        <v/>
      </c>
      <c r="M42" s="19">
        <f>IF(D42="","",IF(D42&gt;TODAY(),"In "&amp;(D42-TODAY())&amp;IF((D42-TODAY())=1," day"," days"),IF(D42=TODAY(),"Today",IF(OR(F42="",F42&lt;TODAY()),"Done","Now"))))</f>
        <v/>
      </c>
      <c r="N42" s="28" t="n"/>
      <c r="O42" s="1">
        <f>IF(B42="","",IFERROR(INDEX(Setup!$I$9:$I$15,MATCH(B42,Setup!$H$9:$H$15,0)),"Other"))</f>
        <v/>
      </c>
      <c r="P42">
        <f>IF(N(H42)=0,0,IF(N(J42)=0,0,J42*IF(I42="",1,IFERROR(INDEX(Setup!$F$9:$F$18,MATCH(I42,Setup!$E$9:$E$18,0)),0))))</f>
        <v/>
      </c>
      <c r="Q42">
        <f>IF(OR(D42="",M42="Done"),"",D42+N(E42)+ROW()/100000000)</f>
        <v/>
      </c>
    </row>
    <row r="43">
      <c r="A43" s="1" t="n"/>
      <c r="B43" s="27" t="n"/>
      <c r="C43" s="28" t="n"/>
      <c r="D43" s="30" t="n"/>
      <c r="E43" s="26" t="n"/>
      <c r="F43" s="30" t="n"/>
      <c r="G43" s="29" t="n"/>
      <c r="H43" s="31" t="n"/>
      <c r="I43" s="29" t="n"/>
      <c r="J43" s="31" t="n"/>
      <c r="K43" s="20">
        <f>IF(N(H43)=0,"",IF(N(H43)=0,0,H43*IF(I43="",1,IFERROR(INDEX(Setup!$F$9:$F$18,MATCH(I43,Setup!$E$9:$E$18,0)),0))))</f>
        <v/>
      </c>
      <c r="L43" s="15">
        <f>IF(N(H43)=0,"",IF(IF(N(H43)=0,0,H43*IF(I43="",1,IFERROR(INDEX(Setup!$F$9:$F$18,MATCH(I43,Setup!$E$9:$E$18,0)),0)))-IF(N(J43)=0,0,J43*IF(I43="",1,IFERROR(INDEX(Setup!$F$9:$F$18,MATCH(I43,Setup!$E$9:$E$18,0)),0)))&gt;0.005,IF(N(H43)=0,0,H43*IF(I43="",1,IFERROR(INDEX(Setup!$F$9:$F$18,MATCH(I43,Setup!$E$9:$E$18,0)),0)))-IF(N(J43)=0,0,J43*IF(I43="",1,IFERROR(INDEX(Setup!$F$9:$F$18,MATCH(I43,Setup!$E$9:$E$18,0)),0))),""))</f>
        <v/>
      </c>
      <c r="M43" s="19">
        <f>IF(D43="","",IF(D43&gt;TODAY(),"In "&amp;(D43-TODAY())&amp;IF((D43-TODAY())=1," day"," days"),IF(D43=TODAY(),"Today",IF(OR(F43="",F43&lt;TODAY()),"Done","Now"))))</f>
        <v/>
      </c>
      <c r="N43" s="28" t="n"/>
      <c r="O43" s="1">
        <f>IF(B43="","",IFERROR(INDEX(Setup!$I$9:$I$15,MATCH(B43,Setup!$H$9:$H$15,0)),"Other"))</f>
        <v/>
      </c>
      <c r="P43">
        <f>IF(N(H43)=0,0,IF(N(J43)=0,0,J43*IF(I43="",1,IFERROR(INDEX(Setup!$F$9:$F$18,MATCH(I43,Setup!$E$9:$E$18,0)),0))))</f>
        <v/>
      </c>
      <c r="Q43">
        <f>IF(OR(D43="",M43="Done"),"",D43+N(E43)+ROW()/100000000)</f>
        <v/>
      </c>
    </row>
    <row r="44">
      <c r="A44" s="1" t="n"/>
      <c r="B44" s="27" t="n"/>
      <c r="C44" s="28" t="n"/>
      <c r="D44" s="30" t="n"/>
      <c r="E44" s="26" t="n"/>
      <c r="F44" s="30" t="n"/>
      <c r="G44" s="29" t="n"/>
      <c r="H44" s="31" t="n"/>
      <c r="I44" s="29" t="n"/>
      <c r="J44" s="31" t="n"/>
      <c r="K44" s="20">
        <f>IF(N(H44)=0,"",IF(N(H44)=0,0,H44*IF(I44="",1,IFERROR(INDEX(Setup!$F$9:$F$18,MATCH(I44,Setup!$E$9:$E$18,0)),0))))</f>
        <v/>
      </c>
      <c r="L44" s="15">
        <f>IF(N(H44)=0,"",IF(IF(N(H44)=0,0,H44*IF(I44="",1,IFERROR(INDEX(Setup!$F$9:$F$18,MATCH(I44,Setup!$E$9:$E$18,0)),0)))-IF(N(J44)=0,0,J44*IF(I44="",1,IFERROR(INDEX(Setup!$F$9:$F$18,MATCH(I44,Setup!$E$9:$E$18,0)),0)))&gt;0.005,IF(N(H44)=0,0,H44*IF(I44="",1,IFERROR(INDEX(Setup!$F$9:$F$18,MATCH(I44,Setup!$E$9:$E$18,0)),0)))-IF(N(J44)=0,0,J44*IF(I44="",1,IFERROR(INDEX(Setup!$F$9:$F$18,MATCH(I44,Setup!$E$9:$E$18,0)),0))),""))</f>
        <v/>
      </c>
      <c r="M44" s="19">
        <f>IF(D44="","",IF(D44&gt;TODAY(),"In "&amp;(D44-TODAY())&amp;IF((D44-TODAY())=1," day"," days"),IF(D44=TODAY(),"Today",IF(OR(F44="",F44&lt;TODAY()),"Done","Now"))))</f>
        <v/>
      </c>
      <c r="N44" s="28" t="n"/>
      <c r="O44" s="1">
        <f>IF(B44="","",IFERROR(INDEX(Setup!$I$9:$I$15,MATCH(B44,Setup!$H$9:$H$15,0)),"Other"))</f>
        <v/>
      </c>
      <c r="P44">
        <f>IF(N(H44)=0,0,IF(N(J44)=0,0,J44*IF(I44="",1,IFERROR(INDEX(Setup!$F$9:$F$18,MATCH(I44,Setup!$E$9:$E$18,0)),0))))</f>
        <v/>
      </c>
      <c r="Q44">
        <f>IF(OR(D44="",M44="Done"),"",D44+N(E44)+ROW()/100000000)</f>
        <v/>
      </c>
    </row>
    <row r="45">
      <c r="A45" s="1" t="n"/>
      <c r="B45" s="27" t="n"/>
      <c r="C45" s="28" t="n"/>
      <c r="D45" s="30" t="n"/>
      <c r="E45" s="26" t="n"/>
      <c r="F45" s="30" t="n"/>
      <c r="G45" s="29" t="n"/>
      <c r="H45" s="31" t="n"/>
      <c r="I45" s="29" t="n"/>
      <c r="J45" s="31" t="n"/>
      <c r="K45" s="20">
        <f>IF(N(H45)=0,"",IF(N(H45)=0,0,H45*IF(I45="",1,IFERROR(INDEX(Setup!$F$9:$F$18,MATCH(I45,Setup!$E$9:$E$18,0)),0))))</f>
        <v/>
      </c>
      <c r="L45" s="15">
        <f>IF(N(H45)=0,"",IF(IF(N(H45)=0,0,H45*IF(I45="",1,IFERROR(INDEX(Setup!$F$9:$F$18,MATCH(I45,Setup!$E$9:$E$18,0)),0)))-IF(N(J45)=0,0,J45*IF(I45="",1,IFERROR(INDEX(Setup!$F$9:$F$18,MATCH(I45,Setup!$E$9:$E$18,0)),0)))&gt;0.005,IF(N(H45)=0,0,H45*IF(I45="",1,IFERROR(INDEX(Setup!$F$9:$F$18,MATCH(I45,Setup!$E$9:$E$18,0)),0)))-IF(N(J45)=0,0,J45*IF(I45="",1,IFERROR(INDEX(Setup!$F$9:$F$18,MATCH(I45,Setup!$E$9:$E$18,0)),0))),""))</f>
        <v/>
      </c>
      <c r="M45" s="19">
        <f>IF(D45="","",IF(D45&gt;TODAY(),"In "&amp;(D45-TODAY())&amp;IF((D45-TODAY())=1," day"," days"),IF(D45=TODAY(),"Today",IF(OR(F45="",F45&lt;TODAY()),"Done","Now"))))</f>
        <v/>
      </c>
      <c r="N45" s="28" t="n"/>
      <c r="O45" s="1">
        <f>IF(B45="","",IFERROR(INDEX(Setup!$I$9:$I$15,MATCH(B45,Setup!$H$9:$H$15,0)),"Other"))</f>
        <v/>
      </c>
      <c r="P45">
        <f>IF(N(H45)=0,0,IF(N(J45)=0,0,J45*IF(I45="",1,IFERROR(INDEX(Setup!$F$9:$F$18,MATCH(I45,Setup!$E$9:$E$18,0)),0))))</f>
        <v/>
      </c>
      <c r="Q45">
        <f>IF(OR(D45="",M45="Done"),"",D45+N(E45)+ROW()/100000000)</f>
        <v/>
      </c>
    </row>
    <row r="46">
      <c r="A46" s="1" t="n"/>
      <c r="B46" s="27" t="n"/>
      <c r="C46" s="28" t="n"/>
      <c r="D46" s="30" t="n"/>
      <c r="E46" s="26" t="n"/>
      <c r="F46" s="30" t="n"/>
      <c r="G46" s="29" t="n"/>
      <c r="H46" s="31" t="n"/>
      <c r="I46" s="29" t="n"/>
      <c r="J46" s="31" t="n"/>
      <c r="K46" s="20">
        <f>IF(N(H46)=0,"",IF(N(H46)=0,0,H46*IF(I46="",1,IFERROR(INDEX(Setup!$F$9:$F$18,MATCH(I46,Setup!$E$9:$E$18,0)),0))))</f>
        <v/>
      </c>
      <c r="L46" s="15">
        <f>IF(N(H46)=0,"",IF(IF(N(H46)=0,0,H46*IF(I46="",1,IFERROR(INDEX(Setup!$F$9:$F$18,MATCH(I46,Setup!$E$9:$E$18,0)),0)))-IF(N(J46)=0,0,J46*IF(I46="",1,IFERROR(INDEX(Setup!$F$9:$F$18,MATCH(I46,Setup!$E$9:$E$18,0)),0)))&gt;0.005,IF(N(H46)=0,0,H46*IF(I46="",1,IFERROR(INDEX(Setup!$F$9:$F$18,MATCH(I46,Setup!$E$9:$E$18,0)),0)))-IF(N(J46)=0,0,J46*IF(I46="",1,IFERROR(INDEX(Setup!$F$9:$F$18,MATCH(I46,Setup!$E$9:$E$18,0)),0))),""))</f>
        <v/>
      </c>
      <c r="M46" s="19">
        <f>IF(D46="","",IF(D46&gt;TODAY(),"In "&amp;(D46-TODAY())&amp;IF((D46-TODAY())=1," day"," days"),IF(D46=TODAY(),"Today",IF(OR(F46="",F46&lt;TODAY()),"Done","Now"))))</f>
        <v/>
      </c>
      <c r="N46" s="28" t="n"/>
      <c r="O46" s="1">
        <f>IF(B46="","",IFERROR(INDEX(Setup!$I$9:$I$15,MATCH(B46,Setup!$H$9:$H$15,0)),"Other"))</f>
        <v/>
      </c>
      <c r="P46">
        <f>IF(N(H46)=0,0,IF(N(J46)=0,0,J46*IF(I46="",1,IFERROR(INDEX(Setup!$F$9:$F$18,MATCH(I46,Setup!$E$9:$E$18,0)),0))))</f>
        <v/>
      </c>
      <c r="Q46">
        <f>IF(OR(D46="",M46="Done"),"",D46+N(E46)+ROW()/100000000)</f>
        <v/>
      </c>
    </row>
    <row r="47">
      <c r="A47" s="1" t="n"/>
      <c r="B47" s="27" t="n"/>
      <c r="C47" s="28" t="n"/>
      <c r="D47" s="30" t="n"/>
      <c r="E47" s="26" t="n"/>
      <c r="F47" s="30" t="n"/>
      <c r="G47" s="29" t="n"/>
      <c r="H47" s="31" t="n"/>
      <c r="I47" s="29" t="n"/>
      <c r="J47" s="31" t="n"/>
      <c r="K47" s="20">
        <f>IF(N(H47)=0,"",IF(N(H47)=0,0,H47*IF(I47="",1,IFERROR(INDEX(Setup!$F$9:$F$18,MATCH(I47,Setup!$E$9:$E$18,0)),0))))</f>
        <v/>
      </c>
      <c r="L47" s="15">
        <f>IF(N(H47)=0,"",IF(IF(N(H47)=0,0,H47*IF(I47="",1,IFERROR(INDEX(Setup!$F$9:$F$18,MATCH(I47,Setup!$E$9:$E$18,0)),0)))-IF(N(J47)=0,0,J47*IF(I47="",1,IFERROR(INDEX(Setup!$F$9:$F$18,MATCH(I47,Setup!$E$9:$E$18,0)),0)))&gt;0.005,IF(N(H47)=0,0,H47*IF(I47="",1,IFERROR(INDEX(Setup!$F$9:$F$18,MATCH(I47,Setup!$E$9:$E$18,0)),0)))-IF(N(J47)=0,0,J47*IF(I47="",1,IFERROR(INDEX(Setup!$F$9:$F$18,MATCH(I47,Setup!$E$9:$E$18,0)),0))),""))</f>
        <v/>
      </c>
      <c r="M47" s="19">
        <f>IF(D47="","",IF(D47&gt;TODAY(),"In "&amp;(D47-TODAY())&amp;IF((D47-TODAY())=1," day"," days"),IF(D47=TODAY(),"Today",IF(OR(F47="",F47&lt;TODAY()),"Done","Now"))))</f>
        <v/>
      </c>
      <c r="N47" s="28" t="n"/>
      <c r="O47" s="1">
        <f>IF(B47="","",IFERROR(INDEX(Setup!$I$9:$I$15,MATCH(B47,Setup!$H$9:$H$15,0)),"Other"))</f>
        <v/>
      </c>
      <c r="P47">
        <f>IF(N(H47)=0,0,IF(N(J47)=0,0,J47*IF(I47="",1,IFERROR(INDEX(Setup!$F$9:$F$18,MATCH(I47,Setup!$E$9:$E$18,0)),0))))</f>
        <v/>
      </c>
      <c r="Q47">
        <f>IF(OR(D47="",M47="Done"),"",D47+N(E47)+ROW()/100000000)</f>
        <v/>
      </c>
    </row>
    <row r="48">
      <c r="A48" s="1" t="n"/>
      <c r="B48" s="27" t="n"/>
      <c r="C48" s="28" t="n"/>
      <c r="D48" s="30" t="n"/>
      <c r="E48" s="26" t="n"/>
      <c r="F48" s="30" t="n"/>
      <c r="G48" s="29" t="n"/>
      <c r="H48" s="31" t="n"/>
      <c r="I48" s="29" t="n"/>
      <c r="J48" s="31" t="n"/>
      <c r="K48" s="20">
        <f>IF(N(H48)=0,"",IF(N(H48)=0,0,H48*IF(I48="",1,IFERROR(INDEX(Setup!$F$9:$F$18,MATCH(I48,Setup!$E$9:$E$18,0)),0))))</f>
        <v/>
      </c>
      <c r="L48" s="15">
        <f>IF(N(H48)=0,"",IF(IF(N(H48)=0,0,H48*IF(I48="",1,IFERROR(INDEX(Setup!$F$9:$F$18,MATCH(I48,Setup!$E$9:$E$18,0)),0)))-IF(N(J48)=0,0,J48*IF(I48="",1,IFERROR(INDEX(Setup!$F$9:$F$18,MATCH(I48,Setup!$E$9:$E$18,0)),0)))&gt;0.005,IF(N(H48)=0,0,H48*IF(I48="",1,IFERROR(INDEX(Setup!$F$9:$F$18,MATCH(I48,Setup!$E$9:$E$18,0)),0)))-IF(N(J48)=0,0,J48*IF(I48="",1,IFERROR(INDEX(Setup!$F$9:$F$18,MATCH(I48,Setup!$E$9:$E$18,0)),0))),""))</f>
        <v/>
      </c>
      <c r="M48" s="19">
        <f>IF(D48="","",IF(D48&gt;TODAY(),"In "&amp;(D48-TODAY())&amp;IF((D48-TODAY())=1," day"," days"),IF(D48=TODAY(),"Today",IF(OR(F48="",F48&lt;TODAY()),"Done","Now"))))</f>
        <v/>
      </c>
      <c r="N48" s="28" t="n"/>
      <c r="O48" s="1">
        <f>IF(B48="","",IFERROR(INDEX(Setup!$I$9:$I$15,MATCH(B48,Setup!$H$9:$H$15,0)),"Other"))</f>
        <v/>
      </c>
      <c r="P48">
        <f>IF(N(H48)=0,0,IF(N(J48)=0,0,J48*IF(I48="",1,IFERROR(INDEX(Setup!$F$9:$F$18,MATCH(I48,Setup!$E$9:$E$18,0)),0))))</f>
        <v/>
      </c>
      <c r="Q48">
        <f>IF(OR(D48="",M48="Done"),"",D48+N(E48)+ROW()/100000000)</f>
        <v/>
      </c>
    </row>
    <row r="49">
      <c r="A49" s="1" t="n"/>
      <c r="B49" s="27" t="n"/>
      <c r="C49" s="28" t="n"/>
      <c r="D49" s="30" t="n"/>
      <c r="E49" s="26" t="n"/>
      <c r="F49" s="30" t="n"/>
      <c r="G49" s="29" t="n"/>
      <c r="H49" s="31" t="n"/>
      <c r="I49" s="29" t="n"/>
      <c r="J49" s="31" t="n"/>
      <c r="K49" s="20">
        <f>IF(N(H49)=0,"",IF(N(H49)=0,0,H49*IF(I49="",1,IFERROR(INDEX(Setup!$F$9:$F$18,MATCH(I49,Setup!$E$9:$E$18,0)),0))))</f>
        <v/>
      </c>
      <c r="L49" s="15">
        <f>IF(N(H49)=0,"",IF(IF(N(H49)=0,0,H49*IF(I49="",1,IFERROR(INDEX(Setup!$F$9:$F$18,MATCH(I49,Setup!$E$9:$E$18,0)),0)))-IF(N(J49)=0,0,J49*IF(I49="",1,IFERROR(INDEX(Setup!$F$9:$F$18,MATCH(I49,Setup!$E$9:$E$18,0)),0)))&gt;0.005,IF(N(H49)=0,0,H49*IF(I49="",1,IFERROR(INDEX(Setup!$F$9:$F$18,MATCH(I49,Setup!$E$9:$E$18,0)),0)))-IF(N(J49)=0,0,J49*IF(I49="",1,IFERROR(INDEX(Setup!$F$9:$F$18,MATCH(I49,Setup!$E$9:$E$18,0)),0))),""))</f>
        <v/>
      </c>
      <c r="M49" s="19">
        <f>IF(D49="","",IF(D49&gt;TODAY(),"In "&amp;(D49-TODAY())&amp;IF((D49-TODAY())=1," day"," days"),IF(D49=TODAY(),"Today",IF(OR(F49="",F49&lt;TODAY()),"Done","Now"))))</f>
        <v/>
      </c>
      <c r="N49" s="28" t="n"/>
      <c r="O49" s="1">
        <f>IF(B49="","",IFERROR(INDEX(Setup!$I$9:$I$15,MATCH(B49,Setup!$H$9:$H$15,0)),"Other"))</f>
        <v/>
      </c>
      <c r="P49">
        <f>IF(N(H49)=0,0,IF(N(J49)=0,0,J49*IF(I49="",1,IFERROR(INDEX(Setup!$F$9:$F$18,MATCH(I49,Setup!$E$9:$E$18,0)),0))))</f>
        <v/>
      </c>
      <c r="Q49">
        <f>IF(OR(D49="",M49="Done"),"",D49+N(E49)+ROW()/100000000)</f>
        <v/>
      </c>
    </row>
    <row r="50">
      <c r="A50" s="1" t="n"/>
      <c r="B50" s="27" t="n"/>
      <c r="C50" s="28" t="n"/>
      <c r="D50" s="30" t="n"/>
      <c r="E50" s="26" t="n"/>
      <c r="F50" s="30" t="n"/>
      <c r="G50" s="29" t="n"/>
      <c r="H50" s="31" t="n"/>
      <c r="I50" s="29" t="n"/>
      <c r="J50" s="31" t="n"/>
      <c r="K50" s="20">
        <f>IF(N(H50)=0,"",IF(N(H50)=0,0,H50*IF(I50="",1,IFERROR(INDEX(Setup!$F$9:$F$18,MATCH(I50,Setup!$E$9:$E$18,0)),0))))</f>
        <v/>
      </c>
      <c r="L50" s="15">
        <f>IF(N(H50)=0,"",IF(IF(N(H50)=0,0,H50*IF(I50="",1,IFERROR(INDEX(Setup!$F$9:$F$18,MATCH(I50,Setup!$E$9:$E$18,0)),0)))-IF(N(J50)=0,0,J50*IF(I50="",1,IFERROR(INDEX(Setup!$F$9:$F$18,MATCH(I50,Setup!$E$9:$E$18,0)),0)))&gt;0.005,IF(N(H50)=0,0,H50*IF(I50="",1,IFERROR(INDEX(Setup!$F$9:$F$18,MATCH(I50,Setup!$E$9:$E$18,0)),0)))-IF(N(J50)=0,0,J50*IF(I50="",1,IFERROR(INDEX(Setup!$F$9:$F$18,MATCH(I50,Setup!$E$9:$E$18,0)),0))),""))</f>
        <v/>
      </c>
      <c r="M50" s="19">
        <f>IF(D50="","",IF(D50&gt;TODAY(),"In "&amp;(D50-TODAY())&amp;IF((D50-TODAY())=1," day"," days"),IF(D50=TODAY(),"Today",IF(OR(F50="",F50&lt;TODAY()),"Done","Now"))))</f>
        <v/>
      </c>
      <c r="N50" s="28" t="n"/>
      <c r="O50" s="1">
        <f>IF(B50="","",IFERROR(INDEX(Setup!$I$9:$I$15,MATCH(B50,Setup!$H$9:$H$15,0)),"Other"))</f>
        <v/>
      </c>
      <c r="P50">
        <f>IF(N(H50)=0,0,IF(N(J50)=0,0,J50*IF(I50="",1,IFERROR(INDEX(Setup!$F$9:$F$18,MATCH(I50,Setup!$E$9:$E$18,0)),0))))</f>
        <v/>
      </c>
      <c r="Q50">
        <f>IF(OR(D50="",M50="Done"),"",D50+N(E50)+ROW()/100000000)</f>
        <v/>
      </c>
    </row>
    <row r="51">
      <c r="A51" s="1" t="n"/>
      <c r="B51" s="27" t="n"/>
      <c r="C51" s="28" t="n"/>
      <c r="D51" s="30" t="n"/>
      <c r="E51" s="26" t="n"/>
      <c r="F51" s="30" t="n"/>
      <c r="G51" s="29" t="n"/>
      <c r="H51" s="31" t="n"/>
      <c r="I51" s="29" t="n"/>
      <c r="J51" s="31" t="n"/>
      <c r="K51" s="20">
        <f>IF(N(H51)=0,"",IF(N(H51)=0,0,H51*IF(I51="",1,IFERROR(INDEX(Setup!$F$9:$F$18,MATCH(I51,Setup!$E$9:$E$18,0)),0))))</f>
        <v/>
      </c>
      <c r="L51" s="15">
        <f>IF(N(H51)=0,"",IF(IF(N(H51)=0,0,H51*IF(I51="",1,IFERROR(INDEX(Setup!$F$9:$F$18,MATCH(I51,Setup!$E$9:$E$18,0)),0)))-IF(N(J51)=0,0,J51*IF(I51="",1,IFERROR(INDEX(Setup!$F$9:$F$18,MATCH(I51,Setup!$E$9:$E$18,0)),0)))&gt;0.005,IF(N(H51)=0,0,H51*IF(I51="",1,IFERROR(INDEX(Setup!$F$9:$F$18,MATCH(I51,Setup!$E$9:$E$18,0)),0)))-IF(N(J51)=0,0,J51*IF(I51="",1,IFERROR(INDEX(Setup!$F$9:$F$18,MATCH(I51,Setup!$E$9:$E$18,0)),0))),""))</f>
        <v/>
      </c>
      <c r="M51" s="19">
        <f>IF(D51="","",IF(D51&gt;TODAY(),"In "&amp;(D51-TODAY())&amp;IF((D51-TODAY())=1," day"," days"),IF(D51=TODAY(),"Today",IF(OR(F51="",F51&lt;TODAY()),"Done","Now"))))</f>
        <v/>
      </c>
      <c r="N51" s="28" t="n"/>
      <c r="O51" s="1">
        <f>IF(B51="","",IFERROR(INDEX(Setup!$I$9:$I$15,MATCH(B51,Setup!$H$9:$H$15,0)),"Other"))</f>
        <v/>
      </c>
      <c r="P51">
        <f>IF(N(H51)=0,0,IF(N(J51)=0,0,J51*IF(I51="",1,IFERROR(INDEX(Setup!$F$9:$F$18,MATCH(I51,Setup!$E$9:$E$18,0)),0))))</f>
        <v/>
      </c>
      <c r="Q51">
        <f>IF(OR(D51="",M51="Done"),"",D51+N(E51)+ROW()/100000000)</f>
        <v/>
      </c>
    </row>
    <row r="52">
      <c r="A52" s="1" t="n"/>
      <c r="B52" s="27" t="n"/>
      <c r="C52" s="28" t="n"/>
      <c r="D52" s="30" t="n"/>
      <c r="E52" s="26" t="n"/>
      <c r="F52" s="30" t="n"/>
      <c r="G52" s="29" t="n"/>
      <c r="H52" s="31" t="n"/>
      <c r="I52" s="29" t="n"/>
      <c r="J52" s="31" t="n"/>
      <c r="K52" s="20">
        <f>IF(N(H52)=0,"",IF(N(H52)=0,0,H52*IF(I52="",1,IFERROR(INDEX(Setup!$F$9:$F$18,MATCH(I52,Setup!$E$9:$E$18,0)),0))))</f>
        <v/>
      </c>
      <c r="L52" s="15">
        <f>IF(N(H52)=0,"",IF(IF(N(H52)=0,0,H52*IF(I52="",1,IFERROR(INDEX(Setup!$F$9:$F$18,MATCH(I52,Setup!$E$9:$E$18,0)),0)))-IF(N(J52)=0,0,J52*IF(I52="",1,IFERROR(INDEX(Setup!$F$9:$F$18,MATCH(I52,Setup!$E$9:$E$18,0)),0)))&gt;0.005,IF(N(H52)=0,0,H52*IF(I52="",1,IFERROR(INDEX(Setup!$F$9:$F$18,MATCH(I52,Setup!$E$9:$E$18,0)),0)))-IF(N(J52)=0,0,J52*IF(I52="",1,IFERROR(INDEX(Setup!$F$9:$F$18,MATCH(I52,Setup!$E$9:$E$18,0)),0))),""))</f>
        <v/>
      </c>
      <c r="M52" s="19">
        <f>IF(D52="","",IF(D52&gt;TODAY(),"In "&amp;(D52-TODAY())&amp;IF((D52-TODAY())=1," day"," days"),IF(D52=TODAY(),"Today",IF(OR(F52="",F52&lt;TODAY()),"Done","Now"))))</f>
        <v/>
      </c>
      <c r="N52" s="28" t="n"/>
      <c r="O52" s="1">
        <f>IF(B52="","",IFERROR(INDEX(Setup!$I$9:$I$15,MATCH(B52,Setup!$H$9:$H$15,0)),"Other"))</f>
        <v/>
      </c>
      <c r="P52">
        <f>IF(N(H52)=0,0,IF(N(J52)=0,0,J52*IF(I52="",1,IFERROR(INDEX(Setup!$F$9:$F$18,MATCH(I52,Setup!$E$9:$E$18,0)),0))))</f>
        <v/>
      </c>
      <c r="Q52">
        <f>IF(OR(D52="",M52="Done"),"",D52+N(E52)+ROW()/100000000)</f>
        <v/>
      </c>
    </row>
    <row r="53">
      <c r="A53" s="1" t="n"/>
      <c r="B53" s="27" t="n"/>
      <c r="C53" s="28" t="n"/>
      <c r="D53" s="30" t="n"/>
      <c r="E53" s="26" t="n"/>
      <c r="F53" s="30" t="n"/>
      <c r="G53" s="29" t="n"/>
      <c r="H53" s="31" t="n"/>
      <c r="I53" s="29" t="n"/>
      <c r="J53" s="31" t="n"/>
      <c r="K53" s="20">
        <f>IF(N(H53)=0,"",IF(N(H53)=0,0,H53*IF(I53="",1,IFERROR(INDEX(Setup!$F$9:$F$18,MATCH(I53,Setup!$E$9:$E$18,0)),0))))</f>
        <v/>
      </c>
      <c r="L53" s="15">
        <f>IF(N(H53)=0,"",IF(IF(N(H53)=0,0,H53*IF(I53="",1,IFERROR(INDEX(Setup!$F$9:$F$18,MATCH(I53,Setup!$E$9:$E$18,0)),0)))-IF(N(J53)=0,0,J53*IF(I53="",1,IFERROR(INDEX(Setup!$F$9:$F$18,MATCH(I53,Setup!$E$9:$E$18,0)),0)))&gt;0.005,IF(N(H53)=0,0,H53*IF(I53="",1,IFERROR(INDEX(Setup!$F$9:$F$18,MATCH(I53,Setup!$E$9:$E$18,0)),0)))-IF(N(J53)=0,0,J53*IF(I53="",1,IFERROR(INDEX(Setup!$F$9:$F$18,MATCH(I53,Setup!$E$9:$E$18,0)),0))),""))</f>
        <v/>
      </c>
      <c r="M53" s="19">
        <f>IF(D53="","",IF(D53&gt;TODAY(),"In "&amp;(D53-TODAY())&amp;IF((D53-TODAY())=1," day"," days"),IF(D53=TODAY(),"Today",IF(OR(F53="",F53&lt;TODAY()),"Done","Now"))))</f>
        <v/>
      </c>
      <c r="N53" s="28" t="n"/>
      <c r="O53" s="1">
        <f>IF(B53="","",IFERROR(INDEX(Setup!$I$9:$I$15,MATCH(B53,Setup!$H$9:$H$15,0)),"Other"))</f>
        <v/>
      </c>
      <c r="P53">
        <f>IF(N(H53)=0,0,IF(N(J53)=0,0,J53*IF(I53="",1,IFERROR(INDEX(Setup!$F$9:$F$18,MATCH(I53,Setup!$E$9:$E$18,0)),0))))</f>
        <v/>
      </c>
      <c r="Q53">
        <f>IF(OR(D53="",M53="Done"),"",D53+N(E53)+ROW()/100000000)</f>
        <v/>
      </c>
    </row>
    <row r="54">
      <c r="A54" s="1" t="n"/>
      <c r="B54" s="27" t="n"/>
      <c r="C54" s="28" t="n"/>
      <c r="D54" s="30" t="n"/>
      <c r="E54" s="26" t="n"/>
      <c r="F54" s="30" t="n"/>
      <c r="G54" s="29" t="n"/>
      <c r="H54" s="31" t="n"/>
      <c r="I54" s="29" t="n"/>
      <c r="J54" s="31" t="n"/>
      <c r="K54" s="20">
        <f>IF(N(H54)=0,"",IF(N(H54)=0,0,H54*IF(I54="",1,IFERROR(INDEX(Setup!$F$9:$F$18,MATCH(I54,Setup!$E$9:$E$18,0)),0))))</f>
        <v/>
      </c>
      <c r="L54" s="15">
        <f>IF(N(H54)=0,"",IF(IF(N(H54)=0,0,H54*IF(I54="",1,IFERROR(INDEX(Setup!$F$9:$F$18,MATCH(I54,Setup!$E$9:$E$18,0)),0)))-IF(N(J54)=0,0,J54*IF(I54="",1,IFERROR(INDEX(Setup!$F$9:$F$18,MATCH(I54,Setup!$E$9:$E$18,0)),0)))&gt;0.005,IF(N(H54)=0,0,H54*IF(I54="",1,IFERROR(INDEX(Setup!$F$9:$F$18,MATCH(I54,Setup!$E$9:$E$18,0)),0)))-IF(N(J54)=0,0,J54*IF(I54="",1,IFERROR(INDEX(Setup!$F$9:$F$18,MATCH(I54,Setup!$E$9:$E$18,0)),0))),""))</f>
        <v/>
      </c>
      <c r="M54" s="19">
        <f>IF(D54="","",IF(D54&gt;TODAY(),"In "&amp;(D54-TODAY())&amp;IF((D54-TODAY())=1," day"," days"),IF(D54=TODAY(),"Today",IF(OR(F54="",F54&lt;TODAY()),"Done","Now"))))</f>
        <v/>
      </c>
      <c r="N54" s="28" t="n"/>
      <c r="O54" s="1">
        <f>IF(B54="","",IFERROR(INDEX(Setup!$I$9:$I$15,MATCH(B54,Setup!$H$9:$H$15,0)),"Other"))</f>
        <v/>
      </c>
      <c r="P54">
        <f>IF(N(H54)=0,0,IF(N(J54)=0,0,J54*IF(I54="",1,IFERROR(INDEX(Setup!$F$9:$F$18,MATCH(I54,Setup!$E$9:$E$18,0)),0))))</f>
        <v/>
      </c>
      <c r="Q54">
        <f>IF(OR(D54="",M54="Done"),"",D54+N(E54)+ROW()/100000000)</f>
        <v/>
      </c>
    </row>
    <row r="55">
      <c r="A55" s="1" t="n"/>
      <c r="B55" s="27" t="n"/>
      <c r="C55" s="28" t="n"/>
      <c r="D55" s="30" t="n"/>
      <c r="E55" s="26" t="n"/>
      <c r="F55" s="30" t="n"/>
      <c r="G55" s="29" t="n"/>
      <c r="H55" s="31" t="n"/>
      <c r="I55" s="29" t="n"/>
      <c r="J55" s="31" t="n"/>
      <c r="K55" s="20">
        <f>IF(N(H55)=0,"",IF(N(H55)=0,0,H55*IF(I55="",1,IFERROR(INDEX(Setup!$F$9:$F$18,MATCH(I55,Setup!$E$9:$E$18,0)),0))))</f>
        <v/>
      </c>
      <c r="L55" s="15">
        <f>IF(N(H55)=0,"",IF(IF(N(H55)=0,0,H55*IF(I55="",1,IFERROR(INDEX(Setup!$F$9:$F$18,MATCH(I55,Setup!$E$9:$E$18,0)),0)))-IF(N(J55)=0,0,J55*IF(I55="",1,IFERROR(INDEX(Setup!$F$9:$F$18,MATCH(I55,Setup!$E$9:$E$18,0)),0)))&gt;0.005,IF(N(H55)=0,0,H55*IF(I55="",1,IFERROR(INDEX(Setup!$F$9:$F$18,MATCH(I55,Setup!$E$9:$E$18,0)),0)))-IF(N(J55)=0,0,J55*IF(I55="",1,IFERROR(INDEX(Setup!$F$9:$F$18,MATCH(I55,Setup!$E$9:$E$18,0)),0))),""))</f>
        <v/>
      </c>
      <c r="M55" s="19">
        <f>IF(D55="","",IF(D55&gt;TODAY(),"In "&amp;(D55-TODAY())&amp;IF((D55-TODAY())=1," day"," days"),IF(D55=TODAY(),"Today",IF(OR(F55="",F55&lt;TODAY()),"Done","Now"))))</f>
        <v/>
      </c>
      <c r="N55" s="28" t="n"/>
      <c r="O55" s="1">
        <f>IF(B55="","",IFERROR(INDEX(Setup!$I$9:$I$15,MATCH(B55,Setup!$H$9:$H$15,0)),"Other"))</f>
        <v/>
      </c>
      <c r="P55">
        <f>IF(N(H55)=0,0,IF(N(J55)=0,0,J55*IF(I55="",1,IFERROR(INDEX(Setup!$F$9:$F$18,MATCH(I55,Setup!$E$9:$E$18,0)),0))))</f>
        <v/>
      </c>
      <c r="Q55">
        <f>IF(OR(D55="",M55="Done"),"",D55+N(E55)+ROW()/100000000)</f>
        <v/>
      </c>
    </row>
    <row r="56">
      <c r="A56" s="1" t="n"/>
      <c r="B56" s="27" t="n"/>
      <c r="C56" s="28" t="n"/>
      <c r="D56" s="30" t="n"/>
      <c r="E56" s="26" t="n"/>
      <c r="F56" s="30" t="n"/>
      <c r="G56" s="29" t="n"/>
      <c r="H56" s="31" t="n"/>
      <c r="I56" s="29" t="n"/>
      <c r="J56" s="31" t="n"/>
      <c r="K56" s="20">
        <f>IF(N(H56)=0,"",IF(N(H56)=0,0,H56*IF(I56="",1,IFERROR(INDEX(Setup!$F$9:$F$18,MATCH(I56,Setup!$E$9:$E$18,0)),0))))</f>
        <v/>
      </c>
      <c r="L56" s="15">
        <f>IF(N(H56)=0,"",IF(IF(N(H56)=0,0,H56*IF(I56="",1,IFERROR(INDEX(Setup!$F$9:$F$18,MATCH(I56,Setup!$E$9:$E$18,0)),0)))-IF(N(J56)=0,0,J56*IF(I56="",1,IFERROR(INDEX(Setup!$F$9:$F$18,MATCH(I56,Setup!$E$9:$E$18,0)),0)))&gt;0.005,IF(N(H56)=0,0,H56*IF(I56="",1,IFERROR(INDEX(Setup!$F$9:$F$18,MATCH(I56,Setup!$E$9:$E$18,0)),0)))-IF(N(J56)=0,0,J56*IF(I56="",1,IFERROR(INDEX(Setup!$F$9:$F$18,MATCH(I56,Setup!$E$9:$E$18,0)),0))),""))</f>
        <v/>
      </c>
      <c r="M56" s="19">
        <f>IF(D56="","",IF(D56&gt;TODAY(),"In "&amp;(D56-TODAY())&amp;IF((D56-TODAY())=1," day"," days"),IF(D56=TODAY(),"Today",IF(OR(F56="",F56&lt;TODAY()),"Done","Now"))))</f>
        <v/>
      </c>
      <c r="N56" s="28" t="n"/>
      <c r="O56" s="1">
        <f>IF(B56="","",IFERROR(INDEX(Setup!$I$9:$I$15,MATCH(B56,Setup!$H$9:$H$15,0)),"Other"))</f>
        <v/>
      </c>
      <c r="P56">
        <f>IF(N(H56)=0,0,IF(N(J56)=0,0,J56*IF(I56="",1,IFERROR(INDEX(Setup!$F$9:$F$18,MATCH(I56,Setup!$E$9:$E$18,0)),0))))</f>
        <v/>
      </c>
      <c r="Q56">
        <f>IF(OR(D56="",M56="Done"),"",D56+N(E56)+ROW()/100000000)</f>
        <v/>
      </c>
    </row>
    <row r="57">
      <c r="A57" s="1" t="n"/>
      <c r="B57" s="27" t="n"/>
      <c r="C57" s="28" t="n"/>
      <c r="D57" s="30" t="n"/>
      <c r="E57" s="26" t="n"/>
      <c r="F57" s="30" t="n"/>
      <c r="G57" s="29" t="n"/>
      <c r="H57" s="31" t="n"/>
      <c r="I57" s="29" t="n"/>
      <c r="J57" s="31" t="n"/>
      <c r="K57" s="20">
        <f>IF(N(H57)=0,"",IF(N(H57)=0,0,H57*IF(I57="",1,IFERROR(INDEX(Setup!$F$9:$F$18,MATCH(I57,Setup!$E$9:$E$18,0)),0))))</f>
        <v/>
      </c>
      <c r="L57" s="15">
        <f>IF(N(H57)=0,"",IF(IF(N(H57)=0,0,H57*IF(I57="",1,IFERROR(INDEX(Setup!$F$9:$F$18,MATCH(I57,Setup!$E$9:$E$18,0)),0)))-IF(N(J57)=0,0,J57*IF(I57="",1,IFERROR(INDEX(Setup!$F$9:$F$18,MATCH(I57,Setup!$E$9:$E$18,0)),0)))&gt;0.005,IF(N(H57)=0,0,H57*IF(I57="",1,IFERROR(INDEX(Setup!$F$9:$F$18,MATCH(I57,Setup!$E$9:$E$18,0)),0)))-IF(N(J57)=0,0,J57*IF(I57="",1,IFERROR(INDEX(Setup!$F$9:$F$18,MATCH(I57,Setup!$E$9:$E$18,0)),0))),""))</f>
        <v/>
      </c>
      <c r="M57" s="19">
        <f>IF(D57="","",IF(D57&gt;TODAY(),"In "&amp;(D57-TODAY())&amp;IF((D57-TODAY())=1," day"," days"),IF(D57=TODAY(),"Today",IF(OR(F57="",F57&lt;TODAY()),"Done","Now"))))</f>
        <v/>
      </c>
      <c r="N57" s="28" t="n"/>
      <c r="O57" s="1">
        <f>IF(B57="","",IFERROR(INDEX(Setup!$I$9:$I$15,MATCH(B57,Setup!$H$9:$H$15,0)),"Other"))</f>
        <v/>
      </c>
      <c r="P57">
        <f>IF(N(H57)=0,0,IF(N(J57)=0,0,J57*IF(I57="",1,IFERROR(INDEX(Setup!$F$9:$F$18,MATCH(I57,Setup!$E$9:$E$18,0)),0))))</f>
        <v/>
      </c>
      <c r="Q57">
        <f>IF(OR(D57="",M57="Done"),"",D57+N(E57)+ROW()/100000000)</f>
        <v/>
      </c>
    </row>
    <row r="58">
      <c r="A58" s="1" t="n"/>
      <c r="B58" s="27" t="n"/>
      <c r="C58" s="28" t="n"/>
      <c r="D58" s="30" t="n"/>
      <c r="E58" s="26" t="n"/>
      <c r="F58" s="30" t="n"/>
      <c r="G58" s="29" t="n"/>
      <c r="H58" s="31" t="n"/>
      <c r="I58" s="29" t="n"/>
      <c r="J58" s="31" t="n"/>
      <c r="K58" s="20">
        <f>IF(N(H58)=0,"",IF(N(H58)=0,0,H58*IF(I58="",1,IFERROR(INDEX(Setup!$F$9:$F$18,MATCH(I58,Setup!$E$9:$E$18,0)),0))))</f>
        <v/>
      </c>
      <c r="L58" s="15">
        <f>IF(N(H58)=0,"",IF(IF(N(H58)=0,0,H58*IF(I58="",1,IFERROR(INDEX(Setup!$F$9:$F$18,MATCH(I58,Setup!$E$9:$E$18,0)),0)))-IF(N(J58)=0,0,J58*IF(I58="",1,IFERROR(INDEX(Setup!$F$9:$F$18,MATCH(I58,Setup!$E$9:$E$18,0)),0)))&gt;0.005,IF(N(H58)=0,0,H58*IF(I58="",1,IFERROR(INDEX(Setup!$F$9:$F$18,MATCH(I58,Setup!$E$9:$E$18,0)),0)))-IF(N(J58)=0,0,J58*IF(I58="",1,IFERROR(INDEX(Setup!$F$9:$F$18,MATCH(I58,Setup!$E$9:$E$18,0)),0))),""))</f>
        <v/>
      </c>
      <c r="M58" s="19">
        <f>IF(D58="","",IF(D58&gt;TODAY(),"In "&amp;(D58-TODAY())&amp;IF((D58-TODAY())=1," day"," days"),IF(D58=TODAY(),"Today",IF(OR(F58="",F58&lt;TODAY()),"Done","Now"))))</f>
        <v/>
      </c>
      <c r="N58" s="28" t="n"/>
      <c r="O58" s="1">
        <f>IF(B58="","",IFERROR(INDEX(Setup!$I$9:$I$15,MATCH(B58,Setup!$H$9:$H$15,0)),"Other"))</f>
        <v/>
      </c>
      <c r="P58">
        <f>IF(N(H58)=0,0,IF(N(J58)=0,0,J58*IF(I58="",1,IFERROR(INDEX(Setup!$F$9:$F$18,MATCH(I58,Setup!$E$9:$E$18,0)),0))))</f>
        <v/>
      </c>
      <c r="Q58">
        <f>IF(OR(D58="",M58="Done"),"",D58+N(E58)+ROW()/100000000)</f>
        <v/>
      </c>
    </row>
    <row r="59">
      <c r="A59" s="1" t="n"/>
      <c r="B59" s="27" t="n"/>
      <c r="C59" s="28" t="n"/>
      <c r="D59" s="30" t="n"/>
      <c r="E59" s="26" t="n"/>
      <c r="F59" s="30" t="n"/>
      <c r="G59" s="29" t="n"/>
      <c r="H59" s="31" t="n"/>
      <c r="I59" s="29" t="n"/>
      <c r="J59" s="31" t="n"/>
      <c r="K59" s="20">
        <f>IF(N(H59)=0,"",IF(N(H59)=0,0,H59*IF(I59="",1,IFERROR(INDEX(Setup!$F$9:$F$18,MATCH(I59,Setup!$E$9:$E$18,0)),0))))</f>
        <v/>
      </c>
      <c r="L59" s="15">
        <f>IF(N(H59)=0,"",IF(IF(N(H59)=0,0,H59*IF(I59="",1,IFERROR(INDEX(Setup!$F$9:$F$18,MATCH(I59,Setup!$E$9:$E$18,0)),0)))-IF(N(J59)=0,0,J59*IF(I59="",1,IFERROR(INDEX(Setup!$F$9:$F$18,MATCH(I59,Setup!$E$9:$E$18,0)),0)))&gt;0.005,IF(N(H59)=0,0,H59*IF(I59="",1,IFERROR(INDEX(Setup!$F$9:$F$18,MATCH(I59,Setup!$E$9:$E$18,0)),0)))-IF(N(J59)=0,0,J59*IF(I59="",1,IFERROR(INDEX(Setup!$F$9:$F$18,MATCH(I59,Setup!$E$9:$E$18,0)),0))),""))</f>
        <v/>
      </c>
      <c r="M59" s="19">
        <f>IF(D59="","",IF(D59&gt;TODAY(),"In "&amp;(D59-TODAY())&amp;IF((D59-TODAY())=1," day"," days"),IF(D59=TODAY(),"Today",IF(OR(F59="",F59&lt;TODAY()),"Done","Now"))))</f>
        <v/>
      </c>
      <c r="N59" s="28" t="n"/>
      <c r="O59" s="1">
        <f>IF(B59="","",IFERROR(INDEX(Setup!$I$9:$I$15,MATCH(B59,Setup!$H$9:$H$15,0)),"Other"))</f>
        <v/>
      </c>
      <c r="P59">
        <f>IF(N(H59)=0,0,IF(N(J59)=0,0,J59*IF(I59="",1,IFERROR(INDEX(Setup!$F$9:$F$18,MATCH(I59,Setup!$E$9:$E$18,0)),0))))</f>
        <v/>
      </c>
      <c r="Q59">
        <f>IF(OR(D59="",M59="Done"),"",D59+N(E59)+ROW()/100000000)</f>
        <v/>
      </c>
    </row>
    <row r="60">
      <c r="A60" s="1" t="n"/>
      <c r="B60" s="27" t="n"/>
      <c r="C60" s="28" t="n"/>
      <c r="D60" s="30" t="n"/>
      <c r="E60" s="26" t="n"/>
      <c r="F60" s="30" t="n"/>
      <c r="G60" s="29" t="n"/>
      <c r="H60" s="31" t="n"/>
      <c r="I60" s="29" t="n"/>
      <c r="J60" s="31" t="n"/>
      <c r="K60" s="20">
        <f>IF(N(H60)=0,"",IF(N(H60)=0,0,H60*IF(I60="",1,IFERROR(INDEX(Setup!$F$9:$F$18,MATCH(I60,Setup!$E$9:$E$18,0)),0))))</f>
        <v/>
      </c>
      <c r="L60" s="15">
        <f>IF(N(H60)=0,"",IF(IF(N(H60)=0,0,H60*IF(I60="",1,IFERROR(INDEX(Setup!$F$9:$F$18,MATCH(I60,Setup!$E$9:$E$18,0)),0)))-IF(N(J60)=0,0,J60*IF(I60="",1,IFERROR(INDEX(Setup!$F$9:$F$18,MATCH(I60,Setup!$E$9:$E$18,0)),0)))&gt;0.005,IF(N(H60)=0,0,H60*IF(I60="",1,IFERROR(INDEX(Setup!$F$9:$F$18,MATCH(I60,Setup!$E$9:$E$18,0)),0)))-IF(N(J60)=0,0,J60*IF(I60="",1,IFERROR(INDEX(Setup!$F$9:$F$18,MATCH(I60,Setup!$E$9:$E$18,0)),0))),""))</f>
        <v/>
      </c>
      <c r="M60" s="19">
        <f>IF(D60="","",IF(D60&gt;TODAY(),"In "&amp;(D60-TODAY())&amp;IF((D60-TODAY())=1," day"," days"),IF(D60=TODAY(),"Today",IF(OR(F60="",F60&lt;TODAY()),"Done","Now"))))</f>
        <v/>
      </c>
      <c r="N60" s="28" t="n"/>
      <c r="O60" s="1">
        <f>IF(B60="","",IFERROR(INDEX(Setup!$I$9:$I$15,MATCH(B60,Setup!$H$9:$H$15,0)),"Other"))</f>
        <v/>
      </c>
      <c r="P60">
        <f>IF(N(H60)=0,0,IF(N(J60)=0,0,J60*IF(I60="",1,IFERROR(INDEX(Setup!$F$9:$F$18,MATCH(I60,Setup!$E$9:$E$18,0)),0))))</f>
        <v/>
      </c>
      <c r="Q60">
        <f>IF(OR(D60="",M60="Done"),"",D60+N(E60)+ROW()/100000000)</f>
        <v/>
      </c>
    </row>
    <row r="61">
      <c r="A61" s="1" t="n"/>
      <c r="B61" s="27" t="n"/>
      <c r="C61" s="28" t="n"/>
      <c r="D61" s="30" t="n"/>
      <c r="E61" s="26" t="n"/>
      <c r="F61" s="30" t="n"/>
      <c r="G61" s="29" t="n"/>
      <c r="H61" s="31" t="n"/>
      <c r="I61" s="29" t="n"/>
      <c r="J61" s="31" t="n"/>
      <c r="K61" s="20">
        <f>IF(N(H61)=0,"",IF(N(H61)=0,0,H61*IF(I61="",1,IFERROR(INDEX(Setup!$F$9:$F$18,MATCH(I61,Setup!$E$9:$E$18,0)),0))))</f>
        <v/>
      </c>
      <c r="L61" s="15">
        <f>IF(N(H61)=0,"",IF(IF(N(H61)=0,0,H61*IF(I61="",1,IFERROR(INDEX(Setup!$F$9:$F$18,MATCH(I61,Setup!$E$9:$E$18,0)),0)))-IF(N(J61)=0,0,J61*IF(I61="",1,IFERROR(INDEX(Setup!$F$9:$F$18,MATCH(I61,Setup!$E$9:$E$18,0)),0)))&gt;0.005,IF(N(H61)=0,0,H61*IF(I61="",1,IFERROR(INDEX(Setup!$F$9:$F$18,MATCH(I61,Setup!$E$9:$E$18,0)),0)))-IF(N(J61)=0,0,J61*IF(I61="",1,IFERROR(INDEX(Setup!$F$9:$F$18,MATCH(I61,Setup!$E$9:$E$18,0)),0))),""))</f>
        <v/>
      </c>
      <c r="M61" s="19">
        <f>IF(D61="","",IF(D61&gt;TODAY(),"In "&amp;(D61-TODAY())&amp;IF((D61-TODAY())=1," day"," days"),IF(D61=TODAY(),"Today",IF(OR(F61="",F61&lt;TODAY()),"Done","Now"))))</f>
        <v/>
      </c>
      <c r="N61" s="28" t="n"/>
      <c r="O61" s="1">
        <f>IF(B61="","",IFERROR(INDEX(Setup!$I$9:$I$15,MATCH(B61,Setup!$H$9:$H$15,0)),"Other"))</f>
        <v/>
      </c>
      <c r="P61">
        <f>IF(N(H61)=0,0,IF(N(J61)=0,0,J61*IF(I61="",1,IFERROR(INDEX(Setup!$F$9:$F$18,MATCH(I61,Setup!$E$9:$E$18,0)),0))))</f>
        <v/>
      </c>
      <c r="Q61">
        <f>IF(OR(D61="",M61="Done"),"",D61+N(E61)+ROW()/100000000)</f>
        <v/>
      </c>
    </row>
    <row r="62">
      <c r="A62" s="1" t="n"/>
      <c r="B62" s="27" t="n"/>
      <c r="C62" s="28" t="n"/>
      <c r="D62" s="30" t="n"/>
      <c r="E62" s="26" t="n"/>
      <c r="F62" s="30" t="n"/>
      <c r="G62" s="29" t="n"/>
      <c r="H62" s="31" t="n"/>
      <c r="I62" s="29" t="n"/>
      <c r="J62" s="31" t="n"/>
      <c r="K62" s="20">
        <f>IF(N(H62)=0,"",IF(N(H62)=0,0,H62*IF(I62="",1,IFERROR(INDEX(Setup!$F$9:$F$18,MATCH(I62,Setup!$E$9:$E$18,0)),0))))</f>
        <v/>
      </c>
      <c r="L62" s="15">
        <f>IF(N(H62)=0,"",IF(IF(N(H62)=0,0,H62*IF(I62="",1,IFERROR(INDEX(Setup!$F$9:$F$18,MATCH(I62,Setup!$E$9:$E$18,0)),0)))-IF(N(J62)=0,0,J62*IF(I62="",1,IFERROR(INDEX(Setup!$F$9:$F$18,MATCH(I62,Setup!$E$9:$E$18,0)),0)))&gt;0.005,IF(N(H62)=0,0,H62*IF(I62="",1,IFERROR(INDEX(Setup!$F$9:$F$18,MATCH(I62,Setup!$E$9:$E$18,0)),0)))-IF(N(J62)=0,0,J62*IF(I62="",1,IFERROR(INDEX(Setup!$F$9:$F$18,MATCH(I62,Setup!$E$9:$E$18,0)),0))),""))</f>
        <v/>
      </c>
      <c r="M62" s="19">
        <f>IF(D62="","",IF(D62&gt;TODAY(),"In "&amp;(D62-TODAY())&amp;IF((D62-TODAY())=1," day"," days"),IF(D62=TODAY(),"Today",IF(OR(F62="",F62&lt;TODAY()),"Done","Now"))))</f>
        <v/>
      </c>
      <c r="N62" s="28" t="n"/>
      <c r="O62" s="1">
        <f>IF(B62="","",IFERROR(INDEX(Setup!$I$9:$I$15,MATCH(B62,Setup!$H$9:$H$15,0)),"Other"))</f>
        <v/>
      </c>
      <c r="P62">
        <f>IF(N(H62)=0,0,IF(N(J62)=0,0,J62*IF(I62="",1,IFERROR(INDEX(Setup!$F$9:$F$18,MATCH(I62,Setup!$E$9:$E$18,0)),0))))</f>
        <v/>
      </c>
      <c r="Q62">
        <f>IF(OR(D62="",M62="Done"),"",D62+N(E62)+ROW()/100000000)</f>
        <v/>
      </c>
    </row>
    <row r="63">
      <c r="A63" s="1" t="n"/>
      <c r="B63" s="27" t="n"/>
      <c r="C63" s="28" t="n"/>
      <c r="D63" s="30" t="n"/>
      <c r="E63" s="26" t="n"/>
      <c r="F63" s="30" t="n"/>
      <c r="G63" s="29" t="n"/>
      <c r="H63" s="31" t="n"/>
      <c r="I63" s="29" t="n"/>
      <c r="J63" s="31" t="n"/>
      <c r="K63" s="20">
        <f>IF(N(H63)=0,"",IF(N(H63)=0,0,H63*IF(I63="",1,IFERROR(INDEX(Setup!$F$9:$F$18,MATCH(I63,Setup!$E$9:$E$18,0)),0))))</f>
        <v/>
      </c>
      <c r="L63" s="15">
        <f>IF(N(H63)=0,"",IF(IF(N(H63)=0,0,H63*IF(I63="",1,IFERROR(INDEX(Setup!$F$9:$F$18,MATCH(I63,Setup!$E$9:$E$18,0)),0)))-IF(N(J63)=0,0,J63*IF(I63="",1,IFERROR(INDEX(Setup!$F$9:$F$18,MATCH(I63,Setup!$E$9:$E$18,0)),0)))&gt;0.005,IF(N(H63)=0,0,H63*IF(I63="",1,IFERROR(INDEX(Setup!$F$9:$F$18,MATCH(I63,Setup!$E$9:$E$18,0)),0)))-IF(N(J63)=0,0,J63*IF(I63="",1,IFERROR(INDEX(Setup!$F$9:$F$18,MATCH(I63,Setup!$E$9:$E$18,0)),0))),""))</f>
        <v/>
      </c>
      <c r="M63" s="19">
        <f>IF(D63="","",IF(D63&gt;TODAY(),"In "&amp;(D63-TODAY())&amp;IF((D63-TODAY())=1," day"," days"),IF(D63=TODAY(),"Today",IF(OR(F63="",F63&lt;TODAY()),"Done","Now"))))</f>
        <v/>
      </c>
      <c r="N63" s="28" t="n"/>
      <c r="O63" s="1">
        <f>IF(B63="","",IFERROR(INDEX(Setup!$I$9:$I$15,MATCH(B63,Setup!$H$9:$H$15,0)),"Other"))</f>
        <v/>
      </c>
      <c r="P63">
        <f>IF(N(H63)=0,0,IF(N(J63)=0,0,J63*IF(I63="",1,IFERROR(INDEX(Setup!$F$9:$F$18,MATCH(I63,Setup!$E$9:$E$18,0)),0))))</f>
        <v/>
      </c>
      <c r="Q63">
        <f>IF(OR(D63="",M63="Done"),"",D63+N(E63)+ROW()/100000000)</f>
        <v/>
      </c>
    </row>
    <row r="64">
      <c r="A64" s="1" t="n"/>
      <c r="B64" s="27" t="n"/>
      <c r="C64" s="28" t="n"/>
      <c r="D64" s="30" t="n"/>
      <c r="E64" s="26" t="n"/>
      <c r="F64" s="30" t="n"/>
      <c r="G64" s="29" t="n"/>
      <c r="H64" s="31" t="n"/>
      <c r="I64" s="29" t="n"/>
      <c r="J64" s="31" t="n"/>
      <c r="K64" s="20">
        <f>IF(N(H64)=0,"",IF(N(H64)=0,0,H64*IF(I64="",1,IFERROR(INDEX(Setup!$F$9:$F$18,MATCH(I64,Setup!$E$9:$E$18,0)),0))))</f>
        <v/>
      </c>
      <c r="L64" s="15">
        <f>IF(N(H64)=0,"",IF(IF(N(H64)=0,0,H64*IF(I64="",1,IFERROR(INDEX(Setup!$F$9:$F$18,MATCH(I64,Setup!$E$9:$E$18,0)),0)))-IF(N(J64)=0,0,J64*IF(I64="",1,IFERROR(INDEX(Setup!$F$9:$F$18,MATCH(I64,Setup!$E$9:$E$18,0)),0)))&gt;0.005,IF(N(H64)=0,0,H64*IF(I64="",1,IFERROR(INDEX(Setup!$F$9:$F$18,MATCH(I64,Setup!$E$9:$E$18,0)),0)))-IF(N(J64)=0,0,J64*IF(I64="",1,IFERROR(INDEX(Setup!$F$9:$F$18,MATCH(I64,Setup!$E$9:$E$18,0)),0))),""))</f>
        <v/>
      </c>
      <c r="M64" s="19">
        <f>IF(D64="","",IF(D64&gt;TODAY(),"In "&amp;(D64-TODAY())&amp;IF((D64-TODAY())=1," day"," days"),IF(D64=TODAY(),"Today",IF(OR(F64="",F64&lt;TODAY()),"Done","Now"))))</f>
        <v/>
      </c>
      <c r="N64" s="28" t="n"/>
      <c r="O64" s="1">
        <f>IF(B64="","",IFERROR(INDEX(Setup!$I$9:$I$15,MATCH(B64,Setup!$H$9:$H$15,0)),"Other"))</f>
        <v/>
      </c>
      <c r="P64">
        <f>IF(N(H64)=0,0,IF(N(J64)=0,0,J64*IF(I64="",1,IFERROR(INDEX(Setup!$F$9:$F$18,MATCH(I64,Setup!$E$9:$E$18,0)),0))))</f>
        <v/>
      </c>
      <c r="Q64">
        <f>IF(OR(D64="",M64="Done"),"",D64+N(E64)+ROW()/100000000)</f>
        <v/>
      </c>
    </row>
    <row r="65">
      <c r="A65" s="1" t="n"/>
      <c r="B65" s="27" t="n"/>
      <c r="C65" s="28" t="n"/>
      <c r="D65" s="30" t="n"/>
      <c r="E65" s="26" t="n"/>
      <c r="F65" s="30" t="n"/>
      <c r="G65" s="29" t="n"/>
      <c r="H65" s="31" t="n"/>
      <c r="I65" s="29" t="n"/>
      <c r="J65" s="31" t="n"/>
      <c r="K65" s="20">
        <f>IF(N(H65)=0,"",IF(N(H65)=0,0,H65*IF(I65="",1,IFERROR(INDEX(Setup!$F$9:$F$18,MATCH(I65,Setup!$E$9:$E$18,0)),0))))</f>
        <v/>
      </c>
      <c r="L65" s="15">
        <f>IF(N(H65)=0,"",IF(IF(N(H65)=0,0,H65*IF(I65="",1,IFERROR(INDEX(Setup!$F$9:$F$18,MATCH(I65,Setup!$E$9:$E$18,0)),0)))-IF(N(J65)=0,0,J65*IF(I65="",1,IFERROR(INDEX(Setup!$F$9:$F$18,MATCH(I65,Setup!$E$9:$E$18,0)),0)))&gt;0.005,IF(N(H65)=0,0,H65*IF(I65="",1,IFERROR(INDEX(Setup!$F$9:$F$18,MATCH(I65,Setup!$E$9:$E$18,0)),0)))-IF(N(J65)=0,0,J65*IF(I65="",1,IFERROR(INDEX(Setup!$F$9:$F$18,MATCH(I65,Setup!$E$9:$E$18,0)),0))),""))</f>
        <v/>
      </c>
      <c r="M65" s="19">
        <f>IF(D65="","",IF(D65&gt;TODAY(),"In "&amp;(D65-TODAY())&amp;IF((D65-TODAY())=1," day"," days"),IF(D65=TODAY(),"Today",IF(OR(F65="",F65&lt;TODAY()),"Done","Now"))))</f>
        <v/>
      </c>
      <c r="N65" s="28" t="n"/>
      <c r="O65" s="1">
        <f>IF(B65="","",IFERROR(INDEX(Setup!$I$9:$I$15,MATCH(B65,Setup!$H$9:$H$15,0)),"Other"))</f>
        <v/>
      </c>
      <c r="P65">
        <f>IF(N(H65)=0,0,IF(N(J65)=0,0,J65*IF(I65="",1,IFERROR(INDEX(Setup!$F$9:$F$18,MATCH(I65,Setup!$E$9:$E$18,0)),0))))</f>
        <v/>
      </c>
      <c r="Q65">
        <f>IF(OR(D65="",M65="Done"),"",D65+N(E65)+ROW()/100000000)</f>
        <v/>
      </c>
    </row>
    <row r="66">
      <c r="A66" s="1" t="n"/>
      <c r="B66" s="27" t="n"/>
      <c r="C66" s="28" t="n"/>
      <c r="D66" s="30" t="n"/>
      <c r="E66" s="26" t="n"/>
      <c r="F66" s="30" t="n"/>
      <c r="G66" s="29" t="n"/>
      <c r="H66" s="31" t="n"/>
      <c r="I66" s="29" t="n"/>
      <c r="J66" s="31" t="n"/>
      <c r="K66" s="20">
        <f>IF(N(H66)=0,"",IF(N(H66)=0,0,H66*IF(I66="",1,IFERROR(INDEX(Setup!$F$9:$F$18,MATCH(I66,Setup!$E$9:$E$18,0)),0))))</f>
        <v/>
      </c>
      <c r="L66" s="15">
        <f>IF(N(H66)=0,"",IF(IF(N(H66)=0,0,H66*IF(I66="",1,IFERROR(INDEX(Setup!$F$9:$F$18,MATCH(I66,Setup!$E$9:$E$18,0)),0)))-IF(N(J66)=0,0,J66*IF(I66="",1,IFERROR(INDEX(Setup!$F$9:$F$18,MATCH(I66,Setup!$E$9:$E$18,0)),0)))&gt;0.005,IF(N(H66)=0,0,H66*IF(I66="",1,IFERROR(INDEX(Setup!$F$9:$F$18,MATCH(I66,Setup!$E$9:$E$18,0)),0)))-IF(N(J66)=0,0,J66*IF(I66="",1,IFERROR(INDEX(Setup!$F$9:$F$18,MATCH(I66,Setup!$E$9:$E$18,0)),0))),""))</f>
        <v/>
      </c>
      <c r="M66" s="19">
        <f>IF(D66="","",IF(D66&gt;TODAY(),"In "&amp;(D66-TODAY())&amp;IF((D66-TODAY())=1," day"," days"),IF(D66=TODAY(),"Today",IF(OR(F66="",F66&lt;TODAY()),"Done","Now"))))</f>
        <v/>
      </c>
      <c r="N66" s="28" t="n"/>
      <c r="O66" s="1">
        <f>IF(B66="","",IFERROR(INDEX(Setup!$I$9:$I$15,MATCH(B66,Setup!$H$9:$H$15,0)),"Other"))</f>
        <v/>
      </c>
      <c r="P66">
        <f>IF(N(H66)=0,0,IF(N(J66)=0,0,J66*IF(I66="",1,IFERROR(INDEX(Setup!$F$9:$F$18,MATCH(I66,Setup!$E$9:$E$18,0)),0))))</f>
        <v/>
      </c>
      <c r="Q66">
        <f>IF(OR(D66="",M66="Done"),"",D66+N(E66)+ROW()/100000000)</f>
        <v/>
      </c>
    </row>
    <row r="67">
      <c r="A67" s="1" t="n"/>
      <c r="B67" s="27" t="n"/>
      <c r="C67" s="28" t="n"/>
      <c r="D67" s="30" t="n"/>
      <c r="E67" s="26" t="n"/>
      <c r="F67" s="30" t="n"/>
      <c r="G67" s="29" t="n"/>
      <c r="H67" s="31" t="n"/>
      <c r="I67" s="29" t="n"/>
      <c r="J67" s="31" t="n"/>
      <c r="K67" s="20">
        <f>IF(N(H67)=0,"",IF(N(H67)=0,0,H67*IF(I67="",1,IFERROR(INDEX(Setup!$F$9:$F$18,MATCH(I67,Setup!$E$9:$E$18,0)),0))))</f>
        <v/>
      </c>
      <c r="L67" s="15">
        <f>IF(N(H67)=0,"",IF(IF(N(H67)=0,0,H67*IF(I67="",1,IFERROR(INDEX(Setup!$F$9:$F$18,MATCH(I67,Setup!$E$9:$E$18,0)),0)))-IF(N(J67)=0,0,J67*IF(I67="",1,IFERROR(INDEX(Setup!$F$9:$F$18,MATCH(I67,Setup!$E$9:$E$18,0)),0)))&gt;0.005,IF(N(H67)=0,0,H67*IF(I67="",1,IFERROR(INDEX(Setup!$F$9:$F$18,MATCH(I67,Setup!$E$9:$E$18,0)),0)))-IF(N(J67)=0,0,J67*IF(I67="",1,IFERROR(INDEX(Setup!$F$9:$F$18,MATCH(I67,Setup!$E$9:$E$18,0)),0))),""))</f>
        <v/>
      </c>
      <c r="M67" s="19">
        <f>IF(D67="","",IF(D67&gt;TODAY(),"In "&amp;(D67-TODAY())&amp;IF((D67-TODAY())=1," day"," days"),IF(D67=TODAY(),"Today",IF(OR(F67="",F67&lt;TODAY()),"Done","Now"))))</f>
        <v/>
      </c>
      <c r="N67" s="28" t="n"/>
      <c r="O67" s="1">
        <f>IF(B67="","",IFERROR(INDEX(Setup!$I$9:$I$15,MATCH(B67,Setup!$H$9:$H$15,0)),"Other"))</f>
        <v/>
      </c>
      <c r="P67">
        <f>IF(N(H67)=0,0,IF(N(J67)=0,0,J67*IF(I67="",1,IFERROR(INDEX(Setup!$F$9:$F$18,MATCH(I67,Setup!$E$9:$E$18,0)),0))))</f>
        <v/>
      </c>
      <c r="Q67">
        <f>IF(OR(D67="",M67="Done"),"",D67+N(E67)+ROW()/100000000)</f>
        <v/>
      </c>
    </row>
    <row r="68">
      <c r="A68" s="1" t="n"/>
      <c r="B68" s="27" t="n"/>
      <c r="C68" s="28" t="n"/>
      <c r="D68" s="30" t="n"/>
      <c r="E68" s="26" t="n"/>
      <c r="F68" s="30" t="n"/>
      <c r="G68" s="29" t="n"/>
      <c r="H68" s="31" t="n"/>
      <c r="I68" s="29" t="n"/>
      <c r="J68" s="31" t="n"/>
      <c r="K68" s="20">
        <f>IF(N(H68)=0,"",IF(N(H68)=0,0,H68*IF(I68="",1,IFERROR(INDEX(Setup!$F$9:$F$18,MATCH(I68,Setup!$E$9:$E$18,0)),0))))</f>
        <v/>
      </c>
      <c r="L68" s="15">
        <f>IF(N(H68)=0,"",IF(IF(N(H68)=0,0,H68*IF(I68="",1,IFERROR(INDEX(Setup!$F$9:$F$18,MATCH(I68,Setup!$E$9:$E$18,0)),0)))-IF(N(J68)=0,0,J68*IF(I68="",1,IFERROR(INDEX(Setup!$F$9:$F$18,MATCH(I68,Setup!$E$9:$E$18,0)),0)))&gt;0.005,IF(N(H68)=0,0,H68*IF(I68="",1,IFERROR(INDEX(Setup!$F$9:$F$18,MATCH(I68,Setup!$E$9:$E$18,0)),0)))-IF(N(J68)=0,0,J68*IF(I68="",1,IFERROR(INDEX(Setup!$F$9:$F$18,MATCH(I68,Setup!$E$9:$E$18,0)),0))),""))</f>
        <v/>
      </c>
      <c r="M68" s="19">
        <f>IF(D68="","",IF(D68&gt;TODAY(),"In "&amp;(D68-TODAY())&amp;IF((D68-TODAY())=1," day"," days"),IF(D68=TODAY(),"Today",IF(OR(F68="",F68&lt;TODAY()),"Done","Now"))))</f>
        <v/>
      </c>
      <c r="N68" s="28" t="n"/>
      <c r="O68" s="1">
        <f>IF(B68="","",IFERROR(INDEX(Setup!$I$9:$I$15,MATCH(B68,Setup!$H$9:$H$15,0)),"Other"))</f>
        <v/>
      </c>
      <c r="P68">
        <f>IF(N(H68)=0,0,IF(N(J68)=0,0,J68*IF(I68="",1,IFERROR(INDEX(Setup!$F$9:$F$18,MATCH(I68,Setup!$E$9:$E$18,0)),0))))</f>
        <v/>
      </c>
      <c r="Q68">
        <f>IF(OR(D68="",M68="Done"),"",D68+N(E68)+ROW()/100000000)</f>
        <v/>
      </c>
    </row>
    <row r="69">
      <c r="A69" s="1" t="n"/>
      <c r="B69" s="27" t="n"/>
      <c r="C69" s="28" t="n"/>
      <c r="D69" s="30" t="n"/>
      <c r="E69" s="26" t="n"/>
      <c r="F69" s="30" t="n"/>
      <c r="G69" s="29" t="n"/>
      <c r="H69" s="31" t="n"/>
      <c r="I69" s="29" t="n"/>
      <c r="J69" s="31" t="n"/>
      <c r="K69" s="20">
        <f>IF(N(H69)=0,"",IF(N(H69)=0,0,H69*IF(I69="",1,IFERROR(INDEX(Setup!$F$9:$F$18,MATCH(I69,Setup!$E$9:$E$18,0)),0))))</f>
        <v/>
      </c>
      <c r="L69" s="15">
        <f>IF(N(H69)=0,"",IF(IF(N(H69)=0,0,H69*IF(I69="",1,IFERROR(INDEX(Setup!$F$9:$F$18,MATCH(I69,Setup!$E$9:$E$18,0)),0)))-IF(N(J69)=0,0,J69*IF(I69="",1,IFERROR(INDEX(Setup!$F$9:$F$18,MATCH(I69,Setup!$E$9:$E$18,0)),0)))&gt;0.005,IF(N(H69)=0,0,H69*IF(I69="",1,IFERROR(INDEX(Setup!$F$9:$F$18,MATCH(I69,Setup!$E$9:$E$18,0)),0)))-IF(N(J69)=0,0,J69*IF(I69="",1,IFERROR(INDEX(Setup!$F$9:$F$18,MATCH(I69,Setup!$E$9:$E$18,0)),0))),""))</f>
        <v/>
      </c>
      <c r="M69" s="19">
        <f>IF(D69="","",IF(D69&gt;TODAY(),"In "&amp;(D69-TODAY())&amp;IF((D69-TODAY())=1," day"," days"),IF(D69=TODAY(),"Today",IF(OR(F69="",F69&lt;TODAY()),"Done","Now"))))</f>
        <v/>
      </c>
      <c r="N69" s="28" t="n"/>
      <c r="O69" s="1">
        <f>IF(B69="","",IFERROR(INDEX(Setup!$I$9:$I$15,MATCH(B69,Setup!$H$9:$H$15,0)),"Other"))</f>
        <v/>
      </c>
      <c r="P69">
        <f>IF(N(H69)=0,0,IF(N(J69)=0,0,J69*IF(I69="",1,IFERROR(INDEX(Setup!$F$9:$F$18,MATCH(I69,Setup!$E$9:$E$18,0)),0))))</f>
        <v/>
      </c>
      <c r="Q69">
        <f>IF(OR(D69="",M69="Done"),"",D69+N(E69)+ROW()/100000000)</f>
        <v/>
      </c>
    </row>
    <row r="70">
      <c r="A70" s="1" t="n"/>
      <c r="B70" s="27" t="n"/>
      <c r="C70" s="28" t="n"/>
      <c r="D70" s="30" t="n"/>
      <c r="E70" s="26" t="n"/>
      <c r="F70" s="30" t="n"/>
      <c r="G70" s="29" t="n"/>
      <c r="H70" s="31" t="n"/>
      <c r="I70" s="29" t="n"/>
      <c r="J70" s="31" t="n"/>
      <c r="K70" s="20">
        <f>IF(N(H70)=0,"",IF(N(H70)=0,0,H70*IF(I70="",1,IFERROR(INDEX(Setup!$F$9:$F$18,MATCH(I70,Setup!$E$9:$E$18,0)),0))))</f>
        <v/>
      </c>
      <c r="L70" s="15">
        <f>IF(N(H70)=0,"",IF(IF(N(H70)=0,0,H70*IF(I70="",1,IFERROR(INDEX(Setup!$F$9:$F$18,MATCH(I70,Setup!$E$9:$E$18,0)),0)))-IF(N(J70)=0,0,J70*IF(I70="",1,IFERROR(INDEX(Setup!$F$9:$F$18,MATCH(I70,Setup!$E$9:$E$18,0)),0)))&gt;0.005,IF(N(H70)=0,0,H70*IF(I70="",1,IFERROR(INDEX(Setup!$F$9:$F$18,MATCH(I70,Setup!$E$9:$E$18,0)),0)))-IF(N(J70)=0,0,J70*IF(I70="",1,IFERROR(INDEX(Setup!$F$9:$F$18,MATCH(I70,Setup!$E$9:$E$18,0)),0))),""))</f>
        <v/>
      </c>
      <c r="M70" s="19">
        <f>IF(D70="","",IF(D70&gt;TODAY(),"In "&amp;(D70-TODAY())&amp;IF((D70-TODAY())=1," day"," days"),IF(D70=TODAY(),"Today",IF(OR(F70="",F70&lt;TODAY()),"Done","Now"))))</f>
        <v/>
      </c>
      <c r="N70" s="28" t="n"/>
      <c r="O70" s="1">
        <f>IF(B70="","",IFERROR(INDEX(Setup!$I$9:$I$15,MATCH(B70,Setup!$H$9:$H$15,0)),"Other"))</f>
        <v/>
      </c>
      <c r="P70">
        <f>IF(N(H70)=0,0,IF(N(J70)=0,0,J70*IF(I70="",1,IFERROR(INDEX(Setup!$F$9:$F$18,MATCH(I70,Setup!$E$9:$E$18,0)),0))))</f>
        <v/>
      </c>
      <c r="Q70">
        <f>IF(OR(D70="",M70="Done"),"",D70+N(E70)+ROW()/100000000)</f>
        <v/>
      </c>
    </row>
    <row r="71">
      <c r="A71" s="1" t="n"/>
      <c r="B71" s="27" t="n"/>
      <c r="C71" s="28" t="n"/>
      <c r="D71" s="30" t="n"/>
      <c r="E71" s="26" t="n"/>
      <c r="F71" s="30" t="n"/>
      <c r="G71" s="29" t="n"/>
      <c r="H71" s="31" t="n"/>
      <c r="I71" s="29" t="n"/>
      <c r="J71" s="31" t="n"/>
      <c r="K71" s="20">
        <f>IF(N(H71)=0,"",IF(N(H71)=0,0,H71*IF(I71="",1,IFERROR(INDEX(Setup!$F$9:$F$18,MATCH(I71,Setup!$E$9:$E$18,0)),0))))</f>
        <v/>
      </c>
      <c r="L71" s="15">
        <f>IF(N(H71)=0,"",IF(IF(N(H71)=0,0,H71*IF(I71="",1,IFERROR(INDEX(Setup!$F$9:$F$18,MATCH(I71,Setup!$E$9:$E$18,0)),0)))-IF(N(J71)=0,0,J71*IF(I71="",1,IFERROR(INDEX(Setup!$F$9:$F$18,MATCH(I71,Setup!$E$9:$E$18,0)),0)))&gt;0.005,IF(N(H71)=0,0,H71*IF(I71="",1,IFERROR(INDEX(Setup!$F$9:$F$18,MATCH(I71,Setup!$E$9:$E$18,0)),0)))-IF(N(J71)=0,0,J71*IF(I71="",1,IFERROR(INDEX(Setup!$F$9:$F$18,MATCH(I71,Setup!$E$9:$E$18,0)),0))),""))</f>
        <v/>
      </c>
      <c r="M71" s="19">
        <f>IF(D71="","",IF(D71&gt;TODAY(),"In "&amp;(D71-TODAY())&amp;IF((D71-TODAY())=1," day"," days"),IF(D71=TODAY(),"Today",IF(OR(F71="",F71&lt;TODAY()),"Done","Now"))))</f>
        <v/>
      </c>
      <c r="N71" s="28" t="n"/>
      <c r="O71" s="1">
        <f>IF(B71="","",IFERROR(INDEX(Setup!$I$9:$I$15,MATCH(B71,Setup!$H$9:$H$15,0)),"Other"))</f>
        <v/>
      </c>
      <c r="P71">
        <f>IF(N(H71)=0,0,IF(N(J71)=0,0,J71*IF(I71="",1,IFERROR(INDEX(Setup!$F$9:$F$18,MATCH(I71,Setup!$E$9:$E$18,0)),0))))</f>
        <v/>
      </c>
      <c r="Q71">
        <f>IF(OR(D71="",M71="Done"),"",D71+N(E71)+ROW()/100000000)</f>
        <v/>
      </c>
    </row>
    <row r="72">
      <c r="A72" s="1" t="n"/>
      <c r="B72" s="27" t="n"/>
      <c r="C72" s="28" t="n"/>
      <c r="D72" s="30" t="n"/>
      <c r="E72" s="26" t="n"/>
      <c r="F72" s="30" t="n"/>
      <c r="G72" s="29" t="n"/>
      <c r="H72" s="31" t="n"/>
      <c r="I72" s="29" t="n"/>
      <c r="J72" s="31" t="n"/>
      <c r="K72" s="20">
        <f>IF(N(H72)=0,"",IF(N(H72)=0,0,H72*IF(I72="",1,IFERROR(INDEX(Setup!$F$9:$F$18,MATCH(I72,Setup!$E$9:$E$18,0)),0))))</f>
        <v/>
      </c>
      <c r="L72" s="15">
        <f>IF(N(H72)=0,"",IF(IF(N(H72)=0,0,H72*IF(I72="",1,IFERROR(INDEX(Setup!$F$9:$F$18,MATCH(I72,Setup!$E$9:$E$18,0)),0)))-IF(N(J72)=0,0,J72*IF(I72="",1,IFERROR(INDEX(Setup!$F$9:$F$18,MATCH(I72,Setup!$E$9:$E$18,0)),0)))&gt;0.005,IF(N(H72)=0,0,H72*IF(I72="",1,IFERROR(INDEX(Setup!$F$9:$F$18,MATCH(I72,Setup!$E$9:$E$18,0)),0)))-IF(N(J72)=0,0,J72*IF(I72="",1,IFERROR(INDEX(Setup!$F$9:$F$18,MATCH(I72,Setup!$E$9:$E$18,0)),0))),""))</f>
        <v/>
      </c>
      <c r="M72" s="19">
        <f>IF(D72="","",IF(D72&gt;TODAY(),"In "&amp;(D72-TODAY())&amp;IF((D72-TODAY())=1," day"," days"),IF(D72=TODAY(),"Today",IF(OR(F72="",F72&lt;TODAY()),"Done","Now"))))</f>
        <v/>
      </c>
      <c r="N72" s="28" t="n"/>
      <c r="O72" s="1">
        <f>IF(B72="","",IFERROR(INDEX(Setup!$I$9:$I$15,MATCH(B72,Setup!$H$9:$H$15,0)),"Other"))</f>
        <v/>
      </c>
      <c r="P72">
        <f>IF(N(H72)=0,0,IF(N(J72)=0,0,J72*IF(I72="",1,IFERROR(INDEX(Setup!$F$9:$F$18,MATCH(I72,Setup!$E$9:$E$18,0)),0))))</f>
        <v/>
      </c>
      <c r="Q72">
        <f>IF(OR(D72="",M72="Done"),"",D72+N(E72)+ROW()/100000000)</f>
        <v/>
      </c>
    </row>
    <row r="73">
      <c r="A73" s="1" t="n"/>
      <c r="B73" s="27" t="n"/>
      <c r="C73" s="28" t="n"/>
      <c r="D73" s="30" t="n"/>
      <c r="E73" s="26" t="n"/>
      <c r="F73" s="30" t="n"/>
      <c r="G73" s="29" t="n"/>
      <c r="H73" s="31" t="n"/>
      <c r="I73" s="29" t="n"/>
      <c r="J73" s="31" t="n"/>
      <c r="K73" s="20">
        <f>IF(N(H73)=0,"",IF(N(H73)=0,0,H73*IF(I73="",1,IFERROR(INDEX(Setup!$F$9:$F$18,MATCH(I73,Setup!$E$9:$E$18,0)),0))))</f>
        <v/>
      </c>
      <c r="L73" s="15">
        <f>IF(N(H73)=0,"",IF(IF(N(H73)=0,0,H73*IF(I73="",1,IFERROR(INDEX(Setup!$F$9:$F$18,MATCH(I73,Setup!$E$9:$E$18,0)),0)))-IF(N(J73)=0,0,J73*IF(I73="",1,IFERROR(INDEX(Setup!$F$9:$F$18,MATCH(I73,Setup!$E$9:$E$18,0)),0)))&gt;0.005,IF(N(H73)=0,0,H73*IF(I73="",1,IFERROR(INDEX(Setup!$F$9:$F$18,MATCH(I73,Setup!$E$9:$E$18,0)),0)))-IF(N(J73)=0,0,J73*IF(I73="",1,IFERROR(INDEX(Setup!$F$9:$F$18,MATCH(I73,Setup!$E$9:$E$18,0)),0))),""))</f>
        <v/>
      </c>
      <c r="M73" s="19">
        <f>IF(D73="","",IF(D73&gt;TODAY(),"In "&amp;(D73-TODAY())&amp;IF((D73-TODAY())=1," day"," days"),IF(D73=TODAY(),"Today",IF(OR(F73="",F73&lt;TODAY()),"Done","Now"))))</f>
        <v/>
      </c>
      <c r="N73" s="28" t="n"/>
      <c r="O73" s="1">
        <f>IF(B73="","",IFERROR(INDEX(Setup!$I$9:$I$15,MATCH(B73,Setup!$H$9:$H$15,0)),"Other"))</f>
        <v/>
      </c>
      <c r="P73">
        <f>IF(N(H73)=0,0,IF(N(J73)=0,0,J73*IF(I73="",1,IFERROR(INDEX(Setup!$F$9:$F$18,MATCH(I73,Setup!$E$9:$E$18,0)),0))))</f>
        <v/>
      </c>
      <c r="Q73">
        <f>IF(OR(D73="",M73="Done"),"",D73+N(E73)+ROW()/100000000)</f>
        <v/>
      </c>
    </row>
    <row r="74">
      <c r="A74" s="1" t="n"/>
      <c r="B74" s="27" t="n"/>
      <c r="C74" s="28" t="n"/>
      <c r="D74" s="30" t="n"/>
      <c r="E74" s="26" t="n"/>
      <c r="F74" s="30" t="n"/>
      <c r="G74" s="29" t="n"/>
      <c r="H74" s="31" t="n"/>
      <c r="I74" s="29" t="n"/>
      <c r="J74" s="31" t="n"/>
      <c r="K74" s="20">
        <f>IF(N(H74)=0,"",IF(N(H74)=0,0,H74*IF(I74="",1,IFERROR(INDEX(Setup!$F$9:$F$18,MATCH(I74,Setup!$E$9:$E$18,0)),0))))</f>
        <v/>
      </c>
      <c r="L74" s="15">
        <f>IF(N(H74)=0,"",IF(IF(N(H74)=0,0,H74*IF(I74="",1,IFERROR(INDEX(Setup!$F$9:$F$18,MATCH(I74,Setup!$E$9:$E$18,0)),0)))-IF(N(J74)=0,0,J74*IF(I74="",1,IFERROR(INDEX(Setup!$F$9:$F$18,MATCH(I74,Setup!$E$9:$E$18,0)),0)))&gt;0.005,IF(N(H74)=0,0,H74*IF(I74="",1,IFERROR(INDEX(Setup!$F$9:$F$18,MATCH(I74,Setup!$E$9:$E$18,0)),0)))-IF(N(J74)=0,0,J74*IF(I74="",1,IFERROR(INDEX(Setup!$F$9:$F$18,MATCH(I74,Setup!$E$9:$E$18,0)),0))),""))</f>
        <v/>
      </c>
      <c r="M74" s="19">
        <f>IF(D74="","",IF(D74&gt;TODAY(),"In "&amp;(D74-TODAY())&amp;IF((D74-TODAY())=1," day"," days"),IF(D74=TODAY(),"Today",IF(OR(F74="",F74&lt;TODAY()),"Done","Now"))))</f>
        <v/>
      </c>
      <c r="N74" s="28" t="n"/>
      <c r="O74" s="1">
        <f>IF(B74="","",IFERROR(INDEX(Setup!$I$9:$I$15,MATCH(B74,Setup!$H$9:$H$15,0)),"Other"))</f>
        <v/>
      </c>
      <c r="P74">
        <f>IF(N(H74)=0,0,IF(N(J74)=0,0,J74*IF(I74="",1,IFERROR(INDEX(Setup!$F$9:$F$18,MATCH(I74,Setup!$E$9:$E$18,0)),0))))</f>
        <v/>
      </c>
      <c r="Q74">
        <f>IF(OR(D74="",M74="Done"),"",D74+N(E74)+ROW()/100000000)</f>
        <v/>
      </c>
    </row>
    <row r="75">
      <c r="A75" s="1" t="n"/>
      <c r="B75" s="27" t="n"/>
      <c r="C75" s="28" t="n"/>
      <c r="D75" s="30" t="n"/>
      <c r="E75" s="26" t="n"/>
      <c r="F75" s="30" t="n"/>
      <c r="G75" s="29" t="n"/>
      <c r="H75" s="31" t="n"/>
      <c r="I75" s="29" t="n"/>
      <c r="J75" s="31" t="n"/>
      <c r="K75" s="20">
        <f>IF(N(H75)=0,"",IF(N(H75)=0,0,H75*IF(I75="",1,IFERROR(INDEX(Setup!$F$9:$F$18,MATCH(I75,Setup!$E$9:$E$18,0)),0))))</f>
        <v/>
      </c>
      <c r="L75" s="15">
        <f>IF(N(H75)=0,"",IF(IF(N(H75)=0,0,H75*IF(I75="",1,IFERROR(INDEX(Setup!$F$9:$F$18,MATCH(I75,Setup!$E$9:$E$18,0)),0)))-IF(N(J75)=0,0,J75*IF(I75="",1,IFERROR(INDEX(Setup!$F$9:$F$18,MATCH(I75,Setup!$E$9:$E$18,0)),0)))&gt;0.005,IF(N(H75)=0,0,H75*IF(I75="",1,IFERROR(INDEX(Setup!$F$9:$F$18,MATCH(I75,Setup!$E$9:$E$18,0)),0)))-IF(N(J75)=0,0,J75*IF(I75="",1,IFERROR(INDEX(Setup!$F$9:$F$18,MATCH(I75,Setup!$E$9:$E$18,0)),0))),""))</f>
        <v/>
      </c>
      <c r="M75" s="19">
        <f>IF(D75="","",IF(D75&gt;TODAY(),"In "&amp;(D75-TODAY())&amp;IF((D75-TODAY())=1," day"," days"),IF(D75=TODAY(),"Today",IF(OR(F75="",F75&lt;TODAY()),"Done","Now"))))</f>
        <v/>
      </c>
      <c r="N75" s="28" t="n"/>
      <c r="O75" s="1">
        <f>IF(B75="","",IFERROR(INDEX(Setup!$I$9:$I$15,MATCH(B75,Setup!$H$9:$H$15,0)),"Other"))</f>
        <v/>
      </c>
      <c r="P75">
        <f>IF(N(H75)=0,0,IF(N(J75)=0,0,J75*IF(I75="",1,IFERROR(INDEX(Setup!$F$9:$F$18,MATCH(I75,Setup!$E$9:$E$18,0)),0))))</f>
        <v/>
      </c>
      <c r="Q75">
        <f>IF(OR(D75="",M75="Done"),"",D75+N(E75)+ROW()/100000000)</f>
        <v/>
      </c>
    </row>
    <row r="76">
      <c r="A76" s="1" t="n"/>
      <c r="B76" s="27" t="n"/>
      <c r="C76" s="28" t="n"/>
      <c r="D76" s="30" t="n"/>
      <c r="E76" s="26" t="n"/>
      <c r="F76" s="30" t="n"/>
      <c r="G76" s="29" t="n"/>
      <c r="H76" s="31" t="n"/>
      <c r="I76" s="29" t="n"/>
      <c r="J76" s="31" t="n"/>
      <c r="K76" s="20">
        <f>IF(N(H76)=0,"",IF(N(H76)=0,0,H76*IF(I76="",1,IFERROR(INDEX(Setup!$F$9:$F$18,MATCH(I76,Setup!$E$9:$E$18,0)),0))))</f>
        <v/>
      </c>
      <c r="L76" s="15">
        <f>IF(N(H76)=0,"",IF(IF(N(H76)=0,0,H76*IF(I76="",1,IFERROR(INDEX(Setup!$F$9:$F$18,MATCH(I76,Setup!$E$9:$E$18,0)),0)))-IF(N(J76)=0,0,J76*IF(I76="",1,IFERROR(INDEX(Setup!$F$9:$F$18,MATCH(I76,Setup!$E$9:$E$18,0)),0)))&gt;0.005,IF(N(H76)=0,0,H76*IF(I76="",1,IFERROR(INDEX(Setup!$F$9:$F$18,MATCH(I76,Setup!$E$9:$E$18,0)),0)))-IF(N(J76)=0,0,J76*IF(I76="",1,IFERROR(INDEX(Setup!$F$9:$F$18,MATCH(I76,Setup!$E$9:$E$18,0)),0))),""))</f>
        <v/>
      </c>
      <c r="M76" s="19">
        <f>IF(D76="","",IF(D76&gt;TODAY(),"In "&amp;(D76-TODAY())&amp;IF((D76-TODAY())=1," day"," days"),IF(D76=TODAY(),"Today",IF(OR(F76="",F76&lt;TODAY()),"Done","Now"))))</f>
        <v/>
      </c>
      <c r="N76" s="28" t="n"/>
      <c r="O76" s="1">
        <f>IF(B76="","",IFERROR(INDEX(Setup!$I$9:$I$15,MATCH(B76,Setup!$H$9:$H$15,0)),"Other"))</f>
        <v/>
      </c>
      <c r="P76">
        <f>IF(N(H76)=0,0,IF(N(J76)=0,0,J76*IF(I76="",1,IFERROR(INDEX(Setup!$F$9:$F$18,MATCH(I76,Setup!$E$9:$E$18,0)),0))))</f>
        <v/>
      </c>
      <c r="Q76">
        <f>IF(OR(D76="",M76="Done"),"",D76+N(E76)+ROW()/100000000)</f>
        <v/>
      </c>
    </row>
    <row r="77">
      <c r="A77" s="1" t="n"/>
      <c r="B77" s="27" t="n"/>
      <c r="C77" s="28" t="n"/>
      <c r="D77" s="30" t="n"/>
      <c r="E77" s="26" t="n"/>
      <c r="F77" s="30" t="n"/>
      <c r="G77" s="29" t="n"/>
      <c r="H77" s="31" t="n"/>
      <c r="I77" s="29" t="n"/>
      <c r="J77" s="31" t="n"/>
      <c r="K77" s="20">
        <f>IF(N(H77)=0,"",IF(N(H77)=0,0,H77*IF(I77="",1,IFERROR(INDEX(Setup!$F$9:$F$18,MATCH(I77,Setup!$E$9:$E$18,0)),0))))</f>
        <v/>
      </c>
      <c r="L77" s="15">
        <f>IF(N(H77)=0,"",IF(IF(N(H77)=0,0,H77*IF(I77="",1,IFERROR(INDEX(Setup!$F$9:$F$18,MATCH(I77,Setup!$E$9:$E$18,0)),0)))-IF(N(J77)=0,0,J77*IF(I77="",1,IFERROR(INDEX(Setup!$F$9:$F$18,MATCH(I77,Setup!$E$9:$E$18,0)),0)))&gt;0.005,IF(N(H77)=0,0,H77*IF(I77="",1,IFERROR(INDEX(Setup!$F$9:$F$18,MATCH(I77,Setup!$E$9:$E$18,0)),0)))-IF(N(J77)=0,0,J77*IF(I77="",1,IFERROR(INDEX(Setup!$F$9:$F$18,MATCH(I77,Setup!$E$9:$E$18,0)),0))),""))</f>
        <v/>
      </c>
      <c r="M77" s="19">
        <f>IF(D77="","",IF(D77&gt;TODAY(),"In "&amp;(D77-TODAY())&amp;IF((D77-TODAY())=1," day"," days"),IF(D77=TODAY(),"Today",IF(OR(F77="",F77&lt;TODAY()),"Done","Now"))))</f>
        <v/>
      </c>
      <c r="N77" s="28" t="n"/>
      <c r="O77" s="1">
        <f>IF(B77="","",IFERROR(INDEX(Setup!$I$9:$I$15,MATCH(B77,Setup!$H$9:$H$15,0)),"Other"))</f>
        <v/>
      </c>
      <c r="P77">
        <f>IF(N(H77)=0,0,IF(N(J77)=0,0,J77*IF(I77="",1,IFERROR(INDEX(Setup!$F$9:$F$18,MATCH(I77,Setup!$E$9:$E$18,0)),0))))</f>
        <v/>
      </c>
      <c r="Q77">
        <f>IF(OR(D77="",M77="Done"),"",D77+N(E77)+ROW()/100000000)</f>
        <v/>
      </c>
    </row>
    <row r="78">
      <c r="A78" s="1" t="n"/>
      <c r="B78" s="27" t="n"/>
      <c r="C78" s="28" t="n"/>
      <c r="D78" s="30" t="n"/>
      <c r="E78" s="26" t="n"/>
      <c r="F78" s="30" t="n"/>
      <c r="G78" s="29" t="n"/>
      <c r="H78" s="31" t="n"/>
      <c r="I78" s="29" t="n"/>
      <c r="J78" s="31" t="n"/>
      <c r="K78" s="20">
        <f>IF(N(H78)=0,"",IF(N(H78)=0,0,H78*IF(I78="",1,IFERROR(INDEX(Setup!$F$9:$F$18,MATCH(I78,Setup!$E$9:$E$18,0)),0))))</f>
        <v/>
      </c>
      <c r="L78" s="15">
        <f>IF(N(H78)=0,"",IF(IF(N(H78)=0,0,H78*IF(I78="",1,IFERROR(INDEX(Setup!$F$9:$F$18,MATCH(I78,Setup!$E$9:$E$18,0)),0)))-IF(N(J78)=0,0,J78*IF(I78="",1,IFERROR(INDEX(Setup!$F$9:$F$18,MATCH(I78,Setup!$E$9:$E$18,0)),0)))&gt;0.005,IF(N(H78)=0,0,H78*IF(I78="",1,IFERROR(INDEX(Setup!$F$9:$F$18,MATCH(I78,Setup!$E$9:$E$18,0)),0)))-IF(N(J78)=0,0,J78*IF(I78="",1,IFERROR(INDEX(Setup!$F$9:$F$18,MATCH(I78,Setup!$E$9:$E$18,0)),0))),""))</f>
        <v/>
      </c>
      <c r="M78" s="19">
        <f>IF(D78="","",IF(D78&gt;TODAY(),"In "&amp;(D78-TODAY())&amp;IF((D78-TODAY())=1," day"," days"),IF(D78=TODAY(),"Today",IF(OR(F78="",F78&lt;TODAY()),"Done","Now"))))</f>
        <v/>
      </c>
      <c r="N78" s="28" t="n"/>
      <c r="O78" s="1">
        <f>IF(B78="","",IFERROR(INDEX(Setup!$I$9:$I$15,MATCH(B78,Setup!$H$9:$H$15,0)),"Other"))</f>
        <v/>
      </c>
      <c r="P78">
        <f>IF(N(H78)=0,0,IF(N(J78)=0,0,J78*IF(I78="",1,IFERROR(INDEX(Setup!$F$9:$F$18,MATCH(I78,Setup!$E$9:$E$18,0)),0))))</f>
        <v/>
      </c>
      <c r="Q78">
        <f>IF(OR(D78="",M78="Done"),"",D78+N(E78)+ROW()/100000000)</f>
        <v/>
      </c>
    </row>
    <row r="79">
      <c r="A79" s="1" t="n"/>
      <c r="B79" s="27" t="n"/>
      <c r="C79" s="28" t="n"/>
      <c r="D79" s="30" t="n"/>
      <c r="E79" s="26" t="n"/>
      <c r="F79" s="30" t="n"/>
      <c r="G79" s="29" t="n"/>
      <c r="H79" s="31" t="n"/>
      <c r="I79" s="29" t="n"/>
      <c r="J79" s="31" t="n"/>
      <c r="K79" s="20">
        <f>IF(N(H79)=0,"",IF(N(H79)=0,0,H79*IF(I79="",1,IFERROR(INDEX(Setup!$F$9:$F$18,MATCH(I79,Setup!$E$9:$E$18,0)),0))))</f>
        <v/>
      </c>
      <c r="L79" s="15">
        <f>IF(N(H79)=0,"",IF(IF(N(H79)=0,0,H79*IF(I79="",1,IFERROR(INDEX(Setup!$F$9:$F$18,MATCH(I79,Setup!$E$9:$E$18,0)),0)))-IF(N(J79)=0,0,J79*IF(I79="",1,IFERROR(INDEX(Setup!$F$9:$F$18,MATCH(I79,Setup!$E$9:$E$18,0)),0)))&gt;0.005,IF(N(H79)=0,0,H79*IF(I79="",1,IFERROR(INDEX(Setup!$F$9:$F$18,MATCH(I79,Setup!$E$9:$E$18,0)),0)))-IF(N(J79)=0,0,J79*IF(I79="",1,IFERROR(INDEX(Setup!$F$9:$F$18,MATCH(I79,Setup!$E$9:$E$18,0)),0))),""))</f>
        <v/>
      </c>
      <c r="M79" s="19">
        <f>IF(D79="","",IF(D79&gt;TODAY(),"In "&amp;(D79-TODAY())&amp;IF((D79-TODAY())=1," day"," days"),IF(D79=TODAY(),"Today",IF(OR(F79="",F79&lt;TODAY()),"Done","Now"))))</f>
        <v/>
      </c>
      <c r="N79" s="28" t="n"/>
      <c r="O79" s="1">
        <f>IF(B79="","",IFERROR(INDEX(Setup!$I$9:$I$15,MATCH(B79,Setup!$H$9:$H$15,0)),"Other"))</f>
        <v/>
      </c>
      <c r="P79">
        <f>IF(N(H79)=0,0,IF(N(J79)=0,0,J79*IF(I79="",1,IFERROR(INDEX(Setup!$F$9:$F$18,MATCH(I79,Setup!$E$9:$E$18,0)),0))))</f>
        <v/>
      </c>
      <c r="Q79">
        <f>IF(OR(D79="",M79="Done"),"",D79+N(E79)+ROW()/100000000)</f>
        <v/>
      </c>
    </row>
    <row r="80">
      <c r="A80" s="1" t="n"/>
      <c r="B80" s="27" t="n"/>
      <c r="C80" s="28" t="n"/>
      <c r="D80" s="30" t="n"/>
      <c r="E80" s="26" t="n"/>
      <c r="F80" s="30" t="n"/>
      <c r="G80" s="29" t="n"/>
      <c r="H80" s="31" t="n"/>
      <c r="I80" s="29" t="n"/>
      <c r="J80" s="31" t="n"/>
      <c r="K80" s="20">
        <f>IF(N(H80)=0,"",IF(N(H80)=0,0,H80*IF(I80="",1,IFERROR(INDEX(Setup!$F$9:$F$18,MATCH(I80,Setup!$E$9:$E$18,0)),0))))</f>
        <v/>
      </c>
      <c r="L80" s="15">
        <f>IF(N(H80)=0,"",IF(IF(N(H80)=0,0,H80*IF(I80="",1,IFERROR(INDEX(Setup!$F$9:$F$18,MATCH(I80,Setup!$E$9:$E$18,0)),0)))-IF(N(J80)=0,0,J80*IF(I80="",1,IFERROR(INDEX(Setup!$F$9:$F$18,MATCH(I80,Setup!$E$9:$E$18,0)),0)))&gt;0.005,IF(N(H80)=0,0,H80*IF(I80="",1,IFERROR(INDEX(Setup!$F$9:$F$18,MATCH(I80,Setup!$E$9:$E$18,0)),0)))-IF(N(J80)=0,0,J80*IF(I80="",1,IFERROR(INDEX(Setup!$F$9:$F$18,MATCH(I80,Setup!$E$9:$E$18,0)),0))),""))</f>
        <v/>
      </c>
      <c r="M80" s="19">
        <f>IF(D80="","",IF(D80&gt;TODAY(),"In "&amp;(D80-TODAY())&amp;IF((D80-TODAY())=1," day"," days"),IF(D80=TODAY(),"Today",IF(OR(F80="",F80&lt;TODAY()),"Done","Now"))))</f>
        <v/>
      </c>
      <c r="N80" s="28" t="n"/>
      <c r="O80" s="1">
        <f>IF(B80="","",IFERROR(INDEX(Setup!$I$9:$I$15,MATCH(B80,Setup!$H$9:$H$15,0)),"Other"))</f>
        <v/>
      </c>
      <c r="P80">
        <f>IF(N(H80)=0,0,IF(N(J80)=0,0,J80*IF(I80="",1,IFERROR(INDEX(Setup!$F$9:$F$18,MATCH(I80,Setup!$E$9:$E$18,0)),0))))</f>
        <v/>
      </c>
      <c r="Q80">
        <f>IF(OR(D80="",M80="Done"),"",D80+N(E80)+ROW()/100000000)</f>
        <v/>
      </c>
    </row>
    <row r="81">
      <c r="A81" s="1" t="n"/>
      <c r="B81" s="27" t="n"/>
      <c r="C81" s="28" t="n"/>
      <c r="D81" s="30" t="n"/>
      <c r="E81" s="26" t="n"/>
      <c r="F81" s="30" t="n"/>
      <c r="G81" s="29" t="n"/>
      <c r="H81" s="31" t="n"/>
      <c r="I81" s="29" t="n"/>
      <c r="J81" s="31" t="n"/>
      <c r="K81" s="20">
        <f>IF(N(H81)=0,"",IF(N(H81)=0,0,H81*IF(I81="",1,IFERROR(INDEX(Setup!$F$9:$F$18,MATCH(I81,Setup!$E$9:$E$18,0)),0))))</f>
        <v/>
      </c>
      <c r="L81" s="15">
        <f>IF(N(H81)=0,"",IF(IF(N(H81)=0,0,H81*IF(I81="",1,IFERROR(INDEX(Setup!$F$9:$F$18,MATCH(I81,Setup!$E$9:$E$18,0)),0)))-IF(N(J81)=0,0,J81*IF(I81="",1,IFERROR(INDEX(Setup!$F$9:$F$18,MATCH(I81,Setup!$E$9:$E$18,0)),0)))&gt;0.005,IF(N(H81)=0,0,H81*IF(I81="",1,IFERROR(INDEX(Setup!$F$9:$F$18,MATCH(I81,Setup!$E$9:$E$18,0)),0)))-IF(N(J81)=0,0,J81*IF(I81="",1,IFERROR(INDEX(Setup!$F$9:$F$18,MATCH(I81,Setup!$E$9:$E$18,0)),0))),""))</f>
        <v/>
      </c>
      <c r="M81" s="19">
        <f>IF(D81="","",IF(D81&gt;TODAY(),"In "&amp;(D81-TODAY())&amp;IF((D81-TODAY())=1," day"," days"),IF(D81=TODAY(),"Today",IF(OR(F81="",F81&lt;TODAY()),"Done","Now"))))</f>
        <v/>
      </c>
      <c r="N81" s="28" t="n"/>
      <c r="O81" s="1">
        <f>IF(B81="","",IFERROR(INDEX(Setup!$I$9:$I$15,MATCH(B81,Setup!$H$9:$H$15,0)),"Other"))</f>
        <v/>
      </c>
      <c r="P81">
        <f>IF(N(H81)=0,0,IF(N(J81)=0,0,J81*IF(I81="",1,IFERROR(INDEX(Setup!$F$9:$F$18,MATCH(I81,Setup!$E$9:$E$18,0)),0))))</f>
        <v/>
      </c>
      <c r="Q81">
        <f>IF(OR(D81="",M81="Done"),"",D81+N(E81)+ROW()/100000000)</f>
        <v/>
      </c>
    </row>
    <row r="82">
      <c r="A82" s="1" t="n"/>
      <c r="B82" s="27" t="n"/>
      <c r="C82" s="28" t="n"/>
      <c r="D82" s="30" t="n"/>
      <c r="E82" s="26" t="n"/>
      <c r="F82" s="30" t="n"/>
      <c r="G82" s="29" t="n"/>
      <c r="H82" s="31" t="n"/>
      <c r="I82" s="29" t="n"/>
      <c r="J82" s="31" t="n"/>
      <c r="K82" s="20">
        <f>IF(N(H82)=0,"",IF(N(H82)=0,0,H82*IF(I82="",1,IFERROR(INDEX(Setup!$F$9:$F$18,MATCH(I82,Setup!$E$9:$E$18,0)),0))))</f>
        <v/>
      </c>
      <c r="L82" s="15">
        <f>IF(N(H82)=0,"",IF(IF(N(H82)=0,0,H82*IF(I82="",1,IFERROR(INDEX(Setup!$F$9:$F$18,MATCH(I82,Setup!$E$9:$E$18,0)),0)))-IF(N(J82)=0,0,J82*IF(I82="",1,IFERROR(INDEX(Setup!$F$9:$F$18,MATCH(I82,Setup!$E$9:$E$18,0)),0)))&gt;0.005,IF(N(H82)=0,0,H82*IF(I82="",1,IFERROR(INDEX(Setup!$F$9:$F$18,MATCH(I82,Setup!$E$9:$E$18,0)),0)))-IF(N(J82)=0,0,J82*IF(I82="",1,IFERROR(INDEX(Setup!$F$9:$F$18,MATCH(I82,Setup!$E$9:$E$18,0)),0))),""))</f>
        <v/>
      </c>
      <c r="M82" s="19">
        <f>IF(D82="","",IF(D82&gt;TODAY(),"In "&amp;(D82-TODAY())&amp;IF((D82-TODAY())=1," day"," days"),IF(D82=TODAY(),"Today",IF(OR(F82="",F82&lt;TODAY()),"Done","Now"))))</f>
        <v/>
      </c>
      <c r="N82" s="28" t="n"/>
      <c r="O82" s="1">
        <f>IF(B82="","",IFERROR(INDEX(Setup!$I$9:$I$15,MATCH(B82,Setup!$H$9:$H$15,0)),"Other"))</f>
        <v/>
      </c>
      <c r="P82">
        <f>IF(N(H82)=0,0,IF(N(J82)=0,0,J82*IF(I82="",1,IFERROR(INDEX(Setup!$F$9:$F$18,MATCH(I82,Setup!$E$9:$E$18,0)),0))))</f>
        <v/>
      </c>
      <c r="Q82">
        <f>IF(OR(D82="",M82="Done"),"",D82+N(E82)+ROW()/100000000)</f>
        <v/>
      </c>
    </row>
    <row r="83">
      <c r="A83" s="1" t="n"/>
      <c r="B83" s="27" t="n"/>
      <c r="C83" s="28" t="n"/>
      <c r="D83" s="30" t="n"/>
      <c r="E83" s="26" t="n"/>
      <c r="F83" s="30" t="n"/>
      <c r="G83" s="29" t="n"/>
      <c r="H83" s="31" t="n"/>
      <c r="I83" s="29" t="n"/>
      <c r="J83" s="31" t="n"/>
      <c r="K83" s="20">
        <f>IF(N(H83)=0,"",IF(N(H83)=0,0,H83*IF(I83="",1,IFERROR(INDEX(Setup!$F$9:$F$18,MATCH(I83,Setup!$E$9:$E$18,0)),0))))</f>
        <v/>
      </c>
      <c r="L83" s="15">
        <f>IF(N(H83)=0,"",IF(IF(N(H83)=0,0,H83*IF(I83="",1,IFERROR(INDEX(Setup!$F$9:$F$18,MATCH(I83,Setup!$E$9:$E$18,0)),0)))-IF(N(J83)=0,0,J83*IF(I83="",1,IFERROR(INDEX(Setup!$F$9:$F$18,MATCH(I83,Setup!$E$9:$E$18,0)),0)))&gt;0.005,IF(N(H83)=0,0,H83*IF(I83="",1,IFERROR(INDEX(Setup!$F$9:$F$18,MATCH(I83,Setup!$E$9:$E$18,0)),0)))-IF(N(J83)=0,0,J83*IF(I83="",1,IFERROR(INDEX(Setup!$F$9:$F$18,MATCH(I83,Setup!$E$9:$E$18,0)),0))),""))</f>
        <v/>
      </c>
      <c r="M83" s="19">
        <f>IF(D83="","",IF(D83&gt;TODAY(),"In "&amp;(D83-TODAY())&amp;IF((D83-TODAY())=1," day"," days"),IF(D83=TODAY(),"Today",IF(OR(F83="",F83&lt;TODAY()),"Done","Now"))))</f>
        <v/>
      </c>
      <c r="N83" s="28" t="n"/>
      <c r="O83" s="1">
        <f>IF(B83="","",IFERROR(INDEX(Setup!$I$9:$I$15,MATCH(B83,Setup!$H$9:$H$15,0)),"Other"))</f>
        <v/>
      </c>
      <c r="P83">
        <f>IF(N(H83)=0,0,IF(N(J83)=0,0,J83*IF(I83="",1,IFERROR(INDEX(Setup!$F$9:$F$18,MATCH(I83,Setup!$E$9:$E$18,0)),0))))</f>
        <v/>
      </c>
      <c r="Q83">
        <f>IF(OR(D83="",M83="Done"),"",D83+N(E83)+ROW()/100000000)</f>
        <v/>
      </c>
    </row>
    <row r="84">
      <c r="A84" s="1" t="n"/>
      <c r="B84" s="27" t="n"/>
      <c r="C84" s="28" t="n"/>
      <c r="D84" s="30" t="n"/>
      <c r="E84" s="26" t="n"/>
      <c r="F84" s="30" t="n"/>
      <c r="G84" s="29" t="n"/>
      <c r="H84" s="31" t="n"/>
      <c r="I84" s="29" t="n"/>
      <c r="J84" s="31" t="n"/>
      <c r="K84" s="20">
        <f>IF(N(H84)=0,"",IF(N(H84)=0,0,H84*IF(I84="",1,IFERROR(INDEX(Setup!$F$9:$F$18,MATCH(I84,Setup!$E$9:$E$18,0)),0))))</f>
        <v/>
      </c>
      <c r="L84" s="15">
        <f>IF(N(H84)=0,"",IF(IF(N(H84)=0,0,H84*IF(I84="",1,IFERROR(INDEX(Setup!$F$9:$F$18,MATCH(I84,Setup!$E$9:$E$18,0)),0)))-IF(N(J84)=0,0,J84*IF(I84="",1,IFERROR(INDEX(Setup!$F$9:$F$18,MATCH(I84,Setup!$E$9:$E$18,0)),0)))&gt;0.005,IF(N(H84)=0,0,H84*IF(I84="",1,IFERROR(INDEX(Setup!$F$9:$F$18,MATCH(I84,Setup!$E$9:$E$18,0)),0)))-IF(N(J84)=0,0,J84*IF(I84="",1,IFERROR(INDEX(Setup!$F$9:$F$18,MATCH(I84,Setup!$E$9:$E$18,0)),0))),""))</f>
        <v/>
      </c>
      <c r="M84" s="19">
        <f>IF(D84="","",IF(D84&gt;TODAY(),"In "&amp;(D84-TODAY())&amp;IF((D84-TODAY())=1," day"," days"),IF(D84=TODAY(),"Today",IF(OR(F84="",F84&lt;TODAY()),"Done","Now"))))</f>
        <v/>
      </c>
      <c r="N84" s="28" t="n"/>
      <c r="O84" s="1">
        <f>IF(B84="","",IFERROR(INDEX(Setup!$I$9:$I$15,MATCH(B84,Setup!$H$9:$H$15,0)),"Other"))</f>
        <v/>
      </c>
      <c r="P84">
        <f>IF(N(H84)=0,0,IF(N(J84)=0,0,J84*IF(I84="",1,IFERROR(INDEX(Setup!$F$9:$F$18,MATCH(I84,Setup!$E$9:$E$18,0)),0))))</f>
        <v/>
      </c>
      <c r="Q84">
        <f>IF(OR(D84="",M84="Done"),"",D84+N(E84)+ROW()/100000000)</f>
        <v/>
      </c>
    </row>
    <row r="85">
      <c r="A85" s="1" t="n"/>
      <c r="B85" s="27" t="n"/>
      <c r="C85" s="28" t="n"/>
      <c r="D85" s="30" t="n"/>
      <c r="E85" s="26" t="n"/>
      <c r="F85" s="30" t="n"/>
      <c r="G85" s="29" t="n"/>
      <c r="H85" s="31" t="n"/>
      <c r="I85" s="29" t="n"/>
      <c r="J85" s="31" t="n"/>
      <c r="K85" s="20">
        <f>IF(N(H85)=0,"",IF(N(H85)=0,0,H85*IF(I85="",1,IFERROR(INDEX(Setup!$F$9:$F$18,MATCH(I85,Setup!$E$9:$E$18,0)),0))))</f>
        <v/>
      </c>
      <c r="L85" s="15">
        <f>IF(N(H85)=0,"",IF(IF(N(H85)=0,0,H85*IF(I85="",1,IFERROR(INDEX(Setup!$F$9:$F$18,MATCH(I85,Setup!$E$9:$E$18,0)),0)))-IF(N(J85)=0,0,J85*IF(I85="",1,IFERROR(INDEX(Setup!$F$9:$F$18,MATCH(I85,Setup!$E$9:$E$18,0)),0)))&gt;0.005,IF(N(H85)=0,0,H85*IF(I85="",1,IFERROR(INDEX(Setup!$F$9:$F$18,MATCH(I85,Setup!$E$9:$E$18,0)),0)))-IF(N(J85)=0,0,J85*IF(I85="",1,IFERROR(INDEX(Setup!$F$9:$F$18,MATCH(I85,Setup!$E$9:$E$18,0)),0))),""))</f>
        <v/>
      </c>
      <c r="M85" s="19">
        <f>IF(D85="","",IF(D85&gt;TODAY(),"In "&amp;(D85-TODAY())&amp;IF((D85-TODAY())=1," day"," days"),IF(D85=TODAY(),"Today",IF(OR(F85="",F85&lt;TODAY()),"Done","Now"))))</f>
        <v/>
      </c>
      <c r="N85" s="28" t="n"/>
      <c r="O85" s="1">
        <f>IF(B85="","",IFERROR(INDEX(Setup!$I$9:$I$15,MATCH(B85,Setup!$H$9:$H$15,0)),"Other"))</f>
        <v/>
      </c>
      <c r="P85">
        <f>IF(N(H85)=0,0,IF(N(J85)=0,0,J85*IF(I85="",1,IFERROR(INDEX(Setup!$F$9:$F$18,MATCH(I85,Setup!$E$9:$E$18,0)),0))))</f>
        <v/>
      </c>
      <c r="Q85">
        <f>IF(OR(D85="",M85="Done"),"",D85+N(E85)+ROW()/100000000)</f>
        <v/>
      </c>
    </row>
    <row r="86">
      <c r="A86" s="1" t="n"/>
      <c r="B86" s="27" t="n"/>
      <c r="C86" s="28" t="n"/>
      <c r="D86" s="30" t="n"/>
      <c r="E86" s="26" t="n"/>
      <c r="F86" s="30" t="n"/>
      <c r="G86" s="29" t="n"/>
      <c r="H86" s="31" t="n"/>
      <c r="I86" s="29" t="n"/>
      <c r="J86" s="31" t="n"/>
      <c r="K86" s="20">
        <f>IF(N(H86)=0,"",IF(N(H86)=0,0,H86*IF(I86="",1,IFERROR(INDEX(Setup!$F$9:$F$18,MATCH(I86,Setup!$E$9:$E$18,0)),0))))</f>
        <v/>
      </c>
      <c r="L86" s="15">
        <f>IF(N(H86)=0,"",IF(IF(N(H86)=0,0,H86*IF(I86="",1,IFERROR(INDEX(Setup!$F$9:$F$18,MATCH(I86,Setup!$E$9:$E$18,0)),0)))-IF(N(J86)=0,0,J86*IF(I86="",1,IFERROR(INDEX(Setup!$F$9:$F$18,MATCH(I86,Setup!$E$9:$E$18,0)),0)))&gt;0.005,IF(N(H86)=0,0,H86*IF(I86="",1,IFERROR(INDEX(Setup!$F$9:$F$18,MATCH(I86,Setup!$E$9:$E$18,0)),0)))-IF(N(J86)=0,0,J86*IF(I86="",1,IFERROR(INDEX(Setup!$F$9:$F$18,MATCH(I86,Setup!$E$9:$E$18,0)),0))),""))</f>
        <v/>
      </c>
      <c r="M86" s="19">
        <f>IF(D86="","",IF(D86&gt;TODAY(),"In "&amp;(D86-TODAY())&amp;IF((D86-TODAY())=1," day"," days"),IF(D86=TODAY(),"Today",IF(OR(F86="",F86&lt;TODAY()),"Done","Now"))))</f>
        <v/>
      </c>
      <c r="N86" s="28" t="n"/>
      <c r="O86" s="1">
        <f>IF(B86="","",IFERROR(INDEX(Setup!$I$9:$I$15,MATCH(B86,Setup!$H$9:$H$15,0)),"Other"))</f>
        <v/>
      </c>
      <c r="P86">
        <f>IF(N(H86)=0,0,IF(N(J86)=0,0,J86*IF(I86="",1,IFERROR(INDEX(Setup!$F$9:$F$18,MATCH(I86,Setup!$E$9:$E$18,0)),0))))</f>
        <v/>
      </c>
      <c r="Q86">
        <f>IF(OR(D86="",M86="Done"),"",D86+N(E86)+ROW()/100000000)</f>
        <v/>
      </c>
    </row>
    <row r="87">
      <c r="A87" s="1" t="n"/>
      <c r="B87" s="27" t="n"/>
      <c r="C87" s="28" t="n"/>
      <c r="D87" s="30" t="n"/>
      <c r="E87" s="26" t="n"/>
      <c r="F87" s="30" t="n"/>
      <c r="G87" s="29" t="n"/>
      <c r="H87" s="31" t="n"/>
      <c r="I87" s="29" t="n"/>
      <c r="J87" s="31" t="n"/>
      <c r="K87" s="20">
        <f>IF(N(H87)=0,"",IF(N(H87)=0,0,H87*IF(I87="",1,IFERROR(INDEX(Setup!$F$9:$F$18,MATCH(I87,Setup!$E$9:$E$18,0)),0))))</f>
        <v/>
      </c>
      <c r="L87" s="15">
        <f>IF(N(H87)=0,"",IF(IF(N(H87)=0,0,H87*IF(I87="",1,IFERROR(INDEX(Setup!$F$9:$F$18,MATCH(I87,Setup!$E$9:$E$18,0)),0)))-IF(N(J87)=0,0,J87*IF(I87="",1,IFERROR(INDEX(Setup!$F$9:$F$18,MATCH(I87,Setup!$E$9:$E$18,0)),0)))&gt;0.005,IF(N(H87)=0,0,H87*IF(I87="",1,IFERROR(INDEX(Setup!$F$9:$F$18,MATCH(I87,Setup!$E$9:$E$18,0)),0)))-IF(N(J87)=0,0,J87*IF(I87="",1,IFERROR(INDEX(Setup!$F$9:$F$18,MATCH(I87,Setup!$E$9:$E$18,0)),0))),""))</f>
        <v/>
      </c>
      <c r="M87" s="19">
        <f>IF(D87="","",IF(D87&gt;TODAY(),"In "&amp;(D87-TODAY())&amp;IF((D87-TODAY())=1," day"," days"),IF(D87=TODAY(),"Today",IF(OR(F87="",F87&lt;TODAY()),"Done","Now"))))</f>
        <v/>
      </c>
      <c r="N87" s="28" t="n"/>
      <c r="O87" s="1">
        <f>IF(B87="","",IFERROR(INDEX(Setup!$I$9:$I$15,MATCH(B87,Setup!$H$9:$H$15,0)),"Other"))</f>
        <v/>
      </c>
      <c r="P87">
        <f>IF(N(H87)=0,0,IF(N(J87)=0,0,J87*IF(I87="",1,IFERROR(INDEX(Setup!$F$9:$F$18,MATCH(I87,Setup!$E$9:$E$18,0)),0))))</f>
        <v/>
      </c>
      <c r="Q87">
        <f>IF(OR(D87="",M87="Done"),"",D87+N(E87)+ROW()/100000000)</f>
        <v/>
      </c>
    </row>
    <row r="88">
      <c r="A88" s="1" t="n"/>
      <c r="B88" s="27" t="n"/>
      <c r="C88" s="28" t="n"/>
      <c r="D88" s="30" t="n"/>
      <c r="E88" s="26" t="n"/>
      <c r="F88" s="30" t="n"/>
      <c r="G88" s="29" t="n"/>
      <c r="H88" s="31" t="n"/>
      <c r="I88" s="29" t="n"/>
      <c r="J88" s="31" t="n"/>
      <c r="K88" s="20">
        <f>IF(N(H88)=0,"",IF(N(H88)=0,0,H88*IF(I88="",1,IFERROR(INDEX(Setup!$F$9:$F$18,MATCH(I88,Setup!$E$9:$E$18,0)),0))))</f>
        <v/>
      </c>
      <c r="L88" s="15">
        <f>IF(N(H88)=0,"",IF(IF(N(H88)=0,0,H88*IF(I88="",1,IFERROR(INDEX(Setup!$F$9:$F$18,MATCH(I88,Setup!$E$9:$E$18,0)),0)))-IF(N(J88)=0,0,J88*IF(I88="",1,IFERROR(INDEX(Setup!$F$9:$F$18,MATCH(I88,Setup!$E$9:$E$18,0)),0)))&gt;0.005,IF(N(H88)=0,0,H88*IF(I88="",1,IFERROR(INDEX(Setup!$F$9:$F$18,MATCH(I88,Setup!$E$9:$E$18,0)),0)))-IF(N(J88)=0,0,J88*IF(I88="",1,IFERROR(INDEX(Setup!$F$9:$F$18,MATCH(I88,Setup!$E$9:$E$18,0)),0))),""))</f>
        <v/>
      </c>
      <c r="M88" s="19">
        <f>IF(D88="","",IF(D88&gt;TODAY(),"In "&amp;(D88-TODAY())&amp;IF((D88-TODAY())=1," day"," days"),IF(D88=TODAY(),"Today",IF(OR(F88="",F88&lt;TODAY()),"Done","Now"))))</f>
        <v/>
      </c>
      <c r="N88" s="28" t="n"/>
      <c r="O88" s="1">
        <f>IF(B88="","",IFERROR(INDEX(Setup!$I$9:$I$15,MATCH(B88,Setup!$H$9:$H$15,0)),"Other"))</f>
        <v/>
      </c>
      <c r="P88">
        <f>IF(N(H88)=0,0,IF(N(J88)=0,0,J88*IF(I88="",1,IFERROR(INDEX(Setup!$F$9:$F$18,MATCH(I88,Setup!$E$9:$E$18,0)),0))))</f>
        <v/>
      </c>
      <c r="Q88">
        <f>IF(OR(D88="",M88="Done"),"",D88+N(E88)+ROW()/100000000)</f>
        <v/>
      </c>
    </row>
    <row r="89">
      <c r="A89" s="1" t="n"/>
      <c r="B89" s="27" t="n"/>
      <c r="C89" s="28" t="n"/>
      <c r="D89" s="30" t="n"/>
      <c r="E89" s="26" t="n"/>
      <c r="F89" s="30" t="n"/>
      <c r="G89" s="29" t="n"/>
      <c r="H89" s="31" t="n"/>
      <c r="I89" s="29" t="n"/>
      <c r="J89" s="31" t="n"/>
      <c r="K89" s="20">
        <f>IF(N(H89)=0,"",IF(N(H89)=0,0,H89*IF(I89="",1,IFERROR(INDEX(Setup!$F$9:$F$18,MATCH(I89,Setup!$E$9:$E$18,0)),0))))</f>
        <v/>
      </c>
      <c r="L89" s="15">
        <f>IF(N(H89)=0,"",IF(IF(N(H89)=0,0,H89*IF(I89="",1,IFERROR(INDEX(Setup!$F$9:$F$18,MATCH(I89,Setup!$E$9:$E$18,0)),0)))-IF(N(J89)=0,0,J89*IF(I89="",1,IFERROR(INDEX(Setup!$F$9:$F$18,MATCH(I89,Setup!$E$9:$E$18,0)),0)))&gt;0.005,IF(N(H89)=0,0,H89*IF(I89="",1,IFERROR(INDEX(Setup!$F$9:$F$18,MATCH(I89,Setup!$E$9:$E$18,0)),0)))-IF(N(J89)=0,0,J89*IF(I89="",1,IFERROR(INDEX(Setup!$F$9:$F$18,MATCH(I89,Setup!$E$9:$E$18,0)),0))),""))</f>
        <v/>
      </c>
      <c r="M89" s="19">
        <f>IF(D89="","",IF(D89&gt;TODAY(),"In "&amp;(D89-TODAY())&amp;IF((D89-TODAY())=1," day"," days"),IF(D89=TODAY(),"Today",IF(OR(F89="",F89&lt;TODAY()),"Done","Now"))))</f>
        <v/>
      </c>
      <c r="N89" s="28" t="n"/>
      <c r="O89" s="1">
        <f>IF(B89="","",IFERROR(INDEX(Setup!$I$9:$I$15,MATCH(B89,Setup!$H$9:$H$15,0)),"Other"))</f>
        <v/>
      </c>
      <c r="P89">
        <f>IF(N(H89)=0,0,IF(N(J89)=0,0,J89*IF(I89="",1,IFERROR(INDEX(Setup!$F$9:$F$18,MATCH(I89,Setup!$E$9:$E$18,0)),0))))</f>
        <v/>
      </c>
      <c r="Q89">
        <f>IF(OR(D89="",M89="Done"),"",D89+N(E89)+ROW()/100000000)</f>
        <v/>
      </c>
    </row>
    <row r="90">
      <c r="A90" s="1" t="n"/>
      <c r="B90" s="27" t="n"/>
      <c r="C90" s="28" t="n"/>
      <c r="D90" s="30" t="n"/>
      <c r="E90" s="26" t="n"/>
      <c r="F90" s="30" t="n"/>
      <c r="G90" s="29" t="n"/>
      <c r="H90" s="31" t="n"/>
      <c r="I90" s="29" t="n"/>
      <c r="J90" s="31" t="n"/>
      <c r="K90" s="20">
        <f>IF(N(H90)=0,"",IF(N(H90)=0,0,H90*IF(I90="",1,IFERROR(INDEX(Setup!$F$9:$F$18,MATCH(I90,Setup!$E$9:$E$18,0)),0))))</f>
        <v/>
      </c>
      <c r="L90" s="15">
        <f>IF(N(H90)=0,"",IF(IF(N(H90)=0,0,H90*IF(I90="",1,IFERROR(INDEX(Setup!$F$9:$F$18,MATCH(I90,Setup!$E$9:$E$18,0)),0)))-IF(N(J90)=0,0,J90*IF(I90="",1,IFERROR(INDEX(Setup!$F$9:$F$18,MATCH(I90,Setup!$E$9:$E$18,0)),0)))&gt;0.005,IF(N(H90)=0,0,H90*IF(I90="",1,IFERROR(INDEX(Setup!$F$9:$F$18,MATCH(I90,Setup!$E$9:$E$18,0)),0)))-IF(N(J90)=0,0,J90*IF(I90="",1,IFERROR(INDEX(Setup!$F$9:$F$18,MATCH(I90,Setup!$E$9:$E$18,0)),0))),""))</f>
        <v/>
      </c>
      <c r="M90" s="19">
        <f>IF(D90="","",IF(D90&gt;TODAY(),"In "&amp;(D90-TODAY())&amp;IF((D90-TODAY())=1," day"," days"),IF(D90=TODAY(),"Today",IF(OR(F90="",F90&lt;TODAY()),"Done","Now"))))</f>
        <v/>
      </c>
      <c r="N90" s="28" t="n"/>
      <c r="O90" s="1">
        <f>IF(B90="","",IFERROR(INDEX(Setup!$I$9:$I$15,MATCH(B90,Setup!$H$9:$H$15,0)),"Other"))</f>
        <v/>
      </c>
      <c r="P90">
        <f>IF(N(H90)=0,0,IF(N(J90)=0,0,J90*IF(I90="",1,IFERROR(INDEX(Setup!$F$9:$F$18,MATCH(I90,Setup!$E$9:$E$18,0)),0))))</f>
        <v/>
      </c>
      <c r="Q90">
        <f>IF(OR(D90="",M90="Done"),"",D90+N(E90)+ROW()/100000000)</f>
        <v/>
      </c>
    </row>
    <row r="91">
      <c r="A91" s="1" t="n"/>
      <c r="B91" s="27" t="n"/>
      <c r="C91" s="28" t="n"/>
      <c r="D91" s="30" t="n"/>
      <c r="E91" s="26" t="n"/>
      <c r="F91" s="30" t="n"/>
      <c r="G91" s="29" t="n"/>
      <c r="H91" s="31" t="n"/>
      <c r="I91" s="29" t="n"/>
      <c r="J91" s="31" t="n"/>
      <c r="K91" s="20">
        <f>IF(N(H91)=0,"",IF(N(H91)=0,0,H91*IF(I91="",1,IFERROR(INDEX(Setup!$F$9:$F$18,MATCH(I91,Setup!$E$9:$E$18,0)),0))))</f>
        <v/>
      </c>
      <c r="L91" s="15">
        <f>IF(N(H91)=0,"",IF(IF(N(H91)=0,0,H91*IF(I91="",1,IFERROR(INDEX(Setup!$F$9:$F$18,MATCH(I91,Setup!$E$9:$E$18,0)),0)))-IF(N(J91)=0,0,J91*IF(I91="",1,IFERROR(INDEX(Setup!$F$9:$F$18,MATCH(I91,Setup!$E$9:$E$18,0)),0)))&gt;0.005,IF(N(H91)=0,0,H91*IF(I91="",1,IFERROR(INDEX(Setup!$F$9:$F$18,MATCH(I91,Setup!$E$9:$E$18,0)),0)))-IF(N(J91)=0,0,J91*IF(I91="",1,IFERROR(INDEX(Setup!$F$9:$F$18,MATCH(I91,Setup!$E$9:$E$18,0)),0))),""))</f>
        <v/>
      </c>
      <c r="M91" s="19">
        <f>IF(D91="","",IF(D91&gt;TODAY(),"In "&amp;(D91-TODAY())&amp;IF((D91-TODAY())=1," day"," days"),IF(D91=TODAY(),"Today",IF(OR(F91="",F91&lt;TODAY()),"Done","Now"))))</f>
        <v/>
      </c>
      <c r="N91" s="28" t="n"/>
      <c r="O91" s="1">
        <f>IF(B91="","",IFERROR(INDEX(Setup!$I$9:$I$15,MATCH(B91,Setup!$H$9:$H$15,0)),"Other"))</f>
        <v/>
      </c>
      <c r="P91">
        <f>IF(N(H91)=0,0,IF(N(J91)=0,0,J91*IF(I91="",1,IFERROR(INDEX(Setup!$F$9:$F$18,MATCH(I91,Setup!$E$9:$E$18,0)),0))))</f>
        <v/>
      </c>
      <c r="Q91">
        <f>IF(OR(D91="",M91="Done"),"",D91+N(E91)+ROW()/100000000)</f>
        <v/>
      </c>
    </row>
    <row r="92">
      <c r="A92" s="1" t="n"/>
      <c r="B92" s="27" t="n"/>
      <c r="C92" s="28" t="n"/>
      <c r="D92" s="30" t="n"/>
      <c r="E92" s="26" t="n"/>
      <c r="F92" s="30" t="n"/>
      <c r="G92" s="29" t="n"/>
      <c r="H92" s="31" t="n"/>
      <c r="I92" s="29" t="n"/>
      <c r="J92" s="31" t="n"/>
      <c r="K92" s="20">
        <f>IF(N(H92)=0,"",IF(N(H92)=0,0,H92*IF(I92="",1,IFERROR(INDEX(Setup!$F$9:$F$18,MATCH(I92,Setup!$E$9:$E$18,0)),0))))</f>
        <v/>
      </c>
      <c r="L92" s="15">
        <f>IF(N(H92)=0,"",IF(IF(N(H92)=0,0,H92*IF(I92="",1,IFERROR(INDEX(Setup!$F$9:$F$18,MATCH(I92,Setup!$E$9:$E$18,0)),0)))-IF(N(J92)=0,0,J92*IF(I92="",1,IFERROR(INDEX(Setup!$F$9:$F$18,MATCH(I92,Setup!$E$9:$E$18,0)),0)))&gt;0.005,IF(N(H92)=0,0,H92*IF(I92="",1,IFERROR(INDEX(Setup!$F$9:$F$18,MATCH(I92,Setup!$E$9:$E$18,0)),0)))-IF(N(J92)=0,0,J92*IF(I92="",1,IFERROR(INDEX(Setup!$F$9:$F$18,MATCH(I92,Setup!$E$9:$E$18,0)),0))),""))</f>
        <v/>
      </c>
      <c r="M92" s="19">
        <f>IF(D92="","",IF(D92&gt;TODAY(),"In "&amp;(D92-TODAY())&amp;IF((D92-TODAY())=1," day"," days"),IF(D92=TODAY(),"Today",IF(OR(F92="",F92&lt;TODAY()),"Done","Now"))))</f>
        <v/>
      </c>
      <c r="N92" s="28" t="n"/>
      <c r="O92" s="1">
        <f>IF(B92="","",IFERROR(INDEX(Setup!$I$9:$I$15,MATCH(B92,Setup!$H$9:$H$15,0)),"Other"))</f>
        <v/>
      </c>
      <c r="P92">
        <f>IF(N(H92)=0,0,IF(N(J92)=0,0,J92*IF(I92="",1,IFERROR(INDEX(Setup!$F$9:$F$18,MATCH(I92,Setup!$E$9:$E$18,0)),0))))</f>
        <v/>
      </c>
      <c r="Q92">
        <f>IF(OR(D92="",M92="Done"),"",D92+N(E92)+ROW()/100000000)</f>
        <v/>
      </c>
    </row>
    <row r="93">
      <c r="A93" s="1" t="n"/>
      <c r="B93" s="27" t="n"/>
      <c r="C93" s="28" t="n"/>
      <c r="D93" s="30" t="n"/>
      <c r="E93" s="26" t="n"/>
      <c r="F93" s="30" t="n"/>
      <c r="G93" s="29" t="n"/>
      <c r="H93" s="31" t="n"/>
      <c r="I93" s="29" t="n"/>
      <c r="J93" s="31" t="n"/>
      <c r="K93" s="20">
        <f>IF(N(H93)=0,"",IF(N(H93)=0,0,H93*IF(I93="",1,IFERROR(INDEX(Setup!$F$9:$F$18,MATCH(I93,Setup!$E$9:$E$18,0)),0))))</f>
        <v/>
      </c>
      <c r="L93" s="15">
        <f>IF(N(H93)=0,"",IF(IF(N(H93)=0,0,H93*IF(I93="",1,IFERROR(INDEX(Setup!$F$9:$F$18,MATCH(I93,Setup!$E$9:$E$18,0)),0)))-IF(N(J93)=0,0,J93*IF(I93="",1,IFERROR(INDEX(Setup!$F$9:$F$18,MATCH(I93,Setup!$E$9:$E$18,0)),0)))&gt;0.005,IF(N(H93)=0,0,H93*IF(I93="",1,IFERROR(INDEX(Setup!$F$9:$F$18,MATCH(I93,Setup!$E$9:$E$18,0)),0)))-IF(N(J93)=0,0,J93*IF(I93="",1,IFERROR(INDEX(Setup!$F$9:$F$18,MATCH(I93,Setup!$E$9:$E$18,0)),0))),""))</f>
        <v/>
      </c>
      <c r="M93" s="19">
        <f>IF(D93="","",IF(D93&gt;TODAY(),"In "&amp;(D93-TODAY())&amp;IF((D93-TODAY())=1," day"," days"),IF(D93=TODAY(),"Today",IF(OR(F93="",F93&lt;TODAY()),"Done","Now"))))</f>
        <v/>
      </c>
      <c r="N93" s="28" t="n"/>
      <c r="O93" s="1">
        <f>IF(B93="","",IFERROR(INDEX(Setup!$I$9:$I$15,MATCH(B93,Setup!$H$9:$H$15,0)),"Other"))</f>
        <v/>
      </c>
      <c r="P93">
        <f>IF(N(H93)=0,0,IF(N(J93)=0,0,J93*IF(I93="",1,IFERROR(INDEX(Setup!$F$9:$F$18,MATCH(I93,Setup!$E$9:$E$18,0)),0))))</f>
        <v/>
      </c>
      <c r="Q93">
        <f>IF(OR(D93="",M93="Done"),"",D93+N(E93)+ROW()/100000000)</f>
        <v/>
      </c>
    </row>
    <row r="94">
      <c r="A94" s="1" t="n"/>
      <c r="B94" s="27" t="n"/>
      <c r="C94" s="28" t="n"/>
      <c r="D94" s="30" t="n"/>
      <c r="E94" s="26" t="n"/>
      <c r="F94" s="30" t="n"/>
      <c r="G94" s="29" t="n"/>
      <c r="H94" s="31" t="n"/>
      <c r="I94" s="29" t="n"/>
      <c r="J94" s="31" t="n"/>
      <c r="K94" s="20">
        <f>IF(N(H94)=0,"",IF(N(H94)=0,0,H94*IF(I94="",1,IFERROR(INDEX(Setup!$F$9:$F$18,MATCH(I94,Setup!$E$9:$E$18,0)),0))))</f>
        <v/>
      </c>
      <c r="L94" s="15">
        <f>IF(N(H94)=0,"",IF(IF(N(H94)=0,0,H94*IF(I94="",1,IFERROR(INDEX(Setup!$F$9:$F$18,MATCH(I94,Setup!$E$9:$E$18,0)),0)))-IF(N(J94)=0,0,J94*IF(I94="",1,IFERROR(INDEX(Setup!$F$9:$F$18,MATCH(I94,Setup!$E$9:$E$18,0)),0)))&gt;0.005,IF(N(H94)=0,0,H94*IF(I94="",1,IFERROR(INDEX(Setup!$F$9:$F$18,MATCH(I94,Setup!$E$9:$E$18,0)),0)))-IF(N(J94)=0,0,J94*IF(I94="",1,IFERROR(INDEX(Setup!$F$9:$F$18,MATCH(I94,Setup!$E$9:$E$18,0)),0))),""))</f>
        <v/>
      </c>
      <c r="M94" s="19">
        <f>IF(D94="","",IF(D94&gt;TODAY(),"In "&amp;(D94-TODAY())&amp;IF((D94-TODAY())=1," day"," days"),IF(D94=TODAY(),"Today",IF(OR(F94="",F94&lt;TODAY()),"Done","Now"))))</f>
        <v/>
      </c>
      <c r="N94" s="28" t="n"/>
      <c r="O94" s="1">
        <f>IF(B94="","",IFERROR(INDEX(Setup!$I$9:$I$15,MATCH(B94,Setup!$H$9:$H$15,0)),"Other"))</f>
        <v/>
      </c>
      <c r="P94">
        <f>IF(N(H94)=0,0,IF(N(J94)=0,0,J94*IF(I94="",1,IFERROR(INDEX(Setup!$F$9:$F$18,MATCH(I94,Setup!$E$9:$E$18,0)),0))))</f>
        <v/>
      </c>
      <c r="Q94">
        <f>IF(OR(D94="",M94="Done"),"",D94+N(E94)+ROW()/100000000)</f>
        <v/>
      </c>
    </row>
    <row r="95">
      <c r="A95" s="1" t="n"/>
      <c r="B95" s="27" t="n"/>
      <c r="C95" s="28" t="n"/>
      <c r="D95" s="30" t="n"/>
      <c r="E95" s="26" t="n"/>
      <c r="F95" s="30" t="n"/>
      <c r="G95" s="29" t="n"/>
      <c r="H95" s="31" t="n"/>
      <c r="I95" s="29" t="n"/>
      <c r="J95" s="31" t="n"/>
      <c r="K95" s="20">
        <f>IF(N(H95)=0,"",IF(N(H95)=0,0,H95*IF(I95="",1,IFERROR(INDEX(Setup!$F$9:$F$18,MATCH(I95,Setup!$E$9:$E$18,0)),0))))</f>
        <v/>
      </c>
      <c r="L95" s="15">
        <f>IF(N(H95)=0,"",IF(IF(N(H95)=0,0,H95*IF(I95="",1,IFERROR(INDEX(Setup!$F$9:$F$18,MATCH(I95,Setup!$E$9:$E$18,0)),0)))-IF(N(J95)=0,0,J95*IF(I95="",1,IFERROR(INDEX(Setup!$F$9:$F$18,MATCH(I95,Setup!$E$9:$E$18,0)),0)))&gt;0.005,IF(N(H95)=0,0,H95*IF(I95="",1,IFERROR(INDEX(Setup!$F$9:$F$18,MATCH(I95,Setup!$E$9:$E$18,0)),0)))-IF(N(J95)=0,0,J95*IF(I95="",1,IFERROR(INDEX(Setup!$F$9:$F$18,MATCH(I95,Setup!$E$9:$E$18,0)),0))),""))</f>
        <v/>
      </c>
      <c r="M95" s="19">
        <f>IF(D95="","",IF(D95&gt;TODAY(),"In "&amp;(D95-TODAY())&amp;IF((D95-TODAY())=1," day"," days"),IF(D95=TODAY(),"Today",IF(OR(F95="",F95&lt;TODAY()),"Done","Now"))))</f>
        <v/>
      </c>
      <c r="N95" s="28" t="n"/>
      <c r="O95" s="1">
        <f>IF(B95="","",IFERROR(INDEX(Setup!$I$9:$I$15,MATCH(B95,Setup!$H$9:$H$15,0)),"Other"))</f>
        <v/>
      </c>
      <c r="P95">
        <f>IF(N(H95)=0,0,IF(N(J95)=0,0,J95*IF(I95="",1,IFERROR(INDEX(Setup!$F$9:$F$18,MATCH(I95,Setup!$E$9:$E$18,0)),0))))</f>
        <v/>
      </c>
      <c r="Q95">
        <f>IF(OR(D95="",M95="Done"),"",D95+N(E95)+ROW()/100000000)</f>
        <v/>
      </c>
    </row>
    <row r="96">
      <c r="A96" s="1" t="n"/>
      <c r="B96" s="27" t="n"/>
      <c r="C96" s="28" t="n"/>
      <c r="D96" s="30" t="n"/>
      <c r="E96" s="26" t="n"/>
      <c r="F96" s="30" t="n"/>
      <c r="G96" s="29" t="n"/>
      <c r="H96" s="31" t="n"/>
      <c r="I96" s="29" t="n"/>
      <c r="J96" s="31" t="n"/>
      <c r="K96" s="20">
        <f>IF(N(H96)=0,"",IF(N(H96)=0,0,H96*IF(I96="",1,IFERROR(INDEX(Setup!$F$9:$F$18,MATCH(I96,Setup!$E$9:$E$18,0)),0))))</f>
        <v/>
      </c>
      <c r="L96" s="15">
        <f>IF(N(H96)=0,"",IF(IF(N(H96)=0,0,H96*IF(I96="",1,IFERROR(INDEX(Setup!$F$9:$F$18,MATCH(I96,Setup!$E$9:$E$18,0)),0)))-IF(N(J96)=0,0,J96*IF(I96="",1,IFERROR(INDEX(Setup!$F$9:$F$18,MATCH(I96,Setup!$E$9:$E$18,0)),0)))&gt;0.005,IF(N(H96)=0,0,H96*IF(I96="",1,IFERROR(INDEX(Setup!$F$9:$F$18,MATCH(I96,Setup!$E$9:$E$18,0)),0)))-IF(N(J96)=0,0,J96*IF(I96="",1,IFERROR(INDEX(Setup!$F$9:$F$18,MATCH(I96,Setup!$E$9:$E$18,0)),0))),""))</f>
        <v/>
      </c>
      <c r="M96" s="19">
        <f>IF(D96="","",IF(D96&gt;TODAY(),"In "&amp;(D96-TODAY())&amp;IF((D96-TODAY())=1," day"," days"),IF(D96=TODAY(),"Today",IF(OR(F96="",F96&lt;TODAY()),"Done","Now"))))</f>
        <v/>
      </c>
      <c r="N96" s="28" t="n"/>
      <c r="O96" s="1">
        <f>IF(B96="","",IFERROR(INDEX(Setup!$I$9:$I$15,MATCH(B96,Setup!$H$9:$H$15,0)),"Other"))</f>
        <v/>
      </c>
      <c r="P96">
        <f>IF(N(H96)=0,0,IF(N(J96)=0,0,J96*IF(I96="",1,IFERROR(INDEX(Setup!$F$9:$F$18,MATCH(I96,Setup!$E$9:$E$18,0)),0))))</f>
        <v/>
      </c>
      <c r="Q96">
        <f>IF(OR(D96="",M96="Done"),"",D96+N(E96)+ROW()/100000000)</f>
        <v/>
      </c>
    </row>
    <row r="97">
      <c r="A97" s="1" t="n"/>
      <c r="B97" s="27" t="n"/>
      <c r="C97" s="28" t="n"/>
      <c r="D97" s="30" t="n"/>
      <c r="E97" s="26" t="n"/>
      <c r="F97" s="30" t="n"/>
      <c r="G97" s="29" t="n"/>
      <c r="H97" s="31" t="n"/>
      <c r="I97" s="29" t="n"/>
      <c r="J97" s="31" t="n"/>
      <c r="K97" s="20">
        <f>IF(N(H97)=0,"",IF(N(H97)=0,0,H97*IF(I97="",1,IFERROR(INDEX(Setup!$F$9:$F$18,MATCH(I97,Setup!$E$9:$E$18,0)),0))))</f>
        <v/>
      </c>
      <c r="L97" s="15">
        <f>IF(N(H97)=0,"",IF(IF(N(H97)=0,0,H97*IF(I97="",1,IFERROR(INDEX(Setup!$F$9:$F$18,MATCH(I97,Setup!$E$9:$E$18,0)),0)))-IF(N(J97)=0,0,J97*IF(I97="",1,IFERROR(INDEX(Setup!$F$9:$F$18,MATCH(I97,Setup!$E$9:$E$18,0)),0)))&gt;0.005,IF(N(H97)=0,0,H97*IF(I97="",1,IFERROR(INDEX(Setup!$F$9:$F$18,MATCH(I97,Setup!$E$9:$E$18,0)),0)))-IF(N(J97)=0,0,J97*IF(I97="",1,IFERROR(INDEX(Setup!$F$9:$F$18,MATCH(I97,Setup!$E$9:$E$18,0)),0))),""))</f>
        <v/>
      </c>
      <c r="M97" s="19">
        <f>IF(D97="","",IF(D97&gt;TODAY(),"In "&amp;(D97-TODAY())&amp;IF((D97-TODAY())=1," day"," days"),IF(D97=TODAY(),"Today",IF(OR(F97="",F97&lt;TODAY()),"Done","Now"))))</f>
        <v/>
      </c>
      <c r="N97" s="28" t="n"/>
      <c r="O97" s="1">
        <f>IF(B97="","",IFERROR(INDEX(Setup!$I$9:$I$15,MATCH(B97,Setup!$H$9:$H$15,0)),"Other"))</f>
        <v/>
      </c>
      <c r="P97">
        <f>IF(N(H97)=0,0,IF(N(J97)=0,0,J97*IF(I97="",1,IFERROR(INDEX(Setup!$F$9:$F$18,MATCH(I97,Setup!$E$9:$E$18,0)),0))))</f>
        <v/>
      </c>
      <c r="Q97">
        <f>IF(OR(D97="",M97="Done"),"",D97+N(E97)+ROW()/100000000)</f>
        <v/>
      </c>
    </row>
    <row r="98">
      <c r="A98" s="1" t="n"/>
      <c r="B98" s="27" t="n"/>
      <c r="C98" s="28" t="n"/>
      <c r="D98" s="30" t="n"/>
      <c r="E98" s="26" t="n"/>
      <c r="F98" s="30" t="n"/>
      <c r="G98" s="29" t="n"/>
      <c r="H98" s="31" t="n"/>
      <c r="I98" s="29" t="n"/>
      <c r="J98" s="31" t="n"/>
      <c r="K98" s="20">
        <f>IF(N(H98)=0,"",IF(N(H98)=0,0,H98*IF(I98="",1,IFERROR(INDEX(Setup!$F$9:$F$18,MATCH(I98,Setup!$E$9:$E$18,0)),0))))</f>
        <v/>
      </c>
      <c r="L98" s="15">
        <f>IF(N(H98)=0,"",IF(IF(N(H98)=0,0,H98*IF(I98="",1,IFERROR(INDEX(Setup!$F$9:$F$18,MATCH(I98,Setup!$E$9:$E$18,0)),0)))-IF(N(J98)=0,0,J98*IF(I98="",1,IFERROR(INDEX(Setup!$F$9:$F$18,MATCH(I98,Setup!$E$9:$E$18,0)),0)))&gt;0.005,IF(N(H98)=0,0,H98*IF(I98="",1,IFERROR(INDEX(Setup!$F$9:$F$18,MATCH(I98,Setup!$E$9:$E$18,0)),0)))-IF(N(J98)=0,0,J98*IF(I98="",1,IFERROR(INDEX(Setup!$F$9:$F$18,MATCH(I98,Setup!$E$9:$E$18,0)),0))),""))</f>
        <v/>
      </c>
      <c r="M98" s="19">
        <f>IF(D98="","",IF(D98&gt;TODAY(),"In "&amp;(D98-TODAY())&amp;IF((D98-TODAY())=1," day"," days"),IF(D98=TODAY(),"Today",IF(OR(F98="",F98&lt;TODAY()),"Done","Now"))))</f>
        <v/>
      </c>
      <c r="N98" s="28" t="n"/>
      <c r="O98" s="1">
        <f>IF(B98="","",IFERROR(INDEX(Setup!$I$9:$I$15,MATCH(B98,Setup!$H$9:$H$15,0)),"Other"))</f>
        <v/>
      </c>
      <c r="P98">
        <f>IF(N(H98)=0,0,IF(N(J98)=0,0,J98*IF(I98="",1,IFERROR(INDEX(Setup!$F$9:$F$18,MATCH(I98,Setup!$E$9:$E$18,0)),0))))</f>
        <v/>
      </c>
      <c r="Q98">
        <f>IF(OR(D98="",M98="Done"),"",D98+N(E98)+ROW()/100000000)</f>
        <v/>
      </c>
    </row>
    <row r="99">
      <c r="A99" s="1" t="n"/>
      <c r="B99" s="27" t="n"/>
      <c r="C99" s="28" t="n"/>
      <c r="D99" s="30" t="n"/>
      <c r="E99" s="26" t="n"/>
      <c r="F99" s="30" t="n"/>
      <c r="G99" s="29" t="n"/>
      <c r="H99" s="31" t="n"/>
      <c r="I99" s="29" t="n"/>
      <c r="J99" s="31" t="n"/>
      <c r="K99" s="20">
        <f>IF(N(H99)=0,"",IF(N(H99)=0,0,H99*IF(I99="",1,IFERROR(INDEX(Setup!$F$9:$F$18,MATCH(I99,Setup!$E$9:$E$18,0)),0))))</f>
        <v/>
      </c>
      <c r="L99" s="15">
        <f>IF(N(H99)=0,"",IF(IF(N(H99)=0,0,H99*IF(I99="",1,IFERROR(INDEX(Setup!$F$9:$F$18,MATCH(I99,Setup!$E$9:$E$18,0)),0)))-IF(N(J99)=0,0,J99*IF(I99="",1,IFERROR(INDEX(Setup!$F$9:$F$18,MATCH(I99,Setup!$E$9:$E$18,0)),0)))&gt;0.005,IF(N(H99)=0,0,H99*IF(I99="",1,IFERROR(INDEX(Setup!$F$9:$F$18,MATCH(I99,Setup!$E$9:$E$18,0)),0)))-IF(N(J99)=0,0,J99*IF(I99="",1,IFERROR(INDEX(Setup!$F$9:$F$18,MATCH(I99,Setup!$E$9:$E$18,0)),0))),""))</f>
        <v/>
      </c>
      <c r="M99" s="19">
        <f>IF(D99="","",IF(D99&gt;TODAY(),"In "&amp;(D99-TODAY())&amp;IF((D99-TODAY())=1," day"," days"),IF(D99=TODAY(),"Today",IF(OR(F99="",F99&lt;TODAY()),"Done","Now"))))</f>
        <v/>
      </c>
      <c r="N99" s="28" t="n"/>
      <c r="O99" s="1">
        <f>IF(B99="","",IFERROR(INDEX(Setup!$I$9:$I$15,MATCH(B99,Setup!$H$9:$H$15,0)),"Other"))</f>
        <v/>
      </c>
      <c r="P99">
        <f>IF(N(H99)=0,0,IF(N(J99)=0,0,J99*IF(I99="",1,IFERROR(INDEX(Setup!$F$9:$F$18,MATCH(I99,Setup!$E$9:$E$18,0)),0))))</f>
        <v/>
      </c>
      <c r="Q99">
        <f>IF(OR(D99="",M99="Done"),"",D99+N(E99)+ROW()/100000000)</f>
        <v/>
      </c>
    </row>
    <row r="100">
      <c r="A100" s="1" t="n"/>
      <c r="B100" s="27" t="n"/>
      <c r="C100" s="28" t="n"/>
      <c r="D100" s="30" t="n"/>
      <c r="E100" s="26" t="n"/>
      <c r="F100" s="30" t="n"/>
      <c r="G100" s="29" t="n"/>
      <c r="H100" s="31" t="n"/>
      <c r="I100" s="29" t="n"/>
      <c r="J100" s="31" t="n"/>
      <c r="K100" s="20">
        <f>IF(N(H100)=0,"",IF(N(H100)=0,0,H100*IF(I100="",1,IFERROR(INDEX(Setup!$F$9:$F$18,MATCH(I100,Setup!$E$9:$E$18,0)),0))))</f>
        <v/>
      </c>
      <c r="L100" s="15">
        <f>IF(N(H100)=0,"",IF(IF(N(H100)=0,0,H100*IF(I100="",1,IFERROR(INDEX(Setup!$F$9:$F$18,MATCH(I100,Setup!$E$9:$E$18,0)),0)))-IF(N(J100)=0,0,J100*IF(I100="",1,IFERROR(INDEX(Setup!$F$9:$F$18,MATCH(I100,Setup!$E$9:$E$18,0)),0)))&gt;0.005,IF(N(H100)=0,0,H100*IF(I100="",1,IFERROR(INDEX(Setup!$F$9:$F$18,MATCH(I100,Setup!$E$9:$E$18,0)),0)))-IF(N(J100)=0,0,J100*IF(I100="",1,IFERROR(INDEX(Setup!$F$9:$F$18,MATCH(I100,Setup!$E$9:$E$18,0)),0))),""))</f>
        <v/>
      </c>
      <c r="M100" s="19">
        <f>IF(D100="","",IF(D100&gt;TODAY(),"In "&amp;(D100-TODAY())&amp;IF((D100-TODAY())=1," day"," days"),IF(D100=TODAY(),"Today",IF(OR(F100="",F100&lt;TODAY()),"Done","Now"))))</f>
        <v/>
      </c>
      <c r="N100" s="28" t="n"/>
      <c r="O100" s="1">
        <f>IF(B100="","",IFERROR(INDEX(Setup!$I$9:$I$15,MATCH(B100,Setup!$H$9:$H$15,0)),"Other"))</f>
        <v/>
      </c>
      <c r="P100">
        <f>IF(N(H100)=0,0,IF(N(J100)=0,0,J100*IF(I100="",1,IFERROR(INDEX(Setup!$F$9:$F$18,MATCH(I100,Setup!$E$9:$E$18,0)),0))))</f>
        <v/>
      </c>
      <c r="Q100">
        <f>IF(OR(D100="",M100="Done"),"",D100+N(E100)+ROW()/100000000)</f>
        <v/>
      </c>
    </row>
    <row r="101">
      <c r="A101" s="1" t="n"/>
      <c r="B101" s="27" t="n"/>
      <c r="C101" s="28" t="n"/>
      <c r="D101" s="30" t="n"/>
      <c r="E101" s="26" t="n"/>
      <c r="F101" s="30" t="n"/>
      <c r="G101" s="29" t="n"/>
      <c r="H101" s="31" t="n"/>
      <c r="I101" s="29" t="n"/>
      <c r="J101" s="31" t="n"/>
      <c r="K101" s="20">
        <f>IF(N(H101)=0,"",IF(N(H101)=0,0,H101*IF(I101="",1,IFERROR(INDEX(Setup!$F$9:$F$18,MATCH(I101,Setup!$E$9:$E$18,0)),0))))</f>
        <v/>
      </c>
      <c r="L101" s="15">
        <f>IF(N(H101)=0,"",IF(IF(N(H101)=0,0,H101*IF(I101="",1,IFERROR(INDEX(Setup!$F$9:$F$18,MATCH(I101,Setup!$E$9:$E$18,0)),0)))-IF(N(J101)=0,0,J101*IF(I101="",1,IFERROR(INDEX(Setup!$F$9:$F$18,MATCH(I101,Setup!$E$9:$E$18,0)),0)))&gt;0.005,IF(N(H101)=0,0,H101*IF(I101="",1,IFERROR(INDEX(Setup!$F$9:$F$18,MATCH(I101,Setup!$E$9:$E$18,0)),0)))-IF(N(J101)=0,0,J101*IF(I101="",1,IFERROR(INDEX(Setup!$F$9:$F$18,MATCH(I101,Setup!$E$9:$E$18,0)),0))),""))</f>
        <v/>
      </c>
      <c r="M101" s="19">
        <f>IF(D101="","",IF(D101&gt;TODAY(),"In "&amp;(D101-TODAY())&amp;IF((D101-TODAY())=1," day"," days"),IF(D101=TODAY(),"Today",IF(OR(F101="",F101&lt;TODAY()),"Done","Now"))))</f>
        <v/>
      </c>
      <c r="N101" s="28" t="n"/>
      <c r="O101" s="1">
        <f>IF(B101="","",IFERROR(INDEX(Setup!$I$9:$I$15,MATCH(B101,Setup!$H$9:$H$15,0)),"Other"))</f>
        <v/>
      </c>
      <c r="P101">
        <f>IF(N(H101)=0,0,IF(N(J101)=0,0,J101*IF(I101="",1,IFERROR(INDEX(Setup!$F$9:$F$18,MATCH(I101,Setup!$E$9:$E$18,0)),0))))</f>
        <v/>
      </c>
      <c r="Q101">
        <f>IF(OR(D101="",M101="Done"),"",D101+N(E101)+ROW()/100000000)</f>
        <v/>
      </c>
    </row>
    <row r="102">
      <c r="A102" s="1" t="n"/>
      <c r="B102" s="27" t="n"/>
      <c r="C102" s="28" t="n"/>
      <c r="D102" s="30" t="n"/>
      <c r="E102" s="26" t="n"/>
      <c r="F102" s="30" t="n"/>
      <c r="G102" s="29" t="n"/>
      <c r="H102" s="31" t="n"/>
      <c r="I102" s="29" t="n"/>
      <c r="J102" s="31" t="n"/>
      <c r="K102" s="20">
        <f>IF(N(H102)=0,"",IF(N(H102)=0,0,H102*IF(I102="",1,IFERROR(INDEX(Setup!$F$9:$F$18,MATCH(I102,Setup!$E$9:$E$18,0)),0))))</f>
        <v/>
      </c>
      <c r="L102" s="15">
        <f>IF(N(H102)=0,"",IF(IF(N(H102)=0,0,H102*IF(I102="",1,IFERROR(INDEX(Setup!$F$9:$F$18,MATCH(I102,Setup!$E$9:$E$18,0)),0)))-IF(N(J102)=0,0,J102*IF(I102="",1,IFERROR(INDEX(Setup!$F$9:$F$18,MATCH(I102,Setup!$E$9:$E$18,0)),0)))&gt;0.005,IF(N(H102)=0,0,H102*IF(I102="",1,IFERROR(INDEX(Setup!$F$9:$F$18,MATCH(I102,Setup!$E$9:$E$18,0)),0)))-IF(N(J102)=0,0,J102*IF(I102="",1,IFERROR(INDEX(Setup!$F$9:$F$18,MATCH(I102,Setup!$E$9:$E$18,0)),0))),""))</f>
        <v/>
      </c>
      <c r="M102" s="19">
        <f>IF(D102="","",IF(D102&gt;TODAY(),"In "&amp;(D102-TODAY())&amp;IF((D102-TODAY())=1," day"," days"),IF(D102=TODAY(),"Today",IF(OR(F102="",F102&lt;TODAY()),"Done","Now"))))</f>
        <v/>
      </c>
      <c r="N102" s="28" t="n"/>
      <c r="O102" s="1">
        <f>IF(B102="","",IFERROR(INDEX(Setup!$I$9:$I$15,MATCH(B102,Setup!$H$9:$H$15,0)),"Other"))</f>
        <v/>
      </c>
      <c r="P102">
        <f>IF(N(H102)=0,0,IF(N(J102)=0,0,J102*IF(I102="",1,IFERROR(INDEX(Setup!$F$9:$F$18,MATCH(I102,Setup!$E$9:$E$18,0)),0))))</f>
        <v/>
      </c>
      <c r="Q102">
        <f>IF(OR(D102="",M102="Done"),"",D102+N(E102)+ROW()/100000000)</f>
        <v/>
      </c>
    </row>
    <row r="103">
      <c r="A103" s="1" t="n"/>
      <c r="B103" s="27" t="n"/>
      <c r="C103" s="28" t="n"/>
      <c r="D103" s="30" t="n"/>
      <c r="E103" s="26" t="n"/>
      <c r="F103" s="30" t="n"/>
      <c r="G103" s="29" t="n"/>
      <c r="H103" s="31" t="n"/>
      <c r="I103" s="29" t="n"/>
      <c r="J103" s="31" t="n"/>
      <c r="K103" s="20">
        <f>IF(N(H103)=0,"",IF(N(H103)=0,0,H103*IF(I103="",1,IFERROR(INDEX(Setup!$F$9:$F$18,MATCH(I103,Setup!$E$9:$E$18,0)),0))))</f>
        <v/>
      </c>
      <c r="L103" s="15">
        <f>IF(N(H103)=0,"",IF(IF(N(H103)=0,0,H103*IF(I103="",1,IFERROR(INDEX(Setup!$F$9:$F$18,MATCH(I103,Setup!$E$9:$E$18,0)),0)))-IF(N(J103)=0,0,J103*IF(I103="",1,IFERROR(INDEX(Setup!$F$9:$F$18,MATCH(I103,Setup!$E$9:$E$18,0)),0)))&gt;0.005,IF(N(H103)=0,0,H103*IF(I103="",1,IFERROR(INDEX(Setup!$F$9:$F$18,MATCH(I103,Setup!$E$9:$E$18,0)),0)))-IF(N(J103)=0,0,J103*IF(I103="",1,IFERROR(INDEX(Setup!$F$9:$F$18,MATCH(I103,Setup!$E$9:$E$18,0)),0))),""))</f>
        <v/>
      </c>
      <c r="M103" s="19">
        <f>IF(D103="","",IF(D103&gt;TODAY(),"In "&amp;(D103-TODAY())&amp;IF((D103-TODAY())=1," day"," days"),IF(D103=TODAY(),"Today",IF(OR(F103="",F103&lt;TODAY()),"Done","Now"))))</f>
        <v/>
      </c>
      <c r="N103" s="28" t="n"/>
      <c r="O103" s="1">
        <f>IF(B103="","",IFERROR(INDEX(Setup!$I$9:$I$15,MATCH(B103,Setup!$H$9:$H$15,0)),"Other"))</f>
        <v/>
      </c>
      <c r="P103">
        <f>IF(N(H103)=0,0,IF(N(J103)=0,0,J103*IF(I103="",1,IFERROR(INDEX(Setup!$F$9:$F$18,MATCH(I103,Setup!$E$9:$E$18,0)),0))))</f>
        <v/>
      </c>
      <c r="Q103">
        <f>IF(OR(D103="",M103="Done"),"",D103+N(E103)+ROW()/100000000)</f>
        <v/>
      </c>
    </row>
    <row r="104">
      <c r="A104" s="1" t="n"/>
      <c r="B104" s="27" t="n"/>
      <c r="C104" s="28" t="n"/>
      <c r="D104" s="30" t="n"/>
      <c r="E104" s="26" t="n"/>
      <c r="F104" s="30" t="n"/>
      <c r="G104" s="29" t="n"/>
      <c r="H104" s="31" t="n"/>
      <c r="I104" s="29" t="n"/>
      <c r="J104" s="31" t="n"/>
      <c r="K104" s="20">
        <f>IF(N(H104)=0,"",IF(N(H104)=0,0,H104*IF(I104="",1,IFERROR(INDEX(Setup!$F$9:$F$18,MATCH(I104,Setup!$E$9:$E$18,0)),0))))</f>
        <v/>
      </c>
      <c r="L104" s="15">
        <f>IF(N(H104)=0,"",IF(IF(N(H104)=0,0,H104*IF(I104="",1,IFERROR(INDEX(Setup!$F$9:$F$18,MATCH(I104,Setup!$E$9:$E$18,0)),0)))-IF(N(J104)=0,0,J104*IF(I104="",1,IFERROR(INDEX(Setup!$F$9:$F$18,MATCH(I104,Setup!$E$9:$E$18,0)),0)))&gt;0.005,IF(N(H104)=0,0,H104*IF(I104="",1,IFERROR(INDEX(Setup!$F$9:$F$18,MATCH(I104,Setup!$E$9:$E$18,0)),0)))-IF(N(J104)=0,0,J104*IF(I104="",1,IFERROR(INDEX(Setup!$F$9:$F$18,MATCH(I104,Setup!$E$9:$E$18,0)),0))),""))</f>
        <v/>
      </c>
      <c r="M104" s="19">
        <f>IF(D104="","",IF(D104&gt;TODAY(),"In "&amp;(D104-TODAY())&amp;IF((D104-TODAY())=1," day"," days"),IF(D104=TODAY(),"Today",IF(OR(F104="",F104&lt;TODAY()),"Done","Now"))))</f>
        <v/>
      </c>
      <c r="N104" s="28" t="n"/>
      <c r="O104" s="1">
        <f>IF(B104="","",IFERROR(INDEX(Setup!$I$9:$I$15,MATCH(B104,Setup!$H$9:$H$15,0)),"Other"))</f>
        <v/>
      </c>
      <c r="P104">
        <f>IF(N(H104)=0,0,IF(N(J104)=0,0,J104*IF(I104="",1,IFERROR(INDEX(Setup!$F$9:$F$18,MATCH(I104,Setup!$E$9:$E$18,0)),0))))</f>
        <v/>
      </c>
      <c r="Q104">
        <f>IF(OR(D104="",M104="Done"),"",D104+N(E104)+ROW()/100000000)</f>
        <v/>
      </c>
    </row>
    <row r="105">
      <c r="A105" s="1" t="n"/>
      <c r="B105" s="27" t="n"/>
      <c r="C105" s="28" t="n"/>
      <c r="D105" s="30" t="n"/>
      <c r="E105" s="26" t="n"/>
      <c r="F105" s="30" t="n"/>
      <c r="G105" s="29" t="n"/>
      <c r="H105" s="31" t="n"/>
      <c r="I105" s="29" t="n"/>
      <c r="J105" s="31" t="n"/>
      <c r="K105" s="20">
        <f>IF(N(H105)=0,"",IF(N(H105)=0,0,H105*IF(I105="",1,IFERROR(INDEX(Setup!$F$9:$F$18,MATCH(I105,Setup!$E$9:$E$18,0)),0))))</f>
        <v/>
      </c>
      <c r="L105" s="15">
        <f>IF(N(H105)=0,"",IF(IF(N(H105)=0,0,H105*IF(I105="",1,IFERROR(INDEX(Setup!$F$9:$F$18,MATCH(I105,Setup!$E$9:$E$18,0)),0)))-IF(N(J105)=0,0,J105*IF(I105="",1,IFERROR(INDEX(Setup!$F$9:$F$18,MATCH(I105,Setup!$E$9:$E$18,0)),0)))&gt;0.005,IF(N(H105)=0,0,H105*IF(I105="",1,IFERROR(INDEX(Setup!$F$9:$F$18,MATCH(I105,Setup!$E$9:$E$18,0)),0)))-IF(N(J105)=0,0,J105*IF(I105="",1,IFERROR(INDEX(Setup!$F$9:$F$18,MATCH(I105,Setup!$E$9:$E$18,0)),0))),""))</f>
        <v/>
      </c>
      <c r="M105" s="19">
        <f>IF(D105="","",IF(D105&gt;TODAY(),"In "&amp;(D105-TODAY())&amp;IF((D105-TODAY())=1," day"," days"),IF(D105=TODAY(),"Today",IF(OR(F105="",F105&lt;TODAY()),"Done","Now"))))</f>
        <v/>
      </c>
      <c r="N105" s="28" t="n"/>
      <c r="O105" s="1">
        <f>IF(B105="","",IFERROR(INDEX(Setup!$I$9:$I$15,MATCH(B105,Setup!$H$9:$H$15,0)),"Other"))</f>
        <v/>
      </c>
      <c r="P105">
        <f>IF(N(H105)=0,0,IF(N(J105)=0,0,J105*IF(I105="",1,IFERROR(INDEX(Setup!$F$9:$F$18,MATCH(I105,Setup!$E$9:$E$18,0)),0))))</f>
        <v/>
      </c>
      <c r="Q105">
        <f>IF(OR(D105="",M105="Done"),"",D105+N(E105)+ROW()/100000000)</f>
        <v/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</row>
  </sheetData>
  <conditionalFormatting sqref="L6:L105">
    <cfRule type="expression" priority="1" dxfId="1">
      <formula>N($L6)&gt;0</formula>
    </cfRule>
  </conditionalFormatting>
  <conditionalFormatting sqref="M6:M105">
    <cfRule type="expression" priority="2" dxfId="3">
      <formula>OR(M6="Today",M6="Now")</formula>
    </cfRule>
    <cfRule type="expression" priority="3" dxfId="4">
      <formula>M6="Done"</formula>
    </cfRule>
  </conditionalFormatting>
  <dataValidations count="2">
    <dataValidation sqref="B6:B105" showDropDown="0" showInputMessage="0" showErrorMessage="1" allowBlank="1" type="list">
      <formula1>=Setup!$H$9:$H$15</formula1>
    </dataValidation>
    <dataValidation sqref="I6:I105" showDropDown="0" showInputMessage="0" showErrorMessage="1" allowBlank="1" type="list">
      <formula1>=Setup!$E$9:$E$18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30" customWidth="1" min="3" max="3"/>
    <col width="14" customWidth="1" min="4" max="4"/>
    <col width="12" customWidth="1" min="5" max="5"/>
    <col width="10" customWidth="1" min="6" max="6"/>
    <col width="14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Expenses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Everything you pay that is not a booking: food, tickets, souvenirs, taxis.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12" t="inlineStr">
        <is>
          <t>Date</t>
        </is>
      </c>
      <c r="C5" s="12" t="inlineStr">
        <is>
          <t>What</t>
        </is>
      </c>
      <c r="D5" s="12" t="inlineStr">
        <is>
          <t>Category</t>
        </is>
      </c>
      <c r="E5" s="12" t="inlineStr">
        <is>
          <t>Amount</t>
        </is>
      </c>
      <c r="F5" s="12" t="inlineStr">
        <is>
          <t>Currency</t>
        </is>
      </c>
      <c r="G5" s="12" t="inlineStr">
        <is>
          <t>In home currency</t>
        </is>
      </c>
      <c r="H5" s="1" t="n"/>
    </row>
    <row r="6">
      <c r="A6" s="1" t="n"/>
      <c r="B6" s="30" t="n">
        <v>46263</v>
      </c>
      <c r="C6" s="28" t="inlineStr">
        <is>
          <t>Travel insurance, two people</t>
        </is>
      </c>
      <c r="D6" s="28" t="inlineStr">
        <is>
          <t>Other</t>
        </is>
      </c>
      <c r="E6" s="31" t="n">
        <v>180</v>
      </c>
      <c r="F6" s="29" t="inlineStr">
        <is>
          <t>USD</t>
        </is>
      </c>
      <c r="G6" s="20">
        <f>IF(N(E6)=0,"",IF(N(E6)=0,0,E6*IF(F6="",1,IFERROR(INDEX(Setup!$F$9:$F$18,MATCH(F6,Setup!$E$9:$E$18,0)),0))))</f>
        <v/>
      </c>
      <c r="H6" s="1" t="n"/>
    </row>
    <row r="7">
      <c r="A7" s="1" t="n"/>
      <c r="B7" s="30" t="n">
        <v>46272</v>
      </c>
      <c r="C7" s="28" t="inlineStr">
        <is>
          <t>Guidebook</t>
        </is>
      </c>
      <c r="D7" s="28" t="inlineStr">
        <is>
          <t>Other</t>
        </is>
      </c>
      <c r="E7" s="31" t="n">
        <v>25</v>
      </c>
      <c r="F7" s="29" t="inlineStr">
        <is>
          <t>USD</t>
        </is>
      </c>
      <c r="G7" s="20">
        <f>IF(N(E7)=0,"",IF(N(E7)=0,0,E7*IF(F7="",1,IFERROR(INDEX(Setup!$F$9:$F$18,MATCH(F7,Setup!$E$9:$E$18,0)),0))))</f>
        <v/>
      </c>
      <c r="H7" s="1" t="n"/>
    </row>
    <row r="8">
      <c r="A8" s="1" t="n"/>
      <c r="B8" s="30" t="n">
        <v>46281</v>
      </c>
      <c r="C8" s="28" t="inlineStr">
        <is>
          <t>Pocket wifi rental</t>
        </is>
      </c>
      <c r="D8" s="28" t="inlineStr">
        <is>
          <t>Other</t>
        </is>
      </c>
      <c r="E8" s="31" t="n">
        <v>6000</v>
      </c>
      <c r="F8" s="29" t="inlineStr">
        <is>
          <t>JPY</t>
        </is>
      </c>
      <c r="G8" s="20">
        <f>IF(N(E8)=0,"",IF(N(E8)=0,0,E8*IF(F8="",1,IFERROR(INDEX(Setup!$F$9:$F$18,MATCH(F8,Setup!$E$9:$E$18,0)),0))))</f>
        <v/>
      </c>
      <c r="H8" s="1" t="n"/>
    </row>
    <row r="9">
      <c r="A9" s="1" t="n"/>
      <c r="B9" s="30" t="n">
        <v>46288</v>
      </c>
      <c r="C9" s="28" t="inlineStr">
        <is>
          <t>Cabin suitcase</t>
        </is>
      </c>
      <c r="D9" s="28" t="inlineStr">
        <is>
          <t>Shopping</t>
        </is>
      </c>
      <c r="E9" s="31" t="n">
        <v>95</v>
      </c>
      <c r="F9" s="29" t="inlineStr">
        <is>
          <t>USD</t>
        </is>
      </c>
      <c r="G9" s="20">
        <f>IF(N(E9)=0,"",IF(N(E9)=0,0,E9*IF(F9="",1,IFERROR(INDEX(Setup!$F$9:$F$18,MATCH(F9,Setup!$E$9:$E$18,0)),0))))</f>
        <v/>
      </c>
      <c r="H9" s="1" t="n"/>
    </row>
    <row r="10">
      <c r="A10" s="1" t="n"/>
      <c r="B10" s="30" t="n"/>
      <c r="C10" s="28" t="n"/>
      <c r="D10" s="28" t="n"/>
      <c r="E10" s="31" t="n"/>
      <c r="F10" s="29" t="n"/>
      <c r="G10" s="20">
        <f>IF(N(E10)=0,"",IF(N(E10)=0,0,E10*IF(F10="",1,IFERROR(INDEX(Setup!$F$9:$F$18,MATCH(F10,Setup!$E$9:$E$18,0)),0))))</f>
        <v/>
      </c>
      <c r="H10" s="1" t="n"/>
    </row>
    <row r="11">
      <c r="A11" s="1" t="n"/>
      <c r="B11" s="30" t="n"/>
      <c r="C11" s="28" t="n"/>
      <c r="D11" s="28" t="n"/>
      <c r="E11" s="31" t="n"/>
      <c r="F11" s="29" t="n"/>
      <c r="G11" s="20">
        <f>IF(N(E11)=0,"",IF(N(E11)=0,0,E11*IF(F11="",1,IFERROR(INDEX(Setup!$F$9:$F$18,MATCH(F11,Setup!$E$9:$E$18,0)),0))))</f>
        <v/>
      </c>
      <c r="H11" s="1" t="n"/>
    </row>
    <row r="12">
      <c r="A12" s="1" t="n"/>
      <c r="B12" s="30" t="n"/>
      <c r="C12" s="28" t="n"/>
      <c r="D12" s="28" t="n"/>
      <c r="E12" s="31" t="n"/>
      <c r="F12" s="29" t="n"/>
      <c r="G12" s="20">
        <f>IF(N(E12)=0,"",IF(N(E12)=0,0,E12*IF(F12="",1,IFERROR(INDEX(Setup!$F$9:$F$18,MATCH(F12,Setup!$E$9:$E$18,0)),0))))</f>
        <v/>
      </c>
      <c r="H12" s="1" t="n"/>
    </row>
    <row r="13">
      <c r="A13" s="1" t="n"/>
      <c r="B13" s="30" t="n"/>
      <c r="C13" s="28" t="n"/>
      <c r="D13" s="28" t="n"/>
      <c r="E13" s="31" t="n"/>
      <c r="F13" s="29" t="n"/>
      <c r="G13" s="20">
        <f>IF(N(E13)=0,"",IF(N(E13)=0,0,E13*IF(F13="",1,IFERROR(INDEX(Setup!$F$9:$F$18,MATCH(F13,Setup!$E$9:$E$18,0)),0))))</f>
        <v/>
      </c>
      <c r="H13" s="1" t="n"/>
    </row>
    <row r="14">
      <c r="A14" s="1" t="n"/>
      <c r="B14" s="30" t="n"/>
      <c r="C14" s="28" t="n"/>
      <c r="D14" s="28" t="n"/>
      <c r="E14" s="31" t="n"/>
      <c r="F14" s="29" t="n"/>
      <c r="G14" s="20">
        <f>IF(N(E14)=0,"",IF(N(E14)=0,0,E14*IF(F14="",1,IFERROR(INDEX(Setup!$F$9:$F$18,MATCH(F14,Setup!$E$9:$E$18,0)),0))))</f>
        <v/>
      </c>
      <c r="H14" s="1" t="n"/>
    </row>
    <row r="15">
      <c r="A15" s="1" t="n"/>
      <c r="B15" s="30" t="n"/>
      <c r="C15" s="28" t="n"/>
      <c r="D15" s="28" t="n"/>
      <c r="E15" s="31" t="n"/>
      <c r="F15" s="29" t="n"/>
      <c r="G15" s="20">
        <f>IF(N(E15)=0,"",IF(N(E15)=0,0,E15*IF(F15="",1,IFERROR(INDEX(Setup!$F$9:$F$18,MATCH(F15,Setup!$E$9:$E$18,0)),0))))</f>
        <v/>
      </c>
      <c r="H15" s="1" t="n"/>
    </row>
    <row r="16">
      <c r="A16" s="1" t="n"/>
      <c r="B16" s="30" t="n"/>
      <c r="C16" s="28" t="n"/>
      <c r="D16" s="28" t="n"/>
      <c r="E16" s="31" t="n"/>
      <c r="F16" s="29" t="n"/>
      <c r="G16" s="20">
        <f>IF(N(E16)=0,"",IF(N(E16)=0,0,E16*IF(F16="",1,IFERROR(INDEX(Setup!$F$9:$F$18,MATCH(F16,Setup!$E$9:$E$18,0)),0))))</f>
        <v/>
      </c>
      <c r="H16" s="1" t="n"/>
    </row>
    <row r="17">
      <c r="A17" s="1" t="n"/>
      <c r="B17" s="30" t="n"/>
      <c r="C17" s="28" t="n"/>
      <c r="D17" s="28" t="n"/>
      <c r="E17" s="31" t="n"/>
      <c r="F17" s="29" t="n"/>
      <c r="G17" s="20">
        <f>IF(N(E17)=0,"",IF(N(E17)=0,0,E17*IF(F17="",1,IFERROR(INDEX(Setup!$F$9:$F$18,MATCH(F17,Setup!$E$9:$E$18,0)),0))))</f>
        <v/>
      </c>
      <c r="H17" s="1" t="n"/>
    </row>
    <row r="18">
      <c r="A18" s="1" t="n"/>
      <c r="B18" s="30" t="n"/>
      <c r="C18" s="28" t="n"/>
      <c r="D18" s="28" t="n"/>
      <c r="E18" s="31" t="n"/>
      <c r="F18" s="29" t="n"/>
      <c r="G18" s="20">
        <f>IF(N(E18)=0,"",IF(N(E18)=0,0,E18*IF(F18="",1,IFERROR(INDEX(Setup!$F$9:$F$18,MATCH(F18,Setup!$E$9:$E$18,0)),0))))</f>
        <v/>
      </c>
      <c r="H18" s="1" t="n"/>
    </row>
    <row r="19">
      <c r="A19" s="1" t="n"/>
      <c r="B19" s="30" t="n"/>
      <c r="C19" s="28" t="n"/>
      <c r="D19" s="28" t="n"/>
      <c r="E19" s="31" t="n"/>
      <c r="F19" s="29" t="n"/>
      <c r="G19" s="20">
        <f>IF(N(E19)=0,"",IF(N(E19)=0,0,E19*IF(F19="",1,IFERROR(INDEX(Setup!$F$9:$F$18,MATCH(F19,Setup!$E$9:$E$18,0)),0))))</f>
        <v/>
      </c>
      <c r="H19" s="1" t="n"/>
    </row>
    <row r="20">
      <c r="A20" s="1" t="n"/>
      <c r="B20" s="30" t="n"/>
      <c r="C20" s="28" t="n"/>
      <c r="D20" s="28" t="n"/>
      <c r="E20" s="31" t="n"/>
      <c r="F20" s="29" t="n"/>
      <c r="G20" s="20">
        <f>IF(N(E20)=0,"",IF(N(E20)=0,0,E20*IF(F20="",1,IFERROR(INDEX(Setup!$F$9:$F$18,MATCH(F20,Setup!$E$9:$E$18,0)),0))))</f>
        <v/>
      </c>
      <c r="H20" s="1" t="n"/>
    </row>
    <row r="21">
      <c r="A21" s="1" t="n"/>
      <c r="B21" s="30" t="n"/>
      <c r="C21" s="28" t="n"/>
      <c r="D21" s="28" t="n"/>
      <c r="E21" s="31" t="n"/>
      <c r="F21" s="29" t="n"/>
      <c r="G21" s="20">
        <f>IF(N(E21)=0,"",IF(N(E21)=0,0,E21*IF(F21="",1,IFERROR(INDEX(Setup!$F$9:$F$18,MATCH(F21,Setup!$E$9:$E$18,0)),0))))</f>
        <v/>
      </c>
      <c r="H21" s="1" t="n"/>
    </row>
    <row r="22">
      <c r="A22" s="1" t="n"/>
      <c r="B22" s="30" t="n"/>
      <c r="C22" s="28" t="n"/>
      <c r="D22" s="28" t="n"/>
      <c r="E22" s="31" t="n"/>
      <c r="F22" s="29" t="n"/>
      <c r="G22" s="20">
        <f>IF(N(E22)=0,"",IF(N(E22)=0,0,E22*IF(F22="",1,IFERROR(INDEX(Setup!$F$9:$F$18,MATCH(F22,Setup!$E$9:$E$18,0)),0))))</f>
        <v/>
      </c>
      <c r="H22" s="1" t="n"/>
    </row>
    <row r="23">
      <c r="A23" s="1" t="n"/>
      <c r="B23" s="30" t="n"/>
      <c r="C23" s="28" t="n"/>
      <c r="D23" s="28" t="n"/>
      <c r="E23" s="31" t="n"/>
      <c r="F23" s="29" t="n"/>
      <c r="G23" s="20">
        <f>IF(N(E23)=0,"",IF(N(E23)=0,0,E23*IF(F23="",1,IFERROR(INDEX(Setup!$F$9:$F$18,MATCH(F23,Setup!$E$9:$E$18,0)),0))))</f>
        <v/>
      </c>
      <c r="H23" s="1" t="n"/>
    </row>
    <row r="24">
      <c r="A24" s="1" t="n"/>
      <c r="B24" s="30" t="n"/>
      <c r="C24" s="28" t="n"/>
      <c r="D24" s="28" t="n"/>
      <c r="E24" s="31" t="n"/>
      <c r="F24" s="29" t="n"/>
      <c r="G24" s="20">
        <f>IF(N(E24)=0,"",IF(N(E24)=0,0,E24*IF(F24="",1,IFERROR(INDEX(Setup!$F$9:$F$18,MATCH(F24,Setup!$E$9:$E$18,0)),0))))</f>
        <v/>
      </c>
      <c r="H24" s="1" t="n"/>
    </row>
    <row r="25">
      <c r="A25" s="1" t="n"/>
      <c r="B25" s="30" t="n"/>
      <c r="C25" s="28" t="n"/>
      <c r="D25" s="28" t="n"/>
      <c r="E25" s="31" t="n"/>
      <c r="F25" s="29" t="n"/>
      <c r="G25" s="20">
        <f>IF(N(E25)=0,"",IF(N(E25)=0,0,E25*IF(F25="",1,IFERROR(INDEX(Setup!$F$9:$F$18,MATCH(F25,Setup!$E$9:$E$18,0)),0))))</f>
        <v/>
      </c>
      <c r="H25" s="1" t="n"/>
    </row>
    <row r="26">
      <c r="A26" s="1" t="n"/>
      <c r="B26" s="30" t="n"/>
      <c r="C26" s="28" t="n"/>
      <c r="D26" s="28" t="n"/>
      <c r="E26" s="31" t="n"/>
      <c r="F26" s="29" t="n"/>
      <c r="G26" s="20">
        <f>IF(N(E26)=0,"",IF(N(E26)=0,0,E26*IF(F26="",1,IFERROR(INDEX(Setup!$F$9:$F$18,MATCH(F26,Setup!$E$9:$E$18,0)),0))))</f>
        <v/>
      </c>
      <c r="H26" s="1" t="n"/>
    </row>
    <row r="27">
      <c r="A27" s="1" t="n"/>
      <c r="B27" s="30" t="n"/>
      <c r="C27" s="28" t="n"/>
      <c r="D27" s="28" t="n"/>
      <c r="E27" s="31" t="n"/>
      <c r="F27" s="29" t="n"/>
      <c r="G27" s="20">
        <f>IF(N(E27)=0,"",IF(N(E27)=0,0,E27*IF(F27="",1,IFERROR(INDEX(Setup!$F$9:$F$18,MATCH(F27,Setup!$E$9:$E$18,0)),0))))</f>
        <v/>
      </c>
      <c r="H27" s="1" t="n"/>
    </row>
    <row r="28">
      <c r="A28" s="1" t="n"/>
      <c r="B28" s="30" t="n"/>
      <c r="C28" s="28" t="n"/>
      <c r="D28" s="28" t="n"/>
      <c r="E28" s="31" t="n"/>
      <c r="F28" s="29" t="n"/>
      <c r="G28" s="20">
        <f>IF(N(E28)=0,"",IF(N(E28)=0,0,E28*IF(F28="",1,IFERROR(INDEX(Setup!$F$9:$F$18,MATCH(F28,Setup!$E$9:$E$18,0)),0))))</f>
        <v/>
      </c>
      <c r="H28" s="1" t="n"/>
    </row>
    <row r="29">
      <c r="A29" s="1" t="n"/>
      <c r="B29" s="30" t="n"/>
      <c r="C29" s="28" t="n"/>
      <c r="D29" s="28" t="n"/>
      <c r="E29" s="31" t="n"/>
      <c r="F29" s="29" t="n"/>
      <c r="G29" s="20">
        <f>IF(N(E29)=0,"",IF(N(E29)=0,0,E29*IF(F29="",1,IFERROR(INDEX(Setup!$F$9:$F$18,MATCH(F29,Setup!$E$9:$E$18,0)),0))))</f>
        <v/>
      </c>
      <c r="H29" s="1" t="n"/>
    </row>
    <row r="30">
      <c r="A30" s="1" t="n"/>
      <c r="B30" s="30" t="n"/>
      <c r="C30" s="28" t="n"/>
      <c r="D30" s="28" t="n"/>
      <c r="E30" s="31" t="n"/>
      <c r="F30" s="29" t="n"/>
      <c r="G30" s="20">
        <f>IF(N(E30)=0,"",IF(N(E30)=0,0,E30*IF(F30="",1,IFERROR(INDEX(Setup!$F$9:$F$18,MATCH(F30,Setup!$E$9:$E$18,0)),0))))</f>
        <v/>
      </c>
      <c r="H30" s="1" t="n"/>
    </row>
    <row r="31">
      <c r="A31" s="1" t="n"/>
      <c r="B31" s="30" t="n"/>
      <c r="C31" s="28" t="n"/>
      <c r="D31" s="28" t="n"/>
      <c r="E31" s="31" t="n"/>
      <c r="F31" s="29" t="n"/>
      <c r="G31" s="20">
        <f>IF(N(E31)=0,"",IF(N(E31)=0,0,E31*IF(F31="",1,IFERROR(INDEX(Setup!$F$9:$F$18,MATCH(F31,Setup!$E$9:$E$18,0)),0))))</f>
        <v/>
      </c>
      <c r="H31" s="1" t="n"/>
    </row>
    <row r="32">
      <c r="A32" s="1" t="n"/>
      <c r="B32" s="30" t="n"/>
      <c r="C32" s="28" t="n"/>
      <c r="D32" s="28" t="n"/>
      <c r="E32" s="31" t="n"/>
      <c r="F32" s="29" t="n"/>
      <c r="G32" s="20">
        <f>IF(N(E32)=0,"",IF(N(E32)=0,0,E32*IF(F32="",1,IFERROR(INDEX(Setup!$F$9:$F$18,MATCH(F32,Setup!$E$9:$E$18,0)),0))))</f>
        <v/>
      </c>
      <c r="H32" s="1" t="n"/>
    </row>
    <row r="33">
      <c r="A33" s="1" t="n"/>
      <c r="B33" s="30" t="n"/>
      <c r="C33" s="28" t="n"/>
      <c r="D33" s="28" t="n"/>
      <c r="E33" s="31" t="n"/>
      <c r="F33" s="29" t="n"/>
      <c r="G33" s="20">
        <f>IF(N(E33)=0,"",IF(N(E33)=0,0,E33*IF(F33="",1,IFERROR(INDEX(Setup!$F$9:$F$18,MATCH(F33,Setup!$E$9:$E$18,0)),0))))</f>
        <v/>
      </c>
      <c r="H33" s="1" t="n"/>
    </row>
    <row r="34">
      <c r="A34" s="1" t="n"/>
      <c r="B34" s="30" t="n"/>
      <c r="C34" s="28" t="n"/>
      <c r="D34" s="28" t="n"/>
      <c r="E34" s="31" t="n"/>
      <c r="F34" s="29" t="n"/>
      <c r="G34" s="20">
        <f>IF(N(E34)=0,"",IF(N(E34)=0,0,E34*IF(F34="",1,IFERROR(INDEX(Setup!$F$9:$F$18,MATCH(F34,Setup!$E$9:$E$18,0)),0))))</f>
        <v/>
      </c>
      <c r="H34" s="1" t="n"/>
    </row>
    <row r="35">
      <c r="A35" s="1" t="n"/>
      <c r="B35" s="30" t="n"/>
      <c r="C35" s="28" t="n"/>
      <c r="D35" s="28" t="n"/>
      <c r="E35" s="31" t="n"/>
      <c r="F35" s="29" t="n"/>
      <c r="G35" s="20">
        <f>IF(N(E35)=0,"",IF(N(E35)=0,0,E35*IF(F35="",1,IFERROR(INDEX(Setup!$F$9:$F$18,MATCH(F35,Setup!$E$9:$E$18,0)),0))))</f>
        <v/>
      </c>
      <c r="H35" s="1" t="n"/>
    </row>
    <row r="36">
      <c r="A36" s="1" t="n"/>
      <c r="B36" s="30" t="n"/>
      <c r="C36" s="28" t="n"/>
      <c r="D36" s="28" t="n"/>
      <c r="E36" s="31" t="n"/>
      <c r="F36" s="29" t="n"/>
      <c r="G36" s="20">
        <f>IF(N(E36)=0,"",IF(N(E36)=0,0,E36*IF(F36="",1,IFERROR(INDEX(Setup!$F$9:$F$18,MATCH(F36,Setup!$E$9:$E$18,0)),0))))</f>
        <v/>
      </c>
      <c r="H36" s="1" t="n"/>
    </row>
    <row r="37">
      <c r="A37" s="1" t="n"/>
      <c r="B37" s="30" t="n"/>
      <c r="C37" s="28" t="n"/>
      <c r="D37" s="28" t="n"/>
      <c r="E37" s="31" t="n"/>
      <c r="F37" s="29" t="n"/>
      <c r="G37" s="20">
        <f>IF(N(E37)=0,"",IF(N(E37)=0,0,E37*IF(F37="",1,IFERROR(INDEX(Setup!$F$9:$F$18,MATCH(F37,Setup!$E$9:$E$18,0)),0))))</f>
        <v/>
      </c>
      <c r="H37" s="1" t="n"/>
    </row>
    <row r="38">
      <c r="A38" s="1" t="n"/>
      <c r="B38" s="30" t="n"/>
      <c r="C38" s="28" t="n"/>
      <c r="D38" s="28" t="n"/>
      <c r="E38" s="31" t="n"/>
      <c r="F38" s="29" t="n"/>
      <c r="G38" s="20">
        <f>IF(N(E38)=0,"",IF(N(E38)=0,0,E38*IF(F38="",1,IFERROR(INDEX(Setup!$F$9:$F$18,MATCH(F38,Setup!$E$9:$E$18,0)),0))))</f>
        <v/>
      </c>
      <c r="H38" s="1" t="n"/>
    </row>
    <row r="39">
      <c r="A39" s="1" t="n"/>
      <c r="B39" s="30" t="n"/>
      <c r="C39" s="28" t="n"/>
      <c r="D39" s="28" t="n"/>
      <c r="E39" s="31" t="n"/>
      <c r="F39" s="29" t="n"/>
      <c r="G39" s="20">
        <f>IF(N(E39)=0,"",IF(N(E39)=0,0,E39*IF(F39="",1,IFERROR(INDEX(Setup!$F$9:$F$18,MATCH(F39,Setup!$E$9:$E$18,0)),0))))</f>
        <v/>
      </c>
      <c r="H39" s="1" t="n"/>
    </row>
    <row r="40">
      <c r="A40" s="1" t="n"/>
      <c r="B40" s="30" t="n"/>
      <c r="C40" s="28" t="n"/>
      <c r="D40" s="28" t="n"/>
      <c r="E40" s="31" t="n"/>
      <c r="F40" s="29" t="n"/>
      <c r="G40" s="20">
        <f>IF(N(E40)=0,"",IF(N(E40)=0,0,E40*IF(F40="",1,IFERROR(INDEX(Setup!$F$9:$F$18,MATCH(F40,Setup!$E$9:$E$18,0)),0))))</f>
        <v/>
      </c>
      <c r="H40" s="1" t="n"/>
    </row>
    <row r="41">
      <c r="A41" s="1" t="n"/>
      <c r="B41" s="30" t="n"/>
      <c r="C41" s="28" t="n"/>
      <c r="D41" s="28" t="n"/>
      <c r="E41" s="31" t="n"/>
      <c r="F41" s="29" t="n"/>
      <c r="G41" s="20">
        <f>IF(N(E41)=0,"",IF(N(E41)=0,0,E41*IF(F41="",1,IFERROR(INDEX(Setup!$F$9:$F$18,MATCH(F41,Setup!$E$9:$E$18,0)),0))))</f>
        <v/>
      </c>
      <c r="H41" s="1" t="n"/>
    </row>
    <row r="42">
      <c r="A42" s="1" t="n"/>
      <c r="B42" s="30" t="n"/>
      <c r="C42" s="28" t="n"/>
      <c r="D42" s="28" t="n"/>
      <c r="E42" s="31" t="n"/>
      <c r="F42" s="29" t="n"/>
      <c r="G42" s="20">
        <f>IF(N(E42)=0,"",IF(N(E42)=0,0,E42*IF(F42="",1,IFERROR(INDEX(Setup!$F$9:$F$18,MATCH(F42,Setup!$E$9:$E$18,0)),0))))</f>
        <v/>
      </c>
      <c r="H42" s="1" t="n"/>
    </row>
    <row r="43">
      <c r="A43" s="1" t="n"/>
      <c r="B43" s="30" t="n"/>
      <c r="C43" s="28" t="n"/>
      <c r="D43" s="28" t="n"/>
      <c r="E43" s="31" t="n"/>
      <c r="F43" s="29" t="n"/>
      <c r="G43" s="20">
        <f>IF(N(E43)=0,"",IF(N(E43)=0,0,E43*IF(F43="",1,IFERROR(INDEX(Setup!$F$9:$F$18,MATCH(F43,Setup!$E$9:$E$18,0)),0))))</f>
        <v/>
      </c>
      <c r="H43" s="1" t="n"/>
    </row>
    <row r="44">
      <c r="A44" s="1" t="n"/>
      <c r="B44" s="30" t="n"/>
      <c r="C44" s="28" t="n"/>
      <c r="D44" s="28" t="n"/>
      <c r="E44" s="31" t="n"/>
      <c r="F44" s="29" t="n"/>
      <c r="G44" s="20">
        <f>IF(N(E44)=0,"",IF(N(E44)=0,0,E44*IF(F44="",1,IFERROR(INDEX(Setup!$F$9:$F$18,MATCH(F44,Setup!$E$9:$E$18,0)),0))))</f>
        <v/>
      </c>
      <c r="H44" s="1" t="n"/>
    </row>
    <row r="45">
      <c r="A45" s="1" t="n"/>
      <c r="B45" s="30" t="n"/>
      <c r="C45" s="28" t="n"/>
      <c r="D45" s="28" t="n"/>
      <c r="E45" s="31" t="n"/>
      <c r="F45" s="29" t="n"/>
      <c r="G45" s="20">
        <f>IF(N(E45)=0,"",IF(N(E45)=0,0,E45*IF(F45="",1,IFERROR(INDEX(Setup!$F$9:$F$18,MATCH(F45,Setup!$E$9:$E$18,0)),0))))</f>
        <v/>
      </c>
      <c r="H45" s="1" t="n"/>
    </row>
    <row r="46">
      <c r="A46" s="1" t="n"/>
      <c r="B46" s="30" t="n"/>
      <c r="C46" s="28" t="n"/>
      <c r="D46" s="28" t="n"/>
      <c r="E46" s="31" t="n"/>
      <c r="F46" s="29" t="n"/>
      <c r="G46" s="20">
        <f>IF(N(E46)=0,"",IF(N(E46)=0,0,E46*IF(F46="",1,IFERROR(INDEX(Setup!$F$9:$F$18,MATCH(F46,Setup!$E$9:$E$18,0)),0))))</f>
        <v/>
      </c>
      <c r="H46" s="1" t="n"/>
    </row>
    <row r="47">
      <c r="A47" s="1" t="n"/>
      <c r="B47" s="30" t="n"/>
      <c r="C47" s="28" t="n"/>
      <c r="D47" s="28" t="n"/>
      <c r="E47" s="31" t="n"/>
      <c r="F47" s="29" t="n"/>
      <c r="G47" s="20">
        <f>IF(N(E47)=0,"",IF(N(E47)=0,0,E47*IF(F47="",1,IFERROR(INDEX(Setup!$F$9:$F$18,MATCH(F47,Setup!$E$9:$E$18,0)),0))))</f>
        <v/>
      </c>
      <c r="H47" s="1" t="n"/>
    </row>
    <row r="48">
      <c r="A48" s="1" t="n"/>
      <c r="B48" s="30" t="n"/>
      <c r="C48" s="28" t="n"/>
      <c r="D48" s="28" t="n"/>
      <c r="E48" s="31" t="n"/>
      <c r="F48" s="29" t="n"/>
      <c r="G48" s="20">
        <f>IF(N(E48)=0,"",IF(N(E48)=0,0,E48*IF(F48="",1,IFERROR(INDEX(Setup!$F$9:$F$18,MATCH(F48,Setup!$E$9:$E$18,0)),0))))</f>
        <v/>
      </c>
      <c r="H48" s="1" t="n"/>
    </row>
    <row r="49">
      <c r="A49" s="1" t="n"/>
      <c r="B49" s="30" t="n"/>
      <c r="C49" s="28" t="n"/>
      <c r="D49" s="28" t="n"/>
      <c r="E49" s="31" t="n"/>
      <c r="F49" s="29" t="n"/>
      <c r="G49" s="20">
        <f>IF(N(E49)=0,"",IF(N(E49)=0,0,E49*IF(F49="",1,IFERROR(INDEX(Setup!$F$9:$F$18,MATCH(F49,Setup!$E$9:$E$18,0)),0))))</f>
        <v/>
      </c>
      <c r="H49" s="1" t="n"/>
    </row>
    <row r="50">
      <c r="A50" s="1" t="n"/>
      <c r="B50" s="30" t="n"/>
      <c r="C50" s="28" t="n"/>
      <c r="D50" s="28" t="n"/>
      <c r="E50" s="31" t="n"/>
      <c r="F50" s="29" t="n"/>
      <c r="G50" s="20">
        <f>IF(N(E50)=0,"",IF(N(E50)=0,0,E50*IF(F50="",1,IFERROR(INDEX(Setup!$F$9:$F$18,MATCH(F50,Setup!$E$9:$E$18,0)),0))))</f>
        <v/>
      </c>
      <c r="H50" s="1" t="n"/>
    </row>
    <row r="51">
      <c r="A51" s="1" t="n"/>
      <c r="B51" s="30" t="n"/>
      <c r="C51" s="28" t="n"/>
      <c r="D51" s="28" t="n"/>
      <c r="E51" s="31" t="n"/>
      <c r="F51" s="29" t="n"/>
      <c r="G51" s="20">
        <f>IF(N(E51)=0,"",IF(N(E51)=0,0,E51*IF(F51="",1,IFERROR(INDEX(Setup!$F$9:$F$18,MATCH(F51,Setup!$E$9:$E$18,0)),0))))</f>
        <v/>
      </c>
      <c r="H51" s="1" t="n"/>
    </row>
    <row r="52">
      <c r="A52" s="1" t="n"/>
      <c r="B52" s="30" t="n"/>
      <c r="C52" s="28" t="n"/>
      <c r="D52" s="28" t="n"/>
      <c r="E52" s="31" t="n"/>
      <c r="F52" s="29" t="n"/>
      <c r="G52" s="20">
        <f>IF(N(E52)=0,"",IF(N(E52)=0,0,E52*IF(F52="",1,IFERROR(INDEX(Setup!$F$9:$F$18,MATCH(F52,Setup!$E$9:$E$18,0)),0))))</f>
        <v/>
      </c>
      <c r="H52" s="1" t="n"/>
    </row>
    <row r="53">
      <c r="A53" s="1" t="n"/>
      <c r="B53" s="30" t="n"/>
      <c r="C53" s="28" t="n"/>
      <c r="D53" s="28" t="n"/>
      <c r="E53" s="31" t="n"/>
      <c r="F53" s="29" t="n"/>
      <c r="G53" s="20">
        <f>IF(N(E53)=0,"",IF(N(E53)=0,0,E53*IF(F53="",1,IFERROR(INDEX(Setup!$F$9:$F$18,MATCH(F53,Setup!$E$9:$E$18,0)),0))))</f>
        <v/>
      </c>
      <c r="H53" s="1" t="n"/>
    </row>
    <row r="54">
      <c r="A54" s="1" t="n"/>
      <c r="B54" s="30" t="n"/>
      <c r="C54" s="28" t="n"/>
      <c r="D54" s="28" t="n"/>
      <c r="E54" s="31" t="n"/>
      <c r="F54" s="29" t="n"/>
      <c r="G54" s="20">
        <f>IF(N(E54)=0,"",IF(N(E54)=0,0,E54*IF(F54="",1,IFERROR(INDEX(Setup!$F$9:$F$18,MATCH(F54,Setup!$E$9:$E$18,0)),0))))</f>
        <v/>
      </c>
      <c r="H54" s="1" t="n"/>
    </row>
    <row r="55">
      <c r="A55" s="1" t="n"/>
      <c r="B55" s="30" t="n"/>
      <c r="C55" s="28" t="n"/>
      <c r="D55" s="28" t="n"/>
      <c r="E55" s="31" t="n"/>
      <c r="F55" s="29" t="n"/>
      <c r="G55" s="20">
        <f>IF(N(E55)=0,"",IF(N(E55)=0,0,E55*IF(F55="",1,IFERROR(INDEX(Setup!$F$9:$F$18,MATCH(F55,Setup!$E$9:$E$18,0)),0))))</f>
        <v/>
      </c>
      <c r="H55" s="1" t="n"/>
    </row>
    <row r="56">
      <c r="A56" s="1" t="n"/>
      <c r="B56" s="30" t="n"/>
      <c r="C56" s="28" t="n"/>
      <c r="D56" s="28" t="n"/>
      <c r="E56" s="31" t="n"/>
      <c r="F56" s="29" t="n"/>
      <c r="G56" s="20">
        <f>IF(N(E56)=0,"",IF(N(E56)=0,0,E56*IF(F56="",1,IFERROR(INDEX(Setup!$F$9:$F$18,MATCH(F56,Setup!$E$9:$E$18,0)),0))))</f>
        <v/>
      </c>
      <c r="H56" s="1" t="n"/>
    </row>
    <row r="57">
      <c r="A57" s="1" t="n"/>
      <c r="B57" s="30" t="n"/>
      <c r="C57" s="28" t="n"/>
      <c r="D57" s="28" t="n"/>
      <c r="E57" s="31" t="n"/>
      <c r="F57" s="29" t="n"/>
      <c r="G57" s="20">
        <f>IF(N(E57)=0,"",IF(N(E57)=0,0,E57*IF(F57="",1,IFERROR(INDEX(Setup!$F$9:$F$18,MATCH(F57,Setup!$E$9:$E$18,0)),0))))</f>
        <v/>
      </c>
      <c r="H57" s="1" t="n"/>
    </row>
    <row r="58">
      <c r="A58" s="1" t="n"/>
      <c r="B58" s="30" t="n"/>
      <c r="C58" s="28" t="n"/>
      <c r="D58" s="28" t="n"/>
      <c r="E58" s="31" t="n"/>
      <c r="F58" s="29" t="n"/>
      <c r="G58" s="20">
        <f>IF(N(E58)=0,"",IF(N(E58)=0,0,E58*IF(F58="",1,IFERROR(INDEX(Setup!$F$9:$F$18,MATCH(F58,Setup!$E$9:$E$18,0)),0))))</f>
        <v/>
      </c>
      <c r="H58" s="1" t="n"/>
    </row>
    <row r="59">
      <c r="A59" s="1" t="n"/>
      <c r="B59" s="30" t="n"/>
      <c r="C59" s="28" t="n"/>
      <c r="D59" s="28" t="n"/>
      <c r="E59" s="31" t="n"/>
      <c r="F59" s="29" t="n"/>
      <c r="G59" s="20">
        <f>IF(N(E59)=0,"",IF(N(E59)=0,0,E59*IF(F59="",1,IFERROR(INDEX(Setup!$F$9:$F$18,MATCH(F59,Setup!$E$9:$E$18,0)),0))))</f>
        <v/>
      </c>
      <c r="H59" s="1" t="n"/>
    </row>
    <row r="60">
      <c r="A60" s="1" t="n"/>
      <c r="B60" s="30" t="n"/>
      <c r="C60" s="28" t="n"/>
      <c r="D60" s="28" t="n"/>
      <c r="E60" s="31" t="n"/>
      <c r="F60" s="29" t="n"/>
      <c r="G60" s="20">
        <f>IF(N(E60)=0,"",IF(N(E60)=0,0,E60*IF(F60="",1,IFERROR(INDEX(Setup!$F$9:$F$18,MATCH(F60,Setup!$E$9:$E$18,0)),0))))</f>
        <v/>
      </c>
      <c r="H60" s="1" t="n"/>
    </row>
    <row r="61">
      <c r="A61" s="1" t="n"/>
      <c r="B61" s="30" t="n"/>
      <c r="C61" s="28" t="n"/>
      <c r="D61" s="28" t="n"/>
      <c r="E61" s="31" t="n"/>
      <c r="F61" s="29" t="n"/>
      <c r="G61" s="20">
        <f>IF(N(E61)=0,"",IF(N(E61)=0,0,E61*IF(F61="",1,IFERROR(INDEX(Setup!$F$9:$F$18,MATCH(F61,Setup!$E$9:$E$18,0)),0))))</f>
        <v/>
      </c>
      <c r="H61" s="1" t="n"/>
    </row>
    <row r="62">
      <c r="A62" s="1" t="n"/>
      <c r="B62" s="30" t="n"/>
      <c r="C62" s="28" t="n"/>
      <c r="D62" s="28" t="n"/>
      <c r="E62" s="31" t="n"/>
      <c r="F62" s="29" t="n"/>
      <c r="G62" s="20">
        <f>IF(N(E62)=0,"",IF(N(E62)=0,0,E62*IF(F62="",1,IFERROR(INDEX(Setup!$F$9:$F$18,MATCH(F62,Setup!$E$9:$E$18,0)),0))))</f>
        <v/>
      </c>
      <c r="H62" s="1" t="n"/>
    </row>
    <row r="63">
      <c r="A63" s="1" t="n"/>
      <c r="B63" s="30" t="n"/>
      <c r="C63" s="28" t="n"/>
      <c r="D63" s="28" t="n"/>
      <c r="E63" s="31" t="n"/>
      <c r="F63" s="29" t="n"/>
      <c r="G63" s="20">
        <f>IF(N(E63)=0,"",IF(N(E63)=0,0,E63*IF(F63="",1,IFERROR(INDEX(Setup!$F$9:$F$18,MATCH(F63,Setup!$E$9:$E$18,0)),0))))</f>
        <v/>
      </c>
      <c r="H63" s="1" t="n"/>
    </row>
    <row r="64">
      <c r="A64" s="1" t="n"/>
      <c r="B64" s="30" t="n"/>
      <c r="C64" s="28" t="n"/>
      <c r="D64" s="28" t="n"/>
      <c r="E64" s="31" t="n"/>
      <c r="F64" s="29" t="n"/>
      <c r="G64" s="20">
        <f>IF(N(E64)=0,"",IF(N(E64)=0,0,E64*IF(F64="",1,IFERROR(INDEX(Setup!$F$9:$F$18,MATCH(F64,Setup!$E$9:$E$18,0)),0))))</f>
        <v/>
      </c>
      <c r="H64" s="1" t="n"/>
    </row>
    <row r="65">
      <c r="A65" s="1" t="n"/>
      <c r="B65" s="30" t="n"/>
      <c r="C65" s="28" t="n"/>
      <c r="D65" s="28" t="n"/>
      <c r="E65" s="31" t="n"/>
      <c r="F65" s="29" t="n"/>
      <c r="G65" s="20">
        <f>IF(N(E65)=0,"",IF(N(E65)=0,0,E65*IF(F65="",1,IFERROR(INDEX(Setup!$F$9:$F$18,MATCH(F65,Setup!$E$9:$E$18,0)),0))))</f>
        <v/>
      </c>
      <c r="H65" s="1" t="n"/>
    </row>
    <row r="66">
      <c r="A66" s="1" t="n"/>
      <c r="B66" s="30" t="n"/>
      <c r="C66" s="28" t="n"/>
      <c r="D66" s="28" t="n"/>
      <c r="E66" s="31" t="n"/>
      <c r="F66" s="29" t="n"/>
      <c r="G66" s="20">
        <f>IF(N(E66)=0,"",IF(N(E66)=0,0,E66*IF(F66="",1,IFERROR(INDEX(Setup!$F$9:$F$18,MATCH(F66,Setup!$E$9:$E$18,0)),0))))</f>
        <v/>
      </c>
      <c r="H66" s="1" t="n"/>
    </row>
    <row r="67">
      <c r="A67" s="1" t="n"/>
      <c r="B67" s="30" t="n"/>
      <c r="C67" s="28" t="n"/>
      <c r="D67" s="28" t="n"/>
      <c r="E67" s="31" t="n"/>
      <c r="F67" s="29" t="n"/>
      <c r="G67" s="20">
        <f>IF(N(E67)=0,"",IF(N(E67)=0,0,E67*IF(F67="",1,IFERROR(INDEX(Setup!$F$9:$F$18,MATCH(F67,Setup!$E$9:$E$18,0)),0))))</f>
        <v/>
      </c>
      <c r="H67" s="1" t="n"/>
    </row>
    <row r="68">
      <c r="A68" s="1" t="n"/>
      <c r="B68" s="30" t="n"/>
      <c r="C68" s="28" t="n"/>
      <c r="D68" s="28" t="n"/>
      <c r="E68" s="31" t="n"/>
      <c r="F68" s="29" t="n"/>
      <c r="G68" s="20">
        <f>IF(N(E68)=0,"",IF(N(E68)=0,0,E68*IF(F68="",1,IFERROR(INDEX(Setup!$F$9:$F$18,MATCH(F68,Setup!$E$9:$E$18,0)),0))))</f>
        <v/>
      </c>
      <c r="H68" s="1" t="n"/>
    </row>
    <row r="69">
      <c r="A69" s="1" t="n"/>
      <c r="B69" s="30" t="n"/>
      <c r="C69" s="28" t="n"/>
      <c r="D69" s="28" t="n"/>
      <c r="E69" s="31" t="n"/>
      <c r="F69" s="29" t="n"/>
      <c r="G69" s="20">
        <f>IF(N(E69)=0,"",IF(N(E69)=0,0,E69*IF(F69="",1,IFERROR(INDEX(Setup!$F$9:$F$18,MATCH(F69,Setup!$E$9:$E$18,0)),0))))</f>
        <v/>
      </c>
      <c r="H69" s="1" t="n"/>
    </row>
    <row r="70">
      <c r="A70" s="1" t="n"/>
      <c r="B70" s="30" t="n"/>
      <c r="C70" s="28" t="n"/>
      <c r="D70" s="28" t="n"/>
      <c r="E70" s="31" t="n"/>
      <c r="F70" s="29" t="n"/>
      <c r="G70" s="20">
        <f>IF(N(E70)=0,"",IF(N(E70)=0,0,E70*IF(F70="",1,IFERROR(INDEX(Setup!$F$9:$F$18,MATCH(F70,Setup!$E$9:$E$18,0)),0))))</f>
        <v/>
      </c>
      <c r="H70" s="1" t="n"/>
    </row>
    <row r="71">
      <c r="A71" s="1" t="n"/>
      <c r="B71" s="30" t="n"/>
      <c r="C71" s="28" t="n"/>
      <c r="D71" s="28" t="n"/>
      <c r="E71" s="31" t="n"/>
      <c r="F71" s="29" t="n"/>
      <c r="G71" s="20">
        <f>IF(N(E71)=0,"",IF(N(E71)=0,0,E71*IF(F71="",1,IFERROR(INDEX(Setup!$F$9:$F$18,MATCH(F71,Setup!$E$9:$E$18,0)),0))))</f>
        <v/>
      </c>
      <c r="H71" s="1" t="n"/>
    </row>
    <row r="72">
      <c r="A72" s="1" t="n"/>
      <c r="B72" s="30" t="n"/>
      <c r="C72" s="28" t="n"/>
      <c r="D72" s="28" t="n"/>
      <c r="E72" s="31" t="n"/>
      <c r="F72" s="29" t="n"/>
      <c r="G72" s="20">
        <f>IF(N(E72)=0,"",IF(N(E72)=0,0,E72*IF(F72="",1,IFERROR(INDEX(Setup!$F$9:$F$18,MATCH(F72,Setup!$E$9:$E$18,0)),0))))</f>
        <v/>
      </c>
      <c r="H72" s="1" t="n"/>
    </row>
    <row r="73">
      <c r="A73" s="1" t="n"/>
      <c r="B73" s="30" t="n"/>
      <c r="C73" s="28" t="n"/>
      <c r="D73" s="28" t="n"/>
      <c r="E73" s="31" t="n"/>
      <c r="F73" s="29" t="n"/>
      <c r="G73" s="20">
        <f>IF(N(E73)=0,"",IF(N(E73)=0,0,E73*IF(F73="",1,IFERROR(INDEX(Setup!$F$9:$F$18,MATCH(F73,Setup!$E$9:$E$18,0)),0))))</f>
        <v/>
      </c>
      <c r="H73" s="1" t="n"/>
    </row>
    <row r="74">
      <c r="A74" s="1" t="n"/>
      <c r="B74" s="30" t="n"/>
      <c r="C74" s="28" t="n"/>
      <c r="D74" s="28" t="n"/>
      <c r="E74" s="31" t="n"/>
      <c r="F74" s="29" t="n"/>
      <c r="G74" s="20">
        <f>IF(N(E74)=0,"",IF(N(E74)=0,0,E74*IF(F74="",1,IFERROR(INDEX(Setup!$F$9:$F$18,MATCH(F74,Setup!$E$9:$E$18,0)),0))))</f>
        <v/>
      </c>
      <c r="H74" s="1" t="n"/>
    </row>
    <row r="75">
      <c r="A75" s="1" t="n"/>
      <c r="B75" s="30" t="n"/>
      <c r="C75" s="28" t="n"/>
      <c r="D75" s="28" t="n"/>
      <c r="E75" s="31" t="n"/>
      <c r="F75" s="29" t="n"/>
      <c r="G75" s="20">
        <f>IF(N(E75)=0,"",IF(N(E75)=0,0,E75*IF(F75="",1,IFERROR(INDEX(Setup!$F$9:$F$18,MATCH(F75,Setup!$E$9:$E$18,0)),0))))</f>
        <v/>
      </c>
      <c r="H75" s="1" t="n"/>
    </row>
    <row r="76">
      <c r="A76" s="1" t="n"/>
      <c r="B76" s="30" t="n"/>
      <c r="C76" s="28" t="n"/>
      <c r="D76" s="28" t="n"/>
      <c r="E76" s="31" t="n"/>
      <c r="F76" s="29" t="n"/>
      <c r="G76" s="20">
        <f>IF(N(E76)=0,"",IF(N(E76)=0,0,E76*IF(F76="",1,IFERROR(INDEX(Setup!$F$9:$F$18,MATCH(F76,Setup!$E$9:$E$18,0)),0))))</f>
        <v/>
      </c>
      <c r="H76" s="1" t="n"/>
    </row>
    <row r="77">
      <c r="A77" s="1" t="n"/>
      <c r="B77" s="30" t="n"/>
      <c r="C77" s="28" t="n"/>
      <c r="D77" s="28" t="n"/>
      <c r="E77" s="31" t="n"/>
      <c r="F77" s="29" t="n"/>
      <c r="G77" s="20">
        <f>IF(N(E77)=0,"",IF(N(E77)=0,0,E77*IF(F77="",1,IFERROR(INDEX(Setup!$F$9:$F$18,MATCH(F77,Setup!$E$9:$E$18,0)),0))))</f>
        <v/>
      </c>
      <c r="H77" s="1" t="n"/>
    </row>
    <row r="78">
      <c r="A78" s="1" t="n"/>
      <c r="B78" s="30" t="n"/>
      <c r="C78" s="28" t="n"/>
      <c r="D78" s="28" t="n"/>
      <c r="E78" s="31" t="n"/>
      <c r="F78" s="29" t="n"/>
      <c r="G78" s="20">
        <f>IF(N(E78)=0,"",IF(N(E78)=0,0,E78*IF(F78="",1,IFERROR(INDEX(Setup!$F$9:$F$18,MATCH(F78,Setup!$E$9:$E$18,0)),0))))</f>
        <v/>
      </c>
      <c r="H78" s="1" t="n"/>
    </row>
    <row r="79">
      <c r="A79" s="1" t="n"/>
      <c r="B79" s="30" t="n"/>
      <c r="C79" s="28" t="n"/>
      <c r="D79" s="28" t="n"/>
      <c r="E79" s="31" t="n"/>
      <c r="F79" s="29" t="n"/>
      <c r="G79" s="20">
        <f>IF(N(E79)=0,"",IF(N(E79)=0,0,E79*IF(F79="",1,IFERROR(INDEX(Setup!$F$9:$F$18,MATCH(F79,Setup!$E$9:$E$18,0)),0))))</f>
        <v/>
      </c>
      <c r="H79" s="1" t="n"/>
    </row>
    <row r="80">
      <c r="A80" s="1" t="n"/>
      <c r="B80" s="30" t="n"/>
      <c r="C80" s="28" t="n"/>
      <c r="D80" s="28" t="n"/>
      <c r="E80" s="31" t="n"/>
      <c r="F80" s="29" t="n"/>
      <c r="G80" s="20">
        <f>IF(N(E80)=0,"",IF(N(E80)=0,0,E80*IF(F80="",1,IFERROR(INDEX(Setup!$F$9:$F$18,MATCH(F80,Setup!$E$9:$E$18,0)),0))))</f>
        <v/>
      </c>
      <c r="H80" s="1" t="n"/>
    </row>
    <row r="81">
      <c r="A81" s="1" t="n"/>
      <c r="B81" s="30" t="n"/>
      <c r="C81" s="28" t="n"/>
      <c r="D81" s="28" t="n"/>
      <c r="E81" s="31" t="n"/>
      <c r="F81" s="29" t="n"/>
      <c r="G81" s="20">
        <f>IF(N(E81)=0,"",IF(N(E81)=0,0,E81*IF(F81="",1,IFERROR(INDEX(Setup!$F$9:$F$18,MATCH(F81,Setup!$E$9:$E$18,0)),0))))</f>
        <v/>
      </c>
      <c r="H81" s="1" t="n"/>
    </row>
    <row r="82">
      <c r="A82" s="1" t="n"/>
      <c r="B82" s="30" t="n"/>
      <c r="C82" s="28" t="n"/>
      <c r="D82" s="28" t="n"/>
      <c r="E82" s="31" t="n"/>
      <c r="F82" s="29" t="n"/>
      <c r="G82" s="20">
        <f>IF(N(E82)=0,"",IF(N(E82)=0,0,E82*IF(F82="",1,IFERROR(INDEX(Setup!$F$9:$F$18,MATCH(F82,Setup!$E$9:$E$18,0)),0))))</f>
        <v/>
      </c>
      <c r="H82" s="1" t="n"/>
    </row>
    <row r="83">
      <c r="A83" s="1" t="n"/>
      <c r="B83" s="30" t="n"/>
      <c r="C83" s="28" t="n"/>
      <c r="D83" s="28" t="n"/>
      <c r="E83" s="31" t="n"/>
      <c r="F83" s="29" t="n"/>
      <c r="G83" s="20">
        <f>IF(N(E83)=0,"",IF(N(E83)=0,0,E83*IF(F83="",1,IFERROR(INDEX(Setup!$F$9:$F$18,MATCH(F83,Setup!$E$9:$E$18,0)),0))))</f>
        <v/>
      </c>
      <c r="H83" s="1" t="n"/>
    </row>
    <row r="84">
      <c r="A84" s="1" t="n"/>
      <c r="B84" s="30" t="n"/>
      <c r="C84" s="28" t="n"/>
      <c r="D84" s="28" t="n"/>
      <c r="E84" s="31" t="n"/>
      <c r="F84" s="29" t="n"/>
      <c r="G84" s="20">
        <f>IF(N(E84)=0,"",IF(N(E84)=0,0,E84*IF(F84="",1,IFERROR(INDEX(Setup!$F$9:$F$18,MATCH(F84,Setup!$E$9:$E$18,0)),0))))</f>
        <v/>
      </c>
      <c r="H84" s="1" t="n"/>
    </row>
    <row r="85">
      <c r="A85" s="1" t="n"/>
      <c r="B85" s="30" t="n"/>
      <c r="C85" s="28" t="n"/>
      <c r="D85" s="28" t="n"/>
      <c r="E85" s="31" t="n"/>
      <c r="F85" s="29" t="n"/>
      <c r="G85" s="20">
        <f>IF(N(E85)=0,"",IF(N(E85)=0,0,E85*IF(F85="",1,IFERROR(INDEX(Setup!$F$9:$F$18,MATCH(F85,Setup!$E$9:$E$18,0)),0))))</f>
        <v/>
      </c>
      <c r="H85" s="1" t="n"/>
    </row>
    <row r="86">
      <c r="A86" s="1" t="n"/>
      <c r="B86" s="30" t="n"/>
      <c r="C86" s="28" t="n"/>
      <c r="D86" s="28" t="n"/>
      <c r="E86" s="31" t="n"/>
      <c r="F86" s="29" t="n"/>
      <c r="G86" s="20">
        <f>IF(N(E86)=0,"",IF(N(E86)=0,0,E86*IF(F86="",1,IFERROR(INDEX(Setup!$F$9:$F$18,MATCH(F86,Setup!$E$9:$E$18,0)),0))))</f>
        <v/>
      </c>
      <c r="H86" s="1" t="n"/>
    </row>
    <row r="87">
      <c r="A87" s="1" t="n"/>
      <c r="B87" s="30" t="n"/>
      <c r="C87" s="28" t="n"/>
      <c r="D87" s="28" t="n"/>
      <c r="E87" s="31" t="n"/>
      <c r="F87" s="29" t="n"/>
      <c r="G87" s="20">
        <f>IF(N(E87)=0,"",IF(N(E87)=0,0,E87*IF(F87="",1,IFERROR(INDEX(Setup!$F$9:$F$18,MATCH(F87,Setup!$E$9:$E$18,0)),0))))</f>
        <v/>
      </c>
      <c r="H87" s="1" t="n"/>
    </row>
    <row r="88">
      <c r="A88" s="1" t="n"/>
      <c r="B88" s="30" t="n"/>
      <c r="C88" s="28" t="n"/>
      <c r="D88" s="28" t="n"/>
      <c r="E88" s="31" t="n"/>
      <c r="F88" s="29" t="n"/>
      <c r="G88" s="20">
        <f>IF(N(E88)=0,"",IF(N(E88)=0,0,E88*IF(F88="",1,IFERROR(INDEX(Setup!$F$9:$F$18,MATCH(F88,Setup!$E$9:$E$18,0)),0))))</f>
        <v/>
      </c>
      <c r="H88" s="1" t="n"/>
    </row>
    <row r="89">
      <c r="A89" s="1" t="n"/>
      <c r="B89" s="30" t="n"/>
      <c r="C89" s="28" t="n"/>
      <c r="D89" s="28" t="n"/>
      <c r="E89" s="31" t="n"/>
      <c r="F89" s="29" t="n"/>
      <c r="G89" s="20">
        <f>IF(N(E89)=0,"",IF(N(E89)=0,0,E89*IF(F89="",1,IFERROR(INDEX(Setup!$F$9:$F$18,MATCH(F89,Setup!$E$9:$E$18,0)),0))))</f>
        <v/>
      </c>
      <c r="H89" s="1" t="n"/>
    </row>
    <row r="90">
      <c r="A90" s="1" t="n"/>
      <c r="B90" s="30" t="n"/>
      <c r="C90" s="28" t="n"/>
      <c r="D90" s="28" t="n"/>
      <c r="E90" s="31" t="n"/>
      <c r="F90" s="29" t="n"/>
      <c r="G90" s="20">
        <f>IF(N(E90)=0,"",IF(N(E90)=0,0,E90*IF(F90="",1,IFERROR(INDEX(Setup!$F$9:$F$18,MATCH(F90,Setup!$E$9:$E$18,0)),0))))</f>
        <v/>
      </c>
      <c r="H90" s="1" t="n"/>
    </row>
    <row r="91">
      <c r="A91" s="1" t="n"/>
      <c r="B91" s="30" t="n"/>
      <c r="C91" s="28" t="n"/>
      <c r="D91" s="28" t="n"/>
      <c r="E91" s="31" t="n"/>
      <c r="F91" s="29" t="n"/>
      <c r="G91" s="20">
        <f>IF(N(E91)=0,"",IF(N(E91)=0,0,E91*IF(F91="",1,IFERROR(INDEX(Setup!$F$9:$F$18,MATCH(F91,Setup!$E$9:$E$18,0)),0))))</f>
        <v/>
      </c>
      <c r="H91" s="1" t="n"/>
    </row>
    <row r="92">
      <c r="A92" s="1" t="n"/>
      <c r="B92" s="30" t="n"/>
      <c r="C92" s="28" t="n"/>
      <c r="D92" s="28" t="n"/>
      <c r="E92" s="31" t="n"/>
      <c r="F92" s="29" t="n"/>
      <c r="G92" s="20">
        <f>IF(N(E92)=0,"",IF(N(E92)=0,0,E92*IF(F92="",1,IFERROR(INDEX(Setup!$F$9:$F$18,MATCH(F92,Setup!$E$9:$E$18,0)),0))))</f>
        <v/>
      </c>
      <c r="H92" s="1" t="n"/>
    </row>
    <row r="93">
      <c r="A93" s="1" t="n"/>
      <c r="B93" s="30" t="n"/>
      <c r="C93" s="28" t="n"/>
      <c r="D93" s="28" t="n"/>
      <c r="E93" s="31" t="n"/>
      <c r="F93" s="29" t="n"/>
      <c r="G93" s="20">
        <f>IF(N(E93)=0,"",IF(N(E93)=0,0,E93*IF(F93="",1,IFERROR(INDEX(Setup!$F$9:$F$18,MATCH(F93,Setup!$E$9:$E$18,0)),0))))</f>
        <v/>
      </c>
      <c r="H93" s="1" t="n"/>
    </row>
    <row r="94">
      <c r="A94" s="1" t="n"/>
      <c r="B94" s="30" t="n"/>
      <c r="C94" s="28" t="n"/>
      <c r="D94" s="28" t="n"/>
      <c r="E94" s="31" t="n"/>
      <c r="F94" s="29" t="n"/>
      <c r="G94" s="20">
        <f>IF(N(E94)=0,"",IF(N(E94)=0,0,E94*IF(F94="",1,IFERROR(INDEX(Setup!$F$9:$F$18,MATCH(F94,Setup!$E$9:$E$18,0)),0))))</f>
        <v/>
      </c>
      <c r="H94" s="1" t="n"/>
    </row>
    <row r="95">
      <c r="A95" s="1" t="n"/>
      <c r="B95" s="30" t="n"/>
      <c r="C95" s="28" t="n"/>
      <c r="D95" s="28" t="n"/>
      <c r="E95" s="31" t="n"/>
      <c r="F95" s="29" t="n"/>
      <c r="G95" s="20">
        <f>IF(N(E95)=0,"",IF(N(E95)=0,0,E95*IF(F95="",1,IFERROR(INDEX(Setup!$F$9:$F$18,MATCH(F95,Setup!$E$9:$E$18,0)),0))))</f>
        <v/>
      </c>
      <c r="H95" s="1" t="n"/>
    </row>
    <row r="96">
      <c r="A96" s="1" t="n"/>
      <c r="B96" s="30" t="n"/>
      <c r="C96" s="28" t="n"/>
      <c r="D96" s="28" t="n"/>
      <c r="E96" s="31" t="n"/>
      <c r="F96" s="29" t="n"/>
      <c r="G96" s="20">
        <f>IF(N(E96)=0,"",IF(N(E96)=0,0,E96*IF(F96="",1,IFERROR(INDEX(Setup!$F$9:$F$18,MATCH(F96,Setup!$E$9:$E$18,0)),0))))</f>
        <v/>
      </c>
      <c r="H96" s="1" t="n"/>
    </row>
    <row r="97">
      <c r="A97" s="1" t="n"/>
      <c r="B97" s="30" t="n"/>
      <c r="C97" s="28" t="n"/>
      <c r="D97" s="28" t="n"/>
      <c r="E97" s="31" t="n"/>
      <c r="F97" s="29" t="n"/>
      <c r="G97" s="20">
        <f>IF(N(E97)=0,"",IF(N(E97)=0,0,E97*IF(F97="",1,IFERROR(INDEX(Setup!$F$9:$F$18,MATCH(F97,Setup!$E$9:$E$18,0)),0))))</f>
        <v/>
      </c>
      <c r="H97" s="1" t="n"/>
    </row>
    <row r="98">
      <c r="A98" s="1" t="n"/>
      <c r="B98" s="30" t="n"/>
      <c r="C98" s="28" t="n"/>
      <c r="D98" s="28" t="n"/>
      <c r="E98" s="31" t="n"/>
      <c r="F98" s="29" t="n"/>
      <c r="G98" s="20">
        <f>IF(N(E98)=0,"",IF(N(E98)=0,0,E98*IF(F98="",1,IFERROR(INDEX(Setup!$F$9:$F$18,MATCH(F98,Setup!$E$9:$E$18,0)),0))))</f>
        <v/>
      </c>
      <c r="H98" s="1" t="n"/>
    </row>
    <row r="99">
      <c r="A99" s="1" t="n"/>
      <c r="B99" s="30" t="n"/>
      <c r="C99" s="28" t="n"/>
      <c r="D99" s="28" t="n"/>
      <c r="E99" s="31" t="n"/>
      <c r="F99" s="29" t="n"/>
      <c r="G99" s="20">
        <f>IF(N(E99)=0,"",IF(N(E99)=0,0,E99*IF(F99="",1,IFERROR(INDEX(Setup!$F$9:$F$18,MATCH(F99,Setup!$E$9:$E$18,0)),0))))</f>
        <v/>
      </c>
      <c r="H99" s="1" t="n"/>
    </row>
    <row r="100">
      <c r="A100" s="1" t="n"/>
      <c r="B100" s="30" t="n"/>
      <c r="C100" s="28" t="n"/>
      <c r="D100" s="28" t="n"/>
      <c r="E100" s="31" t="n"/>
      <c r="F100" s="29" t="n"/>
      <c r="G100" s="20">
        <f>IF(N(E100)=0,"",IF(N(E100)=0,0,E100*IF(F100="",1,IFERROR(INDEX(Setup!$F$9:$F$18,MATCH(F100,Setup!$E$9:$E$18,0)),0))))</f>
        <v/>
      </c>
      <c r="H100" s="1" t="n"/>
    </row>
    <row r="101">
      <c r="A101" s="1" t="n"/>
      <c r="B101" s="30" t="n"/>
      <c r="C101" s="28" t="n"/>
      <c r="D101" s="28" t="n"/>
      <c r="E101" s="31" t="n"/>
      <c r="F101" s="29" t="n"/>
      <c r="G101" s="20">
        <f>IF(N(E101)=0,"",IF(N(E101)=0,0,E101*IF(F101="",1,IFERROR(INDEX(Setup!$F$9:$F$18,MATCH(F101,Setup!$E$9:$E$18,0)),0))))</f>
        <v/>
      </c>
      <c r="H101" s="1" t="n"/>
    </row>
    <row r="102">
      <c r="A102" s="1" t="n"/>
      <c r="B102" s="30" t="n"/>
      <c r="C102" s="28" t="n"/>
      <c r="D102" s="28" t="n"/>
      <c r="E102" s="31" t="n"/>
      <c r="F102" s="29" t="n"/>
      <c r="G102" s="20">
        <f>IF(N(E102)=0,"",IF(N(E102)=0,0,E102*IF(F102="",1,IFERROR(INDEX(Setup!$F$9:$F$18,MATCH(F102,Setup!$E$9:$E$18,0)),0))))</f>
        <v/>
      </c>
      <c r="H102" s="1" t="n"/>
    </row>
    <row r="103">
      <c r="A103" s="1" t="n"/>
      <c r="B103" s="30" t="n"/>
      <c r="C103" s="28" t="n"/>
      <c r="D103" s="28" t="n"/>
      <c r="E103" s="31" t="n"/>
      <c r="F103" s="29" t="n"/>
      <c r="G103" s="20">
        <f>IF(N(E103)=0,"",IF(N(E103)=0,0,E103*IF(F103="",1,IFERROR(INDEX(Setup!$F$9:$F$18,MATCH(F103,Setup!$E$9:$E$18,0)),0))))</f>
        <v/>
      </c>
      <c r="H103" s="1" t="n"/>
    </row>
    <row r="104">
      <c r="A104" s="1" t="n"/>
      <c r="B104" s="30" t="n"/>
      <c r="C104" s="28" t="n"/>
      <c r="D104" s="28" t="n"/>
      <c r="E104" s="31" t="n"/>
      <c r="F104" s="29" t="n"/>
      <c r="G104" s="20">
        <f>IF(N(E104)=0,"",IF(N(E104)=0,0,E104*IF(F104="",1,IFERROR(INDEX(Setup!$F$9:$F$18,MATCH(F104,Setup!$E$9:$E$18,0)),0))))</f>
        <v/>
      </c>
      <c r="H104" s="1" t="n"/>
    </row>
    <row r="105">
      <c r="A105" s="1" t="n"/>
      <c r="B105" s="30" t="n"/>
      <c r="C105" s="28" t="n"/>
      <c r="D105" s="28" t="n"/>
      <c r="E105" s="31" t="n"/>
      <c r="F105" s="29" t="n"/>
      <c r="G105" s="20">
        <f>IF(N(E105)=0,"",IF(N(E105)=0,0,E105*IF(F105="",1,IFERROR(INDEX(Setup!$F$9:$F$18,MATCH(F105,Setup!$E$9:$E$18,0)),0))))</f>
        <v/>
      </c>
      <c r="H105" s="1" t="n"/>
    </row>
    <row r="106">
      <c r="A106" s="1" t="n"/>
      <c r="B106" s="30" t="n"/>
      <c r="C106" s="28" t="n"/>
      <c r="D106" s="28" t="n"/>
      <c r="E106" s="31" t="n"/>
      <c r="F106" s="29" t="n"/>
      <c r="G106" s="20">
        <f>IF(N(E106)=0,"",IF(N(E106)=0,0,E106*IF(F106="",1,IFERROR(INDEX(Setup!$F$9:$F$18,MATCH(F106,Setup!$E$9:$E$18,0)),0))))</f>
        <v/>
      </c>
      <c r="H106" s="1" t="n"/>
    </row>
    <row r="107">
      <c r="A107" s="1" t="n"/>
      <c r="B107" s="30" t="n"/>
      <c r="C107" s="28" t="n"/>
      <c r="D107" s="28" t="n"/>
      <c r="E107" s="31" t="n"/>
      <c r="F107" s="29" t="n"/>
      <c r="G107" s="20">
        <f>IF(N(E107)=0,"",IF(N(E107)=0,0,E107*IF(F107="",1,IFERROR(INDEX(Setup!$F$9:$F$18,MATCH(F107,Setup!$E$9:$E$18,0)),0))))</f>
        <v/>
      </c>
      <c r="H107" s="1" t="n"/>
    </row>
    <row r="108">
      <c r="A108" s="1" t="n"/>
      <c r="B108" s="30" t="n"/>
      <c r="C108" s="28" t="n"/>
      <c r="D108" s="28" t="n"/>
      <c r="E108" s="31" t="n"/>
      <c r="F108" s="29" t="n"/>
      <c r="G108" s="20">
        <f>IF(N(E108)=0,"",IF(N(E108)=0,0,E108*IF(F108="",1,IFERROR(INDEX(Setup!$F$9:$F$18,MATCH(F108,Setup!$E$9:$E$18,0)),0))))</f>
        <v/>
      </c>
      <c r="H108" s="1" t="n"/>
    </row>
    <row r="109">
      <c r="A109" s="1" t="n"/>
      <c r="B109" s="30" t="n"/>
      <c r="C109" s="28" t="n"/>
      <c r="D109" s="28" t="n"/>
      <c r="E109" s="31" t="n"/>
      <c r="F109" s="29" t="n"/>
      <c r="G109" s="20">
        <f>IF(N(E109)=0,"",IF(N(E109)=0,0,E109*IF(F109="",1,IFERROR(INDEX(Setup!$F$9:$F$18,MATCH(F109,Setup!$E$9:$E$18,0)),0))))</f>
        <v/>
      </c>
      <c r="H109" s="1" t="n"/>
    </row>
    <row r="110">
      <c r="A110" s="1" t="n"/>
      <c r="B110" s="30" t="n"/>
      <c r="C110" s="28" t="n"/>
      <c r="D110" s="28" t="n"/>
      <c r="E110" s="31" t="n"/>
      <c r="F110" s="29" t="n"/>
      <c r="G110" s="20">
        <f>IF(N(E110)=0,"",IF(N(E110)=0,0,E110*IF(F110="",1,IFERROR(INDEX(Setup!$F$9:$F$18,MATCH(F110,Setup!$E$9:$E$18,0)),0))))</f>
        <v/>
      </c>
      <c r="H110" s="1" t="n"/>
    </row>
    <row r="111">
      <c r="A111" s="1" t="n"/>
      <c r="B111" s="30" t="n"/>
      <c r="C111" s="28" t="n"/>
      <c r="D111" s="28" t="n"/>
      <c r="E111" s="31" t="n"/>
      <c r="F111" s="29" t="n"/>
      <c r="G111" s="20">
        <f>IF(N(E111)=0,"",IF(N(E111)=0,0,E111*IF(F111="",1,IFERROR(INDEX(Setup!$F$9:$F$18,MATCH(F111,Setup!$E$9:$E$18,0)),0))))</f>
        <v/>
      </c>
      <c r="H111" s="1" t="n"/>
    </row>
    <row r="112">
      <c r="A112" s="1" t="n"/>
      <c r="B112" s="30" t="n"/>
      <c r="C112" s="28" t="n"/>
      <c r="D112" s="28" t="n"/>
      <c r="E112" s="31" t="n"/>
      <c r="F112" s="29" t="n"/>
      <c r="G112" s="20">
        <f>IF(N(E112)=0,"",IF(N(E112)=0,0,E112*IF(F112="",1,IFERROR(INDEX(Setup!$F$9:$F$18,MATCH(F112,Setup!$E$9:$E$18,0)),0))))</f>
        <v/>
      </c>
      <c r="H112" s="1" t="n"/>
    </row>
    <row r="113">
      <c r="A113" s="1" t="n"/>
      <c r="B113" s="30" t="n"/>
      <c r="C113" s="28" t="n"/>
      <c r="D113" s="28" t="n"/>
      <c r="E113" s="31" t="n"/>
      <c r="F113" s="29" t="n"/>
      <c r="G113" s="20">
        <f>IF(N(E113)=0,"",IF(N(E113)=0,0,E113*IF(F113="",1,IFERROR(INDEX(Setup!$F$9:$F$18,MATCH(F113,Setup!$E$9:$E$18,0)),0))))</f>
        <v/>
      </c>
      <c r="H113" s="1" t="n"/>
    </row>
    <row r="114">
      <c r="A114" s="1" t="n"/>
      <c r="B114" s="30" t="n"/>
      <c r="C114" s="28" t="n"/>
      <c r="D114" s="28" t="n"/>
      <c r="E114" s="31" t="n"/>
      <c r="F114" s="29" t="n"/>
      <c r="G114" s="20">
        <f>IF(N(E114)=0,"",IF(N(E114)=0,0,E114*IF(F114="",1,IFERROR(INDEX(Setup!$F$9:$F$18,MATCH(F114,Setup!$E$9:$E$18,0)),0))))</f>
        <v/>
      </c>
      <c r="H114" s="1" t="n"/>
    </row>
    <row r="115">
      <c r="A115" s="1" t="n"/>
      <c r="B115" s="30" t="n"/>
      <c r="C115" s="28" t="n"/>
      <c r="D115" s="28" t="n"/>
      <c r="E115" s="31" t="n"/>
      <c r="F115" s="29" t="n"/>
      <c r="G115" s="20">
        <f>IF(N(E115)=0,"",IF(N(E115)=0,0,E115*IF(F115="",1,IFERROR(INDEX(Setup!$F$9:$F$18,MATCH(F115,Setup!$E$9:$E$18,0)),0))))</f>
        <v/>
      </c>
      <c r="H115" s="1" t="n"/>
    </row>
    <row r="116">
      <c r="A116" s="1" t="n"/>
      <c r="B116" s="30" t="n"/>
      <c r="C116" s="28" t="n"/>
      <c r="D116" s="28" t="n"/>
      <c r="E116" s="31" t="n"/>
      <c r="F116" s="29" t="n"/>
      <c r="G116" s="20">
        <f>IF(N(E116)=0,"",IF(N(E116)=0,0,E116*IF(F116="",1,IFERROR(INDEX(Setup!$F$9:$F$18,MATCH(F116,Setup!$E$9:$E$18,0)),0))))</f>
        <v/>
      </c>
      <c r="H116" s="1" t="n"/>
    </row>
    <row r="117">
      <c r="A117" s="1" t="n"/>
      <c r="B117" s="30" t="n"/>
      <c r="C117" s="28" t="n"/>
      <c r="D117" s="28" t="n"/>
      <c r="E117" s="31" t="n"/>
      <c r="F117" s="29" t="n"/>
      <c r="G117" s="20">
        <f>IF(N(E117)=0,"",IF(N(E117)=0,0,E117*IF(F117="",1,IFERROR(INDEX(Setup!$F$9:$F$18,MATCH(F117,Setup!$E$9:$E$18,0)),0))))</f>
        <v/>
      </c>
      <c r="H117" s="1" t="n"/>
    </row>
    <row r="118">
      <c r="A118" s="1" t="n"/>
      <c r="B118" s="30" t="n"/>
      <c r="C118" s="28" t="n"/>
      <c r="D118" s="28" t="n"/>
      <c r="E118" s="31" t="n"/>
      <c r="F118" s="29" t="n"/>
      <c r="G118" s="20">
        <f>IF(N(E118)=0,"",IF(N(E118)=0,0,E118*IF(F118="",1,IFERROR(INDEX(Setup!$F$9:$F$18,MATCH(F118,Setup!$E$9:$E$18,0)),0))))</f>
        <v/>
      </c>
      <c r="H118" s="1" t="n"/>
    </row>
    <row r="119">
      <c r="A119" s="1" t="n"/>
      <c r="B119" s="30" t="n"/>
      <c r="C119" s="28" t="n"/>
      <c r="D119" s="28" t="n"/>
      <c r="E119" s="31" t="n"/>
      <c r="F119" s="29" t="n"/>
      <c r="G119" s="20">
        <f>IF(N(E119)=0,"",IF(N(E119)=0,0,E119*IF(F119="",1,IFERROR(INDEX(Setup!$F$9:$F$18,MATCH(F119,Setup!$E$9:$E$18,0)),0))))</f>
        <v/>
      </c>
      <c r="H119" s="1" t="n"/>
    </row>
    <row r="120">
      <c r="A120" s="1" t="n"/>
      <c r="B120" s="30" t="n"/>
      <c r="C120" s="28" t="n"/>
      <c r="D120" s="28" t="n"/>
      <c r="E120" s="31" t="n"/>
      <c r="F120" s="29" t="n"/>
      <c r="G120" s="20">
        <f>IF(N(E120)=0,"",IF(N(E120)=0,0,E120*IF(F120="",1,IFERROR(INDEX(Setup!$F$9:$F$18,MATCH(F120,Setup!$E$9:$E$18,0)),0))))</f>
        <v/>
      </c>
      <c r="H120" s="1" t="n"/>
    </row>
    <row r="121">
      <c r="A121" s="1" t="n"/>
      <c r="B121" s="30" t="n"/>
      <c r="C121" s="28" t="n"/>
      <c r="D121" s="28" t="n"/>
      <c r="E121" s="31" t="n"/>
      <c r="F121" s="29" t="n"/>
      <c r="G121" s="20">
        <f>IF(N(E121)=0,"",IF(N(E121)=0,0,E121*IF(F121="",1,IFERROR(INDEX(Setup!$F$9:$F$18,MATCH(F121,Setup!$E$9:$E$18,0)),0))))</f>
        <v/>
      </c>
      <c r="H121" s="1" t="n"/>
    </row>
    <row r="122">
      <c r="A122" s="1" t="n"/>
      <c r="B122" s="30" t="n"/>
      <c r="C122" s="28" t="n"/>
      <c r="D122" s="28" t="n"/>
      <c r="E122" s="31" t="n"/>
      <c r="F122" s="29" t="n"/>
      <c r="G122" s="20">
        <f>IF(N(E122)=0,"",IF(N(E122)=0,0,E122*IF(F122="",1,IFERROR(INDEX(Setup!$F$9:$F$18,MATCH(F122,Setup!$E$9:$E$18,0)),0))))</f>
        <v/>
      </c>
      <c r="H122" s="1" t="n"/>
    </row>
    <row r="123">
      <c r="A123" s="1" t="n"/>
      <c r="B123" s="30" t="n"/>
      <c r="C123" s="28" t="n"/>
      <c r="D123" s="28" t="n"/>
      <c r="E123" s="31" t="n"/>
      <c r="F123" s="29" t="n"/>
      <c r="G123" s="20">
        <f>IF(N(E123)=0,"",IF(N(E123)=0,0,E123*IF(F123="",1,IFERROR(INDEX(Setup!$F$9:$F$18,MATCH(F123,Setup!$E$9:$E$18,0)),0))))</f>
        <v/>
      </c>
      <c r="H123" s="1" t="n"/>
    </row>
    <row r="124">
      <c r="A124" s="1" t="n"/>
      <c r="B124" s="30" t="n"/>
      <c r="C124" s="28" t="n"/>
      <c r="D124" s="28" t="n"/>
      <c r="E124" s="31" t="n"/>
      <c r="F124" s="29" t="n"/>
      <c r="G124" s="20">
        <f>IF(N(E124)=0,"",IF(N(E124)=0,0,E124*IF(F124="",1,IFERROR(INDEX(Setup!$F$9:$F$18,MATCH(F124,Setup!$E$9:$E$18,0)),0))))</f>
        <v/>
      </c>
      <c r="H124" s="1" t="n"/>
    </row>
    <row r="125">
      <c r="A125" s="1" t="n"/>
      <c r="B125" s="30" t="n"/>
      <c r="C125" s="28" t="n"/>
      <c r="D125" s="28" t="n"/>
      <c r="E125" s="31" t="n"/>
      <c r="F125" s="29" t="n"/>
      <c r="G125" s="20">
        <f>IF(N(E125)=0,"",IF(N(E125)=0,0,E125*IF(F125="",1,IFERROR(INDEX(Setup!$F$9:$F$18,MATCH(F125,Setup!$E$9:$E$18,0)),0))))</f>
        <v/>
      </c>
      <c r="H125" s="1" t="n"/>
    </row>
    <row r="126">
      <c r="A126" s="1" t="n"/>
      <c r="B126" s="30" t="n"/>
      <c r="C126" s="28" t="n"/>
      <c r="D126" s="28" t="n"/>
      <c r="E126" s="31" t="n"/>
      <c r="F126" s="29" t="n"/>
      <c r="G126" s="20">
        <f>IF(N(E126)=0,"",IF(N(E126)=0,0,E126*IF(F126="",1,IFERROR(INDEX(Setup!$F$9:$F$18,MATCH(F126,Setup!$E$9:$E$18,0)),0))))</f>
        <v/>
      </c>
      <c r="H126" s="1" t="n"/>
    </row>
    <row r="127">
      <c r="A127" s="1" t="n"/>
      <c r="B127" s="30" t="n"/>
      <c r="C127" s="28" t="n"/>
      <c r="D127" s="28" t="n"/>
      <c r="E127" s="31" t="n"/>
      <c r="F127" s="29" t="n"/>
      <c r="G127" s="20">
        <f>IF(N(E127)=0,"",IF(N(E127)=0,0,E127*IF(F127="",1,IFERROR(INDEX(Setup!$F$9:$F$18,MATCH(F127,Setup!$E$9:$E$18,0)),0))))</f>
        <v/>
      </c>
      <c r="H127" s="1" t="n"/>
    </row>
    <row r="128">
      <c r="A128" s="1" t="n"/>
      <c r="B128" s="30" t="n"/>
      <c r="C128" s="28" t="n"/>
      <c r="D128" s="28" t="n"/>
      <c r="E128" s="31" t="n"/>
      <c r="F128" s="29" t="n"/>
      <c r="G128" s="20">
        <f>IF(N(E128)=0,"",IF(N(E128)=0,0,E128*IF(F128="",1,IFERROR(INDEX(Setup!$F$9:$F$18,MATCH(F128,Setup!$E$9:$E$18,0)),0))))</f>
        <v/>
      </c>
      <c r="H128" s="1" t="n"/>
    </row>
    <row r="129">
      <c r="A129" s="1" t="n"/>
      <c r="B129" s="30" t="n"/>
      <c r="C129" s="28" t="n"/>
      <c r="D129" s="28" t="n"/>
      <c r="E129" s="31" t="n"/>
      <c r="F129" s="29" t="n"/>
      <c r="G129" s="20">
        <f>IF(N(E129)=0,"",IF(N(E129)=0,0,E129*IF(F129="",1,IFERROR(INDEX(Setup!$F$9:$F$18,MATCH(F129,Setup!$E$9:$E$18,0)),0))))</f>
        <v/>
      </c>
      <c r="H129" s="1" t="n"/>
    </row>
    <row r="130">
      <c r="A130" s="1" t="n"/>
      <c r="B130" s="30" t="n"/>
      <c r="C130" s="28" t="n"/>
      <c r="D130" s="28" t="n"/>
      <c r="E130" s="31" t="n"/>
      <c r="F130" s="29" t="n"/>
      <c r="G130" s="20">
        <f>IF(N(E130)=0,"",IF(N(E130)=0,0,E130*IF(F130="",1,IFERROR(INDEX(Setup!$F$9:$F$18,MATCH(F130,Setup!$E$9:$E$18,0)),0))))</f>
        <v/>
      </c>
      <c r="H130" s="1" t="n"/>
    </row>
    <row r="131">
      <c r="A131" s="1" t="n"/>
      <c r="B131" s="30" t="n"/>
      <c r="C131" s="28" t="n"/>
      <c r="D131" s="28" t="n"/>
      <c r="E131" s="31" t="n"/>
      <c r="F131" s="29" t="n"/>
      <c r="G131" s="20">
        <f>IF(N(E131)=0,"",IF(N(E131)=0,0,E131*IF(F131="",1,IFERROR(INDEX(Setup!$F$9:$F$18,MATCH(F131,Setup!$E$9:$E$18,0)),0))))</f>
        <v/>
      </c>
      <c r="H131" s="1" t="n"/>
    </row>
    <row r="132">
      <c r="A132" s="1" t="n"/>
      <c r="B132" s="30" t="n"/>
      <c r="C132" s="28" t="n"/>
      <c r="D132" s="28" t="n"/>
      <c r="E132" s="31" t="n"/>
      <c r="F132" s="29" t="n"/>
      <c r="G132" s="20">
        <f>IF(N(E132)=0,"",IF(N(E132)=0,0,E132*IF(F132="",1,IFERROR(INDEX(Setup!$F$9:$F$18,MATCH(F132,Setup!$E$9:$E$18,0)),0))))</f>
        <v/>
      </c>
      <c r="H132" s="1" t="n"/>
    </row>
    <row r="133">
      <c r="A133" s="1" t="n"/>
      <c r="B133" s="30" t="n"/>
      <c r="C133" s="28" t="n"/>
      <c r="D133" s="28" t="n"/>
      <c r="E133" s="31" t="n"/>
      <c r="F133" s="29" t="n"/>
      <c r="G133" s="20">
        <f>IF(N(E133)=0,"",IF(N(E133)=0,0,E133*IF(F133="",1,IFERROR(INDEX(Setup!$F$9:$F$18,MATCH(F133,Setup!$E$9:$E$18,0)),0))))</f>
        <v/>
      </c>
      <c r="H133" s="1" t="n"/>
    </row>
    <row r="134">
      <c r="A134" s="1" t="n"/>
      <c r="B134" s="30" t="n"/>
      <c r="C134" s="28" t="n"/>
      <c r="D134" s="28" t="n"/>
      <c r="E134" s="31" t="n"/>
      <c r="F134" s="29" t="n"/>
      <c r="G134" s="20">
        <f>IF(N(E134)=0,"",IF(N(E134)=0,0,E134*IF(F134="",1,IFERROR(INDEX(Setup!$F$9:$F$18,MATCH(F134,Setup!$E$9:$E$18,0)),0))))</f>
        <v/>
      </c>
      <c r="H134" s="1" t="n"/>
    </row>
    <row r="135">
      <c r="A135" s="1" t="n"/>
      <c r="B135" s="30" t="n"/>
      <c r="C135" s="28" t="n"/>
      <c r="D135" s="28" t="n"/>
      <c r="E135" s="31" t="n"/>
      <c r="F135" s="29" t="n"/>
      <c r="G135" s="20">
        <f>IF(N(E135)=0,"",IF(N(E135)=0,0,E135*IF(F135="",1,IFERROR(INDEX(Setup!$F$9:$F$18,MATCH(F135,Setup!$E$9:$E$18,0)),0))))</f>
        <v/>
      </c>
      <c r="H135" s="1" t="n"/>
    </row>
    <row r="136">
      <c r="A136" s="1" t="n"/>
      <c r="B136" s="30" t="n"/>
      <c r="C136" s="28" t="n"/>
      <c r="D136" s="28" t="n"/>
      <c r="E136" s="31" t="n"/>
      <c r="F136" s="29" t="n"/>
      <c r="G136" s="20">
        <f>IF(N(E136)=0,"",IF(N(E136)=0,0,E136*IF(F136="",1,IFERROR(INDEX(Setup!$F$9:$F$18,MATCH(F136,Setup!$E$9:$E$18,0)),0))))</f>
        <v/>
      </c>
      <c r="H136" s="1" t="n"/>
    </row>
    <row r="137">
      <c r="A137" s="1" t="n"/>
      <c r="B137" s="30" t="n"/>
      <c r="C137" s="28" t="n"/>
      <c r="D137" s="28" t="n"/>
      <c r="E137" s="31" t="n"/>
      <c r="F137" s="29" t="n"/>
      <c r="G137" s="20">
        <f>IF(N(E137)=0,"",IF(N(E137)=0,0,E137*IF(F137="",1,IFERROR(INDEX(Setup!$F$9:$F$18,MATCH(F137,Setup!$E$9:$E$18,0)),0))))</f>
        <v/>
      </c>
      <c r="H137" s="1" t="n"/>
    </row>
    <row r="138">
      <c r="A138" s="1" t="n"/>
      <c r="B138" s="30" t="n"/>
      <c r="C138" s="28" t="n"/>
      <c r="D138" s="28" t="n"/>
      <c r="E138" s="31" t="n"/>
      <c r="F138" s="29" t="n"/>
      <c r="G138" s="20">
        <f>IF(N(E138)=0,"",IF(N(E138)=0,0,E138*IF(F138="",1,IFERROR(INDEX(Setup!$F$9:$F$18,MATCH(F138,Setup!$E$9:$E$18,0)),0))))</f>
        <v/>
      </c>
      <c r="H138" s="1" t="n"/>
    </row>
    <row r="139">
      <c r="A139" s="1" t="n"/>
      <c r="B139" s="30" t="n"/>
      <c r="C139" s="28" t="n"/>
      <c r="D139" s="28" t="n"/>
      <c r="E139" s="31" t="n"/>
      <c r="F139" s="29" t="n"/>
      <c r="G139" s="20">
        <f>IF(N(E139)=0,"",IF(N(E139)=0,0,E139*IF(F139="",1,IFERROR(INDEX(Setup!$F$9:$F$18,MATCH(F139,Setup!$E$9:$E$18,0)),0))))</f>
        <v/>
      </c>
      <c r="H139" s="1" t="n"/>
    </row>
    <row r="140">
      <c r="A140" s="1" t="n"/>
      <c r="B140" s="30" t="n"/>
      <c r="C140" s="28" t="n"/>
      <c r="D140" s="28" t="n"/>
      <c r="E140" s="31" t="n"/>
      <c r="F140" s="29" t="n"/>
      <c r="G140" s="20">
        <f>IF(N(E140)=0,"",IF(N(E140)=0,0,E140*IF(F140="",1,IFERROR(INDEX(Setup!$F$9:$F$18,MATCH(F140,Setup!$E$9:$E$18,0)),0))))</f>
        <v/>
      </c>
      <c r="H140" s="1" t="n"/>
    </row>
    <row r="141">
      <c r="A141" s="1" t="n"/>
      <c r="B141" s="30" t="n"/>
      <c r="C141" s="28" t="n"/>
      <c r="D141" s="28" t="n"/>
      <c r="E141" s="31" t="n"/>
      <c r="F141" s="29" t="n"/>
      <c r="G141" s="20">
        <f>IF(N(E141)=0,"",IF(N(E141)=0,0,E141*IF(F141="",1,IFERROR(INDEX(Setup!$F$9:$F$18,MATCH(F141,Setup!$E$9:$E$18,0)),0))))</f>
        <v/>
      </c>
      <c r="H141" s="1" t="n"/>
    </row>
    <row r="142">
      <c r="A142" s="1" t="n"/>
      <c r="B142" s="30" t="n"/>
      <c r="C142" s="28" t="n"/>
      <c r="D142" s="28" t="n"/>
      <c r="E142" s="31" t="n"/>
      <c r="F142" s="29" t="n"/>
      <c r="G142" s="20">
        <f>IF(N(E142)=0,"",IF(N(E142)=0,0,E142*IF(F142="",1,IFERROR(INDEX(Setup!$F$9:$F$18,MATCH(F142,Setup!$E$9:$E$18,0)),0))))</f>
        <v/>
      </c>
      <c r="H142" s="1" t="n"/>
    </row>
    <row r="143">
      <c r="A143" s="1" t="n"/>
      <c r="B143" s="30" t="n"/>
      <c r="C143" s="28" t="n"/>
      <c r="D143" s="28" t="n"/>
      <c r="E143" s="31" t="n"/>
      <c r="F143" s="29" t="n"/>
      <c r="G143" s="20">
        <f>IF(N(E143)=0,"",IF(N(E143)=0,0,E143*IF(F143="",1,IFERROR(INDEX(Setup!$F$9:$F$18,MATCH(F143,Setup!$E$9:$E$18,0)),0))))</f>
        <v/>
      </c>
      <c r="H143" s="1" t="n"/>
    </row>
    <row r="144">
      <c r="A144" s="1" t="n"/>
      <c r="B144" s="30" t="n"/>
      <c r="C144" s="28" t="n"/>
      <c r="D144" s="28" t="n"/>
      <c r="E144" s="31" t="n"/>
      <c r="F144" s="29" t="n"/>
      <c r="G144" s="20">
        <f>IF(N(E144)=0,"",IF(N(E144)=0,0,E144*IF(F144="",1,IFERROR(INDEX(Setup!$F$9:$F$18,MATCH(F144,Setup!$E$9:$E$18,0)),0))))</f>
        <v/>
      </c>
      <c r="H144" s="1" t="n"/>
    </row>
    <row r="145">
      <c r="A145" s="1" t="n"/>
      <c r="B145" s="30" t="n"/>
      <c r="C145" s="28" t="n"/>
      <c r="D145" s="28" t="n"/>
      <c r="E145" s="31" t="n"/>
      <c r="F145" s="29" t="n"/>
      <c r="G145" s="20">
        <f>IF(N(E145)=0,"",IF(N(E145)=0,0,E145*IF(F145="",1,IFERROR(INDEX(Setup!$F$9:$F$18,MATCH(F145,Setup!$E$9:$E$18,0)),0))))</f>
        <v/>
      </c>
      <c r="H145" s="1" t="n"/>
    </row>
    <row r="146">
      <c r="A146" s="1" t="n"/>
      <c r="B146" s="30" t="n"/>
      <c r="C146" s="28" t="n"/>
      <c r="D146" s="28" t="n"/>
      <c r="E146" s="31" t="n"/>
      <c r="F146" s="29" t="n"/>
      <c r="G146" s="20">
        <f>IF(N(E146)=0,"",IF(N(E146)=0,0,E146*IF(F146="",1,IFERROR(INDEX(Setup!$F$9:$F$18,MATCH(F146,Setup!$E$9:$E$18,0)),0))))</f>
        <v/>
      </c>
      <c r="H146" s="1" t="n"/>
    </row>
    <row r="147">
      <c r="A147" s="1" t="n"/>
      <c r="B147" s="30" t="n"/>
      <c r="C147" s="28" t="n"/>
      <c r="D147" s="28" t="n"/>
      <c r="E147" s="31" t="n"/>
      <c r="F147" s="29" t="n"/>
      <c r="G147" s="20">
        <f>IF(N(E147)=0,"",IF(N(E147)=0,0,E147*IF(F147="",1,IFERROR(INDEX(Setup!$F$9:$F$18,MATCH(F147,Setup!$E$9:$E$18,0)),0))))</f>
        <v/>
      </c>
      <c r="H147" s="1" t="n"/>
    </row>
    <row r="148">
      <c r="A148" s="1" t="n"/>
      <c r="B148" s="30" t="n"/>
      <c r="C148" s="28" t="n"/>
      <c r="D148" s="28" t="n"/>
      <c r="E148" s="31" t="n"/>
      <c r="F148" s="29" t="n"/>
      <c r="G148" s="20">
        <f>IF(N(E148)=0,"",IF(N(E148)=0,0,E148*IF(F148="",1,IFERROR(INDEX(Setup!$F$9:$F$18,MATCH(F148,Setup!$E$9:$E$18,0)),0))))</f>
        <v/>
      </c>
      <c r="H148" s="1" t="n"/>
    </row>
    <row r="149">
      <c r="A149" s="1" t="n"/>
      <c r="B149" s="30" t="n"/>
      <c r="C149" s="28" t="n"/>
      <c r="D149" s="28" t="n"/>
      <c r="E149" s="31" t="n"/>
      <c r="F149" s="29" t="n"/>
      <c r="G149" s="20">
        <f>IF(N(E149)=0,"",IF(N(E149)=0,0,E149*IF(F149="",1,IFERROR(INDEX(Setup!$F$9:$F$18,MATCH(F149,Setup!$E$9:$E$18,0)),0))))</f>
        <v/>
      </c>
      <c r="H149" s="1" t="n"/>
    </row>
    <row r="150">
      <c r="A150" s="1" t="n"/>
      <c r="B150" s="30" t="n"/>
      <c r="C150" s="28" t="n"/>
      <c r="D150" s="28" t="n"/>
      <c r="E150" s="31" t="n"/>
      <c r="F150" s="29" t="n"/>
      <c r="G150" s="20">
        <f>IF(N(E150)=0,"",IF(N(E150)=0,0,E150*IF(F150="",1,IFERROR(INDEX(Setup!$F$9:$F$18,MATCH(F150,Setup!$E$9:$E$18,0)),0))))</f>
        <v/>
      </c>
      <c r="H150" s="1" t="n"/>
    </row>
    <row r="151">
      <c r="A151" s="1" t="n"/>
      <c r="B151" s="30" t="n"/>
      <c r="C151" s="28" t="n"/>
      <c r="D151" s="28" t="n"/>
      <c r="E151" s="31" t="n"/>
      <c r="F151" s="29" t="n"/>
      <c r="G151" s="20">
        <f>IF(N(E151)=0,"",IF(N(E151)=0,0,E151*IF(F151="",1,IFERROR(INDEX(Setup!$F$9:$F$18,MATCH(F151,Setup!$E$9:$E$18,0)),0))))</f>
        <v/>
      </c>
      <c r="H151" s="1" t="n"/>
    </row>
    <row r="152">
      <c r="A152" s="1" t="n"/>
      <c r="B152" s="30" t="n"/>
      <c r="C152" s="28" t="n"/>
      <c r="D152" s="28" t="n"/>
      <c r="E152" s="31" t="n"/>
      <c r="F152" s="29" t="n"/>
      <c r="G152" s="20">
        <f>IF(N(E152)=0,"",IF(N(E152)=0,0,E152*IF(F152="",1,IFERROR(INDEX(Setup!$F$9:$F$18,MATCH(F152,Setup!$E$9:$E$18,0)),0))))</f>
        <v/>
      </c>
      <c r="H152" s="1" t="n"/>
    </row>
    <row r="153">
      <c r="A153" s="1" t="n"/>
      <c r="B153" s="30" t="n"/>
      <c r="C153" s="28" t="n"/>
      <c r="D153" s="28" t="n"/>
      <c r="E153" s="31" t="n"/>
      <c r="F153" s="29" t="n"/>
      <c r="G153" s="20">
        <f>IF(N(E153)=0,"",IF(N(E153)=0,0,E153*IF(F153="",1,IFERROR(INDEX(Setup!$F$9:$F$18,MATCH(F153,Setup!$E$9:$E$18,0)),0))))</f>
        <v/>
      </c>
      <c r="H153" s="1" t="n"/>
    </row>
    <row r="154">
      <c r="A154" s="1" t="n"/>
      <c r="B154" s="30" t="n"/>
      <c r="C154" s="28" t="n"/>
      <c r="D154" s="28" t="n"/>
      <c r="E154" s="31" t="n"/>
      <c r="F154" s="29" t="n"/>
      <c r="G154" s="20">
        <f>IF(N(E154)=0,"",IF(N(E154)=0,0,E154*IF(F154="",1,IFERROR(INDEX(Setup!$F$9:$F$18,MATCH(F154,Setup!$E$9:$E$18,0)),0))))</f>
        <v/>
      </c>
      <c r="H154" s="1" t="n"/>
    </row>
    <row r="155">
      <c r="A155" s="1" t="n"/>
      <c r="B155" s="30" t="n"/>
      <c r="C155" s="28" t="n"/>
      <c r="D155" s="28" t="n"/>
      <c r="E155" s="31" t="n"/>
      <c r="F155" s="29" t="n"/>
      <c r="G155" s="20">
        <f>IF(N(E155)=0,"",IF(N(E155)=0,0,E155*IF(F155="",1,IFERROR(INDEX(Setup!$F$9:$F$18,MATCH(F155,Setup!$E$9:$E$18,0)),0))))</f>
        <v/>
      </c>
      <c r="H155" s="1" t="n"/>
    </row>
    <row r="156">
      <c r="A156" s="1" t="n"/>
      <c r="B156" s="30" t="n"/>
      <c r="C156" s="28" t="n"/>
      <c r="D156" s="28" t="n"/>
      <c r="E156" s="31" t="n"/>
      <c r="F156" s="29" t="n"/>
      <c r="G156" s="20">
        <f>IF(N(E156)=0,"",IF(N(E156)=0,0,E156*IF(F156="",1,IFERROR(INDEX(Setup!$F$9:$F$18,MATCH(F156,Setup!$E$9:$E$18,0)),0))))</f>
        <v/>
      </c>
      <c r="H156" s="1" t="n"/>
    </row>
    <row r="157">
      <c r="A157" s="1" t="n"/>
      <c r="B157" s="30" t="n"/>
      <c r="C157" s="28" t="n"/>
      <c r="D157" s="28" t="n"/>
      <c r="E157" s="31" t="n"/>
      <c r="F157" s="29" t="n"/>
      <c r="G157" s="20">
        <f>IF(N(E157)=0,"",IF(N(E157)=0,0,E157*IF(F157="",1,IFERROR(INDEX(Setup!$F$9:$F$18,MATCH(F157,Setup!$E$9:$E$18,0)),0))))</f>
        <v/>
      </c>
      <c r="H157" s="1" t="n"/>
    </row>
    <row r="158">
      <c r="A158" s="1" t="n"/>
      <c r="B158" s="30" t="n"/>
      <c r="C158" s="28" t="n"/>
      <c r="D158" s="28" t="n"/>
      <c r="E158" s="31" t="n"/>
      <c r="F158" s="29" t="n"/>
      <c r="G158" s="20">
        <f>IF(N(E158)=0,"",IF(N(E158)=0,0,E158*IF(F158="",1,IFERROR(INDEX(Setup!$F$9:$F$18,MATCH(F158,Setup!$E$9:$E$18,0)),0))))</f>
        <v/>
      </c>
      <c r="H158" s="1" t="n"/>
    </row>
    <row r="159">
      <c r="A159" s="1" t="n"/>
      <c r="B159" s="30" t="n"/>
      <c r="C159" s="28" t="n"/>
      <c r="D159" s="28" t="n"/>
      <c r="E159" s="31" t="n"/>
      <c r="F159" s="29" t="n"/>
      <c r="G159" s="20">
        <f>IF(N(E159)=0,"",IF(N(E159)=0,0,E159*IF(F159="",1,IFERROR(INDEX(Setup!$F$9:$F$18,MATCH(F159,Setup!$E$9:$E$18,0)),0))))</f>
        <v/>
      </c>
      <c r="H159" s="1" t="n"/>
    </row>
    <row r="160">
      <c r="A160" s="1" t="n"/>
      <c r="B160" s="30" t="n"/>
      <c r="C160" s="28" t="n"/>
      <c r="D160" s="28" t="n"/>
      <c r="E160" s="31" t="n"/>
      <c r="F160" s="29" t="n"/>
      <c r="G160" s="20">
        <f>IF(N(E160)=0,"",IF(N(E160)=0,0,E160*IF(F160="",1,IFERROR(INDEX(Setup!$F$9:$F$18,MATCH(F160,Setup!$E$9:$E$18,0)),0))))</f>
        <v/>
      </c>
      <c r="H160" s="1" t="n"/>
    </row>
    <row r="161">
      <c r="A161" s="1" t="n"/>
      <c r="B161" s="30" t="n"/>
      <c r="C161" s="28" t="n"/>
      <c r="D161" s="28" t="n"/>
      <c r="E161" s="31" t="n"/>
      <c r="F161" s="29" t="n"/>
      <c r="G161" s="20">
        <f>IF(N(E161)=0,"",IF(N(E161)=0,0,E161*IF(F161="",1,IFERROR(INDEX(Setup!$F$9:$F$18,MATCH(F161,Setup!$E$9:$E$18,0)),0))))</f>
        <v/>
      </c>
      <c r="H161" s="1" t="n"/>
    </row>
    <row r="162">
      <c r="A162" s="1" t="n"/>
      <c r="B162" s="30" t="n"/>
      <c r="C162" s="28" t="n"/>
      <c r="D162" s="28" t="n"/>
      <c r="E162" s="31" t="n"/>
      <c r="F162" s="29" t="n"/>
      <c r="G162" s="20">
        <f>IF(N(E162)=0,"",IF(N(E162)=0,0,E162*IF(F162="",1,IFERROR(INDEX(Setup!$F$9:$F$18,MATCH(F162,Setup!$E$9:$E$18,0)),0))))</f>
        <v/>
      </c>
      <c r="H162" s="1" t="n"/>
    </row>
    <row r="163">
      <c r="A163" s="1" t="n"/>
      <c r="B163" s="30" t="n"/>
      <c r="C163" s="28" t="n"/>
      <c r="D163" s="28" t="n"/>
      <c r="E163" s="31" t="n"/>
      <c r="F163" s="29" t="n"/>
      <c r="G163" s="20">
        <f>IF(N(E163)=0,"",IF(N(E163)=0,0,E163*IF(F163="",1,IFERROR(INDEX(Setup!$F$9:$F$18,MATCH(F163,Setup!$E$9:$E$18,0)),0))))</f>
        <v/>
      </c>
      <c r="H163" s="1" t="n"/>
    </row>
    <row r="164">
      <c r="A164" s="1" t="n"/>
      <c r="B164" s="30" t="n"/>
      <c r="C164" s="28" t="n"/>
      <c r="D164" s="28" t="n"/>
      <c r="E164" s="31" t="n"/>
      <c r="F164" s="29" t="n"/>
      <c r="G164" s="20">
        <f>IF(N(E164)=0,"",IF(N(E164)=0,0,E164*IF(F164="",1,IFERROR(INDEX(Setup!$F$9:$F$18,MATCH(F164,Setup!$E$9:$E$18,0)),0))))</f>
        <v/>
      </c>
      <c r="H164" s="1" t="n"/>
    </row>
    <row r="165">
      <c r="A165" s="1" t="n"/>
      <c r="B165" s="30" t="n"/>
      <c r="C165" s="28" t="n"/>
      <c r="D165" s="28" t="n"/>
      <c r="E165" s="31" t="n"/>
      <c r="F165" s="29" t="n"/>
      <c r="G165" s="20">
        <f>IF(N(E165)=0,"",IF(N(E165)=0,0,E165*IF(F165="",1,IFERROR(INDEX(Setup!$F$9:$F$18,MATCH(F165,Setup!$E$9:$E$18,0)),0))))</f>
        <v/>
      </c>
      <c r="H165" s="1" t="n"/>
    </row>
    <row r="166">
      <c r="A166" s="1" t="n"/>
      <c r="B166" s="30" t="n"/>
      <c r="C166" s="28" t="n"/>
      <c r="D166" s="28" t="n"/>
      <c r="E166" s="31" t="n"/>
      <c r="F166" s="29" t="n"/>
      <c r="G166" s="20">
        <f>IF(N(E166)=0,"",IF(N(E166)=0,0,E166*IF(F166="",1,IFERROR(INDEX(Setup!$F$9:$F$18,MATCH(F166,Setup!$E$9:$E$18,0)),0))))</f>
        <v/>
      </c>
      <c r="H166" s="1" t="n"/>
    </row>
    <row r="167">
      <c r="A167" s="1" t="n"/>
      <c r="B167" s="30" t="n"/>
      <c r="C167" s="28" t="n"/>
      <c r="D167" s="28" t="n"/>
      <c r="E167" s="31" t="n"/>
      <c r="F167" s="29" t="n"/>
      <c r="G167" s="20">
        <f>IF(N(E167)=0,"",IF(N(E167)=0,0,E167*IF(F167="",1,IFERROR(INDEX(Setup!$F$9:$F$18,MATCH(F167,Setup!$E$9:$E$18,0)),0))))</f>
        <v/>
      </c>
      <c r="H167" s="1" t="n"/>
    </row>
    <row r="168">
      <c r="A168" s="1" t="n"/>
      <c r="B168" s="30" t="n"/>
      <c r="C168" s="28" t="n"/>
      <c r="D168" s="28" t="n"/>
      <c r="E168" s="31" t="n"/>
      <c r="F168" s="29" t="n"/>
      <c r="G168" s="20">
        <f>IF(N(E168)=0,"",IF(N(E168)=0,0,E168*IF(F168="",1,IFERROR(INDEX(Setup!$F$9:$F$18,MATCH(F168,Setup!$E$9:$E$18,0)),0))))</f>
        <v/>
      </c>
      <c r="H168" s="1" t="n"/>
    </row>
    <row r="169">
      <c r="A169" s="1" t="n"/>
      <c r="B169" s="30" t="n"/>
      <c r="C169" s="28" t="n"/>
      <c r="D169" s="28" t="n"/>
      <c r="E169" s="31" t="n"/>
      <c r="F169" s="29" t="n"/>
      <c r="G169" s="20">
        <f>IF(N(E169)=0,"",IF(N(E169)=0,0,E169*IF(F169="",1,IFERROR(INDEX(Setup!$F$9:$F$18,MATCH(F169,Setup!$E$9:$E$18,0)),0))))</f>
        <v/>
      </c>
      <c r="H169" s="1" t="n"/>
    </row>
    <row r="170">
      <c r="A170" s="1" t="n"/>
      <c r="B170" s="30" t="n"/>
      <c r="C170" s="28" t="n"/>
      <c r="D170" s="28" t="n"/>
      <c r="E170" s="31" t="n"/>
      <c r="F170" s="29" t="n"/>
      <c r="G170" s="20">
        <f>IF(N(E170)=0,"",IF(N(E170)=0,0,E170*IF(F170="",1,IFERROR(INDEX(Setup!$F$9:$F$18,MATCH(F170,Setup!$E$9:$E$18,0)),0))))</f>
        <v/>
      </c>
      <c r="H170" s="1" t="n"/>
    </row>
    <row r="171">
      <c r="A171" s="1" t="n"/>
      <c r="B171" s="30" t="n"/>
      <c r="C171" s="28" t="n"/>
      <c r="D171" s="28" t="n"/>
      <c r="E171" s="31" t="n"/>
      <c r="F171" s="29" t="n"/>
      <c r="G171" s="20">
        <f>IF(N(E171)=0,"",IF(N(E171)=0,0,E171*IF(F171="",1,IFERROR(INDEX(Setup!$F$9:$F$18,MATCH(F171,Setup!$E$9:$E$18,0)),0))))</f>
        <v/>
      </c>
      <c r="H171" s="1" t="n"/>
    </row>
    <row r="172">
      <c r="A172" s="1" t="n"/>
      <c r="B172" s="30" t="n"/>
      <c r="C172" s="28" t="n"/>
      <c r="D172" s="28" t="n"/>
      <c r="E172" s="31" t="n"/>
      <c r="F172" s="29" t="n"/>
      <c r="G172" s="20">
        <f>IF(N(E172)=0,"",IF(N(E172)=0,0,E172*IF(F172="",1,IFERROR(INDEX(Setup!$F$9:$F$18,MATCH(F172,Setup!$E$9:$E$18,0)),0))))</f>
        <v/>
      </c>
      <c r="H172" s="1" t="n"/>
    </row>
    <row r="173">
      <c r="A173" s="1" t="n"/>
      <c r="B173" s="30" t="n"/>
      <c r="C173" s="28" t="n"/>
      <c r="D173" s="28" t="n"/>
      <c r="E173" s="31" t="n"/>
      <c r="F173" s="29" t="n"/>
      <c r="G173" s="20">
        <f>IF(N(E173)=0,"",IF(N(E173)=0,0,E173*IF(F173="",1,IFERROR(INDEX(Setup!$F$9:$F$18,MATCH(F173,Setup!$E$9:$E$18,0)),0))))</f>
        <v/>
      </c>
      <c r="H173" s="1" t="n"/>
    </row>
    <row r="174">
      <c r="A174" s="1" t="n"/>
      <c r="B174" s="30" t="n"/>
      <c r="C174" s="28" t="n"/>
      <c r="D174" s="28" t="n"/>
      <c r="E174" s="31" t="n"/>
      <c r="F174" s="29" t="n"/>
      <c r="G174" s="20">
        <f>IF(N(E174)=0,"",IF(N(E174)=0,0,E174*IF(F174="",1,IFERROR(INDEX(Setup!$F$9:$F$18,MATCH(F174,Setup!$E$9:$E$18,0)),0))))</f>
        <v/>
      </c>
      <c r="H174" s="1" t="n"/>
    </row>
    <row r="175">
      <c r="A175" s="1" t="n"/>
      <c r="B175" s="30" t="n"/>
      <c r="C175" s="28" t="n"/>
      <c r="D175" s="28" t="n"/>
      <c r="E175" s="31" t="n"/>
      <c r="F175" s="29" t="n"/>
      <c r="G175" s="20">
        <f>IF(N(E175)=0,"",IF(N(E175)=0,0,E175*IF(F175="",1,IFERROR(INDEX(Setup!$F$9:$F$18,MATCH(F175,Setup!$E$9:$E$18,0)),0))))</f>
        <v/>
      </c>
      <c r="H175" s="1" t="n"/>
    </row>
    <row r="176">
      <c r="A176" s="1" t="n"/>
      <c r="B176" s="30" t="n"/>
      <c r="C176" s="28" t="n"/>
      <c r="D176" s="28" t="n"/>
      <c r="E176" s="31" t="n"/>
      <c r="F176" s="29" t="n"/>
      <c r="G176" s="20">
        <f>IF(N(E176)=0,"",IF(N(E176)=0,0,E176*IF(F176="",1,IFERROR(INDEX(Setup!$F$9:$F$18,MATCH(F176,Setup!$E$9:$E$18,0)),0))))</f>
        <v/>
      </c>
      <c r="H176" s="1" t="n"/>
    </row>
    <row r="177">
      <c r="A177" s="1" t="n"/>
      <c r="B177" s="30" t="n"/>
      <c r="C177" s="28" t="n"/>
      <c r="D177" s="28" t="n"/>
      <c r="E177" s="31" t="n"/>
      <c r="F177" s="29" t="n"/>
      <c r="G177" s="20">
        <f>IF(N(E177)=0,"",IF(N(E177)=0,0,E177*IF(F177="",1,IFERROR(INDEX(Setup!$F$9:$F$18,MATCH(F177,Setup!$E$9:$E$18,0)),0))))</f>
        <v/>
      </c>
      <c r="H177" s="1" t="n"/>
    </row>
    <row r="178">
      <c r="A178" s="1" t="n"/>
      <c r="B178" s="30" t="n"/>
      <c r="C178" s="28" t="n"/>
      <c r="D178" s="28" t="n"/>
      <c r="E178" s="31" t="n"/>
      <c r="F178" s="29" t="n"/>
      <c r="G178" s="20">
        <f>IF(N(E178)=0,"",IF(N(E178)=0,0,E178*IF(F178="",1,IFERROR(INDEX(Setup!$F$9:$F$18,MATCH(F178,Setup!$E$9:$E$18,0)),0))))</f>
        <v/>
      </c>
      <c r="H178" s="1" t="n"/>
    </row>
    <row r="179">
      <c r="A179" s="1" t="n"/>
      <c r="B179" s="30" t="n"/>
      <c r="C179" s="28" t="n"/>
      <c r="D179" s="28" t="n"/>
      <c r="E179" s="31" t="n"/>
      <c r="F179" s="29" t="n"/>
      <c r="G179" s="20">
        <f>IF(N(E179)=0,"",IF(N(E179)=0,0,E179*IF(F179="",1,IFERROR(INDEX(Setup!$F$9:$F$18,MATCH(F179,Setup!$E$9:$E$18,0)),0))))</f>
        <v/>
      </c>
      <c r="H179" s="1" t="n"/>
    </row>
    <row r="180">
      <c r="A180" s="1" t="n"/>
      <c r="B180" s="30" t="n"/>
      <c r="C180" s="28" t="n"/>
      <c r="D180" s="28" t="n"/>
      <c r="E180" s="31" t="n"/>
      <c r="F180" s="29" t="n"/>
      <c r="G180" s="20">
        <f>IF(N(E180)=0,"",IF(N(E180)=0,0,E180*IF(F180="",1,IFERROR(INDEX(Setup!$F$9:$F$18,MATCH(F180,Setup!$E$9:$E$18,0)),0))))</f>
        <v/>
      </c>
      <c r="H180" s="1" t="n"/>
    </row>
    <row r="181">
      <c r="A181" s="1" t="n"/>
      <c r="B181" s="30" t="n"/>
      <c r="C181" s="28" t="n"/>
      <c r="D181" s="28" t="n"/>
      <c r="E181" s="31" t="n"/>
      <c r="F181" s="29" t="n"/>
      <c r="G181" s="20">
        <f>IF(N(E181)=0,"",IF(N(E181)=0,0,E181*IF(F181="",1,IFERROR(INDEX(Setup!$F$9:$F$18,MATCH(F181,Setup!$E$9:$E$18,0)),0))))</f>
        <v/>
      </c>
      <c r="H181" s="1" t="n"/>
    </row>
    <row r="182">
      <c r="A182" s="1" t="n"/>
      <c r="B182" s="30" t="n"/>
      <c r="C182" s="28" t="n"/>
      <c r="D182" s="28" t="n"/>
      <c r="E182" s="31" t="n"/>
      <c r="F182" s="29" t="n"/>
      <c r="G182" s="20">
        <f>IF(N(E182)=0,"",IF(N(E182)=0,0,E182*IF(F182="",1,IFERROR(INDEX(Setup!$F$9:$F$18,MATCH(F182,Setup!$E$9:$E$18,0)),0))))</f>
        <v/>
      </c>
      <c r="H182" s="1" t="n"/>
    </row>
    <row r="183">
      <c r="A183" s="1" t="n"/>
      <c r="B183" s="30" t="n"/>
      <c r="C183" s="28" t="n"/>
      <c r="D183" s="28" t="n"/>
      <c r="E183" s="31" t="n"/>
      <c r="F183" s="29" t="n"/>
      <c r="G183" s="20">
        <f>IF(N(E183)=0,"",IF(N(E183)=0,0,E183*IF(F183="",1,IFERROR(INDEX(Setup!$F$9:$F$18,MATCH(F183,Setup!$E$9:$E$18,0)),0))))</f>
        <v/>
      </c>
      <c r="H183" s="1" t="n"/>
    </row>
    <row r="184">
      <c r="A184" s="1" t="n"/>
      <c r="B184" s="30" t="n"/>
      <c r="C184" s="28" t="n"/>
      <c r="D184" s="28" t="n"/>
      <c r="E184" s="31" t="n"/>
      <c r="F184" s="29" t="n"/>
      <c r="G184" s="20">
        <f>IF(N(E184)=0,"",IF(N(E184)=0,0,E184*IF(F184="",1,IFERROR(INDEX(Setup!$F$9:$F$18,MATCH(F184,Setup!$E$9:$E$18,0)),0))))</f>
        <v/>
      </c>
      <c r="H184" s="1" t="n"/>
    </row>
    <row r="185">
      <c r="A185" s="1" t="n"/>
      <c r="B185" s="30" t="n"/>
      <c r="C185" s="28" t="n"/>
      <c r="D185" s="28" t="n"/>
      <c r="E185" s="31" t="n"/>
      <c r="F185" s="29" t="n"/>
      <c r="G185" s="20">
        <f>IF(N(E185)=0,"",IF(N(E185)=0,0,E185*IF(F185="",1,IFERROR(INDEX(Setup!$F$9:$F$18,MATCH(F185,Setup!$E$9:$E$18,0)),0))))</f>
        <v/>
      </c>
      <c r="H185" s="1" t="n"/>
    </row>
    <row r="186">
      <c r="A186" s="1" t="n"/>
      <c r="B186" s="30" t="n"/>
      <c r="C186" s="28" t="n"/>
      <c r="D186" s="28" t="n"/>
      <c r="E186" s="31" t="n"/>
      <c r="F186" s="29" t="n"/>
      <c r="G186" s="20">
        <f>IF(N(E186)=0,"",IF(N(E186)=0,0,E186*IF(F186="",1,IFERROR(INDEX(Setup!$F$9:$F$18,MATCH(F186,Setup!$E$9:$E$18,0)),0))))</f>
        <v/>
      </c>
      <c r="H186" s="1" t="n"/>
    </row>
    <row r="187">
      <c r="A187" s="1" t="n"/>
      <c r="B187" s="30" t="n"/>
      <c r="C187" s="28" t="n"/>
      <c r="D187" s="28" t="n"/>
      <c r="E187" s="31" t="n"/>
      <c r="F187" s="29" t="n"/>
      <c r="G187" s="20">
        <f>IF(N(E187)=0,"",IF(N(E187)=0,0,E187*IF(F187="",1,IFERROR(INDEX(Setup!$F$9:$F$18,MATCH(F187,Setup!$E$9:$E$18,0)),0))))</f>
        <v/>
      </c>
      <c r="H187" s="1" t="n"/>
    </row>
    <row r="188">
      <c r="A188" s="1" t="n"/>
      <c r="B188" s="30" t="n"/>
      <c r="C188" s="28" t="n"/>
      <c r="D188" s="28" t="n"/>
      <c r="E188" s="31" t="n"/>
      <c r="F188" s="29" t="n"/>
      <c r="G188" s="20">
        <f>IF(N(E188)=0,"",IF(N(E188)=0,0,E188*IF(F188="",1,IFERROR(INDEX(Setup!$F$9:$F$18,MATCH(F188,Setup!$E$9:$E$18,0)),0))))</f>
        <v/>
      </c>
      <c r="H188" s="1" t="n"/>
    </row>
    <row r="189">
      <c r="A189" s="1" t="n"/>
      <c r="B189" s="30" t="n"/>
      <c r="C189" s="28" t="n"/>
      <c r="D189" s="28" t="n"/>
      <c r="E189" s="31" t="n"/>
      <c r="F189" s="29" t="n"/>
      <c r="G189" s="20">
        <f>IF(N(E189)=0,"",IF(N(E189)=0,0,E189*IF(F189="",1,IFERROR(INDEX(Setup!$F$9:$F$18,MATCH(F189,Setup!$E$9:$E$18,0)),0))))</f>
        <v/>
      </c>
      <c r="H189" s="1" t="n"/>
    </row>
    <row r="190">
      <c r="A190" s="1" t="n"/>
      <c r="B190" s="30" t="n"/>
      <c r="C190" s="28" t="n"/>
      <c r="D190" s="28" t="n"/>
      <c r="E190" s="31" t="n"/>
      <c r="F190" s="29" t="n"/>
      <c r="G190" s="20">
        <f>IF(N(E190)=0,"",IF(N(E190)=0,0,E190*IF(F190="",1,IFERROR(INDEX(Setup!$F$9:$F$18,MATCH(F190,Setup!$E$9:$E$18,0)),0))))</f>
        <v/>
      </c>
      <c r="H190" s="1" t="n"/>
    </row>
    <row r="191">
      <c r="A191" s="1" t="n"/>
      <c r="B191" s="30" t="n"/>
      <c r="C191" s="28" t="n"/>
      <c r="D191" s="28" t="n"/>
      <c r="E191" s="31" t="n"/>
      <c r="F191" s="29" t="n"/>
      <c r="G191" s="20">
        <f>IF(N(E191)=0,"",IF(N(E191)=0,0,E191*IF(F191="",1,IFERROR(INDEX(Setup!$F$9:$F$18,MATCH(F191,Setup!$E$9:$E$18,0)),0))))</f>
        <v/>
      </c>
      <c r="H191" s="1" t="n"/>
    </row>
    <row r="192">
      <c r="A192" s="1" t="n"/>
      <c r="B192" s="30" t="n"/>
      <c r="C192" s="28" t="n"/>
      <c r="D192" s="28" t="n"/>
      <c r="E192" s="31" t="n"/>
      <c r="F192" s="29" t="n"/>
      <c r="G192" s="20">
        <f>IF(N(E192)=0,"",IF(N(E192)=0,0,E192*IF(F192="",1,IFERROR(INDEX(Setup!$F$9:$F$18,MATCH(F192,Setup!$E$9:$E$18,0)),0))))</f>
        <v/>
      </c>
      <c r="H192" s="1" t="n"/>
    </row>
    <row r="193">
      <c r="A193" s="1" t="n"/>
      <c r="B193" s="30" t="n"/>
      <c r="C193" s="28" t="n"/>
      <c r="D193" s="28" t="n"/>
      <c r="E193" s="31" t="n"/>
      <c r="F193" s="29" t="n"/>
      <c r="G193" s="20">
        <f>IF(N(E193)=0,"",IF(N(E193)=0,0,E193*IF(F193="",1,IFERROR(INDEX(Setup!$F$9:$F$18,MATCH(F193,Setup!$E$9:$E$18,0)),0))))</f>
        <v/>
      </c>
      <c r="H193" s="1" t="n"/>
    </row>
    <row r="194">
      <c r="A194" s="1" t="n"/>
      <c r="B194" s="30" t="n"/>
      <c r="C194" s="28" t="n"/>
      <c r="D194" s="28" t="n"/>
      <c r="E194" s="31" t="n"/>
      <c r="F194" s="29" t="n"/>
      <c r="G194" s="20">
        <f>IF(N(E194)=0,"",IF(N(E194)=0,0,E194*IF(F194="",1,IFERROR(INDEX(Setup!$F$9:$F$18,MATCH(F194,Setup!$E$9:$E$18,0)),0))))</f>
        <v/>
      </c>
      <c r="H194" s="1" t="n"/>
    </row>
    <row r="195">
      <c r="A195" s="1" t="n"/>
      <c r="B195" s="30" t="n"/>
      <c r="C195" s="28" t="n"/>
      <c r="D195" s="28" t="n"/>
      <c r="E195" s="31" t="n"/>
      <c r="F195" s="29" t="n"/>
      <c r="G195" s="20">
        <f>IF(N(E195)=0,"",IF(N(E195)=0,0,E195*IF(F195="",1,IFERROR(INDEX(Setup!$F$9:$F$18,MATCH(F195,Setup!$E$9:$E$18,0)),0))))</f>
        <v/>
      </c>
      <c r="H195" s="1" t="n"/>
    </row>
    <row r="196">
      <c r="A196" s="1" t="n"/>
      <c r="B196" s="30" t="n"/>
      <c r="C196" s="28" t="n"/>
      <c r="D196" s="28" t="n"/>
      <c r="E196" s="31" t="n"/>
      <c r="F196" s="29" t="n"/>
      <c r="G196" s="20">
        <f>IF(N(E196)=0,"",IF(N(E196)=0,0,E196*IF(F196="",1,IFERROR(INDEX(Setup!$F$9:$F$18,MATCH(F196,Setup!$E$9:$E$18,0)),0))))</f>
        <v/>
      </c>
      <c r="H196" s="1" t="n"/>
    </row>
    <row r="197">
      <c r="A197" s="1" t="n"/>
      <c r="B197" s="30" t="n"/>
      <c r="C197" s="28" t="n"/>
      <c r="D197" s="28" t="n"/>
      <c r="E197" s="31" t="n"/>
      <c r="F197" s="29" t="n"/>
      <c r="G197" s="20">
        <f>IF(N(E197)=0,"",IF(N(E197)=0,0,E197*IF(F197="",1,IFERROR(INDEX(Setup!$F$9:$F$18,MATCH(F197,Setup!$E$9:$E$18,0)),0))))</f>
        <v/>
      </c>
      <c r="H197" s="1" t="n"/>
    </row>
    <row r="198">
      <c r="A198" s="1" t="n"/>
      <c r="B198" s="30" t="n"/>
      <c r="C198" s="28" t="n"/>
      <c r="D198" s="28" t="n"/>
      <c r="E198" s="31" t="n"/>
      <c r="F198" s="29" t="n"/>
      <c r="G198" s="20">
        <f>IF(N(E198)=0,"",IF(N(E198)=0,0,E198*IF(F198="",1,IFERROR(INDEX(Setup!$F$9:$F$18,MATCH(F198,Setup!$E$9:$E$18,0)),0))))</f>
        <v/>
      </c>
      <c r="H198" s="1" t="n"/>
    </row>
    <row r="199">
      <c r="A199" s="1" t="n"/>
      <c r="B199" s="30" t="n"/>
      <c r="C199" s="28" t="n"/>
      <c r="D199" s="28" t="n"/>
      <c r="E199" s="31" t="n"/>
      <c r="F199" s="29" t="n"/>
      <c r="G199" s="20">
        <f>IF(N(E199)=0,"",IF(N(E199)=0,0,E199*IF(F199="",1,IFERROR(INDEX(Setup!$F$9:$F$18,MATCH(F199,Setup!$E$9:$E$18,0)),0))))</f>
        <v/>
      </c>
      <c r="H199" s="1" t="n"/>
    </row>
    <row r="200">
      <c r="A200" s="1" t="n"/>
      <c r="B200" s="30" t="n"/>
      <c r="C200" s="28" t="n"/>
      <c r="D200" s="28" t="n"/>
      <c r="E200" s="31" t="n"/>
      <c r="F200" s="29" t="n"/>
      <c r="G200" s="20">
        <f>IF(N(E200)=0,"",IF(N(E200)=0,0,E200*IF(F200="",1,IFERROR(INDEX(Setup!$F$9:$F$18,MATCH(F200,Setup!$E$9:$E$18,0)),0))))</f>
        <v/>
      </c>
      <c r="H200" s="1" t="n"/>
    </row>
    <row r="201">
      <c r="A201" s="1" t="n"/>
      <c r="B201" s="30" t="n"/>
      <c r="C201" s="28" t="n"/>
      <c r="D201" s="28" t="n"/>
      <c r="E201" s="31" t="n"/>
      <c r="F201" s="29" t="n"/>
      <c r="G201" s="20">
        <f>IF(N(E201)=0,"",IF(N(E201)=0,0,E201*IF(F201="",1,IFERROR(INDEX(Setup!$F$9:$F$18,MATCH(F201,Setup!$E$9:$E$18,0)),0))))</f>
        <v/>
      </c>
      <c r="H201" s="1" t="n"/>
    </row>
    <row r="202">
      <c r="A202" s="1" t="n"/>
      <c r="B202" s="30" t="n"/>
      <c r="C202" s="28" t="n"/>
      <c r="D202" s="28" t="n"/>
      <c r="E202" s="31" t="n"/>
      <c r="F202" s="29" t="n"/>
      <c r="G202" s="20">
        <f>IF(N(E202)=0,"",IF(N(E202)=0,0,E202*IF(F202="",1,IFERROR(INDEX(Setup!$F$9:$F$18,MATCH(F202,Setup!$E$9:$E$18,0)),0))))</f>
        <v/>
      </c>
      <c r="H202" s="1" t="n"/>
    </row>
    <row r="203">
      <c r="A203" s="1" t="n"/>
      <c r="B203" s="30" t="n"/>
      <c r="C203" s="28" t="n"/>
      <c r="D203" s="28" t="n"/>
      <c r="E203" s="31" t="n"/>
      <c r="F203" s="29" t="n"/>
      <c r="G203" s="20">
        <f>IF(N(E203)=0,"",IF(N(E203)=0,0,E203*IF(F203="",1,IFERROR(INDEX(Setup!$F$9:$F$18,MATCH(F203,Setup!$E$9:$E$18,0)),0))))</f>
        <v/>
      </c>
      <c r="H203" s="1" t="n"/>
    </row>
    <row r="204">
      <c r="A204" s="1" t="n"/>
      <c r="B204" s="30" t="n"/>
      <c r="C204" s="28" t="n"/>
      <c r="D204" s="28" t="n"/>
      <c r="E204" s="31" t="n"/>
      <c r="F204" s="29" t="n"/>
      <c r="G204" s="20">
        <f>IF(N(E204)=0,"",IF(N(E204)=0,0,E204*IF(F204="",1,IFERROR(INDEX(Setup!$F$9:$F$18,MATCH(F204,Setup!$E$9:$E$18,0)),0))))</f>
        <v/>
      </c>
      <c r="H204" s="1" t="n"/>
    </row>
    <row r="205">
      <c r="A205" s="1" t="n"/>
      <c r="B205" s="30" t="n"/>
      <c r="C205" s="28" t="n"/>
      <c r="D205" s="28" t="n"/>
      <c r="E205" s="31" t="n"/>
      <c r="F205" s="29" t="n"/>
      <c r="G205" s="20">
        <f>IF(N(E205)=0,"",IF(N(E205)=0,0,E205*IF(F205="",1,IFERROR(INDEX(Setup!$F$9:$F$18,MATCH(F205,Setup!$E$9:$E$18,0)),0))))</f>
        <v/>
      </c>
      <c r="H205" s="1" t="n"/>
    </row>
    <row r="206">
      <c r="A206" s="1" t="n"/>
      <c r="B206" s="30" t="n"/>
      <c r="C206" s="28" t="n"/>
      <c r="D206" s="28" t="n"/>
      <c r="E206" s="31" t="n"/>
      <c r="F206" s="29" t="n"/>
      <c r="G206" s="20">
        <f>IF(N(E206)=0,"",IF(N(E206)=0,0,E206*IF(F206="",1,IFERROR(INDEX(Setup!$F$9:$F$18,MATCH(F206,Setup!$E$9:$E$18,0)),0))))</f>
        <v/>
      </c>
      <c r="H206" s="1" t="n"/>
    </row>
    <row r="207">
      <c r="A207" s="1" t="n"/>
      <c r="B207" s="30" t="n"/>
      <c r="C207" s="28" t="n"/>
      <c r="D207" s="28" t="n"/>
      <c r="E207" s="31" t="n"/>
      <c r="F207" s="29" t="n"/>
      <c r="G207" s="20">
        <f>IF(N(E207)=0,"",IF(N(E207)=0,0,E207*IF(F207="",1,IFERROR(INDEX(Setup!$F$9:$F$18,MATCH(F207,Setup!$E$9:$E$18,0)),0))))</f>
        <v/>
      </c>
      <c r="H207" s="1" t="n"/>
    </row>
    <row r="208">
      <c r="A208" s="1" t="n"/>
      <c r="B208" s="30" t="n"/>
      <c r="C208" s="28" t="n"/>
      <c r="D208" s="28" t="n"/>
      <c r="E208" s="31" t="n"/>
      <c r="F208" s="29" t="n"/>
      <c r="G208" s="20">
        <f>IF(N(E208)=0,"",IF(N(E208)=0,0,E208*IF(F208="",1,IFERROR(INDEX(Setup!$F$9:$F$18,MATCH(F208,Setup!$E$9:$E$18,0)),0))))</f>
        <v/>
      </c>
      <c r="H208" s="1" t="n"/>
    </row>
    <row r="209">
      <c r="A209" s="1" t="n"/>
      <c r="B209" s="30" t="n"/>
      <c r="C209" s="28" t="n"/>
      <c r="D209" s="28" t="n"/>
      <c r="E209" s="31" t="n"/>
      <c r="F209" s="29" t="n"/>
      <c r="G209" s="20">
        <f>IF(N(E209)=0,"",IF(N(E209)=0,0,E209*IF(F209="",1,IFERROR(INDEX(Setup!$F$9:$F$18,MATCH(F209,Setup!$E$9:$E$18,0)),0))))</f>
        <v/>
      </c>
      <c r="H209" s="1" t="n"/>
    </row>
    <row r="210">
      <c r="A210" s="1" t="n"/>
      <c r="B210" s="30" t="n"/>
      <c r="C210" s="28" t="n"/>
      <c r="D210" s="28" t="n"/>
      <c r="E210" s="31" t="n"/>
      <c r="F210" s="29" t="n"/>
      <c r="G210" s="20">
        <f>IF(N(E210)=0,"",IF(N(E210)=0,0,E210*IF(F210="",1,IFERROR(INDEX(Setup!$F$9:$F$18,MATCH(F210,Setup!$E$9:$E$18,0)),0))))</f>
        <v/>
      </c>
      <c r="H210" s="1" t="n"/>
    </row>
    <row r="211">
      <c r="A211" s="1" t="n"/>
      <c r="B211" s="30" t="n"/>
      <c r="C211" s="28" t="n"/>
      <c r="D211" s="28" t="n"/>
      <c r="E211" s="31" t="n"/>
      <c r="F211" s="29" t="n"/>
      <c r="G211" s="20">
        <f>IF(N(E211)=0,"",IF(N(E211)=0,0,E211*IF(F211="",1,IFERROR(INDEX(Setup!$F$9:$F$18,MATCH(F211,Setup!$E$9:$E$18,0)),0))))</f>
        <v/>
      </c>
      <c r="H211" s="1" t="n"/>
    </row>
    <row r="212">
      <c r="A212" s="1" t="n"/>
      <c r="B212" s="30" t="n"/>
      <c r="C212" s="28" t="n"/>
      <c r="D212" s="28" t="n"/>
      <c r="E212" s="31" t="n"/>
      <c r="F212" s="29" t="n"/>
      <c r="G212" s="20">
        <f>IF(N(E212)=0,"",IF(N(E212)=0,0,E212*IF(F212="",1,IFERROR(INDEX(Setup!$F$9:$F$18,MATCH(F212,Setup!$E$9:$E$18,0)),0))))</f>
        <v/>
      </c>
      <c r="H212" s="1" t="n"/>
    </row>
    <row r="213">
      <c r="A213" s="1" t="n"/>
      <c r="B213" s="30" t="n"/>
      <c r="C213" s="28" t="n"/>
      <c r="D213" s="28" t="n"/>
      <c r="E213" s="31" t="n"/>
      <c r="F213" s="29" t="n"/>
      <c r="G213" s="20">
        <f>IF(N(E213)=0,"",IF(N(E213)=0,0,E213*IF(F213="",1,IFERROR(INDEX(Setup!$F$9:$F$18,MATCH(F213,Setup!$E$9:$E$18,0)),0))))</f>
        <v/>
      </c>
      <c r="H213" s="1" t="n"/>
    </row>
    <row r="214">
      <c r="A214" s="1" t="n"/>
      <c r="B214" s="30" t="n"/>
      <c r="C214" s="28" t="n"/>
      <c r="D214" s="28" t="n"/>
      <c r="E214" s="31" t="n"/>
      <c r="F214" s="29" t="n"/>
      <c r="G214" s="20">
        <f>IF(N(E214)=0,"",IF(N(E214)=0,0,E214*IF(F214="",1,IFERROR(INDEX(Setup!$F$9:$F$18,MATCH(F214,Setup!$E$9:$E$18,0)),0))))</f>
        <v/>
      </c>
      <c r="H214" s="1" t="n"/>
    </row>
    <row r="215">
      <c r="A215" s="1" t="n"/>
      <c r="B215" s="30" t="n"/>
      <c r="C215" s="28" t="n"/>
      <c r="D215" s="28" t="n"/>
      <c r="E215" s="31" t="n"/>
      <c r="F215" s="29" t="n"/>
      <c r="G215" s="20">
        <f>IF(N(E215)=0,"",IF(N(E215)=0,0,E215*IF(F215="",1,IFERROR(INDEX(Setup!$F$9:$F$18,MATCH(F215,Setup!$E$9:$E$18,0)),0))))</f>
        <v/>
      </c>
      <c r="H215" s="1" t="n"/>
    </row>
    <row r="216">
      <c r="A216" s="1" t="n"/>
      <c r="B216" s="30" t="n"/>
      <c r="C216" s="28" t="n"/>
      <c r="D216" s="28" t="n"/>
      <c r="E216" s="31" t="n"/>
      <c r="F216" s="29" t="n"/>
      <c r="G216" s="20">
        <f>IF(N(E216)=0,"",IF(N(E216)=0,0,E216*IF(F216="",1,IFERROR(INDEX(Setup!$F$9:$F$18,MATCH(F216,Setup!$E$9:$E$18,0)),0))))</f>
        <v/>
      </c>
      <c r="H216" s="1" t="n"/>
    </row>
    <row r="217">
      <c r="A217" s="1" t="n"/>
      <c r="B217" s="30" t="n"/>
      <c r="C217" s="28" t="n"/>
      <c r="D217" s="28" t="n"/>
      <c r="E217" s="31" t="n"/>
      <c r="F217" s="29" t="n"/>
      <c r="G217" s="20">
        <f>IF(N(E217)=0,"",IF(N(E217)=0,0,E217*IF(F217="",1,IFERROR(INDEX(Setup!$F$9:$F$18,MATCH(F217,Setup!$E$9:$E$18,0)),0))))</f>
        <v/>
      </c>
      <c r="H217" s="1" t="n"/>
    </row>
    <row r="218">
      <c r="A218" s="1" t="n"/>
      <c r="B218" s="30" t="n"/>
      <c r="C218" s="28" t="n"/>
      <c r="D218" s="28" t="n"/>
      <c r="E218" s="31" t="n"/>
      <c r="F218" s="29" t="n"/>
      <c r="G218" s="20">
        <f>IF(N(E218)=0,"",IF(N(E218)=0,0,E218*IF(F218="",1,IFERROR(INDEX(Setup!$F$9:$F$18,MATCH(F218,Setup!$E$9:$E$18,0)),0))))</f>
        <v/>
      </c>
      <c r="H218" s="1" t="n"/>
    </row>
    <row r="219">
      <c r="A219" s="1" t="n"/>
      <c r="B219" s="30" t="n"/>
      <c r="C219" s="28" t="n"/>
      <c r="D219" s="28" t="n"/>
      <c r="E219" s="31" t="n"/>
      <c r="F219" s="29" t="n"/>
      <c r="G219" s="20">
        <f>IF(N(E219)=0,"",IF(N(E219)=0,0,E219*IF(F219="",1,IFERROR(INDEX(Setup!$F$9:$F$18,MATCH(F219,Setup!$E$9:$E$18,0)),0))))</f>
        <v/>
      </c>
      <c r="H219" s="1" t="n"/>
    </row>
    <row r="220">
      <c r="A220" s="1" t="n"/>
      <c r="B220" s="30" t="n"/>
      <c r="C220" s="28" t="n"/>
      <c r="D220" s="28" t="n"/>
      <c r="E220" s="31" t="n"/>
      <c r="F220" s="29" t="n"/>
      <c r="G220" s="20">
        <f>IF(N(E220)=0,"",IF(N(E220)=0,0,E220*IF(F220="",1,IFERROR(INDEX(Setup!$F$9:$F$18,MATCH(F220,Setup!$E$9:$E$18,0)),0))))</f>
        <v/>
      </c>
      <c r="H220" s="1" t="n"/>
    </row>
    <row r="221">
      <c r="A221" s="1" t="n"/>
      <c r="B221" s="30" t="n"/>
      <c r="C221" s="28" t="n"/>
      <c r="D221" s="28" t="n"/>
      <c r="E221" s="31" t="n"/>
      <c r="F221" s="29" t="n"/>
      <c r="G221" s="20">
        <f>IF(N(E221)=0,"",IF(N(E221)=0,0,E221*IF(F221="",1,IFERROR(INDEX(Setup!$F$9:$F$18,MATCH(F221,Setup!$E$9:$E$18,0)),0))))</f>
        <v/>
      </c>
      <c r="H221" s="1" t="n"/>
    </row>
    <row r="222">
      <c r="A222" s="1" t="n"/>
      <c r="B222" s="30" t="n"/>
      <c r="C222" s="28" t="n"/>
      <c r="D222" s="28" t="n"/>
      <c r="E222" s="31" t="n"/>
      <c r="F222" s="29" t="n"/>
      <c r="G222" s="20">
        <f>IF(N(E222)=0,"",IF(N(E222)=0,0,E222*IF(F222="",1,IFERROR(INDEX(Setup!$F$9:$F$18,MATCH(F222,Setup!$E$9:$E$18,0)),0))))</f>
        <v/>
      </c>
      <c r="H222" s="1" t="n"/>
    </row>
    <row r="223">
      <c r="A223" s="1" t="n"/>
      <c r="B223" s="30" t="n"/>
      <c r="C223" s="28" t="n"/>
      <c r="D223" s="28" t="n"/>
      <c r="E223" s="31" t="n"/>
      <c r="F223" s="29" t="n"/>
      <c r="G223" s="20">
        <f>IF(N(E223)=0,"",IF(N(E223)=0,0,E223*IF(F223="",1,IFERROR(INDEX(Setup!$F$9:$F$18,MATCH(F223,Setup!$E$9:$E$18,0)),0))))</f>
        <v/>
      </c>
      <c r="H223" s="1" t="n"/>
    </row>
    <row r="224">
      <c r="A224" s="1" t="n"/>
      <c r="B224" s="30" t="n"/>
      <c r="C224" s="28" t="n"/>
      <c r="D224" s="28" t="n"/>
      <c r="E224" s="31" t="n"/>
      <c r="F224" s="29" t="n"/>
      <c r="G224" s="20">
        <f>IF(N(E224)=0,"",IF(N(E224)=0,0,E224*IF(F224="",1,IFERROR(INDEX(Setup!$F$9:$F$18,MATCH(F224,Setup!$E$9:$E$18,0)),0))))</f>
        <v/>
      </c>
      <c r="H224" s="1" t="n"/>
    </row>
    <row r="225">
      <c r="A225" s="1" t="n"/>
      <c r="B225" s="30" t="n"/>
      <c r="C225" s="28" t="n"/>
      <c r="D225" s="28" t="n"/>
      <c r="E225" s="31" t="n"/>
      <c r="F225" s="29" t="n"/>
      <c r="G225" s="20">
        <f>IF(N(E225)=0,"",IF(N(E225)=0,0,E225*IF(F225="",1,IFERROR(INDEX(Setup!$F$9:$F$18,MATCH(F225,Setup!$E$9:$E$18,0)),0))))</f>
        <v/>
      </c>
      <c r="H225" s="1" t="n"/>
    </row>
    <row r="226">
      <c r="A226" s="1" t="n"/>
      <c r="B226" s="30" t="n"/>
      <c r="C226" s="28" t="n"/>
      <c r="D226" s="28" t="n"/>
      <c r="E226" s="31" t="n"/>
      <c r="F226" s="29" t="n"/>
      <c r="G226" s="20">
        <f>IF(N(E226)=0,"",IF(N(E226)=0,0,E226*IF(F226="",1,IFERROR(INDEX(Setup!$F$9:$F$18,MATCH(F226,Setup!$E$9:$E$18,0)),0))))</f>
        <v/>
      </c>
      <c r="H226" s="1" t="n"/>
    </row>
    <row r="227">
      <c r="A227" s="1" t="n"/>
      <c r="B227" s="30" t="n"/>
      <c r="C227" s="28" t="n"/>
      <c r="D227" s="28" t="n"/>
      <c r="E227" s="31" t="n"/>
      <c r="F227" s="29" t="n"/>
      <c r="G227" s="20">
        <f>IF(N(E227)=0,"",IF(N(E227)=0,0,E227*IF(F227="",1,IFERROR(INDEX(Setup!$F$9:$F$18,MATCH(F227,Setup!$E$9:$E$18,0)),0))))</f>
        <v/>
      </c>
      <c r="H227" s="1" t="n"/>
    </row>
    <row r="228">
      <c r="A228" s="1" t="n"/>
      <c r="B228" s="30" t="n"/>
      <c r="C228" s="28" t="n"/>
      <c r="D228" s="28" t="n"/>
      <c r="E228" s="31" t="n"/>
      <c r="F228" s="29" t="n"/>
      <c r="G228" s="20">
        <f>IF(N(E228)=0,"",IF(N(E228)=0,0,E228*IF(F228="",1,IFERROR(INDEX(Setup!$F$9:$F$18,MATCH(F228,Setup!$E$9:$E$18,0)),0))))</f>
        <v/>
      </c>
      <c r="H228" s="1" t="n"/>
    </row>
    <row r="229">
      <c r="A229" s="1" t="n"/>
      <c r="B229" s="30" t="n"/>
      <c r="C229" s="28" t="n"/>
      <c r="D229" s="28" t="n"/>
      <c r="E229" s="31" t="n"/>
      <c r="F229" s="29" t="n"/>
      <c r="G229" s="20">
        <f>IF(N(E229)=0,"",IF(N(E229)=0,0,E229*IF(F229="",1,IFERROR(INDEX(Setup!$F$9:$F$18,MATCH(F229,Setup!$E$9:$E$18,0)),0))))</f>
        <v/>
      </c>
      <c r="H229" s="1" t="n"/>
    </row>
    <row r="230">
      <c r="A230" s="1" t="n"/>
      <c r="B230" s="30" t="n"/>
      <c r="C230" s="28" t="n"/>
      <c r="D230" s="28" t="n"/>
      <c r="E230" s="31" t="n"/>
      <c r="F230" s="29" t="n"/>
      <c r="G230" s="20">
        <f>IF(N(E230)=0,"",IF(N(E230)=0,0,E230*IF(F230="",1,IFERROR(INDEX(Setup!$F$9:$F$18,MATCH(F230,Setup!$E$9:$E$18,0)),0))))</f>
        <v/>
      </c>
      <c r="H230" s="1" t="n"/>
    </row>
    <row r="231">
      <c r="A231" s="1" t="n"/>
      <c r="B231" s="30" t="n"/>
      <c r="C231" s="28" t="n"/>
      <c r="D231" s="28" t="n"/>
      <c r="E231" s="31" t="n"/>
      <c r="F231" s="29" t="n"/>
      <c r="G231" s="20">
        <f>IF(N(E231)=0,"",IF(N(E231)=0,0,E231*IF(F231="",1,IFERROR(INDEX(Setup!$F$9:$F$18,MATCH(F231,Setup!$E$9:$E$18,0)),0))))</f>
        <v/>
      </c>
      <c r="H231" s="1" t="n"/>
    </row>
    <row r="232">
      <c r="A232" s="1" t="n"/>
      <c r="B232" s="30" t="n"/>
      <c r="C232" s="28" t="n"/>
      <c r="D232" s="28" t="n"/>
      <c r="E232" s="31" t="n"/>
      <c r="F232" s="29" t="n"/>
      <c r="G232" s="20">
        <f>IF(N(E232)=0,"",IF(N(E232)=0,0,E232*IF(F232="",1,IFERROR(INDEX(Setup!$F$9:$F$18,MATCH(F232,Setup!$E$9:$E$18,0)),0))))</f>
        <v/>
      </c>
      <c r="H232" s="1" t="n"/>
    </row>
    <row r="233">
      <c r="A233" s="1" t="n"/>
      <c r="B233" s="30" t="n"/>
      <c r="C233" s="28" t="n"/>
      <c r="D233" s="28" t="n"/>
      <c r="E233" s="31" t="n"/>
      <c r="F233" s="29" t="n"/>
      <c r="G233" s="20">
        <f>IF(N(E233)=0,"",IF(N(E233)=0,0,E233*IF(F233="",1,IFERROR(INDEX(Setup!$F$9:$F$18,MATCH(F233,Setup!$E$9:$E$18,0)),0))))</f>
        <v/>
      </c>
      <c r="H233" s="1" t="n"/>
    </row>
    <row r="234">
      <c r="A234" s="1" t="n"/>
      <c r="B234" s="30" t="n"/>
      <c r="C234" s="28" t="n"/>
      <c r="D234" s="28" t="n"/>
      <c r="E234" s="31" t="n"/>
      <c r="F234" s="29" t="n"/>
      <c r="G234" s="20">
        <f>IF(N(E234)=0,"",IF(N(E234)=0,0,E234*IF(F234="",1,IFERROR(INDEX(Setup!$F$9:$F$18,MATCH(F234,Setup!$E$9:$E$18,0)),0))))</f>
        <v/>
      </c>
      <c r="H234" s="1" t="n"/>
    </row>
    <row r="235">
      <c r="A235" s="1" t="n"/>
      <c r="B235" s="30" t="n"/>
      <c r="C235" s="28" t="n"/>
      <c r="D235" s="28" t="n"/>
      <c r="E235" s="31" t="n"/>
      <c r="F235" s="29" t="n"/>
      <c r="G235" s="20">
        <f>IF(N(E235)=0,"",IF(N(E235)=0,0,E235*IF(F235="",1,IFERROR(INDEX(Setup!$F$9:$F$18,MATCH(F235,Setup!$E$9:$E$18,0)),0))))</f>
        <v/>
      </c>
      <c r="H235" s="1" t="n"/>
    </row>
    <row r="236">
      <c r="A236" s="1" t="n"/>
      <c r="B236" s="30" t="n"/>
      <c r="C236" s="28" t="n"/>
      <c r="D236" s="28" t="n"/>
      <c r="E236" s="31" t="n"/>
      <c r="F236" s="29" t="n"/>
      <c r="G236" s="20">
        <f>IF(N(E236)=0,"",IF(N(E236)=0,0,E236*IF(F236="",1,IFERROR(INDEX(Setup!$F$9:$F$18,MATCH(F236,Setup!$E$9:$E$18,0)),0))))</f>
        <v/>
      </c>
      <c r="H236" s="1" t="n"/>
    </row>
    <row r="237">
      <c r="A237" s="1" t="n"/>
      <c r="B237" s="30" t="n"/>
      <c r="C237" s="28" t="n"/>
      <c r="D237" s="28" t="n"/>
      <c r="E237" s="31" t="n"/>
      <c r="F237" s="29" t="n"/>
      <c r="G237" s="20">
        <f>IF(N(E237)=0,"",IF(N(E237)=0,0,E237*IF(F237="",1,IFERROR(INDEX(Setup!$F$9:$F$18,MATCH(F237,Setup!$E$9:$E$18,0)),0))))</f>
        <v/>
      </c>
      <c r="H237" s="1" t="n"/>
    </row>
    <row r="238">
      <c r="A238" s="1" t="n"/>
      <c r="B238" s="30" t="n"/>
      <c r="C238" s="28" t="n"/>
      <c r="D238" s="28" t="n"/>
      <c r="E238" s="31" t="n"/>
      <c r="F238" s="29" t="n"/>
      <c r="G238" s="20">
        <f>IF(N(E238)=0,"",IF(N(E238)=0,0,E238*IF(F238="",1,IFERROR(INDEX(Setup!$F$9:$F$18,MATCH(F238,Setup!$E$9:$E$18,0)),0))))</f>
        <v/>
      </c>
      <c r="H238" s="1" t="n"/>
    </row>
    <row r="239">
      <c r="A239" s="1" t="n"/>
      <c r="B239" s="30" t="n"/>
      <c r="C239" s="28" t="n"/>
      <c r="D239" s="28" t="n"/>
      <c r="E239" s="31" t="n"/>
      <c r="F239" s="29" t="n"/>
      <c r="G239" s="20">
        <f>IF(N(E239)=0,"",IF(N(E239)=0,0,E239*IF(F239="",1,IFERROR(INDEX(Setup!$F$9:$F$18,MATCH(F239,Setup!$E$9:$E$18,0)),0))))</f>
        <v/>
      </c>
      <c r="H239" s="1" t="n"/>
    </row>
    <row r="240">
      <c r="A240" s="1" t="n"/>
      <c r="B240" s="30" t="n"/>
      <c r="C240" s="28" t="n"/>
      <c r="D240" s="28" t="n"/>
      <c r="E240" s="31" t="n"/>
      <c r="F240" s="29" t="n"/>
      <c r="G240" s="20">
        <f>IF(N(E240)=0,"",IF(N(E240)=0,0,E240*IF(F240="",1,IFERROR(INDEX(Setup!$F$9:$F$18,MATCH(F240,Setup!$E$9:$E$18,0)),0))))</f>
        <v/>
      </c>
      <c r="H240" s="1" t="n"/>
    </row>
    <row r="241">
      <c r="A241" s="1" t="n"/>
      <c r="B241" s="30" t="n"/>
      <c r="C241" s="28" t="n"/>
      <c r="D241" s="28" t="n"/>
      <c r="E241" s="31" t="n"/>
      <c r="F241" s="29" t="n"/>
      <c r="G241" s="20">
        <f>IF(N(E241)=0,"",IF(N(E241)=0,0,E241*IF(F241="",1,IFERROR(INDEX(Setup!$F$9:$F$18,MATCH(F241,Setup!$E$9:$E$18,0)),0))))</f>
        <v/>
      </c>
      <c r="H241" s="1" t="n"/>
    </row>
    <row r="242">
      <c r="A242" s="1" t="n"/>
      <c r="B242" s="30" t="n"/>
      <c r="C242" s="28" t="n"/>
      <c r="D242" s="28" t="n"/>
      <c r="E242" s="31" t="n"/>
      <c r="F242" s="29" t="n"/>
      <c r="G242" s="20">
        <f>IF(N(E242)=0,"",IF(N(E242)=0,0,E242*IF(F242="",1,IFERROR(INDEX(Setup!$F$9:$F$18,MATCH(F242,Setup!$E$9:$E$18,0)),0))))</f>
        <v/>
      </c>
      <c r="H242" s="1" t="n"/>
    </row>
    <row r="243">
      <c r="A243" s="1" t="n"/>
      <c r="B243" s="30" t="n"/>
      <c r="C243" s="28" t="n"/>
      <c r="D243" s="28" t="n"/>
      <c r="E243" s="31" t="n"/>
      <c r="F243" s="29" t="n"/>
      <c r="G243" s="20">
        <f>IF(N(E243)=0,"",IF(N(E243)=0,0,E243*IF(F243="",1,IFERROR(INDEX(Setup!$F$9:$F$18,MATCH(F243,Setup!$E$9:$E$18,0)),0))))</f>
        <v/>
      </c>
      <c r="H243" s="1" t="n"/>
    </row>
    <row r="244">
      <c r="A244" s="1" t="n"/>
      <c r="B244" s="30" t="n"/>
      <c r="C244" s="28" t="n"/>
      <c r="D244" s="28" t="n"/>
      <c r="E244" s="31" t="n"/>
      <c r="F244" s="29" t="n"/>
      <c r="G244" s="20">
        <f>IF(N(E244)=0,"",IF(N(E244)=0,0,E244*IF(F244="",1,IFERROR(INDEX(Setup!$F$9:$F$18,MATCH(F244,Setup!$E$9:$E$18,0)),0))))</f>
        <v/>
      </c>
      <c r="H244" s="1" t="n"/>
    </row>
    <row r="245">
      <c r="A245" s="1" t="n"/>
      <c r="B245" s="30" t="n"/>
      <c r="C245" s="28" t="n"/>
      <c r="D245" s="28" t="n"/>
      <c r="E245" s="31" t="n"/>
      <c r="F245" s="29" t="n"/>
      <c r="G245" s="20">
        <f>IF(N(E245)=0,"",IF(N(E245)=0,0,E245*IF(F245="",1,IFERROR(INDEX(Setup!$F$9:$F$18,MATCH(F245,Setup!$E$9:$E$18,0)),0))))</f>
        <v/>
      </c>
      <c r="H245" s="1" t="n"/>
    </row>
    <row r="246">
      <c r="A246" s="1" t="n"/>
      <c r="B246" s="30" t="n"/>
      <c r="C246" s="28" t="n"/>
      <c r="D246" s="28" t="n"/>
      <c r="E246" s="31" t="n"/>
      <c r="F246" s="29" t="n"/>
      <c r="G246" s="20">
        <f>IF(N(E246)=0,"",IF(N(E246)=0,0,E246*IF(F246="",1,IFERROR(INDEX(Setup!$F$9:$F$18,MATCH(F246,Setup!$E$9:$E$18,0)),0))))</f>
        <v/>
      </c>
      <c r="H246" s="1" t="n"/>
    </row>
    <row r="247">
      <c r="A247" s="1" t="n"/>
      <c r="B247" s="30" t="n"/>
      <c r="C247" s="28" t="n"/>
      <c r="D247" s="28" t="n"/>
      <c r="E247" s="31" t="n"/>
      <c r="F247" s="29" t="n"/>
      <c r="G247" s="20">
        <f>IF(N(E247)=0,"",IF(N(E247)=0,0,E247*IF(F247="",1,IFERROR(INDEX(Setup!$F$9:$F$18,MATCH(F247,Setup!$E$9:$E$18,0)),0))))</f>
        <v/>
      </c>
      <c r="H247" s="1" t="n"/>
    </row>
    <row r="248">
      <c r="A248" s="1" t="n"/>
      <c r="B248" s="30" t="n"/>
      <c r="C248" s="28" t="n"/>
      <c r="D248" s="28" t="n"/>
      <c r="E248" s="31" t="n"/>
      <c r="F248" s="29" t="n"/>
      <c r="G248" s="20">
        <f>IF(N(E248)=0,"",IF(N(E248)=0,0,E248*IF(F248="",1,IFERROR(INDEX(Setup!$F$9:$F$18,MATCH(F248,Setup!$E$9:$E$18,0)),0))))</f>
        <v/>
      </c>
      <c r="H248" s="1" t="n"/>
    </row>
    <row r="249">
      <c r="A249" s="1" t="n"/>
      <c r="B249" s="30" t="n"/>
      <c r="C249" s="28" t="n"/>
      <c r="D249" s="28" t="n"/>
      <c r="E249" s="31" t="n"/>
      <c r="F249" s="29" t="n"/>
      <c r="G249" s="20">
        <f>IF(N(E249)=0,"",IF(N(E249)=0,0,E249*IF(F249="",1,IFERROR(INDEX(Setup!$F$9:$F$18,MATCH(F249,Setup!$E$9:$E$18,0)),0))))</f>
        <v/>
      </c>
      <c r="H249" s="1" t="n"/>
    </row>
    <row r="250">
      <c r="A250" s="1" t="n"/>
      <c r="B250" s="30" t="n"/>
      <c r="C250" s="28" t="n"/>
      <c r="D250" s="28" t="n"/>
      <c r="E250" s="31" t="n"/>
      <c r="F250" s="29" t="n"/>
      <c r="G250" s="20">
        <f>IF(N(E250)=0,"",IF(N(E250)=0,0,E250*IF(F250="",1,IFERROR(INDEX(Setup!$F$9:$F$18,MATCH(F250,Setup!$E$9:$E$18,0)),0))))</f>
        <v/>
      </c>
      <c r="H250" s="1" t="n"/>
    </row>
    <row r="251">
      <c r="A251" s="1" t="n"/>
      <c r="B251" s="30" t="n"/>
      <c r="C251" s="28" t="n"/>
      <c r="D251" s="28" t="n"/>
      <c r="E251" s="31" t="n"/>
      <c r="F251" s="29" t="n"/>
      <c r="G251" s="20">
        <f>IF(N(E251)=0,"",IF(N(E251)=0,0,E251*IF(F251="",1,IFERROR(INDEX(Setup!$F$9:$F$18,MATCH(F251,Setup!$E$9:$E$18,0)),0))))</f>
        <v/>
      </c>
      <c r="H251" s="1" t="n"/>
    </row>
    <row r="252">
      <c r="A252" s="1" t="n"/>
      <c r="B252" s="30" t="n"/>
      <c r="C252" s="28" t="n"/>
      <c r="D252" s="28" t="n"/>
      <c r="E252" s="31" t="n"/>
      <c r="F252" s="29" t="n"/>
      <c r="G252" s="20">
        <f>IF(N(E252)=0,"",IF(N(E252)=0,0,E252*IF(F252="",1,IFERROR(INDEX(Setup!$F$9:$F$18,MATCH(F252,Setup!$E$9:$E$18,0)),0))))</f>
        <v/>
      </c>
      <c r="H252" s="1" t="n"/>
    </row>
    <row r="253">
      <c r="A253" s="1" t="n"/>
      <c r="B253" s="30" t="n"/>
      <c r="C253" s="28" t="n"/>
      <c r="D253" s="28" t="n"/>
      <c r="E253" s="31" t="n"/>
      <c r="F253" s="29" t="n"/>
      <c r="G253" s="20">
        <f>IF(N(E253)=0,"",IF(N(E253)=0,0,E253*IF(F253="",1,IFERROR(INDEX(Setup!$F$9:$F$18,MATCH(F253,Setup!$E$9:$E$18,0)),0))))</f>
        <v/>
      </c>
      <c r="H253" s="1" t="n"/>
    </row>
    <row r="254">
      <c r="A254" s="1" t="n"/>
      <c r="B254" s="30" t="n"/>
      <c r="C254" s="28" t="n"/>
      <c r="D254" s="28" t="n"/>
      <c r="E254" s="31" t="n"/>
      <c r="F254" s="29" t="n"/>
      <c r="G254" s="20">
        <f>IF(N(E254)=0,"",IF(N(E254)=0,0,E254*IF(F254="",1,IFERROR(INDEX(Setup!$F$9:$F$18,MATCH(F254,Setup!$E$9:$E$18,0)),0))))</f>
        <v/>
      </c>
      <c r="H254" s="1" t="n"/>
    </row>
    <row r="255">
      <c r="A255" s="1" t="n"/>
      <c r="B255" s="30" t="n"/>
      <c r="C255" s="28" t="n"/>
      <c r="D255" s="28" t="n"/>
      <c r="E255" s="31" t="n"/>
      <c r="F255" s="29" t="n"/>
      <c r="G255" s="20">
        <f>IF(N(E255)=0,"",IF(N(E255)=0,0,E255*IF(F255="",1,IFERROR(INDEX(Setup!$F$9:$F$18,MATCH(F255,Setup!$E$9:$E$18,0)),0))))</f>
        <v/>
      </c>
      <c r="H255" s="1" t="n"/>
    </row>
    <row r="256">
      <c r="A256" s="1" t="n"/>
      <c r="B256" s="30" t="n"/>
      <c r="C256" s="28" t="n"/>
      <c r="D256" s="28" t="n"/>
      <c r="E256" s="31" t="n"/>
      <c r="F256" s="29" t="n"/>
      <c r="G256" s="20">
        <f>IF(N(E256)=0,"",IF(N(E256)=0,0,E256*IF(F256="",1,IFERROR(INDEX(Setup!$F$9:$F$18,MATCH(F256,Setup!$E$9:$E$18,0)),0))))</f>
        <v/>
      </c>
      <c r="H256" s="1" t="n"/>
    </row>
    <row r="257">
      <c r="A257" s="1" t="n"/>
      <c r="B257" s="30" t="n"/>
      <c r="C257" s="28" t="n"/>
      <c r="D257" s="28" t="n"/>
      <c r="E257" s="31" t="n"/>
      <c r="F257" s="29" t="n"/>
      <c r="G257" s="20">
        <f>IF(N(E257)=0,"",IF(N(E257)=0,0,E257*IF(F257="",1,IFERROR(INDEX(Setup!$F$9:$F$18,MATCH(F257,Setup!$E$9:$E$18,0)),0))))</f>
        <v/>
      </c>
      <c r="H257" s="1" t="n"/>
    </row>
    <row r="258">
      <c r="A258" s="1" t="n"/>
      <c r="B258" s="30" t="n"/>
      <c r="C258" s="28" t="n"/>
      <c r="D258" s="28" t="n"/>
      <c r="E258" s="31" t="n"/>
      <c r="F258" s="29" t="n"/>
      <c r="G258" s="20">
        <f>IF(N(E258)=0,"",IF(N(E258)=0,0,E258*IF(F258="",1,IFERROR(INDEX(Setup!$F$9:$F$18,MATCH(F258,Setup!$E$9:$E$18,0)),0))))</f>
        <v/>
      </c>
      <c r="H258" s="1" t="n"/>
    </row>
    <row r="259">
      <c r="A259" s="1" t="n"/>
      <c r="B259" s="30" t="n"/>
      <c r="C259" s="28" t="n"/>
      <c r="D259" s="28" t="n"/>
      <c r="E259" s="31" t="n"/>
      <c r="F259" s="29" t="n"/>
      <c r="G259" s="20">
        <f>IF(N(E259)=0,"",IF(N(E259)=0,0,E259*IF(F259="",1,IFERROR(INDEX(Setup!$F$9:$F$18,MATCH(F259,Setup!$E$9:$E$18,0)),0))))</f>
        <v/>
      </c>
      <c r="H259" s="1" t="n"/>
    </row>
    <row r="260">
      <c r="A260" s="1" t="n"/>
      <c r="B260" s="30" t="n"/>
      <c r="C260" s="28" t="n"/>
      <c r="D260" s="28" t="n"/>
      <c r="E260" s="31" t="n"/>
      <c r="F260" s="29" t="n"/>
      <c r="G260" s="20">
        <f>IF(N(E260)=0,"",IF(N(E260)=0,0,E260*IF(F260="",1,IFERROR(INDEX(Setup!$F$9:$F$18,MATCH(F260,Setup!$E$9:$E$18,0)),0))))</f>
        <v/>
      </c>
      <c r="H260" s="1" t="n"/>
    </row>
    <row r="261">
      <c r="A261" s="1" t="n"/>
      <c r="B261" s="30" t="n"/>
      <c r="C261" s="28" t="n"/>
      <c r="D261" s="28" t="n"/>
      <c r="E261" s="31" t="n"/>
      <c r="F261" s="29" t="n"/>
      <c r="G261" s="20">
        <f>IF(N(E261)=0,"",IF(N(E261)=0,0,E261*IF(F261="",1,IFERROR(INDEX(Setup!$F$9:$F$18,MATCH(F261,Setup!$E$9:$E$18,0)),0))))</f>
        <v/>
      </c>
      <c r="H261" s="1" t="n"/>
    </row>
    <row r="262">
      <c r="A262" s="1" t="n"/>
      <c r="B262" s="30" t="n"/>
      <c r="C262" s="28" t="n"/>
      <c r="D262" s="28" t="n"/>
      <c r="E262" s="31" t="n"/>
      <c r="F262" s="29" t="n"/>
      <c r="G262" s="20">
        <f>IF(N(E262)=0,"",IF(N(E262)=0,0,E262*IF(F262="",1,IFERROR(INDEX(Setup!$F$9:$F$18,MATCH(F262,Setup!$E$9:$E$18,0)),0))))</f>
        <v/>
      </c>
      <c r="H262" s="1" t="n"/>
    </row>
    <row r="263">
      <c r="A263" s="1" t="n"/>
      <c r="B263" s="30" t="n"/>
      <c r="C263" s="28" t="n"/>
      <c r="D263" s="28" t="n"/>
      <c r="E263" s="31" t="n"/>
      <c r="F263" s="29" t="n"/>
      <c r="G263" s="20">
        <f>IF(N(E263)=0,"",IF(N(E263)=0,0,E263*IF(F263="",1,IFERROR(INDEX(Setup!$F$9:$F$18,MATCH(F263,Setup!$E$9:$E$18,0)),0))))</f>
        <v/>
      </c>
      <c r="H263" s="1" t="n"/>
    </row>
    <row r="264">
      <c r="A264" s="1" t="n"/>
      <c r="B264" s="30" t="n"/>
      <c r="C264" s="28" t="n"/>
      <c r="D264" s="28" t="n"/>
      <c r="E264" s="31" t="n"/>
      <c r="F264" s="29" t="n"/>
      <c r="G264" s="20">
        <f>IF(N(E264)=0,"",IF(N(E264)=0,0,E264*IF(F264="",1,IFERROR(INDEX(Setup!$F$9:$F$18,MATCH(F264,Setup!$E$9:$E$18,0)),0))))</f>
        <v/>
      </c>
      <c r="H264" s="1" t="n"/>
    </row>
    <row r="265">
      <c r="A265" s="1" t="n"/>
      <c r="B265" s="30" t="n"/>
      <c r="C265" s="28" t="n"/>
      <c r="D265" s="28" t="n"/>
      <c r="E265" s="31" t="n"/>
      <c r="F265" s="29" t="n"/>
      <c r="G265" s="20">
        <f>IF(N(E265)=0,"",IF(N(E265)=0,0,E265*IF(F265="",1,IFERROR(INDEX(Setup!$F$9:$F$18,MATCH(F265,Setup!$E$9:$E$18,0)),0))))</f>
        <v/>
      </c>
      <c r="H265" s="1" t="n"/>
    </row>
    <row r="266">
      <c r="A266" s="1" t="n"/>
      <c r="B266" s="30" t="n"/>
      <c r="C266" s="28" t="n"/>
      <c r="D266" s="28" t="n"/>
      <c r="E266" s="31" t="n"/>
      <c r="F266" s="29" t="n"/>
      <c r="G266" s="20">
        <f>IF(N(E266)=0,"",IF(N(E266)=0,0,E266*IF(F266="",1,IFERROR(INDEX(Setup!$F$9:$F$18,MATCH(F266,Setup!$E$9:$E$18,0)),0))))</f>
        <v/>
      </c>
      <c r="H266" s="1" t="n"/>
    </row>
    <row r="267">
      <c r="A267" s="1" t="n"/>
      <c r="B267" s="30" t="n"/>
      <c r="C267" s="28" t="n"/>
      <c r="D267" s="28" t="n"/>
      <c r="E267" s="31" t="n"/>
      <c r="F267" s="29" t="n"/>
      <c r="G267" s="20">
        <f>IF(N(E267)=0,"",IF(N(E267)=0,0,E267*IF(F267="",1,IFERROR(INDEX(Setup!$F$9:$F$18,MATCH(F267,Setup!$E$9:$E$18,0)),0))))</f>
        <v/>
      </c>
      <c r="H267" s="1" t="n"/>
    </row>
    <row r="268">
      <c r="A268" s="1" t="n"/>
      <c r="B268" s="30" t="n"/>
      <c r="C268" s="28" t="n"/>
      <c r="D268" s="28" t="n"/>
      <c r="E268" s="31" t="n"/>
      <c r="F268" s="29" t="n"/>
      <c r="G268" s="20">
        <f>IF(N(E268)=0,"",IF(N(E268)=0,0,E268*IF(F268="",1,IFERROR(INDEX(Setup!$F$9:$F$18,MATCH(F268,Setup!$E$9:$E$18,0)),0))))</f>
        <v/>
      </c>
      <c r="H268" s="1" t="n"/>
    </row>
    <row r="269">
      <c r="A269" s="1" t="n"/>
      <c r="B269" s="30" t="n"/>
      <c r="C269" s="28" t="n"/>
      <c r="D269" s="28" t="n"/>
      <c r="E269" s="31" t="n"/>
      <c r="F269" s="29" t="n"/>
      <c r="G269" s="20">
        <f>IF(N(E269)=0,"",IF(N(E269)=0,0,E269*IF(F269="",1,IFERROR(INDEX(Setup!$F$9:$F$18,MATCH(F269,Setup!$E$9:$E$18,0)),0))))</f>
        <v/>
      </c>
      <c r="H269" s="1" t="n"/>
    </row>
    <row r="270">
      <c r="A270" s="1" t="n"/>
      <c r="B270" s="30" t="n"/>
      <c r="C270" s="28" t="n"/>
      <c r="D270" s="28" t="n"/>
      <c r="E270" s="31" t="n"/>
      <c r="F270" s="29" t="n"/>
      <c r="G270" s="20">
        <f>IF(N(E270)=0,"",IF(N(E270)=0,0,E270*IF(F270="",1,IFERROR(INDEX(Setup!$F$9:$F$18,MATCH(F270,Setup!$E$9:$E$18,0)),0))))</f>
        <v/>
      </c>
      <c r="H270" s="1" t="n"/>
    </row>
    <row r="271">
      <c r="A271" s="1" t="n"/>
      <c r="B271" s="30" t="n"/>
      <c r="C271" s="28" t="n"/>
      <c r="D271" s="28" t="n"/>
      <c r="E271" s="31" t="n"/>
      <c r="F271" s="29" t="n"/>
      <c r="G271" s="20">
        <f>IF(N(E271)=0,"",IF(N(E271)=0,0,E271*IF(F271="",1,IFERROR(INDEX(Setup!$F$9:$F$18,MATCH(F271,Setup!$E$9:$E$18,0)),0))))</f>
        <v/>
      </c>
      <c r="H271" s="1" t="n"/>
    </row>
    <row r="272">
      <c r="A272" s="1" t="n"/>
      <c r="B272" s="30" t="n"/>
      <c r="C272" s="28" t="n"/>
      <c r="D272" s="28" t="n"/>
      <c r="E272" s="31" t="n"/>
      <c r="F272" s="29" t="n"/>
      <c r="G272" s="20">
        <f>IF(N(E272)=0,"",IF(N(E272)=0,0,E272*IF(F272="",1,IFERROR(INDEX(Setup!$F$9:$F$18,MATCH(F272,Setup!$E$9:$E$18,0)),0))))</f>
        <v/>
      </c>
      <c r="H272" s="1" t="n"/>
    </row>
    <row r="273">
      <c r="A273" s="1" t="n"/>
      <c r="B273" s="30" t="n"/>
      <c r="C273" s="28" t="n"/>
      <c r="D273" s="28" t="n"/>
      <c r="E273" s="31" t="n"/>
      <c r="F273" s="29" t="n"/>
      <c r="G273" s="20">
        <f>IF(N(E273)=0,"",IF(N(E273)=0,0,E273*IF(F273="",1,IFERROR(INDEX(Setup!$F$9:$F$18,MATCH(F273,Setup!$E$9:$E$18,0)),0))))</f>
        <v/>
      </c>
      <c r="H273" s="1" t="n"/>
    </row>
    <row r="274">
      <c r="A274" s="1" t="n"/>
      <c r="B274" s="30" t="n"/>
      <c r="C274" s="28" t="n"/>
      <c r="D274" s="28" t="n"/>
      <c r="E274" s="31" t="n"/>
      <c r="F274" s="29" t="n"/>
      <c r="G274" s="20">
        <f>IF(N(E274)=0,"",IF(N(E274)=0,0,E274*IF(F274="",1,IFERROR(INDEX(Setup!$F$9:$F$18,MATCH(F274,Setup!$E$9:$E$18,0)),0))))</f>
        <v/>
      </c>
      <c r="H274" s="1" t="n"/>
    </row>
    <row r="275">
      <c r="A275" s="1" t="n"/>
      <c r="B275" s="30" t="n"/>
      <c r="C275" s="28" t="n"/>
      <c r="D275" s="28" t="n"/>
      <c r="E275" s="31" t="n"/>
      <c r="F275" s="29" t="n"/>
      <c r="G275" s="20">
        <f>IF(N(E275)=0,"",IF(N(E275)=0,0,E275*IF(F275="",1,IFERROR(INDEX(Setup!$F$9:$F$18,MATCH(F275,Setup!$E$9:$E$18,0)),0))))</f>
        <v/>
      </c>
      <c r="H275" s="1" t="n"/>
    </row>
    <row r="276">
      <c r="A276" s="1" t="n"/>
      <c r="B276" s="30" t="n"/>
      <c r="C276" s="28" t="n"/>
      <c r="D276" s="28" t="n"/>
      <c r="E276" s="31" t="n"/>
      <c r="F276" s="29" t="n"/>
      <c r="G276" s="20">
        <f>IF(N(E276)=0,"",IF(N(E276)=0,0,E276*IF(F276="",1,IFERROR(INDEX(Setup!$F$9:$F$18,MATCH(F276,Setup!$E$9:$E$18,0)),0))))</f>
        <v/>
      </c>
      <c r="H276" s="1" t="n"/>
    </row>
    <row r="277">
      <c r="A277" s="1" t="n"/>
      <c r="B277" s="30" t="n"/>
      <c r="C277" s="28" t="n"/>
      <c r="D277" s="28" t="n"/>
      <c r="E277" s="31" t="n"/>
      <c r="F277" s="29" t="n"/>
      <c r="G277" s="20">
        <f>IF(N(E277)=0,"",IF(N(E277)=0,0,E277*IF(F277="",1,IFERROR(INDEX(Setup!$F$9:$F$18,MATCH(F277,Setup!$E$9:$E$18,0)),0))))</f>
        <v/>
      </c>
      <c r="H277" s="1" t="n"/>
    </row>
    <row r="278">
      <c r="A278" s="1" t="n"/>
      <c r="B278" s="30" t="n"/>
      <c r="C278" s="28" t="n"/>
      <c r="D278" s="28" t="n"/>
      <c r="E278" s="31" t="n"/>
      <c r="F278" s="29" t="n"/>
      <c r="G278" s="20">
        <f>IF(N(E278)=0,"",IF(N(E278)=0,0,E278*IF(F278="",1,IFERROR(INDEX(Setup!$F$9:$F$18,MATCH(F278,Setup!$E$9:$E$18,0)),0))))</f>
        <v/>
      </c>
      <c r="H278" s="1" t="n"/>
    </row>
    <row r="279">
      <c r="A279" s="1" t="n"/>
      <c r="B279" s="30" t="n"/>
      <c r="C279" s="28" t="n"/>
      <c r="D279" s="28" t="n"/>
      <c r="E279" s="31" t="n"/>
      <c r="F279" s="29" t="n"/>
      <c r="G279" s="20">
        <f>IF(N(E279)=0,"",IF(N(E279)=0,0,E279*IF(F279="",1,IFERROR(INDEX(Setup!$F$9:$F$18,MATCH(F279,Setup!$E$9:$E$18,0)),0))))</f>
        <v/>
      </c>
      <c r="H279" s="1" t="n"/>
    </row>
    <row r="280">
      <c r="A280" s="1" t="n"/>
      <c r="B280" s="30" t="n"/>
      <c r="C280" s="28" t="n"/>
      <c r="D280" s="28" t="n"/>
      <c r="E280" s="31" t="n"/>
      <c r="F280" s="29" t="n"/>
      <c r="G280" s="20">
        <f>IF(N(E280)=0,"",IF(N(E280)=0,0,E280*IF(F280="",1,IFERROR(INDEX(Setup!$F$9:$F$18,MATCH(F280,Setup!$E$9:$E$18,0)),0))))</f>
        <v/>
      </c>
      <c r="H280" s="1" t="n"/>
    </row>
    <row r="281">
      <c r="A281" s="1" t="n"/>
      <c r="B281" s="30" t="n"/>
      <c r="C281" s="28" t="n"/>
      <c r="D281" s="28" t="n"/>
      <c r="E281" s="31" t="n"/>
      <c r="F281" s="29" t="n"/>
      <c r="G281" s="20">
        <f>IF(N(E281)=0,"",IF(N(E281)=0,0,E281*IF(F281="",1,IFERROR(INDEX(Setup!$F$9:$F$18,MATCH(F281,Setup!$E$9:$E$18,0)),0))))</f>
        <v/>
      </c>
      <c r="H281" s="1" t="n"/>
    </row>
    <row r="282">
      <c r="A282" s="1" t="n"/>
      <c r="B282" s="30" t="n"/>
      <c r="C282" s="28" t="n"/>
      <c r="D282" s="28" t="n"/>
      <c r="E282" s="31" t="n"/>
      <c r="F282" s="29" t="n"/>
      <c r="G282" s="20">
        <f>IF(N(E282)=0,"",IF(N(E282)=0,0,E282*IF(F282="",1,IFERROR(INDEX(Setup!$F$9:$F$18,MATCH(F282,Setup!$E$9:$E$18,0)),0))))</f>
        <v/>
      </c>
      <c r="H282" s="1" t="n"/>
    </row>
    <row r="283">
      <c r="A283" s="1" t="n"/>
      <c r="B283" s="30" t="n"/>
      <c r="C283" s="28" t="n"/>
      <c r="D283" s="28" t="n"/>
      <c r="E283" s="31" t="n"/>
      <c r="F283" s="29" t="n"/>
      <c r="G283" s="20">
        <f>IF(N(E283)=0,"",IF(N(E283)=0,0,E283*IF(F283="",1,IFERROR(INDEX(Setup!$F$9:$F$18,MATCH(F283,Setup!$E$9:$E$18,0)),0))))</f>
        <v/>
      </c>
      <c r="H283" s="1" t="n"/>
    </row>
    <row r="284">
      <c r="A284" s="1" t="n"/>
      <c r="B284" s="30" t="n"/>
      <c r="C284" s="28" t="n"/>
      <c r="D284" s="28" t="n"/>
      <c r="E284" s="31" t="n"/>
      <c r="F284" s="29" t="n"/>
      <c r="G284" s="20">
        <f>IF(N(E284)=0,"",IF(N(E284)=0,0,E284*IF(F284="",1,IFERROR(INDEX(Setup!$F$9:$F$18,MATCH(F284,Setup!$E$9:$E$18,0)),0))))</f>
        <v/>
      </c>
      <c r="H284" s="1" t="n"/>
    </row>
    <row r="285">
      <c r="A285" s="1" t="n"/>
      <c r="B285" s="30" t="n"/>
      <c r="C285" s="28" t="n"/>
      <c r="D285" s="28" t="n"/>
      <c r="E285" s="31" t="n"/>
      <c r="F285" s="29" t="n"/>
      <c r="G285" s="20">
        <f>IF(N(E285)=0,"",IF(N(E285)=0,0,E285*IF(F285="",1,IFERROR(INDEX(Setup!$F$9:$F$18,MATCH(F285,Setup!$E$9:$E$18,0)),0))))</f>
        <v/>
      </c>
      <c r="H285" s="1" t="n"/>
    </row>
    <row r="286">
      <c r="A286" s="1" t="n"/>
      <c r="B286" s="30" t="n"/>
      <c r="C286" s="28" t="n"/>
      <c r="D286" s="28" t="n"/>
      <c r="E286" s="31" t="n"/>
      <c r="F286" s="29" t="n"/>
      <c r="G286" s="20">
        <f>IF(N(E286)=0,"",IF(N(E286)=0,0,E286*IF(F286="",1,IFERROR(INDEX(Setup!$F$9:$F$18,MATCH(F286,Setup!$E$9:$E$18,0)),0))))</f>
        <v/>
      </c>
      <c r="H286" s="1" t="n"/>
    </row>
    <row r="287">
      <c r="A287" s="1" t="n"/>
      <c r="B287" s="30" t="n"/>
      <c r="C287" s="28" t="n"/>
      <c r="D287" s="28" t="n"/>
      <c r="E287" s="31" t="n"/>
      <c r="F287" s="29" t="n"/>
      <c r="G287" s="20">
        <f>IF(N(E287)=0,"",IF(N(E287)=0,0,E287*IF(F287="",1,IFERROR(INDEX(Setup!$F$9:$F$18,MATCH(F287,Setup!$E$9:$E$18,0)),0))))</f>
        <v/>
      </c>
      <c r="H287" s="1" t="n"/>
    </row>
    <row r="288">
      <c r="A288" s="1" t="n"/>
      <c r="B288" s="30" t="n"/>
      <c r="C288" s="28" t="n"/>
      <c r="D288" s="28" t="n"/>
      <c r="E288" s="31" t="n"/>
      <c r="F288" s="29" t="n"/>
      <c r="G288" s="20">
        <f>IF(N(E288)=0,"",IF(N(E288)=0,0,E288*IF(F288="",1,IFERROR(INDEX(Setup!$F$9:$F$18,MATCH(F288,Setup!$E$9:$E$18,0)),0))))</f>
        <v/>
      </c>
      <c r="H288" s="1" t="n"/>
    </row>
    <row r="289">
      <c r="A289" s="1" t="n"/>
      <c r="B289" s="30" t="n"/>
      <c r="C289" s="28" t="n"/>
      <c r="D289" s="28" t="n"/>
      <c r="E289" s="31" t="n"/>
      <c r="F289" s="29" t="n"/>
      <c r="G289" s="20">
        <f>IF(N(E289)=0,"",IF(N(E289)=0,0,E289*IF(F289="",1,IFERROR(INDEX(Setup!$F$9:$F$18,MATCH(F289,Setup!$E$9:$E$18,0)),0))))</f>
        <v/>
      </c>
      <c r="H289" s="1" t="n"/>
    </row>
    <row r="290">
      <c r="A290" s="1" t="n"/>
      <c r="B290" s="30" t="n"/>
      <c r="C290" s="28" t="n"/>
      <c r="D290" s="28" t="n"/>
      <c r="E290" s="31" t="n"/>
      <c r="F290" s="29" t="n"/>
      <c r="G290" s="20">
        <f>IF(N(E290)=0,"",IF(N(E290)=0,0,E290*IF(F290="",1,IFERROR(INDEX(Setup!$F$9:$F$18,MATCH(F290,Setup!$E$9:$E$18,0)),0))))</f>
        <v/>
      </c>
      <c r="H290" s="1" t="n"/>
    </row>
    <row r="291">
      <c r="A291" s="1" t="n"/>
      <c r="B291" s="30" t="n"/>
      <c r="C291" s="28" t="n"/>
      <c r="D291" s="28" t="n"/>
      <c r="E291" s="31" t="n"/>
      <c r="F291" s="29" t="n"/>
      <c r="G291" s="20">
        <f>IF(N(E291)=0,"",IF(N(E291)=0,0,E291*IF(F291="",1,IFERROR(INDEX(Setup!$F$9:$F$18,MATCH(F291,Setup!$E$9:$E$18,0)),0))))</f>
        <v/>
      </c>
      <c r="H291" s="1" t="n"/>
    </row>
    <row r="292">
      <c r="A292" s="1" t="n"/>
      <c r="B292" s="30" t="n"/>
      <c r="C292" s="28" t="n"/>
      <c r="D292" s="28" t="n"/>
      <c r="E292" s="31" t="n"/>
      <c r="F292" s="29" t="n"/>
      <c r="G292" s="20">
        <f>IF(N(E292)=0,"",IF(N(E292)=0,0,E292*IF(F292="",1,IFERROR(INDEX(Setup!$F$9:$F$18,MATCH(F292,Setup!$E$9:$E$18,0)),0))))</f>
        <v/>
      </c>
      <c r="H292" s="1" t="n"/>
    </row>
    <row r="293">
      <c r="A293" s="1" t="n"/>
      <c r="B293" s="30" t="n"/>
      <c r="C293" s="28" t="n"/>
      <c r="D293" s="28" t="n"/>
      <c r="E293" s="31" t="n"/>
      <c r="F293" s="29" t="n"/>
      <c r="G293" s="20">
        <f>IF(N(E293)=0,"",IF(N(E293)=0,0,E293*IF(F293="",1,IFERROR(INDEX(Setup!$F$9:$F$18,MATCH(F293,Setup!$E$9:$E$18,0)),0))))</f>
        <v/>
      </c>
      <c r="H293" s="1" t="n"/>
    </row>
    <row r="294">
      <c r="A294" s="1" t="n"/>
      <c r="B294" s="30" t="n"/>
      <c r="C294" s="28" t="n"/>
      <c r="D294" s="28" t="n"/>
      <c r="E294" s="31" t="n"/>
      <c r="F294" s="29" t="n"/>
      <c r="G294" s="20">
        <f>IF(N(E294)=0,"",IF(N(E294)=0,0,E294*IF(F294="",1,IFERROR(INDEX(Setup!$F$9:$F$18,MATCH(F294,Setup!$E$9:$E$18,0)),0))))</f>
        <v/>
      </c>
      <c r="H294" s="1" t="n"/>
    </row>
    <row r="295">
      <c r="A295" s="1" t="n"/>
      <c r="B295" s="30" t="n"/>
      <c r="C295" s="28" t="n"/>
      <c r="D295" s="28" t="n"/>
      <c r="E295" s="31" t="n"/>
      <c r="F295" s="29" t="n"/>
      <c r="G295" s="20">
        <f>IF(N(E295)=0,"",IF(N(E295)=0,0,E295*IF(F295="",1,IFERROR(INDEX(Setup!$F$9:$F$18,MATCH(F295,Setup!$E$9:$E$18,0)),0))))</f>
        <v/>
      </c>
      <c r="H295" s="1" t="n"/>
    </row>
    <row r="296">
      <c r="A296" s="1" t="n"/>
      <c r="B296" s="30" t="n"/>
      <c r="C296" s="28" t="n"/>
      <c r="D296" s="28" t="n"/>
      <c r="E296" s="31" t="n"/>
      <c r="F296" s="29" t="n"/>
      <c r="G296" s="20">
        <f>IF(N(E296)=0,"",IF(N(E296)=0,0,E296*IF(F296="",1,IFERROR(INDEX(Setup!$F$9:$F$18,MATCH(F296,Setup!$E$9:$E$18,0)),0))))</f>
        <v/>
      </c>
      <c r="H296" s="1" t="n"/>
    </row>
    <row r="297">
      <c r="A297" s="1" t="n"/>
      <c r="B297" s="30" t="n"/>
      <c r="C297" s="28" t="n"/>
      <c r="D297" s="28" t="n"/>
      <c r="E297" s="31" t="n"/>
      <c r="F297" s="29" t="n"/>
      <c r="G297" s="20">
        <f>IF(N(E297)=0,"",IF(N(E297)=0,0,E297*IF(F297="",1,IFERROR(INDEX(Setup!$F$9:$F$18,MATCH(F297,Setup!$E$9:$E$18,0)),0))))</f>
        <v/>
      </c>
      <c r="H297" s="1" t="n"/>
    </row>
    <row r="298">
      <c r="A298" s="1" t="n"/>
      <c r="B298" s="30" t="n"/>
      <c r="C298" s="28" t="n"/>
      <c r="D298" s="28" t="n"/>
      <c r="E298" s="31" t="n"/>
      <c r="F298" s="29" t="n"/>
      <c r="G298" s="20">
        <f>IF(N(E298)=0,"",IF(N(E298)=0,0,E298*IF(F298="",1,IFERROR(INDEX(Setup!$F$9:$F$18,MATCH(F298,Setup!$E$9:$E$18,0)),0))))</f>
        <v/>
      </c>
      <c r="H298" s="1" t="n"/>
    </row>
    <row r="299">
      <c r="A299" s="1" t="n"/>
      <c r="B299" s="30" t="n"/>
      <c r="C299" s="28" t="n"/>
      <c r="D299" s="28" t="n"/>
      <c r="E299" s="31" t="n"/>
      <c r="F299" s="29" t="n"/>
      <c r="G299" s="20">
        <f>IF(N(E299)=0,"",IF(N(E299)=0,0,E299*IF(F299="",1,IFERROR(INDEX(Setup!$F$9:$F$18,MATCH(F299,Setup!$E$9:$E$18,0)),0))))</f>
        <v/>
      </c>
      <c r="H299" s="1" t="n"/>
    </row>
    <row r="300">
      <c r="A300" s="1" t="n"/>
      <c r="B300" s="30" t="n"/>
      <c r="C300" s="28" t="n"/>
      <c r="D300" s="28" t="n"/>
      <c r="E300" s="31" t="n"/>
      <c r="F300" s="29" t="n"/>
      <c r="G300" s="20">
        <f>IF(N(E300)=0,"",IF(N(E300)=0,0,E300*IF(F300="",1,IFERROR(INDEX(Setup!$F$9:$F$18,MATCH(F300,Setup!$E$9:$E$18,0)),0))))</f>
        <v/>
      </c>
      <c r="H300" s="1" t="n"/>
    </row>
    <row r="301">
      <c r="A301" s="1" t="n"/>
      <c r="B301" s="30" t="n"/>
      <c r="C301" s="28" t="n"/>
      <c r="D301" s="28" t="n"/>
      <c r="E301" s="31" t="n"/>
      <c r="F301" s="29" t="n"/>
      <c r="G301" s="20">
        <f>IF(N(E301)=0,"",IF(N(E301)=0,0,E301*IF(F301="",1,IFERROR(INDEX(Setup!$F$9:$F$18,MATCH(F301,Setup!$E$9:$E$18,0)),0))))</f>
        <v/>
      </c>
      <c r="H301" s="1" t="n"/>
    </row>
    <row r="302">
      <c r="A302" s="1" t="n"/>
      <c r="B302" s="30" t="n"/>
      <c r="C302" s="28" t="n"/>
      <c r="D302" s="28" t="n"/>
      <c r="E302" s="31" t="n"/>
      <c r="F302" s="29" t="n"/>
      <c r="G302" s="20">
        <f>IF(N(E302)=0,"",IF(N(E302)=0,0,E302*IF(F302="",1,IFERROR(INDEX(Setup!$F$9:$F$18,MATCH(F302,Setup!$E$9:$E$18,0)),0))))</f>
        <v/>
      </c>
      <c r="H302" s="1" t="n"/>
    </row>
    <row r="303">
      <c r="A303" s="1" t="n"/>
      <c r="B303" s="30" t="n"/>
      <c r="C303" s="28" t="n"/>
      <c r="D303" s="28" t="n"/>
      <c r="E303" s="31" t="n"/>
      <c r="F303" s="29" t="n"/>
      <c r="G303" s="20">
        <f>IF(N(E303)=0,"",IF(N(E303)=0,0,E303*IF(F303="",1,IFERROR(INDEX(Setup!$F$9:$F$18,MATCH(F303,Setup!$E$9:$E$18,0)),0))))</f>
        <v/>
      </c>
      <c r="H303" s="1" t="n"/>
    </row>
    <row r="304">
      <c r="A304" s="1" t="n"/>
      <c r="B304" s="30" t="n"/>
      <c r="C304" s="28" t="n"/>
      <c r="D304" s="28" t="n"/>
      <c r="E304" s="31" t="n"/>
      <c r="F304" s="29" t="n"/>
      <c r="G304" s="20">
        <f>IF(N(E304)=0,"",IF(N(E304)=0,0,E304*IF(F304="",1,IFERROR(INDEX(Setup!$F$9:$F$18,MATCH(F304,Setup!$E$9:$E$18,0)),0))))</f>
        <v/>
      </c>
      <c r="H304" s="1" t="n"/>
    </row>
    <row r="305">
      <c r="A305" s="1" t="n"/>
      <c r="B305" s="30" t="n"/>
      <c r="C305" s="28" t="n"/>
      <c r="D305" s="28" t="n"/>
      <c r="E305" s="31" t="n"/>
      <c r="F305" s="29" t="n"/>
      <c r="G305" s="20">
        <f>IF(N(E305)=0,"",IF(N(E305)=0,0,E305*IF(F305="",1,IFERROR(INDEX(Setup!$F$9:$F$18,MATCH(F305,Setup!$E$9:$E$18,0)),0))))</f>
        <v/>
      </c>
      <c r="H305" s="1" t="n"/>
    </row>
    <row r="306">
      <c r="A306" s="1" t="n"/>
      <c r="B306" s="30" t="n"/>
      <c r="C306" s="28" t="n"/>
      <c r="D306" s="28" t="n"/>
      <c r="E306" s="31" t="n"/>
      <c r="F306" s="29" t="n"/>
      <c r="G306" s="20">
        <f>IF(N(E306)=0,"",IF(N(E306)=0,0,E306*IF(F306="",1,IFERROR(INDEX(Setup!$F$9:$F$18,MATCH(F306,Setup!$E$9:$E$18,0)),0))))</f>
        <v/>
      </c>
      <c r="H306" s="1" t="n"/>
    </row>
    <row r="307">
      <c r="A307" s="1" t="n"/>
      <c r="B307" s="30" t="n"/>
      <c r="C307" s="28" t="n"/>
      <c r="D307" s="28" t="n"/>
      <c r="E307" s="31" t="n"/>
      <c r="F307" s="29" t="n"/>
      <c r="G307" s="20">
        <f>IF(N(E307)=0,"",IF(N(E307)=0,0,E307*IF(F307="",1,IFERROR(INDEX(Setup!$F$9:$F$18,MATCH(F307,Setup!$E$9:$E$18,0)),0))))</f>
        <v/>
      </c>
      <c r="H307" s="1" t="n"/>
    </row>
    <row r="308">
      <c r="A308" s="1" t="n"/>
      <c r="B308" s="30" t="n"/>
      <c r="C308" s="28" t="n"/>
      <c r="D308" s="28" t="n"/>
      <c r="E308" s="31" t="n"/>
      <c r="F308" s="29" t="n"/>
      <c r="G308" s="20">
        <f>IF(N(E308)=0,"",IF(N(E308)=0,0,E308*IF(F308="",1,IFERROR(INDEX(Setup!$F$9:$F$18,MATCH(F308,Setup!$E$9:$E$18,0)),0))))</f>
        <v/>
      </c>
      <c r="H308" s="1" t="n"/>
    </row>
    <row r="309">
      <c r="A309" s="1" t="n"/>
      <c r="B309" s="30" t="n"/>
      <c r="C309" s="28" t="n"/>
      <c r="D309" s="28" t="n"/>
      <c r="E309" s="31" t="n"/>
      <c r="F309" s="29" t="n"/>
      <c r="G309" s="20">
        <f>IF(N(E309)=0,"",IF(N(E309)=0,0,E309*IF(F309="",1,IFERROR(INDEX(Setup!$F$9:$F$18,MATCH(F309,Setup!$E$9:$E$18,0)),0))))</f>
        <v/>
      </c>
      <c r="H309" s="1" t="n"/>
    </row>
    <row r="310">
      <c r="A310" s="1" t="n"/>
      <c r="B310" s="30" t="n"/>
      <c r="C310" s="28" t="n"/>
      <c r="D310" s="28" t="n"/>
      <c r="E310" s="31" t="n"/>
      <c r="F310" s="29" t="n"/>
      <c r="G310" s="20">
        <f>IF(N(E310)=0,"",IF(N(E310)=0,0,E310*IF(F310="",1,IFERROR(INDEX(Setup!$F$9:$F$18,MATCH(F310,Setup!$E$9:$E$18,0)),0))))</f>
        <v/>
      </c>
      <c r="H310" s="1" t="n"/>
    </row>
    <row r="311">
      <c r="A311" s="1" t="n"/>
      <c r="B311" s="30" t="n"/>
      <c r="C311" s="28" t="n"/>
      <c r="D311" s="28" t="n"/>
      <c r="E311" s="31" t="n"/>
      <c r="F311" s="29" t="n"/>
      <c r="G311" s="20">
        <f>IF(N(E311)=0,"",IF(N(E311)=0,0,E311*IF(F311="",1,IFERROR(INDEX(Setup!$F$9:$F$18,MATCH(F311,Setup!$E$9:$E$18,0)),0))))</f>
        <v/>
      </c>
      <c r="H311" s="1" t="n"/>
    </row>
    <row r="312">
      <c r="A312" s="1" t="n"/>
      <c r="B312" s="30" t="n"/>
      <c r="C312" s="28" t="n"/>
      <c r="D312" s="28" t="n"/>
      <c r="E312" s="31" t="n"/>
      <c r="F312" s="29" t="n"/>
      <c r="G312" s="20">
        <f>IF(N(E312)=0,"",IF(N(E312)=0,0,E312*IF(F312="",1,IFERROR(INDEX(Setup!$F$9:$F$18,MATCH(F312,Setup!$E$9:$E$18,0)),0))))</f>
        <v/>
      </c>
      <c r="H312" s="1" t="n"/>
    </row>
    <row r="313">
      <c r="A313" s="1" t="n"/>
      <c r="B313" s="30" t="n"/>
      <c r="C313" s="28" t="n"/>
      <c r="D313" s="28" t="n"/>
      <c r="E313" s="31" t="n"/>
      <c r="F313" s="29" t="n"/>
      <c r="G313" s="20">
        <f>IF(N(E313)=0,"",IF(N(E313)=0,0,E313*IF(F313="",1,IFERROR(INDEX(Setup!$F$9:$F$18,MATCH(F313,Setup!$E$9:$E$18,0)),0))))</f>
        <v/>
      </c>
      <c r="H313" s="1" t="n"/>
    </row>
    <row r="314">
      <c r="A314" s="1" t="n"/>
      <c r="B314" s="30" t="n"/>
      <c r="C314" s="28" t="n"/>
      <c r="D314" s="28" t="n"/>
      <c r="E314" s="31" t="n"/>
      <c r="F314" s="29" t="n"/>
      <c r="G314" s="20">
        <f>IF(N(E314)=0,"",IF(N(E314)=0,0,E314*IF(F314="",1,IFERROR(INDEX(Setup!$F$9:$F$18,MATCH(F314,Setup!$E$9:$E$18,0)),0))))</f>
        <v/>
      </c>
      <c r="H314" s="1" t="n"/>
    </row>
    <row r="315">
      <c r="A315" s="1" t="n"/>
      <c r="B315" s="30" t="n"/>
      <c r="C315" s="28" t="n"/>
      <c r="D315" s="28" t="n"/>
      <c r="E315" s="31" t="n"/>
      <c r="F315" s="29" t="n"/>
      <c r="G315" s="20">
        <f>IF(N(E315)=0,"",IF(N(E315)=0,0,E315*IF(F315="",1,IFERROR(INDEX(Setup!$F$9:$F$18,MATCH(F315,Setup!$E$9:$E$18,0)),0))))</f>
        <v/>
      </c>
      <c r="H315" s="1" t="n"/>
    </row>
    <row r="316">
      <c r="A316" s="1" t="n"/>
      <c r="B316" s="30" t="n"/>
      <c r="C316" s="28" t="n"/>
      <c r="D316" s="28" t="n"/>
      <c r="E316" s="31" t="n"/>
      <c r="F316" s="29" t="n"/>
      <c r="G316" s="20">
        <f>IF(N(E316)=0,"",IF(N(E316)=0,0,E316*IF(F316="",1,IFERROR(INDEX(Setup!$F$9:$F$18,MATCH(F316,Setup!$E$9:$E$18,0)),0))))</f>
        <v/>
      </c>
      <c r="H316" s="1" t="n"/>
    </row>
    <row r="317">
      <c r="A317" s="1" t="n"/>
      <c r="B317" s="30" t="n"/>
      <c r="C317" s="28" t="n"/>
      <c r="D317" s="28" t="n"/>
      <c r="E317" s="31" t="n"/>
      <c r="F317" s="29" t="n"/>
      <c r="G317" s="20">
        <f>IF(N(E317)=0,"",IF(N(E317)=0,0,E317*IF(F317="",1,IFERROR(INDEX(Setup!$F$9:$F$18,MATCH(F317,Setup!$E$9:$E$18,0)),0))))</f>
        <v/>
      </c>
      <c r="H317" s="1" t="n"/>
    </row>
    <row r="318">
      <c r="A318" s="1" t="n"/>
      <c r="B318" s="30" t="n"/>
      <c r="C318" s="28" t="n"/>
      <c r="D318" s="28" t="n"/>
      <c r="E318" s="31" t="n"/>
      <c r="F318" s="29" t="n"/>
      <c r="G318" s="20">
        <f>IF(N(E318)=0,"",IF(N(E318)=0,0,E318*IF(F318="",1,IFERROR(INDEX(Setup!$F$9:$F$18,MATCH(F318,Setup!$E$9:$E$18,0)),0))))</f>
        <v/>
      </c>
      <c r="H318" s="1" t="n"/>
    </row>
    <row r="319">
      <c r="A319" s="1" t="n"/>
      <c r="B319" s="30" t="n"/>
      <c r="C319" s="28" t="n"/>
      <c r="D319" s="28" t="n"/>
      <c r="E319" s="31" t="n"/>
      <c r="F319" s="29" t="n"/>
      <c r="G319" s="20">
        <f>IF(N(E319)=0,"",IF(N(E319)=0,0,E319*IF(F319="",1,IFERROR(INDEX(Setup!$F$9:$F$18,MATCH(F319,Setup!$E$9:$E$18,0)),0))))</f>
        <v/>
      </c>
      <c r="H319" s="1" t="n"/>
    </row>
    <row r="320">
      <c r="A320" s="1" t="n"/>
      <c r="B320" s="30" t="n"/>
      <c r="C320" s="28" t="n"/>
      <c r="D320" s="28" t="n"/>
      <c r="E320" s="31" t="n"/>
      <c r="F320" s="29" t="n"/>
      <c r="G320" s="20">
        <f>IF(N(E320)=0,"",IF(N(E320)=0,0,E320*IF(F320="",1,IFERROR(INDEX(Setup!$F$9:$F$18,MATCH(F320,Setup!$E$9:$E$18,0)),0))))</f>
        <v/>
      </c>
      <c r="H320" s="1" t="n"/>
    </row>
    <row r="321">
      <c r="A321" s="1" t="n"/>
      <c r="B321" s="30" t="n"/>
      <c r="C321" s="28" t="n"/>
      <c r="D321" s="28" t="n"/>
      <c r="E321" s="31" t="n"/>
      <c r="F321" s="29" t="n"/>
      <c r="G321" s="20">
        <f>IF(N(E321)=0,"",IF(N(E321)=0,0,E321*IF(F321="",1,IFERROR(INDEX(Setup!$F$9:$F$18,MATCH(F321,Setup!$E$9:$E$18,0)),0))))</f>
        <v/>
      </c>
      <c r="H321" s="1" t="n"/>
    </row>
    <row r="322">
      <c r="A322" s="1" t="n"/>
      <c r="B322" s="30" t="n"/>
      <c r="C322" s="28" t="n"/>
      <c r="D322" s="28" t="n"/>
      <c r="E322" s="31" t="n"/>
      <c r="F322" s="29" t="n"/>
      <c r="G322" s="20">
        <f>IF(N(E322)=0,"",IF(N(E322)=0,0,E322*IF(F322="",1,IFERROR(INDEX(Setup!$F$9:$F$18,MATCH(F322,Setup!$E$9:$E$18,0)),0))))</f>
        <v/>
      </c>
      <c r="H322" s="1" t="n"/>
    </row>
    <row r="323">
      <c r="A323" s="1" t="n"/>
      <c r="B323" s="30" t="n"/>
      <c r="C323" s="28" t="n"/>
      <c r="D323" s="28" t="n"/>
      <c r="E323" s="31" t="n"/>
      <c r="F323" s="29" t="n"/>
      <c r="G323" s="20">
        <f>IF(N(E323)=0,"",IF(N(E323)=0,0,E323*IF(F323="",1,IFERROR(INDEX(Setup!$F$9:$F$18,MATCH(F323,Setup!$E$9:$E$18,0)),0))))</f>
        <v/>
      </c>
      <c r="H323" s="1" t="n"/>
    </row>
    <row r="324">
      <c r="A324" s="1" t="n"/>
      <c r="B324" s="30" t="n"/>
      <c r="C324" s="28" t="n"/>
      <c r="D324" s="28" t="n"/>
      <c r="E324" s="31" t="n"/>
      <c r="F324" s="29" t="n"/>
      <c r="G324" s="20">
        <f>IF(N(E324)=0,"",IF(N(E324)=0,0,E324*IF(F324="",1,IFERROR(INDEX(Setup!$F$9:$F$18,MATCH(F324,Setup!$E$9:$E$18,0)),0))))</f>
        <v/>
      </c>
      <c r="H324" s="1" t="n"/>
    </row>
    <row r="325">
      <c r="A325" s="1" t="n"/>
      <c r="B325" s="30" t="n"/>
      <c r="C325" s="28" t="n"/>
      <c r="D325" s="28" t="n"/>
      <c r="E325" s="31" t="n"/>
      <c r="F325" s="29" t="n"/>
      <c r="G325" s="20">
        <f>IF(N(E325)=0,"",IF(N(E325)=0,0,E325*IF(F325="",1,IFERROR(INDEX(Setup!$F$9:$F$18,MATCH(F325,Setup!$E$9:$E$18,0)),0))))</f>
        <v/>
      </c>
      <c r="H325" s="1" t="n"/>
    </row>
    <row r="326">
      <c r="A326" s="1" t="n"/>
      <c r="B326" s="30" t="n"/>
      <c r="C326" s="28" t="n"/>
      <c r="D326" s="28" t="n"/>
      <c r="E326" s="31" t="n"/>
      <c r="F326" s="29" t="n"/>
      <c r="G326" s="20">
        <f>IF(N(E326)=0,"",IF(N(E326)=0,0,E326*IF(F326="",1,IFERROR(INDEX(Setup!$F$9:$F$18,MATCH(F326,Setup!$E$9:$E$18,0)),0))))</f>
        <v/>
      </c>
      <c r="H326" s="1" t="n"/>
    </row>
    <row r="327">
      <c r="A327" s="1" t="n"/>
      <c r="B327" s="30" t="n"/>
      <c r="C327" s="28" t="n"/>
      <c r="D327" s="28" t="n"/>
      <c r="E327" s="31" t="n"/>
      <c r="F327" s="29" t="n"/>
      <c r="G327" s="20">
        <f>IF(N(E327)=0,"",IF(N(E327)=0,0,E327*IF(F327="",1,IFERROR(INDEX(Setup!$F$9:$F$18,MATCH(F327,Setup!$E$9:$E$18,0)),0))))</f>
        <v/>
      </c>
      <c r="H327" s="1" t="n"/>
    </row>
    <row r="328">
      <c r="A328" s="1" t="n"/>
      <c r="B328" s="30" t="n"/>
      <c r="C328" s="28" t="n"/>
      <c r="D328" s="28" t="n"/>
      <c r="E328" s="31" t="n"/>
      <c r="F328" s="29" t="n"/>
      <c r="G328" s="20">
        <f>IF(N(E328)=0,"",IF(N(E328)=0,0,E328*IF(F328="",1,IFERROR(INDEX(Setup!$F$9:$F$18,MATCH(F328,Setup!$E$9:$E$18,0)),0))))</f>
        <v/>
      </c>
      <c r="H328" s="1" t="n"/>
    </row>
    <row r="329">
      <c r="A329" s="1" t="n"/>
      <c r="B329" s="30" t="n"/>
      <c r="C329" s="28" t="n"/>
      <c r="D329" s="28" t="n"/>
      <c r="E329" s="31" t="n"/>
      <c r="F329" s="29" t="n"/>
      <c r="G329" s="20">
        <f>IF(N(E329)=0,"",IF(N(E329)=0,0,E329*IF(F329="",1,IFERROR(INDEX(Setup!$F$9:$F$18,MATCH(F329,Setup!$E$9:$E$18,0)),0))))</f>
        <v/>
      </c>
      <c r="H329" s="1" t="n"/>
    </row>
    <row r="330">
      <c r="A330" s="1" t="n"/>
      <c r="B330" s="30" t="n"/>
      <c r="C330" s="28" t="n"/>
      <c r="D330" s="28" t="n"/>
      <c r="E330" s="31" t="n"/>
      <c r="F330" s="29" t="n"/>
      <c r="G330" s="20">
        <f>IF(N(E330)=0,"",IF(N(E330)=0,0,E330*IF(F330="",1,IFERROR(INDEX(Setup!$F$9:$F$18,MATCH(F330,Setup!$E$9:$E$18,0)),0))))</f>
        <v/>
      </c>
      <c r="H330" s="1" t="n"/>
    </row>
    <row r="331">
      <c r="A331" s="1" t="n"/>
      <c r="B331" s="30" t="n"/>
      <c r="C331" s="28" t="n"/>
      <c r="D331" s="28" t="n"/>
      <c r="E331" s="31" t="n"/>
      <c r="F331" s="29" t="n"/>
      <c r="G331" s="20">
        <f>IF(N(E331)=0,"",IF(N(E331)=0,0,E331*IF(F331="",1,IFERROR(INDEX(Setup!$F$9:$F$18,MATCH(F331,Setup!$E$9:$E$18,0)),0))))</f>
        <v/>
      </c>
      <c r="H331" s="1" t="n"/>
    </row>
    <row r="332">
      <c r="A332" s="1" t="n"/>
      <c r="B332" s="30" t="n"/>
      <c r="C332" s="28" t="n"/>
      <c r="D332" s="28" t="n"/>
      <c r="E332" s="31" t="n"/>
      <c r="F332" s="29" t="n"/>
      <c r="G332" s="20">
        <f>IF(N(E332)=0,"",IF(N(E332)=0,0,E332*IF(F332="",1,IFERROR(INDEX(Setup!$F$9:$F$18,MATCH(F332,Setup!$E$9:$E$18,0)),0))))</f>
        <v/>
      </c>
      <c r="H332" s="1" t="n"/>
    </row>
    <row r="333">
      <c r="A333" s="1" t="n"/>
      <c r="B333" s="30" t="n"/>
      <c r="C333" s="28" t="n"/>
      <c r="D333" s="28" t="n"/>
      <c r="E333" s="31" t="n"/>
      <c r="F333" s="29" t="n"/>
      <c r="G333" s="20">
        <f>IF(N(E333)=0,"",IF(N(E333)=0,0,E333*IF(F333="",1,IFERROR(INDEX(Setup!$F$9:$F$18,MATCH(F333,Setup!$E$9:$E$18,0)),0))))</f>
        <v/>
      </c>
      <c r="H333" s="1" t="n"/>
    </row>
    <row r="334">
      <c r="A334" s="1" t="n"/>
      <c r="B334" s="30" t="n"/>
      <c r="C334" s="28" t="n"/>
      <c r="D334" s="28" t="n"/>
      <c r="E334" s="31" t="n"/>
      <c r="F334" s="29" t="n"/>
      <c r="G334" s="20">
        <f>IF(N(E334)=0,"",IF(N(E334)=0,0,E334*IF(F334="",1,IFERROR(INDEX(Setup!$F$9:$F$18,MATCH(F334,Setup!$E$9:$E$18,0)),0))))</f>
        <v/>
      </c>
      <c r="H334" s="1" t="n"/>
    </row>
    <row r="335">
      <c r="A335" s="1" t="n"/>
      <c r="B335" s="30" t="n"/>
      <c r="C335" s="28" t="n"/>
      <c r="D335" s="28" t="n"/>
      <c r="E335" s="31" t="n"/>
      <c r="F335" s="29" t="n"/>
      <c r="G335" s="20">
        <f>IF(N(E335)=0,"",IF(N(E335)=0,0,E335*IF(F335="",1,IFERROR(INDEX(Setup!$F$9:$F$18,MATCH(F335,Setup!$E$9:$E$18,0)),0))))</f>
        <v/>
      </c>
      <c r="H335" s="1" t="n"/>
    </row>
    <row r="336">
      <c r="A336" s="1" t="n"/>
      <c r="B336" s="30" t="n"/>
      <c r="C336" s="28" t="n"/>
      <c r="D336" s="28" t="n"/>
      <c r="E336" s="31" t="n"/>
      <c r="F336" s="29" t="n"/>
      <c r="G336" s="20">
        <f>IF(N(E336)=0,"",IF(N(E336)=0,0,E336*IF(F336="",1,IFERROR(INDEX(Setup!$F$9:$F$18,MATCH(F336,Setup!$E$9:$E$18,0)),0))))</f>
        <v/>
      </c>
      <c r="H336" s="1" t="n"/>
    </row>
    <row r="337">
      <c r="A337" s="1" t="n"/>
      <c r="B337" s="30" t="n"/>
      <c r="C337" s="28" t="n"/>
      <c r="D337" s="28" t="n"/>
      <c r="E337" s="31" t="n"/>
      <c r="F337" s="29" t="n"/>
      <c r="G337" s="20">
        <f>IF(N(E337)=0,"",IF(N(E337)=0,0,E337*IF(F337="",1,IFERROR(INDEX(Setup!$F$9:$F$18,MATCH(F337,Setup!$E$9:$E$18,0)),0))))</f>
        <v/>
      </c>
      <c r="H337" s="1" t="n"/>
    </row>
    <row r="338">
      <c r="A338" s="1" t="n"/>
      <c r="B338" s="30" t="n"/>
      <c r="C338" s="28" t="n"/>
      <c r="D338" s="28" t="n"/>
      <c r="E338" s="31" t="n"/>
      <c r="F338" s="29" t="n"/>
      <c r="G338" s="20">
        <f>IF(N(E338)=0,"",IF(N(E338)=0,0,E338*IF(F338="",1,IFERROR(INDEX(Setup!$F$9:$F$18,MATCH(F338,Setup!$E$9:$E$18,0)),0))))</f>
        <v/>
      </c>
      <c r="H338" s="1" t="n"/>
    </row>
    <row r="339">
      <c r="A339" s="1" t="n"/>
      <c r="B339" s="30" t="n"/>
      <c r="C339" s="28" t="n"/>
      <c r="D339" s="28" t="n"/>
      <c r="E339" s="31" t="n"/>
      <c r="F339" s="29" t="n"/>
      <c r="G339" s="20">
        <f>IF(N(E339)=0,"",IF(N(E339)=0,0,E339*IF(F339="",1,IFERROR(INDEX(Setup!$F$9:$F$18,MATCH(F339,Setup!$E$9:$E$18,0)),0))))</f>
        <v/>
      </c>
      <c r="H339" s="1" t="n"/>
    </row>
    <row r="340">
      <c r="A340" s="1" t="n"/>
      <c r="B340" s="30" t="n"/>
      <c r="C340" s="28" t="n"/>
      <c r="D340" s="28" t="n"/>
      <c r="E340" s="31" t="n"/>
      <c r="F340" s="29" t="n"/>
      <c r="G340" s="20">
        <f>IF(N(E340)=0,"",IF(N(E340)=0,0,E340*IF(F340="",1,IFERROR(INDEX(Setup!$F$9:$F$18,MATCH(F340,Setup!$E$9:$E$18,0)),0))))</f>
        <v/>
      </c>
      <c r="H340" s="1" t="n"/>
    </row>
    <row r="341">
      <c r="A341" s="1" t="n"/>
      <c r="B341" s="30" t="n"/>
      <c r="C341" s="28" t="n"/>
      <c r="D341" s="28" t="n"/>
      <c r="E341" s="31" t="n"/>
      <c r="F341" s="29" t="n"/>
      <c r="G341" s="20">
        <f>IF(N(E341)=0,"",IF(N(E341)=0,0,E341*IF(F341="",1,IFERROR(INDEX(Setup!$F$9:$F$18,MATCH(F341,Setup!$E$9:$E$18,0)),0))))</f>
        <v/>
      </c>
      <c r="H341" s="1" t="n"/>
    </row>
    <row r="342">
      <c r="A342" s="1" t="n"/>
      <c r="B342" s="30" t="n"/>
      <c r="C342" s="28" t="n"/>
      <c r="D342" s="28" t="n"/>
      <c r="E342" s="31" t="n"/>
      <c r="F342" s="29" t="n"/>
      <c r="G342" s="20">
        <f>IF(N(E342)=0,"",IF(N(E342)=0,0,E342*IF(F342="",1,IFERROR(INDEX(Setup!$F$9:$F$18,MATCH(F342,Setup!$E$9:$E$18,0)),0))))</f>
        <v/>
      </c>
      <c r="H342" s="1" t="n"/>
    </row>
    <row r="343">
      <c r="A343" s="1" t="n"/>
      <c r="B343" s="30" t="n"/>
      <c r="C343" s="28" t="n"/>
      <c r="D343" s="28" t="n"/>
      <c r="E343" s="31" t="n"/>
      <c r="F343" s="29" t="n"/>
      <c r="G343" s="20">
        <f>IF(N(E343)=0,"",IF(N(E343)=0,0,E343*IF(F343="",1,IFERROR(INDEX(Setup!$F$9:$F$18,MATCH(F343,Setup!$E$9:$E$18,0)),0))))</f>
        <v/>
      </c>
      <c r="H343" s="1" t="n"/>
    </row>
    <row r="344">
      <c r="A344" s="1" t="n"/>
      <c r="B344" s="30" t="n"/>
      <c r="C344" s="28" t="n"/>
      <c r="D344" s="28" t="n"/>
      <c r="E344" s="31" t="n"/>
      <c r="F344" s="29" t="n"/>
      <c r="G344" s="20">
        <f>IF(N(E344)=0,"",IF(N(E344)=0,0,E344*IF(F344="",1,IFERROR(INDEX(Setup!$F$9:$F$18,MATCH(F344,Setup!$E$9:$E$18,0)),0))))</f>
        <v/>
      </c>
      <c r="H344" s="1" t="n"/>
    </row>
    <row r="345">
      <c r="A345" s="1" t="n"/>
      <c r="B345" s="30" t="n"/>
      <c r="C345" s="28" t="n"/>
      <c r="D345" s="28" t="n"/>
      <c r="E345" s="31" t="n"/>
      <c r="F345" s="29" t="n"/>
      <c r="G345" s="20">
        <f>IF(N(E345)=0,"",IF(N(E345)=0,0,E345*IF(F345="",1,IFERROR(INDEX(Setup!$F$9:$F$18,MATCH(F345,Setup!$E$9:$E$18,0)),0))))</f>
        <v/>
      </c>
      <c r="H345" s="1" t="n"/>
    </row>
    <row r="346">
      <c r="A346" s="1" t="n"/>
      <c r="B346" s="30" t="n"/>
      <c r="C346" s="28" t="n"/>
      <c r="D346" s="28" t="n"/>
      <c r="E346" s="31" t="n"/>
      <c r="F346" s="29" t="n"/>
      <c r="G346" s="20">
        <f>IF(N(E346)=0,"",IF(N(E346)=0,0,E346*IF(F346="",1,IFERROR(INDEX(Setup!$F$9:$F$18,MATCH(F346,Setup!$E$9:$E$18,0)),0))))</f>
        <v/>
      </c>
      <c r="H346" s="1" t="n"/>
    </row>
    <row r="347">
      <c r="A347" s="1" t="n"/>
      <c r="B347" s="30" t="n"/>
      <c r="C347" s="28" t="n"/>
      <c r="D347" s="28" t="n"/>
      <c r="E347" s="31" t="n"/>
      <c r="F347" s="29" t="n"/>
      <c r="G347" s="20">
        <f>IF(N(E347)=0,"",IF(N(E347)=0,0,E347*IF(F347="",1,IFERROR(INDEX(Setup!$F$9:$F$18,MATCH(F347,Setup!$E$9:$E$18,0)),0))))</f>
        <v/>
      </c>
      <c r="H347" s="1" t="n"/>
    </row>
    <row r="348">
      <c r="A348" s="1" t="n"/>
      <c r="B348" s="30" t="n"/>
      <c r="C348" s="28" t="n"/>
      <c r="D348" s="28" t="n"/>
      <c r="E348" s="31" t="n"/>
      <c r="F348" s="29" t="n"/>
      <c r="G348" s="20">
        <f>IF(N(E348)=0,"",IF(N(E348)=0,0,E348*IF(F348="",1,IFERROR(INDEX(Setup!$F$9:$F$18,MATCH(F348,Setup!$E$9:$E$18,0)),0))))</f>
        <v/>
      </c>
      <c r="H348" s="1" t="n"/>
    </row>
    <row r="349">
      <c r="A349" s="1" t="n"/>
      <c r="B349" s="30" t="n"/>
      <c r="C349" s="28" t="n"/>
      <c r="D349" s="28" t="n"/>
      <c r="E349" s="31" t="n"/>
      <c r="F349" s="29" t="n"/>
      <c r="G349" s="20">
        <f>IF(N(E349)=0,"",IF(N(E349)=0,0,E349*IF(F349="",1,IFERROR(INDEX(Setup!$F$9:$F$18,MATCH(F349,Setup!$E$9:$E$18,0)),0))))</f>
        <v/>
      </c>
      <c r="H349" s="1" t="n"/>
    </row>
    <row r="350">
      <c r="A350" s="1" t="n"/>
      <c r="B350" s="30" t="n"/>
      <c r="C350" s="28" t="n"/>
      <c r="D350" s="28" t="n"/>
      <c r="E350" s="31" t="n"/>
      <c r="F350" s="29" t="n"/>
      <c r="G350" s="20">
        <f>IF(N(E350)=0,"",IF(N(E350)=0,0,E350*IF(F350="",1,IFERROR(INDEX(Setup!$F$9:$F$18,MATCH(F350,Setup!$E$9:$E$18,0)),0))))</f>
        <v/>
      </c>
      <c r="H350" s="1" t="n"/>
    </row>
    <row r="351">
      <c r="A351" s="1" t="n"/>
      <c r="B351" s="30" t="n"/>
      <c r="C351" s="28" t="n"/>
      <c r="D351" s="28" t="n"/>
      <c r="E351" s="31" t="n"/>
      <c r="F351" s="29" t="n"/>
      <c r="G351" s="20">
        <f>IF(N(E351)=0,"",IF(N(E351)=0,0,E351*IF(F351="",1,IFERROR(INDEX(Setup!$F$9:$F$18,MATCH(F351,Setup!$E$9:$E$18,0)),0))))</f>
        <v/>
      </c>
      <c r="H351" s="1" t="n"/>
    </row>
    <row r="352">
      <c r="A352" s="1" t="n"/>
      <c r="B352" s="30" t="n"/>
      <c r="C352" s="28" t="n"/>
      <c r="D352" s="28" t="n"/>
      <c r="E352" s="31" t="n"/>
      <c r="F352" s="29" t="n"/>
      <c r="G352" s="20">
        <f>IF(N(E352)=0,"",IF(N(E352)=0,0,E352*IF(F352="",1,IFERROR(INDEX(Setup!$F$9:$F$18,MATCH(F352,Setup!$E$9:$E$18,0)),0))))</f>
        <v/>
      </c>
      <c r="H352" s="1" t="n"/>
    </row>
    <row r="353">
      <c r="A353" s="1" t="n"/>
      <c r="B353" s="30" t="n"/>
      <c r="C353" s="28" t="n"/>
      <c r="D353" s="28" t="n"/>
      <c r="E353" s="31" t="n"/>
      <c r="F353" s="29" t="n"/>
      <c r="G353" s="20">
        <f>IF(N(E353)=0,"",IF(N(E353)=0,0,E353*IF(F353="",1,IFERROR(INDEX(Setup!$F$9:$F$18,MATCH(F353,Setup!$E$9:$E$18,0)),0))))</f>
        <v/>
      </c>
      <c r="H353" s="1" t="n"/>
    </row>
    <row r="354">
      <c r="A354" s="1" t="n"/>
      <c r="B354" s="30" t="n"/>
      <c r="C354" s="28" t="n"/>
      <c r="D354" s="28" t="n"/>
      <c r="E354" s="31" t="n"/>
      <c r="F354" s="29" t="n"/>
      <c r="G354" s="20">
        <f>IF(N(E354)=0,"",IF(N(E354)=0,0,E354*IF(F354="",1,IFERROR(INDEX(Setup!$F$9:$F$18,MATCH(F354,Setup!$E$9:$E$18,0)),0))))</f>
        <v/>
      </c>
      <c r="H354" s="1" t="n"/>
    </row>
    <row r="355">
      <c r="A355" s="1" t="n"/>
      <c r="B355" s="30" t="n"/>
      <c r="C355" s="28" t="n"/>
      <c r="D355" s="28" t="n"/>
      <c r="E355" s="31" t="n"/>
      <c r="F355" s="29" t="n"/>
      <c r="G355" s="20">
        <f>IF(N(E355)=0,"",IF(N(E355)=0,0,E355*IF(F355="",1,IFERROR(INDEX(Setup!$F$9:$F$18,MATCH(F355,Setup!$E$9:$E$18,0)),0))))</f>
        <v/>
      </c>
      <c r="H355" s="1" t="n"/>
    </row>
    <row r="356">
      <c r="A356" s="1" t="n"/>
      <c r="B356" s="30" t="n"/>
      <c r="C356" s="28" t="n"/>
      <c r="D356" s="28" t="n"/>
      <c r="E356" s="31" t="n"/>
      <c r="F356" s="29" t="n"/>
      <c r="G356" s="20">
        <f>IF(N(E356)=0,"",IF(N(E356)=0,0,E356*IF(F356="",1,IFERROR(INDEX(Setup!$F$9:$F$18,MATCH(F356,Setup!$E$9:$E$18,0)),0))))</f>
        <v/>
      </c>
      <c r="H356" s="1" t="n"/>
    </row>
    <row r="357">
      <c r="A357" s="1" t="n"/>
      <c r="B357" s="30" t="n"/>
      <c r="C357" s="28" t="n"/>
      <c r="D357" s="28" t="n"/>
      <c r="E357" s="31" t="n"/>
      <c r="F357" s="29" t="n"/>
      <c r="G357" s="20">
        <f>IF(N(E357)=0,"",IF(N(E357)=0,0,E357*IF(F357="",1,IFERROR(INDEX(Setup!$F$9:$F$18,MATCH(F357,Setup!$E$9:$E$18,0)),0))))</f>
        <v/>
      </c>
      <c r="H357" s="1" t="n"/>
    </row>
    <row r="358">
      <c r="A358" s="1" t="n"/>
      <c r="B358" s="30" t="n"/>
      <c r="C358" s="28" t="n"/>
      <c r="D358" s="28" t="n"/>
      <c r="E358" s="31" t="n"/>
      <c r="F358" s="29" t="n"/>
      <c r="G358" s="20">
        <f>IF(N(E358)=0,"",IF(N(E358)=0,0,E358*IF(F358="",1,IFERROR(INDEX(Setup!$F$9:$F$18,MATCH(F358,Setup!$E$9:$E$18,0)),0))))</f>
        <v/>
      </c>
      <c r="H358" s="1" t="n"/>
    </row>
    <row r="359">
      <c r="A359" s="1" t="n"/>
      <c r="B359" s="30" t="n"/>
      <c r="C359" s="28" t="n"/>
      <c r="D359" s="28" t="n"/>
      <c r="E359" s="31" t="n"/>
      <c r="F359" s="29" t="n"/>
      <c r="G359" s="20">
        <f>IF(N(E359)=0,"",IF(N(E359)=0,0,E359*IF(F359="",1,IFERROR(INDEX(Setup!$F$9:$F$18,MATCH(F359,Setup!$E$9:$E$18,0)),0))))</f>
        <v/>
      </c>
      <c r="H359" s="1" t="n"/>
    </row>
    <row r="360">
      <c r="A360" s="1" t="n"/>
      <c r="B360" s="30" t="n"/>
      <c r="C360" s="28" t="n"/>
      <c r="D360" s="28" t="n"/>
      <c r="E360" s="31" t="n"/>
      <c r="F360" s="29" t="n"/>
      <c r="G360" s="20">
        <f>IF(N(E360)=0,"",IF(N(E360)=0,0,E360*IF(F360="",1,IFERROR(INDEX(Setup!$F$9:$F$18,MATCH(F360,Setup!$E$9:$E$18,0)),0))))</f>
        <v/>
      </c>
      <c r="H360" s="1" t="n"/>
    </row>
    <row r="361">
      <c r="A361" s="1" t="n"/>
      <c r="B361" s="30" t="n"/>
      <c r="C361" s="28" t="n"/>
      <c r="D361" s="28" t="n"/>
      <c r="E361" s="31" t="n"/>
      <c r="F361" s="29" t="n"/>
      <c r="G361" s="20">
        <f>IF(N(E361)=0,"",IF(N(E361)=0,0,E361*IF(F361="",1,IFERROR(INDEX(Setup!$F$9:$F$18,MATCH(F361,Setup!$E$9:$E$18,0)),0))))</f>
        <v/>
      </c>
      <c r="H361" s="1" t="n"/>
    </row>
    <row r="362">
      <c r="A362" s="1" t="n"/>
      <c r="B362" s="30" t="n"/>
      <c r="C362" s="28" t="n"/>
      <c r="D362" s="28" t="n"/>
      <c r="E362" s="31" t="n"/>
      <c r="F362" s="29" t="n"/>
      <c r="G362" s="20">
        <f>IF(N(E362)=0,"",IF(N(E362)=0,0,E362*IF(F362="",1,IFERROR(INDEX(Setup!$F$9:$F$18,MATCH(F362,Setup!$E$9:$E$18,0)),0))))</f>
        <v/>
      </c>
      <c r="H362" s="1" t="n"/>
    </row>
    <row r="363">
      <c r="A363" s="1" t="n"/>
      <c r="B363" s="30" t="n"/>
      <c r="C363" s="28" t="n"/>
      <c r="D363" s="28" t="n"/>
      <c r="E363" s="31" t="n"/>
      <c r="F363" s="29" t="n"/>
      <c r="G363" s="20">
        <f>IF(N(E363)=0,"",IF(N(E363)=0,0,E363*IF(F363="",1,IFERROR(INDEX(Setup!$F$9:$F$18,MATCH(F363,Setup!$E$9:$E$18,0)),0))))</f>
        <v/>
      </c>
      <c r="H363" s="1" t="n"/>
    </row>
    <row r="364">
      <c r="A364" s="1" t="n"/>
      <c r="B364" s="30" t="n"/>
      <c r="C364" s="28" t="n"/>
      <c r="D364" s="28" t="n"/>
      <c r="E364" s="31" t="n"/>
      <c r="F364" s="29" t="n"/>
      <c r="G364" s="20">
        <f>IF(N(E364)=0,"",IF(N(E364)=0,0,E364*IF(F364="",1,IFERROR(INDEX(Setup!$F$9:$F$18,MATCH(F364,Setup!$E$9:$E$18,0)),0))))</f>
        <v/>
      </c>
      <c r="H364" s="1" t="n"/>
    </row>
    <row r="365">
      <c r="A365" s="1" t="n"/>
      <c r="B365" s="30" t="n"/>
      <c r="C365" s="28" t="n"/>
      <c r="D365" s="28" t="n"/>
      <c r="E365" s="31" t="n"/>
      <c r="F365" s="29" t="n"/>
      <c r="G365" s="20">
        <f>IF(N(E365)=0,"",IF(N(E365)=0,0,E365*IF(F365="",1,IFERROR(INDEX(Setup!$F$9:$F$18,MATCH(F365,Setup!$E$9:$E$18,0)),0))))</f>
        <v/>
      </c>
      <c r="H365" s="1" t="n"/>
    </row>
    <row r="366">
      <c r="A366" s="1" t="n"/>
      <c r="B366" s="30" t="n"/>
      <c r="C366" s="28" t="n"/>
      <c r="D366" s="28" t="n"/>
      <c r="E366" s="31" t="n"/>
      <c r="F366" s="29" t="n"/>
      <c r="G366" s="20">
        <f>IF(N(E366)=0,"",IF(N(E366)=0,0,E366*IF(F366="",1,IFERROR(INDEX(Setup!$F$9:$F$18,MATCH(F366,Setup!$E$9:$E$18,0)),0))))</f>
        <v/>
      </c>
      <c r="H366" s="1" t="n"/>
    </row>
    <row r="367">
      <c r="A367" s="1" t="n"/>
      <c r="B367" s="30" t="n"/>
      <c r="C367" s="28" t="n"/>
      <c r="D367" s="28" t="n"/>
      <c r="E367" s="31" t="n"/>
      <c r="F367" s="29" t="n"/>
      <c r="G367" s="20">
        <f>IF(N(E367)=0,"",IF(N(E367)=0,0,E367*IF(F367="",1,IFERROR(INDEX(Setup!$F$9:$F$18,MATCH(F367,Setup!$E$9:$E$18,0)),0))))</f>
        <v/>
      </c>
      <c r="H367" s="1" t="n"/>
    </row>
    <row r="368">
      <c r="A368" s="1" t="n"/>
      <c r="B368" s="30" t="n"/>
      <c r="C368" s="28" t="n"/>
      <c r="D368" s="28" t="n"/>
      <c r="E368" s="31" t="n"/>
      <c r="F368" s="29" t="n"/>
      <c r="G368" s="20">
        <f>IF(N(E368)=0,"",IF(N(E368)=0,0,E368*IF(F368="",1,IFERROR(INDEX(Setup!$F$9:$F$18,MATCH(F368,Setup!$E$9:$E$18,0)),0))))</f>
        <v/>
      </c>
      <c r="H368" s="1" t="n"/>
    </row>
    <row r="369">
      <c r="A369" s="1" t="n"/>
      <c r="B369" s="30" t="n"/>
      <c r="C369" s="28" t="n"/>
      <c r="D369" s="28" t="n"/>
      <c r="E369" s="31" t="n"/>
      <c r="F369" s="29" t="n"/>
      <c r="G369" s="20">
        <f>IF(N(E369)=0,"",IF(N(E369)=0,0,E369*IF(F369="",1,IFERROR(INDEX(Setup!$F$9:$F$18,MATCH(F369,Setup!$E$9:$E$18,0)),0))))</f>
        <v/>
      </c>
      <c r="H369" s="1" t="n"/>
    </row>
    <row r="370">
      <c r="A370" s="1" t="n"/>
      <c r="B370" s="30" t="n"/>
      <c r="C370" s="28" t="n"/>
      <c r="D370" s="28" t="n"/>
      <c r="E370" s="31" t="n"/>
      <c r="F370" s="29" t="n"/>
      <c r="G370" s="20">
        <f>IF(N(E370)=0,"",IF(N(E370)=0,0,E370*IF(F370="",1,IFERROR(INDEX(Setup!$F$9:$F$18,MATCH(F370,Setup!$E$9:$E$18,0)),0))))</f>
        <v/>
      </c>
      <c r="H370" s="1" t="n"/>
    </row>
    <row r="371">
      <c r="A371" s="1" t="n"/>
      <c r="B371" s="30" t="n"/>
      <c r="C371" s="28" t="n"/>
      <c r="D371" s="28" t="n"/>
      <c r="E371" s="31" t="n"/>
      <c r="F371" s="29" t="n"/>
      <c r="G371" s="20">
        <f>IF(N(E371)=0,"",IF(N(E371)=0,0,E371*IF(F371="",1,IFERROR(INDEX(Setup!$F$9:$F$18,MATCH(F371,Setup!$E$9:$E$18,0)),0))))</f>
        <v/>
      </c>
      <c r="H371" s="1" t="n"/>
    </row>
    <row r="372">
      <c r="A372" s="1" t="n"/>
      <c r="B372" s="30" t="n"/>
      <c r="C372" s="28" t="n"/>
      <c r="D372" s="28" t="n"/>
      <c r="E372" s="31" t="n"/>
      <c r="F372" s="29" t="n"/>
      <c r="G372" s="20">
        <f>IF(N(E372)=0,"",IF(N(E372)=0,0,E372*IF(F372="",1,IFERROR(INDEX(Setup!$F$9:$F$18,MATCH(F372,Setup!$E$9:$E$18,0)),0))))</f>
        <v/>
      </c>
      <c r="H372" s="1" t="n"/>
    </row>
    <row r="373">
      <c r="A373" s="1" t="n"/>
      <c r="B373" s="30" t="n"/>
      <c r="C373" s="28" t="n"/>
      <c r="D373" s="28" t="n"/>
      <c r="E373" s="31" t="n"/>
      <c r="F373" s="29" t="n"/>
      <c r="G373" s="20">
        <f>IF(N(E373)=0,"",IF(N(E373)=0,0,E373*IF(F373="",1,IFERROR(INDEX(Setup!$F$9:$F$18,MATCH(F373,Setup!$E$9:$E$18,0)),0))))</f>
        <v/>
      </c>
      <c r="H373" s="1" t="n"/>
    </row>
    <row r="374">
      <c r="A374" s="1" t="n"/>
      <c r="B374" s="30" t="n"/>
      <c r="C374" s="28" t="n"/>
      <c r="D374" s="28" t="n"/>
      <c r="E374" s="31" t="n"/>
      <c r="F374" s="29" t="n"/>
      <c r="G374" s="20">
        <f>IF(N(E374)=0,"",IF(N(E374)=0,0,E374*IF(F374="",1,IFERROR(INDEX(Setup!$F$9:$F$18,MATCH(F374,Setup!$E$9:$E$18,0)),0))))</f>
        <v/>
      </c>
      <c r="H374" s="1" t="n"/>
    </row>
    <row r="375">
      <c r="A375" s="1" t="n"/>
      <c r="B375" s="30" t="n"/>
      <c r="C375" s="28" t="n"/>
      <c r="D375" s="28" t="n"/>
      <c r="E375" s="31" t="n"/>
      <c r="F375" s="29" t="n"/>
      <c r="G375" s="20">
        <f>IF(N(E375)=0,"",IF(N(E375)=0,0,E375*IF(F375="",1,IFERROR(INDEX(Setup!$F$9:$F$18,MATCH(F375,Setup!$E$9:$E$18,0)),0))))</f>
        <v/>
      </c>
      <c r="H375" s="1" t="n"/>
    </row>
    <row r="376">
      <c r="A376" s="1" t="n"/>
      <c r="B376" s="30" t="n"/>
      <c r="C376" s="28" t="n"/>
      <c r="D376" s="28" t="n"/>
      <c r="E376" s="31" t="n"/>
      <c r="F376" s="29" t="n"/>
      <c r="G376" s="20">
        <f>IF(N(E376)=0,"",IF(N(E376)=0,0,E376*IF(F376="",1,IFERROR(INDEX(Setup!$F$9:$F$18,MATCH(F376,Setup!$E$9:$E$18,0)),0))))</f>
        <v/>
      </c>
      <c r="H376" s="1" t="n"/>
    </row>
    <row r="377">
      <c r="A377" s="1" t="n"/>
      <c r="B377" s="30" t="n"/>
      <c r="C377" s="28" t="n"/>
      <c r="D377" s="28" t="n"/>
      <c r="E377" s="31" t="n"/>
      <c r="F377" s="29" t="n"/>
      <c r="G377" s="20">
        <f>IF(N(E377)=0,"",IF(N(E377)=0,0,E377*IF(F377="",1,IFERROR(INDEX(Setup!$F$9:$F$18,MATCH(F377,Setup!$E$9:$E$18,0)),0))))</f>
        <v/>
      </c>
      <c r="H377" s="1" t="n"/>
    </row>
    <row r="378">
      <c r="A378" s="1" t="n"/>
      <c r="B378" s="30" t="n"/>
      <c r="C378" s="28" t="n"/>
      <c r="D378" s="28" t="n"/>
      <c r="E378" s="31" t="n"/>
      <c r="F378" s="29" t="n"/>
      <c r="G378" s="20">
        <f>IF(N(E378)=0,"",IF(N(E378)=0,0,E378*IF(F378="",1,IFERROR(INDEX(Setup!$F$9:$F$18,MATCH(F378,Setup!$E$9:$E$18,0)),0))))</f>
        <v/>
      </c>
      <c r="H378" s="1" t="n"/>
    </row>
    <row r="379">
      <c r="A379" s="1" t="n"/>
      <c r="B379" s="30" t="n"/>
      <c r="C379" s="28" t="n"/>
      <c r="D379" s="28" t="n"/>
      <c r="E379" s="31" t="n"/>
      <c r="F379" s="29" t="n"/>
      <c r="G379" s="20">
        <f>IF(N(E379)=0,"",IF(N(E379)=0,0,E379*IF(F379="",1,IFERROR(INDEX(Setup!$F$9:$F$18,MATCH(F379,Setup!$E$9:$E$18,0)),0))))</f>
        <v/>
      </c>
      <c r="H379" s="1" t="n"/>
    </row>
    <row r="380">
      <c r="A380" s="1" t="n"/>
      <c r="B380" s="30" t="n"/>
      <c r="C380" s="28" t="n"/>
      <c r="D380" s="28" t="n"/>
      <c r="E380" s="31" t="n"/>
      <c r="F380" s="29" t="n"/>
      <c r="G380" s="20">
        <f>IF(N(E380)=0,"",IF(N(E380)=0,0,E380*IF(F380="",1,IFERROR(INDEX(Setup!$F$9:$F$18,MATCH(F380,Setup!$E$9:$E$18,0)),0))))</f>
        <v/>
      </c>
      <c r="H380" s="1" t="n"/>
    </row>
    <row r="381">
      <c r="A381" s="1" t="n"/>
      <c r="B381" s="30" t="n"/>
      <c r="C381" s="28" t="n"/>
      <c r="D381" s="28" t="n"/>
      <c r="E381" s="31" t="n"/>
      <c r="F381" s="29" t="n"/>
      <c r="G381" s="20">
        <f>IF(N(E381)=0,"",IF(N(E381)=0,0,E381*IF(F381="",1,IFERROR(INDEX(Setup!$F$9:$F$18,MATCH(F381,Setup!$E$9:$E$18,0)),0))))</f>
        <v/>
      </c>
      <c r="H381" s="1" t="n"/>
    </row>
    <row r="382">
      <c r="A382" s="1" t="n"/>
      <c r="B382" s="30" t="n"/>
      <c r="C382" s="28" t="n"/>
      <c r="D382" s="28" t="n"/>
      <c r="E382" s="31" t="n"/>
      <c r="F382" s="29" t="n"/>
      <c r="G382" s="20">
        <f>IF(N(E382)=0,"",IF(N(E382)=0,0,E382*IF(F382="",1,IFERROR(INDEX(Setup!$F$9:$F$18,MATCH(F382,Setup!$E$9:$E$18,0)),0))))</f>
        <v/>
      </c>
      <c r="H382" s="1" t="n"/>
    </row>
    <row r="383">
      <c r="A383" s="1" t="n"/>
      <c r="B383" s="30" t="n"/>
      <c r="C383" s="28" t="n"/>
      <c r="D383" s="28" t="n"/>
      <c r="E383" s="31" t="n"/>
      <c r="F383" s="29" t="n"/>
      <c r="G383" s="20">
        <f>IF(N(E383)=0,"",IF(N(E383)=0,0,E383*IF(F383="",1,IFERROR(INDEX(Setup!$F$9:$F$18,MATCH(F383,Setup!$E$9:$E$18,0)),0))))</f>
        <v/>
      </c>
      <c r="H383" s="1" t="n"/>
    </row>
    <row r="384">
      <c r="A384" s="1" t="n"/>
      <c r="B384" s="30" t="n"/>
      <c r="C384" s="28" t="n"/>
      <c r="D384" s="28" t="n"/>
      <c r="E384" s="31" t="n"/>
      <c r="F384" s="29" t="n"/>
      <c r="G384" s="20">
        <f>IF(N(E384)=0,"",IF(N(E384)=0,0,E384*IF(F384="",1,IFERROR(INDEX(Setup!$F$9:$F$18,MATCH(F384,Setup!$E$9:$E$18,0)),0))))</f>
        <v/>
      </c>
      <c r="H384" s="1" t="n"/>
    </row>
    <row r="385">
      <c r="A385" s="1" t="n"/>
      <c r="B385" s="30" t="n"/>
      <c r="C385" s="28" t="n"/>
      <c r="D385" s="28" t="n"/>
      <c r="E385" s="31" t="n"/>
      <c r="F385" s="29" t="n"/>
      <c r="G385" s="20">
        <f>IF(N(E385)=0,"",IF(N(E385)=0,0,E385*IF(F385="",1,IFERROR(INDEX(Setup!$F$9:$F$18,MATCH(F385,Setup!$E$9:$E$18,0)),0))))</f>
        <v/>
      </c>
      <c r="H385" s="1" t="n"/>
    </row>
    <row r="386">
      <c r="A386" s="1" t="n"/>
      <c r="B386" s="30" t="n"/>
      <c r="C386" s="28" t="n"/>
      <c r="D386" s="28" t="n"/>
      <c r="E386" s="31" t="n"/>
      <c r="F386" s="29" t="n"/>
      <c r="G386" s="20">
        <f>IF(N(E386)=0,"",IF(N(E386)=0,0,E386*IF(F386="",1,IFERROR(INDEX(Setup!$F$9:$F$18,MATCH(F386,Setup!$E$9:$E$18,0)),0))))</f>
        <v/>
      </c>
      <c r="H386" s="1" t="n"/>
    </row>
    <row r="387">
      <c r="A387" s="1" t="n"/>
      <c r="B387" s="30" t="n"/>
      <c r="C387" s="28" t="n"/>
      <c r="D387" s="28" t="n"/>
      <c r="E387" s="31" t="n"/>
      <c r="F387" s="29" t="n"/>
      <c r="G387" s="20">
        <f>IF(N(E387)=0,"",IF(N(E387)=0,0,E387*IF(F387="",1,IFERROR(INDEX(Setup!$F$9:$F$18,MATCH(F387,Setup!$E$9:$E$18,0)),0))))</f>
        <v/>
      </c>
      <c r="H387" s="1" t="n"/>
    </row>
    <row r="388">
      <c r="A388" s="1" t="n"/>
      <c r="B388" s="30" t="n"/>
      <c r="C388" s="28" t="n"/>
      <c r="D388" s="28" t="n"/>
      <c r="E388" s="31" t="n"/>
      <c r="F388" s="29" t="n"/>
      <c r="G388" s="20">
        <f>IF(N(E388)=0,"",IF(N(E388)=0,0,E388*IF(F388="",1,IFERROR(INDEX(Setup!$F$9:$F$18,MATCH(F388,Setup!$E$9:$E$18,0)),0))))</f>
        <v/>
      </c>
      <c r="H388" s="1" t="n"/>
    </row>
    <row r="389">
      <c r="A389" s="1" t="n"/>
      <c r="B389" s="30" t="n"/>
      <c r="C389" s="28" t="n"/>
      <c r="D389" s="28" t="n"/>
      <c r="E389" s="31" t="n"/>
      <c r="F389" s="29" t="n"/>
      <c r="G389" s="20">
        <f>IF(N(E389)=0,"",IF(N(E389)=0,0,E389*IF(F389="",1,IFERROR(INDEX(Setup!$F$9:$F$18,MATCH(F389,Setup!$E$9:$E$18,0)),0))))</f>
        <v/>
      </c>
      <c r="H389" s="1" t="n"/>
    </row>
    <row r="390">
      <c r="A390" s="1" t="n"/>
      <c r="B390" s="30" t="n"/>
      <c r="C390" s="28" t="n"/>
      <c r="D390" s="28" t="n"/>
      <c r="E390" s="31" t="n"/>
      <c r="F390" s="29" t="n"/>
      <c r="G390" s="20">
        <f>IF(N(E390)=0,"",IF(N(E390)=0,0,E390*IF(F390="",1,IFERROR(INDEX(Setup!$F$9:$F$18,MATCH(F390,Setup!$E$9:$E$18,0)),0))))</f>
        <v/>
      </c>
      <c r="H390" s="1" t="n"/>
    </row>
    <row r="391">
      <c r="A391" s="1" t="n"/>
      <c r="B391" s="30" t="n"/>
      <c r="C391" s="28" t="n"/>
      <c r="D391" s="28" t="n"/>
      <c r="E391" s="31" t="n"/>
      <c r="F391" s="29" t="n"/>
      <c r="G391" s="20">
        <f>IF(N(E391)=0,"",IF(N(E391)=0,0,E391*IF(F391="",1,IFERROR(INDEX(Setup!$F$9:$F$18,MATCH(F391,Setup!$E$9:$E$18,0)),0))))</f>
        <v/>
      </c>
      <c r="H391" s="1" t="n"/>
    </row>
    <row r="392">
      <c r="A392" s="1" t="n"/>
      <c r="B392" s="30" t="n"/>
      <c r="C392" s="28" t="n"/>
      <c r="D392" s="28" t="n"/>
      <c r="E392" s="31" t="n"/>
      <c r="F392" s="29" t="n"/>
      <c r="G392" s="20">
        <f>IF(N(E392)=0,"",IF(N(E392)=0,0,E392*IF(F392="",1,IFERROR(INDEX(Setup!$F$9:$F$18,MATCH(F392,Setup!$E$9:$E$18,0)),0))))</f>
        <v/>
      </c>
      <c r="H392" s="1" t="n"/>
    </row>
    <row r="393">
      <c r="A393" s="1" t="n"/>
      <c r="B393" s="30" t="n"/>
      <c r="C393" s="28" t="n"/>
      <c r="D393" s="28" t="n"/>
      <c r="E393" s="31" t="n"/>
      <c r="F393" s="29" t="n"/>
      <c r="G393" s="20">
        <f>IF(N(E393)=0,"",IF(N(E393)=0,0,E393*IF(F393="",1,IFERROR(INDEX(Setup!$F$9:$F$18,MATCH(F393,Setup!$E$9:$E$18,0)),0))))</f>
        <v/>
      </c>
      <c r="H393" s="1" t="n"/>
    </row>
    <row r="394">
      <c r="A394" s="1" t="n"/>
      <c r="B394" s="30" t="n"/>
      <c r="C394" s="28" t="n"/>
      <c r="D394" s="28" t="n"/>
      <c r="E394" s="31" t="n"/>
      <c r="F394" s="29" t="n"/>
      <c r="G394" s="20">
        <f>IF(N(E394)=0,"",IF(N(E394)=0,0,E394*IF(F394="",1,IFERROR(INDEX(Setup!$F$9:$F$18,MATCH(F394,Setup!$E$9:$E$18,0)),0))))</f>
        <v/>
      </c>
      <c r="H394" s="1" t="n"/>
    </row>
    <row r="395">
      <c r="A395" s="1" t="n"/>
      <c r="B395" s="30" t="n"/>
      <c r="C395" s="28" t="n"/>
      <c r="D395" s="28" t="n"/>
      <c r="E395" s="31" t="n"/>
      <c r="F395" s="29" t="n"/>
      <c r="G395" s="20">
        <f>IF(N(E395)=0,"",IF(N(E395)=0,0,E395*IF(F395="",1,IFERROR(INDEX(Setup!$F$9:$F$18,MATCH(F395,Setup!$E$9:$E$18,0)),0))))</f>
        <v/>
      </c>
      <c r="H395" s="1" t="n"/>
    </row>
    <row r="396">
      <c r="A396" s="1" t="n"/>
      <c r="B396" s="30" t="n"/>
      <c r="C396" s="28" t="n"/>
      <c r="D396" s="28" t="n"/>
      <c r="E396" s="31" t="n"/>
      <c r="F396" s="29" t="n"/>
      <c r="G396" s="20">
        <f>IF(N(E396)=0,"",IF(N(E396)=0,0,E396*IF(F396="",1,IFERROR(INDEX(Setup!$F$9:$F$18,MATCH(F396,Setup!$E$9:$E$18,0)),0))))</f>
        <v/>
      </c>
      <c r="H396" s="1" t="n"/>
    </row>
    <row r="397">
      <c r="A397" s="1" t="n"/>
      <c r="B397" s="30" t="n"/>
      <c r="C397" s="28" t="n"/>
      <c r="D397" s="28" t="n"/>
      <c r="E397" s="31" t="n"/>
      <c r="F397" s="29" t="n"/>
      <c r="G397" s="20">
        <f>IF(N(E397)=0,"",IF(N(E397)=0,0,E397*IF(F397="",1,IFERROR(INDEX(Setup!$F$9:$F$18,MATCH(F397,Setup!$E$9:$E$18,0)),0))))</f>
        <v/>
      </c>
      <c r="H397" s="1" t="n"/>
    </row>
    <row r="398">
      <c r="A398" s="1" t="n"/>
      <c r="B398" s="30" t="n"/>
      <c r="C398" s="28" t="n"/>
      <c r="D398" s="28" t="n"/>
      <c r="E398" s="31" t="n"/>
      <c r="F398" s="29" t="n"/>
      <c r="G398" s="20">
        <f>IF(N(E398)=0,"",IF(N(E398)=0,0,E398*IF(F398="",1,IFERROR(INDEX(Setup!$F$9:$F$18,MATCH(F398,Setup!$E$9:$E$18,0)),0))))</f>
        <v/>
      </c>
      <c r="H398" s="1" t="n"/>
    </row>
    <row r="399">
      <c r="A399" s="1" t="n"/>
      <c r="B399" s="30" t="n"/>
      <c r="C399" s="28" t="n"/>
      <c r="D399" s="28" t="n"/>
      <c r="E399" s="31" t="n"/>
      <c r="F399" s="29" t="n"/>
      <c r="G399" s="20">
        <f>IF(N(E399)=0,"",IF(N(E399)=0,0,E399*IF(F399="",1,IFERROR(INDEX(Setup!$F$9:$F$18,MATCH(F399,Setup!$E$9:$E$18,0)),0))))</f>
        <v/>
      </c>
      <c r="H399" s="1" t="n"/>
    </row>
    <row r="400">
      <c r="A400" s="1" t="n"/>
      <c r="B400" s="30" t="n"/>
      <c r="C400" s="28" t="n"/>
      <c r="D400" s="28" t="n"/>
      <c r="E400" s="31" t="n"/>
      <c r="F400" s="29" t="n"/>
      <c r="G400" s="20">
        <f>IF(N(E400)=0,"",IF(N(E400)=0,0,E400*IF(F400="",1,IFERROR(INDEX(Setup!$F$9:$F$18,MATCH(F400,Setup!$E$9:$E$18,0)),0))))</f>
        <v/>
      </c>
      <c r="H400" s="1" t="n"/>
    </row>
    <row r="401">
      <c r="A401" s="1" t="n"/>
      <c r="B401" s="30" t="n"/>
      <c r="C401" s="28" t="n"/>
      <c r="D401" s="28" t="n"/>
      <c r="E401" s="31" t="n"/>
      <c r="F401" s="29" t="n"/>
      <c r="G401" s="20">
        <f>IF(N(E401)=0,"",IF(N(E401)=0,0,E401*IF(F401="",1,IFERROR(INDEX(Setup!$F$9:$F$18,MATCH(F401,Setup!$E$9:$E$18,0)),0))))</f>
        <v/>
      </c>
      <c r="H401" s="1" t="n"/>
    </row>
    <row r="402">
      <c r="A402" s="1" t="n"/>
      <c r="B402" s="30" t="n"/>
      <c r="C402" s="28" t="n"/>
      <c r="D402" s="28" t="n"/>
      <c r="E402" s="31" t="n"/>
      <c r="F402" s="29" t="n"/>
      <c r="G402" s="20">
        <f>IF(N(E402)=0,"",IF(N(E402)=0,0,E402*IF(F402="",1,IFERROR(INDEX(Setup!$F$9:$F$18,MATCH(F402,Setup!$E$9:$E$18,0)),0))))</f>
        <v/>
      </c>
      <c r="H402" s="1" t="n"/>
    </row>
    <row r="403">
      <c r="A403" s="1" t="n"/>
      <c r="B403" s="30" t="n"/>
      <c r="C403" s="28" t="n"/>
      <c r="D403" s="28" t="n"/>
      <c r="E403" s="31" t="n"/>
      <c r="F403" s="29" t="n"/>
      <c r="G403" s="20">
        <f>IF(N(E403)=0,"",IF(N(E403)=0,0,E403*IF(F403="",1,IFERROR(INDEX(Setup!$F$9:$F$18,MATCH(F403,Setup!$E$9:$E$18,0)),0))))</f>
        <v/>
      </c>
      <c r="H403" s="1" t="n"/>
    </row>
    <row r="404">
      <c r="A404" s="1" t="n"/>
      <c r="B404" s="30" t="n"/>
      <c r="C404" s="28" t="n"/>
      <c r="D404" s="28" t="n"/>
      <c r="E404" s="31" t="n"/>
      <c r="F404" s="29" t="n"/>
      <c r="G404" s="20">
        <f>IF(N(E404)=0,"",IF(N(E404)=0,0,E404*IF(F404="",1,IFERROR(INDEX(Setup!$F$9:$F$18,MATCH(F404,Setup!$E$9:$E$18,0)),0))))</f>
        <v/>
      </c>
      <c r="H404" s="1" t="n"/>
    </row>
    <row r="405">
      <c r="A405" s="1" t="n"/>
      <c r="B405" s="30" t="n"/>
      <c r="C405" s="28" t="n"/>
      <c r="D405" s="28" t="n"/>
      <c r="E405" s="31" t="n"/>
      <c r="F405" s="29" t="n"/>
      <c r="G405" s="20">
        <f>IF(N(E405)=0,"",IF(N(E405)=0,0,E405*IF(F405="",1,IFERROR(INDEX(Setup!$F$9:$F$18,MATCH(F405,Setup!$E$9:$E$18,0)),0))))</f>
        <v/>
      </c>
      <c r="H405" s="1" t="n"/>
    </row>
    <row r="406">
      <c r="A406" s="1" t="n"/>
      <c r="B406" s="30" t="n"/>
      <c r="C406" s="28" t="n"/>
      <c r="D406" s="28" t="n"/>
      <c r="E406" s="31" t="n"/>
      <c r="F406" s="29" t="n"/>
      <c r="G406" s="20">
        <f>IF(N(E406)=0,"",IF(N(E406)=0,0,E406*IF(F406="",1,IFERROR(INDEX(Setup!$F$9:$F$18,MATCH(F406,Setup!$E$9:$E$18,0)),0))))</f>
        <v/>
      </c>
      <c r="H406" s="1" t="n"/>
    </row>
    <row r="407">
      <c r="A407" s="1" t="n"/>
      <c r="B407" s="30" t="n"/>
      <c r="C407" s="28" t="n"/>
      <c r="D407" s="28" t="n"/>
      <c r="E407" s="31" t="n"/>
      <c r="F407" s="29" t="n"/>
      <c r="G407" s="20">
        <f>IF(N(E407)=0,"",IF(N(E407)=0,0,E407*IF(F407="",1,IFERROR(INDEX(Setup!$F$9:$F$18,MATCH(F407,Setup!$E$9:$E$18,0)),0))))</f>
        <v/>
      </c>
      <c r="H407" s="1" t="n"/>
    </row>
    <row r="408">
      <c r="A408" s="1" t="n"/>
      <c r="B408" s="30" t="n"/>
      <c r="C408" s="28" t="n"/>
      <c r="D408" s="28" t="n"/>
      <c r="E408" s="31" t="n"/>
      <c r="F408" s="29" t="n"/>
      <c r="G408" s="20">
        <f>IF(N(E408)=0,"",IF(N(E408)=0,0,E408*IF(F408="",1,IFERROR(INDEX(Setup!$F$9:$F$18,MATCH(F408,Setup!$E$9:$E$18,0)),0))))</f>
        <v/>
      </c>
      <c r="H408" s="1" t="n"/>
    </row>
    <row r="409">
      <c r="A409" s="1" t="n"/>
      <c r="B409" s="30" t="n"/>
      <c r="C409" s="28" t="n"/>
      <c r="D409" s="28" t="n"/>
      <c r="E409" s="31" t="n"/>
      <c r="F409" s="29" t="n"/>
      <c r="G409" s="20">
        <f>IF(N(E409)=0,"",IF(N(E409)=0,0,E409*IF(F409="",1,IFERROR(INDEX(Setup!$F$9:$F$18,MATCH(F409,Setup!$E$9:$E$18,0)),0))))</f>
        <v/>
      </c>
      <c r="H409" s="1" t="n"/>
    </row>
    <row r="410">
      <c r="A410" s="1" t="n"/>
      <c r="B410" s="30" t="n"/>
      <c r="C410" s="28" t="n"/>
      <c r="D410" s="28" t="n"/>
      <c r="E410" s="31" t="n"/>
      <c r="F410" s="29" t="n"/>
      <c r="G410" s="20">
        <f>IF(N(E410)=0,"",IF(N(E410)=0,0,E410*IF(F410="",1,IFERROR(INDEX(Setup!$F$9:$F$18,MATCH(F410,Setup!$E$9:$E$18,0)),0))))</f>
        <v/>
      </c>
      <c r="H410" s="1" t="n"/>
    </row>
    <row r="411">
      <c r="A411" s="1" t="n"/>
      <c r="B411" s="30" t="n"/>
      <c r="C411" s="28" t="n"/>
      <c r="D411" s="28" t="n"/>
      <c r="E411" s="31" t="n"/>
      <c r="F411" s="29" t="n"/>
      <c r="G411" s="20">
        <f>IF(N(E411)=0,"",IF(N(E411)=0,0,E411*IF(F411="",1,IFERROR(INDEX(Setup!$F$9:$F$18,MATCH(F411,Setup!$E$9:$E$18,0)),0))))</f>
        <v/>
      </c>
      <c r="H411" s="1" t="n"/>
    </row>
    <row r="412">
      <c r="A412" s="1" t="n"/>
      <c r="B412" s="30" t="n"/>
      <c r="C412" s="28" t="n"/>
      <c r="D412" s="28" t="n"/>
      <c r="E412" s="31" t="n"/>
      <c r="F412" s="29" t="n"/>
      <c r="G412" s="20">
        <f>IF(N(E412)=0,"",IF(N(E412)=0,0,E412*IF(F412="",1,IFERROR(INDEX(Setup!$F$9:$F$18,MATCH(F412,Setup!$E$9:$E$18,0)),0))))</f>
        <v/>
      </c>
      <c r="H412" s="1" t="n"/>
    </row>
    <row r="413">
      <c r="A413" s="1" t="n"/>
      <c r="B413" s="30" t="n"/>
      <c r="C413" s="28" t="n"/>
      <c r="D413" s="28" t="n"/>
      <c r="E413" s="31" t="n"/>
      <c r="F413" s="29" t="n"/>
      <c r="G413" s="20">
        <f>IF(N(E413)=0,"",IF(N(E413)=0,0,E413*IF(F413="",1,IFERROR(INDEX(Setup!$F$9:$F$18,MATCH(F413,Setup!$E$9:$E$18,0)),0))))</f>
        <v/>
      </c>
      <c r="H413" s="1" t="n"/>
    </row>
    <row r="414">
      <c r="A414" s="1" t="n"/>
      <c r="B414" s="30" t="n"/>
      <c r="C414" s="28" t="n"/>
      <c r="D414" s="28" t="n"/>
      <c r="E414" s="31" t="n"/>
      <c r="F414" s="29" t="n"/>
      <c r="G414" s="20">
        <f>IF(N(E414)=0,"",IF(N(E414)=0,0,E414*IF(F414="",1,IFERROR(INDEX(Setup!$F$9:$F$18,MATCH(F414,Setup!$E$9:$E$18,0)),0))))</f>
        <v/>
      </c>
      <c r="H414" s="1" t="n"/>
    </row>
    <row r="415">
      <c r="A415" s="1" t="n"/>
      <c r="B415" s="30" t="n"/>
      <c r="C415" s="28" t="n"/>
      <c r="D415" s="28" t="n"/>
      <c r="E415" s="31" t="n"/>
      <c r="F415" s="29" t="n"/>
      <c r="G415" s="20">
        <f>IF(N(E415)=0,"",IF(N(E415)=0,0,E415*IF(F415="",1,IFERROR(INDEX(Setup!$F$9:$F$18,MATCH(F415,Setup!$E$9:$E$18,0)),0))))</f>
        <v/>
      </c>
      <c r="H415" s="1" t="n"/>
    </row>
    <row r="416">
      <c r="A416" s="1" t="n"/>
      <c r="B416" s="30" t="n"/>
      <c r="C416" s="28" t="n"/>
      <c r="D416" s="28" t="n"/>
      <c r="E416" s="31" t="n"/>
      <c r="F416" s="29" t="n"/>
      <c r="G416" s="20">
        <f>IF(N(E416)=0,"",IF(N(E416)=0,0,E416*IF(F416="",1,IFERROR(INDEX(Setup!$F$9:$F$18,MATCH(F416,Setup!$E$9:$E$18,0)),0))))</f>
        <v/>
      </c>
      <c r="H416" s="1" t="n"/>
    </row>
    <row r="417">
      <c r="A417" s="1" t="n"/>
      <c r="B417" s="30" t="n"/>
      <c r="C417" s="28" t="n"/>
      <c r="D417" s="28" t="n"/>
      <c r="E417" s="31" t="n"/>
      <c r="F417" s="29" t="n"/>
      <c r="G417" s="20">
        <f>IF(N(E417)=0,"",IF(N(E417)=0,0,E417*IF(F417="",1,IFERROR(INDEX(Setup!$F$9:$F$18,MATCH(F417,Setup!$E$9:$E$18,0)),0))))</f>
        <v/>
      </c>
      <c r="H417" s="1" t="n"/>
    </row>
    <row r="418">
      <c r="A418" s="1" t="n"/>
      <c r="B418" s="30" t="n"/>
      <c r="C418" s="28" t="n"/>
      <c r="D418" s="28" t="n"/>
      <c r="E418" s="31" t="n"/>
      <c r="F418" s="29" t="n"/>
      <c r="G418" s="20">
        <f>IF(N(E418)=0,"",IF(N(E418)=0,0,E418*IF(F418="",1,IFERROR(INDEX(Setup!$F$9:$F$18,MATCH(F418,Setup!$E$9:$E$18,0)),0))))</f>
        <v/>
      </c>
      <c r="H418" s="1" t="n"/>
    </row>
    <row r="419">
      <c r="A419" s="1" t="n"/>
      <c r="B419" s="30" t="n"/>
      <c r="C419" s="28" t="n"/>
      <c r="D419" s="28" t="n"/>
      <c r="E419" s="31" t="n"/>
      <c r="F419" s="29" t="n"/>
      <c r="G419" s="20">
        <f>IF(N(E419)=0,"",IF(N(E419)=0,0,E419*IF(F419="",1,IFERROR(INDEX(Setup!$F$9:$F$18,MATCH(F419,Setup!$E$9:$E$18,0)),0))))</f>
        <v/>
      </c>
      <c r="H419" s="1" t="n"/>
    </row>
    <row r="420">
      <c r="A420" s="1" t="n"/>
      <c r="B420" s="30" t="n"/>
      <c r="C420" s="28" t="n"/>
      <c r="D420" s="28" t="n"/>
      <c r="E420" s="31" t="n"/>
      <c r="F420" s="29" t="n"/>
      <c r="G420" s="20">
        <f>IF(N(E420)=0,"",IF(N(E420)=0,0,E420*IF(F420="",1,IFERROR(INDEX(Setup!$F$9:$F$18,MATCH(F420,Setup!$E$9:$E$18,0)),0))))</f>
        <v/>
      </c>
      <c r="H420" s="1" t="n"/>
    </row>
    <row r="421">
      <c r="A421" s="1" t="n"/>
      <c r="B421" s="30" t="n"/>
      <c r="C421" s="28" t="n"/>
      <c r="D421" s="28" t="n"/>
      <c r="E421" s="31" t="n"/>
      <c r="F421" s="29" t="n"/>
      <c r="G421" s="20">
        <f>IF(N(E421)=0,"",IF(N(E421)=0,0,E421*IF(F421="",1,IFERROR(INDEX(Setup!$F$9:$F$18,MATCH(F421,Setup!$E$9:$E$18,0)),0))))</f>
        <v/>
      </c>
      <c r="H421" s="1" t="n"/>
    </row>
    <row r="422">
      <c r="A422" s="1" t="n"/>
      <c r="B422" s="30" t="n"/>
      <c r="C422" s="28" t="n"/>
      <c r="D422" s="28" t="n"/>
      <c r="E422" s="31" t="n"/>
      <c r="F422" s="29" t="n"/>
      <c r="G422" s="20">
        <f>IF(N(E422)=0,"",IF(N(E422)=0,0,E422*IF(F422="",1,IFERROR(INDEX(Setup!$F$9:$F$18,MATCH(F422,Setup!$E$9:$E$18,0)),0))))</f>
        <v/>
      </c>
      <c r="H422" s="1" t="n"/>
    </row>
    <row r="423">
      <c r="A423" s="1" t="n"/>
      <c r="B423" s="30" t="n"/>
      <c r="C423" s="28" t="n"/>
      <c r="D423" s="28" t="n"/>
      <c r="E423" s="31" t="n"/>
      <c r="F423" s="29" t="n"/>
      <c r="G423" s="20">
        <f>IF(N(E423)=0,"",IF(N(E423)=0,0,E423*IF(F423="",1,IFERROR(INDEX(Setup!$F$9:$F$18,MATCH(F423,Setup!$E$9:$E$18,0)),0))))</f>
        <v/>
      </c>
      <c r="H423" s="1" t="n"/>
    </row>
    <row r="424">
      <c r="A424" s="1" t="n"/>
      <c r="B424" s="30" t="n"/>
      <c r="C424" s="28" t="n"/>
      <c r="D424" s="28" t="n"/>
      <c r="E424" s="31" t="n"/>
      <c r="F424" s="29" t="n"/>
      <c r="G424" s="20">
        <f>IF(N(E424)=0,"",IF(N(E424)=0,0,E424*IF(F424="",1,IFERROR(INDEX(Setup!$F$9:$F$18,MATCH(F424,Setup!$E$9:$E$18,0)),0))))</f>
        <v/>
      </c>
      <c r="H424" s="1" t="n"/>
    </row>
    <row r="425">
      <c r="A425" s="1" t="n"/>
      <c r="B425" s="30" t="n"/>
      <c r="C425" s="28" t="n"/>
      <c r="D425" s="28" t="n"/>
      <c r="E425" s="31" t="n"/>
      <c r="F425" s="29" t="n"/>
      <c r="G425" s="20">
        <f>IF(N(E425)=0,"",IF(N(E425)=0,0,E425*IF(F425="",1,IFERROR(INDEX(Setup!$F$9:$F$18,MATCH(F425,Setup!$E$9:$E$18,0)),0))))</f>
        <v/>
      </c>
      <c r="H425" s="1" t="n"/>
    </row>
    <row r="426">
      <c r="A426" s="1" t="n"/>
      <c r="B426" s="30" t="n"/>
      <c r="C426" s="28" t="n"/>
      <c r="D426" s="28" t="n"/>
      <c r="E426" s="31" t="n"/>
      <c r="F426" s="29" t="n"/>
      <c r="G426" s="20">
        <f>IF(N(E426)=0,"",IF(N(E426)=0,0,E426*IF(F426="",1,IFERROR(INDEX(Setup!$F$9:$F$18,MATCH(F426,Setup!$E$9:$E$18,0)),0))))</f>
        <v/>
      </c>
      <c r="H426" s="1" t="n"/>
    </row>
    <row r="427">
      <c r="A427" s="1" t="n"/>
      <c r="B427" s="30" t="n"/>
      <c r="C427" s="28" t="n"/>
      <c r="D427" s="28" t="n"/>
      <c r="E427" s="31" t="n"/>
      <c r="F427" s="29" t="n"/>
      <c r="G427" s="20">
        <f>IF(N(E427)=0,"",IF(N(E427)=0,0,E427*IF(F427="",1,IFERROR(INDEX(Setup!$F$9:$F$18,MATCH(F427,Setup!$E$9:$E$18,0)),0))))</f>
        <v/>
      </c>
      <c r="H427" s="1" t="n"/>
    </row>
    <row r="428">
      <c r="A428" s="1" t="n"/>
      <c r="B428" s="30" t="n"/>
      <c r="C428" s="28" t="n"/>
      <c r="D428" s="28" t="n"/>
      <c r="E428" s="31" t="n"/>
      <c r="F428" s="29" t="n"/>
      <c r="G428" s="20">
        <f>IF(N(E428)=0,"",IF(N(E428)=0,0,E428*IF(F428="",1,IFERROR(INDEX(Setup!$F$9:$F$18,MATCH(F428,Setup!$E$9:$E$18,0)),0))))</f>
        <v/>
      </c>
      <c r="H428" s="1" t="n"/>
    </row>
    <row r="429">
      <c r="A429" s="1" t="n"/>
      <c r="B429" s="30" t="n"/>
      <c r="C429" s="28" t="n"/>
      <c r="D429" s="28" t="n"/>
      <c r="E429" s="31" t="n"/>
      <c r="F429" s="29" t="n"/>
      <c r="G429" s="20">
        <f>IF(N(E429)=0,"",IF(N(E429)=0,0,E429*IF(F429="",1,IFERROR(INDEX(Setup!$F$9:$F$18,MATCH(F429,Setup!$E$9:$E$18,0)),0))))</f>
        <v/>
      </c>
      <c r="H429" s="1" t="n"/>
    </row>
    <row r="430">
      <c r="A430" s="1" t="n"/>
      <c r="B430" s="30" t="n"/>
      <c r="C430" s="28" t="n"/>
      <c r="D430" s="28" t="n"/>
      <c r="E430" s="31" t="n"/>
      <c r="F430" s="29" t="n"/>
      <c r="G430" s="20">
        <f>IF(N(E430)=0,"",IF(N(E430)=0,0,E430*IF(F430="",1,IFERROR(INDEX(Setup!$F$9:$F$18,MATCH(F430,Setup!$E$9:$E$18,0)),0))))</f>
        <v/>
      </c>
      <c r="H430" s="1" t="n"/>
    </row>
    <row r="431">
      <c r="A431" s="1" t="n"/>
      <c r="B431" s="30" t="n"/>
      <c r="C431" s="28" t="n"/>
      <c r="D431" s="28" t="n"/>
      <c r="E431" s="31" t="n"/>
      <c r="F431" s="29" t="n"/>
      <c r="G431" s="20">
        <f>IF(N(E431)=0,"",IF(N(E431)=0,0,E431*IF(F431="",1,IFERROR(INDEX(Setup!$F$9:$F$18,MATCH(F431,Setup!$E$9:$E$18,0)),0))))</f>
        <v/>
      </c>
      <c r="H431" s="1" t="n"/>
    </row>
    <row r="432">
      <c r="A432" s="1" t="n"/>
      <c r="B432" s="30" t="n"/>
      <c r="C432" s="28" t="n"/>
      <c r="D432" s="28" t="n"/>
      <c r="E432" s="31" t="n"/>
      <c r="F432" s="29" t="n"/>
      <c r="G432" s="20">
        <f>IF(N(E432)=0,"",IF(N(E432)=0,0,E432*IF(F432="",1,IFERROR(INDEX(Setup!$F$9:$F$18,MATCH(F432,Setup!$E$9:$E$18,0)),0))))</f>
        <v/>
      </c>
      <c r="H432" s="1" t="n"/>
    </row>
    <row r="433">
      <c r="A433" s="1" t="n"/>
      <c r="B433" s="30" t="n"/>
      <c r="C433" s="28" t="n"/>
      <c r="D433" s="28" t="n"/>
      <c r="E433" s="31" t="n"/>
      <c r="F433" s="29" t="n"/>
      <c r="G433" s="20">
        <f>IF(N(E433)=0,"",IF(N(E433)=0,0,E433*IF(F433="",1,IFERROR(INDEX(Setup!$F$9:$F$18,MATCH(F433,Setup!$E$9:$E$18,0)),0))))</f>
        <v/>
      </c>
      <c r="H433" s="1" t="n"/>
    </row>
    <row r="434">
      <c r="A434" s="1" t="n"/>
      <c r="B434" s="30" t="n"/>
      <c r="C434" s="28" t="n"/>
      <c r="D434" s="28" t="n"/>
      <c r="E434" s="31" t="n"/>
      <c r="F434" s="29" t="n"/>
      <c r="G434" s="20">
        <f>IF(N(E434)=0,"",IF(N(E434)=0,0,E434*IF(F434="",1,IFERROR(INDEX(Setup!$F$9:$F$18,MATCH(F434,Setup!$E$9:$E$18,0)),0))))</f>
        <v/>
      </c>
      <c r="H434" s="1" t="n"/>
    </row>
    <row r="435">
      <c r="A435" s="1" t="n"/>
      <c r="B435" s="30" t="n"/>
      <c r="C435" s="28" t="n"/>
      <c r="D435" s="28" t="n"/>
      <c r="E435" s="31" t="n"/>
      <c r="F435" s="29" t="n"/>
      <c r="G435" s="20">
        <f>IF(N(E435)=0,"",IF(N(E435)=0,0,E435*IF(F435="",1,IFERROR(INDEX(Setup!$F$9:$F$18,MATCH(F435,Setup!$E$9:$E$18,0)),0))))</f>
        <v/>
      </c>
      <c r="H435" s="1" t="n"/>
    </row>
    <row r="436">
      <c r="A436" s="1" t="n"/>
      <c r="B436" s="30" t="n"/>
      <c r="C436" s="28" t="n"/>
      <c r="D436" s="28" t="n"/>
      <c r="E436" s="31" t="n"/>
      <c r="F436" s="29" t="n"/>
      <c r="G436" s="20">
        <f>IF(N(E436)=0,"",IF(N(E436)=0,0,E436*IF(F436="",1,IFERROR(INDEX(Setup!$F$9:$F$18,MATCH(F436,Setup!$E$9:$E$18,0)),0))))</f>
        <v/>
      </c>
      <c r="H436" s="1" t="n"/>
    </row>
    <row r="437">
      <c r="A437" s="1" t="n"/>
      <c r="B437" s="30" t="n"/>
      <c r="C437" s="28" t="n"/>
      <c r="D437" s="28" t="n"/>
      <c r="E437" s="31" t="n"/>
      <c r="F437" s="29" t="n"/>
      <c r="G437" s="20">
        <f>IF(N(E437)=0,"",IF(N(E437)=0,0,E437*IF(F437="",1,IFERROR(INDEX(Setup!$F$9:$F$18,MATCH(F437,Setup!$E$9:$E$18,0)),0))))</f>
        <v/>
      </c>
      <c r="H437" s="1" t="n"/>
    </row>
    <row r="438">
      <c r="A438" s="1" t="n"/>
      <c r="B438" s="30" t="n"/>
      <c r="C438" s="28" t="n"/>
      <c r="D438" s="28" t="n"/>
      <c r="E438" s="31" t="n"/>
      <c r="F438" s="29" t="n"/>
      <c r="G438" s="20">
        <f>IF(N(E438)=0,"",IF(N(E438)=0,0,E438*IF(F438="",1,IFERROR(INDEX(Setup!$F$9:$F$18,MATCH(F438,Setup!$E$9:$E$18,0)),0))))</f>
        <v/>
      </c>
      <c r="H438" s="1" t="n"/>
    </row>
    <row r="439">
      <c r="A439" s="1" t="n"/>
      <c r="B439" s="30" t="n"/>
      <c r="C439" s="28" t="n"/>
      <c r="D439" s="28" t="n"/>
      <c r="E439" s="31" t="n"/>
      <c r="F439" s="29" t="n"/>
      <c r="G439" s="20">
        <f>IF(N(E439)=0,"",IF(N(E439)=0,0,E439*IF(F439="",1,IFERROR(INDEX(Setup!$F$9:$F$18,MATCH(F439,Setup!$E$9:$E$18,0)),0))))</f>
        <v/>
      </c>
      <c r="H439" s="1" t="n"/>
    </row>
    <row r="440">
      <c r="A440" s="1" t="n"/>
      <c r="B440" s="30" t="n"/>
      <c r="C440" s="28" t="n"/>
      <c r="D440" s="28" t="n"/>
      <c r="E440" s="31" t="n"/>
      <c r="F440" s="29" t="n"/>
      <c r="G440" s="20">
        <f>IF(N(E440)=0,"",IF(N(E440)=0,0,E440*IF(F440="",1,IFERROR(INDEX(Setup!$F$9:$F$18,MATCH(F440,Setup!$E$9:$E$18,0)),0))))</f>
        <v/>
      </c>
      <c r="H440" s="1" t="n"/>
    </row>
    <row r="441">
      <c r="A441" s="1" t="n"/>
      <c r="B441" s="30" t="n"/>
      <c r="C441" s="28" t="n"/>
      <c r="D441" s="28" t="n"/>
      <c r="E441" s="31" t="n"/>
      <c r="F441" s="29" t="n"/>
      <c r="G441" s="20">
        <f>IF(N(E441)=0,"",IF(N(E441)=0,0,E441*IF(F441="",1,IFERROR(INDEX(Setup!$F$9:$F$18,MATCH(F441,Setup!$E$9:$E$18,0)),0))))</f>
        <v/>
      </c>
      <c r="H441" s="1" t="n"/>
    </row>
    <row r="442">
      <c r="A442" s="1" t="n"/>
      <c r="B442" s="30" t="n"/>
      <c r="C442" s="28" t="n"/>
      <c r="D442" s="28" t="n"/>
      <c r="E442" s="31" t="n"/>
      <c r="F442" s="29" t="n"/>
      <c r="G442" s="20">
        <f>IF(N(E442)=0,"",IF(N(E442)=0,0,E442*IF(F442="",1,IFERROR(INDEX(Setup!$F$9:$F$18,MATCH(F442,Setup!$E$9:$E$18,0)),0))))</f>
        <v/>
      </c>
      <c r="H442" s="1" t="n"/>
    </row>
    <row r="443">
      <c r="A443" s="1" t="n"/>
      <c r="B443" s="30" t="n"/>
      <c r="C443" s="28" t="n"/>
      <c r="D443" s="28" t="n"/>
      <c r="E443" s="31" t="n"/>
      <c r="F443" s="29" t="n"/>
      <c r="G443" s="20">
        <f>IF(N(E443)=0,"",IF(N(E443)=0,0,E443*IF(F443="",1,IFERROR(INDEX(Setup!$F$9:$F$18,MATCH(F443,Setup!$E$9:$E$18,0)),0))))</f>
        <v/>
      </c>
      <c r="H443" s="1" t="n"/>
    </row>
    <row r="444">
      <c r="A444" s="1" t="n"/>
      <c r="B444" s="30" t="n"/>
      <c r="C444" s="28" t="n"/>
      <c r="D444" s="28" t="n"/>
      <c r="E444" s="31" t="n"/>
      <c r="F444" s="29" t="n"/>
      <c r="G444" s="20">
        <f>IF(N(E444)=0,"",IF(N(E444)=0,0,E444*IF(F444="",1,IFERROR(INDEX(Setup!$F$9:$F$18,MATCH(F444,Setup!$E$9:$E$18,0)),0))))</f>
        <v/>
      </c>
      <c r="H444" s="1" t="n"/>
    </row>
    <row r="445">
      <c r="A445" s="1" t="n"/>
      <c r="B445" s="30" t="n"/>
      <c r="C445" s="28" t="n"/>
      <c r="D445" s="28" t="n"/>
      <c r="E445" s="31" t="n"/>
      <c r="F445" s="29" t="n"/>
      <c r="G445" s="20">
        <f>IF(N(E445)=0,"",IF(N(E445)=0,0,E445*IF(F445="",1,IFERROR(INDEX(Setup!$F$9:$F$18,MATCH(F445,Setup!$E$9:$E$18,0)),0))))</f>
        <v/>
      </c>
      <c r="H445" s="1" t="n"/>
    </row>
    <row r="446">
      <c r="A446" s="1" t="n"/>
      <c r="B446" s="30" t="n"/>
      <c r="C446" s="28" t="n"/>
      <c r="D446" s="28" t="n"/>
      <c r="E446" s="31" t="n"/>
      <c r="F446" s="29" t="n"/>
      <c r="G446" s="20">
        <f>IF(N(E446)=0,"",IF(N(E446)=0,0,E446*IF(F446="",1,IFERROR(INDEX(Setup!$F$9:$F$18,MATCH(F446,Setup!$E$9:$E$18,0)),0))))</f>
        <v/>
      </c>
      <c r="H446" s="1" t="n"/>
    </row>
    <row r="447">
      <c r="A447" s="1" t="n"/>
      <c r="B447" s="30" t="n"/>
      <c r="C447" s="28" t="n"/>
      <c r="D447" s="28" t="n"/>
      <c r="E447" s="31" t="n"/>
      <c r="F447" s="29" t="n"/>
      <c r="G447" s="20">
        <f>IF(N(E447)=0,"",IF(N(E447)=0,0,E447*IF(F447="",1,IFERROR(INDEX(Setup!$F$9:$F$18,MATCH(F447,Setup!$E$9:$E$18,0)),0))))</f>
        <v/>
      </c>
      <c r="H447" s="1" t="n"/>
    </row>
    <row r="448">
      <c r="A448" s="1" t="n"/>
      <c r="B448" s="30" t="n"/>
      <c r="C448" s="28" t="n"/>
      <c r="D448" s="28" t="n"/>
      <c r="E448" s="31" t="n"/>
      <c r="F448" s="29" t="n"/>
      <c r="G448" s="20">
        <f>IF(N(E448)=0,"",IF(N(E448)=0,0,E448*IF(F448="",1,IFERROR(INDEX(Setup!$F$9:$F$18,MATCH(F448,Setup!$E$9:$E$18,0)),0))))</f>
        <v/>
      </c>
      <c r="H448" s="1" t="n"/>
    </row>
    <row r="449">
      <c r="A449" s="1" t="n"/>
      <c r="B449" s="30" t="n"/>
      <c r="C449" s="28" t="n"/>
      <c r="D449" s="28" t="n"/>
      <c r="E449" s="31" t="n"/>
      <c r="F449" s="29" t="n"/>
      <c r="G449" s="20">
        <f>IF(N(E449)=0,"",IF(N(E449)=0,0,E449*IF(F449="",1,IFERROR(INDEX(Setup!$F$9:$F$18,MATCH(F449,Setup!$E$9:$E$18,0)),0))))</f>
        <v/>
      </c>
      <c r="H449" s="1" t="n"/>
    </row>
    <row r="450">
      <c r="A450" s="1" t="n"/>
      <c r="B450" s="30" t="n"/>
      <c r="C450" s="28" t="n"/>
      <c r="D450" s="28" t="n"/>
      <c r="E450" s="31" t="n"/>
      <c r="F450" s="29" t="n"/>
      <c r="G450" s="20">
        <f>IF(N(E450)=0,"",IF(N(E450)=0,0,E450*IF(F450="",1,IFERROR(INDEX(Setup!$F$9:$F$18,MATCH(F450,Setup!$E$9:$E$18,0)),0))))</f>
        <v/>
      </c>
      <c r="H450" s="1" t="n"/>
    </row>
    <row r="451">
      <c r="A451" s="1" t="n"/>
      <c r="B451" s="30" t="n"/>
      <c r="C451" s="28" t="n"/>
      <c r="D451" s="28" t="n"/>
      <c r="E451" s="31" t="n"/>
      <c r="F451" s="29" t="n"/>
      <c r="G451" s="20">
        <f>IF(N(E451)=0,"",IF(N(E451)=0,0,E451*IF(F451="",1,IFERROR(INDEX(Setup!$F$9:$F$18,MATCH(F451,Setup!$E$9:$E$18,0)),0))))</f>
        <v/>
      </c>
      <c r="H451" s="1" t="n"/>
    </row>
    <row r="452">
      <c r="A452" s="1" t="n"/>
      <c r="B452" s="30" t="n"/>
      <c r="C452" s="28" t="n"/>
      <c r="D452" s="28" t="n"/>
      <c r="E452" s="31" t="n"/>
      <c r="F452" s="29" t="n"/>
      <c r="G452" s="20">
        <f>IF(N(E452)=0,"",IF(N(E452)=0,0,E452*IF(F452="",1,IFERROR(INDEX(Setup!$F$9:$F$18,MATCH(F452,Setup!$E$9:$E$18,0)),0))))</f>
        <v/>
      </c>
      <c r="H452" s="1" t="n"/>
    </row>
    <row r="453">
      <c r="A453" s="1" t="n"/>
      <c r="B453" s="30" t="n"/>
      <c r="C453" s="28" t="n"/>
      <c r="D453" s="28" t="n"/>
      <c r="E453" s="31" t="n"/>
      <c r="F453" s="29" t="n"/>
      <c r="G453" s="20">
        <f>IF(N(E453)=0,"",IF(N(E453)=0,0,E453*IF(F453="",1,IFERROR(INDEX(Setup!$F$9:$F$18,MATCH(F453,Setup!$E$9:$E$18,0)),0))))</f>
        <v/>
      </c>
      <c r="H453" s="1" t="n"/>
    </row>
    <row r="454">
      <c r="A454" s="1" t="n"/>
      <c r="B454" s="30" t="n"/>
      <c r="C454" s="28" t="n"/>
      <c r="D454" s="28" t="n"/>
      <c r="E454" s="31" t="n"/>
      <c r="F454" s="29" t="n"/>
      <c r="G454" s="20">
        <f>IF(N(E454)=0,"",IF(N(E454)=0,0,E454*IF(F454="",1,IFERROR(INDEX(Setup!$F$9:$F$18,MATCH(F454,Setup!$E$9:$E$18,0)),0))))</f>
        <v/>
      </c>
      <c r="H454" s="1" t="n"/>
    </row>
    <row r="455">
      <c r="A455" s="1" t="n"/>
      <c r="B455" s="30" t="n"/>
      <c r="C455" s="28" t="n"/>
      <c r="D455" s="28" t="n"/>
      <c r="E455" s="31" t="n"/>
      <c r="F455" s="29" t="n"/>
      <c r="G455" s="20">
        <f>IF(N(E455)=0,"",IF(N(E455)=0,0,E455*IF(F455="",1,IFERROR(INDEX(Setup!$F$9:$F$18,MATCH(F455,Setup!$E$9:$E$18,0)),0))))</f>
        <v/>
      </c>
      <c r="H455" s="1" t="n"/>
    </row>
    <row r="456">
      <c r="A456" s="1" t="n"/>
      <c r="B456" s="30" t="n"/>
      <c r="C456" s="28" t="n"/>
      <c r="D456" s="28" t="n"/>
      <c r="E456" s="31" t="n"/>
      <c r="F456" s="29" t="n"/>
      <c r="G456" s="20">
        <f>IF(N(E456)=0,"",IF(N(E456)=0,0,E456*IF(F456="",1,IFERROR(INDEX(Setup!$F$9:$F$18,MATCH(F456,Setup!$E$9:$E$18,0)),0))))</f>
        <v/>
      </c>
      <c r="H456" s="1" t="n"/>
    </row>
    <row r="457">
      <c r="A457" s="1" t="n"/>
      <c r="B457" s="30" t="n"/>
      <c r="C457" s="28" t="n"/>
      <c r="D457" s="28" t="n"/>
      <c r="E457" s="31" t="n"/>
      <c r="F457" s="29" t="n"/>
      <c r="G457" s="20">
        <f>IF(N(E457)=0,"",IF(N(E457)=0,0,E457*IF(F457="",1,IFERROR(INDEX(Setup!$F$9:$F$18,MATCH(F457,Setup!$E$9:$E$18,0)),0))))</f>
        <v/>
      </c>
      <c r="H457" s="1" t="n"/>
    </row>
    <row r="458">
      <c r="A458" s="1" t="n"/>
      <c r="B458" s="30" t="n"/>
      <c r="C458" s="28" t="n"/>
      <c r="D458" s="28" t="n"/>
      <c r="E458" s="31" t="n"/>
      <c r="F458" s="29" t="n"/>
      <c r="G458" s="20">
        <f>IF(N(E458)=0,"",IF(N(E458)=0,0,E458*IF(F458="",1,IFERROR(INDEX(Setup!$F$9:$F$18,MATCH(F458,Setup!$E$9:$E$18,0)),0))))</f>
        <v/>
      </c>
      <c r="H458" s="1" t="n"/>
    </row>
    <row r="459">
      <c r="A459" s="1" t="n"/>
      <c r="B459" s="30" t="n"/>
      <c r="C459" s="28" t="n"/>
      <c r="D459" s="28" t="n"/>
      <c r="E459" s="31" t="n"/>
      <c r="F459" s="29" t="n"/>
      <c r="G459" s="20">
        <f>IF(N(E459)=0,"",IF(N(E459)=0,0,E459*IF(F459="",1,IFERROR(INDEX(Setup!$F$9:$F$18,MATCH(F459,Setup!$E$9:$E$18,0)),0))))</f>
        <v/>
      </c>
      <c r="H459" s="1" t="n"/>
    </row>
    <row r="460">
      <c r="A460" s="1" t="n"/>
      <c r="B460" s="30" t="n"/>
      <c r="C460" s="28" t="n"/>
      <c r="D460" s="28" t="n"/>
      <c r="E460" s="31" t="n"/>
      <c r="F460" s="29" t="n"/>
      <c r="G460" s="20">
        <f>IF(N(E460)=0,"",IF(N(E460)=0,0,E460*IF(F460="",1,IFERROR(INDEX(Setup!$F$9:$F$18,MATCH(F460,Setup!$E$9:$E$18,0)),0))))</f>
        <v/>
      </c>
      <c r="H460" s="1" t="n"/>
    </row>
    <row r="461">
      <c r="A461" s="1" t="n"/>
      <c r="B461" s="30" t="n"/>
      <c r="C461" s="28" t="n"/>
      <c r="D461" s="28" t="n"/>
      <c r="E461" s="31" t="n"/>
      <c r="F461" s="29" t="n"/>
      <c r="G461" s="20">
        <f>IF(N(E461)=0,"",IF(N(E461)=0,0,E461*IF(F461="",1,IFERROR(INDEX(Setup!$F$9:$F$18,MATCH(F461,Setup!$E$9:$E$18,0)),0))))</f>
        <v/>
      </c>
      <c r="H461" s="1" t="n"/>
    </row>
    <row r="462">
      <c r="A462" s="1" t="n"/>
      <c r="B462" s="30" t="n"/>
      <c r="C462" s="28" t="n"/>
      <c r="D462" s="28" t="n"/>
      <c r="E462" s="31" t="n"/>
      <c r="F462" s="29" t="n"/>
      <c r="G462" s="20">
        <f>IF(N(E462)=0,"",IF(N(E462)=0,0,E462*IF(F462="",1,IFERROR(INDEX(Setup!$F$9:$F$18,MATCH(F462,Setup!$E$9:$E$18,0)),0))))</f>
        <v/>
      </c>
      <c r="H462" s="1" t="n"/>
    </row>
    <row r="463">
      <c r="A463" s="1" t="n"/>
      <c r="B463" s="30" t="n"/>
      <c r="C463" s="28" t="n"/>
      <c r="D463" s="28" t="n"/>
      <c r="E463" s="31" t="n"/>
      <c r="F463" s="29" t="n"/>
      <c r="G463" s="20">
        <f>IF(N(E463)=0,"",IF(N(E463)=0,0,E463*IF(F463="",1,IFERROR(INDEX(Setup!$F$9:$F$18,MATCH(F463,Setup!$E$9:$E$18,0)),0))))</f>
        <v/>
      </c>
      <c r="H463" s="1" t="n"/>
    </row>
    <row r="464">
      <c r="A464" s="1" t="n"/>
      <c r="B464" s="30" t="n"/>
      <c r="C464" s="28" t="n"/>
      <c r="D464" s="28" t="n"/>
      <c r="E464" s="31" t="n"/>
      <c r="F464" s="29" t="n"/>
      <c r="G464" s="20">
        <f>IF(N(E464)=0,"",IF(N(E464)=0,0,E464*IF(F464="",1,IFERROR(INDEX(Setup!$F$9:$F$18,MATCH(F464,Setup!$E$9:$E$18,0)),0))))</f>
        <v/>
      </c>
      <c r="H464" s="1" t="n"/>
    </row>
    <row r="465">
      <c r="A465" s="1" t="n"/>
      <c r="B465" s="30" t="n"/>
      <c r="C465" s="28" t="n"/>
      <c r="D465" s="28" t="n"/>
      <c r="E465" s="31" t="n"/>
      <c r="F465" s="29" t="n"/>
      <c r="G465" s="20">
        <f>IF(N(E465)=0,"",IF(N(E465)=0,0,E465*IF(F465="",1,IFERROR(INDEX(Setup!$F$9:$F$18,MATCH(F465,Setup!$E$9:$E$18,0)),0))))</f>
        <v/>
      </c>
      <c r="H465" s="1" t="n"/>
    </row>
    <row r="466">
      <c r="A466" s="1" t="n"/>
      <c r="B466" s="30" t="n"/>
      <c r="C466" s="28" t="n"/>
      <c r="D466" s="28" t="n"/>
      <c r="E466" s="31" t="n"/>
      <c r="F466" s="29" t="n"/>
      <c r="G466" s="20">
        <f>IF(N(E466)=0,"",IF(N(E466)=0,0,E466*IF(F466="",1,IFERROR(INDEX(Setup!$F$9:$F$18,MATCH(F466,Setup!$E$9:$E$18,0)),0))))</f>
        <v/>
      </c>
      <c r="H466" s="1" t="n"/>
    </row>
    <row r="467">
      <c r="A467" s="1" t="n"/>
      <c r="B467" s="30" t="n"/>
      <c r="C467" s="28" t="n"/>
      <c r="D467" s="28" t="n"/>
      <c r="E467" s="31" t="n"/>
      <c r="F467" s="29" t="n"/>
      <c r="G467" s="20">
        <f>IF(N(E467)=0,"",IF(N(E467)=0,0,E467*IF(F467="",1,IFERROR(INDEX(Setup!$F$9:$F$18,MATCH(F467,Setup!$E$9:$E$18,0)),0))))</f>
        <v/>
      </c>
      <c r="H467" s="1" t="n"/>
    </row>
    <row r="468">
      <c r="A468" s="1" t="n"/>
      <c r="B468" s="30" t="n"/>
      <c r="C468" s="28" t="n"/>
      <c r="D468" s="28" t="n"/>
      <c r="E468" s="31" t="n"/>
      <c r="F468" s="29" t="n"/>
      <c r="G468" s="20">
        <f>IF(N(E468)=0,"",IF(N(E468)=0,0,E468*IF(F468="",1,IFERROR(INDEX(Setup!$F$9:$F$18,MATCH(F468,Setup!$E$9:$E$18,0)),0))))</f>
        <v/>
      </c>
      <c r="H468" s="1" t="n"/>
    </row>
    <row r="469">
      <c r="A469" s="1" t="n"/>
      <c r="B469" s="30" t="n"/>
      <c r="C469" s="28" t="n"/>
      <c r="D469" s="28" t="n"/>
      <c r="E469" s="31" t="n"/>
      <c r="F469" s="29" t="n"/>
      <c r="G469" s="20">
        <f>IF(N(E469)=0,"",IF(N(E469)=0,0,E469*IF(F469="",1,IFERROR(INDEX(Setup!$F$9:$F$18,MATCH(F469,Setup!$E$9:$E$18,0)),0))))</f>
        <v/>
      </c>
      <c r="H469" s="1" t="n"/>
    </row>
    <row r="470">
      <c r="A470" s="1" t="n"/>
      <c r="B470" s="30" t="n"/>
      <c r="C470" s="28" t="n"/>
      <c r="D470" s="28" t="n"/>
      <c r="E470" s="31" t="n"/>
      <c r="F470" s="29" t="n"/>
      <c r="G470" s="20">
        <f>IF(N(E470)=0,"",IF(N(E470)=0,0,E470*IF(F470="",1,IFERROR(INDEX(Setup!$F$9:$F$18,MATCH(F470,Setup!$E$9:$E$18,0)),0))))</f>
        <v/>
      </c>
      <c r="H470" s="1" t="n"/>
    </row>
    <row r="471">
      <c r="A471" s="1" t="n"/>
      <c r="B471" s="30" t="n"/>
      <c r="C471" s="28" t="n"/>
      <c r="D471" s="28" t="n"/>
      <c r="E471" s="31" t="n"/>
      <c r="F471" s="29" t="n"/>
      <c r="G471" s="20">
        <f>IF(N(E471)=0,"",IF(N(E471)=0,0,E471*IF(F471="",1,IFERROR(INDEX(Setup!$F$9:$F$18,MATCH(F471,Setup!$E$9:$E$18,0)),0))))</f>
        <v/>
      </c>
      <c r="H471" s="1" t="n"/>
    </row>
    <row r="472">
      <c r="A472" s="1" t="n"/>
      <c r="B472" s="30" t="n"/>
      <c r="C472" s="28" t="n"/>
      <c r="D472" s="28" t="n"/>
      <c r="E472" s="31" t="n"/>
      <c r="F472" s="29" t="n"/>
      <c r="G472" s="20">
        <f>IF(N(E472)=0,"",IF(N(E472)=0,0,E472*IF(F472="",1,IFERROR(INDEX(Setup!$F$9:$F$18,MATCH(F472,Setup!$E$9:$E$18,0)),0))))</f>
        <v/>
      </c>
      <c r="H472" s="1" t="n"/>
    </row>
    <row r="473">
      <c r="A473" s="1" t="n"/>
      <c r="B473" s="30" t="n"/>
      <c r="C473" s="28" t="n"/>
      <c r="D473" s="28" t="n"/>
      <c r="E473" s="31" t="n"/>
      <c r="F473" s="29" t="n"/>
      <c r="G473" s="20">
        <f>IF(N(E473)=0,"",IF(N(E473)=0,0,E473*IF(F473="",1,IFERROR(INDEX(Setup!$F$9:$F$18,MATCH(F473,Setup!$E$9:$E$18,0)),0))))</f>
        <v/>
      </c>
      <c r="H473" s="1" t="n"/>
    </row>
    <row r="474">
      <c r="A474" s="1" t="n"/>
      <c r="B474" s="30" t="n"/>
      <c r="C474" s="28" t="n"/>
      <c r="D474" s="28" t="n"/>
      <c r="E474" s="31" t="n"/>
      <c r="F474" s="29" t="n"/>
      <c r="G474" s="20">
        <f>IF(N(E474)=0,"",IF(N(E474)=0,0,E474*IF(F474="",1,IFERROR(INDEX(Setup!$F$9:$F$18,MATCH(F474,Setup!$E$9:$E$18,0)),0))))</f>
        <v/>
      </c>
      <c r="H474" s="1" t="n"/>
    </row>
    <row r="475">
      <c r="A475" s="1" t="n"/>
      <c r="B475" s="30" t="n"/>
      <c r="C475" s="28" t="n"/>
      <c r="D475" s="28" t="n"/>
      <c r="E475" s="31" t="n"/>
      <c r="F475" s="29" t="n"/>
      <c r="G475" s="20">
        <f>IF(N(E475)=0,"",IF(N(E475)=0,0,E475*IF(F475="",1,IFERROR(INDEX(Setup!$F$9:$F$18,MATCH(F475,Setup!$E$9:$E$18,0)),0))))</f>
        <v/>
      </c>
      <c r="H475" s="1" t="n"/>
    </row>
    <row r="476">
      <c r="A476" s="1" t="n"/>
      <c r="B476" s="30" t="n"/>
      <c r="C476" s="28" t="n"/>
      <c r="D476" s="28" t="n"/>
      <c r="E476" s="31" t="n"/>
      <c r="F476" s="29" t="n"/>
      <c r="G476" s="20">
        <f>IF(N(E476)=0,"",IF(N(E476)=0,0,E476*IF(F476="",1,IFERROR(INDEX(Setup!$F$9:$F$18,MATCH(F476,Setup!$E$9:$E$18,0)),0))))</f>
        <v/>
      </c>
      <c r="H476" s="1" t="n"/>
    </row>
    <row r="477">
      <c r="A477" s="1" t="n"/>
      <c r="B477" s="30" t="n"/>
      <c r="C477" s="28" t="n"/>
      <c r="D477" s="28" t="n"/>
      <c r="E477" s="31" t="n"/>
      <c r="F477" s="29" t="n"/>
      <c r="G477" s="20">
        <f>IF(N(E477)=0,"",IF(N(E477)=0,0,E477*IF(F477="",1,IFERROR(INDEX(Setup!$F$9:$F$18,MATCH(F477,Setup!$E$9:$E$18,0)),0))))</f>
        <v/>
      </c>
      <c r="H477" s="1" t="n"/>
    </row>
    <row r="478">
      <c r="A478" s="1" t="n"/>
      <c r="B478" s="30" t="n"/>
      <c r="C478" s="28" t="n"/>
      <c r="D478" s="28" t="n"/>
      <c r="E478" s="31" t="n"/>
      <c r="F478" s="29" t="n"/>
      <c r="G478" s="20">
        <f>IF(N(E478)=0,"",IF(N(E478)=0,0,E478*IF(F478="",1,IFERROR(INDEX(Setup!$F$9:$F$18,MATCH(F478,Setup!$E$9:$E$18,0)),0))))</f>
        <v/>
      </c>
      <c r="H478" s="1" t="n"/>
    </row>
    <row r="479">
      <c r="A479" s="1" t="n"/>
      <c r="B479" s="30" t="n"/>
      <c r="C479" s="28" t="n"/>
      <c r="D479" s="28" t="n"/>
      <c r="E479" s="31" t="n"/>
      <c r="F479" s="29" t="n"/>
      <c r="G479" s="20">
        <f>IF(N(E479)=0,"",IF(N(E479)=0,0,E479*IF(F479="",1,IFERROR(INDEX(Setup!$F$9:$F$18,MATCH(F479,Setup!$E$9:$E$18,0)),0))))</f>
        <v/>
      </c>
      <c r="H479" s="1" t="n"/>
    </row>
    <row r="480">
      <c r="A480" s="1" t="n"/>
      <c r="B480" s="30" t="n"/>
      <c r="C480" s="28" t="n"/>
      <c r="D480" s="28" t="n"/>
      <c r="E480" s="31" t="n"/>
      <c r="F480" s="29" t="n"/>
      <c r="G480" s="20">
        <f>IF(N(E480)=0,"",IF(N(E480)=0,0,E480*IF(F480="",1,IFERROR(INDEX(Setup!$F$9:$F$18,MATCH(F480,Setup!$E$9:$E$18,0)),0))))</f>
        <v/>
      </c>
      <c r="H480" s="1" t="n"/>
    </row>
    <row r="481">
      <c r="A481" s="1" t="n"/>
      <c r="B481" s="30" t="n"/>
      <c r="C481" s="28" t="n"/>
      <c r="D481" s="28" t="n"/>
      <c r="E481" s="31" t="n"/>
      <c r="F481" s="29" t="n"/>
      <c r="G481" s="20">
        <f>IF(N(E481)=0,"",IF(N(E481)=0,0,E481*IF(F481="",1,IFERROR(INDEX(Setup!$F$9:$F$18,MATCH(F481,Setup!$E$9:$E$18,0)),0))))</f>
        <v/>
      </c>
      <c r="H481" s="1" t="n"/>
    </row>
    <row r="482">
      <c r="A482" s="1" t="n"/>
      <c r="B482" s="30" t="n"/>
      <c r="C482" s="28" t="n"/>
      <c r="D482" s="28" t="n"/>
      <c r="E482" s="31" t="n"/>
      <c r="F482" s="29" t="n"/>
      <c r="G482" s="20">
        <f>IF(N(E482)=0,"",IF(N(E482)=0,0,E482*IF(F482="",1,IFERROR(INDEX(Setup!$F$9:$F$18,MATCH(F482,Setup!$E$9:$E$18,0)),0))))</f>
        <v/>
      </c>
      <c r="H482" s="1" t="n"/>
    </row>
    <row r="483">
      <c r="A483" s="1" t="n"/>
      <c r="B483" s="30" t="n"/>
      <c r="C483" s="28" t="n"/>
      <c r="D483" s="28" t="n"/>
      <c r="E483" s="31" t="n"/>
      <c r="F483" s="29" t="n"/>
      <c r="G483" s="20">
        <f>IF(N(E483)=0,"",IF(N(E483)=0,0,E483*IF(F483="",1,IFERROR(INDEX(Setup!$F$9:$F$18,MATCH(F483,Setup!$E$9:$E$18,0)),0))))</f>
        <v/>
      </c>
      <c r="H483" s="1" t="n"/>
    </row>
    <row r="484">
      <c r="A484" s="1" t="n"/>
      <c r="B484" s="30" t="n"/>
      <c r="C484" s="28" t="n"/>
      <c r="D484" s="28" t="n"/>
      <c r="E484" s="31" t="n"/>
      <c r="F484" s="29" t="n"/>
      <c r="G484" s="20">
        <f>IF(N(E484)=0,"",IF(N(E484)=0,0,E484*IF(F484="",1,IFERROR(INDEX(Setup!$F$9:$F$18,MATCH(F484,Setup!$E$9:$E$18,0)),0))))</f>
        <v/>
      </c>
      <c r="H484" s="1" t="n"/>
    </row>
    <row r="485">
      <c r="A485" s="1" t="n"/>
      <c r="B485" s="30" t="n"/>
      <c r="C485" s="28" t="n"/>
      <c r="D485" s="28" t="n"/>
      <c r="E485" s="31" t="n"/>
      <c r="F485" s="29" t="n"/>
      <c r="G485" s="20">
        <f>IF(N(E485)=0,"",IF(N(E485)=0,0,E485*IF(F485="",1,IFERROR(INDEX(Setup!$F$9:$F$18,MATCH(F485,Setup!$E$9:$E$18,0)),0))))</f>
        <v/>
      </c>
      <c r="H485" s="1" t="n"/>
    </row>
    <row r="486">
      <c r="A486" s="1" t="n"/>
      <c r="B486" s="30" t="n"/>
      <c r="C486" s="28" t="n"/>
      <c r="D486" s="28" t="n"/>
      <c r="E486" s="31" t="n"/>
      <c r="F486" s="29" t="n"/>
      <c r="G486" s="20">
        <f>IF(N(E486)=0,"",IF(N(E486)=0,0,E486*IF(F486="",1,IFERROR(INDEX(Setup!$F$9:$F$18,MATCH(F486,Setup!$E$9:$E$18,0)),0))))</f>
        <v/>
      </c>
      <c r="H486" s="1" t="n"/>
    </row>
    <row r="487">
      <c r="A487" s="1" t="n"/>
      <c r="B487" s="30" t="n"/>
      <c r="C487" s="28" t="n"/>
      <c r="D487" s="28" t="n"/>
      <c r="E487" s="31" t="n"/>
      <c r="F487" s="29" t="n"/>
      <c r="G487" s="20">
        <f>IF(N(E487)=0,"",IF(N(E487)=0,0,E487*IF(F487="",1,IFERROR(INDEX(Setup!$F$9:$F$18,MATCH(F487,Setup!$E$9:$E$18,0)),0))))</f>
        <v/>
      </c>
      <c r="H487" s="1" t="n"/>
    </row>
    <row r="488">
      <c r="A488" s="1" t="n"/>
      <c r="B488" s="30" t="n"/>
      <c r="C488" s="28" t="n"/>
      <c r="D488" s="28" t="n"/>
      <c r="E488" s="31" t="n"/>
      <c r="F488" s="29" t="n"/>
      <c r="G488" s="20">
        <f>IF(N(E488)=0,"",IF(N(E488)=0,0,E488*IF(F488="",1,IFERROR(INDEX(Setup!$F$9:$F$18,MATCH(F488,Setup!$E$9:$E$18,0)),0))))</f>
        <v/>
      </c>
      <c r="H488" s="1" t="n"/>
    </row>
    <row r="489">
      <c r="A489" s="1" t="n"/>
      <c r="B489" s="30" t="n"/>
      <c r="C489" s="28" t="n"/>
      <c r="D489" s="28" t="n"/>
      <c r="E489" s="31" t="n"/>
      <c r="F489" s="29" t="n"/>
      <c r="G489" s="20">
        <f>IF(N(E489)=0,"",IF(N(E489)=0,0,E489*IF(F489="",1,IFERROR(INDEX(Setup!$F$9:$F$18,MATCH(F489,Setup!$E$9:$E$18,0)),0))))</f>
        <v/>
      </c>
      <c r="H489" s="1" t="n"/>
    </row>
    <row r="490">
      <c r="A490" s="1" t="n"/>
      <c r="B490" s="30" t="n"/>
      <c r="C490" s="28" t="n"/>
      <c r="D490" s="28" t="n"/>
      <c r="E490" s="31" t="n"/>
      <c r="F490" s="29" t="n"/>
      <c r="G490" s="20">
        <f>IF(N(E490)=0,"",IF(N(E490)=0,0,E490*IF(F490="",1,IFERROR(INDEX(Setup!$F$9:$F$18,MATCH(F490,Setup!$E$9:$E$18,0)),0))))</f>
        <v/>
      </c>
      <c r="H490" s="1" t="n"/>
    </row>
    <row r="491">
      <c r="A491" s="1" t="n"/>
      <c r="B491" s="30" t="n"/>
      <c r="C491" s="28" t="n"/>
      <c r="D491" s="28" t="n"/>
      <c r="E491" s="31" t="n"/>
      <c r="F491" s="29" t="n"/>
      <c r="G491" s="20">
        <f>IF(N(E491)=0,"",IF(N(E491)=0,0,E491*IF(F491="",1,IFERROR(INDEX(Setup!$F$9:$F$18,MATCH(F491,Setup!$E$9:$E$18,0)),0))))</f>
        <v/>
      </c>
      <c r="H491" s="1" t="n"/>
    </row>
    <row r="492">
      <c r="A492" s="1" t="n"/>
      <c r="B492" s="30" t="n"/>
      <c r="C492" s="28" t="n"/>
      <c r="D492" s="28" t="n"/>
      <c r="E492" s="31" t="n"/>
      <c r="F492" s="29" t="n"/>
      <c r="G492" s="20">
        <f>IF(N(E492)=0,"",IF(N(E492)=0,0,E492*IF(F492="",1,IFERROR(INDEX(Setup!$F$9:$F$18,MATCH(F492,Setup!$E$9:$E$18,0)),0))))</f>
        <v/>
      </c>
      <c r="H492" s="1" t="n"/>
    </row>
    <row r="493">
      <c r="A493" s="1" t="n"/>
      <c r="B493" s="30" t="n"/>
      <c r="C493" s="28" t="n"/>
      <c r="D493" s="28" t="n"/>
      <c r="E493" s="31" t="n"/>
      <c r="F493" s="29" t="n"/>
      <c r="G493" s="20">
        <f>IF(N(E493)=0,"",IF(N(E493)=0,0,E493*IF(F493="",1,IFERROR(INDEX(Setup!$F$9:$F$18,MATCH(F493,Setup!$E$9:$E$18,0)),0))))</f>
        <v/>
      </c>
      <c r="H493" s="1" t="n"/>
    </row>
    <row r="494">
      <c r="A494" s="1" t="n"/>
      <c r="B494" s="30" t="n"/>
      <c r="C494" s="28" t="n"/>
      <c r="D494" s="28" t="n"/>
      <c r="E494" s="31" t="n"/>
      <c r="F494" s="29" t="n"/>
      <c r="G494" s="20">
        <f>IF(N(E494)=0,"",IF(N(E494)=0,0,E494*IF(F494="",1,IFERROR(INDEX(Setup!$F$9:$F$18,MATCH(F494,Setup!$E$9:$E$18,0)),0))))</f>
        <v/>
      </c>
      <c r="H494" s="1" t="n"/>
    </row>
    <row r="495">
      <c r="A495" s="1" t="n"/>
      <c r="B495" s="30" t="n"/>
      <c r="C495" s="28" t="n"/>
      <c r="D495" s="28" t="n"/>
      <c r="E495" s="31" t="n"/>
      <c r="F495" s="29" t="n"/>
      <c r="G495" s="20">
        <f>IF(N(E495)=0,"",IF(N(E495)=0,0,E495*IF(F495="",1,IFERROR(INDEX(Setup!$F$9:$F$18,MATCH(F495,Setup!$E$9:$E$18,0)),0))))</f>
        <v/>
      </c>
      <c r="H495" s="1" t="n"/>
    </row>
    <row r="496">
      <c r="A496" s="1" t="n"/>
      <c r="B496" s="30" t="n"/>
      <c r="C496" s="28" t="n"/>
      <c r="D496" s="28" t="n"/>
      <c r="E496" s="31" t="n"/>
      <c r="F496" s="29" t="n"/>
      <c r="G496" s="20">
        <f>IF(N(E496)=0,"",IF(N(E496)=0,0,E496*IF(F496="",1,IFERROR(INDEX(Setup!$F$9:$F$18,MATCH(F496,Setup!$E$9:$E$18,0)),0))))</f>
        <v/>
      </c>
      <c r="H496" s="1" t="n"/>
    </row>
    <row r="497">
      <c r="A497" s="1" t="n"/>
      <c r="B497" s="30" t="n"/>
      <c r="C497" s="28" t="n"/>
      <c r="D497" s="28" t="n"/>
      <c r="E497" s="31" t="n"/>
      <c r="F497" s="29" t="n"/>
      <c r="G497" s="20">
        <f>IF(N(E497)=0,"",IF(N(E497)=0,0,E497*IF(F497="",1,IFERROR(INDEX(Setup!$F$9:$F$18,MATCH(F497,Setup!$E$9:$E$18,0)),0))))</f>
        <v/>
      </c>
      <c r="H497" s="1" t="n"/>
    </row>
    <row r="498">
      <c r="A498" s="1" t="n"/>
      <c r="B498" s="30" t="n"/>
      <c r="C498" s="28" t="n"/>
      <c r="D498" s="28" t="n"/>
      <c r="E498" s="31" t="n"/>
      <c r="F498" s="29" t="n"/>
      <c r="G498" s="20">
        <f>IF(N(E498)=0,"",IF(N(E498)=0,0,E498*IF(F498="",1,IFERROR(INDEX(Setup!$F$9:$F$18,MATCH(F498,Setup!$E$9:$E$18,0)),0))))</f>
        <v/>
      </c>
      <c r="H498" s="1" t="n"/>
    </row>
    <row r="499">
      <c r="A499" s="1" t="n"/>
      <c r="B499" s="30" t="n"/>
      <c r="C499" s="28" t="n"/>
      <c r="D499" s="28" t="n"/>
      <c r="E499" s="31" t="n"/>
      <c r="F499" s="29" t="n"/>
      <c r="G499" s="20">
        <f>IF(N(E499)=0,"",IF(N(E499)=0,0,E499*IF(F499="",1,IFERROR(INDEX(Setup!$F$9:$F$18,MATCH(F499,Setup!$E$9:$E$18,0)),0))))</f>
        <v/>
      </c>
      <c r="H499" s="1" t="n"/>
    </row>
    <row r="500">
      <c r="A500" s="1" t="n"/>
      <c r="B500" s="30" t="n"/>
      <c r="C500" s="28" t="n"/>
      <c r="D500" s="28" t="n"/>
      <c r="E500" s="31" t="n"/>
      <c r="F500" s="29" t="n"/>
      <c r="G500" s="20">
        <f>IF(N(E500)=0,"",IF(N(E500)=0,0,E500*IF(F500="",1,IFERROR(INDEX(Setup!$F$9:$F$18,MATCH(F500,Setup!$E$9:$E$18,0)),0))))</f>
        <v/>
      </c>
      <c r="H500" s="1" t="n"/>
    </row>
    <row r="501">
      <c r="A501" s="1" t="n"/>
      <c r="B501" s="30" t="n"/>
      <c r="C501" s="28" t="n"/>
      <c r="D501" s="28" t="n"/>
      <c r="E501" s="31" t="n"/>
      <c r="F501" s="29" t="n"/>
      <c r="G501" s="20">
        <f>IF(N(E501)=0,"",IF(N(E501)=0,0,E501*IF(F501="",1,IFERROR(INDEX(Setup!$F$9:$F$18,MATCH(F501,Setup!$E$9:$E$18,0)),0))))</f>
        <v/>
      </c>
      <c r="H501" s="1" t="n"/>
    </row>
    <row r="502">
      <c r="A502" s="1" t="n"/>
      <c r="B502" s="30" t="n"/>
      <c r="C502" s="28" t="n"/>
      <c r="D502" s="28" t="n"/>
      <c r="E502" s="31" t="n"/>
      <c r="F502" s="29" t="n"/>
      <c r="G502" s="20">
        <f>IF(N(E502)=0,"",IF(N(E502)=0,0,E502*IF(F502="",1,IFERROR(INDEX(Setup!$F$9:$F$18,MATCH(F502,Setup!$E$9:$E$18,0)),0))))</f>
        <v/>
      </c>
      <c r="H502" s="1" t="n"/>
    </row>
    <row r="503">
      <c r="A503" s="1" t="n"/>
      <c r="B503" s="30" t="n"/>
      <c r="C503" s="28" t="n"/>
      <c r="D503" s="28" t="n"/>
      <c r="E503" s="31" t="n"/>
      <c r="F503" s="29" t="n"/>
      <c r="G503" s="20">
        <f>IF(N(E503)=0,"",IF(N(E503)=0,0,E503*IF(F503="",1,IFERROR(INDEX(Setup!$F$9:$F$18,MATCH(F503,Setup!$E$9:$E$18,0)),0))))</f>
        <v/>
      </c>
      <c r="H503" s="1" t="n"/>
    </row>
    <row r="504">
      <c r="A504" s="1" t="n"/>
      <c r="B504" s="30" t="n"/>
      <c r="C504" s="28" t="n"/>
      <c r="D504" s="28" t="n"/>
      <c r="E504" s="31" t="n"/>
      <c r="F504" s="29" t="n"/>
      <c r="G504" s="20">
        <f>IF(N(E504)=0,"",IF(N(E504)=0,0,E504*IF(F504="",1,IFERROR(INDEX(Setup!$F$9:$F$18,MATCH(F504,Setup!$E$9:$E$18,0)),0))))</f>
        <v/>
      </c>
      <c r="H504" s="1" t="n"/>
    </row>
    <row r="505">
      <c r="A505" s="1" t="n"/>
      <c r="B505" s="30" t="n"/>
      <c r="C505" s="28" t="n"/>
      <c r="D505" s="28" t="n"/>
      <c r="E505" s="31" t="n"/>
      <c r="F505" s="29" t="n"/>
      <c r="G505" s="20">
        <f>IF(N(E505)=0,"",IF(N(E505)=0,0,E505*IF(F505="",1,IFERROR(INDEX(Setup!$F$9:$F$18,MATCH(F505,Setup!$E$9:$E$18,0)),0))))</f>
        <v/>
      </c>
      <c r="H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</row>
  </sheetData>
  <dataValidations count="2">
    <dataValidation sqref="D6:D505" showDropDown="0" showInputMessage="0" showErrorMessage="1" allowBlank="1" type="list">
      <formula1>"Flights,Lodging,Transport,Food,Activities,Shopping,Other"</formula1>
    </dataValidation>
    <dataValidation sqref="F6:F505" showDropDown="0" showInputMessage="0" showErrorMessage="1" allowBlank="1" type="list">
      <formula1>=Setup!$E$9:$E$18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5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7" customWidth="1" min="4" max="4"/>
    <col width="9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Packing list</t>
        </is>
      </c>
      <c r="C2" s="1" t="n"/>
      <c r="D2" s="1" t="n"/>
      <c r="E2" s="1" t="n"/>
      <c r="F2" s="1" t="n"/>
    </row>
    <row r="3">
      <c r="A3" s="1" t="n"/>
      <c r="B3" s="3" t="inlineStr">
        <is>
          <t>Type x under Packed as things go in the bag. Add your own at the end.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30" customHeight="1">
      <c r="A5" s="1" t="n"/>
      <c r="B5" s="12" t="inlineStr">
        <is>
          <t>Item</t>
        </is>
      </c>
      <c r="C5" s="12" t="inlineStr">
        <is>
          <t>Category</t>
        </is>
      </c>
      <c r="D5" s="12" t="inlineStr">
        <is>
          <t>How many</t>
        </is>
      </c>
      <c r="E5" s="12" t="inlineStr">
        <is>
          <t>Packed</t>
        </is>
      </c>
      <c r="F5" s="1" t="n"/>
    </row>
    <row r="6">
      <c r="A6" s="1" t="n"/>
      <c r="B6" s="27" t="inlineStr">
        <is>
          <t>Passports</t>
        </is>
      </c>
      <c r="C6" s="28" t="inlineStr">
        <is>
          <t>Documents</t>
        </is>
      </c>
      <c r="D6" s="32" t="n">
        <v>2</v>
      </c>
      <c r="E6" s="29" t="inlineStr">
        <is>
          <t>x</t>
        </is>
      </c>
      <c r="F6" s="1" t="n"/>
    </row>
    <row r="7">
      <c r="A7" s="1" t="n"/>
      <c r="B7" s="27" t="inlineStr">
        <is>
          <t>Printed bookings</t>
        </is>
      </c>
      <c r="C7" s="28" t="inlineStr">
        <is>
          <t>Documents</t>
        </is>
      </c>
      <c r="D7" s="32" t="n">
        <v>1</v>
      </c>
      <c r="E7" s="29" t="inlineStr">
        <is>
          <t>x</t>
        </is>
      </c>
      <c r="F7" s="1" t="n"/>
    </row>
    <row r="8">
      <c r="A8" s="1" t="n"/>
      <c r="B8" s="27" t="inlineStr">
        <is>
          <t>Travel insurance card</t>
        </is>
      </c>
      <c r="C8" s="28" t="inlineStr">
        <is>
          <t>Documents</t>
        </is>
      </c>
      <c r="D8" s="32" t="n">
        <v>1</v>
      </c>
      <c r="E8" s="29" t="inlineStr">
        <is>
          <t>x</t>
        </is>
      </c>
      <c r="F8" s="1" t="n"/>
    </row>
    <row r="9">
      <c r="A9" s="1" t="n"/>
      <c r="B9" s="27" t="inlineStr">
        <is>
          <t>Credit cards</t>
        </is>
      </c>
      <c r="C9" s="28" t="inlineStr">
        <is>
          <t>Documents</t>
        </is>
      </c>
      <c r="D9" s="32" t="n">
        <v>2</v>
      </c>
      <c r="E9" s="29" t="inlineStr">
        <is>
          <t>x</t>
        </is>
      </c>
      <c r="F9" s="1" t="n"/>
    </row>
    <row r="10">
      <c r="A10" s="1" t="n"/>
      <c r="B10" s="27" t="inlineStr">
        <is>
          <t>Some cash in yen</t>
        </is>
      </c>
      <c r="C10" s="28" t="inlineStr">
        <is>
          <t>Documents</t>
        </is>
      </c>
      <c r="D10" s="32" t="n">
        <v>1</v>
      </c>
      <c r="E10" s="29" t="n"/>
      <c r="F10" s="1" t="n"/>
    </row>
    <row r="11">
      <c r="A11" s="1" t="n"/>
      <c r="B11" s="27" t="inlineStr">
        <is>
          <t>Rail pass voucher</t>
        </is>
      </c>
      <c r="C11" s="28" t="inlineStr">
        <is>
          <t>Documents</t>
        </is>
      </c>
      <c r="D11" s="32" t="n">
        <v>1</v>
      </c>
      <c r="E11" s="29" t="inlineStr">
        <is>
          <t>x</t>
        </is>
      </c>
      <c r="F11" s="1" t="n"/>
    </row>
    <row r="12">
      <c r="A12" s="1" t="n"/>
      <c r="B12" s="27" t="inlineStr">
        <is>
          <t>T-shirts</t>
        </is>
      </c>
      <c r="C12" s="28" t="inlineStr">
        <is>
          <t>Clothes</t>
        </is>
      </c>
      <c r="D12" s="32" t="n">
        <v>6</v>
      </c>
      <c r="E12" s="29" t="n"/>
      <c r="F12" s="1" t="n"/>
    </row>
    <row r="13">
      <c r="A13" s="1" t="n"/>
      <c r="B13" s="27" t="inlineStr">
        <is>
          <t>Long sleeve tops</t>
        </is>
      </c>
      <c r="C13" s="28" t="inlineStr">
        <is>
          <t>Clothes</t>
        </is>
      </c>
      <c r="D13" s="32" t="n">
        <v>3</v>
      </c>
      <c r="E13" s="29" t="n"/>
      <c r="F13" s="1" t="n"/>
    </row>
    <row r="14">
      <c r="A14" s="1" t="n"/>
      <c r="B14" s="27" t="inlineStr">
        <is>
          <t>Jeans</t>
        </is>
      </c>
      <c r="C14" s="28" t="inlineStr">
        <is>
          <t>Clothes</t>
        </is>
      </c>
      <c r="D14" s="32" t="n">
        <v>2</v>
      </c>
      <c r="E14" s="29" t="n"/>
      <c r="F14" s="1" t="n"/>
    </row>
    <row r="15">
      <c r="A15" s="1" t="n"/>
      <c r="B15" s="27" t="inlineStr">
        <is>
          <t>Light jacket</t>
        </is>
      </c>
      <c r="C15" s="28" t="inlineStr">
        <is>
          <t>Clothes</t>
        </is>
      </c>
      <c r="D15" s="32" t="n">
        <v>1</v>
      </c>
      <c r="E15" s="29" t="inlineStr">
        <is>
          <t>x</t>
        </is>
      </c>
      <c r="F15" s="1" t="n"/>
    </row>
    <row r="16">
      <c r="A16" s="1" t="n"/>
      <c r="B16" s="27" t="inlineStr">
        <is>
          <t>Sweater</t>
        </is>
      </c>
      <c r="C16" s="28" t="inlineStr">
        <is>
          <t>Clothes</t>
        </is>
      </c>
      <c r="D16" s="32" t="n">
        <v>1</v>
      </c>
      <c r="E16" s="29" t="n"/>
      <c r="F16" s="1" t="n"/>
    </row>
    <row r="17">
      <c r="A17" s="1" t="n"/>
      <c r="B17" s="27" t="inlineStr">
        <is>
          <t>Pajamas</t>
        </is>
      </c>
      <c r="C17" s="28" t="inlineStr">
        <is>
          <t>Clothes</t>
        </is>
      </c>
      <c r="D17" s="32" t="n">
        <v>1</v>
      </c>
      <c r="E17" s="29" t="n"/>
      <c r="F17" s="1" t="n"/>
    </row>
    <row r="18">
      <c r="A18" s="1" t="n"/>
      <c r="B18" s="27" t="inlineStr">
        <is>
          <t>Underwear</t>
        </is>
      </c>
      <c r="C18" s="28" t="inlineStr">
        <is>
          <t>Clothes</t>
        </is>
      </c>
      <c r="D18" s="32" t="n">
        <v>12</v>
      </c>
      <c r="E18" s="29" t="n"/>
      <c r="F18" s="1" t="n"/>
    </row>
    <row r="19">
      <c r="A19" s="1" t="n"/>
      <c r="B19" s="27" t="inlineStr">
        <is>
          <t>Socks</t>
        </is>
      </c>
      <c r="C19" s="28" t="inlineStr">
        <is>
          <t>Clothes</t>
        </is>
      </c>
      <c r="D19" s="32" t="n">
        <v>12</v>
      </c>
      <c r="E19" s="29" t="n"/>
      <c r="F19" s="1" t="n"/>
    </row>
    <row r="20">
      <c r="A20" s="1" t="n"/>
      <c r="B20" s="27" t="inlineStr">
        <is>
          <t>Walking shoes</t>
        </is>
      </c>
      <c r="C20" s="28" t="inlineStr">
        <is>
          <t>Clothes</t>
        </is>
      </c>
      <c r="D20" s="32" t="n">
        <v>1</v>
      </c>
      <c r="E20" s="29" t="inlineStr">
        <is>
          <t>x</t>
        </is>
      </c>
      <c r="F20" s="1" t="n"/>
    </row>
    <row r="21">
      <c r="A21" s="1" t="n"/>
      <c r="B21" s="27" t="inlineStr">
        <is>
          <t>Slip-on shoes for temples</t>
        </is>
      </c>
      <c r="C21" s="28" t="inlineStr">
        <is>
          <t>Clothes</t>
        </is>
      </c>
      <c r="D21" s="32" t="n">
        <v>1</v>
      </c>
      <c r="E21" s="29" t="n"/>
      <c r="F21" s="1" t="n"/>
    </row>
    <row r="22">
      <c r="A22" s="1" t="n"/>
      <c r="B22" s="27" t="inlineStr">
        <is>
          <t>Scarf</t>
        </is>
      </c>
      <c r="C22" s="28" t="inlineStr">
        <is>
          <t>Clothes</t>
        </is>
      </c>
      <c r="D22" s="32" t="n">
        <v>1</v>
      </c>
      <c r="E22" s="29" t="n"/>
      <c r="F22" s="1" t="n"/>
    </row>
    <row r="23">
      <c r="A23" s="1" t="n"/>
      <c r="B23" s="27" t="inlineStr">
        <is>
          <t>Toothbrush and toothpaste</t>
        </is>
      </c>
      <c r="C23" s="28" t="inlineStr">
        <is>
          <t>Toiletries</t>
        </is>
      </c>
      <c r="D23" s="32" t="n">
        <v>1</v>
      </c>
      <c r="E23" s="29" t="n"/>
      <c r="F23" s="1" t="n"/>
    </row>
    <row r="24">
      <c r="A24" s="1" t="n"/>
      <c r="B24" s="27" t="inlineStr">
        <is>
          <t>Deodorant</t>
        </is>
      </c>
      <c r="C24" s="28" t="inlineStr">
        <is>
          <t>Toiletries</t>
        </is>
      </c>
      <c r="D24" s="32" t="n">
        <v>1</v>
      </c>
      <c r="E24" s="29" t="n"/>
      <c r="F24" s="1" t="n"/>
    </row>
    <row r="25">
      <c r="A25" s="1" t="n"/>
      <c r="B25" s="27" t="inlineStr">
        <is>
          <t>Sunscreen</t>
        </is>
      </c>
      <c r="C25" s="28" t="inlineStr">
        <is>
          <t>Toiletries</t>
        </is>
      </c>
      <c r="D25" s="32" t="n">
        <v>1</v>
      </c>
      <c r="E25" s="29" t="n"/>
      <c r="F25" s="1" t="n"/>
    </row>
    <row r="26">
      <c r="A26" s="1" t="n"/>
      <c r="B26" s="27" t="inlineStr">
        <is>
          <t>Shampoo, travel size</t>
        </is>
      </c>
      <c r="C26" s="28" t="inlineStr">
        <is>
          <t>Toiletries</t>
        </is>
      </c>
      <c r="D26" s="32" t="n">
        <v>1</v>
      </c>
      <c r="E26" s="29" t="n"/>
      <c r="F26" s="1" t="n"/>
    </row>
    <row r="27">
      <c r="A27" s="1" t="n"/>
      <c r="B27" s="27" t="inlineStr">
        <is>
          <t>Hairbrush</t>
        </is>
      </c>
      <c r="C27" s="28" t="inlineStr">
        <is>
          <t>Toiletries</t>
        </is>
      </c>
      <c r="D27" s="32" t="n">
        <v>1</v>
      </c>
      <c r="E27" s="29" t="n"/>
      <c r="F27" s="1" t="n"/>
    </row>
    <row r="28">
      <c r="A28" s="1" t="n"/>
      <c r="B28" s="27" t="inlineStr">
        <is>
          <t>Razor</t>
        </is>
      </c>
      <c r="C28" s="28" t="inlineStr">
        <is>
          <t>Toiletries</t>
        </is>
      </c>
      <c r="D28" s="32" t="n">
        <v>1</v>
      </c>
      <c r="E28" s="29" t="n"/>
      <c r="F28" s="1" t="n"/>
    </row>
    <row r="29">
      <c r="A29" s="1" t="n"/>
      <c r="B29" s="27" t="inlineStr">
        <is>
          <t>Lip balm</t>
        </is>
      </c>
      <c r="C29" s="28" t="inlineStr">
        <is>
          <t>Toiletries</t>
        </is>
      </c>
      <c r="D29" s="32" t="n">
        <v>1</v>
      </c>
      <c r="E29" s="29" t="n"/>
      <c r="F29" s="1" t="n"/>
    </row>
    <row r="30">
      <c r="A30" s="1" t="n"/>
      <c r="B30" s="27" t="inlineStr">
        <is>
          <t>Phone and charger</t>
        </is>
      </c>
      <c r="C30" s="28" t="inlineStr">
        <is>
          <t>Electronics</t>
        </is>
      </c>
      <c r="D30" s="32" t="n">
        <v>1</v>
      </c>
      <c r="E30" s="29" t="n"/>
      <c r="F30" s="1" t="n"/>
    </row>
    <row r="31">
      <c r="A31" s="1" t="n"/>
      <c r="B31" s="27" t="inlineStr">
        <is>
          <t>Power bank</t>
        </is>
      </c>
      <c r="C31" s="28" t="inlineStr">
        <is>
          <t>Electronics</t>
        </is>
      </c>
      <c r="D31" s="32" t="n">
        <v>1</v>
      </c>
      <c r="E31" s="29" t="inlineStr">
        <is>
          <t>x</t>
        </is>
      </c>
      <c r="F31" s="1" t="n"/>
    </row>
    <row r="32">
      <c r="A32" s="1" t="n"/>
      <c r="B32" s="27" t="inlineStr">
        <is>
          <t>Plug adapter</t>
        </is>
      </c>
      <c r="C32" s="28" t="inlineStr">
        <is>
          <t>Electronics</t>
        </is>
      </c>
      <c r="D32" s="32" t="n">
        <v>1</v>
      </c>
      <c r="E32" s="29" t="inlineStr">
        <is>
          <t>x</t>
        </is>
      </c>
      <c r="F32" s="1" t="n"/>
    </row>
    <row r="33">
      <c r="A33" s="1" t="n"/>
      <c r="B33" s="27" t="inlineStr">
        <is>
          <t>Headphones</t>
        </is>
      </c>
      <c r="C33" s="28" t="inlineStr">
        <is>
          <t>Electronics</t>
        </is>
      </c>
      <c r="D33" s="32" t="n">
        <v>1</v>
      </c>
      <c r="E33" s="29" t="inlineStr">
        <is>
          <t>x</t>
        </is>
      </c>
      <c r="F33" s="1" t="n"/>
    </row>
    <row r="34">
      <c r="A34" s="1" t="n"/>
      <c r="B34" s="27" t="inlineStr">
        <is>
          <t>Camera</t>
        </is>
      </c>
      <c r="C34" s="28" t="inlineStr">
        <is>
          <t>Electronics</t>
        </is>
      </c>
      <c r="D34" s="32" t="n">
        <v>1</v>
      </c>
      <c r="E34" s="29" t="inlineStr">
        <is>
          <t>x</t>
        </is>
      </c>
      <c r="F34" s="1" t="n"/>
    </row>
    <row r="35">
      <c r="A35" s="1" t="n"/>
      <c r="B35" s="27" t="inlineStr">
        <is>
          <t>Painkillers</t>
        </is>
      </c>
      <c r="C35" s="28" t="inlineStr">
        <is>
          <t>Health</t>
        </is>
      </c>
      <c r="D35" s="32" t="n">
        <v>1</v>
      </c>
      <c r="E35" s="29" t="n"/>
      <c r="F35" s="1" t="n"/>
    </row>
    <row r="36">
      <c r="A36" s="1" t="n"/>
      <c r="B36" s="27" t="inlineStr">
        <is>
          <t>Plasters</t>
        </is>
      </c>
      <c r="C36" s="28" t="inlineStr">
        <is>
          <t>Health</t>
        </is>
      </c>
      <c r="D36" s="32" t="n">
        <v>1</v>
      </c>
      <c r="E36" s="29" t="inlineStr">
        <is>
          <t>x</t>
        </is>
      </c>
      <c r="F36" s="1" t="n"/>
    </row>
    <row r="37">
      <c r="A37" s="1" t="n"/>
      <c r="B37" s="27" t="inlineStr">
        <is>
          <t>Motion sickness tablets</t>
        </is>
      </c>
      <c r="C37" s="28" t="inlineStr">
        <is>
          <t>Health</t>
        </is>
      </c>
      <c r="D37" s="32" t="n">
        <v>1</v>
      </c>
      <c r="E37" s="29" t="n"/>
      <c r="F37" s="1" t="n"/>
    </row>
    <row r="38">
      <c r="A38" s="1" t="n"/>
      <c r="B38" s="27" t="inlineStr">
        <is>
          <t>Prescription medicine</t>
        </is>
      </c>
      <c r="C38" s="28" t="inlineStr">
        <is>
          <t>Health</t>
        </is>
      </c>
      <c r="D38" s="32" t="n">
        <v>1</v>
      </c>
      <c r="E38" s="29" t="n"/>
      <c r="F38" s="1" t="n"/>
    </row>
    <row r="39">
      <c r="A39" s="1" t="n"/>
      <c r="B39" s="27" t="inlineStr">
        <is>
          <t>Hand sanitiser</t>
        </is>
      </c>
      <c r="C39" s="28" t="inlineStr">
        <is>
          <t>Health</t>
        </is>
      </c>
      <c r="D39" s="32" t="n">
        <v>1</v>
      </c>
      <c r="E39" s="29" t="n"/>
      <c r="F39" s="1" t="n"/>
    </row>
    <row r="40">
      <c r="A40" s="1" t="n"/>
      <c r="B40" s="27" t="inlineStr">
        <is>
          <t>Day backpack</t>
        </is>
      </c>
      <c r="C40" s="28" t="inlineStr">
        <is>
          <t>Other</t>
        </is>
      </c>
      <c r="D40" s="32" t="n">
        <v>1</v>
      </c>
      <c r="E40" s="29" t="n"/>
      <c r="F40" s="1" t="n"/>
    </row>
    <row r="41">
      <c r="A41" s="1" t="n"/>
      <c r="B41" s="27" t="inlineStr">
        <is>
          <t>Reusable water bottle</t>
        </is>
      </c>
      <c r="C41" s="28" t="inlineStr">
        <is>
          <t>Other</t>
        </is>
      </c>
      <c r="D41" s="32" t="n">
        <v>1</v>
      </c>
      <c r="E41" s="29" t="n"/>
      <c r="F41" s="1" t="n"/>
    </row>
    <row r="42">
      <c r="A42" s="1" t="n"/>
      <c r="B42" s="27" t="inlineStr">
        <is>
          <t>Small towel</t>
        </is>
      </c>
      <c r="C42" s="28" t="inlineStr">
        <is>
          <t>Other</t>
        </is>
      </c>
      <c r="D42" s="32" t="n">
        <v>1</v>
      </c>
      <c r="E42" s="29" t="n"/>
      <c r="F42" s="1" t="n"/>
    </row>
    <row r="43">
      <c r="A43" s="1" t="n"/>
      <c r="B43" s="27" t="inlineStr">
        <is>
          <t>Coin purse</t>
        </is>
      </c>
      <c r="C43" s="28" t="inlineStr">
        <is>
          <t>Other</t>
        </is>
      </c>
      <c r="D43" s="32" t="n">
        <v>1</v>
      </c>
      <c r="E43" s="29" t="n"/>
      <c r="F43" s="1" t="n"/>
    </row>
    <row r="44">
      <c r="A44" s="1" t="n"/>
      <c r="B44" s="27" t="inlineStr">
        <is>
          <t>Folding umbrella</t>
        </is>
      </c>
      <c r="C44" s="28" t="inlineStr">
        <is>
          <t>Other</t>
        </is>
      </c>
      <c r="D44" s="32" t="n">
        <v>1</v>
      </c>
      <c r="E44" s="29" t="inlineStr">
        <is>
          <t>x</t>
        </is>
      </c>
      <c r="F44" s="1" t="n"/>
    </row>
    <row r="45">
      <c r="A45" s="1" t="n"/>
      <c r="B45" s="27" t="inlineStr">
        <is>
          <t>Earplugs and eye mask</t>
        </is>
      </c>
      <c r="C45" s="28" t="inlineStr">
        <is>
          <t>Other</t>
        </is>
      </c>
      <c r="D45" s="32" t="n">
        <v>1</v>
      </c>
      <c r="E45" s="29" t="n"/>
      <c r="F45" s="1" t="n"/>
    </row>
    <row r="46">
      <c r="A46" s="1" t="n"/>
      <c r="B46" s="27" t="n"/>
      <c r="C46" s="28" t="n"/>
      <c r="D46" s="32" t="n"/>
      <c r="E46" s="29" t="n"/>
      <c r="F46" s="1" t="n"/>
    </row>
    <row r="47">
      <c r="A47" s="1" t="n"/>
      <c r="B47" s="27" t="n"/>
      <c r="C47" s="28" t="n"/>
      <c r="D47" s="32" t="n"/>
      <c r="E47" s="29" t="n"/>
      <c r="F47" s="1" t="n"/>
    </row>
    <row r="48">
      <c r="A48" s="1" t="n"/>
      <c r="B48" s="27" t="n"/>
      <c r="C48" s="28" t="n"/>
      <c r="D48" s="32" t="n"/>
      <c r="E48" s="29" t="n"/>
      <c r="F48" s="1" t="n"/>
    </row>
    <row r="49">
      <c r="A49" s="1" t="n"/>
      <c r="B49" s="27" t="n"/>
      <c r="C49" s="28" t="n"/>
      <c r="D49" s="32" t="n"/>
      <c r="E49" s="29" t="n"/>
      <c r="F49" s="1" t="n"/>
    </row>
    <row r="50">
      <c r="A50" s="1" t="n"/>
      <c r="B50" s="27" t="n"/>
      <c r="C50" s="28" t="n"/>
      <c r="D50" s="32" t="n"/>
      <c r="E50" s="29" t="n"/>
      <c r="F50" s="1" t="n"/>
    </row>
    <row r="51">
      <c r="A51" s="1" t="n"/>
      <c r="B51" s="27" t="n"/>
      <c r="C51" s="28" t="n"/>
      <c r="D51" s="32" t="n"/>
      <c r="E51" s="29" t="n"/>
      <c r="F51" s="1" t="n"/>
    </row>
    <row r="52">
      <c r="A52" s="1" t="n"/>
      <c r="B52" s="27" t="n"/>
      <c r="C52" s="28" t="n"/>
      <c r="D52" s="32" t="n"/>
      <c r="E52" s="29" t="n"/>
      <c r="F52" s="1" t="n"/>
    </row>
    <row r="53">
      <c r="A53" s="1" t="n"/>
      <c r="B53" s="27" t="n"/>
      <c r="C53" s="28" t="n"/>
      <c r="D53" s="32" t="n"/>
      <c r="E53" s="29" t="n"/>
      <c r="F53" s="1" t="n"/>
    </row>
    <row r="54">
      <c r="A54" s="1" t="n"/>
      <c r="B54" s="27" t="n"/>
      <c r="C54" s="28" t="n"/>
      <c r="D54" s="32" t="n"/>
      <c r="E54" s="29" t="n"/>
      <c r="F54" s="1" t="n"/>
    </row>
    <row r="55">
      <c r="A55" s="1" t="n"/>
      <c r="B55" s="27" t="n"/>
      <c r="C55" s="28" t="n"/>
      <c r="D55" s="32" t="n"/>
      <c r="E55" s="29" t="n"/>
      <c r="F55" s="1" t="n"/>
    </row>
    <row r="56">
      <c r="A56" s="1" t="n"/>
      <c r="B56" s="27" t="n"/>
      <c r="C56" s="28" t="n"/>
      <c r="D56" s="32" t="n"/>
      <c r="E56" s="29" t="n"/>
      <c r="F56" s="1" t="n"/>
    </row>
    <row r="57">
      <c r="A57" s="1" t="n"/>
      <c r="B57" s="27" t="n"/>
      <c r="C57" s="28" t="n"/>
      <c r="D57" s="32" t="n"/>
      <c r="E57" s="29" t="n"/>
      <c r="F57" s="1" t="n"/>
    </row>
    <row r="58">
      <c r="A58" s="1" t="n"/>
      <c r="B58" s="27" t="n"/>
      <c r="C58" s="28" t="n"/>
      <c r="D58" s="32" t="n"/>
      <c r="E58" s="29" t="n"/>
      <c r="F58" s="1" t="n"/>
    </row>
    <row r="59">
      <c r="A59" s="1" t="n"/>
      <c r="B59" s="27" t="n"/>
      <c r="C59" s="28" t="n"/>
      <c r="D59" s="32" t="n"/>
      <c r="E59" s="29" t="n"/>
      <c r="F59" s="1" t="n"/>
    </row>
    <row r="60">
      <c r="A60" s="1" t="n"/>
      <c r="B60" s="27" t="n"/>
      <c r="C60" s="28" t="n"/>
      <c r="D60" s="32" t="n"/>
      <c r="E60" s="29" t="n"/>
      <c r="F60" s="1" t="n"/>
    </row>
    <row r="61">
      <c r="A61" s="1" t="n"/>
      <c r="B61" s="27" t="n"/>
      <c r="C61" s="28" t="n"/>
      <c r="D61" s="32" t="n"/>
      <c r="E61" s="29" t="n"/>
      <c r="F61" s="1" t="n"/>
    </row>
    <row r="62">
      <c r="A62" s="1" t="n"/>
      <c r="B62" s="27" t="n"/>
      <c r="C62" s="28" t="n"/>
      <c r="D62" s="32" t="n"/>
      <c r="E62" s="29" t="n"/>
      <c r="F62" s="1" t="n"/>
    </row>
    <row r="63">
      <c r="A63" s="1" t="n"/>
      <c r="B63" s="27" t="n"/>
      <c r="C63" s="28" t="n"/>
      <c r="D63" s="32" t="n"/>
      <c r="E63" s="29" t="n"/>
      <c r="F63" s="1" t="n"/>
    </row>
    <row r="64">
      <c r="A64" s="1" t="n"/>
      <c r="B64" s="27" t="n"/>
      <c r="C64" s="28" t="n"/>
      <c r="D64" s="32" t="n"/>
      <c r="E64" s="29" t="n"/>
      <c r="F64" s="1" t="n"/>
    </row>
    <row r="65">
      <c r="A65" s="1" t="n"/>
      <c r="B65" s="27" t="n"/>
      <c r="C65" s="28" t="n"/>
      <c r="D65" s="32" t="n"/>
      <c r="E65" s="29" t="n"/>
      <c r="F65" s="1" t="n"/>
    </row>
    <row r="66">
      <c r="A66" s="1" t="n"/>
      <c r="B66" s="27" t="n"/>
      <c r="C66" s="28" t="n"/>
      <c r="D66" s="32" t="n"/>
      <c r="E66" s="29" t="n"/>
      <c r="F66" s="1" t="n"/>
    </row>
    <row r="67">
      <c r="A67" s="1" t="n"/>
      <c r="B67" s="27" t="n"/>
      <c r="C67" s="28" t="n"/>
      <c r="D67" s="32" t="n"/>
      <c r="E67" s="29" t="n"/>
      <c r="F67" s="1" t="n"/>
    </row>
    <row r="68">
      <c r="A68" s="1" t="n"/>
      <c r="B68" s="27" t="n"/>
      <c r="C68" s="28" t="n"/>
      <c r="D68" s="32" t="n"/>
      <c r="E68" s="29" t="n"/>
      <c r="F68" s="1" t="n"/>
    </row>
    <row r="69">
      <c r="A69" s="1" t="n"/>
      <c r="B69" s="27" t="n"/>
      <c r="C69" s="28" t="n"/>
      <c r="D69" s="32" t="n"/>
      <c r="E69" s="29" t="n"/>
      <c r="F69" s="1" t="n"/>
    </row>
    <row r="70">
      <c r="A70" s="1" t="n"/>
      <c r="B70" s="27" t="n"/>
      <c r="C70" s="28" t="n"/>
      <c r="D70" s="32" t="n"/>
      <c r="E70" s="29" t="n"/>
      <c r="F70" s="1" t="n"/>
    </row>
    <row r="71">
      <c r="A71" s="1" t="n"/>
      <c r="B71" s="27" t="n"/>
      <c r="C71" s="28" t="n"/>
      <c r="D71" s="32" t="n"/>
      <c r="E71" s="29" t="n"/>
      <c r="F71" s="1" t="n"/>
    </row>
    <row r="72">
      <c r="A72" s="1" t="n"/>
      <c r="B72" s="27" t="n"/>
      <c r="C72" s="28" t="n"/>
      <c r="D72" s="32" t="n"/>
      <c r="E72" s="29" t="n"/>
      <c r="F72" s="1" t="n"/>
    </row>
    <row r="73">
      <c r="A73" s="1" t="n"/>
      <c r="B73" s="27" t="n"/>
      <c r="C73" s="28" t="n"/>
      <c r="D73" s="32" t="n"/>
      <c r="E73" s="29" t="n"/>
      <c r="F73" s="1" t="n"/>
    </row>
    <row r="74">
      <c r="A74" s="1" t="n"/>
      <c r="B74" s="27" t="n"/>
      <c r="C74" s="28" t="n"/>
      <c r="D74" s="32" t="n"/>
      <c r="E74" s="29" t="n"/>
      <c r="F74" s="1" t="n"/>
    </row>
    <row r="75">
      <c r="A75" s="1" t="n"/>
      <c r="B75" s="27" t="n"/>
      <c r="C75" s="28" t="n"/>
      <c r="D75" s="32" t="n"/>
      <c r="E75" s="29" t="n"/>
      <c r="F75" s="1" t="n"/>
    </row>
    <row r="76">
      <c r="A76" s="1" t="n"/>
      <c r="B76" s="27" t="n"/>
      <c r="C76" s="28" t="n"/>
      <c r="D76" s="32" t="n"/>
      <c r="E76" s="29" t="n"/>
      <c r="F76" s="1" t="n"/>
    </row>
    <row r="77">
      <c r="A77" s="1" t="n"/>
      <c r="B77" s="27" t="n"/>
      <c r="C77" s="28" t="n"/>
      <c r="D77" s="32" t="n"/>
      <c r="E77" s="29" t="n"/>
      <c r="F77" s="1" t="n"/>
    </row>
    <row r="78">
      <c r="A78" s="1" t="n"/>
      <c r="B78" s="27" t="n"/>
      <c r="C78" s="28" t="n"/>
      <c r="D78" s="32" t="n"/>
      <c r="E78" s="29" t="n"/>
      <c r="F78" s="1" t="n"/>
    </row>
    <row r="79">
      <c r="A79" s="1" t="n"/>
      <c r="B79" s="27" t="n"/>
      <c r="C79" s="28" t="n"/>
      <c r="D79" s="32" t="n"/>
      <c r="E79" s="29" t="n"/>
      <c r="F79" s="1" t="n"/>
    </row>
    <row r="80">
      <c r="A80" s="1" t="n"/>
      <c r="B80" s="27" t="n"/>
      <c r="C80" s="28" t="n"/>
      <c r="D80" s="32" t="n"/>
      <c r="E80" s="29" t="n"/>
      <c r="F80" s="1" t="n"/>
    </row>
    <row r="81">
      <c r="A81" s="1" t="n"/>
      <c r="B81" s="27" t="n"/>
      <c r="C81" s="28" t="n"/>
      <c r="D81" s="32" t="n"/>
      <c r="E81" s="29" t="n"/>
      <c r="F81" s="1" t="n"/>
    </row>
    <row r="82">
      <c r="A82" s="1" t="n"/>
      <c r="B82" s="27" t="n"/>
      <c r="C82" s="28" t="n"/>
      <c r="D82" s="32" t="n"/>
      <c r="E82" s="29" t="n"/>
      <c r="F82" s="1" t="n"/>
    </row>
    <row r="83">
      <c r="A83" s="1" t="n"/>
      <c r="B83" s="27" t="n"/>
      <c r="C83" s="28" t="n"/>
      <c r="D83" s="32" t="n"/>
      <c r="E83" s="29" t="n"/>
      <c r="F83" s="1" t="n"/>
    </row>
    <row r="84">
      <c r="A84" s="1" t="n"/>
      <c r="B84" s="27" t="n"/>
      <c r="C84" s="28" t="n"/>
      <c r="D84" s="32" t="n"/>
      <c r="E84" s="29" t="n"/>
      <c r="F84" s="1" t="n"/>
    </row>
    <row r="85">
      <c r="A85" s="1" t="n"/>
      <c r="B85" s="27" t="n"/>
      <c r="C85" s="28" t="n"/>
      <c r="D85" s="32" t="n"/>
      <c r="E85" s="29" t="n"/>
      <c r="F85" s="1" t="n"/>
    </row>
    <row r="86">
      <c r="A86" s="1" t="n"/>
      <c r="B86" s="27" t="n"/>
      <c r="C86" s="28" t="n"/>
      <c r="D86" s="32" t="n"/>
      <c r="E86" s="29" t="n"/>
      <c r="F86" s="1" t="n"/>
    </row>
    <row r="87">
      <c r="A87" s="1" t="n"/>
      <c r="B87" s="27" t="n"/>
      <c r="C87" s="28" t="n"/>
      <c r="D87" s="32" t="n"/>
      <c r="E87" s="29" t="n"/>
      <c r="F87" s="1" t="n"/>
    </row>
    <row r="88">
      <c r="A88" s="1" t="n"/>
      <c r="B88" s="27" t="n"/>
      <c r="C88" s="28" t="n"/>
      <c r="D88" s="32" t="n"/>
      <c r="E88" s="29" t="n"/>
      <c r="F88" s="1" t="n"/>
    </row>
    <row r="89">
      <c r="A89" s="1" t="n"/>
      <c r="B89" s="27" t="n"/>
      <c r="C89" s="28" t="n"/>
      <c r="D89" s="32" t="n"/>
      <c r="E89" s="29" t="n"/>
      <c r="F89" s="1" t="n"/>
    </row>
    <row r="90">
      <c r="A90" s="1" t="n"/>
      <c r="B90" s="27" t="n"/>
      <c r="C90" s="28" t="n"/>
      <c r="D90" s="32" t="n"/>
      <c r="E90" s="29" t="n"/>
      <c r="F90" s="1" t="n"/>
    </row>
    <row r="91">
      <c r="A91" s="1" t="n"/>
      <c r="B91" s="27" t="n"/>
      <c r="C91" s="28" t="n"/>
      <c r="D91" s="32" t="n"/>
      <c r="E91" s="29" t="n"/>
      <c r="F91" s="1" t="n"/>
    </row>
    <row r="92">
      <c r="A92" s="1" t="n"/>
      <c r="B92" s="27" t="n"/>
      <c r="C92" s="28" t="n"/>
      <c r="D92" s="32" t="n"/>
      <c r="E92" s="29" t="n"/>
      <c r="F92" s="1" t="n"/>
    </row>
    <row r="93">
      <c r="A93" s="1" t="n"/>
      <c r="B93" s="27" t="n"/>
      <c r="C93" s="28" t="n"/>
      <c r="D93" s="32" t="n"/>
      <c r="E93" s="29" t="n"/>
      <c r="F93" s="1" t="n"/>
    </row>
    <row r="94">
      <c r="A94" s="1" t="n"/>
      <c r="B94" s="27" t="n"/>
      <c r="C94" s="28" t="n"/>
      <c r="D94" s="32" t="n"/>
      <c r="E94" s="29" t="n"/>
      <c r="F94" s="1" t="n"/>
    </row>
    <row r="95">
      <c r="A95" s="1" t="n"/>
      <c r="B95" s="27" t="n"/>
      <c r="C95" s="28" t="n"/>
      <c r="D95" s="32" t="n"/>
      <c r="E95" s="29" t="n"/>
      <c r="F95" s="1" t="n"/>
    </row>
    <row r="96">
      <c r="A96" s="1" t="n"/>
      <c r="B96" s="27" t="n"/>
      <c r="C96" s="28" t="n"/>
      <c r="D96" s="32" t="n"/>
      <c r="E96" s="29" t="n"/>
      <c r="F96" s="1" t="n"/>
    </row>
    <row r="97">
      <c r="A97" s="1" t="n"/>
      <c r="B97" s="27" t="n"/>
      <c r="C97" s="28" t="n"/>
      <c r="D97" s="32" t="n"/>
      <c r="E97" s="29" t="n"/>
      <c r="F97" s="1" t="n"/>
    </row>
    <row r="98">
      <c r="A98" s="1" t="n"/>
      <c r="B98" s="27" t="n"/>
      <c r="C98" s="28" t="n"/>
      <c r="D98" s="32" t="n"/>
      <c r="E98" s="29" t="n"/>
      <c r="F98" s="1" t="n"/>
    </row>
    <row r="99">
      <c r="A99" s="1" t="n"/>
      <c r="B99" s="27" t="n"/>
      <c r="C99" s="28" t="n"/>
      <c r="D99" s="32" t="n"/>
      <c r="E99" s="29" t="n"/>
      <c r="F99" s="1" t="n"/>
    </row>
    <row r="100">
      <c r="A100" s="1" t="n"/>
      <c r="B100" s="27" t="n"/>
      <c r="C100" s="28" t="n"/>
      <c r="D100" s="32" t="n"/>
      <c r="E100" s="29" t="n"/>
      <c r="F100" s="1" t="n"/>
    </row>
    <row r="101">
      <c r="A101" s="1" t="n"/>
      <c r="B101" s="27" t="n"/>
      <c r="C101" s="28" t="n"/>
      <c r="D101" s="32" t="n"/>
      <c r="E101" s="29" t="n"/>
      <c r="F101" s="1" t="n"/>
    </row>
    <row r="102">
      <c r="A102" s="1" t="n"/>
      <c r="B102" s="27" t="n"/>
      <c r="C102" s="28" t="n"/>
      <c r="D102" s="32" t="n"/>
      <c r="E102" s="29" t="n"/>
      <c r="F102" s="1" t="n"/>
    </row>
    <row r="103">
      <c r="A103" s="1" t="n"/>
      <c r="B103" s="27" t="n"/>
      <c r="C103" s="28" t="n"/>
      <c r="D103" s="32" t="n"/>
      <c r="E103" s="29" t="n"/>
      <c r="F103" s="1" t="n"/>
    </row>
    <row r="104">
      <c r="A104" s="1" t="n"/>
      <c r="B104" s="27" t="n"/>
      <c r="C104" s="28" t="n"/>
      <c r="D104" s="32" t="n"/>
      <c r="E104" s="29" t="n"/>
      <c r="F104" s="1" t="n"/>
    </row>
    <row r="105">
      <c r="A105" s="1" t="n"/>
      <c r="B105" s="27" t="n"/>
      <c r="C105" s="28" t="n"/>
      <c r="D105" s="32" t="n"/>
      <c r="E105" s="29" t="n"/>
      <c r="F105" s="1" t="n"/>
    </row>
    <row r="106">
      <c r="A106" s="1" t="n"/>
      <c r="B106" s="27" t="n"/>
      <c r="C106" s="28" t="n"/>
      <c r="D106" s="32" t="n"/>
      <c r="E106" s="29" t="n"/>
      <c r="F106" s="1" t="n"/>
    </row>
    <row r="107">
      <c r="A107" s="1" t="n"/>
      <c r="B107" s="27" t="n"/>
      <c r="C107" s="28" t="n"/>
      <c r="D107" s="32" t="n"/>
      <c r="E107" s="29" t="n"/>
      <c r="F107" s="1" t="n"/>
    </row>
    <row r="108">
      <c r="A108" s="1" t="n"/>
      <c r="B108" s="27" t="n"/>
      <c r="C108" s="28" t="n"/>
      <c r="D108" s="32" t="n"/>
      <c r="E108" s="29" t="n"/>
      <c r="F108" s="1" t="n"/>
    </row>
    <row r="109">
      <c r="A109" s="1" t="n"/>
      <c r="B109" s="27" t="n"/>
      <c r="C109" s="28" t="n"/>
      <c r="D109" s="32" t="n"/>
      <c r="E109" s="29" t="n"/>
      <c r="F109" s="1" t="n"/>
    </row>
    <row r="110">
      <c r="A110" s="1" t="n"/>
      <c r="B110" s="27" t="n"/>
      <c r="C110" s="28" t="n"/>
      <c r="D110" s="32" t="n"/>
      <c r="E110" s="29" t="n"/>
      <c r="F110" s="1" t="n"/>
    </row>
    <row r="111">
      <c r="A111" s="1" t="n"/>
      <c r="B111" s="27" t="n"/>
      <c r="C111" s="28" t="n"/>
      <c r="D111" s="32" t="n"/>
      <c r="E111" s="29" t="n"/>
      <c r="F111" s="1" t="n"/>
    </row>
    <row r="112">
      <c r="A112" s="1" t="n"/>
      <c r="B112" s="27" t="n"/>
      <c r="C112" s="28" t="n"/>
      <c r="D112" s="32" t="n"/>
      <c r="E112" s="29" t="n"/>
      <c r="F112" s="1" t="n"/>
    </row>
    <row r="113">
      <c r="A113" s="1" t="n"/>
      <c r="B113" s="27" t="n"/>
      <c r="C113" s="28" t="n"/>
      <c r="D113" s="32" t="n"/>
      <c r="E113" s="29" t="n"/>
      <c r="F113" s="1" t="n"/>
    </row>
    <row r="114">
      <c r="A114" s="1" t="n"/>
      <c r="B114" s="27" t="n"/>
      <c r="C114" s="28" t="n"/>
      <c r="D114" s="32" t="n"/>
      <c r="E114" s="29" t="n"/>
      <c r="F114" s="1" t="n"/>
    </row>
    <row r="115">
      <c r="A115" s="1" t="n"/>
      <c r="B115" s="27" t="n"/>
      <c r="C115" s="28" t="n"/>
      <c r="D115" s="32" t="n"/>
      <c r="E115" s="29" t="n"/>
      <c r="F115" s="1" t="n"/>
    </row>
    <row r="116">
      <c r="A116" s="1" t="n"/>
      <c r="B116" s="27" t="n"/>
      <c r="C116" s="28" t="n"/>
      <c r="D116" s="32" t="n"/>
      <c r="E116" s="29" t="n"/>
      <c r="F116" s="1" t="n"/>
    </row>
    <row r="117">
      <c r="A117" s="1" t="n"/>
      <c r="B117" s="27" t="n"/>
      <c r="C117" s="28" t="n"/>
      <c r="D117" s="32" t="n"/>
      <c r="E117" s="29" t="n"/>
      <c r="F117" s="1" t="n"/>
    </row>
    <row r="118">
      <c r="A118" s="1" t="n"/>
      <c r="B118" s="27" t="n"/>
      <c r="C118" s="28" t="n"/>
      <c r="D118" s="32" t="n"/>
      <c r="E118" s="29" t="n"/>
      <c r="F118" s="1" t="n"/>
    </row>
    <row r="119">
      <c r="A119" s="1" t="n"/>
      <c r="B119" s="27" t="n"/>
      <c r="C119" s="28" t="n"/>
      <c r="D119" s="32" t="n"/>
      <c r="E119" s="29" t="n"/>
      <c r="F119" s="1" t="n"/>
    </row>
    <row r="120">
      <c r="A120" s="1" t="n"/>
      <c r="B120" s="27" t="n"/>
      <c r="C120" s="28" t="n"/>
      <c r="D120" s="32" t="n"/>
      <c r="E120" s="29" t="n"/>
      <c r="F120" s="1" t="n"/>
    </row>
    <row r="121">
      <c r="A121" s="1" t="n"/>
      <c r="B121" s="27" t="n"/>
      <c r="C121" s="28" t="n"/>
      <c r="D121" s="32" t="n"/>
      <c r="E121" s="29" t="n"/>
      <c r="F121" s="1" t="n"/>
    </row>
    <row r="122">
      <c r="A122" s="1" t="n"/>
      <c r="B122" s="27" t="n"/>
      <c r="C122" s="28" t="n"/>
      <c r="D122" s="32" t="n"/>
      <c r="E122" s="29" t="n"/>
      <c r="F122" s="1" t="n"/>
    </row>
    <row r="123">
      <c r="A123" s="1" t="n"/>
      <c r="B123" s="27" t="n"/>
      <c r="C123" s="28" t="n"/>
      <c r="D123" s="32" t="n"/>
      <c r="E123" s="29" t="n"/>
      <c r="F123" s="1" t="n"/>
    </row>
    <row r="124">
      <c r="A124" s="1" t="n"/>
      <c r="B124" s="27" t="n"/>
      <c r="C124" s="28" t="n"/>
      <c r="D124" s="32" t="n"/>
      <c r="E124" s="29" t="n"/>
      <c r="F124" s="1" t="n"/>
    </row>
    <row r="125">
      <c r="A125" s="1" t="n"/>
      <c r="B125" s="27" t="n"/>
      <c r="C125" s="28" t="n"/>
      <c r="D125" s="32" t="n"/>
      <c r="E125" s="29" t="n"/>
      <c r="F125" s="1" t="n"/>
    </row>
    <row r="126">
      <c r="A126" s="1" t="n"/>
      <c r="B126" s="27" t="n"/>
      <c r="C126" s="28" t="n"/>
      <c r="D126" s="32" t="n"/>
      <c r="E126" s="29" t="n"/>
      <c r="F126" s="1" t="n"/>
    </row>
    <row r="127">
      <c r="A127" s="1" t="n"/>
      <c r="B127" s="27" t="n"/>
      <c r="C127" s="28" t="n"/>
      <c r="D127" s="32" t="n"/>
      <c r="E127" s="29" t="n"/>
      <c r="F127" s="1" t="n"/>
    </row>
    <row r="128">
      <c r="A128" s="1" t="n"/>
      <c r="B128" s="27" t="n"/>
      <c r="C128" s="28" t="n"/>
      <c r="D128" s="32" t="n"/>
      <c r="E128" s="29" t="n"/>
      <c r="F128" s="1" t="n"/>
    </row>
    <row r="129">
      <c r="A129" s="1" t="n"/>
      <c r="B129" s="27" t="n"/>
      <c r="C129" s="28" t="n"/>
      <c r="D129" s="32" t="n"/>
      <c r="E129" s="29" t="n"/>
      <c r="F129" s="1" t="n"/>
    </row>
    <row r="130">
      <c r="A130" s="1" t="n"/>
      <c r="B130" s="27" t="n"/>
      <c r="C130" s="28" t="n"/>
      <c r="D130" s="32" t="n"/>
      <c r="E130" s="29" t="n"/>
      <c r="F130" s="1" t="n"/>
    </row>
    <row r="131">
      <c r="A131" s="1" t="n"/>
      <c r="B131" s="27" t="n"/>
      <c r="C131" s="28" t="n"/>
      <c r="D131" s="32" t="n"/>
      <c r="E131" s="29" t="n"/>
      <c r="F131" s="1" t="n"/>
    </row>
    <row r="132">
      <c r="A132" s="1" t="n"/>
      <c r="B132" s="27" t="n"/>
      <c r="C132" s="28" t="n"/>
      <c r="D132" s="32" t="n"/>
      <c r="E132" s="29" t="n"/>
      <c r="F132" s="1" t="n"/>
    </row>
    <row r="133">
      <c r="A133" s="1" t="n"/>
      <c r="B133" s="27" t="n"/>
      <c r="C133" s="28" t="n"/>
      <c r="D133" s="32" t="n"/>
      <c r="E133" s="29" t="n"/>
      <c r="F133" s="1" t="n"/>
    </row>
    <row r="134">
      <c r="A134" s="1" t="n"/>
      <c r="B134" s="27" t="n"/>
      <c r="C134" s="28" t="n"/>
      <c r="D134" s="32" t="n"/>
      <c r="E134" s="29" t="n"/>
      <c r="F134" s="1" t="n"/>
    </row>
    <row r="135">
      <c r="A135" s="1" t="n"/>
      <c r="B135" s="27" t="n"/>
      <c r="C135" s="28" t="n"/>
      <c r="D135" s="32" t="n"/>
      <c r="E135" s="29" t="n"/>
      <c r="F135" s="1" t="n"/>
    </row>
    <row r="136">
      <c r="A136" s="1" t="n"/>
      <c r="B136" s="27" t="n"/>
      <c r="C136" s="28" t="n"/>
      <c r="D136" s="32" t="n"/>
      <c r="E136" s="29" t="n"/>
      <c r="F136" s="1" t="n"/>
    </row>
    <row r="137">
      <c r="A137" s="1" t="n"/>
      <c r="B137" s="27" t="n"/>
      <c r="C137" s="28" t="n"/>
      <c r="D137" s="32" t="n"/>
      <c r="E137" s="29" t="n"/>
      <c r="F137" s="1" t="n"/>
    </row>
    <row r="138">
      <c r="A138" s="1" t="n"/>
      <c r="B138" s="27" t="n"/>
      <c r="C138" s="28" t="n"/>
      <c r="D138" s="32" t="n"/>
      <c r="E138" s="29" t="n"/>
      <c r="F138" s="1" t="n"/>
    </row>
    <row r="139">
      <c r="A139" s="1" t="n"/>
      <c r="B139" s="27" t="n"/>
      <c r="C139" s="28" t="n"/>
      <c r="D139" s="32" t="n"/>
      <c r="E139" s="29" t="n"/>
      <c r="F139" s="1" t="n"/>
    </row>
    <row r="140">
      <c r="A140" s="1" t="n"/>
      <c r="B140" s="27" t="n"/>
      <c r="C140" s="28" t="n"/>
      <c r="D140" s="32" t="n"/>
      <c r="E140" s="29" t="n"/>
      <c r="F140" s="1" t="n"/>
    </row>
    <row r="141">
      <c r="A141" s="1" t="n"/>
      <c r="B141" s="27" t="n"/>
      <c r="C141" s="28" t="n"/>
      <c r="D141" s="32" t="n"/>
      <c r="E141" s="29" t="n"/>
      <c r="F141" s="1" t="n"/>
    </row>
    <row r="142">
      <c r="A142" s="1" t="n"/>
      <c r="B142" s="27" t="n"/>
      <c r="C142" s="28" t="n"/>
      <c r="D142" s="32" t="n"/>
      <c r="E142" s="29" t="n"/>
      <c r="F142" s="1" t="n"/>
    </row>
    <row r="143">
      <c r="A143" s="1" t="n"/>
      <c r="B143" s="27" t="n"/>
      <c r="C143" s="28" t="n"/>
      <c r="D143" s="32" t="n"/>
      <c r="E143" s="29" t="n"/>
      <c r="F143" s="1" t="n"/>
    </row>
    <row r="144">
      <c r="A144" s="1" t="n"/>
      <c r="B144" s="27" t="n"/>
      <c r="C144" s="28" t="n"/>
      <c r="D144" s="32" t="n"/>
      <c r="E144" s="29" t="n"/>
      <c r="F144" s="1" t="n"/>
    </row>
    <row r="145">
      <c r="A145" s="1" t="n"/>
      <c r="B145" s="27" t="n"/>
      <c r="C145" s="28" t="n"/>
      <c r="D145" s="32" t="n"/>
      <c r="E145" s="29" t="n"/>
      <c r="F145" s="1" t="n"/>
    </row>
    <row r="146">
      <c r="A146" s="1" t="n"/>
      <c r="B146" s="27" t="n"/>
      <c r="C146" s="28" t="n"/>
      <c r="D146" s="32" t="n"/>
      <c r="E146" s="29" t="n"/>
      <c r="F146" s="1" t="n"/>
    </row>
    <row r="147">
      <c r="A147" s="1" t="n"/>
      <c r="B147" s="27" t="n"/>
      <c r="C147" s="28" t="n"/>
      <c r="D147" s="32" t="n"/>
      <c r="E147" s="29" t="n"/>
      <c r="F147" s="1" t="n"/>
    </row>
    <row r="148">
      <c r="A148" s="1" t="n"/>
      <c r="B148" s="27" t="n"/>
      <c r="C148" s="28" t="n"/>
      <c r="D148" s="32" t="n"/>
      <c r="E148" s="29" t="n"/>
      <c r="F148" s="1" t="n"/>
    </row>
    <row r="149">
      <c r="A149" s="1" t="n"/>
      <c r="B149" s="27" t="n"/>
      <c r="C149" s="28" t="n"/>
      <c r="D149" s="32" t="n"/>
      <c r="E149" s="29" t="n"/>
      <c r="F149" s="1" t="n"/>
    </row>
    <row r="150">
      <c r="A150" s="1" t="n"/>
      <c r="B150" s="27" t="n"/>
      <c r="C150" s="28" t="n"/>
      <c r="D150" s="32" t="n"/>
      <c r="E150" s="29" t="n"/>
      <c r="F150" s="1" t="n"/>
    </row>
    <row r="151">
      <c r="A151" s="1" t="n"/>
      <c r="B151" s="27" t="n"/>
      <c r="C151" s="28" t="n"/>
      <c r="D151" s="32" t="n"/>
      <c r="E151" s="29" t="n"/>
      <c r="F151" s="1" t="n"/>
    </row>
    <row r="152">
      <c r="A152" s="1" t="n"/>
      <c r="B152" s="27" t="n"/>
      <c r="C152" s="28" t="n"/>
      <c r="D152" s="32" t="n"/>
      <c r="E152" s="29" t="n"/>
      <c r="F152" s="1" t="n"/>
    </row>
    <row r="153">
      <c r="A153" s="1" t="n"/>
      <c r="B153" s="27" t="n"/>
      <c r="C153" s="28" t="n"/>
      <c r="D153" s="32" t="n"/>
      <c r="E153" s="29" t="n"/>
      <c r="F153" s="1" t="n"/>
    </row>
    <row r="154">
      <c r="A154" s="1" t="n"/>
      <c r="B154" s="27" t="n"/>
      <c r="C154" s="28" t="n"/>
      <c r="D154" s="32" t="n"/>
      <c r="E154" s="29" t="n"/>
      <c r="F154" s="1" t="n"/>
    </row>
    <row r="155">
      <c r="A155" s="1" t="n"/>
      <c r="B155" s="27" t="n"/>
      <c r="C155" s="28" t="n"/>
      <c r="D155" s="32" t="n"/>
      <c r="E155" s="29" t="n"/>
      <c r="F155" s="1" t="n"/>
    </row>
    <row r="156">
      <c r="A156" s="1" t="n"/>
      <c r="B156" s="27" t="n"/>
      <c r="C156" s="28" t="n"/>
      <c r="D156" s="32" t="n"/>
      <c r="E156" s="29" t="n"/>
      <c r="F156" s="1" t="n"/>
    </row>
    <row r="157">
      <c r="A157" s="1" t="n"/>
      <c r="B157" s="27" t="n"/>
      <c r="C157" s="28" t="n"/>
      <c r="D157" s="32" t="n"/>
      <c r="E157" s="29" t="n"/>
      <c r="F157" s="1" t="n"/>
    </row>
    <row r="158">
      <c r="A158" s="1" t="n"/>
      <c r="B158" s="27" t="n"/>
      <c r="C158" s="28" t="n"/>
      <c r="D158" s="32" t="n"/>
      <c r="E158" s="29" t="n"/>
      <c r="F158" s="1" t="n"/>
    </row>
    <row r="159">
      <c r="A159" s="1" t="n"/>
      <c r="B159" s="27" t="n"/>
      <c r="C159" s="28" t="n"/>
      <c r="D159" s="32" t="n"/>
      <c r="E159" s="29" t="n"/>
      <c r="F159" s="1" t="n"/>
    </row>
    <row r="160">
      <c r="A160" s="1" t="n"/>
      <c r="B160" s="27" t="n"/>
      <c r="C160" s="28" t="n"/>
      <c r="D160" s="32" t="n"/>
      <c r="E160" s="29" t="n"/>
      <c r="F160" s="1" t="n"/>
    </row>
    <row r="161">
      <c r="A161" s="1" t="n"/>
      <c r="B161" s="27" t="n"/>
      <c r="C161" s="28" t="n"/>
      <c r="D161" s="32" t="n"/>
      <c r="E161" s="29" t="n"/>
      <c r="F161" s="1" t="n"/>
    </row>
    <row r="162">
      <c r="A162" s="1" t="n"/>
      <c r="B162" s="27" t="n"/>
      <c r="C162" s="28" t="n"/>
      <c r="D162" s="32" t="n"/>
      <c r="E162" s="29" t="n"/>
      <c r="F162" s="1" t="n"/>
    </row>
    <row r="163">
      <c r="A163" s="1" t="n"/>
      <c r="B163" s="27" t="n"/>
      <c r="C163" s="28" t="n"/>
      <c r="D163" s="32" t="n"/>
      <c r="E163" s="29" t="n"/>
      <c r="F163" s="1" t="n"/>
    </row>
    <row r="164">
      <c r="A164" s="1" t="n"/>
      <c r="B164" s="27" t="n"/>
      <c r="C164" s="28" t="n"/>
      <c r="D164" s="32" t="n"/>
      <c r="E164" s="29" t="n"/>
      <c r="F164" s="1" t="n"/>
    </row>
    <row r="165">
      <c r="A165" s="1" t="n"/>
      <c r="B165" s="27" t="n"/>
      <c r="C165" s="28" t="n"/>
      <c r="D165" s="32" t="n"/>
      <c r="E165" s="29" t="n"/>
      <c r="F165" s="1" t="n"/>
    </row>
    <row r="166">
      <c r="A166" s="1" t="n"/>
      <c r="B166" s="27" t="n"/>
      <c r="C166" s="28" t="n"/>
      <c r="D166" s="32" t="n"/>
      <c r="E166" s="29" t="n"/>
      <c r="F166" s="1" t="n"/>
    </row>
    <row r="167">
      <c r="A167" s="1" t="n"/>
      <c r="B167" s="27" t="n"/>
      <c r="C167" s="28" t="n"/>
      <c r="D167" s="32" t="n"/>
      <c r="E167" s="29" t="n"/>
      <c r="F167" s="1" t="n"/>
    </row>
    <row r="168">
      <c r="A168" s="1" t="n"/>
      <c r="B168" s="27" t="n"/>
      <c r="C168" s="28" t="n"/>
      <c r="D168" s="32" t="n"/>
      <c r="E168" s="29" t="n"/>
      <c r="F168" s="1" t="n"/>
    </row>
    <row r="169">
      <c r="A169" s="1" t="n"/>
      <c r="B169" s="27" t="n"/>
      <c r="C169" s="28" t="n"/>
      <c r="D169" s="32" t="n"/>
      <c r="E169" s="29" t="n"/>
      <c r="F169" s="1" t="n"/>
    </row>
    <row r="170">
      <c r="A170" s="1" t="n"/>
      <c r="B170" s="27" t="n"/>
      <c r="C170" s="28" t="n"/>
      <c r="D170" s="32" t="n"/>
      <c r="E170" s="29" t="n"/>
      <c r="F170" s="1" t="n"/>
    </row>
    <row r="171">
      <c r="A171" s="1" t="n"/>
      <c r="B171" s="27" t="n"/>
      <c r="C171" s="28" t="n"/>
      <c r="D171" s="32" t="n"/>
      <c r="E171" s="29" t="n"/>
      <c r="F171" s="1" t="n"/>
    </row>
    <row r="172">
      <c r="A172" s="1" t="n"/>
      <c r="B172" s="27" t="n"/>
      <c r="C172" s="28" t="n"/>
      <c r="D172" s="32" t="n"/>
      <c r="E172" s="29" t="n"/>
      <c r="F172" s="1" t="n"/>
    </row>
    <row r="173">
      <c r="A173" s="1" t="n"/>
      <c r="B173" s="27" t="n"/>
      <c r="C173" s="28" t="n"/>
      <c r="D173" s="32" t="n"/>
      <c r="E173" s="29" t="n"/>
      <c r="F173" s="1" t="n"/>
    </row>
    <row r="174">
      <c r="A174" s="1" t="n"/>
      <c r="B174" s="27" t="n"/>
      <c r="C174" s="28" t="n"/>
      <c r="D174" s="32" t="n"/>
      <c r="E174" s="29" t="n"/>
      <c r="F174" s="1" t="n"/>
    </row>
    <row r="175">
      <c r="A175" s="1" t="n"/>
      <c r="B175" s="27" t="n"/>
      <c r="C175" s="28" t="n"/>
      <c r="D175" s="32" t="n"/>
      <c r="E175" s="29" t="n"/>
      <c r="F175" s="1" t="n"/>
    </row>
    <row r="176">
      <c r="A176" s="1" t="n"/>
      <c r="B176" s="27" t="n"/>
      <c r="C176" s="28" t="n"/>
      <c r="D176" s="32" t="n"/>
      <c r="E176" s="29" t="n"/>
      <c r="F176" s="1" t="n"/>
    </row>
    <row r="177">
      <c r="A177" s="1" t="n"/>
      <c r="B177" s="27" t="n"/>
      <c r="C177" s="28" t="n"/>
      <c r="D177" s="32" t="n"/>
      <c r="E177" s="29" t="n"/>
      <c r="F177" s="1" t="n"/>
    </row>
    <row r="178">
      <c r="A178" s="1" t="n"/>
      <c r="B178" s="27" t="n"/>
      <c r="C178" s="28" t="n"/>
      <c r="D178" s="32" t="n"/>
      <c r="E178" s="29" t="n"/>
      <c r="F178" s="1" t="n"/>
    </row>
    <row r="179">
      <c r="A179" s="1" t="n"/>
      <c r="B179" s="27" t="n"/>
      <c r="C179" s="28" t="n"/>
      <c r="D179" s="32" t="n"/>
      <c r="E179" s="29" t="n"/>
      <c r="F179" s="1" t="n"/>
    </row>
    <row r="180">
      <c r="A180" s="1" t="n"/>
      <c r="B180" s="27" t="n"/>
      <c r="C180" s="28" t="n"/>
      <c r="D180" s="32" t="n"/>
      <c r="E180" s="29" t="n"/>
      <c r="F180" s="1" t="n"/>
    </row>
    <row r="181">
      <c r="A181" s="1" t="n"/>
      <c r="B181" s="27" t="n"/>
      <c r="C181" s="28" t="n"/>
      <c r="D181" s="32" t="n"/>
      <c r="E181" s="29" t="n"/>
      <c r="F181" s="1" t="n"/>
    </row>
    <row r="182">
      <c r="A182" s="1" t="n"/>
      <c r="B182" s="27" t="n"/>
      <c r="C182" s="28" t="n"/>
      <c r="D182" s="32" t="n"/>
      <c r="E182" s="29" t="n"/>
      <c r="F182" s="1" t="n"/>
    </row>
    <row r="183">
      <c r="A183" s="1" t="n"/>
      <c r="B183" s="27" t="n"/>
      <c r="C183" s="28" t="n"/>
      <c r="D183" s="32" t="n"/>
      <c r="E183" s="29" t="n"/>
      <c r="F183" s="1" t="n"/>
    </row>
    <row r="184">
      <c r="A184" s="1" t="n"/>
      <c r="B184" s="27" t="n"/>
      <c r="C184" s="28" t="n"/>
      <c r="D184" s="32" t="n"/>
      <c r="E184" s="29" t="n"/>
      <c r="F184" s="1" t="n"/>
    </row>
    <row r="185">
      <c r="A185" s="1" t="n"/>
      <c r="B185" s="27" t="n"/>
      <c r="C185" s="28" t="n"/>
      <c r="D185" s="32" t="n"/>
      <c r="E185" s="29" t="n"/>
      <c r="F185" s="1" t="n"/>
    </row>
    <row r="186">
      <c r="A186" s="1" t="n"/>
      <c r="B186" s="27" t="n"/>
      <c r="C186" s="28" t="n"/>
      <c r="D186" s="32" t="n"/>
      <c r="E186" s="29" t="n"/>
      <c r="F186" s="1" t="n"/>
    </row>
    <row r="187">
      <c r="A187" s="1" t="n"/>
      <c r="B187" s="27" t="n"/>
      <c r="C187" s="28" t="n"/>
      <c r="D187" s="32" t="n"/>
      <c r="E187" s="29" t="n"/>
      <c r="F187" s="1" t="n"/>
    </row>
    <row r="188">
      <c r="A188" s="1" t="n"/>
      <c r="B188" s="27" t="n"/>
      <c r="C188" s="28" t="n"/>
      <c r="D188" s="32" t="n"/>
      <c r="E188" s="29" t="n"/>
      <c r="F188" s="1" t="n"/>
    </row>
    <row r="189">
      <c r="A189" s="1" t="n"/>
      <c r="B189" s="27" t="n"/>
      <c r="C189" s="28" t="n"/>
      <c r="D189" s="32" t="n"/>
      <c r="E189" s="29" t="n"/>
      <c r="F189" s="1" t="n"/>
    </row>
    <row r="190">
      <c r="A190" s="1" t="n"/>
      <c r="B190" s="27" t="n"/>
      <c r="C190" s="28" t="n"/>
      <c r="D190" s="32" t="n"/>
      <c r="E190" s="29" t="n"/>
      <c r="F190" s="1" t="n"/>
    </row>
    <row r="191">
      <c r="A191" s="1" t="n"/>
      <c r="B191" s="27" t="n"/>
      <c r="C191" s="28" t="n"/>
      <c r="D191" s="32" t="n"/>
      <c r="E191" s="29" t="n"/>
      <c r="F191" s="1" t="n"/>
    </row>
    <row r="192">
      <c r="A192" s="1" t="n"/>
      <c r="B192" s="27" t="n"/>
      <c r="C192" s="28" t="n"/>
      <c r="D192" s="32" t="n"/>
      <c r="E192" s="29" t="n"/>
      <c r="F192" s="1" t="n"/>
    </row>
    <row r="193">
      <c r="A193" s="1" t="n"/>
      <c r="B193" s="27" t="n"/>
      <c r="C193" s="28" t="n"/>
      <c r="D193" s="32" t="n"/>
      <c r="E193" s="29" t="n"/>
      <c r="F193" s="1" t="n"/>
    </row>
    <row r="194">
      <c r="A194" s="1" t="n"/>
      <c r="B194" s="27" t="n"/>
      <c r="C194" s="28" t="n"/>
      <c r="D194" s="32" t="n"/>
      <c r="E194" s="29" t="n"/>
      <c r="F194" s="1" t="n"/>
    </row>
    <row r="195">
      <c r="A195" s="1" t="n"/>
      <c r="B195" s="27" t="n"/>
      <c r="C195" s="28" t="n"/>
      <c r="D195" s="32" t="n"/>
      <c r="E195" s="29" t="n"/>
      <c r="F195" s="1" t="n"/>
    </row>
    <row r="196">
      <c r="A196" s="1" t="n"/>
      <c r="B196" s="27" t="n"/>
      <c r="C196" s="28" t="n"/>
      <c r="D196" s="32" t="n"/>
      <c r="E196" s="29" t="n"/>
      <c r="F196" s="1" t="n"/>
    </row>
    <row r="197">
      <c r="A197" s="1" t="n"/>
      <c r="B197" s="27" t="n"/>
      <c r="C197" s="28" t="n"/>
      <c r="D197" s="32" t="n"/>
      <c r="E197" s="29" t="n"/>
      <c r="F197" s="1" t="n"/>
    </row>
    <row r="198">
      <c r="A198" s="1" t="n"/>
      <c r="B198" s="27" t="n"/>
      <c r="C198" s="28" t="n"/>
      <c r="D198" s="32" t="n"/>
      <c r="E198" s="29" t="n"/>
      <c r="F198" s="1" t="n"/>
    </row>
    <row r="199">
      <c r="A199" s="1" t="n"/>
      <c r="B199" s="27" t="n"/>
      <c r="C199" s="28" t="n"/>
      <c r="D199" s="32" t="n"/>
      <c r="E199" s="29" t="n"/>
      <c r="F199" s="1" t="n"/>
    </row>
    <row r="200">
      <c r="A200" s="1" t="n"/>
      <c r="B200" s="27" t="n"/>
      <c r="C200" s="28" t="n"/>
      <c r="D200" s="32" t="n"/>
      <c r="E200" s="29" t="n"/>
      <c r="F200" s="1" t="n"/>
    </row>
    <row r="201">
      <c r="A201" s="1" t="n"/>
      <c r="B201" s="27" t="n"/>
      <c r="C201" s="28" t="n"/>
      <c r="D201" s="32" t="n"/>
      <c r="E201" s="29" t="n"/>
      <c r="F201" s="1" t="n"/>
    </row>
    <row r="202">
      <c r="A202" s="1" t="n"/>
      <c r="B202" s="27" t="n"/>
      <c r="C202" s="28" t="n"/>
      <c r="D202" s="32" t="n"/>
      <c r="E202" s="29" t="n"/>
      <c r="F202" s="1" t="n"/>
    </row>
    <row r="203">
      <c r="A203" s="1" t="n"/>
      <c r="B203" s="27" t="n"/>
      <c r="C203" s="28" t="n"/>
      <c r="D203" s="32" t="n"/>
      <c r="E203" s="29" t="n"/>
      <c r="F203" s="1" t="n"/>
    </row>
    <row r="204">
      <c r="A204" s="1" t="n"/>
      <c r="B204" s="27" t="n"/>
      <c r="C204" s="28" t="n"/>
      <c r="D204" s="32" t="n"/>
      <c r="E204" s="29" t="n"/>
      <c r="F204" s="1" t="n"/>
    </row>
    <row r="205">
      <c r="A205" s="1" t="n"/>
      <c r="B205" s="27" t="n"/>
      <c r="C205" s="28" t="n"/>
      <c r="D205" s="32" t="n"/>
      <c r="E205" s="29" t="n"/>
      <c r="F205" s="1" t="n"/>
    </row>
    <row r="206">
      <c r="A206" s="1" t="n"/>
      <c r="B206" s="27" t="n"/>
      <c r="C206" s="28" t="n"/>
      <c r="D206" s="32" t="n"/>
      <c r="E206" s="29" t="n"/>
      <c r="F206" s="1" t="n"/>
    </row>
    <row r="207">
      <c r="A207" s="1" t="n"/>
      <c r="B207" s="27" t="n"/>
      <c r="C207" s="28" t="n"/>
      <c r="D207" s="32" t="n"/>
      <c r="E207" s="29" t="n"/>
      <c r="F207" s="1" t="n"/>
    </row>
    <row r="208">
      <c r="A208" s="1" t="n"/>
      <c r="B208" s="27" t="n"/>
      <c r="C208" s="28" t="n"/>
      <c r="D208" s="32" t="n"/>
      <c r="E208" s="29" t="n"/>
      <c r="F208" s="1" t="n"/>
    </row>
    <row r="209">
      <c r="A209" s="1" t="n"/>
      <c r="B209" s="27" t="n"/>
      <c r="C209" s="28" t="n"/>
      <c r="D209" s="32" t="n"/>
      <c r="E209" s="29" t="n"/>
      <c r="F209" s="1" t="n"/>
    </row>
    <row r="210">
      <c r="A210" s="1" t="n"/>
      <c r="B210" s="27" t="n"/>
      <c r="C210" s="28" t="n"/>
      <c r="D210" s="32" t="n"/>
      <c r="E210" s="29" t="n"/>
      <c r="F210" s="1" t="n"/>
    </row>
    <row r="211">
      <c r="A211" s="1" t="n"/>
      <c r="B211" s="27" t="n"/>
      <c r="C211" s="28" t="n"/>
      <c r="D211" s="32" t="n"/>
      <c r="E211" s="29" t="n"/>
      <c r="F211" s="1" t="n"/>
    </row>
    <row r="212">
      <c r="A212" s="1" t="n"/>
      <c r="B212" s="27" t="n"/>
      <c r="C212" s="28" t="n"/>
      <c r="D212" s="32" t="n"/>
      <c r="E212" s="29" t="n"/>
      <c r="F212" s="1" t="n"/>
    </row>
    <row r="213">
      <c r="A213" s="1" t="n"/>
      <c r="B213" s="27" t="n"/>
      <c r="C213" s="28" t="n"/>
      <c r="D213" s="32" t="n"/>
      <c r="E213" s="29" t="n"/>
      <c r="F213" s="1" t="n"/>
    </row>
    <row r="214">
      <c r="A214" s="1" t="n"/>
      <c r="B214" s="27" t="n"/>
      <c r="C214" s="28" t="n"/>
      <c r="D214" s="32" t="n"/>
      <c r="E214" s="29" t="n"/>
      <c r="F214" s="1" t="n"/>
    </row>
    <row r="215">
      <c r="A215" s="1" t="n"/>
      <c r="B215" s="27" t="n"/>
      <c r="C215" s="28" t="n"/>
      <c r="D215" s="32" t="n"/>
      <c r="E215" s="29" t="n"/>
      <c r="F215" s="1" t="n"/>
    </row>
    <row r="216">
      <c r="A216" s="1" t="n"/>
      <c r="B216" s="27" t="n"/>
      <c r="C216" s="28" t="n"/>
      <c r="D216" s="32" t="n"/>
      <c r="E216" s="29" t="n"/>
      <c r="F216" s="1" t="n"/>
    </row>
    <row r="217">
      <c r="A217" s="1" t="n"/>
      <c r="B217" s="27" t="n"/>
      <c r="C217" s="28" t="n"/>
      <c r="D217" s="32" t="n"/>
      <c r="E217" s="29" t="n"/>
      <c r="F217" s="1" t="n"/>
    </row>
    <row r="218">
      <c r="A218" s="1" t="n"/>
      <c r="B218" s="27" t="n"/>
      <c r="C218" s="28" t="n"/>
      <c r="D218" s="32" t="n"/>
      <c r="E218" s="29" t="n"/>
      <c r="F218" s="1" t="n"/>
    </row>
    <row r="219">
      <c r="A219" s="1" t="n"/>
      <c r="B219" s="27" t="n"/>
      <c r="C219" s="28" t="n"/>
      <c r="D219" s="32" t="n"/>
      <c r="E219" s="29" t="n"/>
      <c r="F219" s="1" t="n"/>
    </row>
    <row r="220">
      <c r="A220" s="1" t="n"/>
      <c r="B220" s="27" t="n"/>
      <c r="C220" s="28" t="n"/>
      <c r="D220" s="32" t="n"/>
      <c r="E220" s="29" t="n"/>
      <c r="F220" s="1" t="n"/>
    </row>
    <row r="221">
      <c r="A221" s="1" t="n"/>
      <c r="B221" s="27" t="n"/>
      <c r="C221" s="28" t="n"/>
      <c r="D221" s="32" t="n"/>
      <c r="E221" s="29" t="n"/>
      <c r="F221" s="1" t="n"/>
    </row>
    <row r="222">
      <c r="A222" s="1" t="n"/>
      <c r="B222" s="27" t="n"/>
      <c r="C222" s="28" t="n"/>
      <c r="D222" s="32" t="n"/>
      <c r="E222" s="29" t="n"/>
      <c r="F222" s="1" t="n"/>
    </row>
    <row r="223">
      <c r="A223" s="1" t="n"/>
      <c r="B223" s="27" t="n"/>
      <c r="C223" s="28" t="n"/>
      <c r="D223" s="32" t="n"/>
      <c r="E223" s="29" t="n"/>
      <c r="F223" s="1" t="n"/>
    </row>
    <row r="224">
      <c r="A224" s="1" t="n"/>
      <c r="B224" s="27" t="n"/>
      <c r="C224" s="28" t="n"/>
      <c r="D224" s="32" t="n"/>
      <c r="E224" s="29" t="n"/>
      <c r="F224" s="1" t="n"/>
    </row>
    <row r="225">
      <c r="A225" s="1" t="n"/>
      <c r="B225" s="27" t="n"/>
      <c r="C225" s="28" t="n"/>
      <c r="D225" s="32" t="n"/>
      <c r="E225" s="29" t="n"/>
      <c r="F225" s="1" t="n"/>
    </row>
    <row r="226">
      <c r="A226" s="1" t="n"/>
      <c r="B226" s="27" t="n"/>
      <c r="C226" s="28" t="n"/>
      <c r="D226" s="32" t="n"/>
      <c r="E226" s="29" t="n"/>
      <c r="F226" s="1" t="n"/>
    </row>
    <row r="227">
      <c r="A227" s="1" t="n"/>
      <c r="B227" s="27" t="n"/>
      <c r="C227" s="28" t="n"/>
      <c r="D227" s="32" t="n"/>
      <c r="E227" s="29" t="n"/>
      <c r="F227" s="1" t="n"/>
    </row>
    <row r="228">
      <c r="A228" s="1" t="n"/>
      <c r="B228" s="27" t="n"/>
      <c r="C228" s="28" t="n"/>
      <c r="D228" s="32" t="n"/>
      <c r="E228" s="29" t="n"/>
      <c r="F228" s="1" t="n"/>
    </row>
    <row r="229">
      <c r="A229" s="1" t="n"/>
      <c r="B229" s="27" t="n"/>
      <c r="C229" s="28" t="n"/>
      <c r="D229" s="32" t="n"/>
      <c r="E229" s="29" t="n"/>
      <c r="F229" s="1" t="n"/>
    </row>
    <row r="230">
      <c r="A230" s="1" t="n"/>
      <c r="B230" s="27" t="n"/>
      <c r="C230" s="28" t="n"/>
      <c r="D230" s="32" t="n"/>
      <c r="E230" s="29" t="n"/>
      <c r="F230" s="1" t="n"/>
    </row>
    <row r="231">
      <c r="A231" s="1" t="n"/>
      <c r="B231" s="27" t="n"/>
      <c r="C231" s="28" t="n"/>
      <c r="D231" s="32" t="n"/>
      <c r="E231" s="29" t="n"/>
      <c r="F231" s="1" t="n"/>
    </row>
    <row r="232">
      <c r="A232" s="1" t="n"/>
      <c r="B232" s="27" t="n"/>
      <c r="C232" s="28" t="n"/>
      <c r="D232" s="32" t="n"/>
      <c r="E232" s="29" t="n"/>
      <c r="F232" s="1" t="n"/>
    </row>
    <row r="233">
      <c r="A233" s="1" t="n"/>
      <c r="B233" s="27" t="n"/>
      <c r="C233" s="28" t="n"/>
      <c r="D233" s="32" t="n"/>
      <c r="E233" s="29" t="n"/>
      <c r="F233" s="1" t="n"/>
    </row>
    <row r="234">
      <c r="A234" s="1" t="n"/>
      <c r="B234" s="27" t="n"/>
      <c r="C234" s="28" t="n"/>
      <c r="D234" s="32" t="n"/>
      <c r="E234" s="29" t="n"/>
      <c r="F234" s="1" t="n"/>
    </row>
    <row r="235">
      <c r="A235" s="1" t="n"/>
      <c r="B235" s="27" t="n"/>
      <c r="C235" s="28" t="n"/>
      <c r="D235" s="32" t="n"/>
      <c r="E235" s="29" t="n"/>
      <c r="F235" s="1" t="n"/>
    </row>
    <row r="236">
      <c r="A236" s="1" t="n"/>
      <c r="B236" s="27" t="n"/>
      <c r="C236" s="28" t="n"/>
      <c r="D236" s="32" t="n"/>
      <c r="E236" s="29" t="n"/>
      <c r="F236" s="1" t="n"/>
    </row>
    <row r="237">
      <c r="A237" s="1" t="n"/>
      <c r="B237" s="27" t="n"/>
      <c r="C237" s="28" t="n"/>
      <c r="D237" s="32" t="n"/>
      <c r="E237" s="29" t="n"/>
      <c r="F237" s="1" t="n"/>
    </row>
    <row r="238">
      <c r="A238" s="1" t="n"/>
      <c r="B238" s="27" t="n"/>
      <c r="C238" s="28" t="n"/>
      <c r="D238" s="32" t="n"/>
      <c r="E238" s="29" t="n"/>
      <c r="F238" s="1" t="n"/>
    </row>
    <row r="239">
      <c r="A239" s="1" t="n"/>
      <c r="B239" s="27" t="n"/>
      <c r="C239" s="28" t="n"/>
      <c r="D239" s="32" t="n"/>
      <c r="E239" s="29" t="n"/>
      <c r="F239" s="1" t="n"/>
    </row>
    <row r="240">
      <c r="A240" s="1" t="n"/>
      <c r="B240" s="27" t="n"/>
      <c r="C240" s="28" t="n"/>
      <c r="D240" s="32" t="n"/>
      <c r="E240" s="29" t="n"/>
      <c r="F240" s="1" t="n"/>
    </row>
    <row r="241">
      <c r="A241" s="1" t="n"/>
      <c r="B241" s="27" t="n"/>
      <c r="C241" s="28" t="n"/>
      <c r="D241" s="32" t="n"/>
      <c r="E241" s="29" t="n"/>
      <c r="F241" s="1" t="n"/>
    </row>
    <row r="242">
      <c r="A242" s="1" t="n"/>
      <c r="B242" s="27" t="n"/>
      <c r="C242" s="28" t="n"/>
      <c r="D242" s="32" t="n"/>
      <c r="E242" s="29" t="n"/>
      <c r="F242" s="1" t="n"/>
    </row>
    <row r="243">
      <c r="A243" s="1" t="n"/>
      <c r="B243" s="27" t="n"/>
      <c r="C243" s="28" t="n"/>
      <c r="D243" s="32" t="n"/>
      <c r="E243" s="29" t="n"/>
      <c r="F243" s="1" t="n"/>
    </row>
    <row r="244">
      <c r="A244" s="1" t="n"/>
      <c r="B244" s="27" t="n"/>
      <c r="C244" s="28" t="n"/>
      <c r="D244" s="32" t="n"/>
      <c r="E244" s="29" t="n"/>
      <c r="F244" s="1" t="n"/>
    </row>
    <row r="245">
      <c r="A245" s="1" t="n"/>
      <c r="B245" s="27" t="n"/>
      <c r="C245" s="28" t="n"/>
      <c r="D245" s="32" t="n"/>
      <c r="E245" s="29" t="n"/>
      <c r="F245" s="1" t="n"/>
    </row>
    <row r="246">
      <c r="A246" s="1" t="n"/>
      <c r="B246" s="27" t="n"/>
      <c r="C246" s="28" t="n"/>
      <c r="D246" s="32" t="n"/>
      <c r="E246" s="29" t="n"/>
      <c r="F246" s="1" t="n"/>
    </row>
    <row r="247">
      <c r="A247" s="1" t="n"/>
      <c r="B247" s="27" t="n"/>
      <c r="C247" s="28" t="n"/>
      <c r="D247" s="32" t="n"/>
      <c r="E247" s="29" t="n"/>
      <c r="F247" s="1" t="n"/>
    </row>
    <row r="248">
      <c r="A248" s="1" t="n"/>
      <c r="B248" s="27" t="n"/>
      <c r="C248" s="28" t="n"/>
      <c r="D248" s="32" t="n"/>
      <c r="E248" s="29" t="n"/>
      <c r="F248" s="1" t="n"/>
    </row>
    <row r="249">
      <c r="A249" s="1" t="n"/>
      <c r="B249" s="27" t="n"/>
      <c r="C249" s="28" t="n"/>
      <c r="D249" s="32" t="n"/>
      <c r="E249" s="29" t="n"/>
      <c r="F249" s="1" t="n"/>
    </row>
    <row r="250">
      <c r="A250" s="1" t="n"/>
      <c r="B250" s="27" t="n"/>
      <c r="C250" s="28" t="n"/>
      <c r="D250" s="32" t="n"/>
      <c r="E250" s="29" t="n"/>
      <c r="F250" s="1" t="n"/>
    </row>
    <row r="251">
      <c r="A251" s="1" t="n"/>
      <c r="B251" s="27" t="n"/>
      <c r="C251" s="28" t="n"/>
      <c r="D251" s="32" t="n"/>
      <c r="E251" s="29" t="n"/>
      <c r="F251" s="1" t="n"/>
    </row>
    <row r="252">
      <c r="A252" s="1" t="n"/>
      <c r="B252" s="27" t="n"/>
      <c r="C252" s="28" t="n"/>
      <c r="D252" s="32" t="n"/>
      <c r="E252" s="29" t="n"/>
      <c r="F252" s="1" t="n"/>
    </row>
    <row r="253">
      <c r="A253" s="1" t="n"/>
      <c r="B253" s="27" t="n"/>
      <c r="C253" s="28" t="n"/>
      <c r="D253" s="32" t="n"/>
      <c r="E253" s="29" t="n"/>
      <c r="F253" s="1" t="n"/>
    </row>
    <row r="254">
      <c r="A254" s="1" t="n"/>
      <c r="B254" s="27" t="n"/>
      <c r="C254" s="28" t="n"/>
      <c r="D254" s="32" t="n"/>
      <c r="E254" s="29" t="n"/>
      <c r="F254" s="1" t="n"/>
    </row>
    <row r="255">
      <c r="A255" s="1" t="n"/>
      <c r="B255" s="27" t="n"/>
      <c r="C255" s="28" t="n"/>
      <c r="D255" s="32" t="n"/>
      <c r="E255" s="29" t="n"/>
      <c r="F255" s="1" t="n"/>
    </row>
    <row r="256">
      <c r="A256" s="1" t="n"/>
      <c r="B256" s="1" t="n"/>
      <c r="C256" s="1" t="n"/>
      <c r="D256" s="1" t="n"/>
      <c r="E256" s="1" t="n"/>
      <c r="F256" s="1" t="n"/>
    </row>
  </sheetData>
  <conditionalFormatting sqref="B6:E255">
    <cfRule type="expression" priority="1" dxfId="5">
      <formula>AND($B6&lt;&gt;"",$E6&lt;&gt;"")</formula>
    </cfRule>
  </conditionalFormatting>
  <dataValidations count="1">
    <dataValidation sqref="C6:C255" showDropDown="0" showInputMessage="0" showErrorMessage="1" allowBlank="1" type="list">
      <formula1>"Documents,Clothes,Toiletries,Electronics,Health,Other"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4" customWidth="1" min="4" max="4"/>
    <col width="12" customWidth="1" min="5" max="5"/>
    <col width="14" customWidth="1" min="6" max="6"/>
    <col width="4" customWidth="1" min="7" max="7"/>
    <col width="22" customWidth="1" min="8" max="8"/>
    <col width="14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" t="inlineStr">
        <is>
          <t>Setup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The trip, its dates, and the currencies you will pay in.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33" t="inlineStr">
        <is>
          <t>Trip</t>
        </is>
      </c>
      <c r="C4" s="34" t="inlineStr">
        <is>
          <t>Japan</t>
        </is>
      </c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33" t="inlineStr">
        <is>
          <t>Travelers</t>
        </is>
      </c>
      <c r="C5" s="35" t="n">
        <v>2</v>
      </c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33" t="inlineStr">
        <is>
          <t>First day</t>
        </is>
      </c>
      <c r="C6" s="36" t="n">
        <v>46315</v>
      </c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33" t="inlineStr">
        <is>
          <t>Last day</t>
        </is>
      </c>
      <c r="C7" s="36" t="n">
        <v>46326</v>
      </c>
      <c r="D7" s="1" t="n"/>
      <c r="E7" s="1" t="n"/>
      <c r="F7" s="1" t="n"/>
      <c r="G7" s="1" t="n"/>
      <c r="H7" s="1" t="n"/>
      <c r="I7" s="1" t="n"/>
      <c r="J7" s="1" t="n"/>
    </row>
    <row r="8" ht="30" customHeight="1">
      <c r="A8" s="1" t="n"/>
      <c r="B8" s="33" t="inlineStr">
        <is>
          <t>Home currency</t>
        </is>
      </c>
      <c r="C8" s="34" t="inlineStr">
        <is>
          <t>USD</t>
        </is>
      </c>
      <c r="D8" s="1" t="n"/>
      <c r="E8" s="12" t="inlineStr">
        <is>
          <t>Currency</t>
        </is>
      </c>
      <c r="F8" s="12" t="inlineStr">
        <is>
          <t>1 unit is worth</t>
        </is>
      </c>
      <c r="G8" s="1" t="n"/>
      <c r="H8" s="12" t="inlineStr">
        <is>
          <t>Booking type</t>
        </is>
      </c>
      <c r="I8" s="12" t="inlineStr">
        <is>
          <t>Budget category</t>
        </is>
      </c>
      <c r="J8" s="1" t="n"/>
    </row>
    <row r="9">
      <c r="A9" s="1" t="n"/>
      <c r="B9" s="1" t="n"/>
      <c r="C9" s="1" t="n"/>
      <c r="D9" s="1" t="n"/>
      <c r="E9" s="37">
        <f>$C$8</f>
        <v/>
      </c>
      <c r="F9" s="38" t="n">
        <v>1</v>
      </c>
      <c r="G9" s="1" t="n"/>
      <c r="H9" s="27" t="inlineStr">
        <is>
          <t>Flight</t>
        </is>
      </c>
      <c r="I9" s="28" t="inlineStr">
        <is>
          <t>Flights</t>
        </is>
      </c>
      <c r="J9" s="1" t="n"/>
    </row>
    <row r="10">
      <c r="A10" s="1" t="n"/>
      <c r="B10" s="1" t="n"/>
      <c r="C10" s="1" t="n"/>
      <c r="D10" s="1" t="n"/>
      <c r="E10" s="34" t="inlineStr">
        <is>
          <t>JPY</t>
        </is>
      </c>
      <c r="F10" s="39" t="n">
        <v>0.0068</v>
      </c>
      <c r="G10" s="1" t="n"/>
      <c r="H10" s="27" t="inlineStr">
        <is>
          <t>Hotel</t>
        </is>
      </c>
      <c r="I10" s="28" t="inlineStr">
        <is>
          <t>Lodging</t>
        </is>
      </c>
      <c r="J10" s="1" t="n"/>
    </row>
    <row r="11">
      <c r="A11" s="1" t="n"/>
      <c r="B11" s="40" t="inlineStr">
        <is>
          <t>Each currency's worth in your home currency, for example 1 JPY is worth 0.0068 USD.</t>
        </is>
      </c>
      <c r="C11" s="1" t="n"/>
      <c r="D11" s="1" t="n"/>
      <c r="E11" s="34" t="inlineStr">
        <is>
          <t>EUR</t>
        </is>
      </c>
      <c r="F11" s="39" t="n">
        <v>1.08</v>
      </c>
      <c r="G11" s="1" t="n"/>
      <c r="H11" s="27" t="inlineStr">
        <is>
          <t>Train</t>
        </is>
      </c>
      <c r="I11" s="28" t="inlineStr">
        <is>
          <t>Transport</t>
        </is>
      </c>
      <c r="J11" s="1" t="n"/>
    </row>
    <row r="12">
      <c r="A12" s="1" t="n"/>
      <c r="B12" s="40" t="inlineStr">
        <is>
          <t>Each kind of booking counts in one budget category.</t>
        </is>
      </c>
      <c r="C12" s="1" t="n"/>
      <c r="D12" s="1" t="n"/>
      <c r="E12" s="34" t="inlineStr">
        <is>
          <t>GBP</t>
        </is>
      </c>
      <c r="F12" s="39" t="n">
        <v>1.27</v>
      </c>
      <c r="G12" s="1" t="n"/>
      <c r="H12" s="27" t="inlineStr">
        <is>
          <t>Car</t>
        </is>
      </c>
      <c r="I12" s="28" t="inlineStr">
        <is>
          <t>Transport</t>
        </is>
      </c>
      <c r="J12" s="1" t="n"/>
    </row>
    <row r="13">
      <c r="A13" s="1" t="n"/>
      <c r="B13" s="1" t="n"/>
      <c r="C13" s="1" t="n"/>
      <c r="D13" s="1" t="n"/>
      <c r="E13" s="34" t="n"/>
      <c r="F13" s="39" t="n"/>
      <c r="G13" s="1" t="n"/>
      <c r="H13" s="27" t="inlineStr">
        <is>
          <t>Tour</t>
        </is>
      </c>
      <c r="I13" s="28" t="inlineStr">
        <is>
          <t>Activities</t>
        </is>
      </c>
      <c r="J13" s="1" t="n"/>
    </row>
    <row r="14">
      <c r="A14" s="1" t="n"/>
      <c r="B14" s="1" t="n"/>
      <c r="C14" s="1" t="n"/>
      <c r="D14" s="1" t="n"/>
      <c r="E14" s="34" t="n"/>
      <c r="F14" s="39" t="n"/>
      <c r="G14" s="1" t="n"/>
      <c r="H14" s="27" t="inlineStr">
        <is>
          <t>Restaurant</t>
        </is>
      </c>
      <c r="I14" s="28" t="inlineStr">
        <is>
          <t>Food</t>
        </is>
      </c>
      <c r="J14" s="1" t="n"/>
    </row>
    <row r="15">
      <c r="A15" s="1" t="n"/>
      <c r="B15" s="1" t="n"/>
      <c r="C15" s="1" t="n"/>
      <c r="D15" s="1" t="n"/>
      <c r="E15" s="34" t="n"/>
      <c r="F15" s="39" t="n"/>
      <c r="G15" s="1" t="n"/>
      <c r="H15" s="27" t="inlineStr">
        <is>
          <t>Other</t>
        </is>
      </c>
      <c r="I15" s="28" t="inlineStr">
        <is>
          <t>Other</t>
        </is>
      </c>
      <c r="J15" s="1" t="n"/>
    </row>
    <row r="16">
      <c r="A16" s="1" t="n"/>
      <c r="B16" s="1" t="n"/>
      <c r="C16" s="1" t="n"/>
      <c r="D16" s="1" t="n"/>
      <c r="E16" s="34" t="n"/>
      <c r="F16" s="39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34" t="n"/>
      <c r="F17" s="39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34" t="n"/>
      <c r="F18" s="39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</sheetData>
  <dataValidations count="1">
    <dataValidation sqref="I9:I15" showDropDown="0" showInputMessage="0" showErrorMessage="1" allowBlank="1" type="list">
      <formula1>"Flights,Lodging,Transport,Food,Activities,Shopping,Other"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41" t="inlineStr">
        <is>
          <t>1</t>
        </is>
      </c>
      <c r="C5" s="42" t="inlineStr">
        <is>
          <t>Setup: the trip, how many travel, the first and last day, your home currency and the other currencies.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41" t="inlineStr">
        <is>
          <t>2</t>
        </is>
      </c>
      <c r="C7" s="42" t="inlineStr">
        <is>
          <t>Dashboard: your budget for each category.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41" t="inlineStr">
        <is>
          <t>3</t>
        </is>
      </c>
      <c r="C9" s="42" t="inlineStr">
        <is>
          <t>Bookings: every flight, hotel, train, tour and table, with its code, its cost and what you have paid.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41" t="inlineStr">
        <is>
          <t>4</t>
        </is>
      </c>
      <c r="C11" s="42" t="inlineStr">
        <is>
          <t>Itinerary: what you plan each day. Expenses: what you spend that is not a booking.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41" t="inlineStr">
        <is>
          <t>5</t>
        </is>
      </c>
      <c r="C13" s="42" t="inlineStr">
        <is>
          <t>Packing list: type x as things go in the bag. The list has room for your own items.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budget counts the full cost of each booking as soon as you add it, so you see what is left.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example trip shows how it works. Delete it and plan your own.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with any currencies.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2026-09-28T14:03:30Z</dcterms:created>
  <dcterms:modified xsi:type="dcterms:W3CDTF">2026-09-28T14:03:31Z</dcterms:modified>
</cp:coreProperties>
</file>