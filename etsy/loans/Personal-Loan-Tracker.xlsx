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Loans" sheetId="2" state="visible" r:id="rId2"/>
    <sheet name="Payments" sheetId="3" state="visible" r:id="rId3"/>
    <sheet name="Statement" sheetId="4" state="visible" r:id="rId4"/>
    <sheet name="Settings" sheetId="5" state="visible" r:id="rId5"/>
    <sheet name="Start He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0.##"/>
  </numFmts>
  <fonts count="17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E2A2F"/>
      <sz val="11"/>
    </font>
    <font>
      <name val="Arial"/>
      <i val="1"/>
      <color rgb="006B7B80"/>
      <sz val="10"/>
    </font>
    <font>
      <name val="Arial"/>
      <color rgb="001E2A2F"/>
      <sz val="11"/>
    </font>
    <font>
      <name val="Arial"/>
      <b val="1"/>
      <color rgb="00FFFFFF"/>
      <sz val="11"/>
    </font>
    <font>
      <name val="Arial"/>
      <color rgb="006B7B80"/>
      <sz val="10"/>
    </font>
    <font>
      <name val="Arial"/>
      <b val="1"/>
      <color rgb="001E2A2F"/>
      <sz val="12"/>
    </font>
    <font>
      <name val="Arial"/>
      <b val="1"/>
      <color rgb="006B7B80"/>
      <sz val="11"/>
    </font>
    <font>
      <name val="Arial"/>
      <b val="1"/>
      <color rgb="0015525A"/>
      <sz val="12"/>
    </font>
    <font>
      <name val="Arial"/>
      <i val="1"/>
      <color rgb="006B7B80"/>
      <sz val="9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B23B2E"/>
      <sz val="16"/>
    </font>
    <font>
      <name val="Arial"/>
      <b val="1"/>
      <color rgb="001F6F78"/>
      <sz val="18"/>
    </font>
    <font>
      <name val="Arial"/>
      <color rgb="001E2A2F"/>
      <sz val="13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</fills>
  <borders count="5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/>
      <right/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 style="thin">
        <color rgb="00D5DBDB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2" fillId="2" borderId="1" pivotButton="0" quotePrefix="0" xfId="0"/>
    <xf numFmtId="4" fontId="13" fillId="2" borderId="1" applyAlignment="1" pivotButton="0" quotePrefix="0" xfId="0">
      <alignment horizontal="right"/>
    </xf>
    <xf numFmtId="4" fontId="14" fillId="2" borderId="1" applyAlignment="1" pivotButton="0" quotePrefix="0" xfId="0">
      <alignment horizontal="right"/>
    </xf>
    <xf numFmtId="1" fontId="13" fillId="2" borderId="1" applyAlignment="1" pivotButton="0" quotePrefix="0" xfId="0">
      <alignment horizontal="right"/>
    </xf>
    <xf numFmtId="0" fontId="6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4" fontId="5" fillId="2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1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/>
    </xf>
    <xf numFmtId="0" fontId="3" fillId="3" borderId="1" pivotButton="0" quotePrefix="0" xfId="0"/>
    <xf numFmtId="0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4" fontId="5" fillId="3" borderId="1" pivotButton="0" quotePrefix="0" xfId="0"/>
    <xf numFmtId="166" fontId="5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4" fontId="5" fillId="2" borderId="1" pivotButton="0" quotePrefix="0" xfId="0"/>
    <xf numFmtId="4" fontId="3" fillId="2" borderId="1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2" borderId="0" pivotButton="0" quotePrefix="0" xfId="0"/>
    <xf numFmtId="0" fontId="8" fillId="2" borderId="0" pivotButton="0" quotePrefix="0" xfId="0"/>
    <xf numFmtId="0" fontId="0" fillId="0" borderId="4" pivotButton="0" quotePrefix="0" xfId="0"/>
    <xf numFmtId="0" fontId="9" fillId="2" borderId="0" pivotButton="0" quotePrefix="0" xfId="0"/>
    <xf numFmtId="0" fontId="3" fillId="2" borderId="1" applyAlignment="1" pivotButton="0" quotePrefix="0" xfId="0">
      <alignment horizontal="left" vertical="center"/>
    </xf>
    <xf numFmtId="165" fontId="5" fillId="2" borderId="1" applyAlignment="1" pivotButton="0" quotePrefix="0" xfId="0">
      <alignment horizontal="left" vertical="center"/>
    </xf>
    <xf numFmtId="166" fontId="5" fillId="2" borderId="1" pivotButton="0" quotePrefix="0" xfId="0"/>
    <xf numFmtId="0" fontId="10" fillId="2" borderId="0" pivotButton="0" quotePrefix="0" xfId="0"/>
    <xf numFmtId="0" fontId="5" fillId="2" borderId="1" pivotButton="0" quotePrefix="0" xfId="0"/>
    <xf numFmtId="0" fontId="11" fillId="2" borderId="0" pivotButton="0" quotePrefix="0" xfId="0"/>
    <xf numFmtId="0" fontId="5" fillId="2" borderId="1" applyAlignment="1" pivotButton="0" quotePrefix="0" xfId="0">
      <alignment vertical="top" wrapText="1"/>
    </xf>
    <xf numFmtId="0" fontId="0" fillId="0" borderId="1" pivotButton="0" quotePrefix="0" xfId="0"/>
    <xf numFmtId="0" fontId="3" fillId="2" borderId="0" pivotButton="0" quotePrefix="0" xfId="0"/>
    <xf numFmtId="0" fontId="15" fillId="2" borderId="0" pivotButton="0" quotePrefix="0" xfId="0"/>
    <xf numFmtId="0" fontId="16" fillId="2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9C9C4"/>
          <bgColor rgb="00F9C9C4"/>
        </patternFill>
      </fill>
    </dxf>
    <dxf>
      <fill>
        <patternFill patternType="solid">
          <fgColor rgb="00FFE2B8"/>
          <bgColor rgb="00FFE2B8"/>
        </patternFill>
      </fill>
    </dxf>
    <dxf>
      <font>
        <color rgb="008A9699"/>
      </font>
    </dxf>
    <dxf>
      <fill>
        <patternFill patternType="solid">
          <fgColor rgb="00D8F0DC"/>
          <bgColor rgb="00D8F0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Paid back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'Dashboard'!C18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'Dashboard'!$B$19:$B$30</f>
            </numRef>
          </cat>
          <val>
            <numRef>
              <f>'Dashboard'!$C$19:$C$30</f>
            </numRef>
          </val>
        </ser>
        <ser>
          <idx val="1"/>
          <order val="1"/>
          <tx>
            <strRef>
              <f>'Dashboard'!D18</f>
            </strRef>
          </tx>
          <spPr>
            <a:solidFill>
              <a:srgbClr val="E07A5F"/>
            </a:solidFill>
            <a:ln>
              <a:prstDash val="solid"/>
            </a:ln>
          </spPr>
          <cat>
            <numRef>
              <f>'Dashboard'!$B$19:$B$30</f>
            </numRef>
          </cat>
          <val>
            <numRef>
              <f>'Dashboard'!$D$19:$D$30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17</row>
      <rowOff>0</rowOff>
    </from>
    <ext cx="4608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3" customWidth="1" min="3" max="3"/>
    <col width="13" customWidth="1" min="4" max="4"/>
    <col width="13" customWidth="1" min="5" max="5"/>
    <col width="3" customWidth="1" min="6" max="6"/>
    <col width="16" customWidth="1" min="7" max="7"/>
    <col width="14" customWidth="1" min="8" max="8"/>
    <col width="14" customWidth="1" min="9" max="9"/>
    <col width="14" customWidth="1" min="10" max="10"/>
    <col width="3" customWidth="1" min="11" max="11"/>
    <col hidden="1" width="13" customWidth="1" min="13" max="13"/>
    <col hidden="1" width="13" customWidth="1" min="14" max="14"/>
    <col hidden="1" width="13" customWidth="1" min="15" max="15"/>
    <col hidden="1" width="13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1" t="n"/>
      <c r="B2" s="2" t="inlineStr">
        <is>
          <t>Money lent and borrowed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 t="inlineStr">
        <is>
          <t>Who owes what, the next payments, and what came in and went out.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4" t="inlineStr">
        <is>
          <t>Owed to you</t>
        </is>
      </c>
      <c r="C4" s="4" t="inlineStr">
        <is>
          <t>Overdue to you</t>
        </is>
      </c>
      <c r="D4" s="4" t="inlineStr">
        <is>
          <t>In this month</t>
        </is>
      </c>
      <c r="E4" s="4" t="inlineStr">
        <is>
          <t>Open loans</t>
        </is>
      </c>
      <c r="F4" s="1" t="n"/>
      <c r="G4" s="4" t="inlineStr">
        <is>
          <t>You owe</t>
        </is>
      </c>
      <c r="H4" s="4" t="inlineStr">
        <is>
          <t>You are late on</t>
        </is>
      </c>
      <c r="I4" s="4" t="inlineStr">
        <is>
          <t>Out this month</t>
        </is>
      </c>
      <c r="J4" s="4" t="inlineStr">
        <is>
          <t>Paid off</t>
        </is>
      </c>
      <c r="K4" s="1" t="n"/>
      <c r="L4" s="1" t="n"/>
    </row>
    <row r="5" ht="34" customHeight="1">
      <c r="A5" s="1" t="n"/>
      <c r="B5" s="5">
        <f>SUMIFS(Loans!$O$6:$O$305,Loans!$D$6:$D$305,"I lent",Loans!$O$6:$O$305,"&gt;0")</f>
        <v/>
      </c>
      <c r="C5" s="6">
        <f>SUMIFS(Loans!$W$6:$W$305,Loans!$D$6:$D$305,"I lent")</f>
        <v/>
      </c>
      <c r="D5" s="5">
        <f>SUMIFS(Payments!$D$6:$D$805,Payments!$I$6:$I$805,"In",Payments!$J$6:$J$805,(YEAR(TODAY())*100+MONTH(TODAY())))</f>
        <v/>
      </c>
      <c r="E5" s="7">
        <f>COUNTIF(Loans!$R$6:$R$305,"Open")+COUNTIF(Loans!$R$6:$R$305,"Overdue")+COUNTIF(Loans!$R$6:$R$305,"Due soon")+COUNTIF(Loans!$R$6:$R$305,"On track")</f>
        <v/>
      </c>
      <c r="F5" s="1" t="n"/>
      <c r="G5" s="5">
        <f>SUMIFS(Loans!$O$6:$O$305,Loans!$D$6:$D$305,"I borrowed",Loans!$O$6:$O$305,"&gt;0")</f>
        <v/>
      </c>
      <c r="H5" s="6">
        <f>SUMIFS(Loans!$W$6:$W$305,Loans!$D$6:$D$305,"I borrowed")</f>
        <v/>
      </c>
      <c r="I5" s="5">
        <f>SUMIFS(Payments!$D$6:$D$805,Payments!$I$6:$I$805,"Out",Payments!$J$6:$J$805,(YEAR(TODAY())*100+MONTH(TODAY())))</f>
        <v/>
      </c>
      <c r="J5" s="7">
        <f>COUNTIF(Loans!$R$6:$R$305,"Paid off")</f>
        <v/>
      </c>
      <c r="K5" s="1" t="n"/>
      <c r="L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30" customHeight="1">
      <c r="A7" s="1" t="n"/>
      <c r="B7" s="8" t="inlineStr">
        <is>
          <t>Next payments</t>
        </is>
      </c>
      <c r="C7" s="8" t="inlineStr">
        <is>
          <t>Which way</t>
        </is>
      </c>
      <c r="D7" s="8" t="inlineStr">
        <is>
          <t>Due on</t>
        </is>
      </c>
      <c r="E7" s="8" t="inlineStr">
        <is>
          <t>Amount</t>
        </is>
      </c>
      <c r="F7" s="1" t="n"/>
      <c r="G7" s="8" t="inlineStr">
        <is>
          <t>Who owes what</t>
        </is>
      </c>
      <c r="H7" s="8" t="inlineStr">
        <is>
          <t>Owes you</t>
        </is>
      </c>
      <c r="I7" s="8" t="inlineStr">
        <is>
          <t>You owe</t>
        </is>
      </c>
      <c r="J7" s="8" t="inlineStr">
        <is>
          <t>Open loans</t>
        </is>
      </c>
      <c r="K7" s="1" t="n"/>
      <c r="L7" s="1" t="n"/>
    </row>
    <row r="8" ht="18" customHeight="1">
      <c r="A8" s="1" t="n"/>
      <c r="B8" s="9">
        <f>IF(M8="","",INDEX(Loans!$C$1:$C$305,MOD(M8,1000)))</f>
        <v/>
      </c>
      <c r="C8" s="10">
        <f>IF(M8="","",INDEX(Loans!$Z$1:$Z$305,MOD(M8,1000)))</f>
        <v/>
      </c>
      <c r="D8" s="11">
        <f>IF(M8="","",INDEX(Loans!$P$1:$P$305,MOD(M8,1000)))</f>
        <v/>
      </c>
      <c r="E8" s="12">
        <f>IF(M8="","",INDEX(Loans!$Q$1:$Q$305,MOD(M8,1000)))</f>
        <v/>
      </c>
      <c r="F8" s="13" t="n"/>
      <c r="G8" s="9">
        <f>IF(O8="","",INDEX(Loans!$C$1:$C$305,O8))</f>
        <v/>
      </c>
      <c r="H8" s="12">
        <f>IF(G8="","",SUMIFS(Loans!$O$6:$O$305,Loans!$C$6:$C$305,G8,Loans!$D$6:$D$305,"I lent",Loans!$O$6:$O$305,"&gt;0"))</f>
        <v/>
      </c>
      <c r="I8" s="12">
        <f>IF(G8="","",SUMIFS(Loans!$O$6:$O$305,Loans!$C$6:$C$305,G8,Loans!$D$6:$D$305,"I borrowed",Loans!$O$6:$O$305,"&gt;0"))</f>
        <v/>
      </c>
      <c r="J8" s="14">
        <f>IF(G8="","",COUNTIFS(Loans!$C$6:$C$305,G8,Loans!$R$6:$R$305,"Open")+COUNTIFS(Loans!$C$6:$C$305,G8,Loans!$R$6:$R$305,"Overdue")+COUNTIFS(Loans!$C$6:$C$305,G8,Loans!$R$6:$R$305,"Due soon")+COUNTIFS(Loans!$C$6:$C$305,G8,Loans!$R$6:$R$305,"On track"))</f>
        <v/>
      </c>
      <c r="K8" s="1" t="n"/>
      <c r="L8" s="1" t="n"/>
      <c r="M8">
        <f>IFERROR(SMALL(Loans!$X$6:$X$305,1),"")</f>
        <v/>
      </c>
      <c r="N8">
        <f>IF(M8="","",INDEX(Loans!$R$1:$R$305,MOD(M8,1000)))</f>
        <v/>
      </c>
      <c r="O8">
        <f>IFERROR(SMALL(Loans!$Y$6:$Y$305,1),"")</f>
        <v/>
      </c>
    </row>
    <row r="9" ht="18" customHeight="1">
      <c r="A9" s="1" t="n"/>
      <c r="B9" s="9">
        <f>IF(M9="","",INDEX(Loans!$C$1:$C$305,MOD(M9,1000)))</f>
        <v/>
      </c>
      <c r="C9" s="10">
        <f>IF(M9="","",INDEX(Loans!$Z$1:$Z$305,MOD(M9,1000)))</f>
        <v/>
      </c>
      <c r="D9" s="11">
        <f>IF(M9="","",INDEX(Loans!$P$1:$P$305,MOD(M9,1000)))</f>
        <v/>
      </c>
      <c r="E9" s="12">
        <f>IF(M9="","",INDEX(Loans!$Q$1:$Q$305,MOD(M9,1000)))</f>
        <v/>
      </c>
      <c r="F9" s="13" t="n"/>
      <c r="G9" s="9">
        <f>IF(O9="","",INDEX(Loans!$C$1:$C$305,O9))</f>
        <v/>
      </c>
      <c r="H9" s="12">
        <f>IF(G9="","",SUMIFS(Loans!$O$6:$O$305,Loans!$C$6:$C$305,G9,Loans!$D$6:$D$305,"I lent",Loans!$O$6:$O$305,"&gt;0"))</f>
        <v/>
      </c>
      <c r="I9" s="12">
        <f>IF(G9="","",SUMIFS(Loans!$O$6:$O$305,Loans!$C$6:$C$305,G9,Loans!$D$6:$D$305,"I borrowed",Loans!$O$6:$O$305,"&gt;0"))</f>
        <v/>
      </c>
      <c r="J9" s="14">
        <f>IF(G9="","",COUNTIFS(Loans!$C$6:$C$305,G9,Loans!$R$6:$R$305,"Open")+COUNTIFS(Loans!$C$6:$C$305,G9,Loans!$R$6:$R$305,"Overdue")+COUNTIFS(Loans!$C$6:$C$305,G9,Loans!$R$6:$R$305,"Due soon")+COUNTIFS(Loans!$C$6:$C$305,G9,Loans!$R$6:$R$305,"On track"))</f>
        <v/>
      </c>
      <c r="K9" s="1" t="n"/>
      <c r="L9" s="1" t="n"/>
      <c r="M9">
        <f>IFERROR(SMALL(Loans!$X$6:$X$305,2),"")</f>
        <v/>
      </c>
      <c r="N9">
        <f>IF(M9="","",INDEX(Loans!$R$1:$R$305,MOD(M9,1000)))</f>
        <v/>
      </c>
      <c r="O9">
        <f>IFERROR(SMALL(Loans!$Y$6:$Y$305,2),"")</f>
        <v/>
      </c>
    </row>
    <row r="10" ht="18" customHeight="1">
      <c r="A10" s="1" t="n"/>
      <c r="B10" s="9">
        <f>IF(M10="","",INDEX(Loans!$C$1:$C$305,MOD(M10,1000)))</f>
        <v/>
      </c>
      <c r="C10" s="10">
        <f>IF(M10="","",INDEX(Loans!$Z$1:$Z$305,MOD(M10,1000)))</f>
        <v/>
      </c>
      <c r="D10" s="11">
        <f>IF(M10="","",INDEX(Loans!$P$1:$P$305,MOD(M10,1000)))</f>
        <v/>
      </c>
      <c r="E10" s="12">
        <f>IF(M10="","",INDEX(Loans!$Q$1:$Q$305,MOD(M10,1000)))</f>
        <v/>
      </c>
      <c r="F10" s="13" t="n"/>
      <c r="G10" s="9">
        <f>IF(O10="","",INDEX(Loans!$C$1:$C$305,O10))</f>
        <v/>
      </c>
      <c r="H10" s="12">
        <f>IF(G10="","",SUMIFS(Loans!$O$6:$O$305,Loans!$C$6:$C$305,G10,Loans!$D$6:$D$305,"I lent",Loans!$O$6:$O$305,"&gt;0"))</f>
        <v/>
      </c>
      <c r="I10" s="12">
        <f>IF(G10="","",SUMIFS(Loans!$O$6:$O$305,Loans!$C$6:$C$305,G10,Loans!$D$6:$D$305,"I borrowed",Loans!$O$6:$O$305,"&gt;0"))</f>
        <v/>
      </c>
      <c r="J10" s="14">
        <f>IF(G10="","",COUNTIFS(Loans!$C$6:$C$305,G10,Loans!$R$6:$R$305,"Open")+COUNTIFS(Loans!$C$6:$C$305,G10,Loans!$R$6:$R$305,"Overdue")+COUNTIFS(Loans!$C$6:$C$305,G10,Loans!$R$6:$R$305,"Due soon")+COUNTIFS(Loans!$C$6:$C$305,G10,Loans!$R$6:$R$305,"On track"))</f>
        <v/>
      </c>
      <c r="K10" s="1" t="n"/>
      <c r="L10" s="1" t="n"/>
      <c r="M10">
        <f>IFERROR(SMALL(Loans!$X$6:$X$305,3),"")</f>
        <v/>
      </c>
      <c r="N10">
        <f>IF(M10="","",INDEX(Loans!$R$1:$R$305,MOD(M10,1000)))</f>
        <v/>
      </c>
      <c r="O10">
        <f>IFERROR(SMALL(Loans!$Y$6:$Y$305,3),"")</f>
        <v/>
      </c>
    </row>
    <row r="11" ht="18" customHeight="1">
      <c r="A11" s="1" t="n"/>
      <c r="B11" s="9">
        <f>IF(M11="","",INDEX(Loans!$C$1:$C$305,MOD(M11,1000)))</f>
        <v/>
      </c>
      <c r="C11" s="10">
        <f>IF(M11="","",INDEX(Loans!$Z$1:$Z$305,MOD(M11,1000)))</f>
        <v/>
      </c>
      <c r="D11" s="11">
        <f>IF(M11="","",INDEX(Loans!$P$1:$P$305,MOD(M11,1000)))</f>
        <v/>
      </c>
      <c r="E11" s="12">
        <f>IF(M11="","",INDEX(Loans!$Q$1:$Q$305,MOD(M11,1000)))</f>
        <v/>
      </c>
      <c r="F11" s="13" t="n"/>
      <c r="G11" s="9">
        <f>IF(O11="","",INDEX(Loans!$C$1:$C$305,O11))</f>
        <v/>
      </c>
      <c r="H11" s="12">
        <f>IF(G11="","",SUMIFS(Loans!$O$6:$O$305,Loans!$C$6:$C$305,G11,Loans!$D$6:$D$305,"I lent",Loans!$O$6:$O$305,"&gt;0"))</f>
        <v/>
      </c>
      <c r="I11" s="12">
        <f>IF(G11="","",SUMIFS(Loans!$O$6:$O$305,Loans!$C$6:$C$305,G11,Loans!$D$6:$D$305,"I borrowed",Loans!$O$6:$O$305,"&gt;0"))</f>
        <v/>
      </c>
      <c r="J11" s="14">
        <f>IF(G11="","",COUNTIFS(Loans!$C$6:$C$305,G11,Loans!$R$6:$R$305,"Open")+COUNTIFS(Loans!$C$6:$C$305,G11,Loans!$R$6:$R$305,"Overdue")+COUNTIFS(Loans!$C$6:$C$305,G11,Loans!$R$6:$R$305,"Due soon")+COUNTIFS(Loans!$C$6:$C$305,G11,Loans!$R$6:$R$305,"On track"))</f>
        <v/>
      </c>
      <c r="K11" s="1" t="n"/>
      <c r="L11" s="1" t="n"/>
      <c r="M11">
        <f>IFERROR(SMALL(Loans!$X$6:$X$305,4),"")</f>
        <v/>
      </c>
      <c r="N11">
        <f>IF(M11="","",INDEX(Loans!$R$1:$R$305,MOD(M11,1000)))</f>
        <v/>
      </c>
      <c r="O11">
        <f>IFERROR(SMALL(Loans!$Y$6:$Y$305,4),"")</f>
        <v/>
      </c>
    </row>
    <row r="12" ht="18" customHeight="1">
      <c r="A12" s="1" t="n"/>
      <c r="B12" s="9">
        <f>IF(M12="","",INDEX(Loans!$C$1:$C$305,MOD(M12,1000)))</f>
        <v/>
      </c>
      <c r="C12" s="10">
        <f>IF(M12="","",INDEX(Loans!$Z$1:$Z$305,MOD(M12,1000)))</f>
        <v/>
      </c>
      <c r="D12" s="11">
        <f>IF(M12="","",INDEX(Loans!$P$1:$P$305,MOD(M12,1000)))</f>
        <v/>
      </c>
      <c r="E12" s="12">
        <f>IF(M12="","",INDEX(Loans!$Q$1:$Q$305,MOD(M12,1000)))</f>
        <v/>
      </c>
      <c r="F12" s="13" t="n"/>
      <c r="G12" s="9">
        <f>IF(O12="","",INDEX(Loans!$C$1:$C$305,O12))</f>
        <v/>
      </c>
      <c r="H12" s="12">
        <f>IF(G12="","",SUMIFS(Loans!$O$6:$O$305,Loans!$C$6:$C$305,G12,Loans!$D$6:$D$305,"I lent",Loans!$O$6:$O$305,"&gt;0"))</f>
        <v/>
      </c>
      <c r="I12" s="12">
        <f>IF(G12="","",SUMIFS(Loans!$O$6:$O$305,Loans!$C$6:$C$305,G12,Loans!$D$6:$D$305,"I borrowed",Loans!$O$6:$O$305,"&gt;0"))</f>
        <v/>
      </c>
      <c r="J12" s="14">
        <f>IF(G12="","",COUNTIFS(Loans!$C$6:$C$305,G12,Loans!$R$6:$R$305,"Open")+COUNTIFS(Loans!$C$6:$C$305,G12,Loans!$R$6:$R$305,"Overdue")+COUNTIFS(Loans!$C$6:$C$305,G12,Loans!$R$6:$R$305,"Due soon")+COUNTIFS(Loans!$C$6:$C$305,G12,Loans!$R$6:$R$305,"On track"))</f>
        <v/>
      </c>
      <c r="K12" s="1" t="n"/>
      <c r="L12" s="1" t="n"/>
      <c r="M12">
        <f>IFERROR(SMALL(Loans!$X$6:$X$305,5),"")</f>
        <v/>
      </c>
      <c r="N12">
        <f>IF(M12="","",INDEX(Loans!$R$1:$R$305,MOD(M12,1000)))</f>
        <v/>
      </c>
      <c r="O12">
        <f>IFERROR(SMALL(Loans!$Y$6:$Y$305,5),"")</f>
        <v/>
      </c>
    </row>
    <row r="13" ht="18" customHeight="1">
      <c r="A13" s="1" t="n"/>
      <c r="B13" s="9">
        <f>IF(M13="","",INDEX(Loans!$C$1:$C$305,MOD(M13,1000)))</f>
        <v/>
      </c>
      <c r="C13" s="10">
        <f>IF(M13="","",INDEX(Loans!$Z$1:$Z$305,MOD(M13,1000)))</f>
        <v/>
      </c>
      <c r="D13" s="11">
        <f>IF(M13="","",INDEX(Loans!$P$1:$P$305,MOD(M13,1000)))</f>
        <v/>
      </c>
      <c r="E13" s="12">
        <f>IF(M13="","",INDEX(Loans!$Q$1:$Q$305,MOD(M13,1000)))</f>
        <v/>
      </c>
      <c r="F13" s="13" t="n"/>
      <c r="G13" s="9">
        <f>IF(O13="","",INDEX(Loans!$C$1:$C$305,O13))</f>
        <v/>
      </c>
      <c r="H13" s="12">
        <f>IF(G13="","",SUMIFS(Loans!$O$6:$O$305,Loans!$C$6:$C$305,G13,Loans!$D$6:$D$305,"I lent",Loans!$O$6:$O$305,"&gt;0"))</f>
        <v/>
      </c>
      <c r="I13" s="12">
        <f>IF(G13="","",SUMIFS(Loans!$O$6:$O$305,Loans!$C$6:$C$305,G13,Loans!$D$6:$D$305,"I borrowed",Loans!$O$6:$O$305,"&gt;0"))</f>
        <v/>
      </c>
      <c r="J13" s="14">
        <f>IF(G13="","",COUNTIFS(Loans!$C$6:$C$305,G13,Loans!$R$6:$R$305,"Open")+COUNTIFS(Loans!$C$6:$C$305,G13,Loans!$R$6:$R$305,"Overdue")+COUNTIFS(Loans!$C$6:$C$305,G13,Loans!$R$6:$R$305,"Due soon")+COUNTIFS(Loans!$C$6:$C$305,G13,Loans!$R$6:$R$305,"On track"))</f>
        <v/>
      </c>
      <c r="K13" s="1" t="n"/>
      <c r="L13" s="1" t="n"/>
      <c r="M13">
        <f>IFERROR(SMALL(Loans!$X$6:$X$305,6),"")</f>
        <v/>
      </c>
      <c r="N13">
        <f>IF(M13="","",INDEX(Loans!$R$1:$R$305,MOD(M13,1000)))</f>
        <v/>
      </c>
      <c r="O13">
        <f>IFERROR(SMALL(Loans!$Y$6:$Y$305,6),"")</f>
        <v/>
      </c>
    </row>
    <row r="14" ht="18" customHeight="1">
      <c r="A14" s="1" t="n"/>
      <c r="B14" s="9">
        <f>IF(M14="","",INDEX(Loans!$C$1:$C$305,MOD(M14,1000)))</f>
        <v/>
      </c>
      <c r="C14" s="10">
        <f>IF(M14="","",INDEX(Loans!$Z$1:$Z$305,MOD(M14,1000)))</f>
        <v/>
      </c>
      <c r="D14" s="11">
        <f>IF(M14="","",INDEX(Loans!$P$1:$P$305,MOD(M14,1000)))</f>
        <v/>
      </c>
      <c r="E14" s="12">
        <f>IF(M14="","",INDEX(Loans!$Q$1:$Q$305,MOD(M14,1000)))</f>
        <v/>
      </c>
      <c r="F14" s="13" t="n"/>
      <c r="G14" s="9">
        <f>IF(O14="","",INDEX(Loans!$C$1:$C$305,O14))</f>
        <v/>
      </c>
      <c r="H14" s="12">
        <f>IF(G14="","",SUMIFS(Loans!$O$6:$O$305,Loans!$C$6:$C$305,G14,Loans!$D$6:$D$305,"I lent",Loans!$O$6:$O$305,"&gt;0"))</f>
        <v/>
      </c>
      <c r="I14" s="12">
        <f>IF(G14="","",SUMIFS(Loans!$O$6:$O$305,Loans!$C$6:$C$305,G14,Loans!$D$6:$D$305,"I borrowed",Loans!$O$6:$O$305,"&gt;0"))</f>
        <v/>
      </c>
      <c r="J14" s="14">
        <f>IF(G14="","",COUNTIFS(Loans!$C$6:$C$305,G14,Loans!$R$6:$R$305,"Open")+COUNTIFS(Loans!$C$6:$C$305,G14,Loans!$R$6:$R$305,"Overdue")+COUNTIFS(Loans!$C$6:$C$305,G14,Loans!$R$6:$R$305,"Due soon")+COUNTIFS(Loans!$C$6:$C$305,G14,Loans!$R$6:$R$305,"On track"))</f>
        <v/>
      </c>
      <c r="K14" s="1" t="n"/>
      <c r="L14" s="1" t="n"/>
      <c r="M14">
        <f>IFERROR(SMALL(Loans!$X$6:$X$305,7),"")</f>
        <v/>
      </c>
      <c r="N14">
        <f>IF(M14="","",INDEX(Loans!$R$1:$R$305,MOD(M14,1000)))</f>
        <v/>
      </c>
      <c r="O14">
        <f>IFERROR(SMALL(Loans!$Y$6:$Y$305,7),"")</f>
        <v/>
      </c>
    </row>
    <row r="15" ht="18" customHeight="1">
      <c r="A15" s="1" t="n"/>
      <c r="B15" s="9">
        <f>IF(M15="","",INDEX(Loans!$C$1:$C$305,MOD(M15,1000)))</f>
        <v/>
      </c>
      <c r="C15" s="10">
        <f>IF(M15="","",INDEX(Loans!$Z$1:$Z$305,MOD(M15,1000)))</f>
        <v/>
      </c>
      <c r="D15" s="11">
        <f>IF(M15="","",INDEX(Loans!$P$1:$P$305,MOD(M15,1000)))</f>
        <v/>
      </c>
      <c r="E15" s="12">
        <f>IF(M15="","",INDEX(Loans!$Q$1:$Q$305,MOD(M15,1000)))</f>
        <v/>
      </c>
      <c r="F15" s="13" t="n"/>
      <c r="G15" s="9">
        <f>IF(O15="","",INDEX(Loans!$C$1:$C$305,O15))</f>
        <v/>
      </c>
      <c r="H15" s="12">
        <f>IF(G15="","",SUMIFS(Loans!$O$6:$O$305,Loans!$C$6:$C$305,G15,Loans!$D$6:$D$305,"I lent",Loans!$O$6:$O$305,"&gt;0"))</f>
        <v/>
      </c>
      <c r="I15" s="12">
        <f>IF(G15="","",SUMIFS(Loans!$O$6:$O$305,Loans!$C$6:$C$305,G15,Loans!$D$6:$D$305,"I borrowed",Loans!$O$6:$O$305,"&gt;0"))</f>
        <v/>
      </c>
      <c r="J15" s="14">
        <f>IF(G15="","",COUNTIFS(Loans!$C$6:$C$305,G15,Loans!$R$6:$R$305,"Open")+COUNTIFS(Loans!$C$6:$C$305,G15,Loans!$R$6:$R$305,"Overdue")+COUNTIFS(Loans!$C$6:$C$305,G15,Loans!$R$6:$R$305,"Due soon")+COUNTIFS(Loans!$C$6:$C$305,G15,Loans!$R$6:$R$305,"On track"))</f>
        <v/>
      </c>
      <c r="K15" s="1" t="n"/>
      <c r="L15" s="1" t="n"/>
      <c r="M15">
        <f>IFERROR(SMALL(Loans!$X$6:$X$305,8),"")</f>
        <v/>
      </c>
      <c r="N15">
        <f>IF(M15="","",INDEX(Loans!$R$1:$R$305,MOD(M15,1000)))</f>
        <v/>
      </c>
      <c r="O15">
        <f>IFERROR(SMALL(Loans!$Y$6:$Y$305,8),"")</f>
        <v/>
      </c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 ht="30" customHeight="1">
      <c r="A18" s="1" t="n"/>
      <c r="B18" s="8" t="inlineStr">
        <is>
          <t>Month</t>
        </is>
      </c>
      <c r="C18" s="8" t="inlineStr">
        <is>
          <t>In</t>
        </is>
      </c>
      <c r="D18" s="8" t="inlineStr">
        <is>
          <t>Out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</row>
    <row r="19" ht="18" customHeight="1">
      <c r="A19" s="1" t="n"/>
      <c r="B19" s="9">
        <f>CHOOSE(MONTH(DATE(YEAR(TODAY()),MONTH(TODAY())-11,1)),"Jan","Feb","Mar","Apr","May","Jun","Jul","Aug","Sep","Oct","Nov","Dec")&amp;" "&amp;YEAR(DATE(YEAR(TODAY()),MONTH(TODAY())-11,1))</f>
        <v/>
      </c>
      <c r="C19" s="12">
        <f>SUMIFS(Payments!$D$6:$D$805,Payments!$I$6:$I$805,"In",Payments!$J$6:$J$805,P19)</f>
        <v/>
      </c>
      <c r="D19" s="12">
        <f>SUMIFS(Payments!$D$6:$D$805,Payments!$I$6:$I$805,"Out",Payments!$J$6:$J$805,P19)</f>
        <v/>
      </c>
      <c r="E19" s="13" t="n"/>
      <c r="F19" s="13" t="n"/>
      <c r="G19" s="13" t="n"/>
      <c r="H19" s="13" t="n"/>
      <c r="I19" s="13" t="n"/>
      <c r="J19" s="13" t="n"/>
      <c r="K19" s="1" t="n"/>
      <c r="L19" s="1" t="n"/>
      <c r="P19">
        <f>YEAR(DATE(YEAR(TODAY()),MONTH(TODAY())-11,1))*100+MONTH(DATE(YEAR(TODAY()),MONTH(TODAY())-11,1))</f>
        <v/>
      </c>
    </row>
    <row r="20" ht="18" customHeight="1">
      <c r="A20" s="1" t="n"/>
      <c r="B20" s="9">
        <f>CHOOSE(MONTH(DATE(YEAR(TODAY()),MONTH(TODAY())-10,1)),"Jan","Feb","Mar","Apr","May","Jun","Jul","Aug","Sep","Oct","Nov","Dec")&amp;" "&amp;YEAR(DATE(YEAR(TODAY()),MONTH(TODAY())-10,1))</f>
        <v/>
      </c>
      <c r="C20" s="12">
        <f>SUMIFS(Payments!$D$6:$D$805,Payments!$I$6:$I$805,"In",Payments!$J$6:$J$805,P20)</f>
        <v/>
      </c>
      <c r="D20" s="12">
        <f>SUMIFS(Payments!$D$6:$D$805,Payments!$I$6:$I$805,"Out",Payments!$J$6:$J$805,P20)</f>
        <v/>
      </c>
      <c r="E20" s="13" t="n"/>
      <c r="F20" s="13" t="n"/>
      <c r="G20" s="13" t="n"/>
      <c r="H20" s="13" t="n"/>
      <c r="I20" s="13" t="n"/>
      <c r="J20" s="13" t="n"/>
      <c r="K20" s="1" t="n"/>
      <c r="L20" s="1" t="n"/>
      <c r="P20">
        <f>YEAR(DATE(YEAR(TODAY()),MONTH(TODAY())-10,1))*100+MONTH(DATE(YEAR(TODAY()),MONTH(TODAY())-10,1))</f>
        <v/>
      </c>
    </row>
    <row r="21" ht="18" customHeight="1">
      <c r="A21" s="1" t="n"/>
      <c r="B21" s="9">
        <f>CHOOSE(MONTH(DATE(YEAR(TODAY()),MONTH(TODAY())-9,1)),"Jan","Feb","Mar","Apr","May","Jun","Jul","Aug","Sep","Oct","Nov","Dec")&amp;" "&amp;YEAR(DATE(YEAR(TODAY()),MONTH(TODAY())-9,1))</f>
        <v/>
      </c>
      <c r="C21" s="12">
        <f>SUMIFS(Payments!$D$6:$D$805,Payments!$I$6:$I$805,"In",Payments!$J$6:$J$805,P21)</f>
        <v/>
      </c>
      <c r="D21" s="12">
        <f>SUMIFS(Payments!$D$6:$D$805,Payments!$I$6:$I$805,"Out",Payments!$J$6:$J$805,P21)</f>
        <v/>
      </c>
      <c r="E21" s="13" t="n"/>
      <c r="F21" s="13" t="n"/>
      <c r="G21" s="13" t="n"/>
      <c r="H21" s="13" t="n"/>
      <c r="I21" s="13" t="n"/>
      <c r="J21" s="13" t="n"/>
      <c r="K21" s="1" t="n"/>
      <c r="L21" s="1" t="n"/>
      <c r="P21">
        <f>YEAR(DATE(YEAR(TODAY()),MONTH(TODAY())-9,1))*100+MONTH(DATE(YEAR(TODAY()),MONTH(TODAY())-9,1))</f>
        <v/>
      </c>
    </row>
    <row r="22" ht="18" customHeight="1">
      <c r="A22" s="1" t="n"/>
      <c r="B22" s="9">
        <f>CHOOSE(MONTH(DATE(YEAR(TODAY()),MONTH(TODAY())-8,1)),"Jan","Feb","Mar","Apr","May","Jun","Jul","Aug","Sep","Oct","Nov","Dec")&amp;" "&amp;YEAR(DATE(YEAR(TODAY()),MONTH(TODAY())-8,1))</f>
        <v/>
      </c>
      <c r="C22" s="12">
        <f>SUMIFS(Payments!$D$6:$D$805,Payments!$I$6:$I$805,"In",Payments!$J$6:$J$805,P22)</f>
        <v/>
      </c>
      <c r="D22" s="12">
        <f>SUMIFS(Payments!$D$6:$D$805,Payments!$I$6:$I$805,"Out",Payments!$J$6:$J$805,P22)</f>
        <v/>
      </c>
      <c r="E22" s="13" t="n"/>
      <c r="F22" s="13" t="n"/>
      <c r="G22" s="13" t="n"/>
      <c r="H22" s="13" t="n"/>
      <c r="I22" s="13" t="n"/>
      <c r="J22" s="13" t="n"/>
      <c r="K22" s="1" t="n"/>
      <c r="L22" s="1" t="n"/>
      <c r="P22">
        <f>YEAR(DATE(YEAR(TODAY()),MONTH(TODAY())-8,1))*100+MONTH(DATE(YEAR(TODAY()),MONTH(TODAY())-8,1))</f>
        <v/>
      </c>
    </row>
    <row r="23" ht="18" customHeight="1">
      <c r="A23" s="1" t="n"/>
      <c r="B23" s="9">
        <f>CHOOSE(MONTH(DATE(YEAR(TODAY()),MONTH(TODAY())-7,1)),"Jan","Feb","Mar","Apr","May","Jun","Jul","Aug","Sep","Oct","Nov","Dec")&amp;" "&amp;YEAR(DATE(YEAR(TODAY()),MONTH(TODAY())-7,1))</f>
        <v/>
      </c>
      <c r="C23" s="12">
        <f>SUMIFS(Payments!$D$6:$D$805,Payments!$I$6:$I$805,"In",Payments!$J$6:$J$805,P23)</f>
        <v/>
      </c>
      <c r="D23" s="12">
        <f>SUMIFS(Payments!$D$6:$D$805,Payments!$I$6:$I$805,"Out",Payments!$J$6:$J$805,P23)</f>
        <v/>
      </c>
      <c r="E23" s="13" t="n"/>
      <c r="F23" s="13" t="n"/>
      <c r="G23" s="13" t="n"/>
      <c r="H23" s="13" t="n"/>
      <c r="I23" s="13" t="n"/>
      <c r="J23" s="13" t="n"/>
      <c r="K23" s="1" t="n"/>
      <c r="L23" s="1" t="n"/>
      <c r="P23">
        <f>YEAR(DATE(YEAR(TODAY()),MONTH(TODAY())-7,1))*100+MONTH(DATE(YEAR(TODAY()),MONTH(TODAY())-7,1))</f>
        <v/>
      </c>
    </row>
    <row r="24" ht="18" customHeight="1">
      <c r="A24" s="1" t="n"/>
      <c r="B24" s="9">
        <f>CHOOSE(MONTH(DATE(YEAR(TODAY()),MONTH(TODAY())-6,1)),"Jan","Feb","Mar","Apr","May","Jun","Jul","Aug","Sep","Oct","Nov","Dec")&amp;" "&amp;YEAR(DATE(YEAR(TODAY()),MONTH(TODAY())-6,1))</f>
        <v/>
      </c>
      <c r="C24" s="12">
        <f>SUMIFS(Payments!$D$6:$D$805,Payments!$I$6:$I$805,"In",Payments!$J$6:$J$805,P24)</f>
        <v/>
      </c>
      <c r="D24" s="12">
        <f>SUMIFS(Payments!$D$6:$D$805,Payments!$I$6:$I$805,"Out",Payments!$J$6:$J$805,P24)</f>
        <v/>
      </c>
      <c r="E24" s="13" t="n"/>
      <c r="F24" s="13" t="n"/>
      <c r="G24" s="13" t="n"/>
      <c r="H24" s="13" t="n"/>
      <c r="I24" s="13" t="n"/>
      <c r="J24" s="13" t="n"/>
      <c r="K24" s="1" t="n"/>
      <c r="L24" s="1" t="n"/>
      <c r="P24">
        <f>YEAR(DATE(YEAR(TODAY()),MONTH(TODAY())-6,1))*100+MONTH(DATE(YEAR(TODAY()),MONTH(TODAY())-6,1))</f>
        <v/>
      </c>
    </row>
    <row r="25" ht="18" customHeight="1">
      <c r="A25" s="1" t="n"/>
      <c r="B25" s="9">
        <f>CHOOSE(MONTH(DATE(YEAR(TODAY()),MONTH(TODAY())-5,1)),"Jan","Feb","Mar","Apr","May","Jun","Jul","Aug","Sep","Oct","Nov","Dec")&amp;" "&amp;YEAR(DATE(YEAR(TODAY()),MONTH(TODAY())-5,1))</f>
        <v/>
      </c>
      <c r="C25" s="12">
        <f>SUMIFS(Payments!$D$6:$D$805,Payments!$I$6:$I$805,"In",Payments!$J$6:$J$805,P25)</f>
        <v/>
      </c>
      <c r="D25" s="12">
        <f>SUMIFS(Payments!$D$6:$D$805,Payments!$I$6:$I$805,"Out",Payments!$J$6:$J$805,P25)</f>
        <v/>
      </c>
      <c r="E25" s="13" t="n"/>
      <c r="F25" s="13" t="n"/>
      <c r="G25" s="13" t="n"/>
      <c r="H25" s="13" t="n"/>
      <c r="I25" s="13" t="n"/>
      <c r="J25" s="13" t="n"/>
      <c r="K25" s="1" t="n"/>
      <c r="L25" s="1" t="n"/>
      <c r="P25">
        <f>YEAR(DATE(YEAR(TODAY()),MONTH(TODAY())-5,1))*100+MONTH(DATE(YEAR(TODAY()),MONTH(TODAY())-5,1))</f>
        <v/>
      </c>
    </row>
    <row r="26" ht="18" customHeight="1">
      <c r="A26" s="1" t="n"/>
      <c r="B26" s="9">
        <f>CHOOSE(MONTH(DATE(YEAR(TODAY()),MONTH(TODAY())-4,1)),"Jan","Feb","Mar","Apr","May","Jun","Jul","Aug","Sep","Oct","Nov","Dec")&amp;" "&amp;YEAR(DATE(YEAR(TODAY()),MONTH(TODAY())-4,1))</f>
        <v/>
      </c>
      <c r="C26" s="12">
        <f>SUMIFS(Payments!$D$6:$D$805,Payments!$I$6:$I$805,"In",Payments!$J$6:$J$805,P26)</f>
        <v/>
      </c>
      <c r="D26" s="12">
        <f>SUMIFS(Payments!$D$6:$D$805,Payments!$I$6:$I$805,"Out",Payments!$J$6:$J$805,P26)</f>
        <v/>
      </c>
      <c r="E26" s="13" t="n"/>
      <c r="F26" s="13" t="n"/>
      <c r="G26" s="13" t="n"/>
      <c r="H26" s="13" t="n"/>
      <c r="I26" s="13" t="n"/>
      <c r="J26" s="13" t="n"/>
      <c r="K26" s="1" t="n"/>
      <c r="L26" s="1" t="n"/>
      <c r="P26">
        <f>YEAR(DATE(YEAR(TODAY()),MONTH(TODAY())-4,1))*100+MONTH(DATE(YEAR(TODAY()),MONTH(TODAY())-4,1))</f>
        <v/>
      </c>
    </row>
    <row r="27" ht="18" customHeight="1">
      <c r="A27" s="1" t="n"/>
      <c r="B27" s="9">
        <f>CHOOSE(MONTH(DATE(YEAR(TODAY()),MONTH(TODAY())-3,1)),"Jan","Feb","Mar","Apr","May","Jun","Jul","Aug","Sep","Oct","Nov","Dec")&amp;" "&amp;YEAR(DATE(YEAR(TODAY()),MONTH(TODAY())-3,1))</f>
        <v/>
      </c>
      <c r="C27" s="12">
        <f>SUMIFS(Payments!$D$6:$D$805,Payments!$I$6:$I$805,"In",Payments!$J$6:$J$805,P27)</f>
        <v/>
      </c>
      <c r="D27" s="12">
        <f>SUMIFS(Payments!$D$6:$D$805,Payments!$I$6:$I$805,"Out",Payments!$J$6:$J$805,P27)</f>
        <v/>
      </c>
      <c r="E27" s="13" t="n"/>
      <c r="F27" s="13" t="n"/>
      <c r="G27" s="13" t="n"/>
      <c r="H27" s="13" t="n"/>
      <c r="I27" s="13" t="n"/>
      <c r="J27" s="13" t="n"/>
      <c r="K27" s="1" t="n"/>
      <c r="L27" s="1" t="n"/>
      <c r="P27">
        <f>YEAR(DATE(YEAR(TODAY()),MONTH(TODAY())-3,1))*100+MONTH(DATE(YEAR(TODAY()),MONTH(TODAY())-3,1))</f>
        <v/>
      </c>
    </row>
    <row r="28" ht="18" customHeight="1">
      <c r="A28" s="1" t="n"/>
      <c r="B28" s="9">
        <f>CHOOSE(MONTH(DATE(YEAR(TODAY()),MONTH(TODAY())-2,1)),"Jan","Feb","Mar","Apr","May","Jun","Jul","Aug","Sep","Oct","Nov","Dec")&amp;" "&amp;YEAR(DATE(YEAR(TODAY()),MONTH(TODAY())-2,1))</f>
        <v/>
      </c>
      <c r="C28" s="12">
        <f>SUMIFS(Payments!$D$6:$D$805,Payments!$I$6:$I$805,"In",Payments!$J$6:$J$805,P28)</f>
        <v/>
      </c>
      <c r="D28" s="12">
        <f>SUMIFS(Payments!$D$6:$D$805,Payments!$I$6:$I$805,"Out",Payments!$J$6:$J$805,P28)</f>
        <v/>
      </c>
      <c r="E28" s="13" t="n"/>
      <c r="F28" s="13" t="n"/>
      <c r="G28" s="13" t="n"/>
      <c r="H28" s="13" t="n"/>
      <c r="I28" s="13" t="n"/>
      <c r="J28" s="13" t="n"/>
      <c r="K28" s="1" t="n"/>
      <c r="L28" s="1" t="n"/>
      <c r="P28">
        <f>YEAR(DATE(YEAR(TODAY()),MONTH(TODAY())-2,1))*100+MONTH(DATE(YEAR(TODAY()),MONTH(TODAY())-2,1))</f>
        <v/>
      </c>
    </row>
    <row r="29" ht="18" customHeight="1">
      <c r="A29" s="1" t="n"/>
      <c r="B29" s="9">
        <f>CHOOSE(MONTH(DATE(YEAR(TODAY()),MONTH(TODAY())-1,1)),"Jan","Feb","Mar","Apr","May","Jun","Jul","Aug","Sep","Oct","Nov","Dec")&amp;" "&amp;YEAR(DATE(YEAR(TODAY()),MONTH(TODAY())-1,1))</f>
        <v/>
      </c>
      <c r="C29" s="12">
        <f>SUMIFS(Payments!$D$6:$D$805,Payments!$I$6:$I$805,"In",Payments!$J$6:$J$805,P29)</f>
        <v/>
      </c>
      <c r="D29" s="12">
        <f>SUMIFS(Payments!$D$6:$D$805,Payments!$I$6:$I$805,"Out",Payments!$J$6:$J$805,P29)</f>
        <v/>
      </c>
      <c r="E29" s="13" t="n"/>
      <c r="F29" s="13" t="n"/>
      <c r="G29" s="13" t="n"/>
      <c r="H29" s="13" t="n"/>
      <c r="I29" s="13" t="n"/>
      <c r="J29" s="13" t="n"/>
      <c r="K29" s="1" t="n"/>
      <c r="L29" s="1" t="n"/>
      <c r="P29">
        <f>YEAR(DATE(YEAR(TODAY()),MONTH(TODAY())-1,1))*100+MONTH(DATE(YEAR(TODAY()),MONTH(TODAY())-1,1))</f>
        <v/>
      </c>
    </row>
    <row r="30" ht="18" customHeight="1">
      <c r="A30" s="1" t="n"/>
      <c r="B30" s="9">
        <f>CHOOSE(MONTH(DATE(YEAR(TODAY()),MONTH(TODAY())-0,1)),"Jan","Feb","Mar","Apr","May","Jun","Jul","Aug","Sep","Oct","Nov","Dec")&amp;" "&amp;YEAR(DATE(YEAR(TODAY()),MONTH(TODAY())-0,1))</f>
        <v/>
      </c>
      <c r="C30" s="12">
        <f>SUMIFS(Payments!$D$6:$D$805,Payments!$I$6:$I$805,"In",Payments!$J$6:$J$805,P30)</f>
        <v/>
      </c>
      <c r="D30" s="12">
        <f>SUMIFS(Payments!$D$6:$D$805,Payments!$I$6:$I$805,"Out",Payments!$J$6:$J$805,P30)</f>
        <v/>
      </c>
      <c r="E30" s="13" t="n"/>
      <c r="F30" s="13" t="n"/>
      <c r="G30" s="13" t="n"/>
      <c r="H30" s="13" t="n"/>
      <c r="I30" s="13" t="n"/>
      <c r="J30" s="13" t="n"/>
      <c r="K30" s="1" t="n"/>
      <c r="L30" s="1" t="n"/>
      <c r="P30">
        <f>YEAR(DATE(YEAR(TODAY()),MONTH(TODAY())-0,1))*100+MONTH(DATE(YEAR(TODAY()),MONTH(TODAY())-0,1))</f>
        <v/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</sheetData>
  <conditionalFormatting sqref="B8:E15">
    <cfRule type="expression" priority="1" dxfId="0">
      <formula>$N8="Overdue"</formula>
    </cfRule>
    <cfRule type="expression" priority="2" dxfId="1">
      <formula>$N8="Due soon"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30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14" customWidth="1" min="3" max="3"/>
    <col width="12" customWidth="1" min="4" max="4"/>
    <col width="12" customWidth="1" min="5" max="5"/>
    <col width="10" customWidth="1" min="6" max="6"/>
    <col width="9" customWidth="1" min="7" max="7"/>
    <col width="9" customWidth="1" min="8" max="8"/>
    <col width="10" customWidth="1" min="9" max="9"/>
    <col width="12" customWidth="1" min="10" max="10"/>
    <col width="22" customWidth="1" min="11" max="11"/>
    <col width="11" customWidth="1" min="12" max="12"/>
    <col width="10" customWidth="1" min="13" max="13"/>
    <col width="11" customWidth="1" min="14" max="14"/>
    <col width="11" customWidth="1" min="15" max="15"/>
    <col width="12" customWidth="1" min="16" max="16"/>
    <col width="11" customWidth="1" min="17" max="17"/>
    <col width="12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32" customHeight="1">
      <c r="A2" s="1" t="n"/>
      <c r="B2" s="2" t="inlineStr">
        <is>
          <t>Loans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s="1" t="n"/>
      <c r="B3" s="3" t="inlineStr">
        <is>
          <t>Each loan once. A plan is optional: how many payments and how often. Interest is simple, on the amount of the loan.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 ht="30" customHeight="1">
      <c r="A5" s="1" t="n"/>
      <c r="B5" s="8" t="inlineStr">
        <is>
          <t>No.</t>
        </is>
      </c>
      <c r="C5" s="8" t="inlineStr">
        <is>
          <t>Person</t>
        </is>
      </c>
      <c r="D5" s="8" t="inlineStr">
        <is>
          <t>Who lent</t>
        </is>
      </c>
      <c r="E5" s="8" t="inlineStr">
        <is>
          <t>Date</t>
        </is>
      </c>
      <c r="F5" s="8" t="inlineStr">
        <is>
          <t>Amount</t>
        </is>
      </c>
      <c r="G5" s="8" t="inlineStr">
        <is>
          <t>Interest (% a year)</t>
        </is>
      </c>
      <c r="H5" s="8" t="inlineStr">
        <is>
          <t>Payments</t>
        </is>
      </c>
      <c r="I5" s="8" t="inlineStr">
        <is>
          <t>Every</t>
        </is>
      </c>
      <c r="J5" s="8" t="inlineStr">
        <is>
          <t>First payment</t>
        </is>
      </c>
      <c r="K5" s="8" t="inlineStr">
        <is>
          <t>Notes</t>
        </is>
      </c>
      <c r="L5" s="8" t="inlineStr">
        <is>
          <t>To repay</t>
        </is>
      </c>
      <c r="M5" s="8" t="inlineStr">
        <is>
          <t>Each payment</t>
        </is>
      </c>
      <c r="N5" s="8" t="inlineStr">
        <is>
          <t>Paid so far</t>
        </is>
      </c>
      <c r="O5" s="8" t="inlineStr">
        <is>
          <t>Still to pay</t>
        </is>
      </c>
      <c r="P5" s="8" t="inlineStr">
        <is>
          <t>Next due</t>
        </is>
      </c>
      <c r="Q5" s="8" t="inlineStr">
        <is>
          <t>Next amount</t>
        </is>
      </c>
      <c r="R5" s="8" t="inlineStr">
        <is>
          <t>Status</t>
        </is>
      </c>
      <c r="S5" s="1" t="n"/>
    </row>
    <row r="6">
      <c r="A6" s="1" t="n"/>
      <c r="B6" s="15" t="n">
        <v>1</v>
      </c>
      <c r="C6" s="16" t="inlineStr">
        <is>
          <t>Sam</t>
        </is>
      </c>
      <c r="D6" s="17" t="inlineStr">
        <is>
          <t>I lent</t>
        </is>
      </c>
      <c r="E6" s="18" t="n">
        <v>46103</v>
      </c>
      <c r="F6" s="19" t="n">
        <v>500</v>
      </c>
      <c r="G6" s="20" t="n"/>
      <c r="H6" s="21" t="n">
        <v>10</v>
      </c>
      <c r="I6" s="17" t="inlineStr">
        <is>
          <t>Month</t>
        </is>
      </c>
      <c r="J6" s="18" t="n">
        <v>46113</v>
      </c>
      <c r="K6" s="22" t="inlineStr">
        <is>
          <t>Car repair</t>
        </is>
      </c>
      <c r="L6" s="23">
        <f>IF(C6="","",ROUND(N(F6)*(1+N(G6)/100*IF(N(H6)&gt;0,N(H6)*IF(I6="Week",7/365,IF(I6="2 weeks",14/365,1/12)),IF(ISNUMBER(E6),MAX(0,TODAY()-E6)/365,0))),2))</f>
        <v/>
      </c>
      <c r="M6" s="23">
        <f>IF(OR(C6="",N(H6)&lt;=0),"",ROUND(L6/N(H6),2))</f>
        <v/>
      </c>
      <c r="N6" s="23">
        <f>IF(C6="","",SUMIFS(Payments!$D$6:$D$805,Payments!$G$6:$G$805,B6))</f>
        <v/>
      </c>
      <c r="O6" s="24">
        <f>IF(C6="","",ROUND(L6-N6,2))</f>
        <v/>
      </c>
      <c r="P6" s="11">
        <f>IF(OR(U6="",N(O6)&lt;=0),"",IF(I6="Week",J6+7*U6,IF(I6="2 weeks",J6+14*U6,EDATE(J6,U6))))</f>
        <v/>
      </c>
      <c r="Q6" s="23">
        <f>IF(P6="","",IF(U6=N(H6)-1,O6,ROUND(M6*(U6+1)-N6,2)))</f>
        <v/>
      </c>
      <c r="R6" s="25">
        <f>IF(C6="","",IF(O6&lt;=0,"Paid off",IF(OR(M6="",NOT(ISNUMBER(J6))),"Open",IF(W6&gt;0,"Overdue",IF(AND(ISNUMBER(P6),P6-TODAY()&lt;=Settings!$C$6),"Due soon","On track")))))</f>
        <v/>
      </c>
      <c r="S6" s="1">
        <f>IF(C6="","",B6&amp;" "&amp;C6)</f>
        <v/>
      </c>
      <c r="T6">
        <f>IF(OR(M6="",NOT(ISNUMBER(J6))),"",MIN(N(H6),IF(I6="Week",IF((TODAY()-1)&lt;J6,0,INT(((TODAY()-1)-J6)/7)+1),IF(I6="2 weeks",IF((TODAY()-1)&lt;J6,0,INT(((TODAY()-1)-J6)/14)+1),IF(((YEAR((TODAY()-1))-YEAR(J6))*12+MONTH((TODAY()-1))-MONTH(J6))&lt;0,0,IF(EDATE(J6,((YEAR((TODAY()-1))-YEAR(J6))*12+MONTH((TODAY()-1))-MONTH(J6)))&lt;=(TODAY()-1),((YEAR((TODAY()-1))-YEAR(J6))*12+MONTH((TODAY()-1))-MONTH(J6))+1,((YEAR((TODAY()-1))-YEAR(J6))*12+MONTH((TODAY()-1))-MONTH(J6))))))))</f>
        <v/>
      </c>
      <c r="U6">
        <f>IF(OR(M6="",NOT(ISNUMBER(J6))),"",IF(N(M6)&lt;=0,"",MIN(N(H6)-1,INT(ROUND(N6/M6,6)))))</f>
        <v/>
      </c>
      <c r="V6">
        <f>IF(T6="","",IF(T6&gt;=N(H6),L6,M6*T6))</f>
        <v/>
      </c>
      <c r="W6">
        <f>IF(V6="",0,MAX(0,ROUND(V6-N6,2)))</f>
        <v/>
      </c>
      <c r="X6">
        <f>IF(OR(R6="",R6="Paid off",NOT(ISNUMBER(P6))),"",P6*1000+ROW())</f>
        <v/>
      </c>
      <c r="Y6">
        <f>IF(C6="","",IF(AND(COUNTIF(C$6:C6,C6)=1,SUMIFS(Loans!$O$6:$O$305,Loans!$C$6:$C$305,C6,Loans!$O$6:$O$305,"&gt;0")&gt;0),ROW(),""))</f>
        <v/>
      </c>
      <c r="Z6">
        <f>IF(OR(C6="",P6=""),"",IF(D6="I borrowed","From you","To you"))</f>
        <v/>
      </c>
    </row>
    <row r="7">
      <c r="A7" s="1" t="n"/>
      <c r="B7" s="15" t="n">
        <v>2</v>
      </c>
      <c r="C7" s="16" t="inlineStr">
        <is>
          <t>Priya</t>
        </is>
      </c>
      <c r="D7" s="17" t="inlineStr">
        <is>
          <t>I lent</t>
        </is>
      </c>
      <c r="E7" s="18" t="n">
        <v>46056</v>
      </c>
      <c r="F7" s="19" t="n">
        <v>1200</v>
      </c>
      <c r="G7" s="20" t="n">
        <v>3</v>
      </c>
      <c r="H7" s="21" t="n">
        <v>12</v>
      </c>
      <c r="I7" s="17" t="inlineStr">
        <is>
          <t>Month</t>
        </is>
      </c>
      <c r="J7" s="18" t="n">
        <v>46096</v>
      </c>
      <c r="K7" s="22" t="inlineStr">
        <is>
          <t>Deposit for the flat</t>
        </is>
      </c>
      <c r="L7" s="23">
        <f>IF(C7="","",ROUND(N(F7)*(1+N(G7)/100*IF(N(H7)&gt;0,N(H7)*IF(I7="Week",7/365,IF(I7="2 weeks",14/365,1/12)),IF(ISNUMBER(E7),MAX(0,TODAY()-E7)/365,0))),2))</f>
        <v/>
      </c>
      <c r="M7" s="23">
        <f>IF(OR(C7="",N(H7)&lt;=0),"",ROUND(L7/N(H7),2))</f>
        <v/>
      </c>
      <c r="N7" s="23">
        <f>IF(C7="","",SUMIFS(Payments!$D$6:$D$805,Payments!$G$6:$G$805,B7))</f>
        <v/>
      </c>
      <c r="O7" s="24">
        <f>IF(C7="","",ROUND(L7-N7,2))</f>
        <v/>
      </c>
      <c r="P7" s="11">
        <f>IF(OR(U7="",N(O7)&lt;=0),"",IF(I7="Week",J7+7*U7,IF(I7="2 weeks",J7+14*U7,EDATE(J7,U7))))</f>
        <v/>
      </c>
      <c r="Q7" s="23">
        <f>IF(P7="","",IF(U7=N(H7)-1,O7,ROUND(M7*(U7+1)-N7,2)))</f>
        <v/>
      </c>
      <c r="R7" s="25">
        <f>IF(C7="","",IF(O7&lt;=0,"Paid off",IF(OR(M7="",NOT(ISNUMBER(J7))),"Open",IF(W7&gt;0,"Overdue",IF(AND(ISNUMBER(P7),P7-TODAY()&lt;=Settings!$C$6),"Due soon","On track")))))</f>
        <v/>
      </c>
      <c r="S7" s="1">
        <f>IF(C7="","",B7&amp;" "&amp;C7)</f>
        <v/>
      </c>
      <c r="T7">
        <f>IF(OR(M7="",NOT(ISNUMBER(J7))),"",MIN(N(H7),IF(I7="Week",IF((TODAY()-1)&lt;J7,0,INT(((TODAY()-1)-J7)/7)+1),IF(I7="2 weeks",IF((TODAY()-1)&lt;J7,0,INT(((TODAY()-1)-J7)/14)+1),IF(((YEAR((TODAY()-1))-YEAR(J7))*12+MONTH((TODAY()-1))-MONTH(J7))&lt;0,0,IF(EDATE(J7,((YEAR((TODAY()-1))-YEAR(J7))*12+MONTH((TODAY()-1))-MONTH(J7)))&lt;=(TODAY()-1),((YEAR((TODAY()-1))-YEAR(J7))*12+MONTH((TODAY()-1))-MONTH(J7))+1,((YEAR((TODAY()-1))-YEAR(J7))*12+MONTH((TODAY()-1))-MONTH(J7))))))))</f>
        <v/>
      </c>
      <c r="U7">
        <f>IF(OR(M7="",NOT(ISNUMBER(J7))),"",IF(N(M7)&lt;=0,"",MIN(N(H7)-1,INT(ROUND(N7/M7,6)))))</f>
        <v/>
      </c>
      <c r="V7">
        <f>IF(T7="","",IF(T7&gt;=N(H7),L7,M7*T7))</f>
        <v/>
      </c>
      <c r="W7">
        <f>IF(V7="",0,MAX(0,ROUND(V7-N7,2)))</f>
        <v/>
      </c>
      <c r="X7">
        <f>IF(OR(R7="",R7="Paid off",NOT(ISNUMBER(P7))),"",P7*1000+ROW())</f>
        <v/>
      </c>
      <c r="Y7">
        <f>IF(C7="","",IF(AND(COUNTIF(C$6:C7,C7)=1,SUMIFS(Loans!$O$6:$O$305,Loans!$C$6:$C$305,C7,Loans!$O$6:$O$305,"&gt;0")&gt;0),ROW(),""))</f>
        <v/>
      </c>
      <c r="Z7">
        <f>IF(OR(C7="",P7=""),"",IF(D7="I borrowed","From you","To you"))</f>
        <v/>
      </c>
    </row>
    <row r="8">
      <c r="A8" s="1" t="n"/>
      <c r="B8" s="15" t="n">
        <v>3</v>
      </c>
      <c r="C8" s="16" t="inlineStr">
        <is>
          <t>Jonah</t>
        </is>
      </c>
      <c r="D8" s="17" t="inlineStr">
        <is>
          <t>I lent</t>
        </is>
      </c>
      <c r="E8" s="18" t="n">
        <v>46253</v>
      </c>
      <c r="F8" s="19" t="n">
        <v>80</v>
      </c>
      <c r="G8" s="20" t="n"/>
      <c r="H8" s="21" t="n"/>
      <c r="I8" s="17" t="n"/>
      <c r="J8" s="18" t="n"/>
      <c r="K8" s="22" t="inlineStr">
        <is>
          <t>Festival ticket</t>
        </is>
      </c>
      <c r="L8" s="23">
        <f>IF(C8="","",ROUND(N(F8)*(1+N(G8)/100*IF(N(H8)&gt;0,N(H8)*IF(I8="Week",7/365,IF(I8="2 weeks",14/365,1/12)),IF(ISNUMBER(E8),MAX(0,TODAY()-E8)/365,0))),2))</f>
        <v/>
      </c>
      <c r="M8" s="23">
        <f>IF(OR(C8="",N(H8)&lt;=0),"",ROUND(L8/N(H8),2))</f>
        <v/>
      </c>
      <c r="N8" s="23">
        <f>IF(C8="","",SUMIFS(Payments!$D$6:$D$805,Payments!$G$6:$G$805,B8))</f>
        <v/>
      </c>
      <c r="O8" s="24">
        <f>IF(C8="","",ROUND(L8-N8,2))</f>
        <v/>
      </c>
      <c r="P8" s="11">
        <f>IF(OR(U8="",N(O8)&lt;=0),"",IF(I8="Week",J8+7*U8,IF(I8="2 weeks",J8+14*U8,EDATE(J8,U8))))</f>
        <v/>
      </c>
      <c r="Q8" s="23">
        <f>IF(P8="","",IF(U8=N(H8)-1,O8,ROUND(M8*(U8+1)-N8,2)))</f>
        <v/>
      </c>
      <c r="R8" s="25">
        <f>IF(C8="","",IF(O8&lt;=0,"Paid off",IF(OR(M8="",NOT(ISNUMBER(J8))),"Open",IF(W8&gt;0,"Overdue",IF(AND(ISNUMBER(P8),P8-TODAY()&lt;=Settings!$C$6),"Due soon","On track")))))</f>
        <v/>
      </c>
      <c r="S8" s="1">
        <f>IF(C8="","",B8&amp;" "&amp;C8)</f>
        <v/>
      </c>
      <c r="T8">
        <f>IF(OR(M8="",NOT(ISNUMBER(J8))),"",MIN(N(H8),IF(I8="Week",IF((TODAY()-1)&lt;J8,0,INT(((TODAY()-1)-J8)/7)+1),IF(I8="2 weeks",IF((TODAY()-1)&lt;J8,0,INT(((TODAY()-1)-J8)/14)+1),IF(((YEAR((TODAY()-1))-YEAR(J8))*12+MONTH((TODAY()-1))-MONTH(J8))&lt;0,0,IF(EDATE(J8,((YEAR((TODAY()-1))-YEAR(J8))*12+MONTH((TODAY()-1))-MONTH(J8)))&lt;=(TODAY()-1),((YEAR((TODAY()-1))-YEAR(J8))*12+MONTH((TODAY()-1))-MONTH(J8))+1,((YEAR((TODAY()-1))-YEAR(J8))*12+MONTH((TODAY()-1))-MONTH(J8))))))))</f>
        <v/>
      </c>
      <c r="U8">
        <f>IF(OR(M8="",NOT(ISNUMBER(J8))),"",IF(N(M8)&lt;=0,"",MIN(N(H8)-1,INT(ROUND(N8/M8,6)))))</f>
        <v/>
      </c>
      <c r="V8">
        <f>IF(T8="","",IF(T8&gt;=N(H8),L8,M8*T8))</f>
        <v/>
      </c>
      <c r="W8">
        <f>IF(V8="",0,MAX(0,ROUND(V8-N8,2)))</f>
        <v/>
      </c>
      <c r="X8">
        <f>IF(OR(R8="",R8="Paid off",NOT(ISNUMBER(P8))),"",P8*1000+ROW())</f>
        <v/>
      </c>
      <c r="Y8">
        <f>IF(C8="","",IF(AND(COUNTIF(C$6:C8,C8)=1,SUMIFS(Loans!$O$6:$O$305,Loans!$C$6:$C$305,C8,Loans!$O$6:$O$305,"&gt;0")&gt;0),ROW(),""))</f>
        <v/>
      </c>
      <c r="Z8">
        <f>IF(OR(C8="",P8=""),"",IF(D8="I borrowed","From you","To you"))</f>
        <v/>
      </c>
    </row>
    <row r="9">
      <c r="A9" s="1" t="n"/>
      <c r="B9" s="15" t="n">
        <v>4</v>
      </c>
      <c r="C9" s="16" t="inlineStr">
        <is>
          <t>Aunt Rosa</t>
        </is>
      </c>
      <c r="D9" s="17" t="inlineStr">
        <is>
          <t>I borrowed</t>
        </is>
      </c>
      <c r="E9" s="18" t="n">
        <v>45962</v>
      </c>
      <c r="F9" s="19" t="n">
        <v>2000</v>
      </c>
      <c r="G9" s="20" t="n"/>
      <c r="H9" s="21" t="n">
        <v>20</v>
      </c>
      <c r="I9" s="17" t="inlineStr">
        <is>
          <t>Month</t>
        </is>
      </c>
      <c r="J9" s="18" t="n">
        <v>45992</v>
      </c>
      <c r="K9" s="22" t="inlineStr">
        <is>
          <t>Laptop for college</t>
        </is>
      </c>
      <c r="L9" s="23">
        <f>IF(C9="","",ROUND(N(F9)*(1+N(G9)/100*IF(N(H9)&gt;0,N(H9)*IF(I9="Week",7/365,IF(I9="2 weeks",14/365,1/12)),IF(ISNUMBER(E9),MAX(0,TODAY()-E9)/365,0))),2))</f>
        <v/>
      </c>
      <c r="M9" s="23">
        <f>IF(OR(C9="",N(H9)&lt;=0),"",ROUND(L9/N(H9),2))</f>
        <v/>
      </c>
      <c r="N9" s="23">
        <f>IF(C9="","",SUMIFS(Payments!$D$6:$D$805,Payments!$G$6:$G$805,B9))</f>
        <v/>
      </c>
      <c r="O9" s="24">
        <f>IF(C9="","",ROUND(L9-N9,2))</f>
        <v/>
      </c>
      <c r="P9" s="11">
        <f>IF(OR(U9="",N(O9)&lt;=0),"",IF(I9="Week",J9+7*U9,IF(I9="2 weeks",J9+14*U9,EDATE(J9,U9))))</f>
        <v/>
      </c>
      <c r="Q9" s="23">
        <f>IF(P9="","",IF(U9=N(H9)-1,O9,ROUND(M9*(U9+1)-N9,2)))</f>
        <v/>
      </c>
      <c r="R9" s="25">
        <f>IF(C9="","",IF(O9&lt;=0,"Paid off",IF(OR(M9="",NOT(ISNUMBER(J9))),"Open",IF(W9&gt;0,"Overdue",IF(AND(ISNUMBER(P9),P9-TODAY()&lt;=Settings!$C$6),"Due soon","On track")))))</f>
        <v/>
      </c>
      <c r="S9" s="1">
        <f>IF(C9="","",B9&amp;" "&amp;C9)</f>
        <v/>
      </c>
      <c r="T9">
        <f>IF(OR(M9="",NOT(ISNUMBER(J9))),"",MIN(N(H9),IF(I9="Week",IF((TODAY()-1)&lt;J9,0,INT(((TODAY()-1)-J9)/7)+1),IF(I9="2 weeks",IF((TODAY()-1)&lt;J9,0,INT(((TODAY()-1)-J9)/14)+1),IF(((YEAR((TODAY()-1))-YEAR(J9))*12+MONTH((TODAY()-1))-MONTH(J9))&lt;0,0,IF(EDATE(J9,((YEAR((TODAY()-1))-YEAR(J9))*12+MONTH((TODAY()-1))-MONTH(J9)))&lt;=(TODAY()-1),((YEAR((TODAY()-1))-YEAR(J9))*12+MONTH((TODAY()-1))-MONTH(J9))+1,((YEAR((TODAY()-1))-YEAR(J9))*12+MONTH((TODAY()-1))-MONTH(J9))))))))</f>
        <v/>
      </c>
      <c r="U9">
        <f>IF(OR(M9="",NOT(ISNUMBER(J9))),"",IF(N(M9)&lt;=0,"",MIN(N(H9)-1,INT(ROUND(N9/M9,6)))))</f>
        <v/>
      </c>
      <c r="V9">
        <f>IF(T9="","",IF(T9&gt;=N(H9),L9,M9*T9))</f>
        <v/>
      </c>
      <c r="W9">
        <f>IF(V9="",0,MAX(0,ROUND(V9-N9,2)))</f>
        <v/>
      </c>
      <c r="X9">
        <f>IF(OR(R9="",R9="Paid off",NOT(ISNUMBER(P9))),"",P9*1000+ROW())</f>
        <v/>
      </c>
      <c r="Y9">
        <f>IF(C9="","",IF(AND(COUNTIF(C$6:C9,C9)=1,SUMIFS(Loans!$O$6:$O$305,Loans!$C$6:$C$305,C9,Loans!$O$6:$O$305,"&gt;0")&gt;0),ROW(),""))</f>
        <v/>
      </c>
      <c r="Z9">
        <f>IF(OR(C9="",P9=""),"",IF(D9="I borrowed","From you","To you"))</f>
        <v/>
      </c>
    </row>
    <row r="10">
      <c r="A10" s="1" t="n"/>
      <c r="B10" s="15" t="n">
        <v>5</v>
      </c>
      <c r="C10" s="16" t="inlineStr">
        <is>
          <t>Leo</t>
        </is>
      </c>
      <c r="D10" s="17" t="inlineStr">
        <is>
          <t>I lent</t>
        </is>
      </c>
      <c r="E10" s="18" t="n">
        <v>46233</v>
      </c>
      <c r="F10" s="19" t="n">
        <v>150</v>
      </c>
      <c r="G10" s="20" t="n"/>
      <c r="H10" s="21" t="n">
        <v>3</v>
      </c>
      <c r="I10" s="17" t="inlineStr">
        <is>
          <t>2 weeks</t>
        </is>
      </c>
      <c r="J10" s="18" t="n">
        <v>46247</v>
      </c>
      <c r="K10" s="22" t="n"/>
      <c r="L10" s="23">
        <f>IF(C10="","",ROUND(N(F10)*(1+N(G10)/100*IF(N(H10)&gt;0,N(H10)*IF(I10="Week",7/365,IF(I10="2 weeks",14/365,1/12)),IF(ISNUMBER(E10),MAX(0,TODAY()-E10)/365,0))),2))</f>
        <v/>
      </c>
      <c r="M10" s="23">
        <f>IF(OR(C10="",N(H10)&lt;=0),"",ROUND(L10/N(H10),2))</f>
        <v/>
      </c>
      <c r="N10" s="23">
        <f>IF(C10="","",SUMIFS(Payments!$D$6:$D$805,Payments!$G$6:$G$805,B10))</f>
        <v/>
      </c>
      <c r="O10" s="24">
        <f>IF(C10="","",ROUND(L10-N10,2))</f>
        <v/>
      </c>
      <c r="P10" s="11">
        <f>IF(OR(U10="",N(O10)&lt;=0),"",IF(I10="Week",J10+7*U10,IF(I10="2 weeks",J10+14*U10,EDATE(J10,U10))))</f>
        <v/>
      </c>
      <c r="Q10" s="23">
        <f>IF(P10="","",IF(U10=N(H10)-1,O10,ROUND(M10*(U10+1)-N10,2)))</f>
        <v/>
      </c>
      <c r="R10" s="25">
        <f>IF(C10="","",IF(O10&lt;=0,"Paid off",IF(OR(M10="",NOT(ISNUMBER(J10))),"Open",IF(W10&gt;0,"Overdue",IF(AND(ISNUMBER(P10),P10-TODAY()&lt;=Settings!$C$6),"Due soon","On track")))))</f>
        <v/>
      </c>
      <c r="S10" s="1">
        <f>IF(C10="","",B10&amp;" "&amp;C10)</f>
        <v/>
      </c>
      <c r="T10">
        <f>IF(OR(M10="",NOT(ISNUMBER(J10))),"",MIN(N(H10),IF(I10="Week",IF((TODAY()-1)&lt;J10,0,INT(((TODAY()-1)-J10)/7)+1),IF(I10="2 weeks",IF((TODAY()-1)&lt;J10,0,INT(((TODAY()-1)-J10)/14)+1),IF(((YEAR((TODAY()-1))-YEAR(J10))*12+MONTH((TODAY()-1))-MONTH(J10))&lt;0,0,IF(EDATE(J10,((YEAR((TODAY()-1))-YEAR(J10))*12+MONTH((TODAY()-1))-MONTH(J10)))&lt;=(TODAY()-1),((YEAR((TODAY()-1))-YEAR(J10))*12+MONTH((TODAY()-1))-MONTH(J10))+1,((YEAR((TODAY()-1))-YEAR(J10))*12+MONTH((TODAY()-1))-MONTH(J10))))))))</f>
        <v/>
      </c>
      <c r="U10">
        <f>IF(OR(M10="",NOT(ISNUMBER(J10))),"",IF(N(M10)&lt;=0,"",MIN(N(H10)-1,INT(ROUND(N10/M10,6)))))</f>
        <v/>
      </c>
      <c r="V10">
        <f>IF(T10="","",IF(T10&gt;=N(H10),L10,M10*T10))</f>
        <v/>
      </c>
      <c r="W10">
        <f>IF(V10="",0,MAX(0,ROUND(V10-N10,2)))</f>
        <v/>
      </c>
      <c r="X10">
        <f>IF(OR(R10="",R10="Paid off",NOT(ISNUMBER(P10))),"",P10*1000+ROW())</f>
        <v/>
      </c>
      <c r="Y10">
        <f>IF(C10="","",IF(AND(COUNTIF(C$6:C10,C10)=1,SUMIFS(Loans!$O$6:$O$305,Loans!$C$6:$C$305,C10,Loans!$O$6:$O$305,"&gt;0")&gt;0),ROW(),""))</f>
        <v/>
      </c>
      <c r="Z10">
        <f>IF(OR(C10="",P10=""),"",IF(D10="I borrowed","From you","To you"))</f>
        <v/>
      </c>
    </row>
    <row r="11">
      <c r="A11" s="1" t="n"/>
      <c r="B11" s="15" t="n">
        <v>6</v>
      </c>
      <c r="C11" s="16" t="inlineStr">
        <is>
          <t>Mira</t>
        </is>
      </c>
      <c r="D11" s="17" t="inlineStr">
        <is>
          <t>I borrowed</t>
        </is>
      </c>
      <c r="E11" s="18" t="n">
        <v>46284</v>
      </c>
      <c r="F11" s="19" t="n">
        <v>60</v>
      </c>
      <c r="G11" s="20" t="n"/>
      <c r="H11" s="21" t="n"/>
      <c r="I11" s="17" t="n"/>
      <c r="J11" s="18" t="n"/>
      <c r="K11" s="22" t="inlineStr">
        <is>
          <t>Train tickets</t>
        </is>
      </c>
      <c r="L11" s="23">
        <f>IF(C11="","",ROUND(N(F11)*(1+N(G11)/100*IF(N(H11)&gt;0,N(H11)*IF(I11="Week",7/365,IF(I11="2 weeks",14/365,1/12)),IF(ISNUMBER(E11),MAX(0,TODAY()-E11)/365,0))),2))</f>
        <v/>
      </c>
      <c r="M11" s="23">
        <f>IF(OR(C11="",N(H11)&lt;=0),"",ROUND(L11/N(H11),2))</f>
        <v/>
      </c>
      <c r="N11" s="23">
        <f>IF(C11="","",SUMIFS(Payments!$D$6:$D$805,Payments!$G$6:$G$805,B11))</f>
        <v/>
      </c>
      <c r="O11" s="24">
        <f>IF(C11="","",ROUND(L11-N11,2))</f>
        <v/>
      </c>
      <c r="P11" s="11">
        <f>IF(OR(U11="",N(O11)&lt;=0),"",IF(I11="Week",J11+7*U11,IF(I11="2 weeks",J11+14*U11,EDATE(J11,U11))))</f>
        <v/>
      </c>
      <c r="Q11" s="23">
        <f>IF(P11="","",IF(U11=N(H11)-1,O11,ROUND(M11*(U11+1)-N11,2)))</f>
        <v/>
      </c>
      <c r="R11" s="25">
        <f>IF(C11="","",IF(O11&lt;=0,"Paid off",IF(OR(M11="",NOT(ISNUMBER(J11))),"Open",IF(W11&gt;0,"Overdue",IF(AND(ISNUMBER(P11),P11-TODAY()&lt;=Settings!$C$6),"Due soon","On track")))))</f>
        <v/>
      </c>
      <c r="S11" s="1">
        <f>IF(C11="","",B11&amp;" "&amp;C11)</f>
        <v/>
      </c>
      <c r="T11">
        <f>IF(OR(M11="",NOT(ISNUMBER(J11))),"",MIN(N(H11),IF(I11="Week",IF((TODAY()-1)&lt;J11,0,INT(((TODAY()-1)-J11)/7)+1),IF(I11="2 weeks",IF((TODAY()-1)&lt;J11,0,INT(((TODAY()-1)-J11)/14)+1),IF(((YEAR((TODAY()-1))-YEAR(J11))*12+MONTH((TODAY()-1))-MONTH(J11))&lt;0,0,IF(EDATE(J11,((YEAR((TODAY()-1))-YEAR(J11))*12+MONTH((TODAY()-1))-MONTH(J11)))&lt;=(TODAY()-1),((YEAR((TODAY()-1))-YEAR(J11))*12+MONTH((TODAY()-1))-MONTH(J11))+1,((YEAR((TODAY()-1))-YEAR(J11))*12+MONTH((TODAY()-1))-MONTH(J11))))))))</f>
        <v/>
      </c>
      <c r="U11">
        <f>IF(OR(M11="",NOT(ISNUMBER(J11))),"",IF(N(M11)&lt;=0,"",MIN(N(H11)-1,INT(ROUND(N11/M11,6)))))</f>
        <v/>
      </c>
      <c r="V11">
        <f>IF(T11="","",IF(T11&gt;=N(H11),L11,M11*T11))</f>
        <v/>
      </c>
      <c r="W11">
        <f>IF(V11="",0,MAX(0,ROUND(V11-N11,2)))</f>
        <v/>
      </c>
      <c r="X11">
        <f>IF(OR(R11="",R11="Paid off",NOT(ISNUMBER(P11))),"",P11*1000+ROW())</f>
        <v/>
      </c>
      <c r="Y11">
        <f>IF(C11="","",IF(AND(COUNTIF(C$6:C11,C11)=1,SUMIFS(Loans!$O$6:$O$305,Loans!$C$6:$C$305,C11,Loans!$O$6:$O$305,"&gt;0")&gt;0),ROW(),""))</f>
        <v/>
      </c>
      <c r="Z11">
        <f>IF(OR(C11="",P11=""),"",IF(D11="I borrowed","From you","To you"))</f>
        <v/>
      </c>
    </row>
    <row r="12">
      <c r="A12" s="1" t="n"/>
      <c r="B12" s="15" t="n">
        <v>7</v>
      </c>
      <c r="C12" s="16" t="inlineStr">
        <is>
          <t>Sam</t>
        </is>
      </c>
      <c r="D12" s="17" t="inlineStr">
        <is>
          <t>I lent</t>
        </is>
      </c>
      <c r="E12" s="18" t="n">
        <v>46218</v>
      </c>
      <c r="F12" s="19" t="n">
        <v>40</v>
      </c>
      <c r="G12" s="20" t="n"/>
      <c r="H12" s="21" t="n"/>
      <c r="I12" s="17" t="n"/>
      <c r="J12" s="18" t="n"/>
      <c r="K12" s="22" t="inlineStr">
        <is>
          <t>Concert</t>
        </is>
      </c>
      <c r="L12" s="23">
        <f>IF(C12="","",ROUND(N(F12)*(1+N(G12)/100*IF(N(H12)&gt;0,N(H12)*IF(I12="Week",7/365,IF(I12="2 weeks",14/365,1/12)),IF(ISNUMBER(E12),MAX(0,TODAY()-E12)/365,0))),2))</f>
        <v/>
      </c>
      <c r="M12" s="23">
        <f>IF(OR(C12="",N(H12)&lt;=0),"",ROUND(L12/N(H12),2))</f>
        <v/>
      </c>
      <c r="N12" s="23">
        <f>IF(C12="","",SUMIFS(Payments!$D$6:$D$805,Payments!$G$6:$G$805,B12))</f>
        <v/>
      </c>
      <c r="O12" s="24">
        <f>IF(C12="","",ROUND(L12-N12,2))</f>
        <v/>
      </c>
      <c r="P12" s="11">
        <f>IF(OR(U12="",N(O12)&lt;=0),"",IF(I12="Week",J12+7*U12,IF(I12="2 weeks",J12+14*U12,EDATE(J12,U12))))</f>
        <v/>
      </c>
      <c r="Q12" s="23">
        <f>IF(P12="","",IF(U12=N(H12)-1,O12,ROUND(M12*(U12+1)-N12,2)))</f>
        <v/>
      </c>
      <c r="R12" s="25">
        <f>IF(C12="","",IF(O12&lt;=0,"Paid off",IF(OR(M12="",NOT(ISNUMBER(J12))),"Open",IF(W12&gt;0,"Overdue",IF(AND(ISNUMBER(P12),P12-TODAY()&lt;=Settings!$C$6),"Due soon","On track")))))</f>
        <v/>
      </c>
      <c r="S12" s="1">
        <f>IF(C12="","",B12&amp;" "&amp;C12)</f>
        <v/>
      </c>
      <c r="T12">
        <f>IF(OR(M12="",NOT(ISNUMBER(J12))),"",MIN(N(H12),IF(I12="Week",IF((TODAY()-1)&lt;J12,0,INT(((TODAY()-1)-J12)/7)+1),IF(I12="2 weeks",IF((TODAY()-1)&lt;J12,0,INT(((TODAY()-1)-J12)/14)+1),IF(((YEAR((TODAY()-1))-YEAR(J12))*12+MONTH((TODAY()-1))-MONTH(J12))&lt;0,0,IF(EDATE(J12,((YEAR((TODAY()-1))-YEAR(J12))*12+MONTH((TODAY()-1))-MONTH(J12)))&lt;=(TODAY()-1),((YEAR((TODAY()-1))-YEAR(J12))*12+MONTH((TODAY()-1))-MONTH(J12))+1,((YEAR((TODAY()-1))-YEAR(J12))*12+MONTH((TODAY()-1))-MONTH(J12))))))))</f>
        <v/>
      </c>
      <c r="U12">
        <f>IF(OR(M12="",NOT(ISNUMBER(J12))),"",IF(N(M12)&lt;=0,"",MIN(N(H12)-1,INT(ROUND(N12/M12,6)))))</f>
        <v/>
      </c>
      <c r="V12">
        <f>IF(T12="","",IF(T12&gt;=N(H12),L12,M12*T12))</f>
        <v/>
      </c>
      <c r="W12">
        <f>IF(V12="",0,MAX(0,ROUND(V12-N12,2)))</f>
        <v/>
      </c>
      <c r="X12">
        <f>IF(OR(R12="",R12="Paid off",NOT(ISNUMBER(P12))),"",P12*1000+ROW())</f>
        <v/>
      </c>
      <c r="Y12">
        <f>IF(C12="","",IF(AND(COUNTIF(C$6:C12,C12)=1,SUMIFS(Loans!$O$6:$O$305,Loans!$C$6:$C$305,C12,Loans!$O$6:$O$305,"&gt;0")&gt;0),ROW(),""))</f>
        <v/>
      </c>
      <c r="Z12">
        <f>IF(OR(C12="",P12=""),"",IF(D12="I borrowed","From you","To you"))</f>
        <v/>
      </c>
    </row>
    <row r="13">
      <c r="A13" s="1" t="n"/>
      <c r="B13" s="15" t="n">
        <v>8</v>
      </c>
      <c r="C13" s="16" t="inlineStr">
        <is>
          <t>Dev</t>
        </is>
      </c>
      <c r="D13" s="17" t="inlineStr">
        <is>
          <t>I lent</t>
        </is>
      </c>
      <c r="E13" s="18" t="n">
        <v>46273</v>
      </c>
      <c r="F13" s="19" t="n">
        <v>240</v>
      </c>
      <c r="G13" s="20" t="n"/>
      <c r="H13" s="21" t="n">
        <v>8</v>
      </c>
      <c r="I13" s="17" t="inlineStr">
        <is>
          <t>Week</t>
        </is>
      </c>
      <c r="J13" s="18" t="n">
        <v>46280</v>
      </c>
      <c r="K13" s="22" t="inlineStr">
        <is>
          <t>Phone screen</t>
        </is>
      </c>
      <c r="L13" s="23">
        <f>IF(C13="","",ROUND(N(F13)*(1+N(G13)/100*IF(N(H13)&gt;0,N(H13)*IF(I13="Week",7/365,IF(I13="2 weeks",14/365,1/12)),IF(ISNUMBER(E13),MAX(0,TODAY()-E13)/365,0))),2))</f>
        <v/>
      </c>
      <c r="M13" s="23">
        <f>IF(OR(C13="",N(H13)&lt;=0),"",ROUND(L13/N(H13),2))</f>
        <v/>
      </c>
      <c r="N13" s="23">
        <f>IF(C13="","",SUMIFS(Payments!$D$6:$D$805,Payments!$G$6:$G$805,B13))</f>
        <v/>
      </c>
      <c r="O13" s="24">
        <f>IF(C13="","",ROUND(L13-N13,2))</f>
        <v/>
      </c>
      <c r="P13" s="11">
        <f>IF(OR(U13="",N(O13)&lt;=0),"",IF(I13="Week",J13+7*U13,IF(I13="2 weeks",J13+14*U13,EDATE(J13,U13))))</f>
        <v/>
      </c>
      <c r="Q13" s="23">
        <f>IF(P13="","",IF(U13=N(H13)-1,O13,ROUND(M13*(U13+1)-N13,2)))</f>
        <v/>
      </c>
      <c r="R13" s="25">
        <f>IF(C13="","",IF(O13&lt;=0,"Paid off",IF(OR(M13="",NOT(ISNUMBER(J13))),"Open",IF(W13&gt;0,"Overdue",IF(AND(ISNUMBER(P13),P13-TODAY()&lt;=Settings!$C$6),"Due soon","On track")))))</f>
        <v/>
      </c>
      <c r="S13" s="1">
        <f>IF(C13="","",B13&amp;" "&amp;C13)</f>
        <v/>
      </c>
      <c r="T13">
        <f>IF(OR(M13="",NOT(ISNUMBER(J13))),"",MIN(N(H13),IF(I13="Week",IF((TODAY()-1)&lt;J13,0,INT(((TODAY()-1)-J13)/7)+1),IF(I13="2 weeks",IF((TODAY()-1)&lt;J13,0,INT(((TODAY()-1)-J13)/14)+1),IF(((YEAR((TODAY()-1))-YEAR(J13))*12+MONTH((TODAY()-1))-MONTH(J13))&lt;0,0,IF(EDATE(J13,((YEAR((TODAY()-1))-YEAR(J13))*12+MONTH((TODAY()-1))-MONTH(J13)))&lt;=(TODAY()-1),((YEAR((TODAY()-1))-YEAR(J13))*12+MONTH((TODAY()-1))-MONTH(J13))+1,((YEAR((TODAY()-1))-YEAR(J13))*12+MONTH((TODAY()-1))-MONTH(J13))))))))</f>
        <v/>
      </c>
      <c r="U13">
        <f>IF(OR(M13="",NOT(ISNUMBER(J13))),"",IF(N(M13)&lt;=0,"",MIN(N(H13)-1,INT(ROUND(N13/M13,6)))))</f>
        <v/>
      </c>
      <c r="V13">
        <f>IF(T13="","",IF(T13&gt;=N(H13),L13,M13*T13))</f>
        <v/>
      </c>
      <c r="W13">
        <f>IF(V13="",0,MAX(0,ROUND(V13-N13,2)))</f>
        <v/>
      </c>
      <c r="X13">
        <f>IF(OR(R13="",R13="Paid off",NOT(ISNUMBER(P13))),"",P13*1000+ROW())</f>
        <v/>
      </c>
      <c r="Y13">
        <f>IF(C13="","",IF(AND(COUNTIF(C$6:C13,C13)=1,SUMIFS(Loans!$O$6:$O$305,Loans!$C$6:$C$305,C13,Loans!$O$6:$O$305,"&gt;0")&gt;0),ROW(),""))</f>
        <v/>
      </c>
      <c r="Z13">
        <f>IF(OR(C13="",P13=""),"",IF(D13="I borrowed","From you","To you"))</f>
        <v/>
      </c>
    </row>
    <row r="14">
      <c r="A14" s="1" t="n"/>
      <c r="B14" s="15" t="n">
        <v>9</v>
      </c>
      <c r="C14" s="16" t="n"/>
      <c r="D14" s="17" t="n"/>
      <c r="E14" s="18" t="n"/>
      <c r="F14" s="19" t="n"/>
      <c r="G14" s="20" t="n"/>
      <c r="H14" s="21" t="n"/>
      <c r="I14" s="17" t="n"/>
      <c r="J14" s="18" t="n"/>
      <c r="K14" s="22" t="n"/>
      <c r="L14" s="23">
        <f>IF(C14="","",ROUND(N(F14)*(1+N(G14)/100*IF(N(H14)&gt;0,N(H14)*IF(I14="Week",7/365,IF(I14="2 weeks",14/365,1/12)),IF(ISNUMBER(E14),MAX(0,TODAY()-E14)/365,0))),2))</f>
        <v/>
      </c>
      <c r="M14" s="23">
        <f>IF(OR(C14="",N(H14)&lt;=0),"",ROUND(L14/N(H14),2))</f>
        <v/>
      </c>
      <c r="N14" s="23">
        <f>IF(C14="","",SUMIFS(Payments!$D$6:$D$805,Payments!$G$6:$G$805,B14))</f>
        <v/>
      </c>
      <c r="O14" s="24">
        <f>IF(C14="","",ROUND(L14-N14,2))</f>
        <v/>
      </c>
      <c r="P14" s="11">
        <f>IF(OR(U14="",N(O14)&lt;=0),"",IF(I14="Week",J14+7*U14,IF(I14="2 weeks",J14+14*U14,EDATE(J14,U14))))</f>
        <v/>
      </c>
      <c r="Q14" s="23">
        <f>IF(P14="","",IF(U14=N(H14)-1,O14,ROUND(M14*(U14+1)-N14,2)))</f>
        <v/>
      </c>
      <c r="R14" s="25">
        <f>IF(C14="","",IF(O14&lt;=0,"Paid off",IF(OR(M14="",NOT(ISNUMBER(J14))),"Open",IF(W14&gt;0,"Overdue",IF(AND(ISNUMBER(P14),P14-TODAY()&lt;=Settings!$C$6),"Due soon","On track")))))</f>
        <v/>
      </c>
      <c r="S14" s="1">
        <f>IF(C14="","",B14&amp;" "&amp;C14)</f>
        <v/>
      </c>
      <c r="T14">
        <f>IF(OR(M14="",NOT(ISNUMBER(J14))),"",MIN(N(H14),IF(I14="Week",IF((TODAY()-1)&lt;J14,0,INT(((TODAY()-1)-J14)/7)+1),IF(I14="2 weeks",IF((TODAY()-1)&lt;J14,0,INT(((TODAY()-1)-J14)/14)+1),IF(((YEAR((TODAY()-1))-YEAR(J14))*12+MONTH((TODAY()-1))-MONTH(J14))&lt;0,0,IF(EDATE(J14,((YEAR((TODAY()-1))-YEAR(J14))*12+MONTH((TODAY()-1))-MONTH(J14)))&lt;=(TODAY()-1),((YEAR((TODAY()-1))-YEAR(J14))*12+MONTH((TODAY()-1))-MONTH(J14))+1,((YEAR((TODAY()-1))-YEAR(J14))*12+MONTH((TODAY()-1))-MONTH(J14))))))))</f>
        <v/>
      </c>
      <c r="U14">
        <f>IF(OR(M14="",NOT(ISNUMBER(J14))),"",IF(N(M14)&lt;=0,"",MIN(N(H14)-1,INT(ROUND(N14/M14,6)))))</f>
        <v/>
      </c>
      <c r="V14">
        <f>IF(T14="","",IF(T14&gt;=N(H14),L14,M14*T14))</f>
        <v/>
      </c>
      <c r="W14">
        <f>IF(V14="",0,MAX(0,ROUND(V14-N14,2)))</f>
        <v/>
      </c>
      <c r="X14">
        <f>IF(OR(R14="",R14="Paid off",NOT(ISNUMBER(P14))),"",P14*1000+ROW())</f>
        <v/>
      </c>
      <c r="Y14">
        <f>IF(C14="","",IF(AND(COUNTIF(C$6:C14,C14)=1,SUMIFS(Loans!$O$6:$O$305,Loans!$C$6:$C$305,C14,Loans!$O$6:$O$305,"&gt;0")&gt;0),ROW(),""))</f>
        <v/>
      </c>
      <c r="Z14">
        <f>IF(OR(C14="",P14=""),"",IF(D14="I borrowed","From you","To you"))</f>
        <v/>
      </c>
    </row>
    <row r="15">
      <c r="A15" s="1" t="n"/>
      <c r="B15" s="15" t="n">
        <v>10</v>
      </c>
      <c r="C15" s="16" t="n"/>
      <c r="D15" s="17" t="n"/>
      <c r="E15" s="18" t="n"/>
      <c r="F15" s="19" t="n"/>
      <c r="G15" s="20" t="n"/>
      <c r="H15" s="21" t="n"/>
      <c r="I15" s="17" t="n"/>
      <c r="J15" s="18" t="n"/>
      <c r="K15" s="22" t="n"/>
      <c r="L15" s="23">
        <f>IF(C15="","",ROUND(N(F15)*(1+N(G15)/100*IF(N(H15)&gt;0,N(H15)*IF(I15="Week",7/365,IF(I15="2 weeks",14/365,1/12)),IF(ISNUMBER(E15),MAX(0,TODAY()-E15)/365,0))),2))</f>
        <v/>
      </c>
      <c r="M15" s="23">
        <f>IF(OR(C15="",N(H15)&lt;=0),"",ROUND(L15/N(H15),2))</f>
        <v/>
      </c>
      <c r="N15" s="23">
        <f>IF(C15="","",SUMIFS(Payments!$D$6:$D$805,Payments!$G$6:$G$805,B15))</f>
        <v/>
      </c>
      <c r="O15" s="24">
        <f>IF(C15="","",ROUND(L15-N15,2))</f>
        <v/>
      </c>
      <c r="P15" s="11">
        <f>IF(OR(U15="",N(O15)&lt;=0),"",IF(I15="Week",J15+7*U15,IF(I15="2 weeks",J15+14*U15,EDATE(J15,U15))))</f>
        <v/>
      </c>
      <c r="Q15" s="23">
        <f>IF(P15="","",IF(U15=N(H15)-1,O15,ROUND(M15*(U15+1)-N15,2)))</f>
        <v/>
      </c>
      <c r="R15" s="25">
        <f>IF(C15="","",IF(O15&lt;=0,"Paid off",IF(OR(M15="",NOT(ISNUMBER(J15))),"Open",IF(W15&gt;0,"Overdue",IF(AND(ISNUMBER(P15),P15-TODAY()&lt;=Settings!$C$6),"Due soon","On track")))))</f>
        <v/>
      </c>
      <c r="S15" s="1">
        <f>IF(C15="","",B15&amp;" "&amp;C15)</f>
        <v/>
      </c>
      <c r="T15">
        <f>IF(OR(M15="",NOT(ISNUMBER(J15))),"",MIN(N(H15),IF(I15="Week",IF((TODAY()-1)&lt;J15,0,INT(((TODAY()-1)-J15)/7)+1),IF(I15="2 weeks",IF((TODAY()-1)&lt;J15,0,INT(((TODAY()-1)-J15)/14)+1),IF(((YEAR((TODAY()-1))-YEAR(J15))*12+MONTH((TODAY()-1))-MONTH(J15))&lt;0,0,IF(EDATE(J15,((YEAR((TODAY()-1))-YEAR(J15))*12+MONTH((TODAY()-1))-MONTH(J15)))&lt;=(TODAY()-1),((YEAR((TODAY()-1))-YEAR(J15))*12+MONTH((TODAY()-1))-MONTH(J15))+1,((YEAR((TODAY()-1))-YEAR(J15))*12+MONTH((TODAY()-1))-MONTH(J15))))))))</f>
        <v/>
      </c>
      <c r="U15">
        <f>IF(OR(M15="",NOT(ISNUMBER(J15))),"",IF(N(M15)&lt;=0,"",MIN(N(H15)-1,INT(ROUND(N15/M15,6)))))</f>
        <v/>
      </c>
      <c r="V15">
        <f>IF(T15="","",IF(T15&gt;=N(H15),L15,M15*T15))</f>
        <v/>
      </c>
      <c r="W15">
        <f>IF(V15="",0,MAX(0,ROUND(V15-N15,2)))</f>
        <v/>
      </c>
      <c r="X15">
        <f>IF(OR(R15="",R15="Paid off",NOT(ISNUMBER(P15))),"",P15*1000+ROW())</f>
        <v/>
      </c>
      <c r="Y15">
        <f>IF(C15="","",IF(AND(COUNTIF(C$6:C15,C15)=1,SUMIFS(Loans!$O$6:$O$305,Loans!$C$6:$C$305,C15,Loans!$O$6:$O$305,"&gt;0")&gt;0),ROW(),""))</f>
        <v/>
      </c>
      <c r="Z15">
        <f>IF(OR(C15="",P15=""),"",IF(D15="I borrowed","From you","To you"))</f>
        <v/>
      </c>
    </row>
    <row r="16">
      <c r="A16" s="1" t="n"/>
      <c r="B16" s="15" t="n">
        <v>11</v>
      </c>
      <c r="C16" s="16" t="n"/>
      <c r="D16" s="17" t="n"/>
      <c r="E16" s="18" t="n"/>
      <c r="F16" s="19" t="n"/>
      <c r="G16" s="20" t="n"/>
      <c r="H16" s="21" t="n"/>
      <c r="I16" s="17" t="n"/>
      <c r="J16" s="18" t="n"/>
      <c r="K16" s="22" t="n"/>
      <c r="L16" s="23">
        <f>IF(C16="","",ROUND(N(F16)*(1+N(G16)/100*IF(N(H16)&gt;0,N(H16)*IF(I16="Week",7/365,IF(I16="2 weeks",14/365,1/12)),IF(ISNUMBER(E16),MAX(0,TODAY()-E16)/365,0))),2))</f>
        <v/>
      </c>
      <c r="M16" s="23">
        <f>IF(OR(C16="",N(H16)&lt;=0),"",ROUND(L16/N(H16),2))</f>
        <v/>
      </c>
      <c r="N16" s="23">
        <f>IF(C16="","",SUMIFS(Payments!$D$6:$D$805,Payments!$G$6:$G$805,B16))</f>
        <v/>
      </c>
      <c r="O16" s="24">
        <f>IF(C16="","",ROUND(L16-N16,2))</f>
        <v/>
      </c>
      <c r="P16" s="11">
        <f>IF(OR(U16="",N(O16)&lt;=0),"",IF(I16="Week",J16+7*U16,IF(I16="2 weeks",J16+14*U16,EDATE(J16,U16))))</f>
        <v/>
      </c>
      <c r="Q16" s="23">
        <f>IF(P16="","",IF(U16=N(H16)-1,O16,ROUND(M16*(U16+1)-N16,2)))</f>
        <v/>
      </c>
      <c r="R16" s="25">
        <f>IF(C16="","",IF(O16&lt;=0,"Paid off",IF(OR(M16="",NOT(ISNUMBER(J16))),"Open",IF(W16&gt;0,"Overdue",IF(AND(ISNUMBER(P16),P16-TODAY()&lt;=Settings!$C$6),"Due soon","On track")))))</f>
        <v/>
      </c>
      <c r="S16" s="1">
        <f>IF(C16="","",B16&amp;" "&amp;C16)</f>
        <v/>
      </c>
      <c r="T16">
        <f>IF(OR(M16="",NOT(ISNUMBER(J16))),"",MIN(N(H16),IF(I16="Week",IF((TODAY()-1)&lt;J16,0,INT(((TODAY()-1)-J16)/7)+1),IF(I16="2 weeks",IF((TODAY()-1)&lt;J16,0,INT(((TODAY()-1)-J16)/14)+1),IF(((YEAR((TODAY()-1))-YEAR(J16))*12+MONTH((TODAY()-1))-MONTH(J16))&lt;0,0,IF(EDATE(J16,((YEAR((TODAY()-1))-YEAR(J16))*12+MONTH((TODAY()-1))-MONTH(J16)))&lt;=(TODAY()-1),((YEAR((TODAY()-1))-YEAR(J16))*12+MONTH((TODAY()-1))-MONTH(J16))+1,((YEAR((TODAY()-1))-YEAR(J16))*12+MONTH((TODAY()-1))-MONTH(J16))))))))</f>
        <v/>
      </c>
      <c r="U16">
        <f>IF(OR(M16="",NOT(ISNUMBER(J16))),"",IF(N(M16)&lt;=0,"",MIN(N(H16)-1,INT(ROUND(N16/M16,6)))))</f>
        <v/>
      </c>
      <c r="V16">
        <f>IF(T16="","",IF(T16&gt;=N(H16),L16,M16*T16))</f>
        <v/>
      </c>
      <c r="W16">
        <f>IF(V16="",0,MAX(0,ROUND(V16-N16,2)))</f>
        <v/>
      </c>
      <c r="X16">
        <f>IF(OR(R16="",R16="Paid off",NOT(ISNUMBER(P16))),"",P16*1000+ROW())</f>
        <v/>
      </c>
      <c r="Y16">
        <f>IF(C16="","",IF(AND(COUNTIF(C$6:C16,C16)=1,SUMIFS(Loans!$O$6:$O$305,Loans!$C$6:$C$305,C16,Loans!$O$6:$O$305,"&gt;0")&gt;0),ROW(),""))</f>
        <v/>
      </c>
      <c r="Z16">
        <f>IF(OR(C16="",P16=""),"",IF(D16="I borrowed","From you","To you"))</f>
        <v/>
      </c>
    </row>
    <row r="17">
      <c r="A17" s="1" t="n"/>
      <c r="B17" s="15" t="n">
        <v>12</v>
      </c>
      <c r="C17" s="16" t="n"/>
      <c r="D17" s="17" t="n"/>
      <c r="E17" s="18" t="n"/>
      <c r="F17" s="19" t="n"/>
      <c r="G17" s="20" t="n"/>
      <c r="H17" s="21" t="n"/>
      <c r="I17" s="17" t="n"/>
      <c r="J17" s="18" t="n"/>
      <c r="K17" s="22" t="n"/>
      <c r="L17" s="23">
        <f>IF(C17="","",ROUND(N(F17)*(1+N(G17)/100*IF(N(H17)&gt;0,N(H17)*IF(I17="Week",7/365,IF(I17="2 weeks",14/365,1/12)),IF(ISNUMBER(E17),MAX(0,TODAY()-E17)/365,0))),2))</f>
        <v/>
      </c>
      <c r="M17" s="23">
        <f>IF(OR(C17="",N(H17)&lt;=0),"",ROUND(L17/N(H17),2))</f>
        <v/>
      </c>
      <c r="N17" s="23">
        <f>IF(C17="","",SUMIFS(Payments!$D$6:$D$805,Payments!$G$6:$G$805,B17))</f>
        <v/>
      </c>
      <c r="O17" s="24">
        <f>IF(C17="","",ROUND(L17-N17,2))</f>
        <v/>
      </c>
      <c r="P17" s="11">
        <f>IF(OR(U17="",N(O17)&lt;=0),"",IF(I17="Week",J17+7*U17,IF(I17="2 weeks",J17+14*U17,EDATE(J17,U17))))</f>
        <v/>
      </c>
      <c r="Q17" s="23">
        <f>IF(P17="","",IF(U17=N(H17)-1,O17,ROUND(M17*(U17+1)-N17,2)))</f>
        <v/>
      </c>
      <c r="R17" s="25">
        <f>IF(C17="","",IF(O17&lt;=0,"Paid off",IF(OR(M17="",NOT(ISNUMBER(J17))),"Open",IF(W17&gt;0,"Overdue",IF(AND(ISNUMBER(P17),P17-TODAY()&lt;=Settings!$C$6),"Due soon","On track")))))</f>
        <v/>
      </c>
      <c r="S17" s="1">
        <f>IF(C17="","",B17&amp;" "&amp;C17)</f>
        <v/>
      </c>
      <c r="T17">
        <f>IF(OR(M17="",NOT(ISNUMBER(J17))),"",MIN(N(H17),IF(I17="Week",IF((TODAY()-1)&lt;J17,0,INT(((TODAY()-1)-J17)/7)+1),IF(I17="2 weeks",IF((TODAY()-1)&lt;J17,0,INT(((TODAY()-1)-J17)/14)+1),IF(((YEAR((TODAY()-1))-YEAR(J17))*12+MONTH((TODAY()-1))-MONTH(J17))&lt;0,0,IF(EDATE(J17,((YEAR((TODAY()-1))-YEAR(J17))*12+MONTH((TODAY()-1))-MONTH(J17)))&lt;=(TODAY()-1),((YEAR((TODAY()-1))-YEAR(J17))*12+MONTH((TODAY()-1))-MONTH(J17))+1,((YEAR((TODAY()-1))-YEAR(J17))*12+MONTH((TODAY()-1))-MONTH(J17))))))))</f>
        <v/>
      </c>
      <c r="U17">
        <f>IF(OR(M17="",NOT(ISNUMBER(J17))),"",IF(N(M17)&lt;=0,"",MIN(N(H17)-1,INT(ROUND(N17/M17,6)))))</f>
        <v/>
      </c>
      <c r="V17">
        <f>IF(T17="","",IF(T17&gt;=N(H17),L17,M17*T17))</f>
        <v/>
      </c>
      <c r="W17">
        <f>IF(V17="",0,MAX(0,ROUND(V17-N17,2)))</f>
        <v/>
      </c>
      <c r="X17">
        <f>IF(OR(R17="",R17="Paid off",NOT(ISNUMBER(P17))),"",P17*1000+ROW())</f>
        <v/>
      </c>
      <c r="Y17">
        <f>IF(C17="","",IF(AND(COUNTIF(C$6:C17,C17)=1,SUMIFS(Loans!$O$6:$O$305,Loans!$C$6:$C$305,C17,Loans!$O$6:$O$305,"&gt;0")&gt;0),ROW(),""))</f>
        <v/>
      </c>
      <c r="Z17">
        <f>IF(OR(C17="",P17=""),"",IF(D17="I borrowed","From you","To you"))</f>
        <v/>
      </c>
    </row>
    <row r="18">
      <c r="A18" s="1" t="n"/>
      <c r="B18" s="15" t="n">
        <v>13</v>
      </c>
      <c r="C18" s="16" t="n"/>
      <c r="D18" s="17" t="n"/>
      <c r="E18" s="18" t="n"/>
      <c r="F18" s="19" t="n"/>
      <c r="G18" s="20" t="n"/>
      <c r="H18" s="21" t="n"/>
      <c r="I18" s="17" t="n"/>
      <c r="J18" s="18" t="n"/>
      <c r="K18" s="22" t="n"/>
      <c r="L18" s="23">
        <f>IF(C18="","",ROUND(N(F18)*(1+N(G18)/100*IF(N(H18)&gt;0,N(H18)*IF(I18="Week",7/365,IF(I18="2 weeks",14/365,1/12)),IF(ISNUMBER(E18),MAX(0,TODAY()-E18)/365,0))),2))</f>
        <v/>
      </c>
      <c r="M18" s="23">
        <f>IF(OR(C18="",N(H18)&lt;=0),"",ROUND(L18/N(H18),2))</f>
        <v/>
      </c>
      <c r="N18" s="23">
        <f>IF(C18="","",SUMIFS(Payments!$D$6:$D$805,Payments!$G$6:$G$805,B18))</f>
        <v/>
      </c>
      <c r="O18" s="24">
        <f>IF(C18="","",ROUND(L18-N18,2))</f>
        <v/>
      </c>
      <c r="P18" s="11">
        <f>IF(OR(U18="",N(O18)&lt;=0),"",IF(I18="Week",J18+7*U18,IF(I18="2 weeks",J18+14*U18,EDATE(J18,U18))))</f>
        <v/>
      </c>
      <c r="Q18" s="23">
        <f>IF(P18="","",IF(U18=N(H18)-1,O18,ROUND(M18*(U18+1)-N18,2)))</f>
        <v/>
      </c>
      <c r="R18" s="25">
        <f>IF(C18="","",IF(O18&lt;=0,"Paid off",IF(OR(M18="",NOT(ISNUMBER(J18))),"Open",IF(W18&gt;0,"Overdue",IF(AND(ISNUMBER(P18),P18-TODAY()&lt;=Settings!$C$6),"Due soon","On track")))))</f>
        <v/>
      </c>
      <c r="S18" s="1">
        <f>IF(C18="","",B18&amp;" "&amp;C18)</f>
        <v/>
      </c>
      <c r="T18">
        <f>IF(OR(M18="",NOT(ISNUMBER(J18))),"",MIN(N(H18),IF(I18="Week",IF((TODAY()-1)&lt;J18,0,INT(((TODAY()-1)-J18)/7)+1),IF(I18="2 weeks",IF((TODAY()-1)&lt;J18,0,INT(((TODAY()-1)-J18)/14)+1),IF(((YEAR((TODAY()-1))-YEAR(J18))*12+MONTH((TODAY()-1))-MONTH(J18))&lt;0,0,IF(EDATE(J18,((YEAR((TODAY()-1))-YEAR(J18))*12+MONTH((TODAY()-1))-MONTH(J18)))&lt;=(TODAY()-1),((YEAR((TODAY()-1))-YEAR(J18))*12+MONTH((TODAY()-1))-MONTH(J18))+1,((YEAR((TODAY()-1))-YEAR(J18))*12+MONTH((TODAY()-1))-MONTH(J18))))))))</f>
        <v/>
      </c>
      <c r="U18">
        <f>IF(OR(M18="",NOT(ISNUMBER(J18))),"",IF(N(M18)&lt;=0,"",MIN(N(H18)-1,INT(ROUND(N18/M18,6)))))</f>
        <v/>
      </c>
      <c r="V18">
        <f>IF(T18="","",IF(T18&gt;=N(H18),L18,M18*T18))</f>
        <v/>
      </c>
      <c r="W18">
        <f>IF(V18="",0,MAX(0,ROUND(V18-N18,2)))</f>
        <v/>
      </c>
      <c r="X18">
        <f>IF(OR(R18="",R18="Paid off",NOT(ISNUMBER(P18))),"",P18*1000+ROW())</f>
        <v/>
      </c>
      <c r="Y18">
        <f>IF(C18="","",IF(AND(COUNTIF(C$6:C18,C18)=1,SUMIFS(Loans!$O$6:$O$305,Loans!$C$6:$C$305,C18,Loans!$O$6:$O$305,"&gt;0")&gt;0),ROW(),""))</f>
        <v/>
      </c>
      <c r="Z18">
        <f>IF(OR(C18="",P18=""),"",IF(D18="I borrowed","From you","To you"))</f>
        <v/>
      </c>
    </row>
    <row r="19">
      <c r="A19" s="1" t="n"/>
      <c r="B19" s="15" t="n">
        <v>14</v>
      </c>
      <c r="C19" s="16" t="n"/>
      <c r="D19" s="17" t="n"/>
      <c r="E19" s="18" t="n"/>
      <c r="F19" s="19" t="n"/>
      <c r="G19" s="20" t="n"/>
      <c r="H19" s="21" t="n"/>
      <c r="I19" s="17" t="n"/>
      <c r="J19" s="18" t="n"/>
      <c r="K19" s="22" t="n"/>
      <c r="L19" s="23">
        <f>IF(C19="","",ROUND(N(F19)*(1+N(G19)/100*IF(N(H19)&gt;0,N(H19)*IF(I19="Week",7/365,IF(I19="2 weeks",14/365,1/12)),IF(ISNUMBER(E19),MAX(0,TODAY()-E19)/365,0))),2))</f>
        <v/>
      </c>
      <c r="M19" s="23">
        <f>IF(OR(C19="",N(H19)&lt;=0),"",ROUND(L19/N(H19),2))</f>
        <v/>
      </c>
      <c r="N19" s="23">
        <f>IF(C19="","",SUMIFS(Payments!$D$6:$D$805,Payments!$G$6:$G$805,B19))</f>
        <v/>
      </c>
      <c r="O19" s="24">
        <f>IF(C19="","",ROUND(L19-N19,2))</f>
        <v/>
      </c>
      <c r="P19" s="11">
        <f>IF(OR(U19="",N(O19)&lt;=0),"",IF(I19="Week",J19+7*U19,IF(I19="2 weeks",J19+14*U19,EDATE(J19,U19))))</f>
        <v/>
      </c>
      <c r="Q19" s="23">
        <f>IF(P19="","",IF(U19=N(H19)-1,O19,ROUND(M19*(U19+1)-N19,2)))</f>
        <v/>
      </c>
      <c r="R19" s="25">
        <f>IF(C19="","",IF(O19&lt;=0,"Paid off",IF(OR(M19="",NOT(ISNUMBER(J19))),"Open",IF(W19&gt;0,"Overdue",IF(AND(ISNUMBER(P19),P19-TODAY()&lt;=Settings!$C$6),"Due soon","On track")))))</f>
        <v/>
      </c>
      <c r="S19" s="1">
        <f>IF(C19="","",B19&amp;" "&amp;C19)</f>
        <v/>
      </c>
      <c r="T19">
        <f>IF(OR(M19="",NOT(ISNUMBER(J19))),"",MIN(N(H19),IF(I19="Week",IF((TODAY()-1)&lt;J19,0,INT(((TODAY()-1)-J19)/7)+1),IF(I19="2 weeks",IF((TODAY()-1)&lt;J19,0,INT(((TODAY()-1)-J19)/14)+1),IF(((YEAR((TODAY()-1))-YEAR(J19))*12+MONTH((TODAY()-1))-MONTH(J19))&lt;0,0,IF(EDATE(J19,((YEAR((TODAY()-1))-YEAR(J19))*12+MONTH((TODAY()-1))-MONTH(J19)))&lt;=(TODAY()-1),((YEAR((TODAY()-1))-YEAR(J19))*12+MONTH((TODAY()-1))-MONTH(J19))+1,((YEAR((TODAY()-1))-YEAR(J19))*12+MONTH((TODAY()-1))-MONTH(J19))))))))</f>
        <v/>
      </c>
      <c r="U19">
        <f>IF(OR(M19="",NOT(ISNUMBER(J19))),"",IF(N(M19)&lt;=0,"",MIN(N(H19)-1,INT(ROUND(N19/M19,6)))))</f>
        <v/>
      </c>
      <c r="V19">
        <f>IF(T19="","",IF(T19&gt;=N(H19),L19,M19*T19))</f>
        <v/>
      </c>
      <c r="W19">
        <f>IF(V19="",0,MAX(0,ROUND(V19-N19,2)))</f>
        <v/>
      </c>
      <c r="X19">
        <f>IF(OR(R19="",R19="Paid off",NOT(ISNUMBER(P19))),"",P19*1000+ROW())</f>
        <v/>
      </c>
      <c r="Y19">
        <f>IF(C19="","",IF(AND(COUNTIF(C$6:C19,C19)=1,SUMIFS(Loans!$O$6:$O$305,Loans!$C$6:$C$305,C19,Loans!$O$6:$O$305,"&gt;0")&gt;0),ROW(),""))</f>
        <v/>
      </c>
      <c r="Z19">
        <f>IF(OR(C19="",P19=""),"",IF(D19="I borrowed","From you","To you"))</f>
        <v/>
      </c>
    </row>
    <row r="20">
      <c r="A20" s="1" t="n"/>
      <c r="B20" s="15" t="n">
        <v>15</v>
      </c>
      <c r="C20" s="16" t="n"/>
      <c r="D20" s="17" t="n"/>
      <c r="E20" s="18" t="n"/>
      <c r="F20" s="19" t="n"/>
      <c r="G20" s="20" t="n"/>
      <c r="H20" s="21" t="n"/>
      <c r="I20" s="17" t="n"/>
      <c r="J20" s="18" t="n"/>
      <c r="K20" s="22" t="n"/>
      <c r="L20" s="23">
        <f>IF(C20="","",ROUND(N(F20)*(1+N(G20)/100*IF(N(H20)&gt;0,N(H20)*IF(I20="Week",7/365,IF(I20="2 weeks",14/365,1/12)),IF(ISNUMBER(E20),MAX(0,TODAY()-E20)/365,0))),2))</f>
        <v/>
      </c>
      <c r="M20" s="23">
        <f>IF(OR(C20="",N(H20)&lt;=0),"",ROUND(L20/N(H20),2))</f>
        <v/>
      </c>
      <c r="N20" s="23">
        <f>IF(C20="","",SUMIFS(Payments!$D$6:$D$805,Payments!$G$6:$G$805,B20))</f>
        <v/>
      </c>
      <c r="O20" s="24">
        <f>IF(C20="","",ROUND(L20-N20,2))</f>
        <v/>
      </c>
      <c r="P20" s="11">
        <f>IF(OR(U20="",N(O20)&lt;=0),"",IF(I20="Week",J20+7*U20,IF(I20="2 weeks",J20+14*U20,EDATE(J20,U20))))</f>
        <v/>
      </c>
      <c r="Q20" s="23">
        <f>IF(P20="","",IF(U20=N(H20)-1,O20,ROUND(M20*(U20+1)-N20,2)))</f>
        <v/>
      </c>
      <c r="R20" s="25">
        <f>IF(C20="","",IF(O20&lt;=0,"Paid off",IF(OR(M20="",NOT(ISNUMBER(J20))),"Open",IF(W20&gt;0,"Overdue",IF(AND(ISNUMBER(P20),P20-TODAY()&lt;=Settings!$C$6),"Due soon","On track")))))</f>
        <v/>
      </c>
      <c r="S20" s="1">
        <f>IF(C20="","",B20&amp;" "&amp;C20)</f>
        <v/>
      </c>
      <c r="T20">
        <f>IF(OR(M20="",NOT(ISNUMBER(J20))),"",MIN(N(H20),IF(I20="Week",IF((TODAY()-1)&lt;J20,0,INT(((TODAY()-1)-J20)/7)+1),IF(I20="2 weeks",IF((TODAY()-1)&lt;J20,0,INT(((TODAY()-1)-J20)/14)+1),IF(((YEAR((TODAY()-1))-YEAR(J20))*12+MONTH((TODAY()-1))-MONTH(J20))&lt;0,0,IF(EDATE(J20,((YEAR((TODAY()-1))-YEAR(J20))*12+MONTH((TODAY()-1))-MONTH(J20)))&lt;=(TODAY()-1),((YEAR((TODAY()-1))-YEAR(J20))*12+MONTH((TODAY()-1))-MONTH(J20))+1,((YEAR((TODAY()-1))-YEAR(J20))*12+MONTH((TODAY()-1))-MONTH(J20))))))))</f>
        <v/>
      </c>
      <c r="U20">
        <f>IF(OR(M20="",NOT(ISNUMBER(J20))),"",IF(N(M20)&lt;=0,"",MIN(N(H20)-1,INT(ROUND(N20/M20,6)))))</f>
        <v/>
      </c>
      <c r="V20">
        <f>IF(T20="","",IF(T20&gt;=N(H20),L20,M20*T20))</f>
        <v/>
      </c>
      <c r="W20">
        <f>IF(V20="",0,MAX(0,ROUND(V20-N20,2)))</f>
        <v/>
      </c>
      <c r="X20">
        <f>IF(OR(R20="",R20="Paid off",NOT(ISNUMBER(P20))),"",P20*1000+ROW())</f>
        <v/>
      </c>
      <c r="Y20">
        <f>IF(C20="","",IF(AND(COUNTIF(C$6:C20,C20)=1,SUMIFS(Loans!$O$6:$O$305,Loans!$C$6:$C$305,C20,Loans!$O$6:$O$305,"&gt;0")&gt;0),ROW(),""))</f>
        <v/>
      </c>
      <c r="Z20">
        <f>IF(OR(C20="",P20=""),"",IF(D20="I borrowed","From you","To you"))</f>
        <v/>
      </c>
    </row>
    <row r="21">
      <c r="A21" s="1" t="n"/>
      <c r="B21" s="15" t="n">
        <v>16</v>
      </c>
      <c r="C21" s="16" t="n"/>
      <c r="D21" s="17" t="n"/>
      <c r="E21" s="18" t="n"/>
      <c r="F21" s="19" t="n"/>
      <c r="G21" s="20" t="n"/>
      <c r="H21" s="21" t="n"/>
      <c r="I21" s="17" t="n"/>
      <c r="J21" s="18" t="n"/>
      <c r="K21" s="22" t="n"/>
      <c r="L21" s="23">
        <f>IF(C21="","",ROUND(N(F21)*(1+N(G21)/100*IF(N(H21)&gt;0,N(H21)*IF(I21="Week",7/365,IF(I21="2 weeks",14/365,1/12)),IF(ISNUMBER(E21),MAX(0,TODAY()-E21)/365,0))),2))</f>
        <v/>
      </c>
      <c r="M21" s="23">
        <f>IF(OR(C21="",N(H21)&lt;=0),"",ROUND(L21/N(H21),2))</f>
        <v/>
      </c>
      <c r="N21" s="23">
        <f>IF(C21="","",SUMIFS(Payments!$D$6:$D$805,Payments!$G$6:$G$805,B21))</f>
        <v/>
      </c>
      <c r="O21" s="24">
        <f>IF(C21="","",ROUND(L21-N21,2))</f>
        <v/>
      </c>
      <c r="P21" s="11">
        <f>IF(OR(U21="",N(O21)&lt;=0),"",IF(I21="Week",J21+7*U21,IF(I21="2 weeks",J21+14*U21,EDATE(J21,U21))))</f>
        <v/>
      </c>
      <c r="Q21" s="23">
        <f>IF(P21="","",IF(U21=N(H21)-1,O21,ROUND(M21*(U21+1)-N21,2)))</f>
        <v/>
      </c>
      <c r="R21" s="25">
        <f>IF(C21="","",IF(O21&lt;=0,"Paid off",IF(OR(M21="",NOT(ISNUMBER(J21))),"Open",IF(W21&gt;0,"Overdue",IF(AND(ISNUMBER(P21),P21-TODAY()&lt;=Settings!$C$6),"Due soon","On track")))))</f>
        <v/>
      </c>
      <c r="S21" s="1">
        <f>IF(C21="","",B21&amp;" "&amp;C21)</f>
        <v/>
      </c>
      <c r="T21">
        <f>IF(OR(M21="",NOT(ISNUMBER(J21))),"",MIN(N(H21),IF(I21="Week",IF((TODAY()-1)&lt;J21,0,INT(((TODAY()-1)-J21)/7)+1),IF(I21="2 weeks",IF((TODAY()-1)&lt;J21,0,INT(((TODAY()-1)-J21)/14)+1),IF(((YEAR((TODAY()-1))-YEAR(J21))*12+MONTH((TODAY()-1))-MONTH(J21))&lt;0,0,IF(EDATE(J21,((YEAR((TODAY()-1))-YEAR(J21))*12+MONTH((TODAY()-1))-MONTH(J21)))&lt;=(TODAY()-1),((YEAR((TODAY()-1))-YEAR(J21))*12+MONTH((TODAY()-1))-MONTH(J21))+1,((YEAR((TODAY()-1))-YEAR(J21))*12+MONTH((TODAY()-1))-MONTH(J21))))))))</f>
        <v/>
      </c>
      <c r="U21">
        <f>IF(OR(M21="",NOT(ISNUMBER(J21))),"",IF(N(M21)&lt;=0,"",MIN(N(H21)-1,INT(ROUND(N21/M21,6)))))</f>
        <v/>
      </c>
      <c r="V21">
        <f>IF(T21="","",IF(T21&gt;=N(H21),L21,M21*T21))</f>
        <v/>
      </c>
      <c r="W21">
        <f>IF(V21="",0,MAX(0,ROUND(V21-N21,2)))</f>
        <v/>
      </c>
      <c r="X21">
        <f>IF(OR(R21="",R21="Paid off",NOT(ISNUMBER(P21))),"",P21*1000+ROW())</f>
        <v/>
      </c>
      <c r="Y21">
        <f>IF(C21="","",IF(AND(COUNTIF(C$6:C21,C21)=1,SUMIFS(Loans!$O$6:$O$305,Loans!$C$6:$C$305,C21,Loans!$O$6:$O$305,"&gt;0")&gt;0),ROW(),""))</f>
        <v/>
      </c>
      <c r="Z21">
        <f>IF(OR(C21="",P21=""),"",IF(D21="I borrowed","From you","To you"))</f>
        <v/>
      </c>
    </row>
    <row r="22">
      <c r="A22" s="1" t="n"/>
      <c r="B22" s="15" t="n">
        <v>17</v>
      </c>
      <c r="C22" s="16" t="n"/>
      <c r="D22" s="17" t="n"/>
      <c r="E22" s="18" t="n"/>
      <c r="F22" s="19" t="n"/>
      <c r="G22" s="20" t="n"/>
      <c r="H22" s="21" t="n"/>
      <c r="I22" s="17" t="n"/>
      <c r="J22" s="18" t="n"/>
      <c r="K22" s="22" t="n"/>
      <c r="L22" s="23">
        <f>IF(C22="","",ROUND(N(F22)*(1+N(G22)/100*IF(N(H22)&gt;0,N(H22)*IF(I22="Week",7/365,IF(I22="2 weeks",14/365,1/12)),IF(ISNUMBER(E22),MAX(0,TODAY()-E22)/365,0))),2))</f>
        <v/>
      </c>
      <c r="M22" s="23">
        <f>IF(OR(C22="",N(H22)&lt;=0),"",ROUND(L22/N(H22),2))</f>
        <v/>
      </c>
      <c r="N22" s="23">
        <f>IF(C22="","",SUMIFS(Payments!$D$6:$D$805,Payments!$G$6:$G$805,B22))</f>
        <v/>
      </c>
      <c r="O22" s="24">
        <f>IF(C22="","",ROUND(L22-N22,2))</f>
        <v/>
      </c>
      <c r="P22" s="11">
        <f>IF(OR(U22="",N(O22)&lt;=0),"",IF(I22="Week",J22+7*U22,IF(I22="2 weeks",J22+14*U22,EDATE(J22,U22))))</f>
        <v/>
      </c>
      <c r="Q22" s="23">
        <f>IF(P22="","",IF(U22=N(H22)-1,O22,ROUND(M22*(U22+1)-N22,2)))</f>
        <v/>
      </c>
      <c r="R22" s="25">
        <f>IF(C22="","",IF(O22&lt;=0,"Paid off",IF(OR(M22="",NOT(ISNUMBER(J22))),"Open",IF(W22&gt;0,"Overdue",IF(AND(ISNUMBER(P22),P22-TODAY()&lt;=Settings!$C$6),"Due soon","On track")))))</f>
        <v/>
      </c>
      <c r="S22" s="1">
        <f>IF(C22="","",B22&amp;" "&amp;C22)</f>
        <v/>
      </c>
      <c r="T22">
        <f>IF(OR(M22="",NOT(ISNUMBER(J22))),"",MIN(N(H22),IF(I22="Week",IF((TODAY()-1)&lt;J22,0,INT(((TODAY()-1)-J22)/7)+1),IF(I22="2 weeks",IF((TODAY()-1)&lt;J22,0,INT(((TODAY()-1)-J22)/14)+1),IF(((YEAR((TODAY()-1))-YEAR(J22))*12+MONTH((TODAY()-1))-MONTH(J22))&lt;0,0,IF(EDATE(J22,((YEAR((TODAY()-1))-YEAR(J22))*12+MONTH((TODAY()-1))-MONTH(J22)))&lt;=(TODAY()-1),((YEAR((TODAY()-1))-YEAR(J22))*12+MONTH((TODAY()-1))-MONTH(J22))+1,((YEAR((TODAY()-1))-YEAR(J22))*12+MONTH((TODAY()-1))-MONTH(J22))))))))</f>
        <v/>
      </c>
      <c r="U22">
        <f>IF(OR(M22="",NOT(ISNUMBER(J22))),"",IF(N(M22)&lt;=0,"",MIN(N(H22)-1,INT(ROUND(N22/M22,6)))))</f>
        <v/>
      </c>
      <c r="V22">
        <f>IF(T22="","",IF(T22&gt;=N(H22),L22,M22*T22))</f>
        <v/>
      </c>
      <c r="W22">
        <f>IF(V22="",0,MAX(0,ROUND(V22-N22,2)))</f>
        <v/>
      </c>
      <c r="X22">
        <f>IF(OR(R22="",R22="Paid off",NOT(ISNUMBER(P22))),"",P22*1000+ROW())</f>
        <v/>
      </c>
      <c r="Y22">
        <f>IF(C22="","",IF(AND(COUNTIF(C$6:C22,C22)=1,SUMIFS(Loans!$O$6:$O$305,Loans!$C$6:$C$305,C22,Loans!$O$6:$O$305,"&gt;0")&gt;0),ROW(),""))</f>
        <v/>
      </c>
      <c r="Z22">
        <f>IF(OR(C22="",P22=""),"",IF(D22="I borrowed","From you","To you"))</f>
        <v/>
      </c>
    </row>
    <row r="23">
      <c r="A23" s="1" t="n"/>
      <c r="B23" s="15" t="n">
        <v>18</v>
      </c>
      <c r="C23" s="16" t="n"/>
      <c r="D23" s="17" t="n"/>
      <c r="E23" s="18" t="n"/>
      <c r="F23" s="19" t="n"/>
      <c r="G23" s="20" t="n"/>
      <c r="H23" s="21" t="n"/>
      <c r="I23" s="17" t="n"/>
      <c r="J23" s="18" t="n"/>
      <c r="K23" s="22" t="n"/>
      <c r="L23" s="23">
        <f>IF(C23="","",ROUND(N(F23)*(1+N(G23)/100*IF(N(H23)&gt;0,N(H23)*IF(I23="Week",7/365,IF(I23="2 weeks",14/365,1/12)),IF(ISNUMBER(E23),MAX(0,TODAY()-E23)/365,0))),2))</f>
        <v/>
      </c>
      <c r="M23" s="23">
        <f>IF(OR(C23="",N(H23)&lt;=0),"",ROUND(L23/N(H23),2))</f>
        <v/>
      </c>
      <c r="N23" s="23">
        <f>IF(C23="","",SUMIFS(Payments!$D$6:$D$805,Payments!$G$6:$G$805,B23))</f>
        <v/>
      </c>
      <c r="O23" s="24">
        <f>IF(C23="","",ROUND(L23-N23,2))</f>
        <v/>
      </c>
      <c r="P23" s="11">
        <f>IF(OR(U23="",N(O23)&lt;=0),"",IF(I23="Week",J23+7*U23,IF(I23="2 weeks",J23+14*U23,EDATE(J23,U23))))</f>
        <v/>
      </c>
      <c r="Q23" s="23">
        <f>IF(P23="","",IF(U23=N(H23)-1,O23,ROUND(M23*(U23+1)-N23,2)))</f>
        <v/>
      </c>
      <c r="R23" s="25">
        <f>IF(C23="","",IF(O23&lt;=0,"Paid off",IF(OR(M23="",NOT(ISNUMBER(J23))),"Open",IF(W23&gt;0,"Overdue",IF(AND(ISNUMBER(P23),P23-TODAY()&lt;=Settings!$C$6),"Due soon","On track")))))</f>
        <v/>
      </c>
      <c r="S23" s="1">
        <f>IF(C23="","",B23&amp;" "&amp;C23)</f>
        <v/>
      </c>
      <c r="T23">
        <f>IF(OR(M23="",NOT(ISNUMBER(J23))),"",MIN(N(H23),IF(I23="Week",IF((TODAY()-1)&lt;J23,0,INT(((TODAY()-1)-J23)/7)+1),IF(I23="2 weeks",IF((TODAY()-1)&lt;J23,0,INT(((TODAY()-1)-J23)/14)+1),IF(((YEAR((TODAY()-1))-YEAR(J23))*12+MONTH((TODAY()-1))-MONTH(J23))&lt;0,0,IF(EDATE(J23,((YEAR((TODAY()-1))-YEAR(J23))*12+MONTH((TODAY()-1))-MONTH(J23)))&lt;=(TODAY()-1),((YEAR((TODAY()-1))-YEAR(J23))*12+MONTH((TODAY()-1))-MONTH(J23))+1,((YEAR((TODAY()-1))-YEAR(J23))*12+MONTH((TODAY()-1))-MONTH(J23))))))))</f>
        <v/>
      </c>
      <c r="U23">
        <f>IF(OR(M23="",NOT(ISNUMBER(J23))),"",IF(N(M23)&lt;=0,"",MIN(N(H23)-1,INT(ROUND(N23/M23,6)))))</f>
        <v/>
      </c>
      <c r="V23">
        <f>IF(T23="","",IF(T23&gt;=N(H23),L23,M23*T23))</f>
        <v/>
      </c>
      <c r="W23">
        <f>IF(V23="",0,MAX(0,ROUND(V23-N23,2)))</f>
        <v/>
      </c>
      <c r="X23">
        <f>IF(OR(R23="",R23="Paid off",NOT(ISNUMBER(P23))),"",P23*1000+ROW())</f>
        <v/>
      </c>
      <c r="Y23">
        <f>IF(C23="","",IF(AND(COUNTIF(C$6:C23,C23)=1,SUMIFS(Loans!$O$6:$O$305,Loans!$C$6:$C$305,C23,Loans!$O$6:$O$305,"&gt;0")&gt;0),ROW(),""))</f>
        <v/>
      </c>
      <c r="Z23">
        <f>IF(OR(C23="",P23=""),"",IF(D23="I borrowed","From you","To you"))</f>
        <v/>
      </c>
    </row>
    <row r="24">
      <c r="A24" s="1" t="n"/>
      <c r="B24" s="15" t="n">
        <v>19</v>
      </c>
      <c r="C24" s="16" t="n"/>
      <c r="D24" s="17" t="n"/>
      <c r="E24" s="18" t="n"/>
      <c r="F24" s="19" t="n"/>
      <c r="G24" s="20" t="n"/>
      <c r="H24" s="21" t="n"/>
      <c r="I24" s="17" t="n"/>
      <c r="J24" s="18" t="n"/>
      <c r="K24" s="22" t="n"/>
      <c r="L24" s="23">
        <f>IF(C24="","",ROUND(N(F24)*(1+N(G24)/100*IF(N(H24)&gt;0,N(H24)*IF(I24="Week",7/365,IF(I24="2 weeks",14/365,1/12)),IF(ISNUMBER(E24),MAX(0,TODAY()-E24)/365,0))),2))</f>
        <v/>
      </c>
      <c r="M24" s="23">
        <f>IF(OR(C24="",N(H24)&lt;=0),"",ROUND(L24/N(H24),2))</f>
        <v/>
      </c>
      <c r="N24" s="23">
        <f>IF(C24="","",SUMIFS(Payments!$D$6:$D$805,Payments!$G$6:$G$805,B24))</f>
        <v/>
      </c>
      <c r="O24" s="24">
        <f>IF(C24="","",ROUND(L24-N24,2))</f>
        <v/>
      </c>
      <c r="P24" s="11">
        <f>IF(OR(U24="",N(O24)&lt;=0),"",IF(I24="Week",J24+7*U24,IF(I24="2 weeks",J24+14*U24,EDATE(J24,U24))))</f>
        <v/>
      </c>
      <c r="Q24" s="23">
        <f>IF(P24="","",IF(U24=N(H24)-1,O24,ROUND(M24*(U24+1)-N24,2)))</f>
        <v/>
      </c>
      <c r="R24" s="25">
        <f>IF(C24="","",IF(O24&lt;=0,"Paid off",IF(OR(M24="",NOT(ISNUMBER(J24))),"Open",IF(W24&gt;0,"Overdue",IF(AND(ISNUMBER(P24),P24-TODAY()&lt;=Settings!$C$6),"Due soon","On track")))))</f>
        <v/>
      </c>
      <c r="S24" s="1">
        <f>IF(C24="","",B24&amp;" "&amp;C24)</f>
        <v/>
      </c>
      <c r="T24">
        <f>IF(OR(M24="",NOT(ISNUMBER(J24))),"",MIN(N(H24),IF(I24="Week",IF((TODAY()-1)&lt;J24,0,INT(((TODAY()-1)-J24)/7)+1),IF(I24="2 weeks",IF((TODAY()-1)&lt;J24,0,INT(((TODAY()-1)-J24)/14)+1),IF(((YEAR((TODAY()-1))-YEAR(J24))*12+MONTH((TODAY()-1))-MONTH(J24))&lt;0,0,IF(EDATE(J24,((YEAR((TODAY()-1))-YEAR(J24))*12+MONTH((TODAY()-1))-MONTH(J24)))&lt;=(TODAY()-1),((YEAR((TODAY()-1))-YEAR(J24))*12+MONTH((TODAY()-1))-MONTH(J24))+1,((YEAR((TODAY()-1))-YEAR(J24))*12+MONTH((TODAY()-1))-MONTH(J24))))))))</f>
        <v/>
      </c>
      <c r="U24">
        <f>IF(OR(M24="",NOT(ISNUMBER(J24))),"",IF(N(M24)&lt;=0,"",MIN(N(H24)-1,INT(ROUND(N24/M24,6)))))</f>
        <v/>
      </c>
      <c r="V24">
        <f>IF(T24="","",IF(T24&gt;=N(H24),L24,M24*T24))</f>
        <v/>
      </c>
      <c r="W24">
        <f>IF(V24="",0,MAX(0,ROUND(V24-N24,2)))</f>
        <v/>
      </c>
      <c r="X24">
        <f>IF(OR(R24="",R24="Paid off",NOT(ISNUMBER(P24))),"",P24*1000+ROW())</f>
        <v/>
      </c>
      <c r="Y24">
        <f>IF(C24="","",IF(AND(COUNTIF(C$6:C24,C24)=1,SUMIFS(Loans!$O$6:$O$305,Loans!$C$6:$C$305,C24,Loans!$O$6:$O$305,"&gt;0")&gt;0),ROW(),""))</f>
        <v/>
      </c>
      <c r="Z24">
        <f>IF(OR(C24="",P24=""),"",IF(D24="I borrowed","From you","To you"))</f>
        <v/>
      </c>
    </row>
    <row r="25">
      <c r="A25" s="1" t="n"/>
      <c r="B25" s="15" t="n">
        <v>20</v>
      </c>
      <c r="C25" s="16" t="n"/>
      <c r="D25" s="17" t="n"/>
      <c r="E25" s="18" t="n"/>
      <c r="F25" s="19" t="n"/>
      <c r="G25" s="20" t="n"/>
      <c r="H25" s="21" t="n"/>
      <c r="I25" s="17" t="n"/>
      <c r="J25" s="18" t="n"/>
      <c r="K25" s="22" t="n"/>
      <c r="L25" s="23">
        <f>IF(C25="","",ROUND(N(F25)*(1+N(G25)/100*IF(N(H25)&gt;0,N(H25)*IF(I25="Week",7/365,IF(I25="2 weeks",14/365,1/12)),IF(ISNUMBER(E25),MAX(0,TODAY()-E25)/365,0))),2))</f>
        <v/>
      </c>
      <c r="M25" s="23">
        <f>IF(OR(C25="",N(H25)&lt;=0),"",ROUND(L25/N(H25),2))</f>
        <v/>
      </c>
      <c r="N25" s="23">
        <f>IF(C25="","",SUMIFS(Payments!$D$6:$D$805,Payments!$G$6:$G$805,B25))</f>
        <v/>
      </c>
      <c r="O25" s="24">
        <f>IF(C25="","",ROUND(L25-N25,2))</f>
        <v/>
      </c>
      <c r="P25" s="11">
        <f>IF(OR(U25="",N(O25)&lt;=0),"",IF(I25="Week",J25+7*U25,IF(I25="2 weeks",J25+14*U25,EDATE(J25,U25))))</f>
        <v/>
      </c>
      <c r="Q25" s="23">
        <f>IF(P25="","",IF(U25=N(H25)-1,O25,ROUND(M25*(U25+1)-N25,2)))</f>
        <v/>
      </c>
      <c r="R25" s="25">
        <f>IF(C25="","",IF(O25&lt;=0,"Paid off",IF(OR(M25="",NOT(ISNUMBER(J25))),"Open",IF(W25&gt;0,"Overdue",IF(AND(ISNUMBER(P25),P25-TODAY()&lt;=Settings!$C$6),"Due soon","On track")))))</f>
        <v/>
      </c>
      <c r="S25" s="1">
        <f>IF(C25="","",B25&amp;" "&amp;C25)</f>
        <v/>
      </c>
      <c r="T25">
        <f>IF(OR(M25="",NOT(ISNUMBER(J25))),"",MIN(N(H25),IF(I25="Week",IF((TODAY()-1)&lt;J25,0,INT(((TODAY()-1)-J25)/7)+1),IF(I25="2 weeks",IF((TODAY()-1)&lt;J25,0,INT(((TODAY()-1)-J25)/14)+1),IF(((YEAR((TODAY()-1))-YEAR(J25))*12+MONTH((TODAY()-1))-MONTH(J25))&lt;0,0,IF(EDATE(J25,((YEAR((TODAY()-1))-YEAR(J25))*12+MONTH((TODAY()-1))-MONTH(J25)))&lt;=(TODAY()-1),((YEAR((TODAY()-1))-YEAR(J25))*12+MONTH((TODAY()-1))-MONTH(J25))+1,((YEAR((TODAY()-1))-YEAR(J25))*12+MONTH((TODAY()-1))-MONTH(J25))))))))</f>
        <v/>
      </c>
      <c r="U25">
        <f>IF(OR(M25="",NOT(ISNUMBER(J25))),"",IF(N(M25)&lt;=0,"",MIN(N(H25)-1,INT(ROUND(N25/M25,6)))))</f>
        <v/>
      </c>
      <c r="V25">
        <f>IF(T25="","",IF(T25&gt;=N(H25),L25,M25*T25))</f>
        <v/>
      </c>
      <c r="W25">
        <f>IF(V25="",0,MAX(0,ROUND(V25-N25,2)))</f>
        <v/>
      </c>
      <c r="X25">
        <f>IF(OR(R25="",R25="Paid off",NOT(ISNUMBER(P25))),"",P25*1000+ROW())</f>
        <v/>
      </c>
      <c r="Y25">
        <f>IF(C25="","",IF(AND(COUNTIF(C$6:C25,C25)=1,SUMIFS(Loans!$O$6:$O$305,Loans!$C$6:$C$305,C25,Loans!$O$6:$O$305,"&gt;0")&gt;0),ROW(),""))</f>
        <v/>
      </c>
      <c r="Z25">
        <f>IF(OR(C25="",P25=""),"",IF(D25="I borrowed","From you","To you"))</f>
        <v/>
      </c>
    </row>
    <row r="26">
      <c r="A26" s="1" t="n"/>
      <c r="B26" s="15" t="n">
        <v>21</v>
      </c>
      <c r="C26" s="16" t="n"/>
      <c r="D26" s="17" t="n"/>
      <c r="E26" s="18" t="n"/>
      <c r="F26" s="19" t="n"/>
      <c r="G26" s="20" t="n"/>
      <c r="H26" s="21" t="n"/>
      <c r="I26" s="17" t="n"/>
      <c r="J26" s="18" t="n"/>
      <c r="K26" s="22" t="n"/>
      <c r="L26" s="23">
        <f>IF(C26="","",ROUND(N(F26)*(1+N(G26)/100*IF(N(H26)&gt;0,N(H26)*IF(I26="Week",7/365,IF(I26="2 weeks",14/365,1/12)),IF(ISNUMBER(E26),MAX(0,TODAY()-E26)/365,0))),2))</f>
        <v/>
      </c>
      <c r="M26" s="23">
        <f>IF(OR(C26="",N(H26)&lt;=0),"",ROUND(L26/N(H26),2))</f>
        <v/>
      </c>
      <c r="N26" s="23">
        <f>IF(C26="","",SUMIFS(Payments!$D$6:$D$805,Payments!$G$6:$G$805,B26))</f>
        <v/>
      </c>
      <c r="O26" s="24">
        <f>IF(C26="","",ROUND(L26-N26,2))</f>
        <v/>
      </c>
      <c r="P26" s="11">
        <f>IF(OR(U26="",N(O26)&lt;=0),"",IF(I26="Week",J26+7*U26,IF(I26="2 weeks",J26+14*U26,EDATE(J26,U26))))</f>
        <v/>
      </c>
      <c r="Q26" s="23">
        <f>IF(P26="","",IF(U26=N(H26)-1,O26,ROUND(M26*(U26+1)-N26,2)))</f>
        <v/>
      </c>
      <c r="R26" s="25">
        <f>IF(C26="","",IF(O26&lt;=0,"Paid off",IF(OR(M26="",NOT(ISNUMBER(J26))),"Open",IF(W26&gt;0,"Overdue",IF(AND(ISNUMBER(P26),P26-TODAY()&lt;=Settings!$C$6),"Due soon","On track")))))</f>
        <v/>
      </c>
      <c r="S26" s="1">
        <f>IF(C26="","",B26&amp;" "&amp;C26)</f>
        <v/>
      </c>
      <c r="T26">
        <f>IF(OR(M26="",NOT(ISNUMBER(J26))),"",MIN(N(H26),IF(I26="Week",IF((TODAY()-1)&lt;J26,0,INT(((TODAY()-1)-J26)/7)+1),IF(I26="2 weeks",IF((TODAY()-1)&lt;J26,0,INT(((TODAY()-1)-J26)/14)+1),IF(((YEAR((TODAY()-1))-YEAR(J26))*12+MONTH((TODAY()-1))-MONTH(J26))&lt;0,0,IF(EDATE(J26,((YEAR((TODAY()-1))-YEAR(J26))*12+MONTH((TODAY()-1))-MONTH(J26)))&lt;=(TODAY()-1),((YEAR((TODAY()-1))-YEAR(J26))*12+MONTH((TODAY()-1))-MONTH(J26))+1,((YEAR((TODAY()-1))-YEAR(J26))*12+MONTH((TODAY()-1))-MONTH(J26))))))))</f>
        <v/>
      </c>
      <c r="U26">
        <f>IF(OR(M26="",NOT(ISNUMBER(J26))),"",IF(N(M26)&lt;=0,"",MIN(N(H26)-1,INT(ROUND(N26/M26,6)))))</f>
        <v/>
      </c>
      <c r="V26">
        <f>IF(T26="","",IF(T26&gt;=N(H26),L26,M26*T26))</f>
        <v/>
      </c>
      <c r="W26">
        <f>IF(V26="",0,MAX(0,ROUND(V26-N26,2)))</f>
        <v/>
      </c>
      <c r="X26">
        <f>IF(OR(R26="",R26="Paid off",NOT(ISNUMBER(P26))),"",P26*1000+ROW())</f>
        <v/>
      </c>
      <c r="Y26">
        <f>IF(C26="","",IF(AND(COUNTIF(C$6:C26,C26)=1,SUMIFS(Loans!$O$6:$O$305,Loans!$C$6:$C$305,C26,Loans!$O$6:$O$305,"&gt;0")&gt;0),ROW(),""))</f>
        <v/>
      </c>
      <c r="Z26">
        <f>IF(OR(C26="",P26=""),"",IF(D26="I borrowed","From you","To you"))</f>
        <v/>
      </c>
    </row>
    <row r="27">
      <c r="A27" s="1" t="n"/>
      <c r="B27" s="15" t="n">
        <v>22</v>
      </c>
      <c r="C27" s="16" t="n"/>
      <c r="D27" s="17" t="n"/>
      <c r="E27" s="18" t="n"/>
      <c r="F27" s="19" t="n"/>
      <c r="G27" s="20" t="n"/>
      <c r="H27" s="21" t="n"/>
      <c r="I27" s="17" t="n"/>
      <c r="J27" s="18" t="n"/>
      <c r="K27" s="22" t="n"/>
      <c r="L27" s="23">
        <f>IF(C27="","",ROUND(N(F27)*(1+N(G27)/100*IF(N(H27)&gt;0,N(H27)*IF(I27="Week",7/365,IF(I27="2 weeks",14/365,1/12)),IF(ISNUMBER(E27),MAX(0,TODAY()-E27)/365,0))),2))</f>
        <v/>
      </c>
      <c r="M27" s="23">
        <f>IF(OR(C27="",N(H27)&lt;=0),"",ROUND(L27/N(H27),2))</f>
        <v/>
      </c>
      <c r="N27" s="23">
        <f>IF(C27="","",SUMIFS(Payments!$D$6:$D$805,Payments!$G$6:$G$805,B27))</f>
        <v/>
      </c>
      <c r="O27" s="24">
        <f>IF(C27="","",ROUND(L27-N27,2))</f>
        <v/>
      </c>
      <c r="P27" s="11">
        <f>IF(OR(U27="",N(O27)&lt;=0),"",IF(I27="Week",J27+7*U27,IF(I27="2 weeks",J27+14*U27,EDATE(J27,U27))))</f>
        <v/>
      </c>
      <c r="Q27" s="23">
        <f>IF(P27="","",IF(U27=N(H27)-1,O27,ROUND(M27*(U27+1)-N27,2)))</f>
        <v/>
      </c>
      <c r="R27" s="25">
        <f>IF(C27="","",IF(O27&lt;=0,"Paid off",IF(OR(M27="",NOT(ISNUMBER(J27))),"Open",IF(W27&gt;0,"Overdue",IF(AND(ISNUMBER(P27),P27-TODAY()&lt;=Settings!$C$6),"Due soon","On track")))))</f>
        <v/>
      </c>
      <c r="S27" s="1">
        <f>IF(C27="","",B27&amp;" "&amp;C27)</f>
        <v/>
      </c>
      <c r="T27">
        <f>IF(OR(M27="",NOT(ISNUMBER(J27))),"",MIN(N(H27),IF(I27="Week",IF((TODAY()-1)&lt;J27,0,INT(((TODAY()-1)-J27)/7)+1),IF(I27="2 weeks",IF((TODAY()-1)&lt;J27,0,INT(((TODAY()-1)-J27)/14)+1),IF(((YEAR((TODAY()-1))-YEAR(J27))*12+MONTH((TODAY()-1))-MONTH(J27))&lt;0,0,IF(EDATE(J27,((YEAR((TODAY()-1))-YEAR(J27))*12+MONTH((TODAY()-1))-MONTH(J27)))&lt;=(TODAY()-1),((YEAR((TODAY()-1))-YEAR(J27))*12+MONTH((TODAY()-1))-MONTH(J27))+1,((YEAR((TODAY()-1))-YEAR(J27))*12+MONTH((TODAY()-1))-MONTH(J27))))))))</f>
        <v/>
      </c>
      <c r="U27">
        <f>IF(OR(M27="",NOT(ISNUMBER(J27))),"",IF(N(M27)&lt;=0,"",MIN(N(H27)-1,INT(ROUND(N27/M27,6)))))</f>
        <v/>
      </c>
      <c r="V27">
        <f>IF(T27="","",IF(T27&gt;=N(H27),L27,M27*T27))</f>
        <v/>
      </c>
      <c r="W27">
        <f>IF(V27="",0,MAX(0,ROUND(V27-N27,2)))</f>
        <v/>
      </c>
      <c r="X27">
        <f>IF(OR(R27="",R27="Paid off",NOT(ISNUMBER(P27))),"",P27*1000+ROW())</f>
        <v/>
      </c>
      <c r="Y27">
        <f>IF(C27="","",IF(AND(COUNTIF(C$6:C27,C27)=1,SUMIFS(Loans!$O$6:$O$305,Loans!$C$6:$C$305,C27,Loans!$O$6:$O$305,"&gt;0")&gt;0),ROW(),""))</f>
        <v/>
      </c>
      <c r="Z27">
        <f>IF(OR(C27="",P27=""),"",IF(D27="I borrowed","From you","To you"))</f>
        <v/>
      </c>
    </row>
    <row r="28">
      <c r="A28" s="1" t="n"/>
      <c r="B28" s="15" t="n">
        <v>23</v>
      </c>
      <c r="C28" s="16" t="n"/>
      <c r="D28" s="17" t="n"/>
      <c r="E28" s="18" t="n"/>
      <c r="F28" s="19" t="n"/>
      <c r="G28" s="20" t="n"/>
      <c r="H28" s="21" t="n"/>
      <c r="I28" s="17" t="n"/>
      <c r="J28" s="18" t="n"/>
      <c r="K28" s="22" t="n"/>
      <c r="L28" s="23">
        <f>IF(C28="","",ROUND(N(F28)*(1+N(G28)/100*IF(N(H28)&gt;0,N(H28)*IF(I28="Week",7/365,IF(I28="2 weeks",14/365,1/12)),IF(ISNUMBER(E28),MAX(0,TODAY()-E28)/365,0))),2))</f>
        <v/>
      </c>
      <c r="M28" s="23">
        <f>IF(OR(C28="",N(H28)&lt;=0),"",ROUND(L28/N(H28),2))</f>
        <v/>
      </c>
      <c r="N28" s="23">
        <f>IF(C28="","",SUMIFS(Payments!$D$6:$D$805,Payments!$G$6:$G$805,B28))</f>
        <v/>
      </c>
      <c r="O28" s="24">
        <f>IF(C28="","",ROUND(L28-N28,2))</f>
        <v/>
      </c>
      <c r="P28" s="11">
        <f>IF(OR(U28="",N(O28)&lt;=0),"",IF(I28="Week",J28+7*U28,IF(I28="2 weeks",J28+14*U28,EDATE(J28,U28))))</f>
        <v/>
      </c>
      <c r="Q28" s="23">
        <f>IF(P28="","",IF(U28=N(H28)-1,O28,ROUND(M28*(U28+1)-N28,2)))</f>
        <v/>
      </c>
      <c r="R28" s="25">
        <f>IF(C28="","",IF(O28&lt;=0,"Paid off",IF(OR(M28="",NOT(ISNUMBER(J28))),"Open",IF(W28&gt;0,"Overdue",IF(AND(ISNUMBER(P28),P28-TODAY()&lt;=Settings!$C$6),"Due soon","On track")))))</f>
        <v/>
      </c>
      <c r="S28" s="1">
        <f>IF(C28="","",B28&amp;" "&amp;C28)</f>
        <v/>
      </c>
      <c r="T28">
        <f>IF(OR(M28="",NOT(ISNUMBER(J28))),"",MIN(N(H28),IF(I28="Week",IF((TODAY()-1)&lt;J28,0,INT(((TODAY()-1)-J28)/7)+1),IF(I28="2 weeks",IF((TODAY()-1)&lt;J28,0,INT(((TODAY()-1)-J28)/14)+1),IF(((YEAR((TODAY()-1))-YEAR(J28))*12+MONTH((TODAY()-1))-MONTH(J28))&lt;0,0,IF(EDATE(J28,((YEAR((TODAY()-1))-YEAR(J28))*12+MONTH((TODAY()-1))-MONTH(J28)))&lt;=(TODAY()-1),((YEAR((TODAY()-1))-YEAR(J28))*12+MONTH((TODAY()-1))-MONTH(J28))+1,((YEAR((TODAY()-1))-YEAR(J28))*12+MONTH((TODAY()-1))-MONTH(J28))))))))</f>
        <v/>
      </c>
      <c r="U28">
        <f>IF(OR(M28="",NOT(ISNUMBER(J28))),"",IF(N(M28)&lt;=0,"",MIN(N(H28)-1,INT(ROUND(N28/M28,6)))))</f>
        <v/>
      </c>
      <c r="V28">
        <f>IF(T28="","",IF(T28&gt;=N(H28),L28,M28*T28))</f>
        <v/>
      </c>
      <c r="W28">
        <f>IF(V28="",0,MAX(0,ROUND(V28-N28,2)))</f>
        <v/>
      </c>
      <c r="X28">
        <f>IF(OR(R28="",R28="Paid off",NOT(ISNUMBER(P28))),"",P28*1000+ROW())</f>
        <v/>
      </c>
      <c r="Y28">
        <f>IF(C28="","",IF(AND(COUNTIF(C$6:C28,C28)=1,SUMIFS(Loans!$O$6:$O$305,Loans!$C$6:$C$305,C28,Loans!$O$6:$O$305,"&gt;0")&gt;0),ROW(),""))</f>
        <v/>
      </c>
      <c r="Z28">
        <f>IF(OR(C28="",P28=""),"",IF(D28="I borrowed","From you","To you"))</f>
        <v/>
      </c>
    </row>
    <row r="29">
      <c r="A29" s="1" t="n"/>
      <c r="B29" s="15" t="n">
        <v>24</v>
      </c>
      <c r="C29" s="16" t="n"/>
      <c r="D29" s="17" t="n"/>
      <c r="E29" s="18" t="n"/>
      <c r="F29" s="19" t="n"/>
      <c r="G29" s="20" t="n"/>
      <c r="H29" s="21" t="n"/>
      <c r="I29" s="17" t="n"/>
      <c r="J29" s="18" t="n"/>
      <c r="K29" s="22" t="n"/>
      <c r="L29" s="23">
        <f>IF(C29="","",ROUND(N(F29)*(1+N(G29)/100*IF(N(H29)&gt;0,N(H29)*IF(I29="Week",7/365,IF(I29="2 weeks",14/365,1/12)),IF(ISNUMBER(E29),MAX(0,TODAY()-E29)/365,0))),2))</f>
        <v/>
      </c>
      <c r="M29" s="23">
        <f>IF(OR(C29="",N(H29)&lt;=0),"",ROUND(L29/N(H29),2))</f>
        <v/>
      </c>
      <c r="N29" s="23">
        <f>IF(C29="","",SUMIFS(Payments!$D$6:$D$805,Payments!$G$6:$G$805,B29))</f>
        <v/>
      </c>
      <c r="O29" s="24">
        <f>IF(C29="","",ROUND(L29-N29,2))</f>
        <v/>
      </c>
      <c r="P29" s="11">
        <f>IF(OR(U29="",N(O29)&lt;=0),"",IF(I29="Week",J29+7*U29,IF(I29="2 weeks",J29+14*U29,EDATE(J29,U29))))</f>
        <v/>
      </c>
      <c r="Q29" s="23">
        <f>IF(P29="","",IF(U29=N(H29)-1,O29,ROUND(M29*(U29+1)-N29,2)))</f>
        <v/>
      </c>
      <c r="R29" s="25">
        <f>IF(C29="","",IF(O29&lt;=0,"Paid off",IF(OR(M29="",NOT(ISNUMBER(J29))),"Open",IF(W29&gt;0,"Overdue",IF(AND(ISNUMBER(P29),P29-TODAY()&lt;=Settings!$C$6),"Due soon","On track")))))</f>
        <v/>
      </c>
      <c r="S29" s="1">
        <f>IF(C29="","",B29&amp;" "&amp;C29)</f>
        <v/>
      </c>
      <c r="T29">
        <f>IF(OR(M29="",NOT(ISNUMBER(J29))),"",MIN(N(H29),IF(I29="Week",IF((TODAY()-1)&lt;J29,0,INT(((TODAY()-1)-J29)/7)+1),IF(I29="2 weeks",IF((TODAY()-1)&lt;J29,0,INT(((TODAY()-1)-J29)/14)+1),IF(((YEAR((TODAY()-1))-YEAR(J29))*12+MONTH((TODAY()-1))-MONTH(J29))&lt;0,0,IF(EDATE(J29,((YEAR((TODAY()-1))-YEAR(J29))*12+MONTH((TODAY()-1))-MONTH(J29)))&lt;=(TODAY()-1),((YEAR((TODAY()-1))-YEAR(J29))*12+MONTH((TODAY()-1))-MONTH(J29))+1,((YEAR((TODAY()-1))-YEAR(J29))*12+MONTH((TODAY()-1))-MONTH(J29))))))))</f>
        <v/>
      </c>
      <c r="U29">
        <f>IF(OR(M29="",NOT(ISNUMBER(J29))),"",IF(N(M29)&lt;=0,"",MIN(N(H29)-1,INT(ROUND(N29/M29,6)))))</f>
        <v/>
      </c>
      <c r="V29">
        <f>IF(T29="","",IF(T29&gt;=N(H29),L29,M29*T29))</f>
        <v/>
      </c>
      <c r="W29">
        <f>IF(V29="",0,MAX(0,ROUND(V29-N29,2)))</f>
        <v/>
      </c>
      <c r="X29">
        <f>IF(OR(R29="",R29="Paid off",NOT(ISNUMBER(P29))),"",P29*1000+ROW())</f>
        <v/>
      </c>
      <c r="Y29">
        <f>IF(C29="","",IF(AND(COUNTIF(C$6:C29,C29)=1,SUMIFS(Loans!$O$6:$O$305,Loans!$C$6:$C$305,C29,Loans!$O$6:$O$305,"&gt;0")&gt;0),ROW(),""))</f>
        <v/>
      </c>
      <c r="Z29">
        <f>IF(OR(C29="",P29=""),"",IF(D29="I borrowed","From you","To you"))</f>
        <v/>
      </c>
    </row>
    <row r="30">
      <c r="A30" s="1" t="n"/>
      <c r="B30" s="15" t="n">
        <v>25</v>
      </c>
      <c r="C30" s="16" t="n"/>
      <c r="D30" s="17" t="n"/>
      <c r="E30" s="18" t="n"/>
      <c r="F30" s="19" t="n"/>
      <c r="G30" s="20" t="n"/>
      <c r="H30" s="21" t="n"/>
      <c r="I30" s="17" t="n"/>
      <c r="J30" s="18" t="n"/>
      <c r="K30" s="22" t="n"/>
      <c r="L30" s="23">
        <f>IF(C30="","",ROUND(N(F30)*(1+N(G30)/100*IF(N(H30)&gt;0,N(H30)*IF(I30="Week",7/365,IF(I30="2 weeks",14/365,1/12)),IF(ISNUMBER(E30),MAX(0,TODAY()-E30)/365,0))),2))</f>
        <v/>
      </c>
      <c r="M30" s="23">
        <f>IF(OR(C30="",N(H30)&lt;=0),"",ROUND(L30/N(H30),2))</f>
        <v/>
      </c>
      <c r="N30" s="23">
        <f>IF(C30="","",SUMIFS(Payments!$D$6:$D$805,Payments!$G$6:$G$805,B30))</f>
        <v/>
      </c>
      <c r="O30" s="24">
        <f>IF(C30="","",ROUND(L30-N30,2))</f>
        <v/>
      </c>
      <c r="P30" s="11">
        <f>IF(OR(U30="",N(O30)&lt;=0),"",IF(I30="Week",J30+7*U30,IF(I30="2 weeks",J30+14*U30,EDATE(J30,U30))))</f>
        <v/>
      </c>
      <c r="Q30" s="23">
        <f>IF(P30="","",IF(U30=N(H30)-1,O30,ROUND(M30*(U30+1)-N30,2)))</f>
        <v/>
      </c>
      <c r="R30" s="25">
        <f>IF(C30="","",IF(O30&lt;=0,"Paid off",IF(OR(M30="",NOT(ISNUMBER(J30))),"Open",IF(W30&gt;0,"Overdue",IF(AND(ISNUMBER(P30),P30-TODAY()&lt;=Settings!$C$6),"Due soon","On track")))))</f>
        <v/>
      </c>
      <c r="S30" s="1">
        <f>IF(C30="","",B30&amp;" "&amp;C30)</f>
        <v/>
      </c>
      <c r="T30">
        <f>IF(OR(M30="",NOT(ISNUMBER(J30))),"",MIN(N(H30),IF(I30="Week",IF((TODAY()-1)&lt;J30,0,INT(((TODAY()-1)-J30)/7)+1),IF(I30="2 weeks",IF((TODAY()-1)&lt;J30,0,INT(((TODAY()-1)-J30)/14)+1),IF(((YEAR((TODAY()-1))-YEAR(J30))*12+MONTH((TODAY()-1))-MONTH(J30))&lt;0,0,IF(EDATE(J30,((YEAR((TODAY()-1))-YEAR(J30))*12+MONTH((TODAY()-1))-MONTH(J30)))&lt;=(TODAY()-1),((YEAR((TODAY()-1))-YEAR(J30))*12+MONTH((TODAY()-1))-MONTH(J30))+1,((YEAR((TODAY()-1))-YEAR(J30))*12+MONTH((TODAY()-1))-MONTH(J30))))))))</f>
        <v/>
      </c>
      <c r="U30">
        <f>IF(OR(M30="",NOT(ISNUMBER(J30))),"",IF(N(M30)&lt;=0,"",MIN(N(H30)-1,INT(ROUND(N30/M30,6)))))</f>
        <v/>
      </c>
      <c r="V30">
        <f>IF(T30="","",IF(T30&gt;=N(H30),L30,M30*T30))</f>
        <v/>
      </c>
      <c r="W30">
        <f>IF(V30="",0,MAX(0,ROUND(V30-N30,2)))</f>
        <v/>
      </c>
      <c r="X30">
        <f>IF(OR(R30="",R30="Paid off",NOT(ISNUMBER(P30))),"",P30*1000+ROW())</f>
        <v/>
      </c>
      <c r="Y30">
        <f>IF(C30="","",IF(AND(COUNTIF(C$6:C30,C30)=1,SUMIFS(Loans!$O$6:$O$305,Loans!$C$6:$C$305,C30,Loans!$O$6:$O$305,"&gt;0")&gt;0),ROW(),""))</f>
        <v/>
      </c>
      <c r="Z30">
        <f>IF(OR(C30="",P30=""),"",IF(D30="I borrowed","From you","To you"))</f>
        <v/>
      </c>
    </row>
    <row r="31">
      <c r="A31" s="1" t="n"/>
      <c r="B31" s="15" t="n">
        <v>26</v>
      </c>
      <c r="C31" s="16" t="n"/>
      <c r="D31" s="17" t="n"/>
      <c r="E31" s="18" t="n"/>
      <c r="F31" s="19" t="n"/>
      <c r="G31" s="20" t="n"/>
      <c r="H31" s="21" t="n"/>
      <c r="I31" s="17" t="n"/>
      <c r="J31" s="18" t="n"/>
      <c r="K31" s="22" t="n"/>
      <c r="L31" s="23">
        <f>IF(C31="","",ROUND(N(F31)*(1+N(G31)/100*IF(N(H31)&gt;0,N(H31)*IF(I31="Week",7/365,IF(I31="2 weeks",14/365,1/12)),IF(ISNUMBER(E31),MAX(0,TODAY()-E31)/365,0))),2))</f>
        <v/>
      </c>
      <c r="M31" s="23">
        <f>IF(OR(C31="",N(H31)&lt;=0),"",ROUND(L31/N(H31),2))</f>
        <v/>
      </c>
      <c r="N31" s="23">
        <f>IF(C31="","",SUMIFS(Payments!$D$6:$D$805,Payments!$G$6:$G$805,B31))</f>
        <v/>
      </c>
      <c r="O31" s="24">
        <f>IF(C31="","",ROUND(L31-N31,2))</f>
        <v/>
      </c>
      <c r="P31" s="11">
        <f>IF(OR(U31="",N(O31)&lt;=0),"",IF(I31="Week",J31+7*U31,IF(I31="2 weeks",J31+14*U31,EDATE(J31,U31))))</f>
        <v/>
      </c>
      <c r="Q31" s="23">
        <f>IF(P31="","",IF(U31=N(H31)-1,O31,ROUND(M31*(U31+1)-N31,2)))</f>
        <v/>
      </c>
      <c r="R31" s="25">
        <f>IF(C31="","",IF(O31&lt;=0,"Paid off",IF(OR(M31="",NOT(ISNUMBER(J31))),"Open",IF(W31&gt;0,"Overdue",IF(AND(ISNUMBER(P31),P31-TODAY()&lt;=Settings!$C$6),"Due soon","On track")))))</f>
        <v/>
      </c>
      <c r="S31" s="1">
        <f>IF(C31="","",B31&amp;" "&amp;C31)</f>
        <v/>
      </c>
      <c r="T31">
        <f>IF(OR(M31="",NOT(ISNUMBER(J31))),"",MIN(N(H31),IF(I31="Week",IF((TODAY()-1)&lt;J31,0,INT(((TODAY()-1)-J31)/7)+1),IF(I31="2 weeks",IF((TODAY()-1)&lt;J31,0,INT(((TODAY()-1)-J31)/14)+1),IF(((YEAR((TODAY()-1))-YEAR(J31))*12+MONTH((TODAY()-1))-MONTH(J31))&lt;0,0,IF(EDATE(J31,((YEAR((TODAY()-1))-YEAR(J31))*12+MONTH((TODAY()-1))-MONTH(J31)))&lt;=(TODAY()-1),((YEAR((TODAY()-1))-YEAR(J31))*12+MONTH((TODAY()-1))-MONTH(J31))+1,((YEAR((TODAY()-1))-YEAR(J31))*12+MONTH((TODAY()-1))-MONTH(J31))))))))</f>
        <v/>
      </c>
      <c r="U31">
        <f>IF(OR(M31="",NOT(ISNUMBER(J31))),"",IF(N(M31)&lt;=0,"",MIN(N(H31)-1,INT(ROUND(N31/M31,6)))))</f>
        <v/>
      </c>
      <c r="V31">
        <f>IF(T31="","",IF(T31&gt;=N(H31),L31,M31*T31))</f>
        <v/>
      </c>
      <c r="W31">
        <f>IF(V31="",0,MAX(0,ROUND(V31-N31,2)))</f>
        <v/>
      </c>
      <c r="X31">
        <f>IF(OR(R31="",R31="Paid off",NOT(ISNUMBER(P31))),"",P31*1000+ROW())</f>
        <v/>
      </c>
      <c r="Y31">
        <f>IF(C31="","",IF(AND(COUNTIF(C$6:C31,C31)=1,SUMIFS(Loans!$O$6:$O$305,Loans!$C$6:$C$305,C31,Loans!$O$6:$O$305,"&gt;0")&gt;0),ROW(),""))</f>
        <v/>
      </c>
      <c r="Z31">
        <f>IF(OR(C31="",P31=""),"",IF(D31="I borrowed","From you","To you"))</f>
        <v/>
      </c>
    </row>
    <row r="32">
      <c r="A32" s="1" t="n"/>
      <c r="B32" s="15" t="n">
        <v>27</v>
      </c>
      <c r="C32" s="16" t="n"/>
      <c r="D32" s="17" t="n"/>
      <c r="E32" s="18" t="n"/>
      <c r="F32" s="19" t="n"/>
      <c r="G32" s="20" t="n"/>
      <c r="H32" s="21" t="n"/>
      <c r="I32" s="17" t="n"/>
      <c r="J32" s="18" t="n"/>
      <c r="K32" s="22" t="n"/>
      <c r="L32" s="23">
        <f>IF(C32="","",ROUND(N(F32)*(1+N(G32)/100*IF(N(H32)&gt;0,N(H32)*IF(I32="Week",7/365,IF(I32="2 weeks",14/365,1/12)),IF(ISNUMBER(E32),MAX(0,TODAY()-E32)/365,0))),2))</f>
        <v/>
      </c>
      <c r="M32" s="23">
        <f>IF(OR(C32="",N(H32)&lt;=0),"",ROUND(L32/N(H32),2))</f>
        <v/>
      </c>
      <c r="N32" s="23">
        <f>IF(C32="","",SUMIFS(Payments!$D$6:$D$805,Payments!$G$6:$G$805,B32))</f>
        <v/>
      </c>
      <c r="O32" s="24">
        <f>IF(C32="","",ROUND(L32-N32,2))</f>
        <v/>
      </c>
      <c r="P32" s="11">
        <f>IF(OR(U32="",N(O32)&lt;=0),"",IF(I32="Week",J32+7*U32,IF(I32="2 weeks",J32+14*U32,EDATE(J32,U32))))</f>
        <v/>
      </c>
      <c r="Q32" s="23">
        <f>IF(P32="","",IF(U32=N(H32)-1,O32,ROUND(M32*(U32+1)-N32,2)))</f>
        <v/>
      </c>
      <c r="R32" s="25">
        <f>IF(C32="","",IF(O32&lt;=0,"Paid off",IF(OR(M32="",NOT(ISNUMBER(J32))),"Open",IF(W32&gt;0,"Overdue",IF(AND(ISNUMBER(P32),P32-TODAY()&lt;=Settings!$C$6),"Due soon","On track")))))</f>
        <v/>
      </c>
      <c r="S32" s="1">
        <f>IF(C32="","",B32&amp;" "&amp;C32)</f>
        <v/>
      </c>
      <c r="T32">
        <f>IF(OR(M32="",NOT(ISNUMBER(J32))),"",MIN(N(H32),IF(I32="Week",IF((TODAY()-1)&lt;J32,0,INT(((TODAY()-1)-J32)/7)+1),IF(I32="2 weeks",IF((TODAY()-1)&lt;J32,0,INT(((TODAY()-1)-J32)/14)+1),IF(((YEAR((TODAY()-1))-YEAR(J32))*12+MONTH((TODAY()-1))-MONTH(J32))&lt;0,0,IF(EDATE(J32,((YEAR((TODAY()-1))-YEAR(J32))*12+MONTH((TODAY()-1))-MONTH(J32)))&lt;=(TODAY()-1),((YEAR((TODAY()-1))-YEAR(J32))*12+MONTH((TODAY()-1))-MONTH(J32))+1,((YEAR((TODAY()-1))-YEAR(J32))*12+MONTH((TODAY()-1))-MONTH(J32))))))))</f>
        <v/>
      </c>
      <c r="U32">
        <f>IF(OR(M32="",NOT(ISNUMBER(J32))),"",IF(N(M32)&lt;=0,"",MIN(N(H32)-1,INT(ROUND(N32/M32,6)))))</f>
        <v/>
      </c>
      <c r="V32">
        <f>IF(T32="","",IF(T32&gt;=N(H32),L32,M32*T32))</f>
        <v/>
      </c>
      <c r="W32">
        <f>IF(V32="",0,MAX(0,ROUND(V32-N32,2)))</f>
        <v/>
      </c>
      <c r="X32">
        <f>IF(OR(R32="",R32="Paid off",NOT(ISNUMBER(P32))),"",P32*1000+ROW())</f>
        <v/>
      </c>
      <c r="Y32">
        <f>IF(C32="","",IF(AND(COUNTIF(C$6:C32,C32)=1,SUMIFS(Loans!$O$6:$O$305,Loans!$C$6:$C$305,C32,Loans!$O$6:$O$305,"&gt;0")&gt;0),ROW(),""))</f>
        <v/>
      </c>
      <c r="Z32">
        <f>IF(OR(C32="",P32=""),"",IF(D32="I borrowed","From you","To you"))</f>
        <v/>
      </c>
    </row>
    <row r="33">
      <c r="A33" s="1" t="n"/>
      <c r="B33" s="15" t="n">
        <v>28</v>
      </c>
      <c r="C33" s="16" t="n"/>
      <c r="D33" s="17" t="n"/>
      <c r="E33" s="18" t="n"/>
      <c r="F33" s="19" t="n"/>
      <c r="G33" s="20" t="n"/>
      <c r="H33" s="21" t="n"/>
      <c r="I33" s="17" t="n"/>
      <c r="J33" s="18" t="n"/>
      <c r="K33" s="22" t="n"/>
      <c r="L33" s="23">
        <f>IF(C33="","",ROUND(N(F33)*(1+N(G33)/100*IF(N(H33)&gt;0,N(H33)*IF(I33="Week",7/365,IF(I33="2 weeks",14/365,1/12)),IF(ISNUMBER(E33),MAX(0,TODAY()-E33)/365,0))),2))</f>
        <v/>
      </c>
      <c r="M33" s="23">
        <f>IF(OR(C33="",N(H33)&lt;=0),"",ROUND(L33/N(H33),2))</f>
        <v/>
      </c>
      <c r="N33" s="23">
        <f>IF(C33="","",SUMIFS(Payments!$D$6:$D$805,Payments!$G$6:$G$805,B33))</f>
        <v/>
      </c>
      <c r="O33" s="24">
        <f>IF(C33="","",ROUND(L33-N33,2))</f>
        <v/>
      </c>
      <c r="P33" s="11">
        <f>IF(OR(U33="",N(O33)&lt;=0),"",IF(I33="Week",J33+7*U33,IF(I33="2 weeks",J33+14*U33,EDATE(J33,U33))))</f>
        <v/>
      </c>
      <c r="Q33" s="23">
        <f>IF(P33="","",IF(U33=N(H33)-1,O33,ROUND(M33*(U33+1)-N33,2)))</f>
        <v/>
      </c>
      <c r="R33" s="25">
        <f>IF(C33="","",IF(O33&lt;=0,"Paid off",IF(OR(M33="",NOT(ISNUMBER(J33))),"Open",IF(W33&gt;0,"Overdue",IF(AND(ISNUMBER(P33),P33-TODAY()&lt;=Settings!$C$6),"Due soon","On track")))))</f>
        <v/>
      </c>
      <c r="S33" s="1">
        <f>IF(C33="","",B33&amp;" "&amp;C33)</f>
        <v/>
      </c>
      <c r="T33">
        <f>IF(OR(M33="",NOT(ISNUMBER(J33))),"",MIN(N(H33),IF(I33="Week",IF((TODAY()-1)&lt;J33,0,INT(((TODAY()-1)-J33)/7)+1),IF(I33="2 weeks",IF((TODAY()-1)&lt;J33,0,INT(((TODAY()-1)-J33)/14)+1),IF(((YEAR((TODAY()-1))-YEAR(J33))*12+MONTH((TODAY()-1))-MONTH(J33))&lt;0,0,IF(EDATE(J33,((YEAR((TODAY()-1))-YEAR(J33))*12+MONTH((TODAY()-1))-MONTH(J33)))&lt;=(TODAY()-1),((YEAR((TODAY()-1))-YEAR(J33))*12+MONTH((TODAY()-1))-MONTH(J33))+1,((YEAR((TODAY()-1))-YEAR(J33))*12+MONTH((TODAY()-1))-MONTH(J33))))))))</f>
        <v/>
      </c>
      <c r="U33">
        <f>IF(OR(M33="",NOT(ISNUMBER(J33))),"",IF(N(M33)&lt;=0,"",MIN(N(H33)-1,INT(ROUND(N33/M33,6)))))</f>
        <v/>
      </c>
      <c r="V33">
        <f>IF(T33="","",IF(T33&gt;=N(H33),L33,M33*T33))</f>
        <v/>
      </c>
      <c r="W33">
        <f>IF(V33="",0,MAX(0,ROUND(V33-N33,2)))</f>
        <v/>
      </c>
      <c r="X33">
        <f>IF(OR(R33="",R33="Paid off",NOT(ISNUMBER(P33))),"",P33*1000+ROW())</f>
        <v/>
      </c>
      <c r="Y33">
        <f>IF(C33="","",IF(AND(COUNTIF(C$6:C33,C33)=1,SUMIFS(Loans!$O$6:$O$305,Loans!$C$6:$C$305,C33,Loans!$O$6:$O$305,"&gt;0")&gt;0),ROW(),""))</f>
        <v/>
      </c>
      <c r="Z33">
        <f>IF(OR(C33="",P33=""),"",IF(D33="I borrowed","From you","To you"))</f>
        <v/>
      </c>
    </row>
    <row r="34">
      <c r="A34" s="1" t="n"/>
      <c r="B34" s="15" t="n">
        <v>29</v>
      </c>
      <c r="C34" s="16" t="n"/>
      <c r="D34" s="17" t="n"/>
      <c r="E34" s="18" t="n"/>
      <c r="F34" s="19" t="n"/>
      <c r="G34" s="20" t="n"/>
      <c r="H34" s="21" t="n"/>
      <c r="I34" s="17" t="n"/>
      <c r="J34" s="18" t="n"/>
      <c r="K34" s="22" t="n"/>
      <c r="L34" s="23">
        <f>IF(C34="","",ROUND(N(F34)*(1+N(G34)/100*IF(N(H34)&gt;0,N(H34)*IF(I34="Week",7/365,IF(I34="2 weeks",14/365,1/12)),IF(ISNUMBER(E34),MAX(0,TODAY()-E34)/365,0))),2))</f>
        <v/>
      </c>
      <c r="M34" s="23">
        <f>IF(OR(C34="",N(H34)&lt;=0),"",ROUND(L34/N(H34),2))</f>
        <v/>
      </c>
      <c r="N34" s="23">
        <f>IF(C34="","",SUMIFS(Payments!$D$6:$D$805,Payments!$G$6:$G$805,B34))</f>
        <v/>
      </c>
      <c r="O34" s="24">
        <f>IF(C34="","",ROUND(L34-N34,2))</f>
        <v/>
      </c>
      <c r="P34" s="11">
        <f>IF(OR(U34="",N(O34)&lt;=0),"",IF(I34="Week",J34+7*U34,IF(I34="2 weeks",J34+14*U34,EDATE(J34,U34))))</f>
        <v/>
      </c>
      <c r="Q34" s="23">
        <f>IF(P34="","",IF(U34=N(H34)-1,O34,ROUND(M34*(U34+1)-N34,2)))</f>
        <v/>
      </c>
      <c r="R34" s="25">
        <f>IF(C34="","",IF(O34&lt;=0,"Paid off",IF(OR(M34="",NOT(ISNUMBER(J34))),"Open",IF(W34&gt;0,"Overdue",IF(AND(ISNUMBER(P34),P34-TODAY()&lt;=Settings!$C$6),"Due soon","On track")))))</f>
        <v/>
      </c>
      <c r="S34" s="1">
        <f>IF(C34="","",B34&amp;" "&amp;C34)</f>
        <v/>
      </c>
      <c r="T34">
        <f>IF(OR(M34="",NOT(ISNUMBER(J34))),"",MIN(N(H34),IF(I34="Week",IF((TODAY()-1)&lt;J34,0,INT(((TODAY()-1)-J34)/7)+1),IF(I34="2 weeks",IF((TODAY()-1)&lt;J34,0,INT(((TODAY()-1)-J34)/14)+1),IF(((YEAR((TODAY()-1))-YEAR(J34))*12+MONTH((TODAY()-1))-MONTH(J34))&lt;0,0,IF(EDATE(J34,((YEAR((TODAY()-1))-YEAR(J34))*12+MONTH((TODAY()-1))-MONTH(J34)))&lt;=(TODAY()-1),((YEAR((TODAY()-1))-YEAR(J34))*12+MONTH((TODAY()-1))-MONTH(J34))+1,((YEAR((TODAY()-1))-YEAR(J34))*12+MONTH((TODAY()-1))-MONTH(J34))))))))</f>
        <v/>
      </c>
      <c r="U34">
        <f>IF(OR(M34="",NOT(ISNUMBER(J34))),"",IF(N(M34)&lt;=0,"",MIN(N(H34)-1,INT(ROUND(N34/M34,6)))))</f>
        <v/>
      </c>
      <c r="V34">
        <f>IF(T34="","",IF(T34&gt;=N(H34),L34,M34*T34))</f>
        <v/>
      </c>
      <c r="W34">
        <f>IF(V34="",0,MAX(0,ROUND(V34-N34,2)))</f>
        <v/>
      </c>
      <c r="X34">
        <f>IF(OR(R34="",R34="Paid off",NOT(ISNUMBER(P34))),"",P34*1000+ROW())</f>
        <v/>
      </c>
      <c r="Y34">
        <f>IF(C34="","",IF(AND(COUNTIF(C$6:C34,C34)=1,SUMIFS(Loans!$O$6:$O$305,Loans!$C$6:$C$305,C34,Loans!$O$6:$O$305,"&gt;0")&gt;0),ROW(),""))</f>
        <v/>
      </c>
      <c r="Z34">
        <f>IF(OR(C34="",P34=""),"",IF(D34="I borrowed","From you","To you"))</f>
        <v/>
      </c>
    </row>
    <row r="35">
      <c r="A35" s="1" t="n"/>
      <c r="B35" s="15" t="n">
        <v>30</v>
      </c>
      <c r="C35" s="16" t="n"/>
      <c r="D35" s="17" t="n"/>
      <c r="E35" s="18" t="n"/>
      <c r="F35" s="19" t="n"/>
      <c r="G35" s="20" t="n"/>
      <c r="H35" s="21" t="n"/>
      <c r="I35" s="17" t="n"/>
      <c r="J35" s="18" t="n"/>
      <c r="K35" s="22" t="n"/>
      <c r="L35" s="23">
        <f>IF(C35="","",ROUND(N(F35)*(1+N(G35)/100*IF(N(H35)&gt;0,N(H35)*IF(I35="Week",7/365,IF(I35="2 weeks",14/365,1/12)),IF(ISNUMBER(E35),MAX(0,TODAY()-E35)/365,0))),2))</f>
        <v/>
      </c>
      <c r="M35" s="23">
        <f>IF(OR(C35="",N(H35)&lt;=0),"",ROUND(L35/N(H35),2))</f>
        <v/>
      </c>
      <c r="N35" s="23">
        <f>IF(C35="","",SUMIFS(Payments!$D$6:$D$805,Payments!$G$6:$G$805,B35))</f>
        <v/>
      </c>
      <c r="O35" s="24">
        <f>IF(C35="","",ROUND(L35-N35,2))</f>
        <v/>
      </c>
      <c r="P35" s="11">
        <f>IF(OR(U35="",N(O35)&lt;=0),"",IF(I35="Week",J35+7*U35,IF(I35="2 weeks",J35+14*U35,EDATE(J35,U35))))</f>
        <v/>
      </c>
      <c r="Q35" s="23">
        <f>IF(P35="","",IF(U35=N(H35)-1,O35,ROUND(M35*(U35+1)-N35,2)))</f>
        <v/>
      </c>
      <c r="R35" s="25">
        <f>IF(C35="","",IF(O35&lt;=0,"Paid off",IF(OR(M35="",NOT(ISNUMBER(J35))),"Open",IF(W35&gt;0,"Overdue",IF(AND(ISNUMBER(P35),P35-TODAY()&lt;=Settings!$C$6),"Due soon","On track")))))</f>
        <v/>
      </c>
      <c r="S35" s="1">
        <f>IF(C35="","",B35&amp;" "&amp;C35)</f>
        <v/>
      </c>
      <c r="T35">
        <f>IF(OR(M35="",NOT(ISNUMBER(J35))),"",MIN(N(H35),IF(I35="Week",IF((TODAY()-1)&lt;J35,0,INT(((TODAY()-1)-J35)/7)+1),IF(I35="2 weeks",IF((TODAY()-1)&lt;J35,0,INT(((TODAY()-1)-J35)/14)+1),IF(((YEAR((TODAY()-1))-YEAR(J35))*12+MONTH((TODAY()-1))-MONTH(J35))&lt;0,0,IF(EDATE(J35,((YEAR((TODAY()-1))-YEAR(J35))*12+MONTH((TODAY()-1))-MONTH(J35)))&lt;=(TODAY()-1),((YEAR((TODAY()-1))-YEAR(J35))*12+MONTH((TODAY()-1))-MONTH(J35))+1,((YEAR((TODAY()-1))-YEAR(J35))*12+MONTH((TODAY()-1))-MONTH(J35))))))))</f>
        <v/>
      </c>
      <c r="U35">
        <f>IF(OR(M35="",NOT(ISNUMBER(J35))),"",IF(N(M35)&lt;=0,"",MIN(N(H35)-1,INT(ROUND(N35/M35,6)))))</f>
        <v/>
      </c>
      <c r="V35">
        <f>IF(T35="","",IF(T35&gt;=N(H35),L35,M35*T35))</f>
        <v/>
      </c>
      <c r="W35">
        <f>IF(V35="",0,MAX(0,ROUND(V35-N35,2)))</f>
        <v/>
      </c>
      <c r="X35">
        <f>IF(OR(R35="",R35="Paid off",NOT(ISNUMBER(P35))),"",P35*1000+ROW())</f>
        <v/>
      </c>
      <c r="Y35">
        <f>IF(C35="","",IF(AND(COUNTIF(C$6:C35,C35)=1,SUMIFS(Loans!$O$6:$O$305,Loans!$C$6:$C$305,C35,Loans!$O$6:$O$305,"&gt;0")&gt;0),ROW(),""))</f>
        <v/>
      </c>
      <c r="Z35">
        <f>IF(OR(C35="",P35=""),"",IF(D35="I borrowed","From you","To you"))</f>
        <v/>
      </c>
    </row>
    <row r="36">
      <c r="A36" s="1" t="n"/>
      <c r="B36" s="15" t="n">
        <v>31</v>
      </c>
      <c r="C36" s="16" t="n"/>
      <c r="D36" s="17" t="n"/>
      <c r="E36" s="18" t="n"/>
      <c r="F36" s="19" t="n"/>
      <c r="G36" s="20" t="n"/>
      <c r="H36" s="21" t="n"/>
      <c r="I36" s="17" t="n"/>
      <c r="J36" s="18" t="n"/>
      <c r="K36" s="22" t="n"/>
      <c r="L36" s="23">
        <f>IF(C36="","",ROUND(N(F36)*(1+N(G36)/100*IF(N(H36)&gt;0,N(H36)*IF(I36="Week",7/365,IF(I36="2 weeks",14/365,1/12)),IF(ISNUMBER(E36),MAX(0,TODAY()-E36)/365,0))),2))</f>
        <v/>
      </c>
      <c r="M36" s="23">
        <f>IF(OR(C36="",N(H36)&lt;=0),"",ROUND(L36/N(H36),2))</f>
        <v/>
      </c>
      <c r="N36" s="23">
        <f>IF(C36="","",SUMIFS(Payments!$D$6:$D$805,Payments!$G$6:$G$805,B36))</f>
        <v/>
      </c>
      <c r="O36" s="24">
        <f>IF(C36="","",ROUND(L36-N36,2))</f>
        <v/>
      </c>
      <c r="P36" s="11">
        <f>IF(OR(U36="",N(O36)&lt;=0),"",IF(I36="Week",J36+7*U36,IF(I36="2 weeks",J36+14*U36,EDATE(J36,U36))))</f>
        <v/>
      </c>
      <c r="Q36" s="23">
        <f>IF(P36="","",IF(U36=N(H36)-1,O36,ROUND(M36*(U36+1)-N36,2)))</f>
        <v/>
      </c>
      <c r="R36" s="25">
        <f>IF(C36="","",IF(O36&lt;=0,"Paid off",IF(OR(M36="",NOT(ISNUMBER(J36))),"Open",IF(W36&gt;0,"Overdue",IF(AND(ISNUMBER(P36),P36-TODAY()&lt;=Settings!$C$6),"Due soon","On track")))))</f>
        <v/>
      </c>
      <c r="S36" s="1">
        <f>IF(C36="","",B36&amp;" "&amp;C36)</f>
        <v/>
      </c>
      <c r="T36">
        <f>IF(OR(M36="",NOT(ISNUMBER(J36))),"",MIN(N(H36),IF(I36="Week",IF((TODAY()-1)&lt;J36,0,INT(((TODAY()-1)-J36)/7)+1),IF(I36="2 weeks",IF((TODAY()-1)&lt;J36,0,INT(((TODAY()-1)-J36)/14)+1),IF(((YEAR((TODAY()-1))-YEAR(J36))*12+MONTH((TODAY()-1))-MONTH(J36))&lt;0,0,IF(EDATE(J36,((YEAR((TODAY()-1))-YEAR(J36))*12+MONTH((TODAY()-1))-MONTH(J36)))&lt;=(TODAY()-1),((YEAR((TODAY()-1))-YEAR(J36))*12+MONTH((TODAY()-1))-MONTH(J36))+1,((YEAR((TODAY()-1))-YEAR(J36))*12+MONTH((TODAY()-1))-MONTH(J36))))))))</f>
        <v/>
      </c>
      <c r="U36">
        <f>IF(OR(M36="",NOT(ISNUMBER(J36))),"",IF(N(M36)&lt;=0,"",MIN(N(H36)-1,INT(ROUND(N36/M36,6)))))</f>
        <v/>
      </c>
      <c r="V36">
        <f>IF(T36="","",IF(T36&gt;=N(H36),L36,M36*T36))</f>
        <v/>
      </c>
      <c r="W36">
        <f>IF(V36="",0,MAX(0,ROUND(V36-N36,2)))</f>
        <v/>
      </c>
      <c r="X36">
        <f>IF(OR(R36="",R36="Paid off",NOT(ISNUMBER(P36))),"",P36*1000+ROW())</f>
        <v/>
      </c>
      <c r="Y36">
        <f>IF(C36="","",IF(AND(COUNTIF(C$6:C36,C36)=1,SUMIFS(Loans!$O$6:$O$305,Loans!$C$6:$C$305,C36,Loans!$O$6:$O$305,"&gt;0")&gt;0),ROW(),""))</f>
        <v/>
      </c>
      <c r="Z36">
        <f>IF(OR(C36="",P36=""),"",IF(D36="I borrowed","From you","To you"))</f>
        <v/>
      </c>
    </row>
    <row r="37">
      <c r="A37" s="1" t="n"/>
      <c r="B37" s="15" t="n">
        <v>32</v>
      </c>
      <c r="C37" s="16" t="n"/>
      <c r="D37" s="17" t="n"/>
      <c r="E37" s="18" t="n"/>
      <c r="F37" s="19" t="n"/>
      <c r="G37" s="20" t="n"/>
      <c r="H37" s="21" t="n"/>
      <c r="I37" s="17" t="n"/>
      <c r="J37" s="18" t="n"/>
      <c r="K37" s="22" t="n"/>
      <c r="L37" s="23">
        <f>IF(C37="","",ROUND(N(F37)*(1+N(G37)/100*IF(N(H37)&gt;0,N(H37)*IF(I37="Week",7/365,IF(I37="2 weeks",14/365,1/12)),IF(ISNUMBER(E37),MAX(0,TODAY()-E37)/365,0))),2))</f>
        <v/>
      </c>
      <c r="M37" s="23">
        <f>IF(OR(C37="",N(H37)&lt;=0),"",ROUND(L37/N(H37),2))</f>
        <v/>
      </c>
      <c r="N37" s="23">
        <f>IF(C37="","",SUMIFS(Payments!$D$6:$D$805,Payments!$G$6:$G$805,B37))</f>
        <v/>
      </c>
      <c r="O37" s="24">
        <f>IF(C37="","",ROUND(L37-N37,2))</f>
        <v/>
      </c>
      <c r="P37" s="11">
        <f>IF(OR(U37="",N(O37)&lt;=0),"",IF(I37="Week",J37+7*U37,IF(I37="2 weeks",J37+14*U37,EDATE(J37,U37))))</f>
        <v/>
      </c>
      <c r="Q37" s="23">
        <f>IF(P37="","",IF(U37=N(H37)-1,O37,ROUND(M37*(U37+1)-N37,2)))</f>
        <v/>
      </c>
      <c r="R37" s="25">
        <f>IF(C37="","",IF(O37&lt;=0,"Paid off",IF(OR(M37="",NOT(ISNUMBER(J37))),"Open",IF(W37&gt;0,"Overdue",IF(AND(ISNUMBER(P37),P37-TODAY()&lt;=Settings!$C$6),"Due soon","On track")))))</f>
        <v/>
      </c>
      <c r="S37" s="1">
        <f>IF(C37="","",B37&amp;" "&amp;C37)</f>
        <v/>
      </c>
      <c r="T37">
        <f>IF(OR(M37="",NOT(ISNUMBER(J37))),"",MIN(N(H37),IF(I37="Week",IF((TODAY()-1)&lt;J37,0,INT(((TODAY()-1)-J37)/7)+1),IF(I37="2 weeks",IF((TODAY()-1)&lt;J37,0,INT(((TODAY()-1)-J37)/14)+1),IF(((YEAR((TODAY()-1))-YEAR(J37))*12+MONTH((TODAY()-1))-MONTH(J37))&lt;0,0,IF(EDATE(J37,((YEAR((TODAY()-1))-YEAR(J37))*12+MONTH((TODAY()-1))-MONTH(J37)))&lt;=(TODAY()-1),((YEAR((TODAY()-1))-YEAR(J37))*12+MONTH((TODAY()-1))-MONTH(J37))+1,((YEAR((TODAY()-1))-YEAR(J37))*12+MONTH((TODAY()-1))-MONTH(J37))))))))</f>
        <v/>
      </c>
      <c r="U37">
        <f>IF(OR(M37="",NOT(ISNUMBER(J37))),"",IF(N(M37)&lt;=0,"",MIN(N(H37)-1,INT(ROUND(N37/M37,6)))))</f>
        <v/>
      </c>
      <c r="V37">
        <f>IF(T37="","",IF(T37&gt;=N(H37),L37,M37*T37))</f>
        <v/>
      </c>
      <c r="W37">
        <f>IF(V37="",0,MAX(0,ROUND(V37-N37,2)))</f>
        <v/>
      </c>
      <c r="X37">
        <f>IF(OR(R37="",R37="Paid off",NOT(ISNUMBER(P37))),"",P37*1000+ROW())</f>
        <v/>
      </c>
      <c r="Y37">
        <f>IF(C37="","",IF(AND(COUNTIF(C$6:C37,C37)=1,SUMIFS(Loans!$O$6:$O$305,Loans!$C$6:$C$305,C37,Loans!$O$6:$O$305,"&gt;0")&gt;0),ROW(),""))</f>
        <v/>
      </c>
      <c r="Z37">
        <f>IF(OR(C37="",P37=""),"",IF(D37="I borrowed","From you","To you"))</f>
        <v/>
      </c>
    </row>
    <row r="38">
      <c r="A38" s="1" t="n"/>
      <c r="B38" s="15" t="n">
        <v>33</v>
      </c>
      <c r="C38" s="16" t="n"/>
      <c r="D38" s="17" t="n"/>
      <c r="E38" s="18" t="n"/>
      <c r="F38" s="19" t="n"/>
      <c r="G38" s="20" t="n"/>
      <c r="H38" s="21" t="n"/>
      <c r="I38" s="17" t="n"/>
      <c r="J38" s="18" t="n"/>
      <c r="K38" s="22" t="n"/>
      <c r="L38" s="23">
        <f>IF(C38="","",ROUND(N(F38)*(1+N(G38)/100*IF(N(H38)&gt;0,N(H38)*IF(I38="Week",7/365,IF(I38="2 weeks",14/365,1/12)),IF(ISNUMBER(E38),MAX(0,TODAY()-E38)/365,0))),2))</f>
        <v/>
      </c>
      <c r="M38" s="23">
        <f>IF(OR(C38="",N(H38)&lt;=0),"",ROUND(L38/N(H38),2))</f>
        <v/>
      </c>
      <c r="N38" s="23">
        <f>IF(C38="","",SUMIFS(Payments!$D$6:$D$805,Payments!$G$6:$G$805,B38))</f>
        <v/>
      </c>
      <c r="O38" s="24">
        <f>IF(C38="","",ROUND(L38-N38,2))</f>
        <v/>
      </c>
      <c r="P38" s="11">
        <f>IF(OR(U38="",N(O38)&lt;=0),"",IF(I38="Week",J38+7*U38,IF(I38="2 weeks",J38+14*U38,EDATE(J38,U38))))</f>
        <v/>
      </c>
      <c r="Q38" s="23">
        <f>IF(P38="","",IF(U38=N(H38)-1,O38,ROUND(M38*(U38+1)-N38,2)))</f>
        <v/>
      </c>
      <c r="R38" s="25">
        <f>IF(C38="","",IF(O38&lt;=0,"Paid off",IF(OR(M38="",NOT(ISNUMBER(J38))),"Open",IF(W38&gt;0,"Overdue",IF(AND(ISNUMBER(P38),P38-TODAY()&lt;=Settings!$C$6),"Due soon","On track")))))</f>
        <v/>
      </c>
      <c r="S38" s="1">
        <f>IF(C38="","",B38&amp;" "&amp;C38)</f>
        <v/>
      </c>
      <c r="T38">
        <f>IF(OR(M38="",NOT(ISNUMBER(J38))),"",MIN(N(H38),IF(I38="Week",IF((TODAY()-1)&lt;J38,0,INT(((TODAY()-1)-J38)/7)+1),IF(I38="2 weeks",IF((TODAY()-1)&lt;J38,0,INT(((TODAY()-1)-J38)/14)+1),IF(((YEAR((TODAY()-1))-YEAR(J38))*12+MONTH((TODAY()-1))-MONTH(J38))&lt;0,0,IF(EDATE(J38,((YEAR((TODAY()-1))-YEAR(J38))*12+MONTH((TODAY()-1))-MONTH(J38)))&lt;=(TODAY()-1),((YEAR((TODAY()-1))-YEAR(J38))*12+MONTH((TODAY()-1))-MONTH(J38))+1,((YEAR((TODAY()-1))-YEAR(J38))*12+MONTH((TODAY()-1))-MONTH(J38))))))))</f>
        <v/>
      </c>
      <c r="U38">
        <f>IF(OR(M38="",NOT(ISNUMBER(J38))),"",IF(N(M38)&lt;=0,"",MIN(N(H38)-1,INT(ROUND(N38/M38,6)))))</f>
        <v/>
      </c>
      <c r="V38">
        <f>IF(T38="","",IF(T38&gt;=N(H38),L38,M38*T38))</f>
        <v/>
      </c>
      <c r="W38">
        <f>IF(V38="",0,MAX(0,ROUND(V38-N38,2)))</f>
        <v/>
      </c>
      <c r="X38">
        <f>IF(OR(R38="",R38="Paid off",NOT(ISNUMBER(P38))),"",P38*1000+ROW())</f>
        <v/>
      </c>
      <c r="Y38">
        <f>IF(C38="","",IF(AND(COUNTIF(C$6:C38,C38)=1,SUMIFS(Loans!$O$6:$O$305,Loans!$C$6:$C$305,C38,Loans!$O$6:$O$305,"&gt;0")&gt;0),ROW(),""))</f>
        <v/>
      </c>
      <c r="Z38">
        <f>IF(OR(C38="",P38=""),"",IF(D38="I borrowed","From you","To you"))</f>
        <v/>
      </c>
    </row>
    <row r="39">
      <c r="A39" s="1" t="n"/>
      <c r="B39" s="15" t="n">
        <v>34</v>
      </c>
      <c r="C39" s="16" t="n"/>
      <c r="D39" s="17" t="n"/>
      <c r="E39" s="18" t="n"/>
      <c r="F39" s="19" t="n"/>
      <c r="G39" s="20" t="n"/>
      <c r="H39" s="21" t="n"/>
      <c r="I39" s="17" t="n"/>
      <c r="J39" s="18" t="n"/>
      <c r="K39" s="22" t="n"/>
      <c r="L39" s="23">
        <f>IF(C39="","",ROUND(N(F39)*(1+N(G39)/100*IF(N(H39)&gt;0,N(H39)*IF(I39="Week",7/365,IF(I39="2 weeks",14/365,1/12)),IF(ISNUMBER(E39),MAX(0,TODAY()-E39)/365,0))),2))</f>
        <v/>
      </c>
      <c r="M39" s="23">
        <f>IF(OR(C39="",N(H39)&lt;=0),"",ROUND(L39/N(H39),2))</f>
        <v/>
      </c>
      <c r="N39" s="23">
        <f>IF(C39="","",SUMIFS(Payments!$D$6:$D$805,Payments!$G$6:$G$805,B39))</f>
        <v/>
      </c>
      <c r="O39" s="24">
        <f>IF(C39="","",ROUND(L39-N39,2))</f>
        <v/>
      </c>
      <c r="P39" s="11">
        <f>IF(OR(U39="",N(O39)&lt;=0),"",IF(I39="Week",J39+7*U39,IF(I39="2 weeks",J39+14*U39,EDATE(J39,U39))))</f>
        <v/>
      </c>
      <c r="Q39" s="23">
        <f>IF(P39="","",IF(U39=N(H39)-1,O39,ROUND(M39*(U39+1)-N39,2)))</f>
        <v/>
      </c>
      <c r="R39" s="25">
        <f>IF(C39="","",IF(O39&lt;=0,"Paid off",IF(OR(M39="",NOT(ISNUMBER(J39))),"Open",IF(W39&gt;0,"Overdue",IF(AND(ISNUMBER(P39),P39-TODAY()&lt;=Settings!$C$6),"Due soon","On track")))))</f>
        <v/>
      </c>
      <c r="S39" s="1">
        <f>IF(C39="","",B39&amp;" "&amp;C39)</f>
        <v/>
      </c>
      <c r="T39">
        <f>IF(OR(M39="",NOT(ISNUMBER(J39))),"",MIN(N(H39),IF(I39="Week",IF((TODAY()-1)&lt;J39,0,INT(((TODAY()-1)-J39)/7)+1),IF(I39="2 weeks",IF((TODAY()-1)&lt;J39,0,INT(((TODAY()-1)-J39)/14)+1),IF(((YEAR((TODAY()-1))-YEAR(J39))*12+MONTH((TODAY()-1))-MONTH(J39))&lt;0,0,IF(EDATE(J39,((YEAR((TODAY()-1))-YEAR(J39))*12+MONTH((TODAY()-1))-MONTH(J39)))&lt;=(TODAY()-1),((YEAR((TODAY()-1))-YEAR(J39))*12+MONTH((TODAY()-1))-MONTH(J39))+1,((YEAR((TODAY()-1))-YEAR(J39))*12+MONTH((TODAY()-1))-MONTH(J39))))))))</f>
        <v/>
      </c>
      <c r="U39">
        <f>IF(OR(M39="",NOT(ISNUMBER(J39))),"",IF(N(M39)&lt;=0,"",MIN(N(H39)-1,INT(ROUND(N39/M39,6)))))</f>
        <v/>
      </c>
      <c r="V39">
        <f>IF(T39="","",IF(T39&gt;=N(H39),L39,M39*T39))</f>
        <v/>
      </c>
      <c r="W39">
        <f>IF(V39="",0,MAX(0,ROUND(V39-N39,2)))</f>
        <v/>
      </c>
      <c r="X39">
        <f>IF(OR(R39="",R39="Paid off",NOT(ISNUMBER(P39))),"",P39*1000+ROW())</f>
        <v/>
      </c>
      <c r="Y39">
        <f>IF(C39="","",IF(AND(COUNTIF(C$6:C39,C39)=1,SUMIFS(Loans!$O$6:$O$305,Loans!$C$6:$C$305,C39,Loans!$O$6:$O$305,"&gt;0")&gt;0),ROW(),""))</f>
        <v/>
      </c>
      <c r="Z39">
        <f>IF(OR(C39="",P39=""),"",IF(D39="I borrowed","From you","To you"))</f>
        <v/>
      </c>
    </row>
    <row r="40">
      <c r="A40" s="1" t="n"/>
      <c r="B40" s="15" t="n">
        <v>35</v>
      </c>
      <c r="C40" s="16" t="n"/>
      <c r="D40" s="17" t="n"/>
      <c r="E40" s="18" t="n"/>
      <c r="F40" s="19" t="n"/>
      <c r="G40" s="20" t="n"/>
      <c r="H40" s="21" t="n"/>
      <c r="I40" s="17" t="n"/>
      <c r="J40" s="18" t="n"/>
      <c r="K40" s="22" t="n"/>
      <c r="L40" s="23">
        <f>IF(C40="","",ROUND(N(F40)*(1+N(G40)/100*IF(N(H40)&gt;0,N(H40)*IF(I40="Week",7/365,IF(I40="2 weeks",14/365,1/12)),IF(ISNUMBER(E40),MAX(0,TODAY()-E40)/365,0))),2))</f>
        <v/>
      </c>
      <c r="M40" s="23">
        <f>IF(OR(C40="",N(H40)&lt;=0),"",ROUND(L40/N(H40),2))</f>
        <v/>
      </c>
      <c r="N40" s="23">
        <f>IF(C40="","",SUMIFS(Payments!$D$6:$D$805,Payments!$G$6:$G$805,B40))</f>
        <v/>
      </c>
      <c r="O40" s="24">
        <f>IF(C40="","",ROUND(L40-N40,2))</f>
        <v/>
      </c>
      <c r="P40" s="11">
        <f>IF(OR(U40="",N(O40)&lt;=0),"",IF(I40="Week",J40+7*U40,IF(I40="2 weeks",J40+14*U40,EDATE(J40,U40))))</f>
        <v/>
      </c>
      <c r="Q40" s="23">
        <f>IF(P40="","",IF(U40=N(H40)-1,O40,ROUND(M40*(U40+1)-N40,2)))</f>
        <v/>
      </c>
      <c r="R40" s="25">
        <f>IF(C40="","",IF(O40&lt;=0,"Paid off",IF(OR(M40="",NOT(ISNUMBER(J40))),"Open",IF(W40&gt;0,"Overdue",IF(AND(ISNUMBER(P40),P40-TODAY()&lt;=Settings!$C$6),"Due soon","On track")))))</f>
        <v/>
      </c>
      <c r="S40" s="1">
        <f>IF(C40="","",B40&amp;" "&amp;C40)</f>
        <v/>
      </c>
      <c r="T40">
        <f>IF(OR(M40="",NOT(ISNUMBER(J40))),"",MIN(N(H40),IF(I40="Week",IF((TODAY()-1)&lt;J40,0,INT(((TODAY()-1)-J40)/7)+1),IF(I40="2 weeks",IF((TODAY()-1)&lt;J40,0,INT(((TODAY()-1)-J40)/14)+1),IF(((YEAR((TODAY()-1))-YEAR(J40))*12+MONTH((TODAY()-1))-MONTH(J40))&lt;0,0,IF(EDATE(J40,((YEAR((TODAY()-1))-YEAR(J40))*12+MONTH((TODAY()-1))-MONTH(J40)))&lt;=(TODAY()-1),((YEAR((TODAY()-1))-YEAR(J40))*12+MONTH((TODAY()-1))-MONTH(J40))+1,((YEAR((TODAY()-1))-YEAR(J40))*12+MONTH((TODAY()-1))-MONTH(J40))))))))</f>
        <v/>
      </c>
      <c r="U40">
        <f>IF(OR(M40="",NOT(ISNUMBER(J40))),"",IF(N(M40)&lt;=0,"",MIN(N(H40)-1,INT(ROUND(N40/M40,6)))))</f>
        <v/>
      </c>
      <c r="V40">
        <f>IF(T40="","",IF(T40&gt;=N(H40),L40,M40*T40))</f>
        <v/>
      </c>
      <c r="W40">
        <f>IF(V40="",0,MAX(0,ROUND(V40-N40,2)))</f>
        <v/>
      </c>
      <c r="X40">
        <f>IF(OR(R40="",R40="Paid off",NOT(ISNUMBER(P40))),"",P40*1000+ROW())</f>
        <v/>
      </c>
      <c r="Y40">
        <f>IF(C40="","",IF(AND(COUNTIF(C$6:C40,C40)=1,SUMIFS(Loans!$O$6:$O$305,Loans!$C$6:$C$305,C40,Loans!$O$6:$O$305,"&gt;0")&gt;0),ROW(),""))</f>
        <v/>
      </c>
      <c r="Z40">
        <f>IF(OR(C40="",P40=""),"",IF(D40="I borrowed","From you","To you"))</f>
        <v/>
      </c>
    </row>
    <row r="41">
      <c r="A41" s="1" t="n"/>
      <c r="B41" s="15" t="n">
        <v>36</v>
      </c>
      <c r="C41" s="16" t="n"/>
      <c r="D41" s="17" t="n"/>
      <c r="E41" s="18" t="n"/>
      <c r="F41" s="19" t="n"/>
      <c r="G41" s="20" t="n"/>
      <c r="H41" s="21" t="n"/>
      <c r="I41" s="17" t="n"/>
      <c r="J41" s="18" t="n"/>
      <c r="K41" s="22" t="n"/>
      <c r="L41" s="23">
        <f>IF(C41="","",ROUND(N(F41)*(1+N(G41)/100*IF(N(H41)&gt;0,N(H41)*IF(I41="Week",7/365,IF(I41="2 weeks",14/365,1/12)),IF(ISNUMBER(E41),MAX(0,TODAY()-E41)/365,0))),2))</f>
        <v/>
      </c>
      <c r="M41" s="23">
        <f>IF(OR(C41="",N(H41)&lt;=0),"",ROUND(L41/N(H41),2))</f>
        <v/>
      </c>
      <c r="N41" s="23">
        <f>IF(C41="","",SUMIFS(Payments!$D$6:$D$805,Payments!$G$6:$G$805,B41))</f>
        <v/>
      </c>
      <c r="O41" s="24">
        <f>IF(C41="","",ROUND(L41-N41,2))</f>
        <v/>
      </c>
      <c r="P41" s="11">
        <f>IF(OR(U41="",N(O41)&lt;=0),"",IF(I41="Week",J41+7*U41,IF(I41="2 weeks",J41+14*U41,EDATE(J41,U41))))</f>
        <v/>
      </c>
      <c r="Q41" s="23">
        <f>IF(P41="","",IF(U41=N(H41)-1,O41,ROUND(M41*(U41+1)-N41,2)))</f>
        <v/>
      </c>
      <c r="R41" s="25">
        <f>IF(C41="","",IF(O41&lt;=0,"Paid off",IF(OR(M41="",NOT(ISNUMBER(J41))),"Open",IF(W41&gt;0,"Overdue",IF(AND(ISNUMBER(P41),P41-TODAY()&lt;=Settings!$C$6),"Due soon","On track")))))</f>
        <v/>
      </c>
      <c r="S41" s="1">
        <f>IF(C41="","",B41&amp;" "&amp;C41)</f>
        <v/>
      </c>
      <c r="T41">
        <f>IF(OR(M41="",NOT(ISNUMBER(J41))),"",MIN(N(H41),IF(I41="Week",IF((TODAY()-1)&lt;J41,0,INT(((TODAY()-1)-J41)/7)+1),IF(I41="2 weeks",IF((TODAY()-1)&lt;J41,0,INT(((TODAY()-1)-J41)/14)+1),IF(((YEAR((TODAY()-1))-YEAR(J41))*12+MONTH((TODAY()-1))-MONTH(J41))&lt;0,0,IF(EDATE(J41,((YEAR((TODAY()-1))-YEAR(J41))*12+MONTH((TODAY()-1))-MONTH(J41)))&lt;=(TODAY()-1),((YEAR((TODAY()-1))-YEAR(J41))*12+MONTH((TODAY()-1))-MONTH(J41))+1,((YEAR((TODAY()-1))-YEAR(J41))*12+MONTH((TODAY()-1))-MONTH(J41))))))))</f>
        <v/>
      </c>
      <c r="U41">
        <f>IF(OR(M41="",NOT(ISNUMBER(J41))),"",IF(N(M41)&lt;=0,"",MIN(N(H41)-1,INT(ROUND(N41/M41,6)))))</f>
        <v/>
      </c>
      <c r="V41">
        <f>IF(T41="","",IF(T41&gt;=N(H41),L41,M41*T41))</f>
        <v/>
      </c>
      <c r="W41">
        <f>IF(V41="",0,MAX(0,ROUND(V41-N41,2)))</f>
        <v/>
      </c>
      <c r="X41">
        <f>IF(OR(R41="",R41="Paid off",NOT(ISNUMBER(P41))),"",P41*1000+ROW())</f>
        <v/>
      </c>
      <c r="Y41">
        <f>IF(C41="","",IF(AND(COUNTIF(C$6:C41,C41)=1,SUMIFS(Loans!$O$6:$O$305,Loans!$C$6:$C$305,C41,Loans!$O$6:$O$305,"&gt;0")&gt;0),ROW(),""))</f>
        <v/>
      </c>
      <c r="Z41">
        <f>IF(OR(C41="",P41=""),"",IF(D41="I borrowed","From you","To you"))</f>
        <v/>
      </c>
    </row>
    <row r="42">
      <c r="A42" s="1" t="n"/>
      <c r="B42" s="15" t="n">
        <v>37</v>
      </c>
      <c r="C42" s="16" t="n"/>
      <c r="D42" s="17" t="n"/>
      <c r="E42" s="18" t="n"/>
      <c r="F42" s="19" t="n"/>
      <c r="G42" s="20" t="n"/>
      <c r="H42" s="21" t="n"/>
      <c r="I42" s="17" t="n"/>
      <c r="J42" s="18" t="n"/>
      <c r="K42" s="22" t="n"/>
      <c r="L42" s="23">
        <f>IF(C42="","",ROUND(N(F42)*(1+N(G42)/100*IF(N(H42)&gt;0,N(H42)*IF(I42="Week",7/365,IF(I42="2 weeks",14/365,1/12)),IF(ISNUMBER(E42),MAX(0,TODAY()-E42)/365,0))),2))</f>
        <v/>
      </c>
      <c r="M42" s="23">
        <f>IF(OR(C42="",N(H42)&lt;=0),"",ROUND(L42/N(H42),2))</f>
        <v/>
      </c>
      <c r="N42" s="23">
        <f>IF(C42="","",SUMIFS(Payments!$D$6:$D$805,Payments!$G$6:$G$805,B42))</f>
        <v/>
      </c>
      <c r="O42" s="24">
        <f>IF(C42="","",ROUND(L42-N42,2))</f>
        <v/>
      </c>
      <c r="P42" s="11">
        <f>IF(OR(U42="",N(O42)&lt;=0),"",IF(I42="Week",J42+7*U42,IF(I42="2 weeks",J42+14*U42,EDATE(J42,U42))))</f>
        <v/>
      </c>
      <c r="Q42" s="23">
        <f>IF(P42="","",IF(U42=N(H42)-1,O42,ROUND(M42*(U42+1)-N42,2)))</f>
        <v/>
      </c>
      <c r="R42" s="25">
        <f>IF(C42="","",IF(O42&lt;=0,"Paid off",IF(OR(M42="",NOT(ISNUMBER(J42))),"Open",IF(W42&gt;0,"Overdue",IF(AND(ISNUMBER(P42),P42-TODAY()&lt;=Settings!$C$6),"Due soon","On track")))))</f>
        <v/>
      </c>
      <c r="S42" s="1">
        <f>IF(C42="","",B42&amp;" "&amp;C42)</f>
        <v/>
      </c>
      <c r="T42">
        <f>IF(OR(M42="",NOT(ISNUMBER(J42))),"",MIN(N(H42),IF(I42="Week",IF((TODAY()-1)&lt;J42,0,INT(((TODAY()-1)-J42)/7)+1),IF(I42="2 weeks",IF((TODAY()-1)&lt;J42,0,INT(((TODAY()-1)-J42)/14)+1),IF(((YEAR((TODAY()-1))-YEAR(J42))*12+MONTH((TODAY()-1))-MONTH(J42))&lt;0,0,IF(EDATE(J42,((YEAR((TODAY()-1))-YEAR(J42))*12+MONTH((TODAY()-1))-MONTH(J42)))&lt;=(TODAY()-1),((YEAR((TODAY()-1))-YEAR(J42))*12+MONTH((TODAY()-1))-MONTH(J42))+1,((YEAR((TODAY()-1))-YEAR(J42))*12+MONTH((TODAY()-1))-MONTH(J42))))))))</f>
        <v/>
      </c>
      <c r="U42">
        <f>IF(OR(M42="",NOT(ISNUMBER(J42))),"",IF(N(M42)&lt;=0,"",MIN(N(H42)-1,INT(ROUND(N42/M42,6)))))</f>
        <v/>
      </c>
      <c r="V42">
        <f>IF(T42="","",IF(T42&gt;=N(H42),L42,M42*T42))</f>
        <v/>
      </c>
      <c r="W42">
        <f>IF(V42="",0,MAX(0,ROUND(V42-N42,2)))</f>
        <v/>
      </c>
      <c r="X42">
        <f>IF(OR(R42="",R42="Paid off",NOT(ISNUMBER(P42))),"",P42*1000+ROW())</f>
        <v/>
      </c>
      <c r="Y42">
        <f>IF(C42="","",IF(AND(COUNTIF(C$6:C42,C42)=1,SUMIFS(Loans!$O$6:$O$305,Loans!$C$6:$C$305,C42,Loans!$O$6:$O$305,"&gt;0")&gt;0),ROW(),""))</f>
        <v/>
      </c>
      <c r="Z42">
        <f>IF(OR(C42="",P42=""),"",IF(D42="I borrowed","From you","To you"))</f>
        <v/>
      </c>
    </row>
    <row r="43">
      <c r="A43" s="1" t="n"/>
      <c r="B43" s="15" t="n">
        <v>38</v>
      </c>
      <c r="C43" s="16" t="n"/>
      <c r="D43" s="17" t="n"/>
      <c r="E43" s="18" t="n"/>
      <c r="F43" s="19" t="n"/>
      <c r="G43" s="20" t="n"/>
      <c r="H43" s="21" t="n"/>
      <c r="I43" s="17" t="n"/>
      <c r="J43" s="18" t="n"/>
      <c r="K43" s="22" t="n"/>
      <c r="L43" s="23">
        <f>IF(C43="","",ROUND(N(F43)*(1+N(G43)/100*IF(N(H43)&gt;0,N(H43)*IF(I43="Week",7/365,IF(I43="2 weeks",14/365,1/12)),IF(ISNUMBER(E43),MAX(0,TODAY()-E43)/365,0))),2))</f>
        <v/>
      </c>
      <c r="M43" s="23">
        <f>IF(OR(C43="",N(H43)&lt;=0),"",ROUND(L43/N(H43),2))</f>
        <v/>
      </c>
      <c r="N43" s="23">
        <f>IF(C43="","",SUMIFS(Payments!$D$6:$D$805,Payments!$G$6:$G$805,B43))</f>
        <v/>
      </c>
      <c r="O43" s="24">
        <f>IF(C43="","",ROUND(L43-N43,2))</f>
        <v/>
      </c>
      <c r="P43" s="11">
        <f>IF(OR(U43="",N(O43)&lt;=0),"",IF(I43="Week",J43+7*U43,IF(I43="2 weeks",J43+14*U43,EDATE(J43,U43))))</f>
        <v/>
      </c>
      <c r="Q43" s="23">
        <f>IF(P43="","",IF(U43=N(H43)-1,O43,ROUND(M43*(U43+1)-N43,2)))</f>
        <v/>
      </c>
      <c r="R43" s="25">
        <f>IF(C43="","",IF(O43&lt;=0,"Paid off",IF(OR(M43="",NOT(ISNUMBER(J43))),"Open",IF(W43&gt;0,"Overdue",IF(AND(ISNUMBER(P43),P43-TODAY()&lt;=Settings!$C$6),"Due soon","On track")))))</f>
        <v/>
      </c>
      <c r="S43" s="1">
        <f>IF(C43="","",B43&amp;" "&amp;C43)</f>
        <v/>
      </c>
      <c r="T43">
        <f>IF(OR(M43="",NOT(ISNUMBER(J43))),"",MIN(N(H43),IF(I43="Week",IF((TODAY()-1)&lt;J43,0,INT(((TODAY()-1)-J43)/7)+1),IF(I43="2 weeks",IF((TODAY()-1)&lt;J43,0,INT(((TODAY()-1)-J43)/14)+1),IF(((YEAR((TODAY()-1))-YEAR(J43))*12+MONTH((TODAY()-1))-MONTH(J43))&lt;0,0,IF(EDATE(J43,((YEAR((TODAY()-1))-YEAR(J43))*12+MONTH((TODAY()-1))-MONTH(J43)))&lt;=(TODAY()-1),((YEAR((TODAY()-1))-YEAR(J43))*12+MONTH((TODAY()-1))-MONTH(J43))+1,((YEAR((TODAY()-1))-YEAR(J43))*12+MONTH((TODAY()-1))-MONTH(J43))))))))</f>
        <v/>
      </c>
      <c r="U43">
        <f>IF(OR(M43="",NOT(ISNUMBER(J43))),"",IF(N(M43)&lt;=0,"",MIN(N(H43)-1,INT(ROUND(N43/M43,6)))))</f>
        <v/>
      </c>
      <c r="V43">
        <f>IF(T43="","",IF(T43&gt;=N(H43),L43,M43*T43))</f>
        <v/>
      </c>
      <c r="W43">
        <f>IF(V43="",0,MAX(0,ROUND(V43-N43,2)))</f>
        <v/>
      </c>
      <c r="X43">
        <f>IF(OR(R43="",R43="Paid off",NOT(ISNUMBER(P43))),"",P43*1000+ROW())</f>
        <v/>
      </c>
      <c r="Y43">
        <f>IF(C43="","",IF(AND(COUNTIF(C$6:C43,C43)=1,SUMIFS(Loans!$O$6:$O$305,Loans!$C$6:$C$305,C43,Loans!$O$6:$O$305,"&gt;0")&gt;0),ROW(),""))</f>
        <v/>
      </c>
      <c r="Z43">
        <f>IF(OR(C43="",P43=""),"",IF(D43="I borrowed","From you","To you"))</f>
        <v/>
      </c>
    </row>
    <row r="44">
      <c r="A44" s="1" t="n"/>
      <c r="B44" s="15" t="n">
        <v>39</v>
      </c>
      <c r="C44" s="16" t="n"/>
      <c r="D44" s="17" t="n"/>
      <c r="E44" s="18" t="n"/>
      <c r="F44" s="19" t="n"/>
      <c r="G44" s="20" t="n"/>
      <c r="H44" s="21" t="n"/>
      <c r="I44" s="17" t="n"/>
      <c r="J44" s="18" t="n"/>
      <c r="K44" s="22" t="n"/>
      <c r="L44" s="23">
        <f>IF(C44="","",ROUND(N(F44)*(1+N(G44)/100*IF(N(H44)&gt;0,N(H44)*IF(I44="Week",7/365,IF(I44="2 weeks",14/365,1/12)),IF(ISNUMBER(E44),MAX(0,TODAY()-E44)/365,0))),2))</f>
        <v/>
      </c>
      <c r="M44" s="23">
        <f>IF(OR(C44="",N(H44)&lt;=0),"",ROUND(L44/N(H44),2))</f>
        <v/>
      </c>
      <c r="N44" s="23">
        <f>IF(C44="","",SUMIFS(Payments!$D$6:$D$805,Payments!$G$6:$G$805,B44))</f>
        <v/>
      </c>
      <c r="O44" s="24">
        <f>IF(C44="","",ROUND(L44-N44,2))</f>
        <v/>
      </c>
      <c r="P44" s="11">
        <f>IF(OR(U44="",N(O44)&lt;=0),"",IF(I44="Week",J44+7*U44,IF(I44="2 weeks",J44+14*U44,EDATE(J44,U44))))</f>
        <v/>
      </c>
      <c r="Q44" s="23">
        <f>IF(P44="","",IF(U44=N(H44)-1,O44,ROUND(M44*(U44+1)-N44,2)))</f>
        <v/>
      </c>
      <c r="R44" s="25">
        <f>IF(C44="","",IF(O44&lt;=0,"Paid off",IF(OR(M44="",NOT(ISNUMBER(J44))),"Open",IF(W44&gt;0,"Overdue",IF(AND(ISNUMBER(P44),P44-TODAY()&lt;=Settings!$C$6),"Due soon","On track")))))</f>
        <v/>
      </c>
      <c r="S44" s="1">
        <f>IF(C44="","",B44&amp;" "&amp;C44)</f>
        <v/>
      </c>
      <c r="T44">
        <f>IF(OR(M44="",NOT(ISNUMBER(J44))),"",MIN(N(H44),IF(I44="Week",IF((TODAY()-1)&lt;J44,0,INT(((TODAY()-1)-J44)/7)+1),IF(I44="2 weeks",IF((TODAY()-1)&lt;J44,0,INT(((TODAY()-1)-J44)/14)+1),IF(((YEAR((TODAY()-1))-YEAR(J44))*12+MONTH((TODAY()-1))-MONTH(J44))&lt;0,0,IF(EDATE(J44,((YEAR((TODAY()-1))-YEAR(J44))*12+MONTH((TODAY()-1))-MONTH(J44)))&lt;=(TODAY()-1),((YEAR((TODAY()-1))-YEAR(J44))*12+MONTH((TODAY()-1))-MONTH(J44))+1,((YEAR((TODAY()-1))-YEAR(J44))*12+MONTH((TODAY()-1))-MONTH(J44))))))))</f>
        <v/>
      </c>
      <c r="U44">
        <f>IF(OR(M44="",NOT(ISNUMBER(J44))),"",IF(N(M44)&lt;=0,"",MIN(N(H44)-1,INT(ROUND(N44/M44,6)))))</f>
        <v/>
      </c>
      <c r="V44">
        <f>IF(T44="","",IF(T44&gt;=N(H44),L44,M44*T44))</f>
        <v/>
      </c>
      <c r="W44">
        <f>IF(V44="",0,MAX(0,ROUND(V44-N44,2)))</f>
        <v/>
      </c>
      <c r="X44">
        <f>IF(OR(R44="",R44="Paid off",NOT(ISNUMBER(P44))),"",P44*1000+ROW())</f>
        <v/>
      </c>
      <c r="Y44">
        <f>IF(C44="","",IF(AND(COUNTIF(C$6:C44,C44)=1,SUMIFS(Loans!$O$6:$O$305,Loans!$C$6:$C$305,C44,Loans!$O$6:$O$305,"&gt;0")&gt;0),ROW(),""))</f>
        <v/>
      </c>
      <c r="Z44">
        <f>IF(OR(C44="",P44=""),"",IF(D44="I borrowed","From you","To you"))</f>
        <v/>
      </c>
    </row>
    <row r="45">
      <c r="A45" s="1" t="n"/>
      <c r="B45" s="15" t="n">
        <v>40</v>
      </c>
      <c r="C45" s="16" t="n"/>
      <c r="D45" s="17" t="n"/>
      <c r="E45" s="18" t="n"/>
      <c r="F45" s="19" t="n"/>
      <c r="G45" s="20" t="n"/>
      <c r="H45" s="21" t="n"/>
      <c r="I45" s="17" t="n"/>
      <c r="J45" s="18" t="n"/>
      <c r="K45" s="22" t="n"/>
      <c r="L45" s="23">
        <f>IF(C45="","",ROUND(N(F45)*(1+N(G45)/100*IF(N(H45)&gt;0,N(H45)*IF(I45="Week",7/365,IF(I45="2 weeks",14/365,1/12)),IF(ISNUMBER(E45),MAX(0,TODAY()-E45)/365,0))),2))</f>
        <v/>
      </c>
      <c r="M45" s="23">
        <f>IF(OR(C45="",N(H45)&lt;=0),"",ROUND(L45/N(H45),2))</f>
        <v/>
      </c>
      <c r="N45" s="23">
        <f>IF(C45="","",SUMIFS(Payments!$D$6:$D$805,Payments!$G$6:$G$805,B45))</f>
        <v/>
      </c>
      <c r="O45" s="24">
        <f>IF(C45="","",ROUND(L45-N45,2))</f>
        <v/>
      </c>
      <c r="P45" s="11">
        <f>IF(OR(U45="",N(O45)&lt;=0),"",IF(I45="Week",J45+7*U45,IF(I45="2 weeks",J45+14*U45,EDATE(J45,U45))))</f>
        <v/>
      </c>
      <c r="Q45" s="23">
        <f>IF(P45="","",IF(U45=N(H45)-1,O45,ROUND(M45*(U45+1)-N45,2)))</f>
        <v/>
      </c>
      <c r="R45" s="25">
        <f>IF(C45="","",IF(O45&lt;=0,"Paid off",IF(OR(M45="",NOT(ISNUMBER(J45))),"Open",IF(W45&gt;0,"Overdue",IF(AND(ISNUMBER(P45),P45-TODAY()&lt;=Settings!$C$6),"Due soon","On track")))))</f>
        <v/>
      </c>
      <c r="S45" s="1">
        <f>IF(C45="","",B45&amp;" "&amp;C45)</f>
        <v/>
      </c>
      <c r="T45">
        <f>IF(OR(M45="",NOT(ISNUMBER(J45))),"",MIN(N(H45),IF(I45="Week",IF((TODAY()-1)&lt;J45,0,INT(((TODAY()-1)-J45)/7)+1),IF(I45="2 weeks",IF((TODAY()-1)&lt;J45,0,INT(((TODAY()-1)-J45)/14)+1),IF(((YEAR((TODAY()-1))-YEAR(J45))*12+MONTH((TODAY()-1))-MONTH(J45))&lt;0,0,IF(EDATE(J45,((YEAR((TODAY()-1))-YEAR(J45))*12+MONTH((TODAY()-1))-MONTH(J45)))&lt;=(TODAY()-1),((YEAR((TODAY()-1))-YEAR(J45))*12+MONTH((TODAY()-1))-MONTH(J45))+1,((YEAR((TODAY()-1))-YEAR(J45))*12+MONTH((TODAY()-1))-MONTH(J45))))))))</f>
        <v/>
      </c>
      <c r="U45">
        <f>IF(OR(M45="",NOT(ISNUMBER(J45))),"",IF(N(M45)&lt;=0,"",MIN(N(H45)-1,INT(ROUND(N45/M45,6)))))</f>
        <v/>
      </c>
      <c r="V45">
        <f>IF(T45="","",IF(T45&gt;=N(H45),L45,M45*T45))</f>
        <v/>
      </c>
      <c r="W45">
        <f>IF(V45="",0,MAX(0,ROUND(V45-N45,2)))</f>
        <v/>
      </c>
      <c r="X45">
        <f>IF(OR(R45="",R45="Paid off",NOT(ISNUMBER(P45))),"",P45*1000+ROW())</f>
        <v/>
      </c>
      <c r="Y45">
        <f>IF(C45="","",IF(AND(COUNTIF(C$6:C45,C45)=1,SUMIFS(Loans!$O$6:$O$305,Loans!$C$6:$C$305,C45,Loans!$O$6:$O$305,"&gt;0")&gt;0),ROW(),""))</f>
        <v/>
      </c>
      <c r="Z45">
        <f>IF(OR(C45="",P45=""),"",IF(D45="I borrowed","From you","To you"))</f>
        <v/>
      </c>
    </row>
    <row r="46">
      <c r="A46" s="1" t="n"/>
      <c r="B46" s="15" t="n">
        <v>41</v>
      </c>
      <c r="C46" s="16" t="n"/>
      <c r="D46" s="17" t="n"/>
      <c r="E46" s="18" t="n"/>
      <c r="F46" s="19" t="n"/>
      <c r="G46" s="20" t="n"/>
      <c r="H46" s="21" t="n"/>
      <c r="I46" s="17" t="n"/>
      <c r="J46" s="18" t="n"/>
      <c r="K46" s="22" t="n"/>
      <c r="L46" s="23">
        <f>IF(C46="","",ROUND(N(F46)*(1+N(G46)/100*IF(N(H46)&gt;0,N(H46)*IF(I46="Week",7/365,IF(I46="2 weeks",14/365,1/12)),IF(ISNUMBER(E46),MAX(0,TODAY()-E46)/365,0))),2))</f>
        <v/>
      </c>
      <c r="M46" s="23">
        <f>IF(OR(C46="",N(H46)&lt;=0),"",ROUND(L46/N(H46),2))</f>
        <v/>
      </c>
      <c r="N46" s="23">
        <f>IF(C46="","",SUMIFS(Payments!$D$6:$D$805,Payments!$G$6:$G$805,B46))</f>
        <v/>
      </c>
      <c r="O46" s="24">
        <f>IF(C46="","",ROUND(L46-N46,2))</f>
        <v/>
      </c>
      <c r="P46" s="11">
        <f>IF(OR(U46="",N(O46)&lt;=0),"",IF(I46="Week",J46+7*U46,IF(I46="2 weeks",J46+14*U46,EDATE(J46,U46))))</f>
        <v/>
      </c>
      <c r="Q46" s="23">
        <f>IF(P46="","",IF(U46=N(H46)-1,O46,ROUND(M46*(U46+1)-N46,2)))</f>
        <v/>
      </c>
      <c r="R46" s="25">
        <f>IF(C46="","",IF(O46&lt;=0,"Paid off",IF(OR(M46="",NOT(ISNUMBER(J46))),"Open",IF(W46&gt;0,"Overdue",IF(AND(ISNUMBER(P46),P46-TODAY()&lt;=Settings!$C$6),"Due soon","On track")))))</f>
        <v/>
      </c>
      <c r="S46" s="1">
        <f>IF(C46="","",B46&amp;" "&amp;C46)</f>
        <v/>
      </c>
      <c r="T46">
        <f>IF(OR(M46="",NOT(ISNUMBER(J46))),"",MIN(N(H46),IF(I46="Week",IF((TODAY()-1)&lt;J46,0,INT(((TODAY()-1)-J46)/7)+1),IF(I46="2 weeks",IF((TODAY()-1)&lt;J46,0,INT(((TODAY()-1)-J46)/14)+1),IF(((YEAR((TODAY()-1))-YEAR(J46))*12+MONTH((TODAY()-1))-MONTH(J46))&lt;0,0,IF(EDATE(J46,((YEAR((TODAY()-1))-YEAR(J46))*12+MONTH((TODAY()-1))-MONTH(J46)))&lt;=(TODAY()-1),((YEAR((TODAY()-1))-YEAR(J46))*12+MONTH((TODAY()-1))-MONTH(J46))+1,((YEAR((TODAY()-1))-YEAR(J46))*12+MONTH((TODAY()-1))-MONTH(J46))))))))</f>
        <v/>
      </c>
      <c r="U46">
        <f>IF(OR(M46="",NOT(ISNUMBER(J46))),"",IF(N(M46)&lt;=0,"",MIN(N(H46)-1,INT(ROUND(N46/M46,6)))))</f>
        <v/>
      </c>
      <c r="V46">
        <f>IF(T46="","",IF(T46&gt;=N(H46),L46,M46*T46))</f>
        <v/>
      </c>
      <c r="W46">
        <f>IF(V46="",0,MAX(0,ROUND(V46-N46,2)))</f>
        <v/>
      </c>
      <c r="X46">
        <f>IF(OR(R46="",R46="Paid off",NOT(ISNUMBER(P46))),"",P46*1000+ROW())</f>
        <v/>
      </c>
      <c r="Y46">
        <f>IF(C46="","",IF(AND(COUNTIF(C$6:C46,C46)=1,SUMIFS(Loans!$O$6:$O$305,Loans!$C$6:$C$305,C46,Loans!$O$6:$O$305,"&gt;0")&gt;0),ROW(),""))</f>
        <v/>
      </c>
      <c r="Z46">
        <f>IF(OR(C46="",P46=""),"",IF(D46="I borrowed","From you","To you"))</f>
        <v/>
      </c>
    </row>
    <row r="47">
      <c r="A47" s="1" t="n"/>
      <c r="B47" s="15" t="n">
        <v>42</v>
      </c>
      <c r="C47" s="16" t="n"/>
      <c r="D47" s="17" t="n"/>
      <c r="E47" s="18" t="n"/>
      <c r="F47" s="19" t="n"/>
      <c r="G47" s="20" t="n"/>
      <c r="H47" s="21" t="n"/>
      <c r="I47" s="17" t="n"/>
      <c r="J47" s="18" t="n"/>
      <c r="K47" s="22" t="n"/>
      <c r="L47" s="23">
        <f>IF(C47="","",ROUND(N(F47)*(1+N(G47)/100*IF(N(H47)&gt;0,N(H47)*IF(I47="Week",7/365,IF(I47="2 weeks",14/365,1/12)),IF(ISNUMBER(E47),MAX(0,TODAY()-E47)/365,0))),2))</f>
        <v/>
      </c>
      <c r="M47" s="23">
        <f>IF(OR(C47="",N(H47)&lt;=0),"",ROUND(L47/N(H47),2))</f>
        <v/>
      </c>
      <c r="N47" s="23">
        <f>IF(C47="","",SUMIFS(Payments!$D$6:$D$805,Payments!$G$6:$G$805,B47))</f>
        <v/>
      </c>
      <c r="O47" s="24">
        <f>IF(C47="","",ROUND(L47-N47,2))</f>
        <v/>
      </c>
      <c r="P47" s="11">
        <f>IF(OR(U47="",N(O47)&lt;=0),"",IF(I47="Week",J47+7*U47,IF(I47="2 weeks",J47+14*U47,EDATE(J47,U47))))</f>
        <v/>
      </c>
      <c r="Q47" s="23">
        <f>IF(P47="","",IF(U47=N(H47)-1,O47,ROUND(M47*(U47+1)-N47,2)))</f>
        <v/>
      </c>
      <c r="R47" s="25">
        <f>IF(C47="","",IF(O47&lt;=0,"Paid off",IF(OR(M47="",NOT(ISNUMBER(J47))),"Open",IF(W47&gt;0,"Overdue",IF(AND(ISNUMBER(P47),P47-TODAY()&lt;=Settings!$C$6),"Due soon","On track")))))</f>
        <v/>
      </c>
      <c r="S47" s="1">
        <f>IF(C47="","",B47&amp;" "&amp;C47)</f>
        <v/>
      </c>
      <c r="T47">
        <f>IF(OR(M47="",NOT(ISNUMBER(J47))),"",MIN(N(H47),IF(I47="Week",IF((TODAY()-1)&lt;J47,0,INT(((TODAY()-1)-J47)/7)+1),IF(I47="2 weeks",IF((TODAY()-1)&lt;J47,0,INT(((TODAY()-1)-J47)/14)+1),IF(((YEAR((TODAY()-1))-YEAR(J47))*12+MONTH((TODAY()-1))-MONTH(J47))&lt;0,0,IF(EDATE(J47,((YEAR((TODAY()-1))-YEAR(J47))*12+MONTH((TODAY()-1))-MONTH(J47)))&lt;=(TODAY()-1),((YEAR((TODAY()-1))-YEAR(J47))*12+MONTH((TODAY()-1))-MONTH(J47))+1,((YEAR((TODAY()-1))-YEAR(J47))*12+MONTH((TODAY()-1))-MONTH(J47))))))))</f>
        <v/>
      </c>
      <c r="U47">
        <f>IF(OR(M47="",NOT(ISNUMBER(J47))),"",IF(N(M47)&lt;=0,"",MIN(N(H47)-1,INT(ROUND(N47/M47,6)))))</f>
        <v/>
      </c>
      <c r="V47">
        <f>IF(T47="","",IF(T47&gt;=N(H47),L47,M47*T47))</f>
        <v/>
      </c>
      <c r="W47">
        <f>IF(V47="",0,MAX(0,ROUND(V47-N47,2)))</f>
        <v/>
      </c>
      <c r="X47">
        <f>IF(OR(R47="",R47="Paid off",NOT(ISNUMBER(P47))),"",P47*1000+ROW())</f>
        <v/>
      </c>
      <c r="Y47">
        <f>IF(C47="","",IF(AND(COUNTIF(C$6:C47,C47)=1,SUMIFS(Loans!$O$6:$O$305,Loans!$C$6:$C$305,C47,Loans!$O$6:$O$305,"&gt;0")&gt;0),ROW(),""))</f>
        <v/>
      </c>
      <c r="Z47">
        <f>IF(OR(C47="",P47=""),"",IF(D47="I borrowed","From you","To you"))</f>
        <v/>
      </c>
    </row>
    <row r="48">
      <c r="A48" s="1" t="n"/>
      <c r="B48" s="15" t="n">
        <v>43</v>
      </c>
      <c r="C48" s="16" t="n"/>
      <c r="D48" s="17" t="n"/>
      <c r="E48" s="18" t="n"/>
      <c r="F48" s="19" t="n"/>
      <c r="G48" s="20" t="n"/>
      <c r="H48" s="21" t="n"/>
      <c r="I48" s="17" t="n"/>
      <c r="J48" s="18" t="n"/>
      <c r="K48" s="22" t="n"/>
      <c r="L48" s="23">
        <f>IF(C48="","",ROUND(N(F48)*(1+N(G48)/100*IF(N(H48)&gt;0,N(H48)*IF(I48="Week",7/365,IF(I48="2 weeks",14/365,1/12)),IF(ISNUMBER(E48),MAX(0,TODAY()-E48)/365,0))),2))</f>
        <v/>
      </c>
      <c r="M48" s="23">
        <f>IF(OR(C48="",N(H48)&lt;=0),"",ROUND(L48/N(H48),2))</f>
        <v/>
      </c>
      <c r="N48" s="23">
        <f>IF(C48="","",SUMIFS(Payments!$D$6:$D$805,Payments!$G$6:$G$805,B48))</f>
        <v/>
      </c>
      <c r="O48" s="24">
        <f>IF(C48="","",ROUND(L48-N48,2))</f>
        <v/>
      </c>
      <c r="P48" s="11">
        <f>IF(OR(U48="",N(O48)&lt;=0),"",IF(I48="Week",J48+7*U48,IF(I48="2 weeks",J48+14*U48,EDATE(J48,U48))))</f>
        <v/>
      </c>
      <c r="Q48" s="23">
        <f>IF(P48="","",IF(U48=N(H48)-1,O48,ROUND(M48*(U48+1)-N48,2)))</f>
        <v/>
      </c>
      <c r="R48" s="25">
        <f>IF(C48="","",IF(O48&lt;=0,"Paid off",IF(OR(M48="",NOT(ISNUMBER(J48))),"Open",IF(W48&gt;0,"Overdue",IF(AND(ISNUMBER(P48),P48-TODAY()&lt;=Settings!$C$6),"Due soon","On track")))))</f>
        <v/>
      </c>
      <c r="S48" s="1">
        <f>IF(C48="","",B48&amp;" "&amp;C48)</f>
        <v/>
      </c>
      <c r="T48">
        <f>IF(OR(M48="",NOT(ISNUMBER(J48))),"",MIN(N(H48),IF(I48="Week",IF((TODAY()-1)&lt;J48,0,INT(((TODAY()-1)-J48)/7)+1),IF(I48="2 weeks",IF((TODAY()-1)&lt;J48,0,INT(((TODAY()-1)-J48)/14)+1),IF(((YEAR((TODAY()-1))-YEAR(J48))*12+MONTH((TODAY()-1))-MONTH(J48))&lt;0,0,IF(EDATE(J48,((YEAR((TODAY()-1))-YEAR(J48))*12+MONTH((TODAY()-1))-MONTH(J48)))&lt;=(TODAY()-1),((YEAR((TODAY()-1))-YEAR(J48))*12+MONTH((TODAY()-1))-MONTH(J48))+1,((YEAR((TODAY()-1))-YEAR(J48))*12+MONTH((TODAY()-1))-MONTH(J48))))))))</f>
        <v/>
      </c>
      <c r="U48">
        <f>IF(OR(M48="",NOT(ISNUMBER(J48))),"",IF(N(M48)&lt;=0,"",MIN(N(H48)-1,INT(ROUND(N48/M48,6)))))</f>
        <v/>
      </c>
      <c r="V48">
        <f>IF(T48="","",IF(T48&gt;=N(H48),L48,M48*T48))</f>
        <v/>
      </c>
      <c r="W48">
        <f>IF(V48="",0,MAX(0,ROUND(V48-N48,2)))</f>
        <v/>
      </c>
      <c r="X48">
        <f>IF(OR(R48="",R48="Paid off",NOT(ISNUMBER(P48))),"",P48*1000+ROW())</f>
        <v/>
      </c>
      <c r="Y48">
        <f>IF(C48="","",IF(AND(COUNTIF(C$6:C48,C48)=1,SUMIFS(Loans!$O$6:$O$305,Loans!$C$6:$C$305,C48,Loans!$O$6:$O$305,"&gt;0")&gt;0),ROW(),""))</f>
        <v/>
      </c>
      <c r="Z48">
        <f>IF(OR(C48="",P48=""),"",IF(D48="I borrowed","From you","To you"))</f>
        <v/>
      </c>
    </row>
    <row r="49">
      <c r="A49" s="1" t="n"/>
      <c r="B49" s="15" t="n">
        <v>44</v>
      </c>
      <c r="C49" s="16" t="n"/>
      <c r="D49" s="17" t="n"/>
      <c r="E49" s="18" t="n"/>
      <c r="F49" s="19" t="n"/>
      <c r="G49" s="20" t="n"/>
      <c r="H49" s="21" t="n"/>
      <c r="I49" s="17" t="n"/>
      <c r="J49" s="18" t="n"/>
      <c r="K49" s="22" t="n"/>
      <c r="L49" s="23">
        <f>IF(C49="","",ROUND(N(F49)*(1+N(G49)/100*IF(N(H49)&gt;0,N(H49)*IF(I49="Week",7/365,IF(I49="2 weeks",14/365,1/12)),IF(ISNUMBER(E49),MAX(0,TODAY()-E49)/365,0))),2))</f>
        <v/>
      </c>
      <c r="M49" s="23">
        <f>IF(OR(C49="",N(H49)&lt;=0),"",ROUND(L49/N(H49),2))</f>
        <v/>
      </c>
      <c r="N49" s="23">
        <f>IF(C49="","",SUMIFS(Payments!$D$6:$D$805,Payments!$G$6:$G$805,B49))</f>
        <v/>
      </c>
      <c r="O49" s="24">
        <f>IF(C49="","",ROUND(L49-N49,2))</f>
        <v/>
      </c>
      <c r="P49" s="11">
        <f>IF(OR(U49="",N(O49)&lt;=0),"",IF(I49="Week",J49+7*U49,IF(I49="2 weeks",J49+14*U49,EDATE(J49,U49))))</f>
        <v/>
      </c>
      <c r="Q49" s="23">
        <f>IF(P49="","",IF(U49=N(H49)-1,O49,ROUND(M49*(U49+1)-N49,2)))</f>
        <v/>
      </c>
      <c r="R49" s="25">
        <f>IF(C49="","",IF(O49&lt;=0,"Paid off",IF(OR(M49="",NOT(ISNUMBER(J49))),"Open",IF(W49&gt;0,"Overdue",IF(AND(ISNUMBER(P49),P49-TODAY()&lt;=Settings!$C$6),"Due soon","On track")))))</f>
        <v/>
      </c>
      <c r="S49" s="1">
        <f>IF(C49="","",B49&amp;" "&amp;C49)</f>
        <v/>
      </c>
      <c r="T49">
        <f>IF(OR(M49="",NOT(ISNUMBER(J49))),"",MIN(N(H49),IF(I49="Week",IF((TODAY()-1)&lt;J49,0,INT(((TODAY()-1)-J49)/7)+1),IF(I49="2 weeks",IF((TODAY()-1)&lt;J49,0,INT(((TODAY()-1)-J49)/14)+1),IF(((YEAR((TODAY()-1))-YEAR(J49))*12+MONTH((TODAY()-1))-MONTH(J49))&lt;0,0,IF(EDATE(J49,((YEAR((TODAY()-1))-YEAR(J49))*12+MONTH((TODAY()-1))-MONTH(J49)))&lt;=(TODAY()-1),((YEAR((TODAY()-1))-YEAR(J49))*12+MONTH((TODAY()-1))-MONTH(J49))+1,((YEAR((TODAY()-1))-YEAR(J49))*12+MONTH((TODAY()-1))-MONTH(J49))))))))</f>
        <v/>
      </c>
      <c r="U49">
        <f>IF(OR(M49="",NOT(ISNUMBER(J49))),"",IF(N(M49)&lt;=0,"",MIN(N(H49)-1,INT(ROUND(N49/M49,6)))))</f>
        <v/>
      </c>
      <c r="V49">
        <f>IF(T49="","",IF(T49&gt;=N(H49),L49,M49*T49))</f>
        <v/>
      </c>
      <c r="W49">
        <f>IF(V49="",0,MAX(0,ROUND(V49-N49,2)))</f>
        <v/>
      </c>
      <c r="X49">
        <f>IF(OR(R49="",R49="Paid off",NOT(ISNUMBER(P49))),"",P49*1000+ROW())</f>
        <v/>
      </c>
      <c r="Y49">
        <f>IF(C49="","",IF(AND(COUNTIF(C$6:C49,C49)=1,SUMIFS(Loans!$O$6:$O$305,Loans!$C$6:$C$305,C49,Loans!$O$6:$O$305,"&gt;0")&gt;0),ROW(),""))</f>
        <v/>
      </c>
      <c r="Z49">
        <f>IF(OR(C49="",P49=""),"",IF(D49="I borrowed","From you","To you"))</f>
        <v/>
      </c>
    </row>
    <row r="50">
      <c r="A50" s="1" t="n"/>
      <c r="B50" s="15" t="n">
        <v>45</v>
      </c>
      <c r="C50" s="16" t="n"/>
      <c r="D50" s="17" t="n"/>
      <c r="E50" s="18" t="n"/>
      <c r="F50" s="19" t="n"/>
      <c r="G50" s="20" t="n"/>
      <c r="H50" s="21" t="n"/>
      <c r="I50" s="17" t="n"/>
      <c r="J50" s="18" t="n"/>
      <c r="K50" s="22" t="n"/>
      <c r="L50" s="23">
        <f>IF(C50="","",ROUND(N(F50)*(1+N(G50)/100*IF(N(H50)&gt;0,N(H50)*IF(I50="Week",7/365,IF(I50="2 weeks",14/365,1/12)),IF(ISNUMBER(E50),MAX(0,TODAY()-E50)/365,0))),2))</f>
        <v/>
      </c>
      <c r="M50" s="23">
        <f>IF(OR(C50="",N(H50)&lt;=0),"",ROUND(L50/N(H50),2))</f>
        <v/>
      </c>
      <c r="N50" s="23">
        <f>IF(C50="","",SUMIFS(Payments!$D$6:$D$805,Payments!$G$6:$G$805,B50))</f>
        <v/>
      </c>
      <c r="O50" s="24">
        <f>IF(C50="","",ROUND(L50-N50,2))</f>
        <v/>
      </c>
      <c r="P50" s="11">
        <f>IF(OR(U50="",N(O50)&lt;=0),"",IF(I50="Week",J50+7*U50,IF(I50="2 weeks",J50+14*U50,EDATE(J50,U50))))</f>
        <v/>
      </c>
      <c r="Q50" s="23">
        <f>IF(P50="","",IF(U50=N(H50)-1,O50,ROUND(M50*(U50+1)-N50,2)))</f>
        <v/>
      </c>
      <c r="R50" s="25">
        <f>IF(C50="","",IF(O50&lt;=0,"Paid off",IF(OR(M50="",NOT(ISNUMBER(J50))),"Open",IF(W50&gt;0,"Overdue",IF(AND(ISNUMBER(P50),P50-TODAY()&lt;=Settings!$C$6),"Due soon","On track")))))</f>
        <v/>
      </c>
      <c r="S50" s="1">
        <f>IF(C50="","",B50&amp;" "&amp;C50)</f>
        <v/>
      </c>
      <c r="T50">
        <f>IF(OR(M50="",NOT(ISNUMBER(J50))),"",MIN(N(H50),IF(I50="Week",IF((TODAY()-1)&lt;J50,0,INT(((TODAY()-1)-J50)/7)+1),IF(I50="2 weeks",IF((TODAY()-1)&lt;J50,0,INT(((TODAY()-1)-J50)/14)+1),IF(((YEAR((TODAY()-1))-YEAR(J50))*12+MONTH((TODAY()-1))-MONTH(J50))&lt;0,0,IF(EDATE(J50,((YEAR((TODAY()-1))-YEAR(J50))*12+MONTH((TODAY()-1))-MONTH(J50)))&lt;=(TODAY()-1),((YEAR((TODAY()-1))-YEAR(J50))*12+MONTH((TODAY()-1))-MONTH(J50))+1,((YEAR((TODAY()-1))-YEAR(J50))*12+MONTH((TODAY()-1))-MONTH(J50))))))))</f>
        <v/>
      </c>
      <c r="U50">
        <f>IF(OR(M50="",NOT(ISNUMBER(J50))),"",IF(N(M50)&lt;=0,"",MIN(N(H50)-1,INT(ROUND(N50/M50,6)))))</f>
        <v/>
      </c>
      <c r="V50">
        <f>IF(T50="","",IF(T50&gt;=N(H50),L50,M50*T50))</f>
        <v/>
      </c>
      <c r="W50">
        <f>IF(V50="",0,MAX(0,ROUND(V50-N50,2)))</f>
        <v/>
      </c>
      <c r="X50">
        <f>IF(OR(R50="",R50="Paid off",NOT(ISNUMBER(P50))),"",P50*1000+ROW())</f>
        <v/>
      </c>
      <c r="Y50">
        <f>IF(C50="","",IF(AND(COUNTIF(C$6:C50,C50)=1,SUMIFS(Loans!$O$6:$O$305,Loans!$C$6:$C$305,C50,Loans!$O$6:$O$305,"&gt;0")&gt;0),ROW(),""))</f>
        <v/>
      </c>
      <c r="Z50">
        <f>IF(OR(C50="",P50=""),"",IF(D50="I borrowed","From you","To you"))</f>
        <v/>
      </c>
    </row>
    <row r="51">
      <c r="A51" s="1" t="n"/>
      <c r="B51" s="15" t="n">
        <v>46</v>
      </c>
      <c r="C51" s="16" t="n"/>
      <c r="D51" s="17" t="n"/>
      <c r="E51" s="18" t="n"/>
      <c r="F51" s="19" t="n"/>
      <c r="G51" s="20" t="n"/>
      <c r="H51" s="21" t="n"/>
      <c r="I51" s="17" t="n"/>
      <c r="J51" s="18" t="n"/>
      <c r="K51" s="22" t="n"/>
      <c r="L51" s="23">
        <f>IF(C51="","",ROUND(N(F51)*(1+N(G51)/100*IF(N(H51)&gt;0,N(H51)*IF(I51="Week",7/365,IF(I51="2 weeks",14/365,1/12)),IF(ISNUMBER(E51),MAX(0,TODAY()-E51)/365,0))),2))</f>
        <v/>
      </c>
      <c r="M51" s="23">
        <f>IF(OR(C51="",N(H51)&lt;=0),"",ROUND(L51/N(H51),2))</f>
        <v/>
      </c>
      <c r="N51" s="23">
        <f>IF(C51="","",SUMIFS(Payments!$D$6:$D$805,Payments!$G$6:$G$805,B51))</f>
        <v/>
      </c>
      <c r="O51" s="24">
        <f>IF(C51="","",ROUND(L51-N51,2))</f>
        <v/>
      </c>
      <c r="P51" s="11">
        <f>IF(OR(U51="",N(O51)&lt;=0),"",IF(I51="Week",J51+7*U51,IF(I51="2 weeks",J51+14*U51,EDATE(J51,U51))))</f>
        <v/>
      </c>
      <c r="Q51" s="23">
        <f>IF(P51="","",IF(U51=N(H51)-1,O51,ROUND(M51*(U51+1)-N51,2)))</f>
        <v/>
      </c>
      <c r="R51" s="25">
        <f>IF(C51="","",IF(O51&lt;=0,"Paid off",IF(OR(M51="",NOT(ISNUMBER(J51))),"Open",IF(W51&gt;0,"Overdue",IF(AND(ISNUMBER(P51),P51-TODAY()&lt;=Settings!$C$6),"Due soon","On track")))))</f>
        <v/>
      </c>
      <c r="S51" s="1">
        <f>IF(C51="","",B51&amp;" "&amp;C51)</f>
        <v/>
      </c>
      <c r="T51">
        <f>IF(OR(M51="",NOT(ISNUMBER(J51))),"",MIN(N(H51),IF(I51="Week",IF((TODAY()-1)&lt;J51,0,INT(((TODAY()-1)-J51)/7)+1),IF(I51="2 weeks",IF((TODAY()-1)&lt;J51,0,INT(((TODAY()-1)-J51)/14)+1),IF(((YEAR((TODAY()-1))-YEAR(J51))*12+MONTH((TODAY()-1))-MONTH(J51))&lt;0,0,IF(EDATE(J51,((YEAR((TODAY()-1))-YEAR(J51))*12+MONTH((TODAY()-1))-MONTH(J51)))&lt;=(TODAY()-1),((YEAR((TODAY()-1))-YEAR(J51))*12+MONTH((TODAY()-1))-MONTH(J51))+1,((YEAR((TODAY()-1))-YEAR(J51))*12+MONTH((TODAY()-1))-MONTH(J51))))))))</f>
        <v/>
      </c>
      <c r="U51">
        <f>IF(OR(M51="",NOT(ISNUMBER(J51))),"",IF(N(M51)&lt;=0,"",MIN(N(H51)-1,INT(ROUND(N51/M51,6)))))</f>
        <v/>
      </c>
      <c r="V51">
        <f>IF(T51="","",IF(T51&gt;=N(H51),L51,M51*T51))</f>
        <v/>
      </c>
      <c r="W51">
        <f>IF(V51="",0,MAX(0,ROUND(V51-N51,2)))</f>
        <v/>
      </c>
      <c r="X51">
        <f>IF(OR(R51="",R51="Paid off",NOT(ISNUMBER(P51))),"",P51*1000+ROW())</f>
        <v/>
      </c>
      <c r="Y51">
        <f>IF(C51="","",IF(AND(COUNTIF(C$6:C51,C51)=1,SUMIFS(Loans!$O$6:$O$305,Loans!$C$6:$C$305,C51,Loans!$O$6:$O$305,"&gt;0")&gt;0),ROW(),""))</f>
        <v/>
      </c>
      <c r="Z51">
        <f>IF(OR(C51="",P51=""),"",IF(D51="I borrowed","From you","To you"))</f>
        <v/>
      </c>
    </row>
    <row r="52">
      <c r="A52" s="1" t="n"/>
      <c r="B52" s="15" t="n">
        <v>47</v>
      </c>
      <c r="C52" s="16" t="n"/>
      <c r="D52" s="17" t="n"/>
      <c r="E52" s="18" t="n"/>
      <c r="F52" s="19" t="n"/>
      <c r="G52" s="20" t="n"/>
      <c r="H52" s="21" t="n"/>
      <c r="I52" s="17" t="n"/>
      <c r="J52" s="18" t="n"/>
      <c r="K52" s="22" t="n"/>
      <c r="L52" s="23">
        <f>IF(C52="","",ROUND(N(F52)*(1+N(G52)/100*IF(N(H52)&gt;0,N(H52)*IF(I52="Week",7/365,IF(I52="2 weeks",14/365,1/12)),IF(ISNUMBER(E52),MAX(0,TODAY()-E52)/365,0))),2))</f>
        <v/>
      </c>
      <c r="M52" s="23">
        <f>IF(OR(C52="",N(H52)&lt;=0),"",ROUND(L52/N(H52),2))</f>
        <v/>
      </c>
      <c r="N52" s="23">
        <f>IF(C52="","",SUMIFS(Payments!$D$6:$D$805,Payments!$G$6:$G$805,B52))</f>
        <v/>
      </c>
      <c r="O52" s="24">
        <f>IF(C52="","",ROUND(L52-N52,2))</f>
        <v/>
      </c>
      <c r="P52" s="11">
        <f>IF(OR(U52="",N(O52)&lt;=0),"",IF(I52="Week",J52+7*U52,IF(I52="2 weeks",J52+14*U52,EDATE(J52,U52))))</f>
        <v/>
      </c>
      <c r="Q52" s="23">
        <f>IF(P52="","",IF(U52=N(H52)-1,O52,ROUND(M52*(U52+1)-N52,2)))</f>
        <v/>
      </c>
      <c r="R52" s="25">
        <f>IF(C52="","",IF(O52&lt;=0,"Paid off",IF(OR(M52="",NOT(ISNUMBER(J52))),"Open",IF(W52&gt;0,"Overdue",IF(AND(ISNUMBER(P52),P52-TODAY()&lt;=Settings!$C$6),"Due soon","On track")))))</f>
        <v/>
      </c>
      <c r="S52" s="1">
        <f>IF(C52="","",B52&amp;" "&amp;C52)</f>
        <v/>
      </c>
      <c r="T52">
        <f>IF(OR(M52="",NOT(ISNUMBER(J52))),"",MIN(N(H52),IF(I52="Week",IF((TODAY()-1)&lt;J52,0,INT(((TODAY()-1)-J52)/7)+1),IF(I52="2 weeks",IF((TODAY()-1)&lt;J52,0,INT(((TODAY()-1)-J52)/14)+1),IF(((YEAR((TODAY()-1))-YEAR(J52))*12+MONTH((TODAY()-1))-MONTH(J52))&lt;0,0,IF(EDATE(J52,((YEAR((TODAY()-1))-YEAR(J52))*12+MONTH((TODAY()-1))-MONTH(J52)))&lt;=(TODAY()-1),((YEAR((TODAY()-1))-YEAR(J52))*12+MONTH((TODAY()-1))-MONTH(J52))+1,((YEAR((TODAY()-1))-YEAR(J52))*12+MONTH((TODAY()-1))-MONTH(J52))))))))</f>
        <v/>
      </c>
      <c r="U52">
        <f>IF(OR(M52="",NOT(ISNUMBER(J52))),"",IF(N(M52)&lt;=0,"",MIN(N(H52)-1,INT(ROUND(N52/M52,6)))))</f>
        <v/>
      </c>
      <c r="V52">
        <f>IF(T52="","",IF(T52&gt;=N(H52),L52,M52*T52))</f>
        <v/>
      </c>
      <c r="W52">
        <f>IF(V52="",0,MAX(0,ROUND(V52-N52,2)))</f>
        <v/>
      </c>
      <c r="X52">
        <f>IF(OR(R52="",R52="Paid off",NOT(ISNUMBER(P52))),"",P52*1000+ROW())</f>
        <v/>
      </c>
      <c r="Y52">
        <f>IF(C52="","",IF(AND(COUNTIF(C$6:C52,C52)=1,SUMIFS(Loans!$O$6:$O$305,Loans!$C$6:$C$305,C52,Loans!$O$6:$O$305,"&gt;0")&gt;0),ROW(),""))</f>
        <v/>
      </c>
      <c r="Z52">
        <f>IF(OR(C52="",P52=""),"",IF(D52="I borrowed","From you","To you"))</f>
        <v/>
      </c>
    </row>
    <row r="53">
      <c r="A53" s="1" t="n"/>
      <c r="B53" s="15" t="n">
        <v>48</v>
      </c>
      <c r="C53" s="16" t="n"/>
      <c r="D53" s="17" t="n"/>
      <c r="E53" s="18" t="n"/>
      <c r="F53" s="19" t="n"/>
      <c r="G53" s="20" t="n"/>
      <c r="H53" s="21" t="n"/>
      <c r="I53" s="17" t="n"/>
      <c r="J53" s="18" t="n"/>
      <c r="K53" s="22" t="n"/>
      <c r="L53" s="23">
        <f>IF(C53="","",ROUND(N(F53)*(1+N(G53)/100*IF(N(H53)&gt;0,N(H53)*IF(I53="Week",7/365,IF(I53="2 weeks",14/365,1/12)),IF(ISNUMBER(E53),MAX(0,TODAY()-E53)/365,0))),2))</f>
        <v/>
      </c>
      <c r="M53" s="23">
        <f>IF(OR(C53="",N(H53)&lt;=0),"",ROUND(L53/N(H53),2))</f>
        <v/>
      </c>
      <c r="N53" s="23">
        <f>IF(C53="","",SUMIFS(Payments!$D$6:$D$805,Payments!$G$6:$G$805,B53))</f>
        <v/>
      </c>
      <c r="O53" s="24">
        <f>IF(C53="","",ROUND(L53-N53,2))</f>
        <v/>
      </c>
      <c r="P53" s="11">
        <f>IF(OR(U53="",N(O53)&lt;=0),"",IF(I53="Week",J53+7*U53,IF(I53="2 weeks",J53+14*U53,EDATE(J53,U53))))</f>
        <v/>
      </c>
      <c r="Q53" s="23">
        <f>IF(P53="","",IF(U53=N(H53)-1,O53,ROUND(M53*(U53+1)-N53,2)))</f>
        <v/>
      </c>
      <c r="R53" s="25">
        <f>IF(C53="","",IF(O53&lt;=0,"Paid off",IF(OR(M53="",NOT(ISNUMBER(J53))),"Open",IF(W53&gt;0,"Overdue",IF(AND(ISNUMBER(P53),P53-TODAY()&lt;=Settings!$C$6),"Due soon","On track")))))</f>
        <v/>
      </c>
      <c r="S53" s="1">
        <f>IF(C53="","",B53&amp;" "&amp;C53)</f>
        <v/>
      </c>
      <c r="T53">
        <f>IF(OR(M53="",NOT(ISNUMBER(J53))),"",MIN(N(H53),IF(I53="Week",IF((TODAY()-1)&lt;J53,0,INT(((TODAY()-1)-J53)/7)+1),IF(I53="2 weeks",IF((TODAY()-1)&lt;J53,0,INT(((TODAY()-1)-J53)/14)+1),IF(((YEAR((TODAY()-1))-YEAR(J53))*12+MONTH((TODAY()-1))-MONTH(J53))&lt;0,0,IF(EDATE(J53,((YEAR((TODAY()-1))-YEAR(J53))*12+MONTH((TODAY()-1))-MONTH(J53)))&lt;=(TODAY()-1),((YEAR((TODAY()-1))-YEAR(J53))*12+MONTH((TODAY()-1))-MONTH(J53))+1,((YEAR((TODAY()-1))-YEAR(J53))*12+MONTH((TODAY()-1))-MONTH(J53))))))))</f>
        <v/>
      </c>
      <c r="U53">
        <f>IF(OR(M53="",NOT(ISNUMBER(J53))),"",IF(N(M53)&lt;=0,"",MIN(N(H53)-1,INT(ROUND(N53/M53,6)))))</f>
        <v/>
      </c>
      <c r="V53">
        <f>IF(T53="","",IF(T53&gt;=N(H53),L53,M53*T53))</f>
        <v/>
      </c>
      <c r="W53">
        <f>IF(V53="",0,MAX(0,ROUND(V53-N53,2)))</f>
        <v/>
      </c>
      <c r="X53">
        <f>IF(OR(R53="",R53="Paid off",NOT(ISNUMBER(P53))),"",P53*1000+ROW())</f>
        <v/>
      </c>
      <c r="Y53">
        <f>IF(C53="","",IF(AND(COUNTIF(C$6:C53,C53)=1,SUMIFS(Loans!$O$6:$O$305,Loans!$C$6:$C$305,C53,Loans!$O$6:$O$305,"&gt;0")&gt;0),ROW(),""))</f>
        <v/>
      </c>
      <c r="Z53">
        <f>IF(OR(C53="",P53=""),"",IF(D53="I borrowed","From you","To you"))</f>
        <v/>
      </c>
    </row>
    <row r="54">
      <c r="A54" s="1" t="n"/>
      <c r="B54" s="15" t="n">
        <v>49</v>
      </c>
      <c r="C54" s="16" t="n"/>
      <c r="D54" s="17" t="n"/>
      <c r="E54" s="18" t="n"/>
      <c r="F54" s="19" t="n"/>
      <c r="G54" s="20" t="n"/>
      <c r="H54" s="21" t="n"/>
      <c r="I54" s="17" t="n"/>
      <c r="J54" s="18" t="n"/>
      <c r="K54" s="22" t="n"/>
      <c r="L54" s="23">
        <f>IF(C54="","",ROUND(N(F54)*(1+N(G54)/100*IF(N(H54)&gt;0,N(H54)*IF(I54="Week",7/365,IF(I54="2 weeks",14/365,1/12)),IF(ISNUMBER(E54),MAX(0,TODAY()-E54)/365,0))),2))</f>
        <v/>
      </c>
      <c r="M54" s="23">
        <f>IF(OR(C54="",N(H54)&lt;=0),"",ROUND(L54/N(H54),2))</f>
        <v/>
      </c>
      <c r="N54" s="23">
        <f>IF(C54="","",SUMIFS(Payments!$D$6:$D$805,Payments!$G$6:$G$805,B54))</f>
        <v/>
      </c>
      <c r="O54" s="24">
        <f>IF(C54="","",ROUND(L54-N54,2))</f>
        <v/>
      </c>
      <c r="P54" s="11">
        <f>IF(OR(U54="",N(O54)&lt;=0),"",IF(I54="Week",J54+7*U54,IF(I54="2 weeks",J54+14*U54,EDATE(J54,U54))))</f>
        <v/>
      </c>
      <c r="Q54" s="23">
        <f>IF(P54="","",IF(U54=N(H54)-1,O54,ROUND(M54*(U54+1)-N54,2)))</f>
        <v/>
      </c>
      <c r="R54" s="25">
        <f>IF(C54="","",IF(O54&lt;=0,"Paid off",IF(OR(M54="",NOT(ISNUMBER(J54))),"Open",IF(W54&gt;0,"Overdue",IF(AND(ISNUMBER(P54),P54-TODAY()&lt;=Settings!$C$6),"Due soon","On track")))))</f>
        <v/>
      </c>
      <c r="S54" s="1">
        <f>IF(C54="","",B54&amp;" "&amp;C54)</f>
        <v/>
      </c>
      <c r="T54">
        <f>IF(OR(M54="",NOT(ISNUMBER(J54))),"",MIN(N(H54),IF(I54="Week",IF((TODAY()-1)&lt;J54,0,INT(((TODAY()-1)-J54)/7)+1),IF(I54="2 weeks",IF((TODAY()-1)&lt;J54,0,INT(((TODAY()-1)-J54)/14)+1),IF(((YEAR((TODAY()-1))-YEAR(J54))*12+MONTH((TODAY()-1))-MONTH(J54))&lt;0,0,IF(EDATE(J54,((YEAR((TODAY()-1))-YEAR(J54))*12+MONTH((TODAY()-1))-MONTH(J54)))&lt;=(TODAY()-1),((YEAR((TODAY()-1))-YEAR(J54))*12+MONTH((TODAY()-1))-MONTH(J54))+1,((YEAR((TODAY()-1))-YEAR(J54))*12+MONTH((TODAY()-1))-MONTH(J54))))))))</f>
        <v/>
      </c>
      <c r="U54">
        <f>IF(OR(M54="",NOT(ISNUMBER(J54))),"",IF(N(M54)&lt;=0,"",MIN(N(H54)-1,INT(ROUND(N54/M54,6)))))</f>
        <v/>
      </c>
      <c r="V54">
        <f>IF(T54="","",IF(T54&gt;=N(H54),L54,M54*T54))</f>
        <v/>
      </c>
      <c r="W54">
        <f>IF(V54="",0,MAX(0,ROUND(V54-N54,2)))</f>
        <v/>
      </c>
      <c r="X54">
        <f>IF(OR(R54="",R54="Paid off",NOT(ISNUMBER(P54))),"",P54*1000+ROW())</f>
        <v/>
      </c>
      <c r="Y54">
        <f>IF(C54="","",IF(AND(COUNTIF(C$6:C54,C54)=1,SUMIFS(Loans!$O$6:$O$305,Loans!$C$6:$C$305,C54,Loans!$O$6:$O$305,"&gt;0")&gt;0),ROW(),""))</f>
        <v/>
      </c>
      <c r="Z54">
        <f>IF(OR(C54="",P54=""),"",IF(D54="I borrowed","From you","To you"))</f>
        <v/>
      </c>
    </row>
    <row r="55">
      <c r="A55" s="1" t="n"/>
      <c r="B55" s="15" t="n">
        <v>50</v>
      </c>
      <c r="C55" s="16" t="n"/>
      <c r="D55" s="17" t="n"/>
      <c r="E55" s="18" t="n"/>
      <c r="F55" s="19" t="n"/>
      <c r="G55" s="20" t="n"/>
      <c r="H55" s="21" t="n"/>
      <c r="I55" s="17" t="n"/>
      <c r="J55" s="18" t="n"/>
      <c r="K55" s="22" t="n"/>
      <c r="L55" s="23">
        <f>IF(C55="","",ROUND(N(F55)*(1+N(G55)/100*IF(N(H55)&gt;0,N(H55)*IF(I55="Week",7/365,IF(I55="2 weeks",14/365,1/12)),IF(ISNUMBER(E55),MAX(0,TODAY()-E55)/365,0))),2))</f>
        <v/>
      </c>
      <c r="M55" s="23">
        <f>IF(OR(C55="",N(H55)&lt;=0),"",ROUND(L55/N(H55),2))</f>
        <v/>
      </c>
      <c r="N55" s="23">
        <f>IF(C55="","",SUMIFS(Payments!$D$6:$D$805,Payments!$G$6:$G$805,B55))</f>
        <v/>
      </c>
      <c r="O55" s="24">
        <f>IF(C55="","",ROUND(L55-N55,2))</f>
        <v/>
      </c>
      <c r="P55" s="11">
        <f>IF(OR(U55="",N(O55)&lt;=0),"",IF(I55="Week",J55+7*U55,IF(I55="2 weeks",J55+14*U55,EDATE(J55,U55))))</f>
        <v/>
      </c>
      <c r="Q55" s="23">
        <f>IF(P55="","",IF(U55=N(H55)-1,O55,ROUND(M55*(U55+1)-N55,2)))</f>
        <v/>
      </c>
      <c r="R55" s="25">
        <f>IF(C55="","",IF(O55&lt;=0,"Paid off",IF(OR(M55="",NOT(ISNUMBER(J55))),"Open",IF(W55&gt;0,"Overdue",IF(AND(ISNUMBER(P55),P55-TODAY()&lt;=Settings!$C$6),"Due soon","On track")))))</f>
        <v/>
      </c>
      <c r="S55" s="1">
        <f>IF(C55="","",B55&amp;" "&amp;C55)</f>
        <v/>
      </c>
      <c r="T55">
        <f>IF(OR(M55="",NOT(ISNUMBER(J55))),"",MIN(N(H55),IF(I55="Week",IF((TODAY()-1)&lt;J55,0,INT(((TODAY()-1)-J55)/7)+1),IF(I55="2 weeks",IF((TODAY()-1)&lt;J55,0,INT(((TODAY()-1)-J55)/14)+1),IF(((YEAR((TODAY()-1))-YEAR(J55))*12+MONTH((TODAY()-1))-MONTH(J55))&lt;0,0,IF(EDATE(J55,((YEAR((TODAY()-1))-YEAR(J55))*12+MONTH((TODAY()-1))-MONTH(J55)))&lt;=(TODAY()-1),((YEAR((TODAY()-1))-YEAR(J55))*12+MONTH((TODAY()-1))-MONTH(J55))+1,((YEAR((TODAY()-1))-YEAR(J55))*12+MONTH((TODAY()-1))-MONTH(J55))))))))</f>
        <v/>
      </c>
      <c r="U55">
        <f>IF(OR(M55="",NOT(ISNUMBER(J55))),"",IF(N(M55)&lt;=0,"",MIN(N(H55)-1,INT(ROUND(N55/M55,6)))))</f>
        <v/>
      </c>
      <c r="V55">
        <f>IF(T55="","",IF(T55&gt;=N(H55),L55,M55*T55))</f>
        <v/>
      </c>
      <c r="W55">
        <f>IF(V55="",0,MAX(0,ROUND(V55-N55,2)))</f>
        <v/>
      </c>
      <c r="X55">
        <f>IF(OR(R55="",R55="Paid off",NOT(ISNUMBER(P55))),"",P55*1000+ROW())</f>
        <v/>
      </c>
      <c r="Y55">
        <f>IF(C55="","",IF(AND(COUNTIF(C$6:C55,C55)=1,SUMIFS(Loans!$O$6:$O$305,Loans!$C$6:$C$305,C55,Loans!$O$6:$O$305,"&gt;0")&gt;0),ROW(),""))</f>
        <v/>
      </c>
      <c r="Z55">
        <f>IF(OR(C55="",P55=""),"",IF(D55="I borrowed","From you","To you"))</f>
        <v/>
      </c>
    </row>
    <row r="56">
      <c r="A56" s="1" t="n"/>
      <c r="B56" s="15" t="n">
        <v>51</v>
      </c>
      <c r="C56" s="16" t="n"/>
      <c r="D56" s="17" t="n"/>
      <c r="E56" s="18" t="n"/>
      <c r="F56" s="19" t="n"/>
      <c r="G56" s="20" t="n"/>
      <c r="H56" s="21" t="n"/>
      <c r="I56" s="17" t="n"/>
      <c r="J56" s="18" t="n"/>
      <c r="K56" s="22" t="n"/>
      <c r="L56" s="23">
        <f>IF(C56="","",ROUND(N(F56)*(1+N(G56)/100*IF(N(H56)&gt;0,N(H56)*IF(I56="Week",7/365,IF(I56="2 weeks",14/365,1/12)),IF(ISNUMBER(E56),MAX(0,TODAY()-E56)/365,0))),2))</f>
        <v/>
      </c>
      <c r="M56" s="23">
        <f>IF(OR(C56="",N(H56)&lt;=0),"",ROUND(L56/N(H56),2))</f>
        <v/>
      </c>
      <c r="N56" s="23">
        <f>IF(C56="","",SUMIFS(Payments!$D$6:$D$805,Payments!$G$6:$G$805,B56))</f>
        <v/>
      </c>
      <c r="O56" s="24">
        <f>IF(C56="","",ROUND(L56-N56,2))</f>
        <v/>
      </c>
      <c r="P56" s="11">
        <f>IF(OR(U56="",N(O56)&lt;=0),"",IF(I56="Week",J56+7*U56,IF(I56="2 weeks",J56+14*U56,EDATE(J56,U56))))</f>
        <v/>
      </c>
      <c r="Q56" s="23">
        <f>IF(P56="","",IF(U56=N(H56)-1,O56,ROUND(M56*(U56+1)-N56,2)))</f>
        <v/>
      </c>
      <c r="R56" s="25">
        <f>IF(C56="","",IF(O56&lt;=0,"Paid off",IF(OR(M56="",NOT(ISNUMBER(J56))),"Open",IF(W56&gt;0,"Overdue",IF(AND(ISNUMBER(P56),P56-TODAY()&lt;=Settings!$C$6),"Due soon","On track")))))</f>
        <v/>
      </c>
      <c r="S56" s="1">
        <f>IF(C56="","",B56&amp;" "&amp;C56)</f>
        <v/>
      </c>
      <c r="T56">
        <f>IF(OR(M56="",NOT(ISNUMBER(J56))),"",MIN(N(H56),IF(I56="Week",IF((TODAY()-1)&lt;J56,0,INT(((TODAY()-1)-J56)/7)+1),IF(I56="2 weeks",IF((TODAY()-1)&lt;J56,0,INT(((TODAY()-1)-J56)/14)+1),IF(((YEAR((TODAY()-1))-YEAR(J56))*12+MONTH((TODAY()-1))-MONTH(J56))&lt;0,0,IF(EDATE(J56,((YEAR((TODAY()-1))-YEAR(J56))*12+MONTH((TODAY()-1))-MONTH(J56)))&lt;=(TODAY()-1),((YEAR((TODAY()-1))-YEAR(J56))*12+MONTH((TODAY()-1))-MONTH(J56))+1,((YEAR((TODAY()-1))-YEAR(J56))*12+MONTH((TODAY()-1))-MONTH(J56))))))))</f>
        <v/>
      </c>
      <c r="U56">
        <f>IF(OR(M56="",NOT(ISNUMBER(J56))),"",IF(N(M56)&lt;=0,"",MIN(N(H56)-1,INT(ROUND(N56/M56,6)))))</f>
        <v/>
      </c>
      <c r="V56">
        <f>IF(T56="","",IF(T56&gt;=N(H56),L56,M56*T56))</f>
        <v/>
      </c>
      <c r="W56">
        <f>IF(V56="",0,MAX(0,ROUND(V56-N56,2)))</f>
        <v/>
      </c>
      <c r="X56">
        <f>IF(OR(R56="",R56="Paid off",NOT(ISNUMBER(P56))),"",P56*1000+ROW())</f>
        <v/>
      </c>
      <c r="Y56">
        <f>IF(C56="","",IF(AND(COUNTIF(C$6:C56,C56)=1,SUMIFS(Loans!$O$6:$O$305,Loans!$C$6:$C$305,C56,Loans!$O$6:$O$305,"&gt;0")&gt;0),ROW(),""))</f>
        <v/>
      </c>
      <c r="Z56">
        <f>IF(OR(C56="",P56=""),"",IF(D56="I borrowed","From you","To you"))</f>
        <v/>
      </c>
    </row>
    <row r="57">
      <c r="A57" s="1" t="n"/>
      <c r="B57" s="15" t="n">
        <v>52</v>
      </c>
      <c r="C57" s="16" t="n"/>
      <c r="D57" s="17" t="n"/>
      <c r="E57" s="18" t="n"/>
      <c r="F57" s="19" t="n"/>
      <c r="G57" s="20" t="n"/>
      <c r="H57" s="21" t="n"/>
      <c r="I57" s="17" t="n"/>
      <c r="J57" s="18" t="n"/>
      <c r="K57" s="22" t="n"/>
      <c r="L57" s="23">
        <f>IF(C57="","",ROUND(N(F57)*(1+N(G57)/100*IF(N(H57)&gt;0,N(H57)*IF(I57="Week",7/365,IF(I57="2 weeks",14/365,1/12)),IF(ISNUMBER(E57),MAX(0,TODAY()-E57)/365,0))),2))</f>
        <v/>
      </c>
      <c r="M57" s="23">
        <f>IF(OR(C57="",N(H57)&lt;=0),"",ROUND(L57/N(H57),2))</f>
        <v/>
      </c>
      <c r="N57" s="23">
        <f>IF(C57="","",SUMIFS(Payments!$D$6:$D$805,Payments!$G$6:$G$805,B57))</f>
        <v/>
      </c>
      <c r="O57" s="24">
        <f>IF(C57="","",ROUND(L57-N57,2))</f>
        <v/>
      </c>
      <c r="P57" s="11">
        <f>IF(OR(U57="",N(O57)&lt;=0),"",IF(I57="Week",J57+7*U57,IF(I57="2 weeks",J57+14*U57,EDATE(J57,U57))))</f>
        <v/>
      </c>
      <c r="Q57" s="23">
        <f>IF(P57="","",IF(U57=N(H57)-1,O57,ROUND(M57*(U57+1)-N57,2)))</f>
        <v/>
      </c>
      <c r="R57" s="25">
        <f>IF(C57="","",IF(O57&lt;=0,"Paid off",IF(OR(M57="",NOT(ISNUMBER(J57))),"Open",IF(W57&gt;0,"Overdue",IF(AND(ISNUMBER(P57),P57-TODAY()&lt;=Settings!$C$6),"Due soon","On track")))))</f>
        <v/>
      </c>
      <c r="S57" s="1">
        <f>IF(C57="","",B57&amp;" "&amp;C57)</f>
        <v/>
      </c>
      <c r="T57">
        <f>IF(OR(M57="",NOT(ISNUMBER(J57))),"",MIN(N(H57),IF(I57="Week",IF((TODAY()-1)&lt;J57,0,INT(((TODAY()-1)-J57)/7)+1),IF(I57="2 weeks",IF((TODAY()-1)&lt;J57,0,INT(((TODAY()-1)-J57)/14)+1),IF(((YEAR((TODAY()-1))-YEAR(J57))*12+MONTH((TODAY()-1))-MONTH(J57))&lt;0,0,IF(EDATE(J57,((YEAR((TODAY()-1))-YEAR(J57))*12+MONTH((TODAY()-1))-MONTH(J57)))&lt;=(TODAY()-1),((YEAR((TODAY()-1))-YEAR(J57))*12+MONTH((TODAY()-1))-MONTH(J57))+1,((YEAR((TODAY()-1))-YEAR(J57))*12+MONTH((TODAY()-1))-MONTH(J57))))))))</f>
        <v/>
      </c>
      <c r="U57">
        <f>IF(OR(M57="",NOT(ISNUMBER(J57))),"",IF(N(M57)&lt;=0,"",MIN(N(H57)-1,INT(ROUND(N57/M57,6)))))</f>
        <v/>
      </c>
      <c r="V57">
        <f>IF(T57="","",IF(T57&gt;=N(H57),L57,M57*T57))</f>
        <v/>
      </c>
      <c r="W57">
        <f>IF(V57="",0,MAX(0,ROUND(V57-N57,2)))</f>
        <v/>
      </c>
      <c r="X57">
        <f>IF(OR(R57="",R57="Paid off",NOT(ISNUMBER(P57))),"",P57*1000+ROW())</f>
        <v/>
      </c>
      <c r="Y57">
        <f>IF(C57="","",IF(AND(COUNTIF(C$6:C57,C57)=1,SUMIFS(Loans!$O$6:$O$305,Loans!$C$6:$C$305,C57,Loans!$O$6:$O$305,"&gt;0")&gt;0),ROW(),""))</f>
        <v/>
      </c>
      <c r="Z57">
        <f>IF(OR(C57="",P57=""),"",IF(D57="I borrowed","From you","To you"))</f>
        <v/>
      </c>
    </row>
    <row r="58">
      <c r="A58" s="1" t="n"/>
      <c r="B58" s="15" t="n">
        <v>53</v>
      </c>
      <c r="C58" s="16" t="n"/>
      <c r="D58" s="17" t="n"/>
      <c r="E58" s="18" t="n"/>
      <c r="F58" s="19" t="n"/>
      <c r="G58" s="20" t="n"/>
      <c r="H58" s="21" t="n"/>
      <c r="I58" s="17" t="n"/>
      <c r="J58" s="18" t="n"/>
      <c r="K58" s="22" t="n"/>
      <c r="L58" s="23">
        <f>IF(C58="","",ROUND(N(F58)*(1+N(G58)/100*IF(N(H58)&gt;0,N(H58)*IF(I58="Week",7/365,IF(I58="2 weeks",14/365,1/12)),IF(ISNUMBER(E58),MAX(0,TODAY()-E58)/365,0))),2))</f>
        <v/>
      </c>
      <c r="M58" s="23">
        <f>IF(OR(C58="",N(H58)&lt;=0),"",ROUND(L58/N(H58),2))</f>
        <v/>
      </c>
      <c r="N58" s="23">
        <f>IF(C58="","",SUMIFS(Payments!$D$6:$D$805,Payments!$G$6:$G$805,B58))</f>
        <v/>
      </c>
      <c r="O58" s="24">
        <f>IF(C58="","",ROUND(L58-N58,2))</f>
        <v/>
      </c>
      <c r="P58" s="11">
        <f>IF(OR(U58="",N(O58)&lt;=0),"",IF(I58="Week",J58+7*U58,IF(I58="2 weeks",J58+14*U58,EDATE(J58,U58))))</f>
        <v/>
      </c>
      <c r="Q58" s="23">
        <f>IF(P58="","",IF(U58=N(H58)-1,O58,ROUND(M58*(U58+1)-N58,2)))</f>
        <v/>
      </c>
      <c r="R58" s="25">
        <f>IF(C58="","",IF(O58&lt;=0,"Paid off",IF(OR(M58="",NOT(ISNUMBER(J58))),"Open",IF(W58&gt;0,"Overdue",IF(AND(ISNUMBER(P58),P58-TODAY()&lt;=Settings!$C$6),"Due soon","On track")))))</f>
        <v/>
      </c>
      <c r="S58" s="1">
        <f>IF(C58="","",B58&amp;" "&amp;C58)</f>
        <v/>
      </c>
      <c r="T58">
        <f>IF(OR(M58="",NOT(ISNUMBER(J58))),"",MIN(N(H58),IF(I58="Week",IF((TODAY()-1)&lt;J58,0,INT(((TODAY()-1)-J58)/7)+1),IF(I58="2 weeks",IF((TODAY()-1)&lt;J58,0,INT(((TODAY()-1)-J58)/14)+1),IF(((YEAR((TODAY()-1))-YEAR(J58))*12+MONTH((TODAY()-1))-MONTH(J58))&lt;0,0,IF(EDATE(J58,((YEAR((TODAY()-1))-YEAR(J58))*12+MONTH((TODAY()-1))-MONTH(J58)))&lt;=(TODAY()-1),((YEAR((TODAY()-1))-YEAR(J58))*12+MONTH((TODAY()-1))-MONTH(J58))+1,((YEAR((TODAY()-1))-YEAR(J58))*12+MONTH((TODAY()-1))-MONTH(J58))))))))</f>
        <v/>
      </c>
      <c r="U58">
        <f>IF(OR(M58="",NOT(ISNUMBER(J58))),"",IF(N(M58)&lt;=0,"",MIN(N(H58)-1,INT(ROUND(N58/M58,6)))))</f>
        <v/>
      </c>
      <c r="V58">
        <f>IF(T58="","",IF(T58&gt;=N(H58),L58,M58*T58))</f>
        <v/>
      </c>
      <c r="W58">
        <f>IF(V58="",0,MAX(0,ROUND(V58-N58,2)))</f>
        <v/>
      </c>
      <c r="X58">
        <f>IF(OR(R58="",R58="Paid off",NOT(ISNUMBER(P58))),"",P58*1000+ROW())</f>
        <v/>
      </c>
      <c r="Y58">
        <f>IF(C58="","",IF(AND(COUNTIF(C$6:C58,C58)=1,SUMIFS(Loans!$O$6:$O$305,Loans!$C$6:$C$305,C58,Loans!$O$6:$O$305,"&gt;0")&gt;0),ROW(),""))</f>
        <v/>
      </c>
      <c r="Z58">
        <f>IF(OR(C58="",P58=""),"",IF(D58="I borrowed","From you","To you"))</f>
        <v/>
      </c>
    </row>
    <row r="59">
      <c r="A59" s="1" t="n"/>
      <c r="B59" s="15" t="n">
        <v>54</v>
      </c>
      <c r="C59" s="16" t="n"/>
      <c r="D59" s="17" t="n"/>
      <c r="E59" s="18" t="n"/>
      <c r="F59" s="19" t="n"/>
      <c r="G59" s="20" t="n"/>
      <c r="H59" s="21" t="n"/>
      <c r="I59" s="17" t="n"/>
      <c r="J59" s="18" t="n"/>
      <c r="K59" s="22" t="n"/>
      <c r="L59" s="23">
        <f>IF(C59="","",ROUND(N(F59)*(1+N(G59)/100*IF(N(H59)&gt;0,N(H59)*IF(I59="Week",7/365,IF(I59="2 weeks",14/365,1/12)),IF(ISNUMBER(E59),MAX(0,TODAY()-E59)/365,0))),2))</f>
        <v/>
      </c>
      <c r="M59" s="23">
        <f>IF(OR(C59="",N(H59)&lt;=0),"",ROUND(L59/N(H59),2))</f>
        <v/>
      </c>
      <c r="N59" s="23">
        <f>IF(C59="","",SUMIFS(Payments!$D$6:$D$805,Payments!$G$6:$G$805,B59))</f>
        <v/>
      </c>
      <c r="O59" s="24">
        <f>IF(C59="","",ROUND(L59-N59,2))</f>
        <v/>
      </c>
      <c r="P59" s="11">
        <f>IF(OR(U59="",N(O59)&lt;=0),"",IF(I59="Week",J59+7*U59,IF(I59="2 weeks",J59+14*U59,EDATE(J59,U59))))</f>
        <v/>
      </c>
      <c r="Q59" s="23">
        <f>IF(P59="","",IF(U59=N(H59)-1,O59,ROUND(M59*(U59+1)-N59,2)))</f>
        <v/>
      </c>
      <c r="R59" s="25">
        <f>IF(C59="","",IF(O59&lt;=0,"Paid off",IF(OR(M59="",NOT(ISNUMBER(J59))),"Open",IF(W59&gt;0,"Overdue",IF(AND(ISNUMBER(P59),P59-TODAY()&lt;=Settings!$C$6),"Due soon","On track")))))</f>
        <v/>
      </c>
      <c r="S59" s="1">
        <f>IF(C59="","",B59&amp;" "&amp;C59)</f>
        <v/>
      </c>
      <c r="T59">
        <f>IF(OR(M59="",NOT(ISNUMBER(J59))),"",MIN(N(H59),IF(I59="Week",IF((TODAY()-1)&lt;J59,0,INT(((TODAY()-1)-J59)/7)+1),IF(I59="2 weeks",IF((TODAY()-1)&lt;J59,0,INT(((TODAY()-1)-J59)/14)+1),IF(((YEAR((TODAY()-1))-YEAR(J59))*12+MONTH((TODAY()-1))-MONTH(J59))&lt;0,0,IF(EDATE(J59,((YEAR((TODAY()-1))-YEAR(J59))*12+MONTH((TODAY()-1))-MONTH(J59)))&lt;=(TODAY()-1),((YEAR((TODAY()-1))-YEAR(J59))*12+MONTH((TODAY()-1))-MONTH(J59))+1,((YEAR((TODAY()-1))-YEAR(J59))*12+MONTH((TODAY()-1))-MONTH(J59))))))))</f>
        <v/>
      </c>
      <c r="U59">
        <f>IF(OR(M59="",NOT(ISNUMBER(J59))),"",IF(N(M59)&lt;=0,"",MIN(N(H59)-1,INT(ROUND(N59/M59,6)))))</f>
        <v/>
      </c>
      <c r="V59">
        <f>IF(T59="","",IF(T59&gt;=N(H59),L59,M59*T59))</f>
        <v/>
      </c>
      <c r="W59">
        <f>IF(V59="",0,MAX(0,ROUND(V59-N59,2)))</f>
        <v/>
      </c>
      <c r="X59">
        <f>IF(OR(R59="",R59="Paid off",NOT(ISNUMBER(P59))),"",P59*1000+ROW())</f>
        <v/>
      </c>
      <c r="Y59">
        <f>IF(C59="","",IF(AND(COUNTIF(C$6:C59,C59)=1,SUMIFS(Loans!$O$6:$O$305,Loans!$C$6:$C$305,C59,Loans!$O$6:$O$305,"&gt;0")&gt;0),ROW(),""))</f>
        <v/>
      </c>
      <c r="Z59">
        <f>IF(OR(C59="",P59=""),"",IF(D59="I borrowed","From you","To you"))</f>
        <v/>
      </c>
    </row>
    <row r="60">
      <c r="A60" s="1" t="n"/>
      <c r="B60" s="15" t="n">
        <v>55</v>
      </c>
      <c r="C60" s="16" t="n"/>
      <c r="D60" s="17" t="n"/>
      <c r="E60" s="18" t="n"/>
      <c r="F60" s="19" t="n"/>
      <c r="G60" s="20" t="n"/>
      <c r="H60" s="21" t="n"/>
      <c r="I60" s="17" t="n"/>
      <c r="J60" s="18" t="n"/>
      <c r="K60" s="22" t="n"/>
      <c r="L60" s="23">
        <f>IF(C60="","",ROUND(N(F60)*(1+N(G60)/100*IF(N(H60)&gt;0,N(H60)*IF(I60="Week",7/365,IF(I60="2 weeks",14/365,1/12)),IF(ISNUMBER(E60),MAX(0,TODAY()-E60)/365,0))),2))</f>
        <v/>
      </c>
      <c r="M60" s="23">
        <f>IF(OR(C60="",N(H60)&lt;=0),"",ROUND(L60/N(H60),2))</f>
        <v/>
      </c>
      <c r="N60" s="23">
        <f>IF(C60="","",SUMIFS(Payments!$D$6:$D$805,Payments!$G$6:$G$805,B60))</f>
        <v/>
      </c>
      <c r="O60" s="24">
        <f>IF(C60="","",ROUND(L60-N60,2))</f>
        <v/>
      </c>
      <c r="P60" s="11">
        <f>IF(OR(U60="",N(O60)&lt;=0),"",IF(I60="Week",J60+7*U60,IF(I60="2 weeks",J60+14*U60,EDATE(J60,U60))))</f>
        <v/>
      </c>
      <c r="Q60" s="23">
        <f>IF(P60="","",IF(U60=N(H60)-1,O60,ROUND(M60*(U60+1)-N60,2)))</f>
        <v/>
      </c>
      <c r="R60" s="25">
        <f>IF(C60="","",IF(O60&lt;=0,"Paid off",IF(OR(M60="",NOT(ISNUMBER(J60))),"Open",IF(W60&gt;0,"Overdue",IF(AND(ISNUMBER(P60),P60-TODAY()&lt;=Settings!$C$6),"Due soon","On track")))))</f>
        <v/>
      </c>
      <c r="S60" s="1">
        <f>IF(C60="","",B60&amp;" "&amp;C60)</f>
        <v/>
      </c>
      <c r="T60">
        <f>IF(OR(M60="",NOT(ISNUMBER(J60))),"",MIN(N(H60),IF(I60="Week",IF((TODAY()-1)&lt;J60,0,INT(((TODAY()-1)-J60)/7)+1),IF(I60="2 weeks",IF((TODAY()-1)&lt;J60,0,INT(((TODAY()-1)-J60)/14)+1),IF(((YEAR((TODAY()-1))-YEAR(J60))*12+MONTH((TODAY()-1))-MONTH(J60))&lt;0,0,IF(EDATE(J60,((YEAR((TODAY()-1))-YEAR(J60))*12+MONTH((TODAY()-1))-MONTH(J60)))&lt;=(TODAY()-1),((YEAR((TODAY()-1))-YEAR(J60))*12+MONTH((TODAY()-1))-MONTH(J60))+1,((YEAR((TODAY()-1))-YEAR(J60))*12+MONTH((TODAY()-1))-MONTH(J60))))))))</f>
        <v/>
      </c>
      <c r="U60">
        <f>IF(OR(M60="",NOT(ISNUMBER(J60))),"",IF(N(M60)&lt;=0,"",MIN(N(H60)-1,INT(ROUND(N60/M60,6)))))</f>
        <v/>
      </c>
      <c r="V60">
        <f>IF(T60="","",IF(T60&gt;=N(H60),L60,M60*T60))</f>
        <v/>
      </c>
      <c r="W60">
        <f>IF(V60="",0,MAX(0,ROUND(V60-N60,2)))</f>
        <v/>
      </c>
      <c r="X60">
        <f>IF(OR(R60="",R60="Paid off",NOT(ISNUMBER(P60))),"",P60*1000+ROW())</f>
        <v/>
      </c>
      <c r="Y60">
        <f>IF(C60="","",IF(AND(COUNTIF(C$6:C60,C60)=1,SUMIFS(Loans!$O$6:$O$305,Loans!$C$6:$C$305,C60,Loans!$O$6:$O$305,"&gt;0")&gt;0),ROW(),""))</f>
        <v/>
      </c>
      <c r="Z60">
        <f>IF(OR(C60="",P60=""),"",IF(D60="I borrowed","From you","To you"))</f>
        <v/>
      </c>
    </row>
    <row r="61">
      <c r="A61" s="1" t="n"/>
      <c r="B61" s="15" t="n">
        <v>56</v>
      </c>
      <c r="C61" s="16" t="n"/>
      <c r="D61" s="17" t="n"/>
      <c r="E61" s="18" t="n"/>
      <c r="F61" s="19" t="n"/>
      <c r="G61" s="20" t="n"/>
      <c r="H61" s="21" t="n"/>
      <c r="I61" s="17" t="n"/>
      <c r="J61" s="18" t="n"/>
      <c r="K61" s="22" t="n"/>
      <c r="L61" s="23">
        <f>IF(C61="","",ROUND(N(F61)*(1+N(G61)/100*IF(N(H61)&gt;0,N(H61)*IF(I61="Week",7/365,IF(I61="2 weeks",14/365,1/12)),IF(ISNUMBER(E61),MAX(0,TODAY()-E61)/365,0))),2))</f>
        <v/>
      </c>
      <c r="M61" s="23">
        <f>IF(OR(C61="",N(H61)&lt;=0),"",ROUND(L61/N(H61),2))</f>
        <v/>
      </c>
      <c r="N61" s="23">
        <f>IF(C61="","",SUMIFS(Payments!$D$6:$D$805,Payments!$G$6:$G$805,B61))</f>
        <v/>
      </c>
      <c r="O61" s="24">
        <f>IF(C61="","",ROUND(L61-N61,2))</f>
        <v/>
      </c>
      <c r="P61" s="11">
        <f>IF(OR(U61="",N(O61)&lt;=0),"",IF(I61="Week",J61+7*U61,IF(I61="2 weeks",J61+14*U61,EDATE(J61,U61))))</f>
        <v/>
      </c>
      <c r="Q61" s="23">
        <f>IF(P61="","",IF(U61=N(H61)-1,O61,ROUND(M61*(U61+1)-N61,2)))</f>
        <v/>
      </c>
      <c r="R61" s="25">
        <f>IF(C61="","",IF(O61&lt;=0,"Paid off",IF(OR(M61="",NOT(ISNUMBER(J61))),"Open",IF(W61&gt;0,"Overdue",IF(AND(ISNUMBER(P61),P61-TODAY()&lt;=Settings!$C$6),"Due soon","On track")))))</f>
        <v/>
      </c>
      <c r="S61" s="1">
        <f>IF(C61="","",B61&amp;" "&amp;C61)</f>
        <v/>
      </c>
      <c r="T61">
        <f>IF(OR(M61="",NOT(ISNUMBER(J61))),"",MIN(N(H61),IF(I61="Week",IF((TODAY()-1)&lt;J61,0,INT(((TODAY()-1)-J61)/7)+1),IF(I61="2 weeks",IF((TODAY()-1)&lt;J61,0,INT(((TODAY()-1)-J61)/14)+1),IF(((YEAR((TODAY()-1))-YEAR(J61))*12+MONTH((TODAY()-1))-MONTH(J61))&lt;0,0,IF(EDATE(J61,((YEAR((TODAY()-1))-YEAR(J61))*12+MONTH((TODAY()-1))-MONTH(J61)))&lt;=(TODAY()-1),((YEAR((TODAY()-1))-YEAR(J61))*12+MONTH((TODAY()-1))-MONTH(J61))+1,((YEAR((TODAY()-1))-YEAR(J61))*12+MONTH((TODAY()-1))-MONTH(J61))))))))</f>
        <v/>
      </c>
      <c r="U61">
        <f>IF(OR(M61="",NOT(ISNUMBER(J61))),"",IF(N(M61)&lt;=0,"",MIN(N(H61)-1,INT(ROUND(N61/M61,6)))))</f>
        <v/>
      </c>
      <c r="V61">
        <f>IF(T61="","",IF(T61&gt;=N(H61),L61,M61*T61))</f>
        <v/>
      </c>
      <c r="W61">
        <f>IF(V61="",0,MAX(0,ROUND(V61-N61,2)))</f>
        <v/>
      </c>
      <c r="X61">
        <f>IF(OR(R61="",R61="Paid off",NOT(ISNUMBER(P61))),"",P61*1000+ROW())</f>
        <v/>
      </c>
      <c r="Y61">
        <f>IF(C61="","",IF(AND(COUNTIF(C$6:C61,C61)=1,SUMIFS(Loans!$O$6:$O$305,Loans!$C$6:$C$305,C61,Loans!$O$6:$O$305,"&gt;0")&gt;0),ROW(),""))</f>
        <v/>
      </c>
      <c r="Z61">
        <f>IF(OR(C61="",P61=""),"",IF(D61="I borrowed","From you","To you"))</f>
        <v/>
      </c>
    </row>
    <row r="62">
      <c r="A62" s="1" t="n"/>
      <c r="B62" s="15" t="n">
        <v>57</v>
      </c>
      <c r="C62" s="16" t="n"/>
      <c r="D62" s="17" t="n"/>
      <c r="E62" s="18" t="n"/>
      <c r="F62" s="19" t="n"/>
      <c r="G62" s="20" t="n"/>
      <c r="H62" s="21" t="n"/>
      <c r="I62" s="17" t="n"/>
      <c r="J62" s="18" t="n"/>
      <c r="K62" s="22" t="n"/>
      <c r="L62" s="23">
        <f>IF(C62="","",ROUND(N(F62)*(1+N(G62)/100*IF(N(H62)&gt;0,N(H62)*IF(I62="Week",7/365,IF(I62="2 weeks",14/365,1/12)),IF(ISNUMBER(E62),MAX(0,TODAY()-E62)/365,0))),2))</f>
        <v/>
      </c>
      <c r="M62" s="23">
        <f>IF(OR(C62="",N(H62)&lt;=0),"",ROUND(L62/N(H62),2))</f>
        <v/>
      </c>
      <c r="N62" s="23">
        <f>IF(C62="","",SUMIFS(Payments!$D$6:$D$805,Payments!$G$6:$G$805,B62))</f>
        <v/>
      </c>
      <c r="O62" s="24">
        <f>IF(C62="","",ROUND(L62-N62,2))</f>
        <v/>
      </c>
      <c r="P62" s="11">
        <f>IF(OR(U62="",N(O62)&lt;=0),"",IF(I62="Week",J62+7*U62,IF(I62="2 weeks",J62+14*U62,EDATE(J62,U62))))</f>
        <v/>
      </c>
      <c r="Q62" s="23">
        <f>IF(P62="","",IF(U62=N(H62)-1,O62,ROUND(M62*(U62+1)-N62,2)))</f>
        <v/>
      </c>
      <c r="R62" s="25">
        <f>IF(C62="","",IF(O62&lt;=0,"Paid off",IF(OR(M62="",NOT(ISNUMBER(J62))),"Open",IF(W62&gt;0,"Overdue",IF(AND(ISNUMBER(P62),P62-TODAY()&lt;=Settings!$C$6),"Due soon","On track")))))</f>
        <v/>
      </c>
      <c r="S62" s="1">
        <f>IF(C62="","",B62&amp;" "&amp;C62)</f>
        <v/>
      </c>
      <c r="T62">
        <f>IF(OR(M62="",NOT(ISNUMBER(J62))),"",MIN(N(H62),IF(I62="Week",IF((TODAY()-1)&lt;J62,0,INT(((TODAY()-1)-J62)/7)+1),IF(I62="2 weeks",IF((TODAY()-1)&lt;J62,0,INT(((TODAY()-1)-J62)/14)+1),IF(((YEAR((TODAY()-1))-YEAR(J62))*12+MONTH((TODAY()-1))-MONTH(J62))&lt;0,0,IF(EDATE(J62,((YEAR((TODAY()-1))-YEAR(J62))*12+MONTH((TODAY()-1))-MONTH(J62)))&lt;=(TODAY()-1),((YEAR((TODAY()-1))-YEAR(J62))*12+MONTH((TODAY()-1))-MONTH(J62))+1,((YEAR((TODAY()-1))-YEAR(J62))*12+MONTH((TODAY()-1))-MONTH(J62))))))))</f>
        <v/>
      </c>
      <c r="U62">
        <f>IF(OR(M62="",NOT(ISNUMBER(J62))),"",IF(N(M62)&lt;=0,"",MIN(N(H62)-1,INT(ROUND(N62/M62,6)))))</f>
        <v/>
      </c>
      <c r="V62">
        <f>IF(T62="","",IF(T62&gt;=N(H62),L62,M62*T62))</f>
        <v/>
      </c>
      <c r="W62">
        <f>IF(V62="",0,MAX(0,ROUND(V62-N62,2)))</f>
        <v/>
      </c>
      <c r="X62">
        <f>IF(OR(R62="",R62="Paid off",NOT(ISNUMBER(P62))),"",P62*1000+ROW())</f>
        <v/>
      </c>
      <c r="Y62">
        <f>IF(C62="","",IF(AND(COUNTIF(C$6:C62,C62)=1,SUMIFS(Loans!$O$6:$O$305,Loans!$C$6:$C$305,C62,Loans!$O$6:$O$305,"&gt;0")&gt;0),ROW(),""))</f>
        <v/>
      </c>
      <c r="Z62">
        <f>IF(OR(C62="",P62=""),"",IF(D62="I borrowed","From you","To you"))</f>
        <v/>
      </c>
    </row>
    <row r="63">
      <c r="A63" s="1" t="n"/>
      <c r="B63" s="15" t="n">
        <v>58</v>
      </c>
      <c r="C63" s="16" t="n"/>
      <c r="D63" s="17" t="n"/>
      <c r="E63" s="18" t="n"/>
      <c r="F63" s="19" t="n"/>
      <c r="G63" s="20" t="n"/>
      <c r="H63" s="21" t="n"/>
      <c r="I63" s="17" t="n"/>
      <c r="J63" s="18" t="n"/>
      <c r="K63" s="22" t="n"/>
      <c r="L63" s="23">
        <f>IF(C63="","",ROUND(N(F63)*(1+N(G63)/100*IF(N(H63)&gt;0,N(H63)*IF(I63="Week",7/365,IF(I63="2 weeks",14/365,1/12)),IF(ISNUMBER(E63),MAX(0,TODAY()-E63)/365,0))),2))</f>
        <v/>
      </c>
      <c r="M63" s="23">
        <f>IF(OR(C63="",N(H63)&lt;=0),"",ROUND(L63/N(H63),2))</f>
        <v/>
      </c>
      <c r="N63" s="23">
        <f>IF(C63="","",SUMIFS(Payments!$D$6:$D$805,Payments!$G$6:$G$805,B63))</f>
        <v/>
      </c>
      <c r="O63" s="24">
        <f>IF(C63="","",ROUND(L63-N63,2))</f>
        <v/>
      </c>
      <c r="P63" s="11">
        <f>IF(OR(U63="",N(O63)&lt;=0),"",IF(I63="Week",J63+7*U63,IF(I63="2 weeks",J63+14*U63,EDATE(J63,U63))))</f>
        <v/>
      </c>
      <c r="Q63" s="23">
        <f>IF(P63="","",IF(U63=N(H63)-1,O63,ROUND(M63*(U63+1)-N63,2)))</f>
        <v/>
      </c>
      <c r="R63" s="25">
        <f>IF(C63="","",IF(O63&lt;=0,"Paid off",IF(OR(M63="",NOT(ISNUMBER(J63))),"Open",IF(W63&gt;0,"Overdue",IF(AND(ISNUMBER(P63),P63-TODAY()&lt;=Settings!$C$6),"Due soon","On track")))))</f>
        <v/>
      </c>
      <c r="S63" s="1">
        <f>IF(C63="","",B63&amp;" "&amp;C63)</f>
        <v/>
      </c>
      <c r="T63">
        <f>IF(OR(M63="",NOT(ISNUMBER(J63))),"",MIN(N(H63),IF(I63="Week",IF((TODAY()-1)&lt;J63,0,INT(((TODAY()-1)-J63)/7)+1),IF(I63="2 weeks",IF((TODAY()-1)&lt;J63,0,INT(((TODAY()-1)-J63)/14)+1),IF(((YEAR((TODAY()-1))-YEAR(J63))*12+MONTH((TODAY()-1))-MONTH(J63))&lt;0,0,IF(EDATE(J63,((YEAR((TODAY()-1))-YEAR(J63))*12+MONTH((TODAY()-1))-MONTH(J63)))&lt;=(TODAY()-1),((YEAR((TODAY()-1))-YEAR(J63))*12+MONTH((TODAY()-1))-MONTH(J63))+1,((YEAR((TODAY()-1))-YEAR(J63))*12+MONTH((TODAY()-1))-MONTH(J63))))))))</f>
        <v/>
      </c>
      <c r="U63">
        <f>IF(OR(M63="",NOT(ISNUMBER(J63))),"",IF(N(M63)&lt;=0,"",MIN(N(H63)-1,INT(ROUND(N63/M63,6)))))</f>
        <v/>
      </c>
      <c r="V63">
        <f>IF(T63="","",IF(T63&gt;=N(H63),L63,M63*T63))</f>
        <v/>
      </c>
      <c r="W63">
        <f>IF(V63="",0,MAX(0,ROUND(V63-N63,2)))</f>
        <v/>
      </c>
      <c r="X63">
        <f>IF(OR(R63="",R63="Paid off",NOT(ISNUMBER(P63))),"",P63*1000+ROW())</f>
        <v/>
      </c>
      <c r="Y63">
        <f>IF(C63="","",IF(AND(COUNTIF(C$6:C63,C63)=1,SUMIFS(Loans!$O$6:$O$305,Loans!$C$6:$C$305,C63,Loans!$O$6:$O$305,"&gt;0")&gt;0),ROW(),""))</f>
        <v/>
      </c>
      <c r="Z63">
        <f>IF(OR(C63="",P63=""),"",IF(D63="I borrowed","From you","To you"))</f>
        <v/>
      </c>
    </row>
    <row r="64">
      <c r="A64" s="1" t="n"/>
      <c r="B64" s="15" t="n">
        <v>59</v>
      </c>
      <c r="C64" s="16" t="n"/>
      <c r="D64" s="17" t="n"/>
      <c r="E64" s="18" t="n"/>
      <c r="F64" s="19" t="n"/>
      <c r="G64" s="20" t="n"/>
      <c r="H64" s="21" t="n"/>
      <c r="I64" s="17" t="n"/>
      <c r="J64" s="18" t="n"/>
      <c r="K64" s="22" t="n"/>
      <c r="L64" s="23">
        <f>IF(C64="","",ROUND(N(F64)*(1+N(G64)/100*IF(N(H64)&gt;0,N(H64)*IF(I64="Week",7/365,IF(I64="2 weeks",14/365,1/12)),IF(ISNUMBER(E64),MAX(0,TODAY()-E64)/365,0))),2))</f>
        <v/>
      </c>
      <c r="M64" s="23">
        <f>IF(OR(C64="",N(H64)&lt;=0),"",ROUND(L64/N(H64),2))</f>
        <v/>
      </c>
      <c r="N64" s="23">
        <f>IF(C64="","",SUMIFS(Payments!$D$6:$D$805,Payments!$G$6:$G$805,B64))</f>
        <v/>
      </c>
      <c r="O64" s="24">
        <f>IF(C64="","",ROUND(L64-N64,2))</f>
        <v/>
      </c>
      <c r="P64" s="11">
        <f>IF(OR(U64="",N(O64)&lt;=0),"",IF(I64="Week",J64+7*U64,IF(I64="2 weeks",J64+14*U64,EDATE(J64,U64))))</f>
        <v/>
      </c>
      <c r="Q64" s="23">
        <f>IF(P64="","",IF(U64=N(H64)-1,O64,ROUND(M64*(U64+1)-N64,2)))</f>
        <v/>
      </c>
      <c r="R64" s="25">
        <f>IF(C64="","",IF(O64&lt;=0,"Paid off",IF(OR(M64="",NOT(ISNUMBER(J64))),"Open",IF(W64&gt;0,"Overdue",IF(AND(ISNUMBER(P64),P64-TODAY()&lt;=Settings!$C$6),"Due soon","On track")))))</f>
        <v/>
      </c>
      <c r="S64" s="1">
        <f>IF(C64="","",B64&amp;" "&amp;C64)</f>
        <v/>
      </c>
      <c r="T64">
        <f>IF(OR(M64="",NOT(ISNUMBER(J64))),"",MIN(N(H64),IF(I64="Week",IF((TODAY()-1)&lt;J64,0,INT(((TODAY()-1)-J64)/7)+1),IF(I64="2 weeks",IF((TODAY()-1)&lt;J64,0,INT(((TODAY()-1)-J64)/14)+1),IF(((YEAR((TODAY()-1))-YEAR(J64))*12+MONTH((TODAY()-1))-MONTH(J64))&lt;0,0,IF(EDATE(J64,((YEAR((TODAY()-1))-YEAR(J64))*12+MONTH((TODAY()-1))-MONTH(J64)))&lt;=(TODAY()-1),((YEAR((TODAY()-1))-YEAR(J64))*12+MONTH((TODAY()-1))-MONTH(J64))+1,((YEAR((TODAY()-1))-YEAR(J64))*12+MONTH((TODAY()-1))-MONTH(J64))))))))</f>
        <v/>
      </c>
      <c r="U64">
        <f>IF(OR(M64="",NOT(ISNUMBER(J64))),"",IF(N(M64)&lt;=0,"",MIN(N(H64)-1,INT(ROUND(N64/M64,6)))))</f>
        <v/>
      </c>
      <c r="V64">
        <f>IF(T64="","",IF(T64&gt;=N(H64),L64,M64*T64))</f>
        <v/>
      </c>
      <c r="W64">
        <f>IF(V64="",0,MAX(0,ROUND(V64-N64,2)))</f>
        <v/>
      </c>
      <c r="X64">
        <f>IF(OR(R64="",R64="Paid off",NOT(ISNUMBER(P64))),"",P64*1000+ROW())</f>
        <v/>
      </c>
      <c r="Y64">
        <f>IF(C64="","",IF(AND(COUNTIF(C$6:C64,C64)=1,SUMIFS(Loans!$O$6:$O$305,Loans!$C$6:$C$305,C64,Loans!$O$6:$O$305,"&gt;0")&gt;0),ROW(),""))</f>
        <v/>
      </c>
      <c r="Z64">
        <f>IF(OR(C64="",P64=""),"",IF(D64="I borrowed","From you","To you"))</f>
        <v/>
      </c>
    </row>
    <row r="65">
      <c r="A65" s="1" t="n"/>
      <c r="B65" s="15" t="n">
        <v>60</v>
      </c>
      <c r="C65" s="16" t="n"/>
      <c r="D65" s="17" t="n"/>
      <c r="E65" s="18" t="n"/>
      <c r="F65" s="19" t="n"/>
      <c r="G65" s="20" t="n"/>
      <c r="H65" s="21" t="n"/>
      <c r="I65" s="17" t="n"/>
      <c r="J65" s="18" t="n"/>
      <c r="K65" s="22" t="n"/>
      <c r="L65" s="23">
        <f>IF(C65="","",ROUND(N(F65)*(1+N(G65)/100*IF(N(H65)&gt;0,N(H65)*IF(I65="Week",7/365,IF(I65="2 weeks",14/365,1/12)),IF(ISNUMBER(E65),MAX(0,TODAY()-E65)/365,0))),2))</f>
        <v/>
      </c>
      <c r="M65" s="23">
        <f>IF(OR(C65="",N(H65)&lt;=0),"",ROUND(L65/N(H65),2))</f>
        <v/>
      </c>
      <c r="N65" s="23">
        <f>IF(C65="","",SUMIFS(Payments!$D$6:$D$805,Payments!$G$6:$G$805,B65))</f>
        <v/>
      </c>
      <c r="O65" s="24">
        <f>IF(C65="","",ROUND(L65-N65,2))</f>
        <v/>
      </c>
      <c r="P65" s="11">
        <f>IF(OR(U65="",N(O65)&lt;=0),"",IF(I65="Week",J65+7*U65,IF(I65="2 weeks",J65+14*U65,EDATE(J65,U65))))</f>
        <v/>
      </c>
      <c r="Q65" s="23">
        <f>IF(P65="","",IF(U65=N(H65)-1,O65,ROUND(M65*(U65+1)-N65,2)))</f>
        <v/>
      </c>
      <c r="R65" s="25">
        <f>IF(C65="","",IF(O65&lt;=0,"Paid off",IF(OR(M65="",NOT(ISNUMBER(J65))),"Open",IF(W65&gt;0,"Overdue",IF(AND(ISNUMBER(P65),P65-TODAY()&lt;=Settings!$C$6),"Due soon","On track")))))</f>
        <v/>
      </c>
      <c r="S65" s="1">
        <f>IF(C65="","",B65&amp;" "&amp;C65)</f>
        <v/>
      </c>
      <c r="T65">
        <f>IF(OR(M65="",NOT(ISNUMBER(J65))),"",MIN(N(H65),IF(I65="Week",IF((TODAY()-1)&lt;J65,0,INT(((TODAY()-1)-J65)/7)+1),IF(I65="2 weeks",IF((TODAY()-1)&lt;J65,0,INT(((TODAY()-1)-J65)/14)+1),IF(((YEAR((TODAY()-1))-YEAR(J65))*12+MONTH((TODAY()-1))-MONTH(J65))&lt;0,0,IF(EDATE(J65,((YEAR((TODAY()-1))-YEAR(J65))*12+MONTH((TODAY()-1))-MONTH(J65)))&lt;=(TODAY()-1),((YEAR((TODAY()-1))-YEAR(J65))*12+MONTH((TODAY()-1))-MONTH(J65))+1,((YEAR((TODAY()-1))-YEAR(J65))*12+MONTH((TODAY()-1))-MONTH(J65))))))))</f>
        <v/>
      </c>
      <c r="U65">
        <f>IF(OR(M65="",NOT(ISNUMBER(J65))),"",IF(N(M65)&lt;=0,"",MIN(N(H65)-1,INT(ROUND(N65/M65,6)))))</f>
        <v/>
      </c>
      <c r="V65">
        <f>IF(T65="","",IF(T65&gt;=N(H65),L65,M65*T65))</f>
        <v/>
      </c>
      <c r="W65">
        <f>IF(V65="",0,MAX(0,ROUND(V65-N65,2)))</f>
        <v/>
      </c>
      <c r="X65">
        <f>IF(OR(R65="",R65="Paid off",NOT(ISNUMBER(P65))),"",P65*1000+ROW())</f>
        <v/>
      </c>
      <c r="Y65">
        <f>IF(C65="","",IF(AND(COUNTIF(C$6:C65,C65)=1,SUMIFS(Loans!$O$6:$O$305,Loans!$C$6:$C$305,C65,Loans!$O$6:$O$305,"&gt;0")&gt;0),ROW(),""))</f>
        <v/>
      </c>
      <c r="Z65">
        <f>IF(OR(C65="",P65=""),"",IF(D65="I borrowed","From you","To you"))</f>
        <v/>
      </c>
    </row>
    <row r="66">
      <c r="A66" s="1" t="n"/>
      <c r="B66" s="15" t="n">
        <v>61</v>
      </c>
      <c r="C66" s="16" t="n"/>
      <c r="D66" s="17" t="n"/>
      <c r="E66" s="18" t="n"/>
      <c r="F66" s="19" t="n"/>
      <c r="G66" s="20" t="n"/>
      <c r="H66" s="21" t="n"/>
      <c r="I66" s="17" t="n"/>
      <c r="J66" s="18" t="n"/>
      <c r="K66" s="22" t="n"/>
      <c r="L66" s="23">
        <f>IF(C66="","",ROUND(N(F66)*(1+N(G66)/100*IF(N(H66)&gt;0,N(H66)*IF(I66="Week",7/365,IF(I66="2 weeks",14/365,1/12)),IF(ISNUMBER(E66),MAX(0,TODAY()-E66)/365,0))),2))</f>
        <v/>
      </c>
      <c r="M66" s="23">
        <f>IF(OR(C66="",N(H66)&lt;=0),"",ROUND(L66/N(H66),2))</f>
        <v/>
      </c>
      <c r="N66" s="23">
        <f>IF(C66="","",SUMIFS(Payments!$D$6:$D$805,Payments!$G$6:$G$805,B66))</f>
        <v/>
      </c>
      <c r="O66" s="24">
        <f>IF(C66="","",ROUND(L66-N66,2))</f>
        <v/>
      </c>
      <c r="P66" s="11">
        <f>IF(OR(U66="",N(O66)&lt;=0),"",IF(I66="Week",J66+7*U66,IF(I66="2 weeks",J66+14*U66,EDATE(J66,U66))))</f>
        <v/>
      </c>
      <c r="Q66" s="23">
        <f>IF(P66="","",IF(U66=N(H66)-1,O66,ROUND(M66*(U66+1)-N66,2)))</f>
        <v/>
      </c>
      <c r="R66" s="25">
        <f>IF(C66="","",IF(O66&lt;=0,"Paid off",IF(OR(M66="",NOT(ISNUMBER(J66))),"Open",IF(W66&gt;0,"Overdue",IF(AND(ISNUMBER(P66),P66-TODAY()&lt;=Settings!$C$6),"Due soon","On track")))))</f>
        <v/>
      </c>
      <c r="S66" s="1">
        <f>IF(C66="","",B66&amp;" "&amp;C66)</f>
        <v/>
      </c>
      <c r="T66">
        <f>IF(OR(M66="",NOT(ISNUMBER(J66))),"",MIN(N(H66),IF(I66="Week",IF((TODAY()-1)&lt;J66,0,INT(((TODAY()-1)-J66)/7)+1),IF(I66="2 weeks",IF((TODAY()-1)&lt;J66,0,INT(((TODAY()-1)-J66)/14)+1),IF(((YEAR((TODAY()-1))-YEAR(J66))*12+MONTH((TODAY()-1))-MONTH(J66))&lt;0,0,IF(EDATE(J66,((YEAR((TODAY()-1))-YEAR(J66))*12+MONTH((TODAY()-1))-MONTH(J66)))&lt;=(TODAY()-1),((YEAR((TODAY()-1))-YEAR(J66))*12+MONTH((TODAY()-1))-MONTH(J66))+1,((YEAR((TODAY()-1))-YEAR(J66))*12+MONTH((TODAY()-1))-MONTH(J66))))))))</f>
        <v/>
      </c>
      <c r="U66">
        <f>IF(OR(M66="",NOT(ISNUMBER(J66))),"",IF(N(M66)&lt;=0,"",MIN(N(H66)-1,INT(ROUND(N66/M66,6)))))</f>
        <v/>
      </c>
      <c r="V66">
        <f>IF(T66="","",IF(T66&gt;=N(H66),L66,M66*T66))</f>
        <v/>
      </c>
      <c r="W66">
        <f>IF(V66="",0,MAX(0,ROUND(V66-N66,2)))</f>
        <v/>
      </c>
      <c r="X66">
        <f>IF(OR(R66="",R66="Paid off",NOT(ISNUMBER(P66))),"",P66*1000+ROW())</f>
        <v/>
      </c>
      <c r="Y66">
        <f>IF(C66="","",IF(AND(COUNTIF(C$6:C66,C66)=1,SUMIFS(Loans!$O$6:$O$305,Loans!$C$6:$C$305,C66,Loans!$O$6:$O$305,"&gt;0")&gt;0),ROW(),""))</f>
        <v/>
      </c>
      <c r="Z66">
        <f>IF(OR(C66="",P66=""),"",IF(D66="I borrowed","From you","To you"))</f>
        <v/>
      </c>
    </row>
    <row r="67">
      <c r="A67" s="1" t="n"/>
      <c r="B67" s="15" t="n">
        <v>62</v>
      </c>
      <c r="C67" s="16" t="n"/>
      <c r="D67" s="17" t="n"/>
      <c r="E67" s="18" t="n"/>
      <c r="F67" s="19" t="n"/>
      <c r="G67" s="20" t="n"/>
      <c r="H67" s="21" t="n"/>
      <c r="I67" s="17" t="n"/>
      <c r="J67" s="18" t="n"/>
      <c r="K67" s="22" t="n"/>
      <c r="L67" s="23">
        <f>IF(C67="","",ROUND(N(F67)*(1+N(G67)/100*IF(N(H67)&gt;0,N(H67)*IF(I67="Week",7/365,IF(I67="2 weeks",14/365,1/12)),IF(ISNUMBER(E67),MAX(0,TODAY()-E67)/365,0))),2))</f>
        <v/>
      </c>
      <c r="M67" s="23">
        <f>IF(OR(C67="",N(H67)&lt;=0),"",ROUND(L67/N(H67),2))</f>
        <v/>
      </c>
      <c r="N67" s="23">
        <f>IF(C67="","",SUMIFS(Payments!$D$6:$D$805,Payments!$G$6:$G$805,B67))</f>
        <v/>
      </c>
      <c r="O67" s="24">
        <f>IF(C67="","",ROUND(L67-N67,2))</f>
        <v/>
      </c>
      <c r="P67" s="11">
        <f>IF(OR(U67="",N(O67)&lt;=0),"",IF(I67="Week",J67+7*U67,IF(I67="2 weeks",J67+14*U67,EDATE(J67,U67))))</f>
        <v/>
      </c>
      <c r="Q67" s="23">
        <f>IF(P67="","",IF(U67=N(H67)-1,O67,ROUND(M67*(U67+1)-N67,2)))</f>
        <v/>
      </c>
      <c r="R67" s="25">
        <f>IF(C67="","",IF(O67&lt;=0,"Paid off",IF(OR(M67="",NOT(ISNUMBER(J67))),"Open",IF(W67&gt;0,"Overdue",IF(AND(ISNUMBER(P67),P67-TODAY()&lt;=Settings!$C$6),"Due soon","On track")))))</f>
        <v/>
      </c>
      <c r="S67" s="1">
        <f>IF(C67="","",B67&amp;" "&amp;C67)</f>
        <v/>
      </c>
      <c r="T67">
        <f>IF(OR(M67="",NOT(ISNUMBER(J67))),"",MIN(N(H67),IF(I67="Week",IF((TODAY()-1)&lt;J67,0,INT(((TODAY()-1)-J67)/7)+1),IF(I67="2 weeks",IF((TODAY()-1)&lt;J67,0,INT(((TODAY()-1)-J67)/14)+1),IF(((YEAR((TODAY()-1))-YEAR(J67))*12+MONTH((TODAY()-1))-MONTH(J67))&lt;0,0,IF(EDATE(J67,((YEAR((TODAY()-1))-YEAR(J67))*12+MONTH((TODAY()-1))-MONTH(J67)))&lt;=(TODAY()-1),((YEAR((TODAY()-1))-YEAR(J67))*12+MONTH((TODAY()-1))-MONTH(J67))+1,((YEAR((TODAY()-1))-YEAR(J67))*12+MONTH((TODAY()-1))-MONTH(J67))))))))</f>
        <v/>
      </c>
      <c r="U67">
        <f>IF(OR(M67="",NOT(ISNUMBER(J67))),"",IF(N(M67)&lt;=0,"",MIN(N(H67)-1,INT(ROUND(N67/M67,6)))))</f>
        <v/>
      </c>
      <c r="V67">
        <f>IF(T67="","",IF(T67&gt;=N(H67),L67,M67*T67))</f>
        <v/>
      </c>
      <c r="W67">
        <f>IF(V67="",0,MAX(0,ROUND(V67-N67,2)))</f>
        <v/>
      </c>
      <c r="X67">
        <f>IF(OR(R67="",R67="Paid off",NOT(ISNUMBER(P67))),"",P67*1000+ROW())</f>
        <v/>
      </c>
      <c r="Y67">
        <f>IF(C67="","",IF(AND(COUNTIF(C$6:C67,C67)=1,SUMIFS(Loans!$O$6:$O$305,Loans!$C$6:$C$305,C67,Loans!$O$6:$O$305,"&gt;0")&gt;0),ROW(),""))</f>
        <v/>
      </c>
      <c r="Z67">
        <f>IF(OR(C67="",P67=""),"",IF(D67="I borrowed","From you","To you"))</f>
        <v/>
      </c>
    </row>
    <row r="68">
      <c r="A68" s="1" t="n"/>
      <c r="B68" s="15" t="n">
        <v>63</v>
      </c>
      <c r="C68" s="16" t="n"/>
      <c r="D68" s="17" t="n"/>
      <c r="E68" s="18" t="n"/>
      <c r="F68" s="19" t="n"/>
      <c r="G68" s="20" t="n"/>
      <c r="H68" s="21" t="n"/>
      <c r="I68" s="17" t="n"/>
      <c r="J68" s="18" t="n"/>
      <c r="K68" s="22" t="n"/>
      <c r="L68" s="23">
        <f>IF(C68="","",ROUND(N(F68)*(1+N(G68)/100*IF(N(H68)&gt;0,N(H68)*IF(I68="Week",7/365,IF(I68="2 weeks",14/365,1/12)),IF(ISNUMBER(E68),MAX(0,TODAY()-E68)/365,0))),2))</f>
        <v/>
      </c>
      <c r="M68" s="23">
        <f>IF(OR(C68="",N(H68)&lt;=0),"",ROUND(L68/N(H68),2))</f>
        <v/>
      </c>
      <c r="N68" s="23">
        <f>IF(C68="","",SUMIFS(Payments!$D$6:$D$805,Payments!$G$6:$G$805,B68))</f>
        <v/>
      </c>
      <c r="O68" s="24">
        <f>IF(C68="","",ROUND(L68-N68,2))</f>
        <v/>
      </c>
      <c r="P68" s="11">
        <f>IF(OR(U68="",N(O68)&lt;=0),"",IF(I68="Week",J68+7*U68,IF(I68="2 weeks",J68+14*U68,EDATE(J68,U68))))</f>
        <v/>
      </c>
      <c r="Q68" s="23">
        <f>IF(P68="","",IF(U68=N(H68)-1,O68,ROUND(M68*(U68+1)-N68,2)))</f>
        <v/>
      </c>
      <c r="R68" s="25">
        <f>IF(C68="","",IF(O68&lt;=0,"Paid off",IF(OR(M68="",NOT(ISNUMBER(J68))),"Open",IF(W68&gt;0,"Overdue",IF(AND(ISNUMBER(P68),P68-TODAY()&lt;=Settings!$C$6),"Due soon","On track")))))</f>
        <v/>
      </c>
      <c r="S68" s="1">
        <f>IF(C68="","",B68&amp;" "&amp;C68)</f>
        <v/>
      </c>
      <c r="T68">
        <f>IF(OR(M68="",NOT(ISNUMBER(J68))),"",MIN(N(H68),IF(I68="Week",IF((TODAY()-1)&lt;J68,0,INT(((TODAY()-1)-J68)/7)+1),IF(I68="2 weeks",IF((TODAY()-1)&lt;J68,0,INT(((TODAY()-1)-J68)/14)+1),IF(((YEAR((TODAY()-1))-YEAR(J68))*12+MONTH((TODAY()-1))-MONTH(J68))&lt;0,0,IF(EDATE(J68,((YEAR((TODAY()-1))-YEAR(J68))*12+MONTH((TODAY()-1))-MONTH(J68)))&lt;=(TODAY()-1),((YEAR((TODAY()-1))-YEAR(J68))*12+MONTH((TODAY()-1))-MONTH(J68))+1,((YEAR((TODAY()-1))-YEAR(J68))*12+MONTH((TODAY()-1))-MONTH(J68))))))))</f>
        <v/>
      </c>
      <c r="U68">
        <f>IF(OR(M68="",NOT(ISNUMBER(J68))),"",IF(N(M68)&lt;=0,"",MIN(N(H68)-1,INT(ROUND(N68/M68,6)))))</f>
        <v/>
      </c>
      <c r="V68">
        <f>IF(T68="","",IF(T68&gt;=N(H68),L68,M68*T68))</f>
        <v/>
      </c>
      <c r="W68">
        <f>IF(V68="",0,MAX(0,ROUND(V68-N68,2)))</f>
        <v/>
      </c>
      <c r="X68">
        <f>IF(OR(R68="",R68="Paid off",NOT(ISNUMBER(P68))),"",P68*1000+ROW())</f>
        <v/>
      </c>
      <c r="Y68">
        <f>IF(C68="","",IF(AND(COUNTIF(C$6:C68,C68)=1,SUMIFS(Loans!$O$6:$O$305,Loans!$C$6:$C$305,C68,Loans!$O$6:$O$305,"&gt;0")&gt;0),ROW(),""))</f>
        <v/>
      </c>
      <c r="Z68">
        <f>IF(OR(C68="",P68=""),"",IF(D68="I borrowed","From you","To you"))</f>
        <v/>
      </c>
    </row>
    <row r="69">
      <c r="A69" s="1" t="n"/>
      <c r="B69" s="15" t="n">
        <v>64</v>
      </c>
      <c r="C69" s="16" t="n"/>
      <c r="D69" s="17" t="n"/>
      <c r="E69" s="18" t="n"/>
      <c r="F69" s="19" t="n"/>
      <c r="G69" s="20" t="n"/>
      <c r="H69" s="21" t="n"/>
      <c r="I69" s="17" t="n"/>
      <c r="J69" s="18" t="n"/>
      <c r="K69" s="22" t="n"/>
      <c r="L69" s="23">
        <f>IF(C69="","",ROUND(N(F69)*(1+N(G69)/100*IF(N(H69)&gt;0,N(H69)*IF(I69="Week",7/365,IF(I69="2 weeks",14/365,1/12)),IF(ISNUMBER(E69),MAX(0,TODAY()-E69)/365,0))),2))</f>
        <v/>
      </c>
      <c r="M69" s="23">
        <f>IF(OR(C69="",N(H69)&lt;=0),"",ROUND(L69/N(H69),2))</f>
        <v/>
      </c>
      <c r="N69" s="23">
        <f>IF(C69="","",SUMIFS(Payments!$D$6:$D$805,Payments!$G$6:$G$805,B69))</f>
        <v/>
      </c>
      <c r="O69" s="24">
        <f>IF(C69="","",ROUND(L69-N69,2))</f>
        <v/>
      </c>
      <c r="P69" s="11">
        <f>IF(OR(U69="",N(O69)&lt;=0),"",IF(I69="Week",J69+7*U69,IF(I69="2 weeks",J69+14*U69,EDATE(J69,U69))))</f>
        <v/>
      </c>
      <c r="Q69" s="23">
        <f>IF(P69="","",IF(U69=N(H69)-1,O69,ROUND(M69*(U69+1)-N69,2)))</f>
        <v/>
      </c>
      <c r="R69" s="25">
        <f>IF(C69="","",IF(O69&lt;=0,"Paid off",IF(OR(M69="",NOT(ISNUMBER(J69))),"Open",IF(W69&gt;0,"Overdue",IF(AND(ISNUMBER(P69),P69-TODAY()&lt;=Settings!$C$6),"Due soon","On track")))))</f>
        <v/>
      </c>
      <c r="S69" s="1">
        <f>IF(C69="","",B69&amp;" "&amp;C69)</f>
        <v/>
      </c>
      <c r="T69">
        <f>IF(OR(M69="",NOT(ISNUMBER(J69))),"",MIN(N(H69),IF(I69="Week",IF((TODAY()-1)&lt;J69,0,INT(((TODAY()-1)-J69)/7)+1),IF(I69="2 weeks",IF((TODAY()-1)&lt;J69,0,INT(((TODAY()-1)-J69)/14)+1),IF(((YEAR((TODAY()-1))-YEAR(J69))*12+MONTH((TODAY()-1))-MONTH(J69))&lt;0,0,IF(EDATE(J69,((YEAR((TODAY()-1))-YEAR(J69))*12+MONTH((TODAY()-1))-MONTH(J69)))&lt;=(TODAY()-1),((YEAR((TODAY()-1))-YEAR(J69))*12+MONTH((TODAY()-1))-MONTH(J69))+1,((YEAR((TODAY()-1))-YEAR(J69))*12+MONTH((TODAY()-1))-MONTH(J69))))))))</f>
        <v/>
      </c>
      <c r="U69">
        <f>IF(OR(M69="",NOT(ISNUMBER(J69))),"",IF(N(M69)&lt;=0,"",MIN(N(H69)-1,INT(ROUND(N69/M69,6)))))</f>
        <v/>
      </c>
      <c r="V69">
        <f>IF(T69="","",IF(T69&gt;=N(H69),L69,M69*T69))</f>
        <v/>
      </c>
      <c r="W69">
        <f>IF(V69="",0,MAX(0,ROUND(V69-N69,2)))</f>
        <v/>
      </c>
      <c r="X69">
        <f>IF(OR(R69="",R69="Paid off",NOT(ISNUMBER(P69))),"",P69*1000+ROW())</f>
        <v/>
      </c>
      <c r="Y69">
        <f>IF(C69="","",IF(AND(COUNTIF(C$6:C69,C69)=1,SUMIFS(Loans!$O$6:$O$305,Loans!$C$6:$C$305,C69,Loans!$O$6:$O$305,"&gt;0")&gt;0),ROW(),""))</f>
        <v/>
      </c>
      <c r="Z69">
        <f>IF(OR(C69="",P69=""),"",IF(D69="I borrowed","From you","To you"))</f>
        <v/>
      </c>
    </row>
    <row r="70">
      <c r="A70" s="1" t="n"/>
      <c r="B70" s="15" t="n">
        <v>65</v>
      </c>
      <c r="C70" s="16" t="n"/>
      <c r="D70" s="17" t="n"/>
      <c r="E70" s="18" t="n"/>
      <c r="F70" s="19" t="n"/>
      <c r="G70" s="20" t="n"/>
      <c r="H70" s="21" t="n"/>
      <c r="I70" s="17" t="n"/>
      <c r="J70" s="18" t="n"/>
      <c r="K70" s="22" t="n"/>
      <c r="L70" s="23">
        <f>IF(C70="","",ROUND(N(F70)*(1+N(G70)/100*IF(N(H70)&gt;0,N(H70)*IF(I70="Week",7/365,IF(I70="2 weeks",14/365,1/12)),IF(ISNUMBER(E70),MAX(0,TODAY()-E70)/365,0))),2))</f>
        <v/>
      </c>
      <c r="M70" s="23">
        <f>IF(OR(C70="",N(H70)&lt;=0),"",ROUND(L70/N(H70),2))</f>
        <v/>
      </c>
      <c r="N70" s="23">
        <f>IF(C70="","",SUMIFS(Payments!$D$6:$D$805,Payments!$G$6:$G$805,B70))</f>
        <v/>
      </c>
      <c r="O70" s="24">
        <f>IF(C70="","",ROUND(L70-N70,2))</f>
        <v/>
      </c>
      <c r="P70" s="11">
        <f>IF(OR(U70="",N(O70)&lt;=0),"",IF(I70="Week",J70+7*U70,IF(I70="2 weeks",J70+14*U70,EDATE(J70,U70))))</f>
        <v/>
      </c>
      <c r="Q70" s="23">
        <f>IF(P70="","",IF(U70=N(H70)-1,O70,ROUND(M70*(U70+1)-N70,2)))</f>
        <v/>
      </c>
      <c r="R70" s="25">
        <f>IF(C70="","",IF(O70&lt;=0,"Paid off",IF(OR(M70="",NOT(ISNUMBER(J70))),"Open",IF(W70&gt;0,"Overdue",IF(AND(ISNUMBER(P70),P70-TODAY()&lt;=Settings!$C$6),"Due soon","On track")))))</f>
        <v/>
      </c>
      <c r="S70" s="1">
        <f>IF(C70="","",B70&amp;" "&amp;C70)</f>
        <v/>
      </c>
      <c r="T70">
        <f>IF(OR(M70="",NOT(ISNUMBER(J70))),"",MIN(N(H70),IF(I70="Week",IF((TODAY()-1)&lt;J70,0,INT(((TODAY()-1)-J70)/7)+1),IF(I70="2 weeks",IF((TODAY()-1)&lt;J70,0,INT(((TODAY()-1)-J70)/14)+1),IF(((YEAR((TODAY()-1))-YEAR(J70))*12+MONTH((TODAY()-1))-MONTH(J70))&lt;0,0,IF(EDATE(J70,((YEAR((TODAY()-1))-YEAR(J70))*12+MONTH((TODAY()-1))-MONTH(J70)))&lt;=(TODAY()-1),((YEAR((TODAY()-1))-YEAR(J70))*12+MONTH((TODAY()-1))-MONTH(J70))+1,((YEAR((TODAY()-1))-YEAR(J70))*12+MONTH((TODAY()-1))-MONTH(J70))))))))</f>
        <v/>
      </c>
      <c r="U70">
        <f>IF(OR(M70="",NOT(ISNUMBER(J70))),"",IF(N(M70)&lt;=0,"",MIN(N(H70)-1,INT(ROUND(N70/M70,6)))))</f>
        <v/>
      </c>
      <c r="V70">
        <f>IF(T70="","",IF(T70&gt;=N(H70),L70,M70*T70))</f>
        <v/>
      </c>
      <c r="W70">
        <f>IF(V70="",0,MAX(0,ROUND(V70-N70,2)))</f>
        <v/>
      </c>
      <c r="X70">
        <f>IF(OR(R70="",R70="Paid off",NOT(ISNUMBER(P70))),"",P70*1000+ROW())</f>
        <v/>
      </c>
      <c r="Y70">
        <f>IF(C70="","",IF(AND(COUNTIF(C$6:C70,C70)=1,SUMIFS(Loans!$O$6:$O$305,Loans!$C$6:$C$305,C70,Loans!$O$6:$O$305,"&gt;0")&gt;0),ROW(),""))</f>
        <v/>
      </c>
      <c r="Z70">
        <f>IF(OR(C70="",P70=""),"",IF(D70="I borrowed","From you","To you"))</f>
        <v/>
      </c>
    </row>
    <row r="71">
      <c r="A71" s="1" t="n"/>
      <c r="B71" s="15" t="n">
        <v>66</v>
      </c>
      <c r="C71" s="16" t="n"/>
      <c r="D71" s="17" t="n"/>
      <c r="E71" s="18" t="n"/>
      <c r="F71" s="19" t="n"/>
      <c r="G71" s="20" t="n"/>
      <c r="H71" s="21" t="n"/>
      <c r="I71" s="17" t="n"/>
      <c r="J71" s="18" t="n"/>
      <c r="K71" s="22" t="n"/>
      <c r="L71" s="23">
        <f>IF(C71="","",ROUND(N(F71)*(1+N(G71)/100*IF(N(H71)&gt;0,N(H71)*IF(I71="Week",7/365,IF(I71="2 weeks",14/365,1/12)),IF(ISNUMBER(E71),MAX(0,TODAY()-E71)/365,0))),2))</f>
        <v/>
      </c>
      <c r="M71" s="23">
        <f>IF(OR(C71="",N(H71)&lt;=0),"",ROUND(L71/N(H71),2))</f>
        <v/>
      </c>
      <c r="N71" s="23">
        <f>IF(C71="","",SUMIFS(Payments!$D$6:$D$805,Payments!$G$6:$G$805,B71))</f>
        <v/>
      </c>
      <c r="O71" s="24">
        <f>IF(C71="","",ROUND(L71-N71,2))</f>
        <v/>
      </c>
      <c r="P71" s="11">
        <f>IF(OR(U71="",N(O71)&lt;=0),"",IF(I71="Week",J71+7*U71,IF(I71="2 weeks",J71+14*U71,EDATE(J71,U71))))</f>
        <v/>
      </c>
      <c r="Q71" s="23">
        <f>IF(P71="","",IF(U71=N(H71)-1,O71,ROUND(M71*(U71+1)-N71,2)))</f>
        <v/>
      </c>
      <c r="R71" s="25">
        <f>IF(C71="","",IF(O71&lt;=0,"Paid off",IF(OR(M71="",NOT(ISNUMBER(J71))),"Open",IF(W71&gt;0,"Overdue",IF(AND(ISNUMBER(P71),P71-TODAY()&lt;=Settings!$C$6),"Due soon","On track")))))</f>
        <v/>
      </c>
      <c r="S71" s="1">
        <f>IF(C71="","",B71&amp;" "&amp;C71)</f>
        <v/>
      </c>
      <c r="T71">
        <f>IF(OR(M71="",NOT(ISNUMBER(J71))),"",MIN(N(H71),IF(I71="Week",IF((TODAY()-1)&lt;J71,0,INT(((TODAY()-1)-J71)/7)+1),IF(I71="2 weeks",IF((TODAY()-1)&lt;J71,0,INT(((TODAY()-1)-J71)/14)+1),IF(((YEAR((TODAY()-1))-YEAR(J71))*12+MONTH((TODAY()-1))-MONTH(J71))&lt;0,0,IF(EDATE(J71,((YEAR((TODAY()-1))-YEAR(J71))*12+MONTH((TODAY()-1))-MONTH(J71)))&lt;=(TODAY()-1),((YEAR((TODAY()-1))-YEAR(J71))*12+MONTH((TODAY()-1))-MONTH(J71))+1,((YEAR((TODAY()-1))-YEAR(J71))*12+MONTH((TODAY()-1))-MONTH(J71))))))))</f>
        <v/>
      </c>
      <c r="U71">
        <f>IF(OR(M71="",NOT(ISNUMBER(J71))),"",IF(N(M71)&lt;=0,"",MIN(N(H71)-1,INT(ROUND(N71/M71,6)))))</f>
        <v/>
      </c>
      <c r="V71">
        <f>IF(T71="","",IF(T71&gt;=N(H71),L71,M71*T71))</f>
        <v/>
      </c>
      <c r="W71">
        <f>IF(V71="",0,MAX(0,ROUND(V71-N71,2)))</f>
        <v/>
      </c>
      <c r="X71">
        <f>IF(OR(R71="",R71="Paid off",NOT(ISNUMBER(P71))),"",P71*1000+ROW())</f>
        <v/>
      </c>
      <c r="Y71">
        <f>IF(C71="","",IF(AND(COUNTIF(C$6:C71,C71)=1,SUMIFS(Loans!$O$6:$O$305,Loans!$C$6:$C$305,C71,Loans!$O$6:$O$305,"&gt;0")&gt;0),ROW(),""))</f>
        <v/>
      </c>
      <c r="Z71">
        <f>IF(OR(C71="",P71=""),"",IF(D71="I borrowed","From you","To you"))</f>
        <v/>
      </c>
    </row>
    <row r="72">
      <c r="A72" s="1" t="n"/>
      <c r="B72" s="15" t="n">
        <v>67</v>
      </c>
      <c r="C72" s="16" t="n"/>
      <c r="D72" s="17" t="n"/>
      <c r="E72" s="18" t="n"/>
      <c r="F72" s="19" t="n"/>
      <c r="G72" s="20" t="n"/>
      <c r="H72" s="21" t="n"/>
      <c r="I72" s="17" t="n"/>
      <c r="J72" s="18" t="n"/>
      <c r="K72" s="22" t="n"/>
      <c r="L72" s="23">
        <f>IF(C72="","",ROUND(N(F72)*(1+N(G72)/100*IF(N(H72)&gt;0,N(H72)*IF(I72="Week",7/365,IF(I72="2 weeks",14/365,1/12)),IF(ISNUMBER(E72),MAX(0,TODAY()-E72)/365,0))),2))</f>
        <v/>
      </c>
      <c r="M72" s="23">
        <f>IF(OR(C72="",N(H72)&lt;=0),"",ROUND(L72/N(H72),2))</f>
        <v/>
      </c>
      <c r="N72" s="23">
        <f>IF(C72="","",SUMIFS(Payments!$D$6:$D$805,Payments!$G$6:$G$805,B72))</f>
        <v/>
      </c>
      <c r="O72" s="24">
        <f>IF(C72="","",ROUND(L72-N72,2))</f>
        <v/>
      </c>
      <c r="P72" s="11">
        <f>IF(OR(U72="",N(O72)&lt;=0),"",IF(I72="Week",J72+7*U72,IF(I72="2 weeks",J72+14*U72,EDATE(J72,U72))))</f>
        <v/>
      </c>
      <c r="Q72" s="23">
        <f>IF(P72="","",IF(U72=N(H72)-1,O72,ROUND(M72*(U72+1)-N72,2)))</f>
        <v/>
      </c>
      <c r="R72" s="25">
        <f>IF(C72="","",IF(O72&lt;=0,"Paid off",IF(OR(M72="",NOT(ISNUMBER(J72))),"Open",IF(W72&gt;0,"Overdue",IF(AND(ISNUMBER(P72),P72-TODAY()&lt;=Settings!$C$6),"Due soon","On track")))))</f>
        <v/>
      </c>
      <c r="S72" s="1">
        <f>IF(C72="","",B72&amp;" "&amp;C72)</f>
        <v/>
      </c>
      <c r="T72">
        <f>IF(OR(M72="",NOT(ISNUMBER(J72))),"",MIN(N(H72),IF(I72="Week",IF((TODAY()-1)&lt;J72,0,INT(((TODAY()-1)-J72)/7)+1),IF(I72="2 weeks",IF((TODAY()-1)&lt;J72,0,INT(((TODAY()-1)-J72)/14)+1),IF(((YEAR((TODAY()-1))-YEAR(J72))*12+MONTH((TODAY()-1))-MONTH(J72))&lt;0,0,IF(EDATE(J72,((YEAR((TODAY()-1))-YEAR(J72))*12+MONTH((TODAY()-1))-MONTH(J72)))&lt;=(TODAY()-1),((YEAR((TODAY()-1))-YEAR(J72))*12+MONTH((TODAY()-1))-MONTH(J72))+1,((YEAR((TODAY()-1))-YEAR(J72))*12+MONTH((TODAY()-1))-MONTH(J72))))))))</f>
        <v/>
      </c>
      <c r="U72">
        <f>IF(OR(M72="",NOT(ISNUMBER(J72))),"",IF(N(M72)&lt;=0,"",MIN(N(H72)-1,INT(ROUND(N72/M72,6)))))</f>
        <v/>
      </c>
      <c r="V72">
        <f>IF(T72="","",IF(T72&gt;=N(H72),L72,M72*T72))</f>
        <v/>
      </c>
      <c r="W72">
        <f>IF(V72="",0,MAX(0,ROUND(V72-N72,2)))</f>
        <v/>
      </c>
      <c r="X72">
        <f>IF(OR(R72="",R72="Paid off",NOT(ISNUMBER(P72))),"",P72*1000+ROW())</f>
        <v/>
      </c>
      <c r="Y72">
        <f>IF(C72="","",IF(AND(COUNTIF(C$6:C72,C72)=1,SUMIFS(Loans!$O$6:$O$305,Loans!$C$6:$C$305,C72,Loans!$O$6:$O$305,"&gt;0")&gt;0),ROW(),""))</f>
        <v/>
      </c>
      <c r="Z72">
        <f>IF(OR(C72="",P72=""),"",IF(D72="I borrowed","From you","To you"))</f>
        <v/>
      </c>
    </row>
    <row r="73">
      <c r="A73" s="1" t="n"/>
      <c r="B73" s="15" t="n">
        <v>68</v>
      </c>
      <c r="C73" s="16" t="n"/>
      <c r="D73" s="17" t="n"/>
      <c r="E73" s="18" t="n"/>
      <c r="F73" s="19" t="n"/>
      <c r="G73" s="20" t="n"/>
      <c r="H73" s="21" t="n"/>
      <c r="I73" s="17" t="n"/>
      <c r="J73" s="18" t="n"/>
      <c r="K73" s="22" t="n"/>
      <c r="L73" s="23">
        <f>IF(C73="","",ROUND(N(F73)*(1+N(G73)/100*IF(N(H73)&gt;0,N(H73)*IF(I73="Week",7/365,IF(I73="2 weeks",14/365,1/12)),IF(ISNUMBER(E73),MAX(0,TODAY()-E73)/365,0))),2))</f>
        <v/>
      </c>
      <c r="M73" s="23">
        <f>IF(OR(C73="",N(H73)&lt;=0),"",ROUND(L73/N(H73),2))</f>
        <v/>
      </c>
      <c r="N73" s="23">
        <f>IF(C73="","",SUMIFS(Payments!$D$6:$D$805,Payments!$G$6:$G$805,B73))</f>
        <v/>
      </c>
      <c r="O73" s="24">
        <f>IF(C73="","",ROUND(L73-N73,2))</f>
        <v/>
      </c>
      <c r="P73" s="11">
        <f>IF(OR(U73="",N(O73)&lt;=0),"",IF(I73="Week",J73+7*U73,IF(I73="2 weeks",J73+14*U73,EDATE(J73,U73))))</f>
        <v/>
      </c>
      <c r="Q73" s="23">
        <f>IF(P73="","",IF(U73=N(H73)-1,O73,ROUND(M73*(U73+1)-N73,2)))</f>
        <v/>
      </c>
      <c r="R73" s="25">
        <f>IF(C73="","",IF(O73&lt;=0,"Paid off",IF(OR(M73="",NOT(ISNUMBER(J73))),"Open",IF(W73&gt;0,"Overdue",IF(AND(ISNUMBER(P73),P73-TODAY()&lt;=Settings!$C$6),"Due soon","On track")))))</f>
        <v/>
      </c>
      <c r="S73" s="1">
        <f>IF(C73="","",B73&amp;" "&amp;C73)</f>
        <v/>
      </c>
      <c r="T73">
        <f>IF(OR(M73="",NOT(ISNUMBER(J73))),"",MIN(N(H73),IF(I73="Week",IF((TODAY()-1)&lt;J73,0,INT(((TODAY()-1)-J73)/7)+1),IF(I73="2 weeks",IF((TODAY()-1)&lt;J73,0,INT(((TODAY()-1)-J73)/14)+1),IF(((YEAR((TODAY()-1))-YEAR(J73))*12+MONTH((TODAY()-1))-MONTH(J73))&lt;0,0,IF(EDATE(J73,((YEAR((TODAY()-1))-YEAR(J73))*12+MONTH((TODAY()-1))-MONTH(J73)))&lt;=(TODAY()-1),((YEAR((TODAY()-1))-YEAR(J73))*12+MONTH((TODAY()-1))-MONTH(J73))+1,((YEAR((TODAY()-1))-YEAR(J73))*12+MONTH((TODAY()-1))-MONTH(J73))))))))</f>
        <v/>
      </c>
      <c r="U73">
        <f>IF(OR(M73="",NOT(ISNUMBER(J73))),"",IF(N(M73)&lt;=0,"",MIN(N(H73)-1,INT(ROUND(N73/M73,6)))))</f>
        <v/>
      </c>
      <c r="V73">
        <f>IF(T73="","",IF(T73&gt;=N(H73),L73,M73*T73))</f>
        <v/>
      </c>
      <c r="W73">
        <f>IF(V73="",0,MAX(0,ROUND(V73-N73,2)))</f>
        <v/>
      </c>
      <c r="X73">
        <f>IF(OR(R73="",R73="Paid off",NOT(ISNUMBER(P73))),"",P73*1000+ROW())</f>
        <v/>
      </c>
      <c r="Y73">
        <f>IF(C73="","",IF(AND(COUNTIF(C$6:C73,C73)=1,SUMIFS(Loans!$O$6:$O$305,Loans!$C$6:$C$305,C73,Loans!$O$6:$O$305,"&gt;0")&gt;0),ROW(),""))</f>
        <v/>
      </c>
      <c r="Z73">
        <f>IF(OR(C73="",P73=""),"",IF(D73="I borrowed","From you","To you"))</f>
        <v/>
      </c>
    </row>
    <row r="74">
      <c r="A74" s="1" t="n"/>
      <c r="B74" s="15" t="n">
        <v>69</v>
      </c>
      <c r="C74" s="16" t="n"/>
      <c r="D74" s="17" t="n"/>
      <c r="E74" s="18" t="n"/>
      <c r="F74" s="19" t="n"/>
      <c r="G74" s="20" t="n"/>
      <c r="H74" s="21" t="n"/>
      <c r="I74" s="17" t="n"/>
      <c r="J74" s="18" t="n"/>
      <c r="K74" s="22" t="n"/>
      <c r="L74" s="23">
        <f>IF(C74="","",ROUND(N(F74)*(1+N(G74)/100*IF(N(H74)&gt;0,N(H74)*IF(I74="Week",7/365,IF(I74="2 weeks",14/365,1/12)),IF(ISNUMBER(E74),MAX(0,TODAY()-E74)/365,0))),2))</f>
        <v/>
      </c>
      <c r="M74" s="23">
        <f>IF(OR(C74="",N(H74)&lt;=0),"",ROUND(L74/N(H74),2))</f>
        <v/>
      </c>
      <c r="N74" s="23">
        <f>IF(C74="","",SUMIFS(Payments!$D$6:$D$805,Payments!$G$6:$G$805,B74))</f>
        <v/>
      </c>
      <c r="O74" s="24">
        <f>IF(C74="","",ROUND(L74-N74,2))</f>
        <v/>
      </c>
      <c r="P74" s="11">
        <f>IF(OR(U74="",N(O74)&lt;=0),"",IF(I74="Week",J74+7*U74,IF(I74="2 weeks",J74+14*U74,EDATE(J74,U74))))</f>
        <v/>
      </c>
      <c r="Q74" s="23">
        <f>IF(P74="","",IF(U74=N(H74)-1,O74,ROUND(M74*(U74+1)-N74,2)))</f>
        <v/>
      </c>
      <c r="R74" s="25">
        <f>IF(C74="","",IF(O74&lt;=0,"Paid off",IF(OR(M74="",NOT(ISNUMBER(J74))),"Open",IF(W74&gt;0,"Overdue",IF(AND(ISNUMBER(P74),P74-TODAY()&lt;=Settings!$C$6),"Due soon","On track")))))</f>
        <v/>
      </c>
      <c r="S74" s="1">
        <f>IF(C74="","",B74&amp;" "&amp;C74)</f>
        <v/>
      </c>
      <c r="T74">
        <f>IF(OR(M74="",NOT(ISNUMBER(J74))),"",MIN(N(H74),IF(I74="Week",IF((TODAY()-1)&lt;J74,0,INT(((TODAY()-1)-J74)/7)+1),IF(I74="2 weeks",IF((TODAY()-1)&lt;J74,0,INT(((TODAY()-1)-J74)/14)+1),IF(((YEAR((TODAY()-1))-YEAR(J74))*12+MONTH((TODAY()-1))-MONTH(J74))&lt;0,0,IF(EDATE(J74,((YEAR((TODAY()-1))-YEAR(J74))*12+MONTH((TODAY()-1))-MONTH(J74)))&lt;=(TODAY()-1),((YEAR((TODAY()-1))-YEAR(J74))*12+MONTH((TODAY()-1))-MONTH(J74))+1,((YEAR((TODAY()-1))-YEAR(J74))*12+MONTH((TODAY()-1))-MONTH(J74))))))))</f>
        <v/>
      </c>
      <c r="U74">
        <f>IF(OR(M74="",NOT(ISNUMBER(J74))),"",IF(N(M74)&lt;=0,"",MIN(N(H74)-1,INT(ROUND(N74/M74,6)))))</f>
        <v/>
      </c>
      <c r="V74">
        <f>IF(T74="","",IF(T74&gt;=N(H74),L74,M74*T74))</f>
        <v/>
      </c>
      <c r="W74">
        <f>IF(V74="",0,MAX(0,ROUND(V74-N74,2)))</f>
        <v/>
      </c>
      <c r="X74">
        <f>IF(OR(R74="",R74="Paid off",NOT(ISNUMBER(P74))),"",P74*1000+ROW())</f>
        <v/>
      </c>
      <c r="Y74">
        <f>IF(C74="","",IF(AND(COUNTIF(C$6:C74,C74)=1,SUMIFS(Loans!$O$6:$O$305,Loans!$C$6:$C$305,C74,Loans!$O$6:$O$305,"&gt;0")&gt;0),ROW(),""))</f>
        <v/>
      </c>
      <c r="Z74">
        <f>IF(OR(C74="",P74=""),"",IF(D74="I borrowed","From you","To you"))</f>
        <v/>
      </c>
    </row>
    <row r="75">
      <c r="A75" s="1" t="n"/>
      <c r="B75" s="15" t="n">
        <v>70</v>
      </c>
      <c r="C75" s="16" t="n"/>
      <c r="D75" s="17" t="n"/>
      <c r="E75" s="18" t="n"/>
      <c r="F75" s="19" t="n"/>
      <c r="G75" s="20" t="n"/>
      <c r="H75" s="21" t="n"/>
      <c r="I75" s="17" t="n"/>
      <c r="J75" s="18" t="n"/>
      <c r="K75" s="22" t="n"/>
      <c r="L75" s="23">
        <f>IF(C75="","",ROUND(N(F75)*(1+N(G75)/100*IF(N(H75)&gt;0,N(H75)*IF(I75="Week",7/365,IF(I75="2 weeks",14/365,1/12)),IF(ISNUMBER(E75),MAX(0,TODAY()-E75)/365,0))),2))</f>
        <v/>
      </c>
      <c r="M75" s="23">
        <f>IF(OR(C75="",N(H75)&lt;=0),"",ROUND(L75/N(H75),2))</f>
        <v/>
      </c>
      <c r="N75" s="23">
        <f>IF(C75="","",SUMIFS(Payments!$D$6:$D$805,Payments!$G$6:$G$805,B75))</f>
        <v/>
      </c>
      <c r="O75" s="24">
        <f>IF(C75="","",ROUND(L75-N75,2))</f>
        <v/>
      </c>
      <c r="P75" s="11">
        <f>IF(OR(U75="",N(O75)&lt;=0),"",IF(I75="Week",J75+7*U75,IF(I75="2 weeks",J75+14*U75,EDATE(J75,U75))))</f>
        <v/>
      </c>
      <c r="Q75" s="23">
        <f>IF(P75="","",IF(U75=N(H75)-1,O75,ROUND(M75*(U75+1)-N75,2)))</f>
        <v/>
      </c>
      <c r="R75" s="25">
        <f>IF(C75="","",IF(O75&lt;=0,"Paid off",IF(OR(M75="",NOT(ISNUMBER(J75))),"Open",IF(W75&gt;0,"Overdue",IF(AND(ISNUMBER(P75),P75-TODAY()&lt;=Settings!$C$6),"Due soon","On track")))))</f>
        <v/>
      </c>
      <c r="S75" s="1">
        <f>IF(C75="","",B75&amp;" "&amp;C75)</f>
        <v/>
      </c>
      <c r="T75">
        <f>IF(OR(M75="",NOT(ISNUMBER(J75))),"",MIN(N(H75),IF(I75="Week",IF((TODAY()-1)&lt;J75,0,INT(((TODAY()-1)-J75)/7)+1),IF(I75="2 weeks",IF((TODAY()-1)&lt;J75,0,INT(((TODAY()-1)-J75)/14)+1),IF(((YEAR((TODAY()-1))-YEAR(J75))*12+MONTH((TODAY()-1))-MONTH(J75))&lt;0,0,IF(EDATE(J75,((YEAR((TODAY()-1))-YEAR(J75))*12+MONTH((TODAY()-1))-MONTH(J75)))&lt;=(TODAY()-1),((YEAR((TODAY()-1))-YEAR(J75))*12+MONTH((TODAY()-1))-MONTH(J75))+1,((YEAR((TODAY()-1))-YEAR(J75))*12+MONTH((TODAY()-1))-MONTH(J75))))))))</f>
        <v/>
      </c>
      <c r="U75">
        <f>IF(OR(M75="",NOT(ISNUMBER(J75))),"",IF(N(M75)&lt;=0,"",MIN(N(H75)-1,INT(ROUND(N75/M75,6)))))</f>
        <v/>
      </c>
      <c r="V75">
        <f>IF(T75="","",IF(T75&gt;=N(H75),L75,M75*T75))</f>
        <v/>
      </c>
      <c r="W75">
        <f>IF(V75="",0,MAX(0,ROUND(V75-N75,2)))</f>
        <v/>
      </c>
      <c r="X75">
        <f>IF(OR(R75="",R75="Paid off",NOT(ISNUMBER(P75))),"",P75*1000+ROW())</f>
        <v/>
      </c>
      <c r="Y75">
        <f>IF(C75="","",IF(AND(COUNTIF(C$6:C75,C75)=1,SUMIFS(Loans!$O$6:$O$305,Loans!$C$6:$C$305,C75,Loans!$O$6:$O$305,"&gt;0")&gt;0),ROW(),""))</f>
        <v/>
      </c>
      <c r="Z75">
        <f>IF(OR(C75="",P75=""),"",IF(D75="I borrowed","From you","To you"))</f>
        <v/>
      </c>
    </row>
    <row r="76">
      <c r="A76" s="1" t="n"/>
      <c r="B76" s="15" t="n">
        <v>71</v>
      </c>
      <c r="C76" s="16" t="n"/>
      <c r="D76" s="17" t="n"/>
      <c r="E76" s="18" t="n"/>
      <c r="F76" s="19" t="n"/>
      <c r="G76" s="20" t="n"/>
      <c r="H76" s="21" t="n"/>
      <c r="I76" s="17" t="n"/>
      <c r="J76" s="18" t="n"/>
      <c r="K76" s="22" t="n"/>
      <c r="L76" s="23">
        <f>IF(C76="","",ROUND(N(F76)*(1+N(G76)/100*IF(N(H76)&gt;0,N(H76)*IF(I76="Week",7/365,IF(I76="2 weeks",14/365,1/12)),IF(ISNUMBER(E76),MAX(0,TODAY()-E76)/365,0))),2))</f>
        <v/>
      </c>
      <c r="M76" s="23">
        <f>IF(OR(C76="",N(H76)&lt;=0),"",ROUND(L76/N(H76),2))</f>
        <v/>
      </c>
      <c r="N76" s="23">
        <f>IF(C76="","",SUMIFS(Payments!$D$6:$D$805,Payments!$G$6:$G$805,B76))</f>
        <v/>
      </c>
      <c r="O76" s="24">
        <f>IF(C76="","",ROUND(L76-N76,2))</f>
        <v/>
      </c>
      <c r="P76" s="11">
        <f>IF(OR(U76="",N(O76)&lt;=0),"",IF(I76="Week",J76+7*U76,IF(I76="2 weeks",J76+14*U76,EDATE(J76,U76))))</f>
        <v/>
      </c>
      <c r="Q76" s="23">
        <f>IF(P76="","",IF(U76=N(H76)-1,O76,ROUND(M76*(U76+1)-N76,2)))</f>
        <v/>
      </c>
      <c r="R76" s="25">
        <f>IF(C76="","",IF(O76&lt;=0,"Paid off",IF(OR(M76="",NOT(ISNUMBER(J76))),"Open",IF(W76&gt;0,"Overdue",IF(AND(ISNUMBER(P76),P76-TODAY()&lt;=Settings!$C$6),"Due soon","On track")))))</f>
        <v/>
      </c>
      <c r="S76" s="1">
        <f>IF(C76="","",B76&amp;" "&amp;C76)</f>
        <v/>
      </c>
      <c r="T76">
        <f>IF(OR(M76="",NOT(ISNUMBER(J76))),"",MIN(N(H76),IF(I76="Week",IF((TODAY()-1)&lt;J76,0,INT(((TODAY()-1)-J76)/7)+1),IF(I76="2 weeks",IF((TODAY()-1)&lt;J76,0,INT(((TODAY()-1)-J76)/14)+1),IF(((YEAR((TODAY()-1))-YEAR(J76))*12+MONTH((TODAY()-1))-MONTH(J76))&lt;0,0,IF(EDATE(J76,((YEAR((TODAY()-1))-YEAR(J76))*12+MONTH((TODAY()-1))-MONTH(J76)))&lt;=(TODAY()-1),((YEAR((TODAY()-1))-YEAR(J76))*12+MONTH((TODAY()-1))-MONTH(J76))+1,((YEAR((TODAY()-1))-YEAR(J76))*12+MONTH((TODAY()-1))-MONTH(J76))))))))</f>
        <v/>
      </c>
      <c r="U76">
        <f>IF(OR(M76="",NOT(ISNUMBER(J76))),"",IF(N(M76)&lt;=0,"",MIN(N(H76)-1,INT(ROUND(N76/M76,6)))))</f>
        <v/>
      </c>
      <c r="V76">
        <f>IF(T76="","",IF(T76&gt;=N(H76),L76,M76*T76))</f>
        <v/>
      </c>
      <c r="W76">
        <f>IF(V76="",0,MAX(0,ROUND(V76-N76,2)))</f>
        <v/>
      </c>
      <c r="X76">
        <f>IF(OR(R76="",R76="Paid off",NOT(ISNUMBER(P76))),"",P76*1000+ROW())</f>
        <v/>
      </c>
      <c r="Y76">
        <f>IF(C76="","",IF(AND(COUNTIF(C$6:C76,C76)=1,SUMIFS(Loans!$O$6:$O$305,Loans!$C$6:$C$305,C76,Loans!$O$6:$O$305,"&gt;0")&gt;0),ROW(),""))</f>
        <v/>
      </c>
      <c r="Z76">
        <f>IF(OR(C76="",P76=""),"",IF(D76="I borrowed","From you","To you"))</f>
        <v/>
      </c>
    </row>
    <row r="77">
      <c r="A77" s="1" t="n"/>
      <c r="B77" s="15" t="n">
        <v>72</v>
      </c>
      <c r="C77" s="16" t="n"/>
      <c r="D77" s="17" t="n"/>
      <c r="E77" s="18" t="n"/>
      <c r="F77" s="19" t="n"/>
      <c r="G77" s="20" t="n"/>
      <c r="H77" s="21" t="n"/>
      <c r="I77" s="17" t="n"/>
      <c r="J77" s="18" t="n"/>
      <c r="K77" s="22" t="n"/>
      <c r="L77" s="23">
        <f>IF(C77="","",ROUND(N(F77)*(1+N(G77)/100*IF(N(H77)&gt;0,N(H77)*IF(I77="Week",7/365,IF(I77="2 weeks",14/365,1/12)),IF(ISNUMBER(E77),MAX(0,TODAY()-E77)/365,0))),2))</f>
        <v/>
      </c>
      <c r="M77" s="23">
        <f>IF(OR(C77="",N(H77)&lt;=0),"",ROUND(L77/N(H77),2))</f>
        <v/>
      </c>
      <c r="N77" s="23">
        <f>IF(C77="","",SUMIFS(Payments!$D$6:$D$805,Payments!$G$6:$G$805,B77))</f>
        <v/>
      </c>
      <c r="O77" s="24">
        <f>IF(C77="","",ROUND(L77-N77,2))</f>
        <v/>
      </c>
      <c r="P77" s="11">
        <f>IF(OR(U77="",N(O77)&lt;=0),"",IF(I77="Week",J77+7*U77,IF(I77="2 weeks",J77+14*U77,EDATE(J77,U77))))</f>
        <v/>
      </c>
      <c r="Q77" s="23">
        <f>IF(P77="","",IF(U77=N(H77)-1,O77,ROUND(M77*(U77+1)-N77,2)))</f>
        <v/>
      </c>
      <c r="R77" s="25">
        <f>IF(C77="","",IF(O77&lt;=0,"Paid off",IF(OR(M77="",NOT(ISNUMBER(J77))),"Open",IF(W77&gt;0,"Overdue",IF(AND(ISNUMBER(P77),P77-TODAY()&lt;=Settings!$C$6),"Due soon","On track")))))</f>
        <v/>
      </c>
      <c r="S77" s="1">
        <f>IF(C77="","",B77&amp;" "&amp;C77)</f>
        <v/>
      </c>
      <c r="T77">
        <f>IF(OR(M77="",NOT(ISNUMBER(J77))),"",MIN(N(H77),IF(I77="Week",IF((TODAY()-1)&lt;J77,0,INT(((TODAY()-1)-J77)/7)+1),IF(I77="2 weeks",IF((TODAY()-1)&lt;J77,0,INT(((TODAY()-1)-J77)/14)+1),IF(((YEAR((TODAY()-1))-YEAR(J77))*12+MONTH((TODAY()-1))-MONTH(J77))&lt;0,0,IF(EDATE(J77,((YEAR((TODAY()-1))-YEAR(J77))*12+MONTH((TODAY()-1))-MONTH(J77)))&lt;=(TODAY()-1),((YEAR((TODAY()-1))-YEAR(J77))*12+MONTH((TODAY()-1))-MONTH(J77))+1,((YEAR((TODAY()-1))-YEAR(J77))*12+MONTH((TODAY()-1))-MONTH(J77))))))))</f>
        <v/>
      </c>
      <c r="U77">
        <f>IF(OR(M77="",NOT(ISNUMBER(J77))),"",IF(N(M77)&lt;=0,"",MIN(N(H77)-1,INT(ROUND(N77/M77,6)))))</f>
        <v/>
      </c>
      <c r="V77">
        <f>IF(T77="","",IF(T77&gt;=N(H77),L77,M77*T77))</f>
        <v/>
      </c>
      <c r="W77">
        <f>IF(V77="",0,MAX(0,ROUND(V77-N77,2)))</f>
        <v/>
      </c>
      <c r="X77">
        <f>IF(OR(R77="",R77="Paid off",NOT(ISNUMBER(P77))),"",P77*1000+ROW())</f>
        <v/>
      </c>
      <c r="Y77">
        <f>IF(C77="","",IF(AND(COUNTIF(C$6:C77,C77)=1,SUMIFS(Loans!$O$6:$O$305,Loans!$C$6:$C$305,C77,Loans!$O$6:$O$305,"&gt;0")&gt;0),ROW(),""))</f>
        <v/>
      </c>
      <c r="Z77">
        <f>IF(OR(C77="",P77=""),"",IF(D77="I borrowed","From you","To you"))</f>
        <v/>
      </c>
    </row>
    <row r="78">
      <c r="A78" s="1" t="n"/>
      <c r="B78" s="15" t="n">
        <v>73</v>
      </c>
      <c r="C78" s="16" t="n"/>
      <c r="D78" s="17" t="n"/>
      <c r="E78" s="18" t="n"/>
      <c r="F78" s="19" t="n"/>
      <c r="G78" s="20" t="n"/>
      <c r="H78" s="21" t="n"/>
      <c r="I78" s="17" t="n"/>
      <c r="J78" s="18" t="n"/>
      <c r="K78" s="22" t="n"/>
      <c r="L78" s="23">
        <f>IF(C78="","",ROUND(N(F78)*(1+N(G78)/100*IF(N(H78)&gt;0,N(H78)*IF(I78="Week",7/365,IF(I78="2 weeks",14/365,1/12)),IF(ISNUMBER(E78),MAX(0,TODAY()-E78)/365,0))),2))</f>
        <v/>
      </c>
      <c r="M78" s="23">
        <f>IF(OR(C78="",N(H78)&lt;=0),"",ROUND(L78/N(H78),2))</f>
        <v/>
      </c>
      <c r="N78" s="23">
        <f>IF(C78="","",SUMIFS(Payments!$D$6:$D$805,Payments!$G$6:$G$805,B78))</f>
        <v/>
      </c>
      <c r="O78" s="24">
        <f>IF(C78="","",ROUND(L78-N78,2))</f>
        <v/>
      </c>
      <c r="P78" s="11">
        <f>IF(OR(U78="",N(O78)&lt;=0),"",IF(I78="Week",J78+7*U78,IF(I78="2 weeks",J78+14*U78,EDATE(J78,U78))))</f>
        <v/>
      </c>
      <c r="Q78" s="23">
        <f>IF(P78="","",IF(U78=N(H78)-1,O78,ROUND(M78*(U78+1)-N78,2)))</f>
        <v/>
      </c>
      <c r="R78" s="25">
        <f>IF(C78="","",IF(O78&lt;=0,"Paid off",IF(OR(M78="",NOT(ISNUMBER(J78))),"Open",IF(W78&gt;0,"Overdue",IF(AND(ISNUMBER(P78),P78-TODAY()&lt;=Settings!$C$6),"Due soon","On track")))))</f>
        <v/>
      </c>
      <c r="S78" s="1">
        <f>IF(C78="","",B78&amp;" "&amp;C78)</f>
        <v/>
      </c>
      <c r="T78">
        <f>IF(OR(M78="",NOT(ISNUMBER(J78))),"",MIN(N(H78),IF(I78="Week",IF((TODAY()-1)&lt;J78,0,INT(((TODAY()-1)-J78)/7)+1),IF(I78="2 weeks",IF((TODAY()-1)&lt;J78,0,INT(((TODAY()-1)-J78)/14)+1),IF(((YEAR((TODAY()-1))-YEAR(J78))*12+MONTH((TODAY()-1))-MONTH(J78))&lt;0,0,IF(EDATE(J78,((YEAR((TODAY()-1))-YEAR(J78))*12+MONTH((TODAY()-1))-MONTH(J78)))&lt;=(TODAY()-1),((YEAR((TODAY()-1))-YEAR(J78))*12+MONTH((TODAY()-1))-MONTH(J78))+1,((YEAR((TODAY()-1))-YEAR(J78))*12+MONTH((TODAY()-1))-MONTH(J78))))))))</f>
        <v/>
      </c>
      <c r="U78">
        <f>IF(OR(M78="",NOT(ISNUMBER(J78))),"",IF(N(M78)&lt;=0,"",MIN(N(H78)-1,INT(ROUND(N78/M78,6)))))</f>
        <v/>
      </c>
      <c r="V78">
        <f>IF(T78="","",IF(T78&gt;=N(H78),L78,M78*T78))</f>
        <v/>
      </c>
      <c r="W78">
        <f>IF(V78="",0,MAX(0,ROUND(V78-N78,2)))</f>
        <v/>
      </c>
      <c r="X78">
        <f>IF(OR(R78="",R78="Paid off",NOT(ISNUMBER(P78))),"",P78*1000+ROW())</f>
        <v/>
      </c>
      <c r="Y78">
        <f>IF(C78="","",IF(AND(COUNTIF(C$6:C78,C78)=1,SUMIFS(Loans!$O$6:$O$305,Loans!$C$6:$C$305,C78,Loans!$O$6:$O$305,"&gt;0")&gt;0),ROW(),""))</f>
        <v/>
      </c>
      <c r="Z78">
        <f>IF(OR(C78="",P78=""),"",IF(D78="I borrowed","From you","To you"))</f>
        <v/>
      </c>
    </row>
    <row r="79">
      <c r="A79" s="1" t="n"/>
      <c r="B79" s="15" t="n">
        <v>74</v>
      </c>
      <c r="C79" s="16" t="n"/>
      <c r="D79" s="17" t="n"/>
      <c r="E79" s="18" t="n"/>
      <c r="F79" s="19" t="n"/>
      <c r="G79" s="20" t="n"/>
      <c r="H79" s="21" t="n"/>
      <c r="I79" s="17" t="n"/>
      <c r="J79" s="18" t="n"/>
      <c r="K79" s="22" t="n"/>
      <c r="L79" s="23">
        <f>IF(C79="","",ROUND(N(F79)*(1+N(G79)/100*IF(N(H79)&gt;0,N(H79)*IF(I79="Week",7/365,IF(I79="2 weeks",14/365,1/12)),IF(ISNUMBER(E79),MAX(0,TODAY()-E79)/365,0))),2))</f>
        <v/>
      </c>
      <c r="M79" s="23">
        <f>IF(OR(C79="",N(H79)&lt;=0),"",ROUND(L79/N(H79),2))</f>
        <v/>
      </c>
      <c r="N79" s="23">
        <f>IF(C79="","",SUMIFS(Payments!$D$6:$D$805,Payments!$G$6:$G$805,B79))</f>
        <v/>
      </c>
      <c r="O79" s="24">
        <f>IF(C79="","",ROUND(L79-N79,2))</f>
        <v/>
      </c>
      <c r="P79" s="11">
        <f>IF(OR(U79="",N(O79)&lt;=0),"",IF(I79="Week",J79+7*U79,IF(I79="2 weeks",J79+14*U79,EDATE(J79,U79))))</f>
        <v/>
      </c>
      <c r="Q79" s="23">
        <f>IF(P79="","",IF(U79=N(H79)-1,O79,ROUND(M79*(U79+1)-N79,2)))</f>
        <v/>
      </c>
      <c r="R79" s="25">
        <f>IF(C79="","",IF(O79&lt;=0,"Paid off",IF(OR(M79="",NOT(ISNUMBER(J79))),"Open",IF(W79&gt;0,"Overdue",IF(AND(ISNUMBER(P79),P79-TODAY()&lt;=Settings!$C$6),"Due soon","On track")))))</f>
        <v/>
      </c>
      <c r="S79" s="1">
        <f>IF(C79="","",B79&amp;" "&amp;C79)</f>
        <v/>
      </c>
      <c r="T79">
        <f>IF(OR(M79="",NOT(ISNUMBER(J79))),"",MIN(N(H79),IF(I79="Week",IF((TODAY()-1)&lt;J79,0,INT(((TODAY()-1)-J79)/7)+1),IF(I79="2 weeks",IF((TODAY()-1)&lt;J79,0,INT(((TODAY()-1)-J79)/14)+1),IF(((YEAR((TODAY()-1))-YEAR(J79))*12+MONTH((TODAY()-1))-MONTH(J79))&lt;0,0,IF(EDATE(J79,((YEAR((TODAY()-1))-YEAR(J79))*12+MONTH((TODAY()-1))-MONTH(J79)))&lt;=(TODAY()-1),((YEAR((TODAY()-1))-YEAR(J79))*12+MONTH((TODAY()-1))-MONTH(J79))+1,((YEAR((TODAY()-1))-YEAR(J79))*12+MONTH((TODAY()-1))-MONTH(J79))))))))</f>
        <v/>
      </c>
      <c r="U79">
        <f>IF(OR(M79="",NOT(ISNUMBER(J79))),"",IF(N(M79)&lt;=0,"",MIN(N(H79)-1,INT(ROUND(N79/M79,6)))))</f>
        <v/>
      </c>
      <c r="V79">
        <f>IF(T79="","",IF(T79&gt;=N(H79),L79,M79*T79))</f>
        <v/>
      </c>
      <c r="W79">
        <f>IF(V79="",0,MAX(0,ROUND(V79-N79,2)))</f>
        <v/>
      </c>
      <c r="X79">
        <f>IF(OR(R79="",R79="Paid off",NOT(ISNUMBER(P79))),"",P79*1000+ROW())</f>
        <v/>
      </c>
      <c r="Y79">
        <f>IF(C79="","",IF(AND(COUNTIF(C$6:C79,C79)=1,SUMIFS(Loans!$O$6:$O$305,Loans!$C$6:$C$305,C79,Loans!$O$6:$O$305,"&gt;0")&gt;0),ROW(),""))</f>
        <v/>
      </c>
      <c r="Z79">
        <f>IF(OR(C79="",P79=""),"",IF(D79="I borrowed","From you","To you"))</f>
        <v/>
      </c>
    </row>
    <row r="80">
      <c r="A80" s="1" t="n"/>
      <c r="B80" s="15" t="n">
        <v>75</v>
      </c>
      <c r="C80" s="16" t="n"/>
      <c r="D80" s="17" t="n"/>
      <c r="E80" s="18" t="n"/>
      <c r="F80" s="19" t="n"/>
      <c r="G80" s="20" t="n"/>
      <c r="H80" s="21" t="n"/>
      <c r="I80" s="17" t="n"/>
      <c r="J80" s="18" t="n"/>
      <c r="K80" s="22" t="n"/>
      <c r="L80" s="23">
        <f>IF(C80="","",ROUND(N(F80)*(1+N(G80)/100*IF(N(H80)&gt;0,N(H80)*IF(I80="Week",7/365,IF(I80="2 weeks",14/365,1/12)),IF(ISNUMBER(E80),MAX(0,TODAY()-E80)/365,0))),2))</f>
        <v/>
      </c>
      <c r="M80" s="23">
        <f>IF(OR(C80="",N(H80)&lt;=0),"",ROUND(L80/N(H80),2))</f>
        <v/>
      </c>
      <c r="N80" s="23">
        <f>IF(C80="","",SUMIFS(Payments!$D$6:$D$805,Payments!$G$6:$G$805,B80))</f>
        <v/>
      </c>
      <c r="O80" s="24">
        <f>IF(C80="","",ROUND(L80-N80,2))</f>
        <v/>
      </c>
      <c r="P80" s="11">
        <f>IF(OR(U80="",N(O80)&lt;=0),"",IF(I80="Week",J80+7*U80,IF(I80="2 weeks",J80+14*U80,EDATE(J80,U80))))</f>
        <v/>
      </c>
      <c r="Q80" s="23">
        <f>IF(P80="","",IF(U80=N(H80)-1,O80,ROUND(M80*(U80+1)-N80,2)))</f>
        <v/>
      </c>
      <c r="R80" s="25">
        <f>IF(C80="","",IF(O80&lt;=0,"Paid off",IF(OR(M80="",NOT(ISNUMBER(J80))),"Open",IF(W80&gt;0,"Overdue",IF(AND(ISNUMBER(P80),P80-TODAY()&lt;=Settings!$C$6),"Due soon","On track")))))</f>
        <v/>
      </c>
      <c r="S80" s="1">
        <f>IF(C80="","",B80&amp;" "&amp;C80)</f>
        <v/>
      </c>
      <c r="T80">
        <f>IF(OR(M80="",NOT(ISNUMBER(J80))),"",MIN(N(H80),IF(I80="Week",IF((TODAY()-1)&lt;J80,0,INT(((TODAY()-1)-J80)/7)+1),IF(I80="2 weeks",IF((TODAY()-1)&lt;J80,0,INT(((TODAY()-1)-J80)/14)+1),IF(((YEAR((TODAY()-1))-YEAR(J80))*12+MONTH((TODAY()-1))-MONTH(J80))&lt;0,0,IF(EDATE(J80,((YEAR((TODAY()-1))-YEAR(J80))*12+MONTH((TODAY()-1))-MONTH(J80)))&lt;=(TODAY()-1),((YEAR((TODAY()-1))-YEAR(J80))*12+MONTH((TODAY()-1))-MONTH(J80))+1,((YEAR((TODAY()-1))-YEAR(J80))*12+MONTH((TODAY()-1))-MONTH(J80))))))))</f>
        <v/>
      </c>
      <c r="U80">
        <f>IF(OR(M80="",NOT(ISNUMBER(J80))),"",IF(N(M80)&lt;=0,"",MIN(N(H80)-1,INT(ROUND(N80/M80,6)))))</f>
        <v/>
      </c>
      <c r="V80">
        <f>IF(T80="","",IF(T80&gt;=N(H80),L80,M80*T80))</f>
        <v/>
      </c>
      <c r="W80">
        <f>IF(V80="",0,MAX(0,ROUND(V80-N80,2)))</f>
        <v/>
      </c>
      <c r="X80">
        <f>IF(OR(R80="",R80="Paid off",NOT(ISNUMBER(P80))),"",P80*1000+ROW())</f>
        <v/>
      </c>
      <c r="Y80">
        <f>IF(C80="","",IF(AND(COUNTIF(C$6:C80,C80)=1,SUMIFS(Loans!$O$6:$O$305,Loans!$C$6:$C$305,C80,Loans!$O$6:$O$305,"&gt;0")&gt;0),ROW(),""))</f>
        <v/>
      </c>
      <c r="Z80">
        <f>IF(OR(C80="",P80=""),"",IF(D80="I borrowed","From you","To you"))</f>
        <v/>
      </c>
    </row>
    <row r="81">
      <c r="A81" s="1" t="n"/>
      <c r="B81" s="15" t="n">
        <v>76</v>
      </c>
      <c r="C81" s="16" t="n"/>
      <c r="D81" s="17" t="n"/>
      <c r="E81" s="18" t="n"/>
      <c r="F81" s="19" t="n"/>
      <c r="G81" s="20" t="n"/>
      <c r="H81" s="21" t="n"/>
      <c r="I81" s="17" t="n"/>
      <c r="J81" s="18" t="n"/>
      <c r="K81" s="22" t="n"/>
      <c r="L81" s="23">
        <f>IF(C81="","",ROUND(N(F81)*(1+N(G81)/100*IF(N(H81)&gt;0,N(H81)*IF(I81="Week",7/365,IF(I81="2 weeks",14/365,1/12)),IF(ISNUMBER(E81),MAX(0,TODAY()-E81)/365,0))),2))</f>
        <v/>
      </c>
      <c r="M81" s="23">
        <f>IF(OR(C81="",N(H81)&lt;=0),"",ROUND(L81/N(H81),2))</f>
        <v/>
      </c>
      <c r="N81" s="23">
        <f>IF(C81="","",SUMIFS(Payments!$D$6:$D$805,Payments!$G$6:$G$805,B81))</f>
        <v/>
      </c>
      <c r="O81" s="24">
        <f>IF(C81="","",ROUND(L81-N81,2))</f>
        <v/>
      </c>
      <c r="P81" s="11">
        <f>IF(OR(U81="",N(O81)&lt;=0),"",IF(I81="Week",J81+7*U81,IF(I81="2 weeks",J81+14*U81,EDATE(J81,U81))))</f>
        <v/>
      </c>
      <c r="Q81" s="23">
        <f>IF(P81="","",IF(U81=N(H81)-1,O81,ROUND(M81*(U81+1)-N81,2)))</f>
        <v/>
      </c>
      <c r="R81" s="25">
        <f>IF(C81="","",IF(O81&lt;=0,"Paid off",IF(OR(M81="",NOT(ISNUMBER(J81))),"Open",IF(W81&gt;0,"Overdue",IF(AND(ISNUMBER(P81),P81-TODAY()&lt;=Settings!$C$6),"Due soon","On track")))))</f>
        <v/>
      </c>
      <c r="S81" s="1">
        <f>IF(C81="","",B81&amp;" "&amp;C81)</f>
        <v/>
      </c>
      <c r="T81">
        <f>IF(OR(M81="",NOT(ISNUMBER(J81))),"",MIN(N(H81),IF(I81="Week",IF((TODAY()-1)&lt;J81,0,INT(((TODAY()-1)-J81)/7)+1),IF(I81="2 weeks",IF((TODAY()-1)&lt;J81,0,INT(((TODAY()-1)-J81)/14)+1),IF(((YEAR((TODAY()-1))-YEAR(J81))*12+MONTH((TODAY()-1))-MONTH(J81))&lt;0,0,IF(EDATE(J81,((YEAR((TODAY()-1))-YEAR(J81))*12+MONTH((TODAY()-1))-MONTH(J81)))&lt;=(TODAY()-1),((YEAR((TODAY()-1))-YEAR(J81))*12+MONTH((TODAY()-1))-MONTH(J81))+1,((YEAR((TODAY()-1))-YEAR(J81))*12+MONTH((TODAY()-1))-MONTH(J81))))))))</f>
        <v/>
      </c>
      <c r="U81">
        <f>IF(OR(M81="",NOT(ISNUMBER(J81))),"",IF(N(M81)&lt;=0,"",MIN(N(H81)-1,INT(ROUND(N81/M81,6)))))</f>
        <v/>
      </c>
      <c r="V81">
        <f>IF(T81="","",IF(T81&gt;=N(H81),L81,M81*T81))</f>
        <v/>
      </c>
      <c r="W81">
        <f>IF(V81="",0,MAX(0,ROUND(V81-N81,2)))</f>
        <v/>
      </c>
      <c r="X81">
        <f>IF(OR(R81="",R81="Paid off",NOT(ISNUMBER(P81))),"",P81*1000+ROW())</f>
        <v/>
      </c>
      <c r="Y81">
        <f>IF(C81="","",IF(AND(COUNTIF(C$6:C81,C81)=1,SUMIFS(Loans!$O$6:$O$305,Loans!$C$6:$C$305,C81,Loans!$O$6:$O$305,"&gt;0")&gt;0),ROW(),""))</f>
        <v/>
      </c>
      <c r="Z81">
        <f>IF(OR(C81="",P81=""),"",IF(D81="I borrowed","From you","To you"))</f>
        <v/>
      </c>
    </row>
    <row r="82">
      <c r="A82" s="1" t="n"/>
      <c r="B82" s="15" t="n">
        <v>77</v>
      </c>
      <c r="C82" s="16" t="n"/>
      <c r="D82" s="17" t="n"/>
      <c r="E82" s="18" t="n"/>
      <c r="F82" s="19" t="n"/>
      <c r="G82" s="20" t="n"/>
      <c r="H82" s="21" t="n"/>
      <c r="I82" s="17" t="n"/>
      <c r="J82" s="18" t="n"/>
      <c r="K82" s="22" t="n"/>
      <c r="L82" s="23">
        <f>IF(C82="","",ROUND(N(F82)*(1+N(G82)/100*IF(N(H82)&gt;0,N(H82)*IF(I82="Week",7/365,IF(I82="2 weeks",14/365,1/12)),IF(ISNUMBER(E82),MAX(0,TODAY()-E82)/365,0))),2))</f>
        <v/>
      </c>
      <c r="M82" s="23">
        <f>IF(OR(C82="",N(H82)&lt;=0),"",ROUND(L82/N(H82),2))</f>
        <v/>
      </c>
      <c r="N82" s="23">
        <f>IF(C82="","",SUMIFS(Payments!$D$6:$D$805,Payments!$G$6:$G$805,B82))</f>
        <v/>
      </c>
      <c r="O82" s="24">
        <f>IF(C82="","",ROUND(L82-N82,2))</f>
        <v/>
      </c>
      <c r="P82" s="11">
        <f>IF(OR(U82="",N(O82)&lt;=0),"",IF(I82="Week",J82+7*U82,IF(I82="2 weeks",J82+14*U82,EDATE(J82,U82))))</f>
        <v/>
      </c>
      <c r="Q82" s="23">
        <f>IF(P82="","",IF(U82=N(H82)-1,O82,ROUND(M82*(U82+1)-N82,2)))</f>
        <v/>
      </c>
      <c r="R82" s="25">
        <f>IF(C82="","",IF(O82&lt;=0,"Paid off",IF(OR(M82="",NOT(ISNUMBER(J82))),"Open",IF(W82&gt;0,"Overdue",IF(AND(ISNUMBER(P82),P82-TODAY()&lt;=Settings!$C$6),"Due soon","On track")))))</f>
        <v/>
      </c>
      <c r="S82" s="1">
        <f>IF(C82="","",B82&amp;" "&amp;C82)</f>
        <v/>
      </c>
      <c r="T82">
        <f>IF(OR(M82="",NOT(ISNUMBER(J82))),"",MIN(N(H82),IF(I82="Week",IF((TODAY()-1)&lt;J82,0,INT(((TODAY()-1)-J82)/7)+1),IF(I82="2 weeks",IF((TODAY()-1)&lt;J82,0,INT(((TODAY()-1)-J82)/14)+1),IF(((YEAR((TODAY()-1))-YEAR(J82))*12+MONTH((TODAY()-1))-MONTH(J82))&lt;0,0,IF(EDATE(J82,((YEAR((TODAY()-1))-YEAR(J82))*12+MONTH((TODAY()-1))-MONTH(J82)))&lt;=(TODAY()-1),((YEAR((TODAY()-1))-YEAR(J82))*12+MONTH((TODAY()-1))-MONTH(J82))+1,((YEAR((TODAY()-1))-YEAR(J82))*12+MONTH((TODAY()-1))-MONTH(J82))))))))</f>
        <v/>
      </c>
      <c r="U82">
        <f>IF(OR(M82="",NOT(ISNUMBER(J82))),"",IF(N(M82)&lt;=0,"",MIN(N(H82)-1,INT(ROUND(N82/M82,6)))))</f>
        <v/>
      </c>
      <c r="V82">
        <f>IF(T82="","",IF(T82&gt;=N(H82),L82,M82*T82))</f>
        <v/>
      </c>
      <c r="W82">
        <f>IF(V82="",0,MAX(0,ROUND(V82-N82,2)))</f>
        <v/>
      </c>
      <c r="X82">
        <f>IF(OR(R82="",R82="Paid off",NOT(ISNUMBER(P82))),"",P82*1000+ROW())</f>
        <v/>
      </c>
      <c r="Y82">
        <f>IF(C82="","",IF(AND(COUNTIF(C$6:C82,C82)=1,SUMIFS(Loans!$O$6:$O$305,Loans!$C$6:$C$305,C82,Loans!$O$6:$O$305,"&gt;0")&gt;0),ROW(),""))</f>
        <v/>
      </c>
      <c r="Z82">
        <f>IF(OR(C82="",P82=""),"",IF(D82="I borrowed","From you","To you"))</f>
        <v/>
      </c>
    </row>
    <row r="83">
      <c r="A83" s="1" t="n"/>
      <c r="B83" s="15" t="n">
        <v>78</v>
      </c>
      <c r="C83" s="16" t="n"/>
      <c r="D83" s="17" t="n"/>
      <c r="E83" s="18" t="n"/>
      <c r="F83" s="19" t="n"/>
      <c r="G83" s="20" t="n"/>
      <c r="H83" s="21" t="n"/>
      <c r="I83" s="17" t="n"/>
      <c r="J83" s="18" t="n"/>
      <c r="K83" s="22" t="n"/>
      <c r="L83" s="23">
        <f>IF(C83="","",ROUND(N(F83)*(1+N(G83)/100*IF(N(H83)&gt;0,N(H83)*IF(I83="Week",7/365,IF(I83="2 weeks",14/365,1/12)),IF(ISNUMBER(E83),MAX(0,TODAY()-E83)/365,0))),2))</f>
        <v/>
      </c>
      <c r="M83" s="23">
        <f>IF(OR(C83="",N(H83)&lt;=0),"",ROUND(L83/N(H83),2))</f>
        <v/>
      </c>
      <c r="N83" s="23">
        <f>IF(C83="","",SUMIFS(Payments!$D$6:$D$805,Payments!$G$6:$G$805,B83))</f>
        <v/>
      </c>
      <c r="O83" s="24">
        <f>IF(C83="","",ROUND(L83-N83,2))</f>
        <v/>
      </c>
      <c r="P83" s="11">
        <f>IF(OR(U83="",N(O83)&lt;=0),"",IF(I83="Week",J83+7*U83,IF(I83="2 weeks",J83+14*U83,EDATE(J83,U83))))</f>
        <v/>
      </c>
      <c r="Q83" s="23">
        <f>IF(P83="","",IF(U83=N(H83)-1,O83,ROUND(M83*(U83+1)-N83,2)))</f>
        <v/>
      </c>
      <c r="R83" s="25">
        <f>IF(C83="","",IF(O83&lt;=0,"Paid off",IF(OR(M83="",NOT(ISNUMBER(J83))),"Open",IF(W83&gt;0,"Overdue",IF(AND(ISNUMBER(P83),P83-TODAY()&lt;=Settings!$C$6),"Due soon","On track")))))</f>
        <v/>
      </c>
      <c r="S83" s="1">
        <f>IF(C83="","",B83&amp;" "&amp;C83)</f>
        <v/>
      </c>
      <c r="T83">
        <f>IF(OR(M83="",NOT(ISNUMBER(J83))),"",MIN(N(H83),IF(I83="Week",IF((TODAY()-1)&lt;J83,0,INT(((TODAY()-1)-J83)/7)+1),IF(I83="2 weeks",IF((TODAY()-1)&lt;J83,0,INT(((TODAY()-1)-J83)/14)+1),IF(((YEAR((TODAY()-1))-YEAR(J83))*12+MONTH((TODAY()-1))-MONTH(J83))&lt;0,0,IF(EDATE(J83,((YEAR((TODAY()-1))-YEAR(J83))*12+MONTH((TODAY()-1))-MONTH(J83)))&lt;=(TODAY()-1),((YEAR((TODAY()-1))-YEAR(J83))*12+MONTH((TODAY()-1))-MONTH(J83))+1,((YEAR((TODAY()-1))-YEAR(J83))*12+MONTH((TODAY()-1))-MONTH(J83))))))))</f>
        <v/>
      </c>
      <c r="U83">
        <f>IF(OR(M83="",NOT(ISNUMBER(J83))),"",IF(N(M83)&lt;=0,"",MIN(N(H83)-1,INT(ROUND(N83/M83,6)))))</f>
        <v/>
      </c>
      <c r="V83">
        <f>IF(T83="","",IF(T83&gt;=N(H83),L83,M83*T83))</f>
        <v/>
      </c>
      <c r="W83">
        <f>IF(V83="",0,MAX(0,ROUND(V83-N83,2)))</f>
        <v/>
      </c>
      <c r="X83">
        <f>IF(OR(R83="",R83="Paid off",NOT(ISNUMBER(P83))),"",P83*1000+ROW())</f>
        <v/>
      </c>
      <c r="Y83">
        <f>IF(C83="","",IF(AND(COUNTIF(C$6:C83,C83)=1,SUMIFS(Loans!$O$6:$O$305,Loans!$C$6:$C$305,C83,Loans!$O$6:$O$305,"&gt;0")&gt;0),ROW(),""))</f>
        <v/>
      </c>
      <c r="Z83">
        <f>IF(OR(C83="",P83=""),"",IF(D83="I borrowed","From you","To you"))</f>
        <v/>
      </c>
    </row>
    <row r="84">
      <c r="A84" s="1" t="n"/>
      <c r="B84" s="15" t="n">
        <v>79</v>
      </c>
      <c r="C84" s="16" t="n"/>
      <c r="D84" s="17" t="n"/>
      <c r="E84" s="18" t="n"/>
      <c r="F84" s="19" t="n"/>
      <c r="G84" s="20" t="n"/>
      <c r="H84" s="21" t="n"/>
      <c r="I84" s="17" t="n"/>
      <c r="J84" s="18" t="n"/>
      <c r="K84" s="22" t="n"/>
      <c r="L84" s="23">
        <f>IF(C84="","",ROUND(N(F84)*(1+N(G84)/100*IF(N(H84)&gt;0,N(H84)*IF(I84="Week",7/365,IF(I84="2 weeks",14/365,1/12)),IF(ISNUMBER(E84),MAX(0,TODAY()-E84)/365,0))),2))</f>
        <v/>
      </c>
      <c r="M84" s="23">
        <f>IF(OR(C84="",N(H84)&lt;=0),"",ROUND(L84/N(H84),2))</f>
        <v/>
      </c>
      <c r="N84" s="23">
        <f>IF(C84="","",SUMIFS(Payments!$D$6:$D$805,Payments!$G$6:$G$805,B84))</f>
        <v/>
      </c>
      <c r="O84" s="24">
        <f>IF(C84="","",ROUND(L84-N84,2))</f>
        <v/>
      </c>
      <c r="P84" s="11">
        <f>IF(OR(U84="",N(O84)&lt;=0),"",IF(I84="Week",J84+7*U84,IF(I84="2 weeks",J84+14*U84,EDATE(J84,U84))))</f>
        <v/>
      </c>
      <c r="Q84" s="23">
        <f>IF(P84="","",IF(U84=N(H84)-1,O84,ROUND(M84*(U84+1)-N84,2)))</f>
        <v/>
      </c>
      <c r="R84" s="25">
        <f>IF(C84="","",IF(O84&lt;=0,"Paid off",IF(OR(M84="",NOT(ISNUMBER(J84))),"Open",IF(W84&gt;0,"Overdue",IF(AND(ISNUMBER(P84),P84-TODAY()&lt;=Settings!$C$6),"Due soon","On track")))))</f>
        <v/>
      </c>
      <c r="S84" s="1">
        <f>IF(C84="","",B84&amp;" "&amp;C84)</f>
        <v/>
      </c>
      <c r="T84">
        <f>IF(OR(M84="",NOT(ISNUMBER(J84))),"",MIN(N(H84),IF(I84="Week",IF((TODAY()-1)&lt;J84,0,INT(((TODAY()-1)-J84)/7)+1),IF(I84="2 weeks",IF((TODAY()-1)&lt;J84,0,INT(((TODAY()-1)-J84)/14)+1),IF(((YEAR((TODAY()-1))-YEAR(J84))*12+MONTH((TODAY()-1))-MONTH(J84))&lt;0,0,IF(EDATE(J84,((YEAR((TODAY()-1))-YEAR(J84))*12+MONTH((TODAY()-1))-MONTH(J84)))&lt;=(TODAY()-1),((YEAR((TODAY()-1))-YEAR(J84))*12+MONTH((TODAY()-1))-MONTH(J84))+1,((YEAR((TODAY()-1))-YEAR(J84))*12+MONTH((TODAY()-1))-MONTH(J84))))))))</f>
        <v/>
      </c>
      <c r="U84">
        <f>IF(OR(M84="",NOT(ISNUMBER(J84))),"",IF(N(M84)&lt;=0,"",MIN(N(H84)-1,INT(ROUND(N84/M84,6)))))</f>
        <v/>
      </c>
      <c r="V84">
        <f>IF(T84="","",IF(T84&gt;=N(H84),L84,M84*T84))</f>
        <v/>
      </c>
      <c r="W84">
        <f>IF(V84="",0,MAX(0,ROUND(V84-N84,2)))</f>
        <v/>
      </c>
      <c r="X84">
        <f>IF(OR(R84="",R84="Paid off",NOT(ISNUMBER(P84))),"",P84*1000+ROW())</f>
        <v/>
      </c>
      <c r="Y84">
        <f>IF(C84="","",IF(AND(COUNTIF(C$6:C84,C84)=1,SUMIFS(Loans!$O$6:$O$305,Loans!$C$6:$C$305,C84,Loans!$O$6:$O$305,"&gt;0")&gt;0),ROW(),""))</f>
        <v/>
      </c>
      <c r="Z84">
        <f>IF(OR(C84="",P84=""),"",IF(D84="I borrowed","From you","To you"))</f>
        <v/>
      </c>
    </row>
    <row r="85">
      <c r="A85" s="1" t="n"/>
      <c r="B85" s="15" t="n">
        <v>80</v>
      </c>
      <c r="C85" s="16" t="n"/>
      <c r="D85" s="17" t="n"/>
      <c r="E85" s="18" t="n"/>
      <c r="F85" s="19" t="n"/>
      <c r="G85" s="20" t="n"/>
      <c r="H85" s="21" t="n"/>
      <c r="I85" s="17" t="n"/>
      <c r="J85" s="18" t="n"/>
      <c r="K85" s="22" t="n"/>
      <c r="L85" s="23">
        <f>IF(C85="","",ROUND(N(F85)*(1+N(G85)/100*IF(N(H85)&gt;0,N(H85)*IF(I85="Week",7/365,IF(I85="2 weeks",14/365,1/12)),IF(ISNUMBER(E85),MAX(0,TODAY()-E85)/365,0))),2))</f>
        <v/>
      </c>
      <c r="M85" s="23">
        <f>IF(OR(C85="",N(H85)&lt;=0),"",ROUND(L85/N(H85),2))</f>
        <v/>
      </c>
      <c r="N85" s="23">
        <f>IF(C85="","",SUMIFS(Payments!$D$6:$D$805,Payments!$G$6:$G$805,B85))</f>
        <v/>
      </c>
      <c r="O85" s="24">
        <f>IF(C85="","",ROUND(L85-N85,2))</f>
        <v/>
      </c>
      <c r="P85" s="11">
        <f>IF(OR(U85="",N(O85)&lt;=0),"",IF(I85="Week",J85+7*U85,IF(I85="2 weeks",J85+14*U85,EDATE(J85,U85))))</f>
        <v/>
      </c>
      <c r="Q85" s="23">
        <f>IF(P85="","",IF(U85=N(H85)-1,O85,ROUND(M85*(U85+1)-N85,2)))</f>
        <v/>
      </c>
      <c r="R85" s="25">
        <f>IF(C85="","",IF(O85&lt;=0,"Paid off",IF(OR(M85="",NOT(ISNUMBER(J85))),"Open",IF(W85&gt;0,"Overdue",IF(AND(ISNUMBER(P85),P85-TODAY()&lt;=Settings!$C$6),"Due soon","On track")))))</f>
        <v/>
      </c>
      <c r="S85" s="1">
        <f>IF(C85="","",B85&amp;" "&amp;C85)</f>
        <v/>
      </c>
      <c r="T85">
        <f>IF(OR(M85="",NOT(ISNUMBER(J85))),"",MIN(N(H85),IF(I85="Week",IF((TODAY()-1)&lt;J85,0,INT(((TODAY()-1)-J85)/7)+1),IF(I85="2 weeks",IF((TODAY()-1)&lt;J85,0,INT(((TODAY()-1)-J85)/14)+1),IF(((YEAR((TODAY()-1))-YEAR(J85))*12+MONTH((TODAY()-1))-MONTH(J85))&lt;0,0,IF(EDATE(J85,((YEAR((TODAY()-1))-YEAR(J85))*12+MONTH((TODAY()-1))-MONTH(J85)))&lt;=(TODAY()-1),((YEAR((TODAY()-1))-YEAR(J85))*12+MONTH((TODAY()-1))-MONTH(J85))+1,((YEAR((TODAY()-1))-YEAR(J85))*12+MONTH((TODAY()-1))-MONTH(J85))))))))</f>
        <v/>
      </c>
      <c r="U85">
        <f>IF(OR(M85="",NOT(ISNUMBER(J85))),"",IF(N(M85)&lt;=0,"",MIN(N(H85)-1,INT(ROUND(N85/M85,6)))))</f>
        <v/>
      </c>
      <c r="V85">
        <f>IF(T85="","",IF(T85&gt;=N(H85),L85,M85*T85))</f>
        <v/>
      </c>
      <c r="W85">
        <f>IF(V85="",0,MAX(0,ROUND(V85-N85,2)))</f>
        <v/>
      </c>
      <c r="X85">
        <f>IF(OR(R85="",R85="Paid off",NOT(ISNUMBER(P85))),"",P85*1000+ROW())</f>
        <v/>
      </c>
      <c r="Y85">
        <f>IF(C85="","",IF(AND(COUNTIF(C$6:C85,C85)=1,SUMIFS(Loans!$O$6:$O$305,Loans!$C$6:$C$305,C85,Loans!$O$6:$O$305,"&gt;0")&gt;0),ROW(),""))</f>
        <v/>
      </c>
      <c r="Z85">
        <f>IF(OR(C85="",P85=""),"",IF(D85="I borrowed","From you","To you"))</f>
        <v/>
      </c>
    </row>
    <row r="86">
      <c r="A86" s="1" t="n"/>
      <c r="B86" s="15" t="n">
        <v>81</v>
      </c>
      <c r="C86" s="16" t="n"/>
      <c r="D86" s="17" t="n"/>
      <c r="E86" s="18" t="n"/>
      <c r="F86" s="19" t="n"/>
      <c r="G86" s="20" t="n"/>
      <c r="H86" s="21" t="n"/>
      <c r="I86" s="17" t="n"/>
      <c r="J86" s="18" t="n"/>
      <c r="K86" s="22" t="n"/>
      <c r="L86" s="23">
        <f>IF(C86="","",ROUND(N(F86)*(1+N(G86)/100*IF(N(H86)&gt;0,N(H86)*IF(I86="Week",7/365,IF(I86="2 weeks",14/365,1/12)),IF(ISNUMBER(E86),MAX(0,TODAY()-E86)/365,0))),2))</f>
        <v/>
      </c>
      <c r="M86" s="23">
        <f>IF(OR(C86="",N(H86)&lt;=0),"",ROUND(L86/N(H86),2))</f>
        <v/>
      </c>
      <c r="N86" s="23">
        <f>IF(C86="","",SUMIFS(Payments!$D$6:$D$805,Payments!$G$6:$G$805,B86))</f>
        <v/>
      </c>
      <c r="O86" s="24">
        <f>IF(C86="","",ROUND(L86-N86,2))</f>
        <v/>
      </c>
      <c r="P86" s="11">
        <f>IF(OR(U86="",N(O86)&lt;=0),"",IF(I86="Week",J86+7*U86,IF(I86="2 weeks",J86+14*U86,EDATE(J86,U86))))</f>
        <v/>
      </c>
      <c r="Q86" s="23">
        <f>IF(P86="","",IF(U86=N(H86)-1,O86,ROUND(M86*(U86+1)-N86,2)))</f>
        <v/>
      </c>
      <c r="R86" s="25">
        <f>IF(C86="","",IF(O86&lt;=0,"Paid off",IF(OR(M86="",NOT(ISNUMBER(J86))),"Open",IF(W86&gt;0,"Overdue",IF(AND(ISNUMBER(P86),P86-TODAY()&lt;=Settings!$C$6),"Due soon","On track")))))</f>
        <v/>
      </c>
      <c r="S86" s="1">
        <f>IF(C86="","",B86&amp;" "&amp;C86)</f>
        <v/>
      </c>
      <c r="T86">
        <f>IF(OR(M86="",NOT(ISNUMBER(J86))),"",MIN(N(H86),IF(I86="Week",IF((TODAY()-1)&lt;J86,0,INT(((TODAY()-1)-J86)/7)+1),IF(I86="2 weeks",IF((TODAY()-1)&lt;J86,0,INT(((TODAY()-1)-J86)/14)+1),IF(((YEAR((TODAY()-1))-YEAR(J86))*12+MONTH((TODAY()-1))-MONTH(J86))&lt;0,0,IF(EDATE(J86,((YEAR((TODAY()-1))-YEAR(J86))*12+MONTH((TODAY()-1))-MONTH(J86)))&lt;=(TODAY()-1),((YEAR((TODAY()-1))-YEAR(J86))*12+MONTH((TODAY()-1))-MONTH(J86))+1,((YEAR((TODAY()-1))-YEAR(J86))*12+MONTH((TODAY()-1))-MONTH(J86))))))))</f>
        <v/>
      </c>
      <c r="U86">
        <f>IF(OR(M86="",NOT(ISNUMBER(J86))),"",IF(N(M86)&lt;=0,"",MIN(N(H86)-1,INT(ROUND(N86/M86,6)))))</f>
        <v/>
      </c>
      <c r="V86">
        <f>IF(T86="","",IF(T86&gt;=N(H86),L86,M86*T86))</f>
        <v/>
      </c>
      <c r="W86">
        <f>IF(V86="",0,MAX(0,ROUND(V86-N86,2)))</f>
        <v/>
      </c>
      <c r="X86">
        <f>IF(OR(R86="",R86="Paid off",NOT(ISNUMBER(P86))),"",P86*1000+ROW())</f>
        <v/>
      </c>
      <c r="Y86">
        <f>IF(C86="","",IF(AND(COUNTIF(C$6:C86,C86)=1,SUMIFS(Loans!$O$6:$O$305,Loans!$C$6:$C$305,C86,Loans!$O$6:$O$305,"&gt;0")&gt;0),ROW(),""))</f>
        <v/>
      </c>
      <c r="Z86">
        <f>IF(OR(C86="",P86=""),"",IF(D86="I borrowed","From you","To you"))</f>
        <v/>
      </c>
    </row>
    <row r="87">
      <c r="A87" s="1" t="n"/>
      <c r="B87" s="15" t="n">
        <v>82</v>
      </c>
      <c r="C87" s="16" t="n"/>
      <c r="D87" s="17" t="n"/>
      <c r="E87" s="18" t="n"/>
      <c r="F87" s="19" t="n"/>
      <c r="G87" s="20" t="n"/>
      <c r="H87" s="21" t="n"/>
      <c r="I87" s="17" t="n"/>
      <c r="J87" s="18" t="n"/>
      <c r="K87" s="22" t="n"/>
      <c r="L87" s="23">
        <f>IF(C87="","",ROUND(N(F87)*(1+N(G87)/100*IF(N(H87)&gt;0,N(H87)*IF(I87="Week",7/365,IF(I87="2 weeks",14/365,1/12)),IF(ISNUMBER(E87),MAX(0,TODAY()-E87)/365,0))),2))</f>
        <v/>
      </c>
      <c r="M87" s="23">
        <f>IF(OR(C87="",N(H87)&lt;=0),"",ROUND(L87/N(H87),2))</f>
        <v/>
      </c>
      <c r="N87" s="23">
        <f>IF(C87="","",SUMIFS(Payments!$D$6:$D$805,Payments!$G$6:$G$805,B87))</f>
        <v/>
      </c>
      <c r="O87" s="24">
        <f>IF(C87="","",ROUND(L87-N87,2))</f>
        <v/>
      </c>
      <c r="P87" s="11">
        <f>IF(OR(U87="",N(O87)&lt;=0),"",IF(I87="Week",J87+7*U87,IF(I87="2 weeks",J87+14*U87,EDATE(J87,U87))))</f>
        <v/>
      </c>
      <c r="Q87" s="23">
        <f>IF(P87="","",IF(U87=N(H87)-1,O87,ROUND(M87*(U87+1)-N87,2)))</f>
        <v/>
      </c>
      <c r="R87" s="25">
        <f>IF(C87="","",IF(O87&lt;=0,"Paid off",IF(OR(M87="",NOT(ISNUMBER(J87))),"Open",IF(W87&gt;0,"Overdue",IF(AND(ISNUMBER(P87),P87-TODAY()&lt;=Settings!$C$6),"Due soon","On track")))))</f>
        <v/>
      </c>
      <c r="S87" s="1">
        <f>IF(C87="","",B87&amp;" "&amp;C87)</f>
        <v/>
      </c>
      <c r="T87">
        <f>IF(OR(M87="",NOT(ISNUMBER(J87))),"",MIN(N(H87),IF(I87="Week",IF((TODAY()-1)&lt;J87,0,INT(((TODAY()-1)-J87)/7)+1),IF(I87="2 weeks",IF((TODAY()-1)&lt;J87,0,INT(((TODAY()-1)-J87)/14)+1),IF(((YEAR((TODAY()-1))-YEAR(J87))*12+MONTH((TODAY()-1))-MONTH(J87))&lt;0,0,IF(EDATE(J87,((YEAR((TODAY()-1))-YEAR(J87))*12+MONTH((TODAY()-1))-MONTH(J87)))&lt;=(TODAY()-1),((YEAR((TODAY()-1))-YEAR(J87))*12+MONTH((TODAY()-1))-MONTH(J87))+1,((YEAR((TODAY()-1))-YEAR(J87))*12+MONTH((TODAY()-1))-MONTH(J87))))))))</f>
        <v/>
      </c>
      <c r="U87">
        <f>IF(OR(M87="",NOT(ISNUMBER(J87))),"",IF(N(M87)&lt;=0,"",MIN(N(H87)-1,INT(ROUND(N87/M87,6)))))</f>
        <v/>
      </c>
      <c r="V87">
        <f>IF(T87="","",IF(T87&gt;=N(H87),L87,M87*T87))</f>
        <v/>
      </c>
      <c r="W87">
        <f>IF(V87="",0,MAX(0,ROUND(V87-N87,2)))</f>
        <v/>
      </c>
      <c r="X87">
        <f>IF(OR(R87="",R87="Paid off",NOT(ISNUMBER(P87))),"",P87*1000+ROW())</f>
        <v/>
      </c>
      <c r="Y87">
        <f>IF(C87="","",IF(AND(COUNTIF(C$6:C87,C87)=1,SUMIFS(Loans!$O$6:$O$305,Loans!$C$6:$C$305,C87,Loans!$O$6:$O$305,"&gt;0")&gt;0),ROW(),""))</f>
        <v/>
      </c>
      <c r="Z87">
        <f>IF(OR(C87="",P87=""),"",IF(D87="I borrowed","From you","To you"))</f>
        <v/>
      </c>
    </row>
    <row r="88">
      <c r="A88" s="1" t="n"/>
      <c r="B88" s="15" t="n">
        <v>83</v>
      </c>
      <c r="C88" s="16" t="n"/>
      <c r="D88" s="17" t="n"/>
      <c r="E88" s="18" t="n"/>
      <c r="F88" s="19" t="n"/>
      <c r="G88" s="20" t="n"/>
      <c r="H88" s="21" t="n"/>
      <c r="I88" s="17" t="n"/>
      <c r="J88" s="18" t="n"/>
      <c r="K88" s="22" t="n"/>
      <c r="L88" s="23">
        <f>IF(C88="","",ROUND(N(F88)*(1+N(G88)/100*IF(N(H88)&gt;0,N(H88)*IF(I88="Week",7/365,IF(I88="2 weeks",14/365,1/12)),IF(ISNUMBER(E88),MAX(0,TODAY()-E88)/365,0))),2))</f>
        <v/>
      </c>
      <c r="M88" s="23">
        <f>IF(OR(C88="",N(H88)&lt;=0),"",ROUND(L88/N(H88),2))</f>
        <v/>
      </c>
      <c r="N88" s="23">
        <f>IF(C88="","",SUMIFS(Payments!$D$6:$D$805,Payments!$G$6:$G$805,B88))</f>
        <v/>
      </c>
      <c r="O88" s="24">
        <f>IF(C88="","",ROUND(L88-N88,2))</f>
        <v/>
      </c>
      <c r="P88" s="11">
        <f>IF(OR(U88="",N(O88)&lt;=0),"",IF(I88="Week",J88+7*U88,IF(I88="2 weeks",J88+14*U88,EDATE(J88,U88))))</f>
        <v/>
      </c>
      <c r="Q88" s="23">
        <f>IF(P88="","",IF(U88=N(H88)-1,O88,ROUND(M88*(U88+1)-N88,2)))</f>
        <v/>
      </c>
      <c r="R88" s="25">
        <f>IF(C88="","",IF(O88&lt;=0,"Paid off",IF(OR(M88="",NOT(ISNUMBER(J88))),"Open",IF(W88&gt;0,"Overdue",IF(AND(ISNUMBER(P88),P88-TODAY()&lt;=Settings!$C$6),"Due soon","On track")))))</f>
        <v/>
      </c>
      <c r="S88" s="1">
        <f>IF(C88="","",B88&amp;" "&amp;C88)</f>
        <v/>
      </c>
      <c r="T88">
        <f>IF(OR(M88="",NOT(ISNUMBER(J88))),"",MIN(N(H88),IF(I88="Week",IF((TODAY()-1)&lt;J88,0,INT(((TODAY()-1)-J88)/7)+1),IF(I88="2 weeks",IF((TODAY()-1)&lt;J88,0,INT(((TODAY()-1)-J88)/14)+1),IF(((YEAR((TODAY()-1))-YEAR(J88))*12+MONTH((TODAY()-1))-MONTH(J88))&lt;0,0,IF(EDATE(J88,((YEAR((TODAY()-1))-YEAR(J88))*12+MONTH((TODAY()-1))-MONTH(J88)))&lt;=(TODAY()-1),((YEAR((TODAY()-1))-YEAR(J88))*12+MONTH((TODAY()-1))-MONTH(J88))+1,((YEAR((TODAY()-1))-YEAR(J88))*12+MONTH((TODAY()-1))-MONTH(J88))))))))</f>
        <v/>
      </c>
      <c r="U88">
        <f>IF(OR(M88="",NOT(ISNUMBER(J88))),"",IF(N(M88)&lt;=0,"",MIN(N(H88)-1,INT(ROUND(N88/M88,6)))))</f>
        <v/>
      </c>
      <c r="V88">
        <f>IF(T88="","",IF(T88&gt;=N(H88),L88,M88*T88))</f>
        <v/>
      </c>
      <c r="W88">
        <f>IF(V88="",0,MAX(0,ROUND(V88-N88,2)))</f>
        <v/>
      </c>
      <c r="X88">
        <f>IF(OR(R88="",R88="Paid off",NOT(ISNUMBER(P88))),"",P88*1000+ROW())</f>
        <v/>
      </c>
      <c r="Y88">
        <f>IF(C88="","",IF(AND(COUNTIF(C$6:C88,C88)=1,SUMIFS(Loans!$O$6:$O$305,Loans!$C$6:$C$305,C88,Loans!$O$6:$O$305,"&gt;0")&gt;0),ROW(),""))</f>
        <v/>
      </c>
      <c r="Z88">
        <f>IF(OR(C88="",P88=""),"",IF(D88="I borrowed","From you","To you"))</f>
        <v/>
      </c>
    </row>
    <row r="89">
      <c r="A89" s="1" t="n"/>
      <c r="B89" s="15" t="n">
        <v>84</v>
      </c>
      <c r="C89" s="16" t="n"/>
      <c r="D89" s="17" t="n"/>
      <c r="E89" s="18" t="n"/>
      <c r="F89" s="19" t="n"/>
      <c r="G89" s="20" t="n"/>
      <c r="H89" s="21" t="n"/>
      <c r="I89" s="17" t="n"/>
      <c r="J89" s="18" t="n"/>
      <c r="K89" s="22" t="n"/>
      <c r="L89" s="23">
        <f>IF(C89="","",ROUND(N(F89)*(1+N(G89)/100*IF(N(H89)&gt;0,N(H89)*IF(I89="Week",7/365,IF(I89="2 weeks",14/365,1/12)),IF(ISNUMBER(E89),MAX(0,TODAY()-E89)/365,0))),2))</f>
        <v/>
      </c>
      <c r="M89" s="23">
        <f>IF(OR(C89="",N(H89)&lt;=0),"",ROUND(L89/N(H89),2))</f>
        <v/>
      </c>
      <c r="N89" s="23">
        <f>IF(C89="","",SUMIFS(Payments!$D$6:$D$805,Payments!$G$6:$G$805,B89))</f>
        <v/>
      </c>
      <c r="O89" s="24">
        <f>IF(C89="","",ROUND(L89-N89,2))</f>
        <v/>
      </c>
      <c r="P89" s="11">
        <f>IF(OR(U89="",N(O89)&lt;=0),"",IF(I89="Week",J89+7*U89,IF(I89="2 weeks",J89+14*U89,EDATE(J89,U89))))</f>
        <v/>
      </c>
      <c r="Q89" s="23">
        <f>IF(P89="","",IF(U89=N(H89)-1,O89,ROUND(M89*(U89+1)-N89,2)))</f>
        <v/>
      </c>
      <c r="R89" s="25">
        <f>IF(C89="","",IF(O89&lt;=0,"Paid off",IF(OR(M89="",NOT(ISNUMBER(J89))),"Open",IF(W89&gt;0,"Overdue",IF(AND(ISNUMBER(P89),P89-TODAY()&lt;=Settings!$C$6),"Due soon","On track")))))</f>
        <v/>
      </c>
      <c r="S89" s="1">
        <f>IF(C89="","",B89&amp;" "&amp;C89)</f>
        <v/>
      </c>
      <c r="T89">
        <f>IF(OR(M89="",NOT(ISNUMBER(J89))),"",MIN(N(H89),IF(I89="Week",IF((TODAY()-1)&lt;J89,0,INT(((TODAY()-1)-J89)/7)+1),IF(I89="2 weeks",IF((TODAY()-1)&lt;J89,0,INT(((TODAY()-1)-J89)/14)+1),IF(((YEAR((TODAY()-1))-YEAR(J89))*12+MONTH((TODAY()-1))-MONTH(J89))&lt;0,0,IF(EDATE(J89,((YEAR((TODAY()-1))-YEAR(J89))*12+MONTH((TODAY()-1))-MONTH(J89)))&lt;=(TODAY()-1),((YEAR((TODAY()-1))-YEAR(J89))*12+MONTH((TODAY()-1))-MONTH(J89))+1,((YEAR((TODAY()-1))-YEAR(J89))*12+MONTH((TODAY()-1))-MONTH(J89))))))))</f>
        <v/>
      </c>
      <c r="U89">
        <f>IF(OR(M89="",NOT(ISNUMBER(J89))),"",IF(N(M89)&lt;=0,"",MIN(N(H89)-1,INT(ROUND(N89/M89,6)))))</f>
        <v/>
      </c>
      <c r="V89">
        <f>IF(T89="","",IF(T89&gt;=N(H89),L89,M89*T89))</f>
        <v/>
      </c>
      <c r="W89">
        <f>IF(V89="",0,MAX(0,ROUND(V89-N89,2)))</f>
        <v/>
      </c>
      <c r="X89">
        <f>IF(OR(R89="",R89="Paid off",NOT(ISNUMBER(P89))),"",P89*1000+ROW())</f>
        <v/>
      </c>
      <c r="Y89">
        <f>IF(C89="","",IF(AND(COUNTIF(C$6:C89,C89)=1,SUMIFS(Loans!$O$6:$O$305,Loans!$C$6:$C$305,C89,Loans!$O$6:$O$305,"&gt;0")&gt;0),ROW(),""))</f>
        <v/>
      </c>
      <c r="Z89">
        <f>IF(OR(C89="",P89=""),"",IF(D89="I borrowed","From you","To you"))</f>
        <v/>
      </c>
    </row>
    <row r="90">
      <c r="A90" s="1" t="n"/>
      <c r="B90" s="15" t="n">
        <v>85</v>
      </c>
      <c r="C90" s="16" t="n"/>
      <c r="D90" s="17" t="n"/>
      <c r="E90" s="18" t="n"/>
      <c r="F90" s="19" t="n"/>
      <c r="G90" s="20" t="n"/>
      <c r="H90" s="21" t="n"/>
      <c r="I90" s="17" t="n"/>
      <c r="J90" s="18" t="n"/>
      <c r="K90" s="22" t="n"/>
      <c r="L90" s="23">
        <f>IF(C90="","",ROUND(N(F90)*(1+N(G90)/100*IF(N(H90)&gt;0,N(H90)*IF(I90="Week",7/365,IF(I90="2 weeks",14/365,1/12)),IF(ISNUMBER(E90),MAX(0,TODAY()-E90)/365,0))),2))</f>
        <v/>
      </c>
      <c r="M90" s="23">
        <f>IF(OR(C90="",N(H90)&lt;=0),"",ROUND(L90/N(H90),2))</f>
        <v/>
      </c>
      <c r="N90" s="23">
        <f>IF(C90="","",SUMIFS(Payments!$D$6:$D$805,Payments!$G$6:$G$805,B90))</f>
        <v/>
      </c>
      <c r="O90" s="24">
        <f>IF(C90="","",ROUND(L90-N90,2))</f>
        <v/>
      </c>
      <c r="P90" s="11">
        <f>IF(OR(U90="",N(O90)&lt;=0),"",IF(I90="Week",J90+7*U90,IF(I90="2 weeks",J90+14*U90,EDATE(J90,U90))))</f>
        <v/>
      </c>
      <c r="Q90" s="23">
        <f>IF(P90="","",IF(U90=N(H90)-1,O90,ROUND(M90*(U90+1)-N90,2)))</f>
        <v/>
      </c>
      <c r="R90" s="25">
        <f>IF(C90="","",IF(O90&lt;=0,"Paid off",IF(OR(M90="",NOT(ISNUMBER(J90))),"Open",IF(W90&gt;0,"Overdue",IF(AND(ISNUMBER(P90),P90-TODAY()&lt;=Settings!$C$6),"Due soon","On track")))))</f>
        <v/>
      </c>
      <c r="S90" s="1">
        <f>IF(C90="","",B90&amp;" "&amp;C90)</f>
        <v/>
      </c>
      <c r="T90">
        <f>IF(OR(M90="",NOT(ISNUMBER(J90))),"",MIN(N(H90),IF(I90="Week",IF((TODAY()-1)&lt;J90,0,INT(((TODAY()-1)-J90)/7)+1),IF(I90="2 weeks",IF((TODAY()-1)&lt;J90,0,INT(((TODAY()-1)-J90)/14)+1),IF(((YEAR((TODAY()-1))-YEAR(J90))*12+MONTH((TODAY()-1))-MONTH(J90))&lt;0,0,IF(EDATE(J90,((YEAR((TODAY()-1))-YEAR(J90))*12+MONTH((TODAY()-1))-MONTH(J90)))&lt;=(TODAY()-1),((YEAR((TODAY()-1))-YEAR(J90))*12+MONTH((TODAY()-1))-MONTH(J90))+1,((YEAR((TODAY()-1))-YEAR(J90))*12+MONTH((TODAY()-1))-MONTH(J90))))))))</f>
        <v/>
      </c>
      <c r="U90">
        <f>IF(OR(M90="",NOT(ISNUMBER(J90))),"",IF(N(M90)&lt;=0,"",MIN(N(H90)-1,INT(ROUND(N90/M90,6)))))</f>
        <v/>
      </c>
      <c r="V90">
        <f>IF(T90="","",IF(T90&gt;=N(H90),L90,M90*T90))</f>
        <v/>
      </c>
      <c r="W90">
        <f>IF(V90="",0,MAX(0,ROUND(V90-N90,2)))</f>
        <v/>
      </c>
      <c r="X90">
        <f>IF(OR(R90="",R90="Paid off",NOT(ISNUMBER(P90))),"",P90*1000+ROW())</f>
        <v/>
      </c>
      <c r="Y90">
        <f>IF(C90="","",IF(AND(COUNTIF(C$6:C90,C90)=1,SUMIFS(Loans!$O$6:$O$305,Loans!$C$6:$C$305,C90,Loans!$O$6:$O$305,"&gt;0")&gt;0),ROW(),""))</f>
        <v/>
      </c>
      <c r="Z90">
        <f>IF(OR(C90="",P90=""),"",IF(D90="I borrowed","From you","To you"))</f>
        <v/>
      </c>
    </row>
    <row r="91">
      <c r="A91" s="1" t="n"/>
      <c r="B91" s="15" t="n">
        <v>86</v>
      </c>
      <c r="C91" s="16" t="n"/>
      <c r="D91" s="17" t="n"/>
      <c r="E91" s="18" t="n"/>
      <c r="F91" s="19" t="n"/>
      <c r="G91" s="20" t="n"/>
      <c r="H91" s="21" t="n"/>
      <c r="I91" s="17" t="n"/>
      <c r="J91" s="18" t="n"/>
      <c r="K91" s="22" t="n"/>
      <c r="L91" s="23">
        <f>IF(C91="","",ROUND(N(F91)*(1+N(G91)/100*IF(N(H91)&gt;0,N(H91)*IF(I91="Week",7/365,IF(I91="2 weeks",14/365,1/12)),IF(ISNUMBER(E91),MAX(0,TODAY()-E91)/365,0))),2))</f>
        <v/>
      </c>
      <c r="M91" s="23">
        <f>IF(OR(C91="",N(H91)&lt;=0),"",ROUND(L91/N(H91),2))</f>
        <v/>
      </c>
      <c r="N91" s="23">
        <f>IF(C91="","",SUMIFS(Payments!$D$6:$D$805,Payments!$G$6:$G$805,B91))</f>
        <v/>
      </c>
      <c r="O91" s="24">
        <f>IF(C91="","",ROUND(L91-N91,2))</f>
        <v/>
      </c>
      <c r="P91" s="11">
        <f>IF(OR(U91="",N(O91)&lt;=0),"",IF(I91="Week",J91+7*U91,IF(I91="2 weeks",J91+14*U91,EDATE(J91,U91))))</f>
        <v/>
      </c>
      <c r="Q91" s="23">
        <f>IF(P91="","",IF(U91=N(H91)-1,O91,ROUND(M91*(U91+1)-N91,2)))</f>
        <v/>
      </c>
      <c r="R91" s="25">
        <f>IF(C91="","",IF(O91&lt;=0,"Paid off",IF(OR(M91="",NOT(ISNUMBER(J91))),"Open",IF(W91&gt;0,"Overdue",IF(AND(ISNUMBER(P91),P91-TODAY()&lt;=Settings!$C$6),"Due soon","On track")))))</f>
        <v/>
      </c>
      <c r="S91" s="1">
        <f>IF(C91="","",B91&amp;" "&amp;C91)</f>
        <v/>
      </c>
      <c r="T91">
        <f>IF(OR(M91="",NOT(ISNUMBER(J91))),"",MIN(N(H91),IF(I91="Week",IF((TODAY()-1)&lt;J91,0,INT(((TODAY()-1)-J91)/7)+1),IF(I91="2 weeks",IF((TODAY()-1)&lt;J91,0,INT(((TODAY()-1)-J91)/14)+1),IF(((YEAR((TODAY()-1))-YEAR(J91))*12+MONTH((TODAY()-1))-MONTH(J91))&lt;0,0,IF(EDATE(J91,((YEAR((TODAY()-1))-YEAR(J91))*12+MONTH((TODAY()-1))-MONTH(J91)))&lt;=(TODAY()-1),((YEAR((TODAY()-1))-YEAR(J91))*12+MONTH((TODAY()-1))-MONTH(J91))+1,((YEAR((TODAY()-1))-YEAR(J91))*12+MONTH((TODAY()-1))-MONTH(J91))))))))</f>
        <v/>
      </c>
      <c r="U91">
        <f>IF(OR(M91="",NOT(ISNUMBER(J91))),"",IF(N(M91)&lt;=0,"",MIN(N(H91)-1,INT(ROUND(N91/M91,6)))))</f>
        <v/>
      </c>
      <c r="V91">
        <f>IF(T91="","",IF(T91&gt;=N(H91),L91,M91*T91))</f>
        <v/>
      </c>
      <c r="W91">
        <f>IF(V91="",0,MAX(0,ROUND(V91-N91,2)))</f>
        <v/>
      </c>
      <c r="X91">
        <f>IF(OR(R91="",R91="Paid off",NOT(ISNUMBER(P91))),"",P91*1000+ROW())</f>
        <v/>
      </c>
      <c r="Y91">
        <f>IF(C91="","",IF(AND(COUNTIF(C$6:C91,C91)=1,SUMIFS(Loans!$O$6:$O$305,Loans!$C$6:$C$305,C91,Loans!$O$6:$O$305,"&gt;0")&gt;0),ROW(),""))</f>
        <v/>
      </c>
      <c r="Z91">
        <f>IF(OR(C91="",P91=""),"",IF(D91="I borrowed","From you","To you"))</f>
        <v/>
      </c>
    </row>
    <row r="92">
      <c r="A92" s="1" t="n"/>
      <c r="B92" s="15" t="n">
        <v>87</v>
      </c>
      <c r="C92" s="16" t="n"/>
      <c r="D92" s="17" t="n"/>
      <c r="E92" s="18" t="n"/>
      <c r="F92" s="19" t="n"/>
      <c r="G92" s="20" t="n"/>
      <c r="H92" s="21" t="n"/>
      <c r="I92" s="17" t="n"/>
      <c r="J92" s="18" t="n"/>
      <c r="K92" s="22" t="n"/>
      <c r="L92" s="23">
        <f>IF(C92="","",ROUND(N(F92)*(1+N(G92)/100*IF(N(H92)&gt;0,N(H92)*IF(I92="Week",7/365,IF(I92="2 weeks",14/365,1/12)),IF(ISNUMBER(E92),MAX(0,TODAY()-E92)/365,0))),2))</f>
        <v/>
      </c>
      <c r="M92" s="23">
        <f>IF(OR(C92="",N(H92)&lt;=0),"",ROUND(L92/N(H92),2))</f>
        <v/>
      </c>
      <c r="N92" s="23">
        <f>IF(C92="","",SUMIFS(Payments!$D$6:$D$805,Payments!$G$6:$G$805,B92))</f>
        <v/>
      </c>
      <c r="O92" s="24">
        <f>IF(C92="","",ROUND(L92-N92,2))</f>
        <v/>
      </c>
      <c r="P92" s="11">
        <f>IF(OR(U92="",N(O92)&lt;=0),"",IF(I92="Week",J92+7*U92,IF(I92="2 weeks",J92+14*U92,EDATE(J92,U92))))</f>
        <v/>
      </c>
      <c r="Q92" s="23">
        <f>IF(P92="","",IF(U92=N(H92)-1,O92,ROUND(M92*(U92+1)-N92,2)))</f>
        <v/>
      </c>
      <c r="R92" s="25">
        <f>IF(C92="","",IF(O92&lt;=0,"Paid off",IF(OR(M92="",NOT(ISNUMBER(J92))),"Open",IF(W92&gt;0,"Overdue",IF(AND(ISNUMBER(P92),P92-TODAY()&lt;=Settings!$C$6),"Due soon","On track")))))</f>
        <v/>
      </c>
      <c r="S92" s="1">
        <f>IF(C92="","",B92&amp;" "&amp;C92)</f>
        <v/>
      </c>
      <c r="T92">
        <f>IF(OR(M92="",NOT(ISNUMBER(J92))),"",MIN(N(H92),IF(I92="Week",IF((TODAY()-1)&lt;J92,0,INT(((TODAY()-1)-J92)/7)+1),IF(I92="2 weeks",IF((TODAY()-1)&lt;J92,0,INT(((TODAY()-1)-J92)/14)+1),IF(((YEAR((TODAY()-1))-YEAR(J92))*12+MONTH((TODAY()-1))-MONTH(J92))&lt;0,0,IF(EDATE(J92,((YEAR((TODAY()-1))-YEAR(J92))*12+MONTH((TODAY()-1))-MONTH(J92)))&lt;=(TODAY()-1),((YEAR((TODAY()-1))-YEAR(J92))*12+MONTH((TODAY()-1))-MONTH(J92))+1,((YEAR((TODAY()-1))-YEAR(J92))*12+MONTH((TODAY()-1))-MONTH(J92))))))))</f>
        <v/>
      </c>
      <c r="U92">
        <f>IF(OR(M92="",NOT(ISNUMBER(J92))),"",IF(N(M92)&lt;=0,"",MIN(N(H92)-1,INT(ROUND(N92/M92,6)))))</f>
        <v/>
      </c>
      <c r="V92">
        <f>IF(T92="","",IF(T92&gt;=N(H92),L92,M92*T92))</f>
        <v/>
      </c>
      <c r="W92">
        <f>IF(V92="",0,MAX(0,ROUND(V92-N92,2)))</f>
        <v/>
      </c>
      <c r="X92">
        <f>IF(OR(R92="",R92="Paid off",NOT(ISNUMBER(P92))),"",P92*1000+ROW())</f>
        <v/>
      </c>
      <c r="Y92">
        <f>IF(C92="","",IF(AND(COUNTIF(C$6:C92,C92)=1,SUMIFS(Loans!$O$6:$O$305,Loans!$C$6:$C$305,C92,Loans!$O$6:$O$305,"&gt;0")&gt;0),ROW(),""))</f>
        <v/>
      </c>
      <c r="Z92">
        <f>IF(OR(C92="",P92=""),"",IF(D92="I borrowed","From you","To you"))</f>
        <v/>
      </c>
    </row>
    <row r="93">
      <c r="A93" s="1" t="n"/>
      <c r="B93" s="15" t="n">
        <v>88</v>
      </c>
      <c r="C93" s="16" t="n"/>
      <c r="D93" s="17" t="n"/>
      <c r="E93" s="18" t="n"/>
      <c r="F93" s="19" t="n"/>
      <c r="G93" s="20" t="n"/>
      <c r="H93" s="21" t="n"/>
      <c r="I93" s="17" t="n"/>
      <c r="J93" s="18" t="n"/>
      <c r="K93" s="22" t="n"/>
      <c r="L93" s="23">
        <f>IF(C93="","",ROUND(N(F93)*(1+N(G93)/100*IF(N(H93)&gt;0,N(H93)*IF(I93="Week",7/365,IF(I93="2 weeks",14/365,1/12)),IF(ISNUMBER(E93),MAX(0,TODAY()-E93)/365,0))),2))</f>
        <v/>
      </c>
      <c r="M93" s="23">
        <f>IF(OR(C93="",N(H93)&lt;=0),"",ROUND(L93/N(H93),2))</f>
        <v/>
      </c>
      <c r="N93" s="23">
        <f>IF(C93="","",SUMIFS(Payments!$D$6:$D$805,Payments!$G$6:$G$805,B93))</f>
        <v/>
      </c>
      <c r="O93" s="24">
        <f>IF(C93="","",ROUND(L93-N93,2))</f>
        <v/>
      </c>
      <c r="P93" s="11">
        <f>IF(OR(U93="",N(O93)&lt;=0),"",IF(I93="Week",J93+7*U93,IF(I93="2 weeks",J93+14*U93,EDATE(J93,U93))))</f>
        <v/>
      </c>
      <c r="Q93" s="23">
        <f>IF(P93="","",IF(U93=N(H93)-1,O93,ROUND(M93*(U93+1)-N93,2)))</f>
        <v/>
      </c>
      <c r="R93" s="25">
        <f>IF(C93="","",IF(O93&lt;=0,"Paid off",IF(OR(M93="",NOT(ISNUMBER(J93))),"Open",IF(W93&gt;0,"Overdue",IF(AND(ISNUMBER(P93),P93-TODAY()&lt;=Settings!$C$6),"Due soon","On track")))))</f>
        <v/>
      </c>
      <c r="S93" s="1">
        <f>IF(C93="","",B93&amp;" "&amp;C93)</f>
        <v/>
      </c>
      <c r="T93">
        <f>IF(OR(M93="",NOT(ISNUMBER(J93))),"",MIN(N(H93),IF(I93="Week",IF((TODAY()-1)&lt;J93,0,INT(((TODAY()-1)-J93)/7)+1),IF(I93="2 weeks",IF((TODAY()-1)&lt;J93,0,INT(((TODAY()-1)-J93)/14)+1),IF(((YEAR((TODAY()-1))-YEAR(J93))*12+MONTH((TODAY()-1))-MONTH(J93))&lt;0,0,IF(EDATE(J93,((YEAR((TODAY()-1))-YEAR(J93))*12+MONTH((TODAY()-1))-MONTH(J93)))&lt;=(TODAY()-1),((YEAR((TODAY()-1))-YEAR(J93))*12+MONTH((TODAY()-1))-MONTH(J93))+1,((YEAR((TODAY()-1))-YEAR(J93))*12+MONTH((TODAY()-1))-MONTH(J93))))))))</f>
        <v/>
      </c>
      <c r="U93">
        <f>IF(OR(M93="",NOT(ISNUMBER(J93))),"",IF(N(M93)&lt;=0,"",MIN(N(H93)-1,INT(ROUND(N93/M93,6)))))</f>
        <v/>
      </c>
      <c r="V93">
        <f>IF(T93="","",IF(T93&gt;=N(H93),L93,M93*T93))</f>
        <v/>
      </c>
      <c r="W93">
        <f>IF(V93="",0,MAX(0,ROUND(V93-N93,2)))</f>
        <v/>
      </c>
      <c r="X93">
        <f>IF(OR(R93="",R93="Paid off",NOT(ISNUMBER(P93))),"",P93*1000+ROW())</f>
        <v/>
      </c>
      <c r="Y93">
        <f>IF(C93="","",IF(AND(COUNTIF(C$6:C93,C93)=1,SUMIFS(Loans!$O$6:$O$305,Loans!$C$6:$C$305,C93,Loans!$O$6:$O$305,"&gt;0")&gt;0),ROW(),""))</f>
        <v/>
      </c>
      <c r="Z93">
        <f>IF(OR(C93="",P93=""),"",IF(D93="I borrowed","From you","To you"))</f>
        <v/>
      </c>
    </row>
    <row r="94">
      <c r="A94" s="1" t="n"/>
      <c r="B94" s="15" t="n">
        <v>89</v>
      </c>
      <c r="C94" s="16" t="n"/>
      <c r="D94" s="17" t="n"/>
      <c r="E94" s="18" t="n"/>
      <c r="F94" s="19" t="n"/>
      <c r="G94" s="20" t="n"/>
      <c r="H94" s="21" t="n"/>
      <c r="I94" s="17" t="n"/>
      <c r="J94" s="18" t="n"/>
      <c r="K94" s="22" t="n"/>
      <c r="L94" s="23">
        <f>IF(C94="","",ROUND(N(F94)*(1+N(G94)/100*IF(N(H94)&gt;0,N(H94)*IF(I94="Week",7/365,IF(I94="2 weeks",14/365,1/12)),IF(ISNUMBER(E94),MAX(0,TODAY()-E94)/365,0))),2))</f>
        <v/>
      </c>
      <c r="M94" s="23">
        <f>IF(OR(C94="",N(H94)&lt;=0),"",ROUND(L94/N(H94),2))</f>
        <v/>
      </c>
      <c r="N94" s="23">
        <f>IF(C94="","",SUMIFS(Payments!$D$6:$D$805,Payments!$G$6:$G$805,B94))</f>
        <v/>
      </c>
      <c r="O94" s="24">
        <f>IF(C94="","",ROUND(L94-N94,2))</f>
        <v/>
      </c>
      <c r="P94" s="11">
        <f>IF(OR(U94="",N(O94)&lt;=0),"",IF(I94="Week",J94+7*U94,IF(I94="2 weeks",J94+14*U94,EDATE(J94,U94))))</f>
        <v/>
      </c>
      <c r="Q94" s="23">
        <f>IF(P94="","",IF(U94=N(H94)-1,O94,ROUND(M94*(U94+1)-N94,2)))</f>
        <v/>
      </c>
      <c r="R94" s="25">
        <f>IF(C94="","",IF(O94&lt;=0,"Paid off",IF(OR(M94="",NOT(ISNUMBER(J94))),"Open",IF(W94&gt;0,"Overdue",IF(AND(ISNUMBER(P94),P94-TODAY()&lt;=Settings!$C$6),"Due soon","On track")))))</f>
        <v/>
      </c>
      <c r="S94" s="1">
        <f>IF(C94="","",B94&amp;" "&amp;C94)</f>
        <v/>
      </c>
      <c r="T94">
        <f>IF(OR(M94="",NOT(ISNUMBER(J94))),"",MIN(N(H94),IF(I94="Week",IF((TODAY()-1)&lt;J94,0,INT(((TODAY()-1)-J94)/7)+1),IF(I94="2 weeks",IF((TODAY()-1)&lt;J94,0,INT(((TODAY()-1)-J94)/14)+1),IF(((YEAR((TODAY()-1))-YEAR(J94))*12+MONTH((TODAY()-1))-MONTH(J94))&lt;0,0,IF(EDATE(J94,((YEAR((TODAY()-1))-YEAR(J94))*12+MONTH((TODAY()-1))-MONTH(J94)))&lt;=(TODAY()-1),((YEAR((TODAY()-1))-YEAR(J94))*12+MONTH((TODAY()-1))-MONTH(J94))+1,((YEAR((TODAY()-1))-YEAR(J94))*12+MONTH((TODAY()-1))-MONTH(J94))))))))</f>
        <v/>
      </c>
      <c r="U94">
        <f>IF(OR(M94="",NOT(ISNUMBER(J94))),"",IF(N(M94)&lt;=0,"",MIN(N(H94)-1,INT(ROUND(N94/M94,6)))))</f>
        <v/>
      </c>
      <c r="V94">
        <f>IF(T94="","",IF(T94&gt;=N(H94),L94,M94*T94))</f>
        <v/>
      </c>
      <c r="W94">
        <f>IF(V94="",0,MAX(0,ROUND(V94-N94,2)))</f>
        <v/>
      </c>
      <c r="X94">
        <f>IF(OR(R94="",R94="Paid off",NOT(ISNUMBER(P94))),"",P94*1000+ROW())</f>
        <v/>
      </c>
      <c r="Y94">
        <f>IF(C94="","",IF(AND(COUNTIF(C$6:C94,C94)=1,SUMIFS(Loans!$O$6:$O$305,Loans!$C$6:$C$305,C94,Loans!$O$6:$O$305,"&gt;0")&gt;0),ROW(),""))</f>
        <v/>
      </c>
      <c r="Z94">
        <f>IF(OR(C94="",P94=""),"",IF(D94="I borrowed","From you","To you"))</f>
        <v/>
      </c>
    </row>
    <row r="95">
      <c r="A95" s="1" t="n"/>
      <c r="B95" s="15" t="n">
        <v>90</v>
      </c>
      <c r="C95" s="16" t="n"/>
      <c r="D95" s="17" t="n"/>
      <c r="E95" s="18" t="n"/>
      <c r="F95" s="19" t="n"/>
      <c r="G95" s="20" t="n"/>
      <c r="H95" s="21" t="n"/>
      <c r="I95" s="17" t="n"/>
      <c r="J95" s="18" t="n"/>
      <c r="K95" s="22" t="n"/>
      <c r="L95" s="23">
        <f>IF(C95="","",ROUND(N(F95)*(1+N(G95)/100*IF(N(H95)&gt;0,N(H95)*IF(I95="Week",7/365,IF(I95="2 weeks",14/365,1/12)),IF(ISNUMBER(E95),MAX(0,TODAY()-E95)/365,0))),2))</f>
        <v/>
      </c>
      <c r="M95" s="23">
        <f>IF(OR(C95="",N(H95)&lt;=0),"",ROUND(L95/N(H95),2))</f>
        <v/>
      </c>
      <c r="N95" s="23">
        <f>IF(C95="","",SUMIFS(Payments!$D$6:$D$805,Payments!$G$6:$G$805,B95))</f>
        <v/>
      </c>
      <c r="O95" s="24">
        <f>IF(C95="","",ROUND(L95-N95,2))</f>
        <v/>
      </c>
      <c r="P95" s="11">
        <f>IF(OR(U95="",N(O95)&lt;=0),"",IF(I95="Week",J95+7*U95,IF(I95="2 weeks",J95+14*U95,EDATE(J95,U95))))</f>
        <v/>
      </c>
      <c r="Q95" s="23">
        <f>IF(P95="","",IF(U95=N(H95)-1,O95,ROUND(M95*(U95+1)-N95,2)))</f>
        <v/>
      </c>
      <c r="R95" s="25">
        <f>IF(C95="","",IF(O95&lt;=0,"Paid off",IF(OR(M95="",NOT(ISNUMBER(J95))),"Open",IF(W95&gt;0,"Overdue",IF(AND(ISNUMBER(P95),P95-TODAY()&lt;=Settings!$C$6),"Due soon","On track")))))</f>
        <v/>
      </c>
      <c r="S95" s="1">
        <f>IF(C95="","",B95&amp;" "&amp;C95)</f>
        <v/>
      </c>
      <c r="T95">
        <f>IF(OR(M95="",NOT(ISNUMBER(J95))),"",MIN(N(H95),IF(I95="Week",IF((TODAY()-1)&lt;J95,0,INT(((TODAY()-1)-J95)/7)+1),IF(I95="2 weeks",IF((TODAY()-1)&lt;J95,0,INT(((TODAY()-1)-J95)/14)+1),IF(((YEAR((TODAY()-1))-YEAR(J95))*12+MONTH((TODAY()-1))-MONTH(J95))&lt;0,0,IF(EDATE(J95,((YEAR((TODAY()-1))-YEAR(J95))*12+MONTH((TODAY()-1))-MONTH(J95)))&lt;=(TODAY()-1),((YEAR((TODAY()-1))-YEAR(J95))*12+MONTH((TODAY()-1))-MONTH(J95))+1,((YEAR((TODAY()-1))-YEAR(J95))*12+MONTH((TODAY()-1))-MONTH(J95))))))))</f>
        <v/>
      </c>
      <c r="U95">
        <f>IF(OR(M95="",NOT(ISNUMBER(J95))),"",IF(N(M95)&lt;=0,"",MIN(N(H95)-1,INT(ROUND(N95/M95,6)))))</f>
        <v/>
      </c>
      <c r="V95">
        <f>IF(T95="","",IF(T95&gt;=N(H95),L95,M95*T95))</f>
        <v/>
      </c>
      <c r="W95">
        <f>IF(V95="",0,MAX(0,ROUND(V95-N95,2)))</f>
        <v/>
      </c>
      <c r="X95">
        <f>IF(OR(R95="",R95="Paid off",NOT(ISNUMBER(P95))),"",P95*1000+ROW())</f>
        <v/>
      </c>
      <c r="Y95">
        <f>IF(C95="","",IF(AND(COUNTIF(C$6:C95,C95)=1,SUMIFS(Loans!$O$6:$O$305,Loans!$C$6:$C$305,C95,Loans!$O$6:$O$305,"&gt;0")&gt;0),ROW(),""))</f>
        <v/>
      </c>
      <c r="Z95">
        <f>IF(OR(C95="",P95=""),"",IF(D95="I borrowed","From you","To you"))</f>
        <v/>
      </c>
    </row>
    <row r="96">
      <c r="A96" s="1" t="n"/>
      <c r="B96" s="15" t="n">
        <v>91</v>
      </c>
      <c r="C96" s="16" t="n"/>
      <c r="D96" s="17" t="n"/>
      <c r="E96" s="18" t="n"/>
      <c r="F96" s="19" t="n"/>
      <c r="G96" s="20" t="n"/>
      <c r="H96" s="21" t="n"/>
      <c r="I96" s="17" t="n"/>
      <c r="J96" s="18" t="n"/>
      <c r="K96" s="22" t="n"/>
      <c r="L96" s="23">
        <f>IF(C96="","",ROUND(N(F96)*(1+N(G96)/100*IF(N(H96)&gt;0,N(H96)*IF(I96="Week",7/365,IF(I96="2 weeks",14/365,1/12)),IF(ISNUMBER(E96),MAX(0,TODAY()-E96)/365,0))),2))</f>
        <v/>
      </c>
      <c r="M96" s="23">
        <f>IF(OR(C96="",N(H96)&lt;=0),"",ROUND(L96/N(H96),2))</f>
        <v/>
      </c>
      <c r="N96" s="23">
        <f>IF(C96="","",SUMIFS(Payments!$D$6:$D$805,Payments!$G$6:$G$805,B96))</f>
        <v/>
      </c>
      <c r="O96" s="24">
        <f>IF(C96="","",ROUND(L96-N96,2))</f>
        <v/>
      </c>
      <c r="P96" s="11">
        <f>IF(OR(U96="",N(O96)&lt;=0),"",IF(I96="Week",J96+7*U96,IF(I96="2 weeks",J96+14*U96,EDATE(J96,U96))))</f>
        <v/>
      </c>
      <c r="Q96" s="23">
        <f>IF(P96="","",IF(U96=N(H96)-1,O96,ROUND(M96*(U96+1)-N96,2)))</f>
        <v/>
      </c>
      <c r="R96" s="25">
        <f>IF(C96="","",IF(O96&lt;=0,"Paid off",IF(OR(M96="",NOT(ISNUMBER(J96))),"Open",IF(W96&gt;0,"Overdue",IF(AND(ISNUMBER(P96),P96-TODAY()&lt;=Settings!$C$6),"Due soon","On track")))))</f>
        <v/>
      </c>
      <c r="S96" s="1">
        <f>IF(C96="","",B96&amp;" "&amp;C96)</f>
        <v/>
      </c>
      <c r="T96">
        <f>IF(OR(M96="",NOT(ISNUMBER(J96))),"",MIN(N(H96),IF(I96="Week",IF((TODAY()-1)&lt;J96,0,INT(((TODAY()-1)-J96)/7)+1),IF(I96="2 weeks",IF((TODAY()-1)&lt;J96,0,INT(((TODAY()-1)-J96)/14)+1),IF(((YEAR((TODAY()-1))-YEAR(J96))*12+MONTH((TODAY()-1))-MONTH(J96))&lt;0,0,IF(EDATE(J96,((YEAR((TODAY()-1))-YEAR(J96))*12+MONTH((TODAY()-1))-MONTH(J96)))&lt;=(TODAY()-1),((YEAR((TODAY()-1))-YEAR(J96))*12+MONTH((TODAY()-1))-MONTH(J96))+1,((YEAR((TODAY()-1))-YEAR(J96))*12+MONTH((TODAY()-1))-MONTH(J96))))))))</f>
        <v/>
      </c>
      <c r="U96">
        <f>IF(OR(M96="",NOT(ISNUMBER(J96))),"",IF(N(M96)&lt;=0,"",MIN(N(H96)-1,INT(ROUND(N96/M96,6)))))</f>
        <v/>
      </c>
      <c r="V96">
        <f>IF(T96="","",IF(T96&gt;=N(H96),L96,M96*T96))</f>
        <v/>
      </c>
      <c r="W96">
        <f>IF(V96="",0,MAX(0,ROUND(V96-N96,2)))</f>
        <v/>
      </c>
      <c r="X96">
        <f>IF(OR(R96="",R96="Paid off",NOT(ISNUMBER(P96))),"",P96*1000+ROW())</f>
        <v/>
      </c>
      <c r="Y96">
        <f>IF(C96="","",IF(AND(COUNTIF(C$6:C96,C96)=1,SUMIFS(Loans!$O$6:$O$305,Loans!$C$6:$C$305,C96,Loans!$O$6:$O$305,"&gt;0")&gt;0),ROW(),""))</f>
        <v/>
      </c>
      <c r="Z96">
        <f>IF(OR(C96="",P96=""),"",IF(D96="I borrowed","From you","To you"))</f>
        <v/>
      </c>
    </row>
    <row r="97">
      <c r="A97" s="1" t="n"/>
      <c r="B97" s="15" t="n">
        <v>92</v>
      </c>
      <c r="C97" s="16" t="n"/>
      <c r="D97" s="17" t="n"/>
      <c r="E97" s="18" t="n"/>
      <c r="F97" s="19" t="n"/>
      <c r="G97" s="20" t="n"/>
      <c r="H97" s="21" t="n"/>
      <c r="I97" s="17" t="n"/>
      <c r="J97" s="18" t="n"/>
      <c r="K97" s="22" t="n"/>
      <c r="L97" s="23">
        <f>IF(C97="","",ROUND(N(F97)*(1+N(G97)/100*IF(N(H97)&gt;0,N(H97)*IF(I97="Week",7/365,IF(I97="2 weeks",14/365,1/12)),IF(ISNUMBER(E97),MAX(0,TODAY()-E97)/365,0))),2))</f>
        <v/>
      </c>
      <c r="M97" s="23">
        <f>IF(OR(C97="",N(H97)&lt;=0),"",ROUND(L97/N(H97),2))</f>
        <v/>
      </c>
      <c r="N97" s="23">
        <f>IF(C97="","",SUMIFS(Payments!$D$6:$D$805,Payments!$G$6:$G$805,B97))</f>
        <v/>
      </c>
      <c r="O97" s="24">
        <f>IF(C97="","",ROUND(L97-N97,2))</f>
        <v/>
      </c>
      <c r="P97" s="11">
        <f>IF(OR(U97="",N(O97)&lt;=0),"",IF(I97="Week",J97+7*U97,IF(I97="2 weeks",J97+14*U97,EDATE(J97,U97))))</f>
        <v/>
      </c>
      <c r="Q97" s="23">
        <f>IF(P97="","",IF(U97=N(H97)-1,O97,ROUND(M97*(U97+1)-N97,2)))</f>
        <v/>
      </c>
      <c r="R97" s="25">
        <f>IF(C97="","",IF(O97&lt;=0,"Paid off",IF(OR(M97="",NOT(ISNUMBER(J97))),"Open",IF(W97&gt;0,"Overdue",IF(AND(ISNUMBER(P97),P97-TODAY()&lt;=Settings!$C$6),"Due soon","On track")))))</f>
        <v/>
      </c>
      <c r="S97" s="1">
        <f>IF(C97="","",B97&amp;" "&amp;C97)</f>
        <v/>
      </c>
      <c r="T97">
        <f>IF(OR(M97="",NOT(ISNUMBER(J97))),"",MIN(N(H97),IF(I97="Week",IF((TODAY()-1)&lt;J97,0,INT(((TODAY()-1)-J97)/7)+1),IF(I97="2 weeks",IF((TODAY()-1)&lt;J97,0,INT(((TODAY()-1)-J97)/14)+1),IF(((YEAR((TODAY()-1))-YEAR(J97))*12+MONTH((TODAY()-1))-MONTH(J97))&lt;0,0,IF(EDATE(J97,((YEAR((TODAY()-1))-YEAR(J97))*12+MONTH((TODAY()-1))-MONTH(J97)))&lt;=(TODAY()-1),((YEAR((TODAY()-1))-YEAR(J97))*12+MONTH((TODAY()-1))-MONTH(J97))+1,((YEAR((TODAY()-1))-YEAR(J97))*12+MONTH((TODAY()-1))-MONTH(J97))))))))</f>
        <v/>
      </c>
      <c r="U97">
        <f>IF(OR(M97="",NOT(ISNUMBER(J97))),"",IF(N(M97)&lt;=0,"",MIN(N(H97)-1,INT(ROUND(N97/M97,6)))))</f>
        <v/>
      </c>
      <c r="V97">
        <f>IF(T97="","",IF(T97&gt;=N(H97),L97,M97*T97))</f>
        <v/>
      </c>
      <c r="W97">
        <f>IF(V97="",0,MAX(0,ROUND(V97-N97,2)))</f>
        <v/>
      </c>
      <c r="X97">
        <f>IF(OR(R97="",R97="Paid off",NOT(ISNUMBER(P97))),"",P97*1000+ROW())</f>
        <v/>
      </c>
      <c r="Y97">
        <f>IF(C97="","",IF(AND(COUNTIF(C$6:C97,C97)=1,SUMIFS(Loans!$O$6:$O$305,Loans!$C$6:$C$305,C97,Loans!$O$6:$O$305,"&gt;0")&gt;0),ROW(),""))</f>
        <v/>
      </c>
      <c r="Z97">
        <f>IF(OR(C97="",P97=""),"",IF(D97="I borrowed","From you","To you"))</f>
        <v/>
      </c>
    </row>
    <row r="98">
      <c r="A98" s="1" t="n"/>
      <c r="B98" s="15" t="n">
        <v>93</v>
      </c>
      <c r="C98" s="16" t="n"/>
      <c r="D98" s="17" t="n"/>
      <c r="E98" s="18" t="n"/>
      <c r="F98" s="19" t="n"/>
      <c r="G98" s="20" t="n"/>
      <c r="H98" s="21" t="n"/>
      <c r="I98" s="17" t="n"/>
      <c r="J98" s="18" t="n"/>
      <c r="K98" s="22" t="n"/>
      <c r="L98" s="23">
        <f>IF(C98="","",ROUND(N(F98)*(1+N(G98)/100*IF(N(H98)&gt;0,N(H98)*IF(I98="Week",7/365,IF(I98="2 weeks",14/365,1/12)),IF(ISNUMBER(E98),MAX(0,TODAY()-E98)/365,0))),2))</f>
        <v/>
      </c>
      <c r="M98" s="23">
        <f>IF(OR(C98="",N(H98)&lt;=0),"",ROUND(L98/N(H98),2))</f>
        <v/>
      </c>
      <c r="N98" s="23">
        <f>IF(C98="","",SUMIFS(Payments!$D$6:$D$805,Payments!$G$6:$G$805,B98))</f>
        <v/>
      </c>
      <c r="O98" s="24">
        <f>IF(C98="","",ROUND(L98-N98,2))</f>
        <v/>
      </c>
      <c r="P98" s="11">
        <f>IF(OR(U98="",N(O98)&lt;=0),"",IF(I98="Week",J98+7*U98,IF(I98="2 weeks",J98+14*U98,EDATE(J98,U98))))</f>
        <v/>
      </c>
      <c r="Q98" s="23">
        <f>IF(P98="","",IF(U98=N(H98)-1,O98,ROUND(M98*(U98+1)-N98,2)))</f>
        <v/>
      </c>
      <c r="R98" s="25">
        <f>IF(C98="","",IF(O98&lt;=0,"Paid off",IF(OR(M98="",NOT(ISNUMBER(J98))),"Open",IF(W98&gt;0,"Overdue",IF(AND(ISNUMBER(P98),P98-TODAY()&lt;=Settings!$C$6),"Due soon","On track")))))</f>
        <v/>
      </c>
      <c r="S98" s="1">
        <f>IF(C98="","",B98&amp;" "&amp;C98)</f>
        <v/>
      </c>
      <c r="T98">
        <f>IF(OR(M98="",NOT(ISNUMBER(J98))),"",MIN(N(H98),IF(I98="Week",IF((TODAY()-1)&lt;J98,0,INT(((TODAY()-1)-J98)/7)+1),IF(I98="2 weeks",IF((TODAY()-1)&lt;J98,0,INT(((TODAY()-1)-J98)/14)+1),IF(((YEAR((TODAY()-1))-YEAR(J98))*12+MONTH((TODAY()-1))-MONTH(J98))&lt;0,0,IF(EDATE(J98,((YEAR((TODAY()-1))-YEAR(J98))*12+MONTH((TODAY()-1))-MONTH(J98)))&lt;=(TODAY()-1),((YEAR((TODAY()-1))-YEAR(J98))*12+MONTH((TODAY()-1))-MONTH(J98))+1,((YEAR((TODAY()-1))-YEAR(J98))*12+MONTH((TODAY()-1))-MONTH(J98))))))))</f>
        <v/>
      </c>
      <c r="U98">
        <f>IF(OR(M98="",NOT(ISNUMBER(J98))),"",IF(N(M98)&lt;=0,"",MIN(N(H98)-1,INT(ROUND(N98/M98,6)))))</f>
        <v/>
      </c>
      <c r="V98">
        <f>IF(T98="","",IF(T98&gt;=N(H98),L98,M98*T98))</f>
        <v/>
      </c>
      <c r="W98">
        <f>IF(V98="",0,MAX(0,ROUND(V98-N98,2)))</f>
        <v/>
      </c>
      <c r="X98">
        <f>IF(OR(R98="",R98="Paid off",NOT(ISNUMBER(P98))),"",P98*1000+ROW())</f>
        <v/>
      </c>
      <c r="Y98">
        <f>IF(C98="","",IF(AND(COUNTIF(C$6:C98,C98)=1,SUMIFS(Loans!$O$6:$O$305,Loans!$C$6:$C$305,C98,Loans!$O$6:$O$305,"&gt;0")&gt;0),ROW(),""))</f>
        <v/>
      </c>
      <c r="Z98">
        <f>IF(OR(C98="",P98=""),"",IF(D98="I borrowed","From you","To you"))</f>
        <v/>
      </c>
    </row>
    <row r="99">
      <c r="A99" s="1" t="n"/>
      <c r="B99" s="15" t="n">
        <v>94</v>
      </c>
      <c r="C99" s="16" t="n"/>
      <c r="D99" s="17" t="n"/>
      <c r="E99" s="18" t="n"/>
      <c r="F99" s="19" t="n"/>
      <c r="G99" s="20" t="n"/>
      <c r="H99" s="21" t="n"/>
      <c r="I99" s="17" t="n"/>
      <c r="J99" s="18" t="n"/>
      <c r="K99" s="22" t="n"/>
      <c r="L99" s="23">
        <f>IF(C99="","",ROUND(N(F99)*(1+N(G99)/100*IF(N(H99)&gt;0,N(H99)*IF(I99="Week",7/365,IF(I99="2 weeks",14/365,1/12)),IF(ISNUMBER(E99),MAX(0,TODAY()-E99)/365,0))),2))</f>
        <v/>
      </c>
      <c r="M99" s="23">
        <f>IF(OR(C99="",N(H99)&lt;=0),"",ROUND(L99/N(H99),2))</f>
        <v/>
      </c>
      <c r="N99" s="23">
        <f>IF(C99="","",SUMIFS(Payments!$D$6:$D$805,Payments!$G$6:$G$805,B99))</f>
        <v/>
      </c>
      <c r="O99" s="24">
        <f>IF(C99="","",ROUND(L99-N99,2))</f>
        <v/>
      </c>
      <c r="P99" s="11">
        <f>IF(OR(U99="",N(O99)&lt;=0),"",IF(I99="Week",J99+7*U99,IF(I99="2 weeks",J99+14*U99,EDATE(J99,U99))))</f>
        <v/>
      </c>
      <c r="Q99" s="23">
        <f>IF(P99="","",IF(U99=N(H99)-1,O99,ROUND(M99*(U99+1)-N99,2)))</f>
        <v/>
      </c>
      <c r="R99" s="25">
        <f>IF(C99="","",IF(O99&lt;=0,"Paid off",IF(OR(M99="",NOT(ISNUMBER(J99))),"Open",IF(W99&gt;0,"Overdue",IF(AND(ISNUMBER(P99),P99-TODAY()&lt;=Settings!$C$6),"Due soon","On track")))))</f>
        <v/>
      </c>
      <c r="S99" s="1">
        <f>IF(C99="","",B99&amp;" "&amp;C99)</f>
        <v/>
      </c>
      <c r="T99">
        <f>IF(OR(M99="",NOT(ISNUMBER(J99))),"",MIN(N(H99),IF(I99="Week",IF((TODAY()-1)&lt;J99,0,INT(((TODAY()-1)-J99)/7)+1),IF(I99="2 weeks",IF((TODAY()-1)&lt;J99,0,INT(((TODAY()-1)-J99)/14)+1),IF(((YEAR((TODAY()-1))-YEAR(J99))*12+MONTH((TODAY()-1))-MONTH(J99))&lt;0,0,IF(EDATE(J99,((YEAR((TODAY()-1))-YEAR(J99))*12+MONTH((TODAY()-1))-MONTH(J99)))&lt;=(TODAY()-1),((YEAR((TODAY()-1))-YEAR(J99))*12+MONTH((TODAY()-1))-MONTH(J99))+1,((YEAR((TODAY()-1))-YEAR(J99))*12+MONTH((TODAY()-1))-MONTH(J99))))))))</f>
        <v/>
      </c>
      <c r="U99">
        <f>IF(OR(M99="",NOT(ISNUMBER(J99))),"",IF(N(M99)&lt;=0,"",MIN(N(H99)-1,INT(ROUND(N99/M99,6)))))</f>
        <v/>
      </c>
      <c r="V99">
        <f>IF(T99="","",IF(T99&gt;=N(H99),L99,M99*T99))</f>
        <v/>
      </c>
      <c r="W99">
        <f>IF(V99="",0,MAX(0,ROUND(V99-N99,2)))</f>
        <v/>
      </c>
      <c r="X99">
        <f>IF(OR(R99="",R99="Paid off",NOT(ISNUMBER(P99))),"",P99*1000+ROW())</f>
        <v/>
      </c>
      <c r="Y99">
        <f>IF(C99="","",IF(AND(COUNTIF(C$6:C99,C99)=1,SUMIFS(Loans!$O$6:$O$305,Loans!$C$6:$C$305,C99,Loans!$O$6:$O$305,"&gt;0")&gt;0),ROW(),""))</f>
        <v/>
      </c>
      <c r="Z99">
        <f>IF(OR(C99="",P99=""),"",IF(D99="I borrowed","From you","To you"))</f>
        <v/>
      </c>
    </row>
    <row r="100">
      <c r="A100" s="1" t="n"/>
      <c r="B100" s="15" t="n">
        <v>95</v>
      </c>
      <c r="C100" s="16" t="n"/>
      <c r="D100" s="17" t="n"/>
      <c r="E100" s="18" t="n"/>
      <c r="F100" s="19" t="n"/>
      <c r="G100" s="20" t="n"/>
      <c r="H100" s="21" t="n"/>
      <c r="I100" s="17" t="n"/>
      <c r="J100" s="18" t="n"/>
      <c r="K100" s="22" t="n"/>
      <c r="L100" s="23">
        <f>IF(C100="","",ROUND(N(F100)*(1+N(G100)/100*IF(N(H100)&gt;0,N(H100)*IF(I100="Week",7/365,IF(I100="2 weeks",14/365,1/12)),IF(ISNUMBER(E100),MAX(0,TODAY()-E100)/365,0))),2))</f>
        <v/>
      </c>
      <c r="M100" s="23">
        <f>IF(OR(C100="",N(H100)&lt;=0),"",ROUND(L100/N(H100),2))</f>
        <v/>
      </c>
      <c r="N100" s="23">
        <f>IF(C100="","",SUMIFS(Payments!$D$6:$D$805,Payments!$G$6:$G$805,B100))</f>
        <v/>
      </c>
      <c r="O100" s="24">
        <f>IF(C100="","",ROUND(L100-N100,2))</f>
        <v/>
      </c>
      <c r="P100" s="11">
        <f>IF(OR(U100="",N(O100)&lt;=0),"",IF(I100="Week",J100+7*U100,IF(I100="2 weeks",J100+14*U100,EDATE(J100,U100))))</f>
        <v/>
      </c>
      <c r="Q100" s="23">
        <f>IF(P100="","",IF(U100=N(H100)-1,O100,ROUND(M100*(U100+1)-N100,2)))</f>
        <v/>
      </c>
      <c r="R100" s="25">
        <f>IF(C100="","",IF(O100&lt;=0,"Paid off",IF(OR(M100="",NOT(ISNUMBER(J100))),"Open",IF(W100&gt;0,"Overdue",IF(AND(ISNUMBER(P100),P100-TODAY()&lt;=Settings!$C$6),"Due soon","On track")))))</f>
        <v/>
      </c>
      <c r="S100" s="1">
        <f>IF(C100="","",B100&amp;" "&amp;C100)</f>
        <v/>
      </c>
      <c r="T100">
        <f>IF(OR(M100="",NOT(ISNUMBER(J100))),"",MIN(N(H100),IF(I100="Week",IF((TODAY()-1)&lt;J100,0,INT(((TODAY()-1)-J100)/7)+1),IF(I100="2 weeks",IF((TODAY()-1)&lt;J100,0,INT(((TODAY()-1)-J100)/14)+1),IF(((YEAR((TODAY()-1))-YEAR(J100))*12+MONTH((TODAY()-1))-MONTH(J100))&lt;0,0,IF(EDATE(J100,((YEAR((TODAY()-1))-YEAR(J100))*12+MONTH((TODAY()-1))-MONTH(J100)))&lt;=(TODAY()-1),((YEAR((TODAY()-1))-YEAR(J100))*12+MONTH((TODAY()-1))-MONTH(J100))+1,((YEAR((TODAY()-1))-YEAR(J100))*12+MONTH((TODAY()-1))-MONTH(J100))))))))</f>
        <v/>
      </c>
      <c r="U100">
        <f>IF(OR(M100="",NOT(ISNUMBER(J100))),"",IF(N(M100)&lt;=0,"",MIN(N(H100)-1,INT(ROUND(N100/M100,6)))))</f>
        <v/>
      </c>
      <c r="V100">
        <f>IF(T100="","",IF(T100&gt;=N(H100),L100,M100*T100))</f>
        <v/>
      </c>
      <c r="W100">
        <f>IF(V100="",0,MAX(0,ROUND(V100-N100,2)))</f>
        <v/>
      </c>
      <c r="X100">
        <f>IF(OR(R100="",R100="Paid off",NOT(ISNUMBER(P100))),"",P100*1000+ROW())</f>
        <v/>
      </c>
      <c r="Y100">
        <f>IF(C100="","",IF(AND(COUNTIF(C$6:C100,C100)=1,SUMIFS(Loans!$O$6:$O$305,Loans!$C$6:$C$305,C100,Loans!$O$6:$O$305,"&gt;0")&gt;0),ROW(),""))</f>
        <v/>
      </c>
      <c r="Z100">
        <f>IF(OR(C100="",P100=""),"",IF(D100="I borrowed","From you","To you"))</f>
        <v/>
      </c>
    </row>
    <row r="101">
      <c r="A101" s="1" t="n"/>
      <c r="B101" s="15" t="n">
        <v>96</v>
      </c>
      <c r="C101" s="16" t="n"/>
      <c r="D101" s="17" t="n"/>
      <c r="E101" s="18" t="n"/>
      <c r="F101" s="19" t="n"/>
      <c r="G101" s="20" t="n"/>
      <c r="H101" s="21" t="n"/>
      <c r="I101" s="17" t="n"/>
      <c r="J101" s="18" t="n"/>
      <c r="K101" s="22" t="n"/>
      <c r="L101" s="23">
        <f>IF(C101="","",ROUND(N(F101)*(1+N(G101)/100*IF(N(H101)&gt;0,N(H101)*IF(I101="Week",7/365,IF(I101="2 weeks",14/365,1/12)),IF(ISNUMBER(E101),MAX(0,TODAY()-E101)/365,0))),2))</f>
        <v/>
      </c>
      <c r="M101" s="23">
        <f>IF(OR(C101="",N(H101)&lt;=0),"",ROUND(L101/N(H101),2))</f>
        <v/>
      </c>
      <c r="N101" s="23">
        <f>IF(C101="","",SUMIFS(Payments!$D$6:$D$805,Payments!$G$6:$G$805,B101))</f>
        <v/>
      </c>
      <c r="O101" s="24">
        <f>IF(C101="","",ROUND(L101-N101,2))</f>
        <v/>
      </c>
      <c r="P101" s="11">
        <f>IF(OR(U101="",N(O101)&lt;=0),"",IF(I101="Week",J101+7*U101,IF(I101="2 weeks",J101+14*U101,EDATE(J101,U101))))</f>
        <v/>
      </c>
      <c r="Q101" s="23">
        <f>IF(P101="","",IF(U101=N(H101)-1,O101,ROUND(M101*(U101+1)-N101,2)))</f>
        <v/>
      </c>
      <c r="R101" s="25">
        <f>IF(C101="","",IF(O101&lt;=0,"Paid off",IF(OR(M101="",NOT(ISNUMBER(J101))),"Open",IF(W101&gt;0,"Overdue",IF(AND(ISNUMBER(P101),P101-TODAY()&lt;=Settings!$C$6),"Due soon","On track")))))</f>
        <v/>
      </c>
      <c r="S101" s="1">
        <f>IF(C101="","",B101&amp;" "&amp;C101)</f>
        <v/>
      </c>
      <c r="T101">
        <f>IF(OR(M101="",NOT(ISNUMBER(J101))),"",MIN(N(H101),IF(I101="Week",IF((TODAY()-1)&lt;J101,0,INT(((TODAY()-1)-J101)/7)+1),IF(I101="2 weeks",IF((TODAY()-1)&lt;J101,0,INT(((TODAY()-1)-J101)/14)+1),IF(((YEAR((TODAY()-1))-YEAR(J101))*12+MONTH((TODAY()-1))-MONTH(J101))&lt;0,0,IF(EDATE(J101,((YEAR((TODAY()-1))-YEAR(J101))*12+MONTH((TODAY()-1))-MONTH(J101)))&lt;=(TODAY()-1),((YEAR((TODAY()-1))-YEAR(J101))*12+MONTH((TODAY()-1))-MONTH(J101))+1,((YEAR((TODAY()-1))-YEAR(J101))*12+MONTH((TODAY()-1))-MONTH(J101))))))))</f>
        <v/>
      </c>
      <c r="U101">
        <f>IF(OR(M101="",NOT(ISNUMBER(J101))),"",IF(N(M101)&lt;=0,"",MIN(N(H101)-1,INT(ROUND(N101/M101,6)))))</f>
        <v/>
      </c>
      <c r="V101">
        <f>IF(T101="","",IF(T101&gt;=N(H101),L101,M101*T101))</f>
        <v/>
      </c>
      <c r="W101">
        <f>IF(V101="",0,MAX(0,ROUND(V101-N101,2)))</f>
        <v/>
      </c>
      <c r="X101">
        <f>IF(OR(R101="",R101="Paid off",NOT(ISNUMBER(P101))),"",P101*1000+ROW())</f>
        <v/>
      </c>
      <c r="Y101">
        <f>IF(C101="","",IF(AND(COUNTIF(C$6:C101,C101)=1,SUMIFS(Loans!$O$6:$O$305,Loans!$C$6:$C$305,C101,Loans!$O$6:$O$305,"&gt;0")&gt;0),ROW(),""))</f>
        <v/>
      </c>
      <c r="Z101">
        <f>IF(OR(C101="",P101=""),"",IF(D101="I borrowed","From you","To you"))</f>
        <v/>
      </c>
    </row>
    <row r="102">
      <c r="A102" s="1" t="n"/>
      <c r="B102" s="15" t="n">
        <v>97</v>
      </c>
      <c r="C102" s="16" t="n"/>
      <c r="D102" s="17" t="n"/>
      <c r="E102" s="18" t="n"/>
      <c r="F102" s="19" t="n"/>
      <c r="G102" s="20" t="n"/>
      <c r="H102" s="21" t="n"/>
      <c r="I102" s="17" t="n"/>
      <c r="J102" s="18" t="n"/>
      <c r="K102" s="22" t="n"/>
      <c r="L102" s="23">
        <f>IF(C102="","",ROUND(N(F102)*(1+N(G102)/100*IF(N(H102)&gt;0,N(H102)*IF(I102="Week",7/365,IF(I102="2 weeks",14/365,1/12)),IF(ISNUMBER(E102),MAX(0,TODAY()-E102)/365,0))),2))</f>
        <v/>
      </c>
      <c r="M102" s="23">
        <f>IF(OR(C102="",N(H102)&lt;=0),"",ROUND(L102/N(H102),2))</f>
        <v/>
      </c>
      <c r="N102" s="23">
        <f>IF(C102="","",SUMIFS(Payments!$D$6:$D$805,Payments!$G$6:$G$805,B102))</f>
        <v/>
      </c>
      <c r="O102" s="24">
        <f>IF(C102="","",ROUND(L102-N102,2))</f>
        <v/>
      </c>
      <c r="P102" s="11">
        <f>IF(OR(U102="",N(O102)&lt;=0),"",IF(I102="Week",J102+7*U102,IF(I102="2 weeks",J102+14*U102,EDATE(J102,U102))))</f>
        <v/>
      </c>
      <c r="Q102" s="23">
        <f>IF(P102="","",IF(U102=N(H102)-1,O102,ROUND(M102*(U102+1)-N102,2)))</f>
        <v/>
      </c>
      <c r="R102" s="25">
        <f>IF(C102="","",IF(O102&lt;=0,"Paid off",IF(OR(M102="",NOT(ISNUMBER(J102))),"Open",IF(W102&gt;0,"Overdue",IF(AND(ISNUMBER(P102),P102-TODAY()&lt;=Settings!$C$6),"Due soon","On track")))))</f>
        <v/>
      </c>
      <c r="S102" s="1">
        <f>IF(C102="","",B102&amp;" "&amp;C102)</f>
        <v/>
      </c>
      <c r="T102">
        <f>IF(OR(M102="",NOT(ISNUMBER(J102))),"",MIN(N(H102),IF(I102="Week",IF((TODAY()-1)&lt;J102,0,INT(((TODAY()-1)-J102)/7)+1),IF(I102="2 weeks",IF((TODAY()-1)&lt;J102,0,INT(((TODAY()-1)-J102)/14)+1),IF(((YEAR((TODAY()-1))-YEAR(J102))*12+MONTH((TODAY()-1))-MONTH(J102))&lt;0,0,IF(EDATE(J102,((YEAR((TODAY()-1))-YEAR(J102))*12+MONTH((TODAY()-1))-MONTH(J102)))&lt;=(TODAY()-1),((YEAR((TODAY()-1))-YEAR(J102))*12+MONTH((TODAY()-1))-MONTH(J102))+1,((YEAR((TODAY()-1))-YEAR(J102))*12+MONTH((TODAY()-1))-MONTH(J102))))))))</f>
        <v/>
      </c>
      <c r="U102">
        <f>IF(OR(M102="",NOT(ISNUMBER(J102))),"",IF(N(M102)&lt;=0,"",MIN(N(H102)-1,INT(ROUND(N102/M102,6)))))</f>
        <v/>
      </c>
      <c r="V102">
        <f>IF(T102="","",IF(T102&gt;=N(H102),L102,M102*T102))</f>
        <v/>
      </c>
      <c r="W102">
        <f>IF(V102="",0,MAX(0,ROUND(V102-N102,2)))</f>
        <v/>
      </c>
      <c r="X102">
        <f>IF(OR(R102="",R102="Paid off",NOT(ISNUMBER(P102))),"",P102*1000+ROW())</f>
        <v/>
      </c>
      <c r="Y102">
        <f>IF(C102="","",IF(AND(COUNTIF(C$6:C102,C102)=1,SUMIFS(Loans!$O$6:$O$305,Loans!$C$6:$C$305,C102,Loans!$O$6:$O$305,"&gt;0")&gt;0),ROW(),""))</f>
        <v/>
      </c>
      <c r="Z102">
        <f>IF(OR(C102="",P102=""),"",IF(D102="I borrowed","From you","To you"))</f>
        <v/>
      </c>
    </row>
    <row r="103">
      <c r="A103" s="1" t="n"/>
      <c r="B103" s="15" t="n">
        <v>98</v>
      </c>
      <c r="C103" s="16" t="n"/>
      <c r="D103" s="17" t="n"/>
      <c r="E103" s="18" t="n"/>
      <c r="F103" s="19" t="n"/>
      <c r="G103" s="20" t="n"/>
      <c r="H103" s="21" t="n"/>
      <c r="I103" s="17" t="n"/>
      <c r="J103" s="18" t="n"/>
      <c r="K103" s="22" t="n"/>
      <c r="L103" s="23">
        <f>IF(C103="","",ROUND(N(F103)*(1+N(G103)/100*IF(N(H103)&gt;0,N(H103)*IF(I103="Week",7/365,IF(I103="2 weeks",14/365,1/12)),IF(ISNUMBER(E103),MAX(0,TODAY()-E103)/365,0))),2))</f>
        <v/>
      </c>
      <c r="M103" s="23">
        <f>IF(OR(C103="",N(H103)&lt;=0),"",ROUND(L103/N(H103),2))</f>
        <v/>
      </c>
      <c r="N103" s="23">
        <f>IF(C103="","",SUMIFS(Payments!$D$6:$D$805,Payments!$G$6:$G$805,B103))</f>
        <v/>
      </c>
      <c r="O103" s="24">
        <f>IF(C103="","",ROUND(L103-N103,2))</f>
        <v/>
      </c>
      <c r="P103" s="11">
        <f>IF(OR(U103="",N(O103)&lt;=0),"",IF(I103="Week",J103+7*U103,IF(I103="2 weeks",J103+14*U103,EDATE(J103,U103))))</f>
        <v/>
      </c>
      <c r="Q103" s="23">
        <f>IF(P103="","",IF(U103=N(H103)-1,O103,ROUND(M103*(U103+1)-N103,2)))</f>
        <v/>
      </c>
      <c r="R103" s="25">
        <f>IF(C103="","",IF(O103&lt;=0,"Paid off",IF(OR(M103="",NOT(ISNUMBER(J103))),"Open",IF(W103&gt;0,"Overdue",IF(AND(ISNUMBER(P103),P103-TODAY()&lt;=Settings!$C$6),"Due soon","On track")))))</f>
        <v/>
      </c>
      <c r="S103" s="1">
        <f>IF(C103="","",B103&amp;" "&amp;C103)</f>
        <v/>
      </c>
      <c r="T103">
        <f>IF(OR(M103="",NOT(ISNUMBER(J103))),"",MIN(N(H103),IF(I103="Week",IF((TODAY()-1)&lt;J103,0,INT(((TODAY()-1)-J103)/7)+1),IF(I103="2 weeks",IF((TODAY()-1)&lt;J103,0,INT(((TODAY()-1)-J103)/14)+1),IF(((YEAR((TODAY()-1))-YEAR(J103))*12+MONTH((TODAY()-1))-MONTH(J103))&lt;0,0,IF(EDATE(J103,((YEAR((TODAY()-1))-YEAR(J103))*12+MONTH((TODAY()-1))-MONTH(J103)))&lt;=(TODAY()-1),((YEAR((TODAY()-1))-YEAR(J103))*12+MONTH((TODAY()-1))-MONTH(J103))+1,((YEAR((TODAY()-1))-YEAR(J103))*12+MONTH((TODAY()-1))-MONTH(J103))))))))</f>
        <v/>
      </c>
      <c r="U103">
        <f>IF(OR(M103="",NOT(ISNUMBER(J103))),"",IF(N(M103)&lt;=0,"",MIN(N(H103)-1,INT(ROUND(N103/M103,6)))))</f>
        <v/>
      </c>
      <c r="V103">
        <f>IF(T103="","",IF(T103&gt;=N(H103),L103,M103*T103))</f>
        <v/>
      </c>
      <c r="W103">
        <f>IF(V103="",0,MAX(0,ROUND(V103-N103,2)))</f>
        <v/>
      </c>
      <c r="X103">
        <f>IF(OR(R103="",R103="Paid off",NOT(ISNUMBER(P103))),"",P103*1000+ROW())</f>
        <v/>
      </c>
      <c r="Y103">
        <f>IF(C103="","",IF(AND(COUNTIF(C$6:C103,C103)=1,SUMIFS(Loans!$O$6:$O$305,Loans!$C$6:$C$305,C103,Loans!$O$6:$O$305,"&gt;0")&gt;0),ROW(),""))</f>
        <v/>
      </c>
      <c r="Z103">
        <f>IF(OR(C103="",P103=""),"",IF(D103="I borrowed","From you","To you"))</f>
        <v/>
      </c>
    </row>
    <row r="104">
      <c r="A104" s="1" t="n"/>
      <c r="B104" s="15" t="n">
        <v>99</v>
      </c>
      <c r="C104" s="16" t="n"/>
      <c r="D104" s="17" t="n"/>
      <c r="E104" s="18" t="n"/>
      <c r="F104" s="19" t="n"/>
      <c r="G104" s="20" t="n"/>
      <c r="H104" s="21" t="n"/>
      <c r="I104" s="17" t="n"/>
      <c r="J104" s="18" t="n"/>
      <c r="K104" s="22" t="n"/>
      <c r="L104" s="23">
        <f>IF(C104="","",ROUND(N(F104)*(1+N(G104)/100*IF(N(H104)&gt;0,N(H104)*IF(I104="Week",7/365,IF(I104="2 weeks",14/365,1/12)),IF(ISNUMBER(E104),MAX(0,TODAY()-E104)/365,0))),2))</f>
        <v/>
      </c>
      <c r="M104" s="23">
        <f>IF(OR(C104="",N(H104)&lt;=0),"",ROUND(L104/N(H104),2))</f>
        <v/>
      </c>
      <c r="N104" s="23">
        <f>IF(C104="","",SUMIFS(Payments!$D$6:$D$805,Payments!$G$6:$G$805,B104))</f>
        <v/>
      </c>
      <c r="O104" s="24">
        <f>IF(C104="","",ROUND(L104-N104,2))</f>
        <v/>
      </c>
      <c r="P104" s="11">
        <f>IF(OR(U104="",N(O104)&lt;=0),"",IF(I104="Week",J104+7*U104,IF(I104="2 weeks",J104+14*U104,EDATE(J104,U104))))</f>
        <v/>
      </c>
      <c r="Q104" s="23">
        <f>IF(P104="","",IF(U104=N(H104)-1,O104,ROUND(M104*(U104+1)-N104,2)))</f>
        <v/>
      </c>
      <c r="R104" s="25">
        <f>IF(C104="","",IF(O104&lt;=0,"Paid off",IF(OR(M104="",NOT(ISNUMBER(J104))),"Open",IF(W104&gt;0,"Overdue",IF(AND(ISNUMBER(P104),P104-TODAY()&lt;=Settings!$C$6),"Due soon","On track")))))</f>
        <v/>
      </c>
      <c r="S104" s="1">
        <f>IF(C104="","",B104&amp;" "&amp;C104)</f>
        <v/>
      </c>
      <c r="T104">
        <f>IF(OR(M104="",NOT(ISNUMBER(J104))),"",MIN(N(H104),IF(I104="Week",IF((TODAY()-1)&lt;J104,0,INT(((TODAY()-1)-J104)/7)+1),IF(I104="2 weeks",IF((TODAY()-1)&lt;J104,0,INT(((TODAY()-1)-J104)/14)+1),IF(((YEAR((TODAY()-1))-YEAR(J104))*12+MONTH((TODAY()-1))-MONTH(J104))&lt;0,0,IF(EDATE(J104,((YEAR((TODAY()-1))-YEAR(J104))*12+MONTH((TODAY()-1))-MONTH(J104)))&lt;=(TODAY()-1),((YEAR((TODAY()-1))-YEAR(J104))*12+MONTH((TODAY()-1))-MONTH(J104))+1,((YEAR((TODAY()-1))-YEAR(J104))*12+MONTH((TODAY()-1))-MONTH(J104))))))))</f>
        <v/>
      </c>
      <c r="U104">
        <f>IF(OR(M104="",NOT(ISNUMBER(J104))),"",IF(N(M104)&lt;=0,"",MIN(N(H104)-1,INT(ROUND(N104/M104,6)))))</f>
        <v/>
      </c>
      <c r="V104">
        <f>IF(T104="","",IF(T104&gt;=N(H104),L104,M104*T104))</f>
        <v/>
      </c>
      <c r="W104">
        <f>IF(V104="",0,MAX(0,ROUND(V104-N104,2)))</f>
        <v/>
      </c>
      <c r="X104">
        <f>IF(OR(R104="",R104="Paid off",NOT(ISNUMBER(P104))),"",P104*1000+ROW())</f>
        <v/>
      </c>
      <c r="Y104">
        <f>IF(C104="","",IF(AND(COUNTIF(C$6:C104,C104)=1,SUMIFS(Loans!$O$6:$O$305,Loans!$C$6:$C$305,C104,Loans!$O$6:$O$305,"&gt;0")&gt;0),ROW(),""))</f>
        <v/>
      </c>
      <c r="Z104">
        <f>IF(OR(C104="",P104=""),"",IF(D104="I borrowed","From you","To you"))</f>
        <v/>
      </c>
    </row>
    <row r="105">
      <c r="A105" s="1" t="n"/>
      <c r="B105" s="15" t="n">
        <v>100</v>
      </c>
      <c r="C105" s="16" t="n"/>
      <c r="D105" s="17" t="n"/>
      <c r="E105" s="18" t="n"/>
      <c r="F105" s="19" t="n"/>
      <c r="G105" s="20" t="n"/>
      <c r="H105" s="21" t="n"/>
      <c r="I105" s="17" t="n"/>
      <c r="J105" s="18" t="n"/>
      <c r="K105" s="22" t="n"/>
      <c r="L105" s="23">
        <f>IF(C105="","",ROUND(N(F105)*(1+N(G105)/100*IF(N(H105)&gt;0,N(H105)*IF(I105="Week",7/365,IF(I105="2 weeks",14/365,1/12)),IF(ISNUMBER(E105),MAX(0,TODAY()-E105)/365,0))),2))</f>
        <v/>
      </c>
      <c r="M105" s="23">
        <f>IF(OR(C105="",N(H105)&lt;=0),"",ROUND(L105/N(H105),2))</f>
        <v/>
      </c>
      <c r="N105" s="23">
        <f>IF(C105="","",SUMIFS(Payments!$D$6:$D$805,Payments!$G$6:$G$805,B105))</f>
        <v/>
      </c>
      <c r="O105" s="24">
        <f>IF(C105="","",ROUND(L105-N105,2))</f>
        <v/>
      </c>
      <c r="P105" s="11">
        <f>IF(OR(U105="",N(O105)&lt;=0),"",IF(I105="Week",J105+7*U105,IF(I105="2 weeks",J105+14*U105,EDATE(J105,U105))))</f>
        <v/>
      </c>
      <c r="Q105" s="23">
        <f>IF(P105="","",IF(U105=N(H105)-1,O105,ROUND(M105*(U105+1)-N105,2)))</f>
        <v/>
      </c>
      <c r="R105" s="25">
        <f>IF(C105="","",IF(O105&lt;=0,"Paid off",IF(OR(M105="",NOT(ISNUMBER(J105))),"Open",IF(W105&gt;0,"Overdue",IF(AND(ISNUMBER(P105),P105-TODAY()&lt;=Settings!$C$6),"Due soon","On track")))))</f>
        <v/>
      </c>
      <c r="S105" s="1">
        <f>IF(C105="","",B105&amp;" "&amp;C105)</f>
        <v/>
      </c>
      <c r="T105">
        <f>IF(OR(M105="",NOT(ISNUMBER(J105))),"",MIN(N(H105),IF(I105="Week",IF((TODAY()-1)&lt;J105,0,INT(((TODAY()-1)-J105)/7)+1),IF(I105="2 weeks",IF((TODAY()-1)&lt;J105,0,INT(((TODAY()-1)-J105)/14)+1),IF(((YEAR((TODAY()-1))-YEAR(J105))*12+MONTH((TODAY()-1))-MONTH(J105))&lt;0,0,IF(EDATE(J105,((YEAR((TODAY()-1))-YEAR(J105))*12+MONTH((TODAY()-1))-MONTH(J105)))&lt;=(TODAY()-1),((YEAR((TODAY()-1))-YEAR(J105))*12+MONTH((TODAY()-1))-MONTH(J105))+1,((YEAR((TODAY()-1))-YEAR(J105))*12+MONTH((TODAY()-1))-MONTH(J105))))))))</f>
        <v/>
      </c>
      <c r="U105">
        <f>IF(OR(M105="",NOT(ISNUMBER(J105))),"",IF(N(M105)&lt;=0,"",MIN(N(H105)-1,INT(ROUND(N105/M105,6)))))</f>
        <v/>
      </c>
      <c r="V105">
        <f>IF(T105="","",IF(T105&gt;=N(H105),L105,M105*T105))</f>
        <v/>
      </c>
      <c r="W105">
        <f>IF(V105="",0,MAX(0,ROUND(V105-N105,2)))</f>
        <v/>
      </c>
      <c r="X105">
        <f>IF(OR(R105="",R105="Paid off",NOT(ISNUMBER(P105))),"",P105*1000+ROW())</f>
        <v/>
      </c>
      <c r="Y105">
        <f>IF(C105="","",IF(AND(COUNTIF(C$6:C105,C105)=1,SUMIFS(Loans!$O$6:$O$305,Loans!$C$6:$C$305,C105,Loans!$O$6:$O$305,"&gt;0")&gt;0),ROW(),""))</f>
        <v/>
      </c>
      <c r="Z105">
        <f>IF(OR(C105="",P105=""),"",IF(D105="I borrowed","From you","To you"))</f>
        <v/>
      </c>
    </row>
    <row r="106">
      <c r="A106" s="1" t="n"/>
      <c r="B106" s="15" t="n">
        <v>101</v>
      </c>
      <c r="C106" s="16" t="n"/>
      <c r="D106" s="17" t="n"/>
      <c r="E106" s="18" t="n"/>
      <c r="F106" s="19" t="n"/>
      <c r="G106" s="20" t="n"/>
      <c r="H106" s="21" t="n"/>
      <c r="I106" s="17" t="n"/>
      <c r="J106" s="18" t="n"/>
      <c r="K106" s="22" t="n"/>
      <c r="L106" s="23">
        <f>IF(C106="","",ROUND(N(F106)*(1+N(G106)/100*IF(N(H106)&gt;0,N(H106)*IF(I106="Week",7/365,IF(I106="2 weeks",14/365,1/12)),IF(ISNUMBER(E106),MAX(0,TODAY()-E106)/365,0))),2))</f>
        <v/>
      </c>
      <c r="M106" s="23">
        <f>IF(OR(C106="",N(H106)&lt;=0),"",ROUND(L106/N(H106),2))</f>
        <v/>
      </c>
      <c r="N106" s="23">
        <f>IF(C106="","",SUMIFS(Payments!$D$6:$D$805,Payments!$G$6:$G$805,B106))</f>
        <v/>
      </c>
      <c r="O106" s="24">
        <f>IF(C106="","",ROUND(L106-N106,2))</f>
        <v/>
      </c>
      <c r="P106" s="11">
        <f>IF(OR(U106="",N(O106)&lt;=0),"",IF(I106="Week",J106+7*U106,IF(I106="2 weeks",J106+14*U106,EDATE(J106,U106))))</f>
        <v/>
      </c>
      <c r="Q106" s="23">
        <f>IF(P106="","",IF(U106=N(H106)-1,O106,ROUND(M106*(U106+1)-N106,2)))</f>
        <v/>
      </c>
      <c r="R106" s="25">
        <f>IF(C106="","",IF(O106&lt;=0,"Paid off",IF(OR(M106="",NOT(ISNUMBER(J106))),"Open",IF(W106&gt;0,"Overdue",IF(AND(ISNUMBER(P106),P106-TODAY()&lt;=Settings!$C$6),"Due soon","On track")))))</f>
        <v/>
      </c>
      <c r="S106" s="1">
        <f>IF(C106="","",B106&amp;" "&amp;C106)</f>
        <v/>
      </c>
      <c r="T106">
        <f>IF(OR(M106="",NOT(ISNUMBER(J106))),"",MIN(N(H106),IF(I106="Week",IF((TODAY()-1)&lt;J106,0,INT(((TODAY()-1)-J106)/7)+1),IF(I106="2 weeks",IF((TODAY()-1)&lt;J106,0,INT(((TODAY()-1)-J106)/14)+1),IF(((YEAR((TODAY()-1))-YEAR(J106))*12+MONTH((TODAY()-1))-MONTH(J106))&lt;0,0,IF(EDATE(J106,((YEAR((TODAY()-1))-YEAR(J106))*12+MONTH((TODAY()-1))-MONTH(J106)))&lt;=(TODAY()-1),((YEAR((TODAY()-1))-YEAR(J106))*12+MONTH((TODAY()-1))-MONTH(J106))+1,((YEAR((TODAY()-1))-YEAR(J106))*12+MONTH((TODAY()-1))-MONTH(J106))))))))</f>
        <v/>
      </c>
      <c r="U106">
        <f>IF(OR(M106="",NOT(ISNUMBER(J106))),"",IF(N(M106)&lt;=0,"",MIN(N(H106)-1,INT(ROUND(N106/M106,6)))))</f>
        <v/>
      </c>
      <c r="V106">
        <f>IF(T106="","",IF(T106&gt;=N(H106),L106,M106*T106))</f>
        <v/>
      </c>
      <c r="W106">
        <f>IF(V106="",0,MAX(0,ROUND(V106-N106,2)))</f>
        <v/>
      </c>
      <c r="X106">
        <f>IF(OR(R106="",R106="Paid off",NOT(ISNUMBER(P106))),"",P106*1000+ROW())</f>
        <v/>
      </c>
      <c r="Y106">
        <f>IF(C106="","",IF(AND(COUNTIF(C$6:C106,C106)=1,SUMIFS(Loans!$O$6:$O$305,Loans!$C$6:$C$305,C106,Loans!$O$6:$O$305,"&gt;0")&gt;0),ROW(),""))</f>
        <v/>
      </c>
      <c r="Z106">
        <f>IF(OR(C106="",P106=""),"",IF(D106="I borrowed","From you","To you"))</f>
        <v/>
      </c>
    </row>
    <row r="107">
      <c r="A107" s="1" t="n"/>
      <c r="B107" s="15" t="n">
        <v>102</v>
      </c>
      <c r="C107" s="16" t="n"/>
      <c r="D107" s="17" t="n"/>
      <c r="E107" s="18" t="n"/>
      <c r="F107" s="19" t="n"/>
      <c r="G107" s="20" t="n"/>
      <c r="H107" s="21" t="n"/>
      <c r="I107" s="17" t="n"/>
      <c r="J107" s="18" t="n"/>
      <c r="K107" s="22" t="n"/>
      <c r="L107" s="23">
        <f>IF(C107="","",ROUND(N(F107)*(1+N(G107)/100*IF(N(H107)&gt;0,N(H107)*IF(I107="Week",7/365,IF(I107="2 weeks",14/365,1/12)),IF(ISNUMBER(E107),MAX(0,TODAY()-E107)/365,0))),2))</f>
        <v/>
      </c>
      <c r="M107" s="23">
        <f>IF(OR(C107="",N(H107)&lt;=0),"",ROUND(L107/N(H107),2))</f>
        <v/>
      </c>
      <c r="N107" s="23">
        <f>IF(C107="","",SUMIFS(Payments!$D$6:$D$805,Payments!$G$6:$G$805,B107))</f>
        <v/>
      </c>
      <c r="O107" s="24">
        <f>IF(C107="","",ROUND(L107-N107,2))</f>
        <v/>
      </c>
      <c r="P107" s="11">
        <f>IF(OR(U107="",N(O107)&lt;=0),"",IF(I107="Week",J107+7*U107,IF(I107="2 weeks",J107+14*U107,EDATE(J107,U107))))</f>
        <v/>
      </c>
      <c r="Q107" s="23">
        <f>IF(P107="","",IF(U107=N(H107)-1,O107,ROUND(M107*(U107+1)-N107,2)))</f>
        <v/>
      </c>
      <c r="R107" s="25">
        <f>IF(C107="","",IF(O107&lt;=0,"Paid off",IF(OR(M107="",NOT(ISNUMBER(J107))),"Open",IF(W107&gt;0,"Overdue",IF(AND(ISNUMBER(P107),P107-TODAY()&lt;=Settings!$C$6),"Due soon","On track")))))</f>
        <v/>
      </c>
      <c r="S107" s="1">
        <f>IF(C107="","",B107&amp;" "&amp;C107)</f>
        <v/>
      </c>
      <c r="T107">
        <f>IF(OR(M107="",NOT(ISNUMBER(J107))),"",MIN(N(H107),IF(I107="Week",IF((TODAY()-1)&lt;J107,0,INT(((TODAY()-1)-J107)/7)+1),IF(I107="2 weeks",IF((TODAY()-1)&lt;J107,0,INT(((TODAY()-1)-J107)/14)+1),IF(((YEAR((TODAY()-1))-YEAR(J107))*12+MONTH((TODAY()-1))-MONTH(J107))&lt;0,0,IF(EDATE(J107,((YEAR((TODAY()-1))-YEAR(J107))*12+MONTH((TODAY()-1))-MONTH(J107)))&lt;=(TODAY()-1),((YEAR((TODAY()-1))-YEAR(J107))*12+MONTH((TODAY()-1))-MONTH(J107))+1,((YEAR((TODAY()-1))-YEAR(J107))*12+MONTH((TODAY()-1))-MONTH(J107))))))))</f>
        <v/>
      </c>
      <c r="U107">
        <f>IF(OR(M107="",NOT(ISNUMBER(J107))),"",IF(N(M107)&lt;=0,"",MIN(N(H107)-1,INT(ROUND(N107/M107,6)))))</f>
        <v/>
      </c>
      <c r="V107">
        <f>IF(T107="","",IF(T107&gt;=N(H107),L107,M107*T107))</f>
        <v/>
      </c>
      <c r="W107">
        <f>IF(V107="",0,MAX(0,ROUND(V107-N107,2)))</f>
        <v/>
      </c>
      <c r="X107">
        <f>IF(OR(R107="",R107="Paid off",NOT(ISNUMBER(P107))),"",P107*1000+ROW())</f>
        <v/>
      </c>
      <c r="Y107">
        <f>IF(C107="","",IF(AND(COUNTIF(C$6:C107,C107)=1,SUMIFS(Loans!$O$6:$O$305,Loans!$C$6:$C$305,C107,Loans!$O$6:$O$305,"&gt;0")&gt;0),ROW(),""))</f>
        <v/>
      </c>
      <c r="Z107">
        <f>IF(OR(C107="",P107=""),"",IF(D107="I borrowed","From you","To you"))</f>
        <v/>
      </c>
    </row>
    <row r="108">
      <c r="A108" s="1" t="n"/>
      <c r="B108" s="15" t="n">
        <v>103</v>
      </c>
      <c r="C108" s="16" t="n"/>
      <c r="D108" s="17" t="n"/>
      <c r="E108" s="18" t="n"/>
      <c r="F108" s="19" t="n"/>
      <c r="G108" s="20" t="n"/>
      <c r="H108" s="21" t="n"/>
      <c r="I108" s="17" t="n"/>
      <c r="J108" s="18" t="n"/>
      <c r="K108" s="22" t="n"/>
      <c r="L108" s="23">
        <f>IF(C108="","",ROUND(N(F108)*(1+N(G108)/100*IF(N(H108)&gt;0,N(H108)*IF(I108="Week",7/365,IF(I108="2 weeks",14/365,1/12)),IF(ISNUMBER(E108),MAX(0,TODAY()-E108)/365,0))),2))</f>
        <v/>
      </c>
      <c r="M108" s="23">
        <f>IF(OR(C108="",N(H108)&lt;=0),"",ROUND(L108/N(H108),2))</f>
        <v/>
      </c>
      <c r="N108" s="23">
        <f>IF(C108="","",SUMIFS(Payments!$D$6:$D$805,Payments!$G$6:$G$805,B108))</f>
        <v/>
      </c>
      <c r="O108" s="24">
        <f>IF(C108="","",ROUND(L108-N108,2))</f>
        <v/>
      </c>
      <c r="P108" s="11">
        <f>IF(OR(U108="",N(O108)&lt;=0),"",IF(I108="Week",J108+7*U108,IF(I108="2 weeks",J108+14*U108,EDATE(J108,U108))))</f>
        <v/>
      </c>
      <c r="Q108" s="23">
        <f>IF(P108="","",IF(U108=N(H108)-1,O108,ROUND(M108*(U108+1)-N108,2)))</f>
        <v/>
      </c>
      <c r="R108" s="25">
        <f>IF(C108="","",IF(O108&lt;=0,"Paid off",IF(OR(M108="",NOT(ISNUMBER(J108))),"Open",IF(W108&gt;0,"Overdue",IF(AND(ISNUMBER(P108),P108-TODAY()&lt;=Settings!$C$6),"Due soon","On track")))))</f>
        <v/>
      </c>
      <c r="S108" s="1">
        <f>IF(C108="","",B108&amp;" "&amp;C108)</f>
        <v/>
      </c>
      <c r="T108">
        <f>IF(OR(M108="",NOT(ISNUMBER(J108))),"",MIN(N(H108),IF(I108="Week",IF((TODAY()-1)&lt;J108,0,INT(((TODAY()-1)-J108)/7)+1),IF(I108="2 weeks",IF((TODAY()-1)&lt;J108,0,INT(((TODAY()-1)-J108)/14)+1),IF(((YEAR((TODAY()-1))-YEAR(J108))*12+MONTH((TODAY()-1))-MONTH(J108))&lt;0,0,IF(EDATE(J108,((YEAR((TODAY()-1))-YEAR(J108))*12+MONTH((TODAY()-1))-MONTH(J108)))&lt;=(TODAY()-1),((YEAR((TODAY()-1))-YEAR(J108))*12+MONTH((TODAY()-1))-MONTH(J108))+1,((YEAR((TODAY()-1))-YEAR(J108))*12+MONTH((TODAY()-1))-MONTH(J108))))))))</f>
        <v/>
      </c>
      <c r="U108">
        <f>IF(OR(M108="",NOT(ISNUMBER(J108))),"",IF(N(M108)&lt;=0,"",MIN(N(H108)-1,INT(ROUND(N108/M108,6)))))</f>
        <v/>
      </c>
      <c r="V108">
        <f>IF(T108="","",IF(T108&gt;=N(H108),L108,M108*T108))</f>
        <v/>
      </c>
      <c r="W108">
        <f>IF(V108="",0,MAX(0,ROUND(V108-N108,2)))</f>
        <v/>
      </c>
      <c r="X108">
        <f>IF(OR(R108="",R108="Paid off",NOT(ISNUMBER(P108))),"",P108*1000+ROW())</f>
        <v/>
      </c>
      <c r="Y108">
        <f>IF(C108="","",IF(AND(COUNTIF(C$6:C108,C108)=1,SUMIFS(Loans!$O$6:$O$305,Loans!$C$6:$C$305,C108,Loans!$O$6:$O$305,"&gt;0")&gt;0),ROW(),""))</f>
        <v/>
      </c>
      <c r="Z108">
        <f>IF(OR(C108="",P108=""),"",IF(D108="I borrowed","From you","To you"))</f>
        <v/>
      </c>
    </row>
    <row r="109">
      <c r="A109" s="1" t="n"/>
      <c r="B109" s="15" t="n">
        <v>104</v>
      </c>
      <c r="C109" s="16" t="n"/>
      <c r="D109" s="17" t="n"/>
      <c r="E109" s="18" t="n"/>
      <c r="F109" s="19" t="n"/>
      <c r="G109" s="20" t="n"/>
      <c r="H109" s="21" t="n"/>
      <c r="I109" s="17" t="n"/>
      <c r="J109" s="18" t="n"/>
      <c r="K109" s="22" t="n"/>
      <c r="L109" s="23">
        <f>IF(C109="","",ROUND(N(F109)*(1+N(G109)/100*IF(N(H109)&gt;0,N(H109)*IF(I109="Week",7/365,IF(I109="2 weeks",14/365,1/12)),IF(ISNUMBER(E109),MAX(0,TODAY()-E109)/365,0))),2))</f>
        <v/>
      </c>
      <c r="M109" s="23">
        <f>IF(OR(C109="",N(H109)&lt;=0),"",ROUND(L109/N(H109),2))</f>
        <v/>
      </c>
      <c r="N109" s="23">
        <f>IF(C109="","",SUMIFS(Payments!$D$6:$D$805,Payments!$G$6:$G$805,B109))</f>
        <v/>
      </c>
      <c r="O109" s="24">
        <f>IF(C109="","",ROUND(L109-N109,2))</f>
        <v/>
      </c>
      <c r="P109" s="11">
        <f>IF(OR(U109="",N(O109)&lt;=0),"",IF(I109="Week",J109+7*U109,IF(I109="2 weeks",J109+14*U109,EDATE(J109,U109))))</f>
        <v/>
      </c>
      <c r="Q109" s="23">
        <f>IF(P109="","",IF(U109=N(H109)-1,O109,ROUND(M109*(U109+1)-N109,2)))</f>
        <v/>
      </c>
      <c r="R109" s="25">
        <f>IF(C109="","",IF(O109&lt;=0,"Paid off",IF(OR(M109="",NOT(ISNUMBER(J109))),"Open",IF(W109&gt;0,"Overdue",IF(AND(ISNUMBER(P109),P109-TODAY()&lt;=Settings!$C$6),"Due soon","On track")))))</f>
        <v/>
      </c>
      <c r="S109" s="1">
        <f>IF(C109="","",B109&amp;" "&amp;C109)</f>
        <v/>
      </c>
      <c r="T109">
        <f>IF(OR(M109="",NOT(ISNUMBER(J109))),"",MIN(N(H109),IF(I109="Week",IF((TODAY()-1)&lt;J109,0,INT(((TODAY()-1)-J109)/7)+1),IF(I109="2 weeks",IF((TODAY()-1)&lt;J109,0,INT(((TODAY()-1)-J109)/14)+1),IF(((YEAR((TODAY()-1))-YEAR(J109))*12+MONTH((TODAY()-1))-MONTH(J109))&lt;0,0,IF(EDATE(J109,((YEAR((TODAY()-1))-YEAR(J109))*12+MONTH((TODAY()-1))-MONTH(J109)))&lt;=(TODAY()-1),((YEAR((TODAY()-1))-YEAR(J109))*12+MONTH((TODAY()-1))-MONTH(J109))+1,((YEAR((TODAY()-1))-YEAR(J109))*12+MONTH((TODAY()-1))-MONTH(J109))))))))</f>
        <v/>
      </c>
      <c r="U109">
        <f>IF(OR(M109="",NOT(ISNUMBER(J109))),"",IF(N(M109)&lt;=0,"",MIN(N(H109)-1,INT(ROUND(N109/M109,6)))))</f>
        <v/>
      </c>
      <c r="V109">
        <f>IF(T109="","",IF(T109&gt;=N(H109),L109,M109*T109))</f>
        <v/>
      </c>
      <c r="W109">
        <f>IF(V109="",0,MAX(0,ROUND(V109-N109,2)))</f>
        <v/>
      </c>
      <c r="X109">
        <f>IF(OR(R109="",R109="Paid off",NOT(ISNUMBER(P109))),"",P109*1000+ROW())</f>
        <v/>
      </c>
      <c r="Y109">
        <f>IF(C109="","",IF(AND(COUNTIF(C$6:C109,C109)=1,SUMIFS(Loans!$O$6:$O$305,Loans!$C$6:$C$305,C109,Loans!$O$6:$O$305,"&gt;0")&gt;0),ROW(),""))</f>
        <v/>
      </c>
      <c r="Z109">
        <f>IF(OR(C109="",P109=""),"",IF(D109="I borrowed","From you","To you"))</f>
        <v/>
      </c>
    </row>
    <row r="110">
      <c r="A110" s="1" t="n"/>
      <c r="B110" s="15" t="n">
        <v>105</v>
      </c>
      <c r="C110" s="16" t="n"/>
      <c r="D110" s="17" t="n"/>
      <c r="E110" s="18" t="n"/>
      <c r="F110" s="19" t="n"/>
      <c r="G110" s="20" t="n"/>
      <c r="H110" s="21" t="n"/>
      <c r="I110" s="17" t="n"/>
      <c r="J110" s="18" t="n"/>
      <c r="K110" s="22" t="n"/>
      <c r="L110" s="23">
        <f>IF(C110="","",ROUND(N(F110)*(1+N(G110)/100*IF(N(H110)&gt;0,N(H110)*IF(I110="Week",7/365,IF(I110="2 weeks",14/365,1/12)),IF(ISNUMBER(E110),MAX(0,TODAY()-E110)/365,0))),2))</f>
        <v/>
      </c>
      <c r="M110" s="23">
        <f>IF(OR(C110="",N(H110)&lt;=0),"",ROUND(L110/N(H110),2))</f>
        <v/>
      </c>
      <c r="N110" s="23">
        <f>IF(C110="","",SUMIFS(Payments!$D$6:$D$805,Payments!$G$6:$G$805,B110))</f>
        <v/>
      </c>
      <c r="O110" s="24">
        <f>IF(C110="","",ROUND(L110-N110,2))</f>
        <v/>
      </c>
      <c r="P110" s="11">
        <f>IF(OR(U110="",N(O110)&lt;=0),"",IF(I110="Week",J110+7*U110,IF(I110="2 weeks",J110+14*U110,EDATE(J110,U110))))</f>
        <v/>
      </c>
      <c r="Q110" s="23">
        <f>IF(P110="","",IF(U110=N(H110)-1,O110,ROUND(M110*(U110+1)-N110,2)))</f>
        <v/>
      </c>
      <c r="R110" s="25">
        <f>IF(C110="","",IF(O110&lt;=0,"Paid off",IF(OR(M110="",NOT(ISNUMBER(J110))),"Open",IF(W110&gt;0,"Overdue",IF(AND(ISNUMBER(P110),P110-TODAY()&lt;=Settings!$C$6),"Due soon","On track")))))</f>
        <v/>
      </c>
      <c r="S110" s="1">
        <f>IF(C110="","",B110&amp;" "&amp;C110)</f>
        <v/>
      </c>
      <c r="T110">
        <f>IF(OR(M110="",NOT(ISNUMBER(J110))),"",MIN(N(H110),IF(I110="Week",IF((TODAY()-1)&lt;J110,0,INT(((TODAY()-1)-J110)/7)+1),IF(I110="2 weeks",IF((TODAY()-1)&lt;J110,0,INT(((TODAY()-1)-J110)/14)+1),IF(((YEAR((TODAY()-1))-YEAR(J110))*12+MONTH((TODAY()-1))-MONTH(J110))&lt;0,0,IF(EDATE(J110,((YEAR((TODAY()-1))-YEAR(J110))*12+MONTH((TODAY()-1))-MONTH(J110)))&lt;=(TODAY()-1),((YEAR((TODAY()-1))-YEAR(J110))*12+MONTH((TODAY()-1))-MONTH(J110))+1,((YEAR((TODAY()-1))-YEAR(J110))*12+MONTH((TODAY()-1))-MONTH(J110))))))))</f>
        <v/>
      </c>
      <c r="U110">
        <f>IF(OR(M110="",NOT(ISNUMBER(J110))),"",IF(N(M110)&lt;=0,"",MIN(N(H110)-1,INT(ROUND(N110/M110,6)))))</f>
        <v/>
      </c>
      <c r="V110">
        <f>IF(T110="","",IF(T110&gt;=N(H110),L110,M110*T110))</f>
        <v/>
      </c>
      <c r="W110">
        <f>IF(V110="",0,MAX(0,ROUND(V110-N110,2)))</f>
        <v/>
      </c>
      <c r="X110">
        <f>IF(OR(R110="",R110="Paid off",NOT(ISNUMBER(P110))),"",P110*1000+ROW())</f>
        <v/>
      </c>
      <c r="Y110">
        <f>IF(C110="","",IF(AND(COUNTIF(C$6:C110,C110)=1,SUMIFS(Loans!$O$6:$O$305,Loans!$C$6:$C$305,C110,Loans!$O$6:$O$305,"&gt;0")&gt;0),ROW(),""))</f>
        <v/>
      </c>
      <c r="Z110">
        <f>IF(OR(C110="",P110=""),"",IF(D110="I borrowed","From you","To you"))</f>
        <v/>
      </c>
    </row>
    <row r="111">
      <c r="A111" s="1" t="n"/>
      <c r="B111" s="15" t="n">
        <v>106</v>
      </c>
      <c r="C111" s="16" t="n"/>
      <c r="D111" s="17" t="n"/>
      <c r="E111" s="18" t="n"/>
      <c r="F111" s="19" t="n"/>
      <c r="G111" s="20" t="n"/>
      <c r="H111" s="21" t="n"/>
      <c r="I111" s="17" t="n"/>
      <c r="J111" s="18" t="n"/>
      <c r="K111" s="22" t="n"/>
      <c r="L111" s="23">
        <f>IF(C111="","",ROUND(N(F111)*(1+N(G111)/100*IF(N(H111)&gt;0,N(H111)*IF(I111="Week",7/365,IF(I111="2 weeks",14/365,1/12)),IF(ISNUMBER(E111),MAX(0,TODAY()-E111)/365,0))),2))</f>
        <v/>
      </c>
      <c r="M111" s="23">
        <f>IF(OR(C111="",N(H111)&lt;=0),"",ROUND(L111/N(H111),2))</f>
        <v/>
      </c>
      <c r="N111" s="23">
        <f>IF(C111="","",SUMIFS(Payments!$D$6:$D$805,Payments!$G$6:$G$805,B111))</f>
        <v/>
      </c>
      <c r="O111" s="24">
        <f>IF(C111="","",ROUND(L111-N111,2))</f>
        <v/>
      </c>
      <c r="P111" s="11">
        <f>IF(OR(U111="",N(O111)&lt;=0),"",IF(I111="Week",J111+7*U111,IF(I111="2 weeks",J111+14*U111,EDATE(J111,U111))))</f>
        <v/>
      </c>
      <c r="Q111" s="23">
        <f>IF(P111="","",IF(U111=N(H111)-1,O111,ROUND(M111*(U111+1)-N111,2)))</f>
        <v/>
      </c>
      <c r="R111" s="25">
        <f>IF(C111="","",IF(O111&lt;=0,"Paid off",IF(OR(M111="",NOT(ISNUMBER(J111))),"Open",IF(W111&gt;0,"Overdue",IF(AND(ISNUMBER(P111),P111-TODAY()&lt;=Settings!$C$6),"Due soon","On track")))))</f>
        <v/>
      </c>
      <c r="S111" s="1">
        <f>IF(C111="","",B111&amp;" "&amp;C111)</f>
        <v/>
      </c>
      <c r="T111">
        <f>IF(OR(M111="",NOT(ISNUMBER(J111))),"",MIN(N(H111),IF(I111="Week",IF((TODAY()-1)&lt;J111,0,INT(((TODAY()-1)-J111)/7)+1),IF(I111="2 weeks",IF((TODAY()-1)&lt;J111,0,INT(((TODAY()-1)-J111)/14)+1),IF(((YEAR((TODAY()-1))-YEAR(J111))*12+MONTH((TODAY()-1))-MONTH(J111))&lt;0,0,IF(EDATE(J111,((YEAR((TODAY()-1))-YEAR(J111))*12+MONTH((TODAY()-1))-MONTH(J111)))&lt;=(TODAY()-1),((YEAR((TODAY()-1))-YEAR(J111))*12+MONTH((TODAY()-1))-MONTH(J111))+1,((YEAR((TODAY()-1))-YEAR(J111))*12+MONTH((TODAY()-1))-MONTH(J111))))))))</f>
        <v/>
      </c>
      <c r="U111">
        <f>IF(OR(M111="",NOT(ISNUMBER(J111))),"",IF(N(M111)&lt;=0,"",MIN(N(H111)-1,INT(ROUND(N111/M111,6)))))</f>
        <v/>
      </c>
      <c r="V111">
        <f>IF(T111="","",IF(T111&gt;=N(H111),L111,M111*T111))</f>
        <v/>
      </c>
      <c r="W111">
        <f>IF(V111="",0,MAX(0,ROUND(V111-N111,2)))</f>
        <v/>
      </c>
      <c r="X111">
        <f>IF(OR(R111="",R111="Paid off",NOT(ISNUMBER(P111))),"",P111*1000+ROW())</f>
        <v/>
      </c>
      <c r="Y111">
        <f>IF(C111="","",IF(AND(COUNTIF(C$6:C111,C111)=1,SUMIFS(Loans!$O$6:$O$305,Loans!$C$6:$C$305,C111,Loans!$O$6:$O$305,"&gt;0")&gt;0),ROW(),""))</f>
        <v/>
      </c>
      <c r="Z111">
        <f>IF(OR(C111="",P111=""),"",IF(D111="I borrowed","From you","To you"))</f>
        <v/>
      </c>
    </row>
    <row r="112">
      <c r="A112" s="1" t="n"/>
      <c r="B112" s="15" t="n">
        <v>107</v>
      </c>
      <c r="C112" s="16" t="n"/>
      <c r="D112" s="17" t="n"/>
      <c r="E112" s="18" t="n"/>
      <c r="F112" s="19" t="n"/>
      <c r="G112" s="20" t="n"/>
      <c r="H112" s="21" t="n"/>
      <c r="I112" s="17" t="n"/>
      <c r="J112" s="18" t="n"/>
      <c r="K112" s="22" t="n"/>
      <c r="L112" s="23">
        <f>IF(C112="","",ROUND(N(F112)*(1+N(G112)/100*IF(N(H112)&gt;0,N(H112)*IF(I112="Week",7/365,IF(I112="2 weeks",14/365,1/12)),IF(ISNUMBER(E112),MAX(0,TODAY()-E112)/365,0))),2))</f>
        <v/>
      </c>
      <c r="M112" s="23">
        <f>IF(OR(C112="",N(H112)&lt;=0),"",ROUND(L112/N(H112),2))</f>
        <v/>
      </c>
      <c r="N112" s="23">
        <f>IF(C112="","",SUMIFS(Payments!$D$6:$D$805,Payments!$G$6:$G$805,B112))</f>
        <v/>
      </c>
      <c r="O112" s="24">
        <f>IF(C112="","",ROUND(L112-N112,2))</f>
        <v/>
      </c>
      <c r="P112" s="11">
        <f>IF(OR(U112="",N(O112)&lt;=0),"",IF(I112="Week",J112+7*U112,IF(I112="2 weeks",J112+14*U112,EDATE(J112,U112))))</f>
        <v/>
      </c>
      <c r="Q112" s="23">
        <f>IF(P112="","",IF(U112=N(H112)-1,O112,ROUND(M112*(U112+1)-N112,2)))</f>
        <v/>
      </c>
      <c r="R112" s="25">
        <f>IF(C112="","",IF(O112&lt;=0,"Paid off",IF(OR(M112="",NOT(ISNUMBER(J112))),"Open",IF(W112&gt;0,"Overdue",IF(AND(ISNUMBER(P112),P112-TODAY()&lt;=Settings!$C$6),"Due soon","On track")))))</f>
        <v/>
      </c>
      <c r="S112" s="1">
        <f>IF(C112="","",B112&amp;" "&amp;C112)</f>
        <v/>
      </c>
      <c r="T112">
        <f>IF(OR(M112="",NOT(ISNUMBER(J112))),"",MIN(N(H112),IF(I112="Week",IF((TODAY()-1)&lt;J112,0,INT(((TODAY()-1)-J112)/7)+1),IF(I112="2 weeks",IF((TODAY()-1)&lt;J112,0,INT(((TODAY()-1)-J112)/14)+1),IF(((YEAR((TODAY()-1))-YEAR(J112))*12+MONTH((TODAY()-1))-MONTH(J112))&lt;0,0,IF(EDATE(J112,((YEAR((TODAY()-1))-YEAR(J112))*12+MONTH((TODAY()-1))-MONTH(J112)))&lt;=(TODAY()-1),((YEAR((TODAY()-1))-YEAR(J112))*12+MONTH((TODAY()-1))-MONTH(J112))+1,((YEAR((TODAY()-1))-YEAR(J112))*12+MONTH((TODAY()-1))-MONTH(J112))))))))</f>
        <v/>
      </c>
      <c r="U112">
        <f>IF(OR(M112="",NOT(ISNUMBER(J112))),"",IF(N(M112)&lt;=0,"",MIN(N(H112)-1,INT(ROUND(N112/M112,6)))))</f>
        <v/>
      </c>
      <c r="V112">
        <f>IF(T112="","",IF(T112&gt;=N(H112),L112,M112*T112))</f>
        <v/>
      </c>
      <c r="W112">
        <f>IF(V112="",0,MAX(0,ROUND(V112-N112,2)))</f>
        <v/>
      </c>
      <c r="X112">
        <f>IF(OR(R112="",R112="Paid off",NOT(ISNUMBER(P112))),"",P112*1000+ROW())</f>
        <v/>
      </c>
      <c r="Y112">
        <f>IF(C112="","",IF(AND(COUNTIF(C$6:C112,C112)=1,SUMIFS(Loans!$O$6:$O$305,Loans!$C$6:$C$305,C112,Loans!$O$6:$O$305,"&gt;0")&gt;0),ROW(),""))</f>
        <v/>
      </c>
      <c r="Z112">
        <f>IF(OR(C112="",P112=""),"",IF(D112="I borrowed","From you","To you"))</f>
        <v/>
      </c>
    </row>
    <row r="113">
      <c r="A113" s="1" t="n"/>
      <c r="B113" s="15" t="n">
        <v>108</v>
      </c>
      <c r="C113" s="16" t="n"/>
      <c r="D113" s="17" t="n"/>
      <c r="E113" s="18" t="n"/>
      <c r="F113" s="19" t="n"/>
      <c r="G113" s="20" t="n"/>
      <c r="H113" s="21" t="n"/>
      <c r="I113" s="17" t="n"/>
      <c r="J113" s="18" t="n"/>
      <c r="K113" s="22" t="n"/>
      <c r="L113" s="23">
        <f>IF(C113="","",ROUND(N(F113)*(1+N(G113)/100*IF(N(H113)&gt;0,N(H113)*IF(I113="Week",7/365,IF(I113="2 weeks",14/365,1/12)),IF(ISNUMBER(E113),MAX(0,TODAY()-E113)/365,0))),2))</f>
        <v/>
      </c>
      <c r="M113" s="23">
        <f>IF(OR(C113="",N(H113)&lt;=0),"",ROUND(L113/N(H113),2))</f>
        <v/>
      </c>
      <c r="N113" s="23">
        <f>IF(C113="","",SUMIFS(Payments!$D$6:$D$805,Payments!$G$6:$G$805,B113))</f>
        <v/>
      </c>
      <c r="O113" s="24">
        <f>IF(C113="","",ROUND(L113-N113,2))</f>
        <v/>
      </c>
      <c r="P113" s="11">
        <f>IF(OR(U113="",N(O113)&lt;=0),"",IF(I113="Week",J113+7*U113,IF(I113="2 weeks",J113+14*U113,EDATE(J113,U113))))</f>
        <v/>
      </c>
      <c r="Q113" s="23">
        <f>IF(P113="","",IF(U113=N(H113)-1,O113,ROUND(M113*(U113+1)-N113,2)))</f>
        <v/>
      </c>
      <c r="R113" s="25">
        <f>IF(C113="","",IF(O113&lt;=0,"Paid off",IF(OR(M113="",NOT(ISNUMBER(J113))),"Open",IF(W113&gt;0,"Overdue",IF(AND(ISNUMBER(P113),P113-TODAY()&lt;=Settings!$C$6),"Due soon","On track")))))</f>
        <v/>
      </c>
      <c r="S113" s="1">
        <f>IF(C113="","",B113&amp;" "&amp;C113)</f>
        <v/>
      </c>
      <c r="T113">
        <f>IF(OR(M113="",NOT(ISNUMBER(J113))),"",MIN(N(H113),IF(I113="Week",IF((TODAY()-1)&lt;J113,0,INT(((TODAY()-1)-J113)/7)+1),IF(I113="2 weeks",IF((TODAY()-1)&lt;J113,0,INT(((TODAY()-1)-J113)/14)+1),IF(((YEAR((TODAY()-1))-YEAR(J113))*12+MONTH((TODAY()-1))-MONTH(J113))&lt;0,0,IF(EDATE(J113,((YEAR((TODAY()-1))-YEAR(J113))*12+MONTH((TODAY()-1))-MONTH(J113)))&lt;=(TODAY()-1),((YEAR((TODAY()-1))-YEAR(J113))*12+MONTH((TODAY()-1))-MONTH(J113))+1,((YEAR((TODAY()-1))-YEAR(J113))*12+MONTH((TODAY()-1))-MONTH(J113))))))))</f>
        <v/>
      </c>
      <c r="U113">
        <f>IF(OR(M113="",NOT(ISNUMBER(J113))),"",IF(N(M113)&lt;=0,"",MIN(N(H113)-1,INT(ROUND(N113/M113,6)))))</f>
        <v/>
      </c>
      <c r="V113">
        <f>IF(T113="","",IF(T113&gt;=N(H113),L113,M113*T113))</f>
        <v/>
      </c>
      <c r="W113">
        <f>IF(V113="",0,MAX(0,ROUND(V113-N113,2)))</f>
        <v/>
      </c>
      <c r="X113">
        <f>IF(OR(R113="",R113="Paid off",NOT(ISNUMBER(P113))),"",P113*1000+ROW())</f>
        <v/>
      </c>
      <c r="Y113">
        <f>IF(C113="","",IF(AND(COUNTIF(C$6:C113,C113)=1,SUMIFS(Loans!$O$6:$O$305,Loans!$C$6:$C$305,C113,Loans!$O$6:$O$305,"&gt;0")&gt;0),ROW(),""))</f>
        <v/>
      </c>
      <c r="Z113">
        <f>IF(OR(C113="",P113=""),"",IF(D113="I borrowed","From you","To you"))</f>
        <v/>
      </c>
    </row>
    <row r="114">
      <c r="A114" s="1" t="n"/>
      <c r="B114" s="15" t="n">
        <v>109</v>
      </c>
      <c r="C114" s="16" t="n"/>
      <c r="D114" s="17" t="n"/>
      <c r="E114" s="18" t="n"/>
      <c r="F114" s="19" t="n"/>
      <c r="G114" s="20" t="n"/>
      <c r="H114" s="21" t="n"/>
      <c r="I114" s="17" t="n"/>
      <c r="J114" s="18" t="n"/>
      <c r="K114" s="22" t="n"/>
      <c r="L114" s="23">
        <f>IF(C114="","",ROUND(N(F114)*(1+N(G114)/100*IF(N(H114)&gt;0,N(H114)*IF(I114="Week",7/365,IF(I114="2 weeks",14/365,1/12)),IF(ISNUMBER(E114),MAX(0,TODAY()-E114)/365,0))),2))</f>
        <v/>
      </c>
      <c r="M114" s="23">
        <f>IF(OR(C114="",N(H114)&lt;=0),"",ROUND(L114/N(H114),2))</f>
        <v/>
      </c>
      <c r="N114" s="23">
        <f>IF(C114="","",SUMIFS(Payments!$D$6:$D$805,Payments!$G$6:$G$805,B114))</f>
        <v/>
      </c>
      <c r="O114" s="24">
        <f>IF(C114="","",ROUND(L114-N114,2))</f>
        <v/>
      </c>
      <c r="P114" s="11">
        <f>IF(OR(U114="",N(O114)&lt;=0),"",IF(I114="Week",J114+7*U114,IF(I114="2 weeks",J114+14*U114,EDATE(J114,U114))))</f>
        <v/>
      </c>
      <c r="Q114" s="23">
        <f>IF(P114="","",IF(U114=N(H114)-1,O114,ROUND(M114*(U114+1)-N114,2)))</f>
        <v/>
      </c>
      <c r="R114" s="25">
        <f>IF(C114="","",IF(O114&lt;=0,"Paid off",IF(OR(M114="",NOT(ISNUMBER(J114))),"Open",IF(W114&gt;0,"Overdue",IF(AND(ISNUMBER(P114),P114-TODAY()&lt;=Settings!$C$6),"Due soon","On track")))))</f>
        <v/>
      </c>
      <c r="S114" s="1">
        <f>IF(C114="","",B114&amp;" "&amp;C114)</f>
        <v/>
      </c>
      <c r="T114">
        <f>IF(OR(M114="",NOT(ISNUMBER(J114))),"",MIN(N(H114),IF(I114="Week",IF((TODAY()-1)&lt;J114,0,INT(((TODAY()-1)-J114)/7)+1),IF(I114="2 weeks",IF((TODAY()-1)&lt;J114,0,INT(((TODAY()-1)-J114)/14)+1),IF(((YEAR((TODAY()-1))-YEAR(J114))*12+MONTH((TODAY()-1))-MONTH(J114))&lt;0,0,IF(EDATE(J114,((YEAR((TODAY()-1))-YEAR(J114))*12+MONTH((TODAY()-1))-MONTH(J114)))&lt;=(TODAY()-1),((YEAR((TODAY()-1))-YEAR(J114))*12+MONTH((TODAY()-1))-MONTH(J114))+1,((YEAR((TODAY()-1))-YEAR(J114))*12+MONTH((TODAY()-1))-MONTH(J114))))))))</f>
        <v/>
      </c>
      <c r="U114">
        <f>IF(OR(M114="",NOT(ISNUMBER(J114))),"",IF(N(M114)&lt;=0,"",MIN(N(H114)-1,INT(ROUND(N114/M114,6)))))</f>
        <v/>
      </c>
      <c r="V114">
        <f>IF(T114="","",IF(T114&gt;=N(H114),L114,M114*T114))</f>
        <v/>
      </c>
      <c r="W114">
        <f>IF(V114="",0,MAX(0,ROUND(V114-N114,2)))</f>
        <v/>
      </c>
      <c r="X114">
        <f>IF(OR(R114="",R114="Paid off",NOT(ISNUMBER(P114))),"",P114*1000+ROW())</f>
        <v/>
      </c>
      <c r="Y114">
        <f>IF(C114="","",IF(AND(COUNTIF(C$6:C114,C114)=1,SUMIFS(Loans!$O$6:$O$305,Loans!$C$6:$C$305,C114,Loans!$O$6:$O$305,"&gt;0")&gt;0),ROW(),""))</f>
        <v/>
      </c>
      <c r="Z114">
        <f>IF(OR(C114="",P114=""),"",IF(D114="I borrowed","From you","To you"))</f>
        <v/>
      </c>
    </row>
    <row r="115">
      <c r="A115" s="1" t="n"/>
      <c r="B115" s="15" t="n">
        <v>110</v>
      </c>
      <c r="C115" s="16" t="n"/>
      <c r="D115" s="17" t="n"/>
      <c r="E115" s="18" t="n"/>
      <c r="F115" s="19" t="n"/>
      <c r="G115" s="20" t="n"/>
      <c r="H115" s="21" t="n"/>
      <c r="I115" s="17" t="n"/>
      <c r="J115" s="18" t="n"/>
      <c r="K115" s="22" t="n"/>
      <c r="L115" s="23">
        <f>IF(C115="","",ROUND(N(F115)*(1+N(G115)/100*IF(N(H115)&gt;0,N(H115)*IF(I115="Week",7/365,IF(I115="2 weeks",14/365,1/12)),IF(ISNUMBER(E115),MAX(0,TODAY()-E115)/365,0))),2))</f>
        <v/>
      </c>
      <c r="M115" s="23">
        <f>IF(OR(C115="",N(H115)&lt;=0),"",ROUND(L115/N(H115),2))</f>
        <v/>
      </c>
      <c r="N115" s="23">
        <f>IF(C115="","",SUMIFS(Payments!$D$6:$D$805,Payments!$G$6:$G$805,B115))</f>
        <v/>
      </c>
      <c r="O115" s="24">
        <f>IF(C115="","",ROUND(L115-N115,2))</f>
        <v/>
      </c>
      <c r="P115" s="11">
        <f>IF(OR(U115="",N(O115)&lt;=0),"",IF(I115="Week",J115+7*U115,IF(I115="2 weeks",J115+14*U115,EDATE(J115,U115))))</f>
        <v/>
      </c>
      <c r="Q115" s="23">
        <f>IF(P115="","",IF(U115=N(H115)-1,O115,ROUND(M115*(U115+1)-N115,2)))</f>
        <v/>
      </c>
      <c r="R115" s="25">
        <f>IF(C115="","",IF(O115&lt;=0,"Paid off",IF(OR(M115="",NOT(ISNUMBER(J115))),"Open",IF(W115&gt;0,"Overdue",IF(AND(ISNUMBER(P115),P115-TODAY()&lt;=Settings!$C$6),"Due soon","On track")))))</f>
        <v/>
      </c>
      <c r="S115" s="1">
        <f>IF(C115="","",B115&amp;" "&amp;C115)</f>
        <v/>
      </c>
      <c r="T115">
        <f>IF(OR(M115="",NOT(ISNUMBER(J115))),"",MIN(N(H115),IF(I115="Week",IF((TODAY()-1)&lt;J115,0,INT(((TODAY()-1)-J115)/7)+1),IF(I115="2 weeks",IF((TODAY()-1)&lt;J115,0,INT(((TODAY()-1)-J115)/14)+1),IF(((YEAR((TODAY()-1))-YEAR(J115))*12+MONTH((TODAY()-1))-MONTH(J115))&lt;0,0,IF(EDATE(J115,((YEAR((TODAY()-1))-YEAR(J115))*12+MONTH((TODAY()-1))-MONTH(J115)))&lt;=(TODAY()-1),((YEAR((TODAY()-1))-YEAR(J115))*12+MONTH((TODAY()-1))-MONTH(J115))+1,((YEAR((TODAY()-1))-YEAR(J115))*12+MONTH((TODAY()-1))-MONTH(J115))))))))</f>
        <v/>
      </c>
      <c r="U115">
        <f>IF(OR(M115="",NOT(ISNUMBER(J115))),"",IF(N(M115)&lt;=0,"",MIN(N(H115)-1,INT(ROUND(N115/M115,6)))))</f>
        <v/>
      </c>
      <c r="V115">
        <f>IF(T115="","",IF(T115&gt;=N(H115),L115,M115*T115))</f>
        <v/>
      </c>
      <c r="W115">
        <f>IF(V115="",0,MAX(0,ROUND(V115-N115,2)))</f>
        <v/>
      </c>
      <c r="X115">
        <f>IF(OR(R115="",R115="Paid off",NOT(ISNUMBER(P115))),"",P115*1000+ROW())</f>
        <v/>
      </c>
      <c r="Y115">
        <f>IF(C115="","",IF(AND(COUNTIF(C$6:C115,C115)=1,SUMIFS(Loans!$O$6:$O$305,Loans!$C$6:$C$305,C115,Loans!$O$6:$O$305,"&gt;0")&gt;0),ROW(),""))</f>
        <v/>
      </c>
      <c r="Z115">
        <f>IF(OR(C115="",P115=""),"",IF(D115="I borrowed","From you","To you"))</f>
        <v/>
      </c>
    </row>
    <row r="116">
      <c r="A116" s="1" t="n"/>
      <c r="B116" s="15" t="n">
        <v>111</v>
      </c>
      <c r="C116" s="16" t="n"/>
      <c r="D116" s="17" t="n"/>
      <c r="E116" s="18" t="n"/>
      <c r="F116" s="19" t="n"/>
      <c r="G116" s="20" t="n"/>
      <c r="H116" s="21" t="n"/>
      <c r="I116" s="17" t="n"/>
      <c r="J116" s="18" t="n"/>
      <c r="K116" s="22" t="n"/>
      <c r="L116" s="23">
        <f>IF(C116="","",ROUND(N(F116)*(1+N(G116)/100*IF(N(H116)&gt;0,N(H116)*IF(I116="Week",7/365,IF(I116="2 weeks",14/365,1/12)),IF(ISNUMBER(E116),MAX(0,TODAY()-E116)/365,0))),2))</f>
        <v/>
      </c>
      <c r="M116" s="23">
        <f>IF(OR(C116="",N(H116)&lt;=0),"",ROUND(L116/N(H116),2))</f>
        <v/>
      </c>
      <c r="N116" s="23">
        <f>IF(C116="","",SUMIFS(Payments!$D$6:$D$805,Payments!$G$6:$G$805,B116))</f>
        <v/>
      </c>
      <c r="O116" s="24">
        <f>IF(C116="","",ROUND(L116-N116,2))</f>
        <v/>
      </c>
      <c r="P116" s="11">
        <f>IF(OR(U116="",N(O116)&lt;=0),"",IF(I116="Week",J116+7*U116,IF(I116="2 weeks",J116+14*U116,EDATE(J116,U116))))</f>
        <v/>
      </c>
      <c r="Q116" s="23">
        <f>IF(P116="","",IF(U116=N(H116)-1,O116,ROUND(M116*(U116+1)-N116,2)))</f>
        <v/>
      </c>
      <c r="R116" s="25">
        <f>IF(C116="","",IF(O116&lt;=0,"Paid off",IF(OR(M116="",NOT(ISNUMBER(J116))),"Open",IF(W116&gt;0,"Overdue",IF(AND(ISNUMBER(P116),P116-TODAY()&lt;=Settings!$C$6),"Due soon","On track")))))</f>
        <v/>
      </c>
      <c r="S116" s="1">
        <f>IF(C116="","",B116&amp;" "&amp;C116)</f>
        <v/>
      </c>
      <c r="T116">
        <f>IF(OR(M116="",NOT(ISNUMBER(J116))),"",MIN(N(H116),IF(I116="Week",IF((TODAY()-1)&lt;J116,0,INT(((TODAY()-1)-J116)/7)+1),IF(I116="2 weeks",IF((TODAY()-1)&lt;J116,0,INT(((TODAY()-1)-J116)/14)+1),IF(((YEAR((TODAY()-1))-YEAR(J116))*12+MONTH((TODAY()-1))-MONTH(J116))&lt;0,0,IF(EDATE(J116,((YEAR((TODAY()-1))-YEAR(J116))*12+MONTH((TODAY()-1))-MONTH(J116)))&lt;=(TODAY()-1),((YEAR((TODAY()-1))-YEAR(J116))*12+MONTH((TODAY()-1))-MONTH(J116))+1,((YEAR((TODAY()-1))-YEAR(J116))*12+MONTH((TODAY()-1))-MONTH(J116))))))))</f>
        <v/>
      </c>
      <c r="U116">
        <f>IF(OR(M116="",NOT(ISNUMBER(J116))),"",IF(N(M116)&lt;=0,"",MIN(N(H116)-1,INT(ROUND(N116/M116,6)))))</f>
        <v/>
      </c>
      <c r="V116">
        <f>IF(T116="","",IF(T116&gt;=N(H116),L116,M116*T116))</f>
        <v/>
      </c>
      <c r="W116">
        <f>IF(V116="",0,MAX(0,ROUND(V116-N116,2)))</f>
        <v/>
      </c>
      <c r="X116">
        <f>IF(OR(R116="",R116="Paid off",NOT(ISNUMBER(P116))),"",P116*1000+ROW())</f>
        <v/>
      </c>
      <c r="Y116">
        <f>IF(C116="","",IF(AND(COUNTIF(C$6:C116,C116)=1,SUMIFS(Loans!$O$6:$O$305,Loans!$C$6:$C$305,C116,Loans!$O$6:$O$305,"&gt;0")&gt;0),ROW(),""))</f>
        <v/>
      </c>
      <c r="Z116">
        <f>IF(OR(C116="",P116=""),"",IF(D116="I borrowed","From you","To you"))</f>
        <v/>
      </c>
    </row>
    <row r="117">
      <c r="A117" s="1" t="n"/>
      <c r="B117" s="15" t="n">
        <v>112</v>
      </c>
      <c r="C117" s="16" t="n"/>
      <c r="D117" s="17" t="n"/>
      <c r="E117" s="18" t="n"/>
      <c r="F117" s="19" t="n"/>
      <c r="G117" s="20" t="n"/>
      <c r="H117" s="21" t="n"/>
      <c r="I117" s="17" t="n"/>
      <c r="J117" s="18" t="n"/>
      <c r="K117" s="22" t="n"/>
      <c r="L117" s="23">
        <f>IF(C117="","",ROUND(N(F117)*(1+N(G117)/100*IF(N(H117)&gt;0,N(H117)*IF(I117="Week",7/365,IF(I117="2 weeks",14/365,1/12)),IF(ISNUMBER(E117),MAX(0,TODAY()-E117)/365,0))),2))</f>
        <v/>
      </c>
      <c r="M117" s="23">
        <f>IF(OR(C117="",N(H117)&lt;=0),"",ROUND(L117/N(H117),2))</f>
        <v/>
      </c>
      <c r="N117" s="23">
        <f>IF(C117="","",SUMIFS(Payments!$D$6:$D$805,Payments!$G$6:$G$805,B117))</f>
        <v/>
      </c>
      <c r="O117" s="24">
        <f>IF(C117="","",ROUND(L117-N117,2))</f>
        <v/>
      </c>
      <c r="P117" s="11">
        <f>IF(OR(U117="",N(O117)&lt;=0),"",IF(I117="Week",J117+7*U117,IF(I117="2 weeks",J117+14*U117,EDATE(J117,U117))))</f>
        <v/>
      </c>
      <c r="Q117" s="23">
        <f>IF(P117="","",IF(U117=N(H117)-1,O117,ROUND(M117*(U117+1)-N117,2)))</f>
        <v/>
      </c>
      <c r="R117" s="25">
        <f>IF(C117="","",IF(O117&lt;=0,"Paid off",IF(OR(M117="",NOT(ISNUMBER(J117))),"Open",IF(W117&gt;0,"Overdue",IF(AND(ISNUMBER(P117),P117-TODAY()&lt;=Settings!$C$6),"Due soon","On track")))))</f>
        <v/>
      </c>
      <c r="S117" s="1">
        <f>IF(C117="","",B117&amp;" "&amp;C117)</f>
        <v/>
      </c>
      <c r="T117">
        <f>IF(OR(M117="",NOT(ISNUMBER(J117))),"",MIN(N(H117),IF(I117="Week",IF((TODAY()-1)&lt;J117,0,INT(((TODAY()-1)-J117)/7)+1),IF(I117="2 weeks",IF((TODAY()-1)&lt;J117,0,INT(((TODAY()-1)-J117)/14)+1),IF(((YEAR((TODAY()-1))-YEAR(J117))*12+MONTH((TODAY()-1))-MONTH(J117))&lt;0,0,IF(EDATE(J117,((YEAR((TODAY()-1))-YEAR(J117))*12+MONTH((TODAY()-1))-MONTH(J117)))&lt;=(TODAY()-1),((YEAR((TODAY()-1))-YEAR(J117))*12+MONTH((TODAY()-1))-MONTH(J117))+1,((YEAR((TODAY()-1))-YEAR(J117))*12+MONTH((TODAY()-1))-MONTH(J117))))))))</f>
        <v/>
      </c>
      <c r="U117">
        <f>IF(OR(M117="",NOT(ISNUMBER(J117))),"",IF(N(M117)&lt;=0,"",MIN(N(H117)-1,INT(ROUND(N117/M117,6)))))</f>
        <v/>
      </c>
      <c r="V117">
        <f>IF(T117="","",IF(T117&gt;=N(H117),L117,M117*T117))</f>
        <v/>
      </c>
      <c r="W117">
        <f>IF(V117="",0,MAX(0,ROUND(V117-N117,2)))</f>
        <v/>
      </c>
      <c r="X117">
        <f>IF(OR(R117="",R117="Paid off",NOT(ISNUMBER(P117))),"",P117*1000+ROW())</f>
        <v/>
      </c>
      <c r="Y117">
        <f>IF(C117="","",IF(AND(COUNTIF(C$6:C117,C117)=1,SUMIFS(Loans!$O$6:$O$305,Loans!$C$6:$C$305,C117,Loans!$O$6:$O$305,"&gt;0")&gt;0),ROW(),""))</f>
        <v/>
      </c>
      <c r="Z117">
        <f>IF(OR(C117="",P117=""),"",IF(D117="I borrowed","From you","To you"))</f>
        <v/>
      </c>
    </row>
    <row r="118">
      <c r="A118" s="1" t="n"/>
      <c r="B118" s="15" t="n">
        <v>113</v>
      </c>
      <c r="C118" s="16" t="n"/>
      <c r="D118" s="17" t="n"/>
      <c r="E118" s="18" t="n"/>
      <c r="F118" s="19" t="n"/>
      <c r="G118" s="20" t="n"/>
      <c r="H118" s="21" t="n"/>
      <c r="I118" s="17" t="n"/>
      <c r="J118" s="18" t="n"/>
      <c r="K118" s="22" t="n"/>
      <c r="L118" s="23">
        <f>IF(C118="","",ROUND(N(F118)*(1+N(G118)/100*IF(N(H118)&gt;0,N(H118)*IF(I118="Week",7/365,IF(I118="2 weeks",14/365,1/12)),IF(ISNUMBER(E118),MAX(0,TODAY()-E118)/365,0))),2))</f>
        <v/>
      </c>
      <c r="M118" s="23">
        <f>IF(OR(C118="",N(H118)&lt;=0),"",ROUND(L118/N(H118),2))</f>
        <v/>
      </c>
      <c r="N118" s="23">
        <f>IF(C118="","",SUMIFS(Payments!$D$6:$D$805,Payments!$G$6:$G$805,B118))</f>
        <v/>
      </c>
      <c r="O118" s="24">
        <f>IF(C118="","",ROUND(L118-N118,2))</f>
        <v/>
      </c>
      <c r="P118" s="11">
        <f>IF(OR(U118="",N(O118)&lt;=0),"",IF(I118="Week",J118+7*U118,IF(I118="2 weeks",J118+14*U118,EDATE(J118,U118))))</f>
        <v/>
      </c>
      <c r="Q118" s="23">
        <f>IF(P118="","",IF(U118=N(H118)-1,O118,ROUND(M118*(U118+1)-N118,2)))</f>
        <v/>
      </c>
      <c r="R118" s="25">
        <f>IF(C118="","",IF(O118&lt;=0,"Paid off",IF(OR(M118="",NOT(ISNUMBER(J118))),"Open",IF(W118&gt;0,"Overdue",IF(AND(ISNUMBER(P118),P118-TODAY()&lt;=Settings!$C$6),"Due soon","On track")))))</f>
        <v/>
      </c>
      <c r="S118" s="1">
        <f>IF(C118="","",B118&amp;" "&amp;C118)</f>
        <v/>
      </c>
      <c r="T118">
        <f>IF(OR(M118="",NOT(ISNUMBER(J118))),"",MIN(N(H118),IF(I118="Week",IF((TODAY()-1)&lt;J118,0,INT(((TODAY()-1)-J118)/7)+1),IF(I118="2 weeks",IF((TODAY()-1)&lt;J118,0,INT(((TODAY()-1)-J118)/14)+1),IF(((YEAR((TODAY()-1))-YEAR(J118))*12+MONTH((TODAY()-1))-MONTH(J118))&lt;0,0,IF(EDATE(J118,((YEAR((TODAY()-1))-YEAR(J118))*12+MONTH((TODAY()-1))-MONTH(J118)))&lt;=(TODAY()-1),((YEAR((TODAY()-1))-YEAR(J118))*12+MONTH((TODAY()-1))-MONTH(J118))+1,((YEAR((TODAY()-1))-YEAR(J118))*12+MONTH((TODAY()-1))-MONTH(J118))))))))</f>
        <v/>
      </c>
      <c r="U118">
        <f>IF(OR(M118="",NOT(ISNUMBER(J118))),"",IF(N(M118)&lt;=0,"",MIN(N(H118)-1,INT(ROUND(N118/M118,6)))))</f>
        <v/>
      </c>
      <c r="V118">
        <f>IF(T118="","",IF(T118&gt;=N(H118),L118,M118*T118))</f>
        <v/>
      </c>
      <c r="W118">
        <f>IF(V118="",0,MAX(0,ROUND(V118-N118,2)))</f>
        <v/>
      </c>
      <c r="X118">
        <f>IF(OR(R118="",R118="Paid off",NOT(ISNUMBER(P118))),"",P118*1000+ROW())</f>
        <v/>
      </c>
      <c r="Y118">
        <f>IF(C118="","",IF(AND(COUNTIF(C$6:C118,C118)=1,SUMIFS(Loans!$O$6:$O$305,Loans!$C$6:$C$305,C118,Loans!$O$6:$O$305,"&gt;0")&gt;0),ROW(),""))</f>
        <v/>
      </c>
      <c r="Z118">
        <f>IF(OR(C118="",P118=""),"",IF(D118="I borrowed","From you","To you"))</f>
        <v/>
      </c>
    </row>
    <row r="119">
      <c r="A119" s="1" t="n"/>
      <c r="B119" s="15" t="n">
        <v>114</v>
      </c>
      <c r="C119" s="16" t="n"/>
      <c r="D119" s="17" t="n"/>
      <c r="E119" s="18" t="n"/>
      <c r="F119" s="19" t="n"/>
      <c r="G119" s="20" t="n"/>
      <c r="H119" s="21" t="n"/>
      <c r="I119" s="17" t="n"/>
      <c r="J119" s="18" t="n"/>
      <c r="K119" s="22" t="n"/>
      <c r="L119" s="23">
        <f>IF(C119="","",ROUND(N(F119)*(1+N(G119)/100*IF(N(H119)&gt;0,N(H119)*IF(I119="Week",7/365,IF(I119="2 weeks",14/365,1/12)),IF(ISNUMBER(E119),MAX(0,TODAY()-E119)/365,0))),2))</f>
        <v/>
      </c>
      <c r="M119" s="23">
        <f>IF(OR(C119="",N(H119)&lt;=0),"",ROUND(L119/N(H119),2))</f>
        <v/>
      </c>
      <c r="N119" s="23">
        <f>IF(C119="","",SUMIFS(Payments!$D$6:$D$805,Payments!$G$6:$G$805,B119))</f>
        <v/>
      </c>
      <c r="O119" s="24">
        <f>IF(C119="","",ROUND(L119-N119,2))</f>
        <v/>
      </c>
      <c r="P119" s="11">
        <f>IF(OR(U119="",N(O119)&lt;=0),"",IF(I119="Week",J119+7*U119,IF(I119="2 weeks",J119+14*U119,EDATE(J119,U119))))</f>
        <v/>
      </c>
      <c r="Q119" s="23">
        <f>IF(P119="","",IF(U119=N(H119)-1,O119,ROUND(M119*(U119+1)-N119,2)))</f>
        <v/>
      </c>
      <c r="R119" s="25">
        <f>IF(C119="","",IF(O119&lt;=0,"Paid off",IF(OR(M119="",NOT(ISNUMBER(J119))),"Open",IF(W119&gt;0,"Overdue",IF(AND(ISNUMBER(P119),P119-TODAY()&lt;=Settings!$C$6),"Due soon","On track")))))</f>
        <v/>
      </c>
      <c r="S119" s="1">
        <f>IF(C119="","",B119&amp;" "&amp;C119)</f>
        <v/>
      </c>
      <c r="T119">
        <f>IF(OR(M119="",NOT(ISNUMBER(J119))),"",MIN(N(H119),IF(I119="Week",IF((TODAY()-1)&lt;J119,0,INT(((TODAY()-1)-J119)/7)+1),IF(I119="2 weeks",IF((TODAY()-1)&lt;J119,0,INT(((TODAY()-1)-J119)/14)+1),IF(((YEAR((TODAY()-1))-YEAR(J119))*12+MONTH((TODAY()-1))-MONTH(J119))&lt;0,0,IF(EDATE(J119,((YEAR((TODAY()-1))-YEAR(J119))*12+MONTH((TODAY()-1))-MONTH(J119)))&lt;=(TODAY()-1),((YEAR((TODAY()-1))-YEAR(J119))*12+MONTH((TODAY()-1))-MONTH(J119))+1,((YEAR((TODAY()-1))-YEAR(J119))*12+MONTH((TODAY()-1))-MONTH(J119))))))))</f>
        <v/>
      </c>
      <c r="U119">
        <f>IF(OR(M119="",NOT(ISNUMBER(J119))),"",IF(N(M119)&lt;=0,"",MIN(N(H119)-1,INT(ROUND(N119/M119,6)))))</f>
        <v/>
      </c>
      <c r="V119">
        <f>IF(T119="","",IF(T119&gt;=N(H119),L119,M119*T119))</f>
        <v/>
      </c>
      <c r="W119">
        <f>IF(V119="",0,MAX(0,ROUND(V119-N119,2)))</f>
        <v/>
      </c>
      <c r="X119">
        <f>IF(OR(R119="",R119="Paid off",NOT(ISNUMBER(P119))),"",P119*1000+ROW())</f>
        <v/>
      </c>
      <c r="Y119">
        <f>IF(C119="","",IF(AND(COUNTIF(C$6:C119,C119)=1,SUMIFS(Loans!$O$6:$O$305,Loans!$C$6:$C$305,C119,Loans!$O$6:$O$305,"&gt;0")&gt;0),ROW(),""))</f>
        <v/>
      </c>
      <c r="Z119">
        <f>IF(OR(C119="",P119=""),"",IF(D119="I borrowed","From you","To you"))</f>
        <v/>
      </c>
    </row>
    <row r="120">
      <c r="A120" s="1" t="n"/>
      <c r="B120" s="15" t="n">
        <v>115</v>
      </c>
      <c r="C120" s="16" t="n"/>
      <c r="D120" s="17" t="n"/>
      <c r="E120" s="18" t="n"/>
      <c r="F120" s="19" t="n"/>
      <c r="G120" s="20" t="n"/>
      <c r="H120" s="21" t="n"/>
      <c r="I120" s="17" t="n"/>
      <c r="J120" s="18" t="n"/>
      <c r="K120" s="22" t="n"/>
      <c r="L120" s="23">
        <f>IF(C120="","",ROUND(N(F120)*(1+N(G120)/100*IF(N(H120)&gt;0,N(H120)*IF(I120="Week",7/365,IF(I120="2 weeks",14/365,1/12)),IF(ISNUMBER(E120),MAX(0,TODAY()-E120)/365,0))),2))</f>
        <v/>
      </c>
      <c r="M120" s="23">
        <f>IF(OR(C120="",N(H120)&lt;=0),"",ROUND(L120/N(H120),2))</f>
        <v/>
      </c>
      <c r="N120" s="23">
        <f>IF(C120="","",SUMIFS(Payments!$D$6:$D$805,Payments!$G$6:$G$805,B120))</f>
        <v/>
      </c>
      <c r="O120" s="24">
        <f>IF(C120="","",ROUND(L120-N120,2))</f>
        <v/>
      </c>
      <c r="P120" s="11">
        <f>IF(OR(U120="",N(O120)&lt;=0),"",IF(I120="Week",J120+7*U120,IF(I120="2 weeks",J120+14*U120,EDATE(J120,U120))))</f>
        <v/>
      </c>
      <c r="Q120" s="23">
        <f>IF(P120="","",IF(U120=N(H120)-1,O120,ROUND(M120*(U120+1)-N120,2)))</f>
        <v/>
      </c>
      <c r="R120" s="25">
        <f>IF(C120="","",IF(O120&lt;=0,"Paid off",IF(OR(M120="",NOT(ISNUMBER(J120))),"Open",IF(W120&gt;0,"Overdue",IF(AND(ISNUMBER(P120),P120-TODAY()&lt;=Settings!$C$6),"Due soon","On track")))))</f>
        <v/>
      </c>
      <c r="S120" s="1">
        <f>IF(C120="","",B120&amp;" "&amp;C120)</f>
        <v/>
      </c>
      <c r="T120">
        <f>IF(OR(M120="",NOT(ISNUMBER(J120))),"",MIN(N(H120),IF(I120="Week",IF((TODAY()-1)&lt;J120,0,INT(((TODAY()-1)-J120)/7)+1),IF(I120="2 weeks",IF((TODAY()-1)&lt;J120,0,INT(((TODAY()-1)-J120)/14)+1),IF(((YEAR((TODAY()-1))-YEAR(J120))*12+MONTH((TODAY()-1))-MONTH(J120))&lt;0,0,IF(EDATE(J120,((YEAR((TODAY()-1))-YEAR(J120))*12+MONTH((TODAY()-1))-MONTH(J120)))&lt;=(TODAY()-1),((YEAR((TODAY()-1))-YEAR(J120))*12+MONTH((TODAY()-1))-MONTH(J120))+1,((YEAR((TODAY()-1))-YEAR(J120))*12+MONTH((TODAY()-1))-MONTH(J120))))))))</f>
        <v/>
      </c>
      <c r="U120">
        <f>IF(OR(M120="",NOT(ISNUMBER(J120))),"",IF(N(M120)&lt;=0,"",MIN(N(H120)-1,INT(ROUND(N120/M120,6)))))</f>
        <v/>
      </c>
      <c r="V120">
        <f>IF(T120="","",IF(T120&gt;=N(H120),L120,M120*T120))</f>
        <v/>
      </c>
      <c r="W120">
        <f>IF(V120="",0,MAX(0,ROUND(V120-N120,2)))</f>
        <v/>
      </c>
      <c r="X120">
        <f>IF(OR(R120="",R120="Paid off",NOT(ISNUMBER(P120))),"",P120*1000+ROW())</f>
        <v/>
      </c>
      <c r="Y120">
        <f>IF(C120="","",IF(AND(COUNTIF(C$6:C120,C120)=1,SUMIFS(Loans!$O$6:$O$305,Loans!$C$6:$C$305,C120,Loans!$O$6:$O$305,"&gt;0")&gt;0),ROW(),""))</f>
        <v/>
      </c>
      <c r="Z120">
        <f>IF(OR(C120="",P120=""),"",IF(D120="I borrowed","From you","To you"))</f>
        <v/>
      </c>
    </row>
    <row r="121">
      <c r="A121" s="1" t="n"/>
      <c r="B121" s="15" t="n">
        <v>116</v>
      </c>
      <c r="C121" s="16" t="n"/>
      <c r="D121" s="17" t="n"/>
      <c r="E121" s="18" t="n"/>
      <c r="F121" s="19" t="n"/>
      <c r="G121" s="20" t="n"/>
      <c r="H121" s="21" t="n"/>
      <c r="I121" s="17" t="n"/>
      <c r="J121" s="18" t="n"/>
      <c r="K121" s="22" t="n"/>
      <c r="L121" s="23">
        <f>IF(C121="","",ROUND(N(F121)*(1+N(G121)/100*IF(N(H121)&gt;0,N(H121)*IF(I121="Week",7/365,IF(I121="2 weeks",14/365,1/12)),IF(ISNUMBER(E121),MAX(0,TODAY()-E121)/365,0))),2))</f>
        <v/>
      </c>
      <c r="M121" s="23">
        <f>IF(OR(C121="",N(H121)&lt;=0),"",ROUND(L121/N(H121),2))</f>
        <v/>
      </c>
      <c r="N121" s="23">
        <f>IF(C121="","",SUMIFS(Payments!$D$6:$D$805,Payments!$G$6:$G$805,B121))</f>
        <v/>
      </c>
      <c r="O121" s="24">
        <f>IF(C121="","",ROUND(L121-N121,2))</f>
        <v/>
      </c>
      <c r="P121" s="11">
        <f>IF(OR(U121="",N(O121)&lt;=0),"",IF(I121="Week",J121+7*U121,IF(I121="2 weeks",J121+14*U121,EDATE(J121,U121))))</f>
        <v/>
      </c>
      <c r="Q121" s="23">
        <f>IF(P121="","",IF(U121=N(H121)-1,O121,ROUND(M121*(U121+1)-N121,2)))</f>
        <v/>
      </c>
      <c r="R121" s="25">
        <f>IF(C121="","",IF(O121&lt;=0,"Paid off",IF(OR(M121="",NOT(ISNUMBER(J121))),"Open",IF(W121&gt;0,"Overdue",IF(AND(ISNUMBER(P121),P121-TODAY()&lt;=Settings!$C$6),"Due soon","On track")))))</f>
        <v/>
      </c>
      <c r="S121" s="1">
        <f>IF(C121="","",B121&amp;" "&amp;C121)</f>
        <v/>
      </c>
      <c r="T121">
        <f>IF(OR(M121="",NOT(ISNUMBER(J121))),"",MIN(N(H121),IF(I121="Week",IF((TODAY()-1)&lt;J121,0,INT(((TODAY()-1)-J121)/7)+1),IF(I121="2 weeks",IF((TODAY()-1)&lt;J121,0,INT(((TODAY()-1)-J121)/14)+1),IF(((YEAR((TODAY()-1))-YEAR(J121))*12+MONTH((TODAY()-1))-MONTH(J121))&lt;0,0,IF(EDATE(J121,((YEAR((TODAY()-1))-YEAR(J121))*12+MONTH((TODAY()-1))-MONTH(J121)))&lt;=(TODAY()-1),((YEAR((TODAY()-1))-YEAR(J121))*12+MONTH((TODAY()-1))-MONTH(J121))+1,((YEAR((TODAY()-1))-YEAR(J121))*12+MONTH((TODAY()-1))-MONTH(J121))))))))</f>
        <v/>
      </c>
      <c r="U121">
        <f>IF(OR(M121="",NOT(ISNUMBER(J121))),"",IF(N(M121)&lt;=0,"",MIN(N(H121)-1,INT(ROUND(N121/M121,6)))))</f>
        <v/>
      </c>
      <c r="V121">
        <f>IF(T121="","",IF(T121&gt;=N(H121),L121,M121*T121))</f>
        <v/>
      </c>
      <c r="W121">
        <f>IF(V121="",0,MAX(0,ROUND(V121-N121,2)))</f>
        <v/>
      </c>
      <c r="X121">
        <f>IF(OR(R121="",R121="Paid off",NOT(ISNUMBER(P121))),"",P121*1000+ROW())</f>
        <v/>
      </c>
      <c r="Y121">
        <f>IF(C121="","",IF(AND(COUNTIF(C$6:C121,C121)=1,SUMIFS(Loans!$O$6:$O$305,Loans!$C$6:$C$305,C121,Loans!$O$6:$O$305,"&gt;0")&gt;0),ROW(),""))</f>
        <v/>
      </c>
      <c r="Z121">
        <f>IF(OR(C121="",P121=""),"",IF(D121="I borrowed","From you","To you"))</f>
        <v/>
      </c>
    </row>
    <row r="122">
      <c r="A122" s="1" t="n"/>
      <c r="B122" s="15" t="n">
        <v>117</v>
      </c>
      <c r="C122" s="16" t="n"/>
      <c r="D122" s="17" t="n"/>
      <c r="E122" s="18" t="n"/>
      <c r="F122" s="19" t="n"/>
      <c r="G122" s="20" t="n"/>
      <c r="H122" s="21" t="n"/>
      <c r="I122" s="17" t="n"/>
      <c r="J122" s="18" t="n"/>
      <c r="K122" s="22" t="n"/>
      <c r="L122" s="23">
        <f>IF(C122="","",ROUND(N(F122)*(1+N(G122)/100*IF(N(H122)&gt;0,N(H122)*IF(I122="Week",7/365,IF(I122="2 weeks",14/365,1/12)),IF(ISNUMBER(E122),MAX(0,TODAY()-E122)/365,0))),2))</f>
        <v/>
      </c>
      <c r="M122" s="23">
        <f>IF(OR(C122="",N(H122)&lt;=0),"",ROUND(L122/N(H122),2))</f>
        <v/>
      </c>
      <c r="N122" s="23">
        <f>IF(C122="","",SUMIFS(Payments!$D$6:$D$805,Payments!$G$6:$G$805,B122))</f>
        <v/>
      </c>
      <c r="O122" s="24">
        <f>IF(C122="","",ROUND(L122-N122,2))</f>
        <v/>
      </c>
      <c r="P122" s="11">
        <f>IF(OR(U122="",N(O122)&lt;=0),"",IF(I122="Week",J122+7*U122,IF(I122="2 weeks",J122+14*U122,EDATE(J122,U122))))</f>
        <v/>
      </c>
      <c r="Q122" s="23">
        <f>IF(P122="","",IF(U122=N(H122)-1,O122,ROUND(M122*(U122+1)-N122,2)))</f>
        <v/>
      </c>
      <c r="R122" s="25">
        <f>IF(C122="","",IF(O122&lt;=0,"Paid off",IF(OR(M122="",NOT(ISNUMBER(J122))),"Open",IF(W122&gt;0,"Overdue",IF(AND(ISNUMBER(P122),P122-TODAY()&lt;=Settings!$C$6),"Due soon","On track")))))</f>
        <v/>
      </c>
      <c r="S122" s="1">
        <f>IF(C122="","",B122&amp;" "&amp;C122)</f>
        <v/>
      </c>
      <c r="T122">
        <f>IF(OR(M122="",NOT(ISNUMBER(J122))),"",MIN(N(H122),IF(I122="Week",IF((TODAY()-1)&lt;J122,0,INT(((TODAY()-1)-J122)/7)+1),IF(I122="2 weeks",IF((TODAY()-1)&lt;J122,0,INT(((TODAY()-1)-J122)/14)+1),IF(((YEAR((TODAY()-1))-YEAR(J122))*12+MONTH((TODAY()-1))-MONTH(J122))&lt;0,0,IF(EDATE(J122,((YEAR((TODAY()-1))-YEAR(J122))*12+MONTH((TODAY()-1))-MONTH(J122)))&lt;=(TODAY()-1),((YEAR((TODAY()-1))-YEAR(J122))*12+MONTH((TODAY()-1))-MONTH(J122))+1,((YEAR((TODAY()-1))-YEAR(J122))*12+MONTH((TODAY()-1))-MONTH(J122))))))))</f>
        <v/>
      </c>
      <c r="U122">
        <f>IF(OR(M122="",NOT(ISNUMBER(J122))),"",IF(N(M122)&lt;=0,"",MIN(N(H122)-1,INT(ROUND(N122/M122,6)))))</f>
        <v/>
      </c>
      <c r="V122">
        <f>IF(T122="","",IF(T122&gt;=N(H122),L122,M122*T122))</f>
        <v/>
      </c>
      <c r="W122">
        <f>IF(V122="",0,MAX(0,ROUND(V122-N122,2)))</f>
        <v/>
      </c>
      <c r="X122">
        <f>IF(OR(R122="",R122="Paid off",NOT(ISNUMBER(P122))),"",P122*1000+ROW())</f>
        <v/>
      </c>
      <c r="Y122">
        <f>IF(C122="","",IF(AND(COUNTIF(C$6:C122,C122)=1,SUMIFS(Loans!$O$6:$O$305,Loans!$C$6:$C$305,C122,Loans!$O$6:$O$305,"&gt;0")&gt;0),ROW(),""))</f>
        <v/>
      </c>
      <c r="Z122">
        <f>IF(OR(C122="",P122=""),"",IF(D122="I borrowed","From you","To you"))</f>
        <v/>
      </c>
    </row>
    <row r="123">
      <c r="A123" s="1" t="n"/>
      <c r="B123" s="15" t="n">
        <v>118</v>
      </c>
      <c r="C123" s="16" t="n"/>
      <c r="D123" s="17" t="n"/>
      <c r="E123" s="18" t="n"/>
      <c r="F123" s="19" t="n"/>
      <c r="G123" s="20" t="n"/>
      <c r="H123" s="21" t="n"/>
      <c r="I123" s="17" t="n"/>
      <c r="J123" s="18" t="n"/>
      <c r="K123" s="22" t="n"/>
      <c r="L123" s="23">
        <f>IF(C123="","",ROUND(N(F123)*(1+N(G123)/100*IF(N(H123)&gt;0,N(H123)*IF(I123="Week",7/365,IF(I123="2 weeks",14/365,1/12)),IF(ISNUMBER(E123),MAX(0,TODAY()-E123)/365,0))),2))</f>
        <v/>
      </c>
      <c r="M123" s="23">
        <f>IF(OR(C123="",N(H123)&lt;=0),"",ROUND(L123/N(H123),2))</f>
        <v/>
      </c>
      <c r="N123" s="23">
        <f>IF(C123="","",SUMIFS(Payments!$D$6:$D$805,Payments!$G$6:$G$805,B123))</f>
        <v/>
      </c>
      <c r="O123" s="24">
        <f>IF(C123="","",ROUND(L123-N123,2))</f>
        <v/>
      </c>
      <c r="P123" s="11">
        <f>IF(OR(U123="",N(O123)&lt;=0),"",IF(I123="Week",J123+7*U123,IF(I123="2 weeks",J123+14*U123,EDATE(J123,U123))))</f>
        <v/>
      </c>
      <c r="Q123" s="23">
        <f>IF(P123="","",IF(U123=N(H123)-1,O123,ROUND(M123*(U123+1)-N123,2)))</f>
        <v/>
      </c>
      <c r="R123" s="25">
        <f>IF(C123="","",IF(O123&lt;=0,"Paid off",IF(OR(M123="",NOT(ISNUMBER(J123))),"Open",IF(W123&gt;0,"Overdue",IF(AND(ISNUMBER(P123),P123-TODAY()&lt;=Settings!$C$6),"Due soon","On track")))))</f>
        <v/>
      </c>
      <c r="S123" s="1">
        <f>IF(C123="","",B123&amp;" "&amp;C123)</f>
        <v/>
      </c>
      <c r="T123">
        <f>IF(OR(M123="",NOT(ISNUMBER(J123))),"",MIN(N(H123),IF(I123="Week",IF((TODAY()-1)&lt;J123,0,INT(((TODAY()-1)-J123)/7)+1),IF(I123="2 weeks",IF((TODAY()-1)&lt;J123,0,INT(((TODAY()-1)-J123)/14)+1),IF(((YEAR((TODAY()-1))-YEAR(J123))*12+MONTH((TODAY()-1))-MONTH(J123))&lt;0,0,IF(EDATE(J123,((YEAR((TODAY()-1))-YEAR(J123))*12+MONTH((TODAY()-1))-MONTH(J123)))&lt;=(TODAY()-1),((YEAR((TODAY()-1))-YEAR(J123))*12+MONTH((TODAY()-1))-MONTH(J123))+1,((YEAR((TODAY()-1))-YEAR(J123))*12+MONTH((TODAY()-1))-MONTH(J123))))))))</f>
        <v/>
      </c>
      <c r="U123">
        <f>IF(OR(M123="",NOT(ISNUMBER(J123))),"",IF(N(M123)&lt;=0,"",MIN(N(H123)-1,INT(ROUND(N123/M123,6)))))</f>
        <v/>
      </c>
      <c r="V123">
        <f>IF(T123="","",IF(T123&gt;=N(H123),L123,M123*T123))</f>
        <v/>
      </c>
      <c r="W123">
        <f>IF(V123="",0,MAX(0,ROUND(V123-N123,2)))</f>
        <v/>
      </c>
      <c r="X123">
        <f>IF(OR(R123="",R123="Paid off",NOT(ISNUMBER(P123))),"",P123*1000+ROW())</f>
        <v/>
      </c>
      <c r="Y123">
        <f>IF(C123="","",IF(AND(COUNTIF(C$6:C123,C123)=1,SUMIFS(Loans!$O$6:$O$305,Loans!$C$6:$C$305,C123,Loans!$O$6:$O$305,"&gt;0")&gt;0),ROW(),""))</f>
        <v/>
      </c>
      <c r="Z123">
        <f>IF(OR(C123="",P123=""),"",IF(D123="I borrowed","From you","To you"))</f>
        <v/>
      </c>
    </row>
    <row r="124">
      <c r="A124" s="1" t="n"/>
      <c r="B124" s="15" t="n">
        <v>119</v>
      </c>
      <c r="C124" s="16" t="n"/>
      <c r="D124" s="17" t="n"/>
      <c r="E124" s="18" t="n"/>
      <c r="F124" s="19" t="n"/>
      <c r="G124" s="20" t="n"/>
      <c r="H124" s="21" t="n"/>
      <c r="I124" s="17" t="n"/>
      <c r="J124" s="18" t="n"/>
      <c r="K124" s="22" t="n"/>
      <c r="L124" s="23">
        <f>IF(C124="","",ROUND(N(F124)*(1+N(G124)/100*IF(N(H124)&gt;0,N(H124)*IF(I124="Week",7/365,IF(I124="2 weeks",14/365,1/12)),IF(ISNUMBER(E124),MAX(0,TODAY()-E124)/365,0))),2))</f>
        <v/>
      </c>
      <c r="M124" s="23">
        <f>IF(OR(C124="",N(H124)&lt;=0),"",ROUND(L124/N(H124),2))</f>
        <v/>
      </c>
      <c r="N124" s="23">
        <f>IF(C124="","",SUMIFS(Payments!$D$6:$D$805,Payments!$G$6:$G$805,B124))</f>
        <v/>
      </c>
      <c r="O124" s="24">
        <f>IF(C124="","",ROUND(L124-N124,2))</f>
        <v/>
      </c>
      <c r="P124" s="11">
        <f>IF(OR(U124="",N(O124)&lt;=0),"",IF(I124="Week",J124+7*U124,IF(I124="2 weeks",J124+14*U124,EDATE(J124,U124))))</f>
        <v/>
      </c>
      <c r="Q124" s="23">
        <f>IF(P124="","",IF(U124=N(H124)-1,O124,ROUND(M124*(U124+1)-N124,2)))</f>
        <v/>
      </c>
      <c r="R124" s="25">
        <f>IF(C124="","",IF(O124&lt;=0,"Paid off",IF(OR(M124="",NOT(ISNUMBER(J124))),"Open",IF(W124&gt;0,"Overdue",IF(AND(ISNUMBER(P124),P124-TODAY()&lt;=Settings!$C$6),"Due soon","On track")))))</f>
        <v/>
      </c>
      <c r="S124" s="1">
        <f>IF(C124="","",B124&amp;" "&amp;C124)</f>
        <v/>
      </c>
      <c r="T124">
        <f>IF(OR(M124="",NOT(ISNUMBER(J124))),"",MIN(N(H124),IF(I124="Week",IF((TODAY()-1)&lt;J124,0,INT(((TODAY()-1)-J124)/7)+1),IF(I124="2 weeks",IF((TODAY()-1)&lt;J124,0,INT(((TODAY()-1)-J124)/14)+1),IF(((YEAR((TODAY()-1))-YEAR(J124))*12+MONTH((TODAY()-1))-MONTH(J124))&lt;0,0,IF(EDATE(J124,((YEAR((TODAY()-1))-YEAR(J124))*12+MONTH((TODAY()-1))-MONTH(J124)))&lt;=(TODAY()-1),((YEAR((TODAY()-1))-YEAR(J124))*12+MONTH((TODAY()-1))-MONTH(J124))+1,((YEAR((TODAY()-1))-YEAR(J124))*12+MONTH((TODAY()-1))-MONTH(J124))))))))</f>
        <v/>
      </c>
      <c r="U124">
        <f>IF(OR(M124="",NOT(ISNUMBER(J124))),"",IF(N(M124)&lt;=0,"",MIN(N(H124)-1,INT(ROUND(N124/M124,6)))))</f>
        <v/>
      </c>
      <c r="V124">
        <f>IF(T124="","",IF(T124&gt;=N(H124),L124,M124*T124))</f>
        <v/>
      </c>
      <c r="W124">
        <f>IF(V124="",0,MAX(0,ROUND(V124-N124,2)))</f>
        <v/>
      </c>
      <c r="X124">
        <f>IF(OR(R124="",R124="Paid off",NOT(ISNUMBER(P124))),"",P124*1000+ROW())</f>
        <v/>
      </c>
      <c r="Y124">
        <f>IF(C124="","",IF(AND(COUNTIF(C$6:C124,C124)=1,SUMIFS(Loans!$O$6:$O$305,Loans!$C$6:$C$305,C124,Loans!$O$6:$O$305,"&gt;0")&gt;0),ROW(),""))</f>
        <v/>
      </c>
      <c r="Z124">
        <f>IF(OR(C124="",P124=""),"",IF(D124="I borrowed","From you","To you"))</f>
        <v/>
      </c>
    </row>
    <row r="125">
      <c r="A125" s="1" t="n"/>
      <c r="B125" s="15" t="n">
        <v>120</v>
      </c>
      <c r="C125" s="16" t="n"/>
      <c r="D125" s="17" t="n"/>
      <c r="E125" s="18" t="n"/>
      <c r="F125" s="19" t="n"/>
      <c r="G125" s="20" t="n"/>
      <c r="H125" s="21" t="n"/>
      <c r="I125" s="17" t="n"/>
      <c r="J125" s="18" t="n"/>
      <c r="K125" s="22" t="n"/>
      <c r="L125" s="23">
        <f>IF(C125="","",ROUND(N(F125)*(1+N(G125)/100*IF(N(H125)&gt;0,N(H125)*IF(I125="Week",7/365,IF(I125="2 weeks",14/365,1/12)),IF(ISNUMBER(E125),MAX(0,TODAY()-E125)/365,0))),2))</f>
        <v/>
      </c>
      <c r="M125" s="23">
        <f>IF(OR(C125="",N(H125)&lt;=0),"",ROUND(L125/N(H125),2))</f>
        <v/>
      </c>
      <c r="N125" s="23">
        <f>IF(C125="","",SUMIFS(Payments!$D$6:$D$805,Payments!$G$6:$G$805,B125))</f>
        <v/>
      </c>
      <c r="O125" s="24">
        <f>IF(C125="","",ROUND(L125-N125,2))</f>
        <v/>
      </c>
      <c r="P125" s="11">
        <f>IF(OR(U125="",N(O125)&lt;=0),"",IF(I125="Week",J125+7*U125,IF(I125="2 weeks",J125+14*U125,EDATE(J125,U125))))</f>
        <v/>
      </c>
      <c r="Q125" s="23">
        <f>IF(P125="","",IF(U125=N(H125)-1,O125,ROUND(M125*(U125+1)-N125,2)))</f>
        <v/>
      </c>
      <c r="R125" s="25">
        <f>IF(C125="","",IF(O125&lt;=0,"Paid off",IF(OR(M125="",NOT(ISNUMBER(J125))),"Open",IF(W125&gt;0,"Overdue",IF(AND(ISNUMBER(P125),P125-TODAY()&lt;=Settings!$C$6),"Due soon","On track")))))</f>
        <v/>
      </c>
      <c r="S125" s="1">
        <f>IF(C125="","",B125&amp;" "&amp;C125)</f>
        <v/>
      </c>
      <c r="T125">
        <f>IF(OR(M125="",NOT(ISNUMBER(J125))),"",MIN(N(H125),IF(I125="Week",IF((TODAY()-1)&lt;J125,0,INT(((TODAY()-1)-J125)/7)+1),IF(I125="2 weeks",IF((TODAY()-1)&lt;J125,0,INT(((TODAY()-1)-J125)/14)+1),IF(((YEAR((TODAY()-1))-YEAR(J125))*12+MONTH((TODAY()-1))-MONTH(J125))&lt;0,0,IF(EDATE(J125,((YEAR((TODAY()-1))-YEAR(J125))*12+MONTH((TODAY()-1))-MONTH(J125)))&lt;=(TODAY()-1),((YEAR((TODAY()-1))-YEAR(J125))*12+MONTH((TODAY()-1))-MONTH(J125))+1,((YEAR((TODAY()-1))-YEAR(J125))*12+MONTH((TODAY()-1))-MONTH(J125))))))))</f>
        <v/>
      </c>
      <c r="U125">
        <f>IF(OR(M125="",NOT(ISNUMBER(J125))),"",IF(N(M125)&lt;=0,"",MIN(N(H125)-1,INT(ROUND(N125/M125,6)))))</f>
        <v/>
      </c>
      <c r="V125">
        <f>IF(T125="","",IF(T125&gt;=N(H125),L125,M125*T125))</f>
        <v/>
      </c>
      <c r="W125">
        <f>IF(V125="",0,MAX(0,ROUND(V125-N125,2)))</f>
        <v/>
      </c>
      <c r="X125">
        <f>IF(OR(R125="",R125="Paid off",NOT(ISNUMBER(P125))),"",P125*1000+ROW())</f>
        <v/>
      </c>
      <c r="Y125">
        <f>IF(C125="","",IF(AND(COUNTIF(C$6:C125,C125)=1,SUMIFS(Loans!$O$6:$O$305,Loans!$C$6:$C$305,C125,Loans!$O$6:$O$305,"&gt;0")&gt;0),ROW(),""))</f>
        <v/>
      </c>
      <c r="Z125">
        <f>IF(OR(C125="",P125=""),"",IF(D125="I borrowed","From you","To you"))</f>
        <v/>
      </c>
    </row>
    <row r="126">
      <c r="A126" s="1" t="n"/>
      <c r="B126" s="15" t="n">
        <v>121</v>
      </c>
      <c r="C126" s="16" t="n"/>
      <c r="D126" s="17" t="n"/>
      <c r="E126" s="18" t="n"/>
      <c r="F126" s="19" t="n"/>
      <c r="G126" s="20" t="n"/>
      <c r="H126" s="21" t="n"/>
      <c r="I126" s="17" t="n"/>
      <c r="J126" s="18" t="n"/>
      <c r="K126" s="22" t="n"/>
      <c r="L126" s="23">
        <f>IF(C126="","",ROUND(N(F126)*(1+N(G126)/100*IF(N(H126)&gt;0,N(H126)*IF(I126="Week",7/365,IF(I126="2 weeks",14/365,1/12)),IF(ISNUMBER(E126),MAX(0,TODAY()-E126)/365,0))),2))</f>
        <v/>
      </c>
      <c r="M126" s="23">
        <f>IF(OR(C126="",N(H126)&lt;=0),"",ROUND(L126/N(H126),2))</f>
        <v/>
      </c>
      <c r="N126" s="23">
        <f>IF(C126="","",SUMIFS(Payments!$D$6:$D$805,Payments!$G$6:$G$805,B126))</f>
        <v/>
      </c>
      <c r="O126" s="24">
        <f>IF(C126="","",ROUND(L126-N126,2))</f>
        <v/>
      </c>
      <c r="P126" s="11">
        <f>IF(OR(U126="",N(O126)&lt;=0),"",IF(I126="Week",J126+7*U126,IF(I126="2 weeks",J126+14*U126,EDATE(J126,U126))))</f>
        <v/>
      </c>
      <c r="Q126" s="23">
        <f>IF(P126="","",IF(U126=N(H126)-1,O126,ROUND(M126*(U126+1)-N126,2)))</f>
        <v/>
      </c>
      <c r="R126" s="25">
        <f>IF(C126="","",IF(O126&lt;=0,"Paid off",IF(OR(M126="",NOT(ISNUMBER(J126))),"Open",IF(W126&gt;0,"Overdue",IF(AND(ISNUMBER(P126),P126-TODAY()&lt;=Settings!$C$6),"Due soon","On track")))))</f>
        <v/>
      </c>
      <c r="S126" s="1">
        <f>IF(C126="","",B126&amp;" "&amp;C126)</f>
        <v/>
      </c>
      <c r="T126">
        <f>IF(OR(M126="",NOT(ISNUMBER(J126))),"",MIN(N(H126),IF(I126="Week",IF((TODAY()-1)&lt;J126,0,INT(((TODAY()-1)-J126)/7)+1),IF(I126="2 weeks",IF((TODAY()-1)&lt;J126,0,INT(((TODAY()-1)-J126)/14)+1),IF(((YEAR((TODAY()-1))-YEAR(J126))*12+MONTH((TODAY()-1))-MONTH(J126))&lt;0,0,IF(EDATE(J126,((YEAR((TODAY()-1))-YEAR(J126))*12+MONTH((TODAY()-1))-MONTH(J126)))&lt;=(TODAY()-1),((YEAR((TODAY()-1))-YEAR(J126))*12+MONTH((TODAY()-1))-MONTH(J126))+1,((YEAR((TODAY()-1))-YEAR(J126))*12+MONTH((TODAY()-1))-MONTH(J126))))))))</f>
        <v/>
      </c>
      <c r="U126">
        <f>IF(OR(M126="",NOT(ISNUMBER(J126))),"",IF(N(M126)&lt;=0,"",MIN(N(H126)-1,INT(ROUND(N126/M126,6)))))</f>
        <v/>
      </c>
      <c r="V126">
        <f>IF(T126="","",IF(T126&gt;=N(H126),L126,M126*T126))</f>
        <v/>
      </c>
      <c r="W126">
        <f>IF(V126="",0,MAX(0,ROUND(V126-N126,2)))</f>
        <v/>
      </c>
      <c r="X126">
        <f>IF(OR(R126="",R126="Paid off",NOT(ISNUMBER(P126))),"",P126*1000+ROW())</f>
        <v/>
      </c>
      <c r="Y126">
        <f>IF(C126="","",IF(AND(COUNTIF(C$6:C126,C126)=1,SUMIFS(Loans!$O$6:$O$305,Loans!$C$6:$C$305,C126,Loans!$O$6:$O$305,"&gt;0")&gt;0),ROW(),""))</f>
        <v/>
      </c>
      <c r="Z126">
        <f>IF(OR(C126="",P126=""),"",IF(D126="I borrowed","From you","To you"))</f>
        <v/>
      </c>
    </row>
    <row r="127">
      <c r="A127" s="1" t="n"/>
      <c r="B127" s="15" t="n">
        <v>122</v>
      </c>
      <c r="C127" s="16" t="n"/>
      <c r="D127" s="17" t="n"/>
      <c r="E127" s="18" t="n"/>
      <c r="F127" s="19" t="n"/>
      <c r="G127" s="20" t="n"/>
      <c r="H127" s="21" t="n"/>
      <c r="I127" s="17" t="n"/>
      <c r="J127" s="18" t="n"/>
      <c r="K127" s="22" t="n"/>
      <c r="L127" s="23">
        <f>IF(C127="","",ROUND(N(F127)*(1+N(G127)/100*IF(N(H127)&gt;0,N(H127)*IF(I127="Week",7/365,IF(I127="2 weeks",14/365,1/12)),IF(ISNUMBER(E127),MAX(0,TODAY()-E127)/365,0))),2))</f>
        <v/>
      </c>
      <c r="M127" s="23">
        <f>IF(OR(C127="",N(H127)&lt;=0),"",ROUND(L127/N(H127),2))</f>
        <v/>
      </c>
      <c r="N127" s="23">
        <f>IF(C127="","",SUMIFS(Payments!$D$6:$D$805,Payments!$G$6:$G$805,B127))</f>
        <v/>
      </c>
      <c r="O127" s="24">
        <f>IF(C127="","",ROUND(L127-N127,2))</f>
        <v/>
      </c>
      <c r="P127" s="11">
        <f>IF(OR(U127="",N(O127)&lt;=0),"",IF(I127="Week",J127+7*U127,IF(I127="2 weeks",J127+14*U127,EDATE(J127,U127))))</f>
        <v/>
      </c>
      <c r="Q127" s="23">
        <f>IF(P127="","",IF(U127=N(H127)-1,O127,ROUND(M127*(U127+1)-N127,2)))</f>
        <v/>
      </c>
      <c r="R127" s="25">
        <f>IF(C127="","",IF(O127&lt;=0,"Paid off",IF(OR(M127="",NOT(ISNUMBER(J127))),"Open",IF(W127&gt;0,"Overdue",IF(AND(ISNUMBER(P127),P127-TODAY()&lt;=Settings!$C$6),"Due soon","On track")))))</f>
        <v/>
      </c>
      <c r="S127" s="1">
        <f>IF(C127="","",B127&amp;" "&amp;C127)</f>
        <v/>
      </c>
      <c r="T127">
        <f>IF(OR(M127="",NOT(ISNUMBER(J127))),"",MIN(N(H127),IF(I127="Week",IF((TODAY()-1)&lt;J127,0,INT(((TODAY()-1)-J127)/7)+1),IF(I127="2 weeks",IF((TODAY()-1)&lt;J127,0,INT(((TODAY()-1)-J127)/14)+1),IF(((YEAR((TODAY()-1))-YEAR(J127))*12+MONTH((TODAY()-1))-MONTH(J127))&lt;0,0,IF(EDATE(J127,((YEAR((TODAY()-1))-YEAR(J127))*12+MONTH((TODAY()-1))-MONTH(J127)))&lt;=(TODAY()-1),((YEAR((TODAY()-1))-YEAR(J127))*12+MONTH((TODAY()-1))-MONTH(J127))+1,((YEAR((TODAY()-1))-YEAR(J127))*12+MONTH((TODAY()-1))-MONTH(J127))))))))</f>
        <v/>
      </c>
      <c r="U127">
        <f>IF(OR(M127="",NOT(ISNUMBER(J127))),"",IF(N(M127)&lt;=0,"",MIN(N(H127)-1,INT(ROUND(N127/M127,6)))))</f>
        <v/>
      </c>
      <c r="V127">
        <f>IF(T127="","",IF(T127&gt;=N(H127),L127,M127*T127))</f>
        <v/>
      </c>
      <c r="W127">
        <f>IF(V127="",0,MAX(0,ROUND(V127-N127,2)))</f>
        <v/>
      </c>
      <c r="X127">
        <f>IF(OR(R127="",R127="Paid off",NOT(ISNUMBER(P127))),"",P127*1000+ROW())</f>
        <v/>
      </c>
      <c r="Y127">
        <f>IF(C127="","",IF(AND(COUNTIF(C$6:C127,C127)=1,SUMIFS(Loans!$O$6:$O$305,Loans!$C$6:$C$305,C127,Loans!$O$6:$O$305,"&gt;0")&gt;0),ROW(),""))</f>
        <v/>
      </c>
      <c r="Z127">
        <f>IF(OR(C127="",P127=""),"",IF(D127="I borrowed","From you","To you"))</f>
        <v/>
      </c>
    </row>
    <row r="128">
      <c r="A128" s="1" t="n"/>
      <c r="B128" s="15" t="n">
        <v>123</v>
      </c>
      <c r="C128" s="16" t="n"/>
      <c r="D128" s="17" t="n"/>
      <c r="E128" s="18" t="n"/>
      <c r="F128" s="19" t="n"/>
      <c r="G128" s="20" t="n"/>
      <c r="H128" s="21" t="n"/>
      <c r="I128" s="17" t="n"/>
      <c r="J128" s="18" t="n"/>
      <c r="K128" s="22" t="n"/>
      <c r="L128" s="23">
        <f>IF(C128="","",ROUND(N(F128)*(1+N(G128)/100*IF(N(H128)&gt;0,N(H128)*IF(I128="Week",7/365,IF(I128="2 weeks",14/365,1/12)),IF(ISNUMBER(E128),MAX(0,TODAY()-E128)/365,0))),2))</f>
        <v/>
      </c>
      <c r="M128" s="23">
        <f>IF(OR(C128="",N(H128)&lt;=0),"",ROUND(L128/N(H128),2))</f>
        <v/>
      </c>
      <c r="N128" s="23">
        <f>IF(C128="","",SUMIFS(Payments!$D$6:$D$805,Payments!$G$6:$G$805,B128))</f>
        <v/>
      </c>
      <c r="O128" s="24">
        <f>IF(C128="","",ROUND(L128-N128,2))</f>
        <v/>
      </c>
      <c r="P128" s="11">
        <f>IF(OR(U128="",N(O128)&lt;=0),"",IF(I128="Week",J128+7*U128,IF(I128="2 weeks",J128+14*U128,EDATE(J128,U128))))</f>
        <v/>
      </c>
      <c r="Q128" s="23">
        <f>IF(P128="","",IF(U128=N(H128)-1,O128,ROUND(M128*(U128+1)-N128,2)))</f>
        <v/>
      </c>
      <c r="R128" s="25">
        <f>IF(C128="","",IF(O128&lt;=0,"Paid off",IF(OR(M128="",NOT(ISNUMBER(J128))),"Open",IF(W128&gt;0,"Overdue",IF(AND(ISNUMBER(P128),P128-TODAY()&lt;=Settings!$C$6),"Due soon","On track")))))</f>
        <v/>
      </c>
      <c r="S128" s="1">
        <f>IF(C128="","",B128&amp;" "&amp;C128)</f>
        <v/>
      </c>
      <c r="T128">
        <f>IF(OR(M128="",NOT(ISNUMBER(J128))),"",MIN(N(H128),IF(I128="Week",IF((TODAY()-1)&lt;J128,0,INT(((TODAY()-1)-J128)/7)+1),IF(I128="2 weeks",IF((TODAY()-1)&lt;J128,0,INT(((TODAY()-1)-J128)/14)+1),IF(((YEAR((TODAY()-1))-YEAR(J128))*12+MONTH((TODAY()-1))-MONTH(J128))&lt;0,0,IF(EDATE(J128,((YEAR((TODAY()-1))-YEAR(J128))*12+MONTH((TODAY()-1))-MONTH(J128)))&lt;=(TODAY()-1),((YEAR((TODAY()-1))-YEAR(J128))*12+MONTH((TODAY()-1))-MONTH(J128))+1,((YEAR((TODAY()-1))-YEAR(J128))*12+MONTH((TODAY()-1))-MONTH(J128))))))))</f>
        <v/>
      </c>
      <c r="U128">
        <f>IF(OR(M128="",NOT(ISNUMBER(J128))),"",IF(N(M128)&lt;=0,"",MIN(N(H128)-1,INT(ROUND(N128/M128,6)))))</f>
        <v/>
      </c>
      <c r="V128">
        <f>IF(T128="","",IF(T128&gt;=N(H128),L128,M128*T128))</f>
        <v/>
      </c>
      <c r="W128">
        <f>IF(V128="",0,MAX(0,ROUND(V128-N128,2)))</f>
        <v/>
      </c>
      <c r="X128">
        <f>IF(OR(R128="",R128="Paid off",NOT(ISNUMBER(P128))),"",P128*1000+ROW())</f>
        <v/>
      </c>
      <c r="Y128">
        <f>IF(C128="","",IF(AND(COUNTIF(C$6:C128,C128)=1,SUMIFS(Loans!$O$6:$O$305,Loans!$C$6:$C$305,C128,Loans!$O$6:$O$305,"&gt;0")&gt;0),ROW(),""))</f>
        <v/>
      </c>
      <c r="Z128">
        <f>IF(OR(C128="",P128=""),"",IF(D128="I borrowed","From you","To you"))</f>
        <v/>
      </c>
    </row>
    <row r="129">
      <c r="A129" s="1" t="n"/>
      <c r="B129" s="15" t="n">
        <v>124</v>
      </c>
      <c r="C129" s="16" t="n"/>
      <c r="D129" s="17" t="n"/>
      <c r="E129" s="18" t="n"/>
      <c r="F129" s="19" t="n"/>
      <c r="G129" s="20" t="n"/>
      <c r="H129" s="21" t="n"/>
      <c r="I129" s="17" t="n"/>
      <c r="J129" s="18" t="n"/>
      <c r="K129" s="22" t="n"/>
      <c r="L129" s="23">
        <f>IF(C129="","",ROUND(N(F129)*(1+N(G129)/100*IF(N(H129)&gt;0,N(H129)*IF(I129="Week",7/365,IF(I129="2 weeks",14/365,1/12)),IF(ISNUMBER(E129),MAX(0,TODAY()-E129)/365,0))),2))</f>
        <v/>
      </c>
      <c r="M129" s="23">
        <f>IF(OR(C129="",N(H129)&lt;=0),"",ROUND(L129/N(H129),2))</f>
        <v/>
      </c>
      <c r="N129" s="23">
        <f>IF(C129="","",SUMIFS(Payments!$D$6:$D$805,Payments!$G$6:$G$805,B129))</f>
        <v/>
      </c>
      <c r="O129" s="24">
        <f>IF(C129="","",ROUND(L129-N129,2))</f>
        <v/>
      </c>
      <c r="P129" s="11">
        <f>IF(OR(U129="",N(O129)&lt;=0),"",IF(I129="Week",J129+7*U129,IF(I129="2 weeks",J129+14*U129,EDATE(J129,U129))))</f>
        <v/>
      </c>
      <c r="Q129" s="23">
        <f>IF(P129="","",IF(U129=N(H129)-1,O129,ROUND(M129*(U129+1)-N129,2)))</f>
        <v/>
      </c>
      <c r="R129" s="25">
        <f>IF(C129="","",IF(O129&lt;=0,"Paid off",IF(OR(M129="",NOT(ISNUMBER(J129))),"Open",IF(W129&gt;0,"Overdue",IF(AND(ISNUMBER(P129),P129-TODAY()&lt;=Settings!$C$6),"Due soon","On track")))))</f>
        <v/>
      </c>
      <c r="S129" s="1">
        <f>IF(C129="","",B129&amp;" "&amp;C129)</f>
        <v/>
      </c>
      <c r="T129">
        <f>IF(OR(M129="",NOT(ISNUMBER(J129))),"",MIN(N(H129),IF(I129="Week",IF((TODAY()-1)&lt;J129,0,INT(((TODAY()-1)-J129)/7)+1),IF(I129="2 weeks",IF((TODAY()-1)&lt;J129,0,INT(((TODAY()-1)-J129)/14)+1),IF(((YEAR((TODAY()-1))-YEAR(J129))*12+MONTH((TODAY()-1))-MONTH(J129))&lt;0,0,IF(EDATE(J129,((YEAR((TODAY()-1))-YEAR(J129))*12+MONTH((TODAY()-1))-MONTH(J129)))&lt;=(TODAY()-1),((YEAR((TODAY()-1))-YEAR(J129))*12+MONTH((TODAY()-1))-MONTH(J129))+1,((YEAR((TODAY()-1))-YEAR(J129))*12+MONTH((TODAY()-1))-MONTH(J129))))))))</f>
        <v/>
      </c>
      <c r="U129">
        <f>IF(OR(M129="",NOT(ISNUMBER(J129))),"",IF(N(M129)&lt;=0,"",MIN(N(H129)-1,INT(ROUND(N129/M129,6)))))</f>
        <v/>
      </c>
      <c r="V129">
        <f>IF(T129="","",IF(T129&gt;=N(H129),L129,M129*T129))</f>
        <v/>
      </c>
      <c r="W129">
        <f>IF(V129="",0,MAX(0,ROUND(V129-N129,2)))</f>
        <v/>
      </c>
      <c r="X129">
        <f>IF(OR(R129="",R129="Paid off",NOT(ISNUMBER(P129))),"",P129*1000+ROW())</f>
        <v/>
      </c>
      <c r="Y129">
        <f>IF(C129="","",IF(AND(COUNTIF(C$6:C129,C129)=1,SUMIFS(Loans!$O$6:$O$305,Loans!$C$6:$C$305,C129,Loans!$O$6:$O$305,"&gt;0")&gt;0),ROW(),""))</f>
        <v/>
      </c>
      <c r="Z129">
        <f>IF(OR(C129="",P129=""),"",IF(D129="I borrowed","From you","To you"))</f>
        <v/>
      </c>
    </row>
    <row r="130">
      <c r="A130" s="1" t="n"/>
      <c r="B130" s="15" t="n">
        <v>125</v>
      </c>
      <c r="C130" s="16" t="n"/>
      <c r="D130" s="17" t="n"/>
      <c r="E130" s="18" t="n"/>
      <c r="F130" s="19" t="n"/>
      <c r="G130" s="20" t="n"/>
      <c r="H130" s="21" t="n"/>
      <c r="I130" s="17" t="n"/>
      <c r="J130" s="18" t="n"/>
      <c r="K130" s="22" t="n"/>
      <c r="L130" s="23">
        <f>IF(C130="","",ROUND(N(F130)*(1+N(G130)/100*IF(N(H130)&gt;0,N(H130)*IF(I130="Week",7/365,IF(I130="2 weeks",14/365,1/12)),IF(ISNUMBER(E130),MAX(0,TODAY()-E130)/365,0))),2))</f>
        <v/>
      </c>
      <c r="M130" s="23">
        <f>IF(OR(C130="",N(H130)&lt;=0),"",ROUND(L130/N(H130),2))</f>
        <v/>
      </c>
      <c r="N130" s="23">
        <f>IF(C130="","",SUMIFS(Payments!$D$6:$D$805,Payments!$G$6:$G$805,B130))</f>
        <v/>
      </c>
      <c r="O130" s="24">
        <f>IF(C130="","",ROUND(L130-N130,2))</f>
        <v/>
      </c>
      <c r="P130" s="11">
        <f>IF(OR(U130="",N(O130)&lt;=0),"",IF(I130="Week",J130+7*U130,IF(I130="2 weeks",J130+14*U130,EDATE(J130,U130))))</f>
        <v/>
      </c>
      <c r="Q130" s="23">
        <f>IF(P130="","",IF(U130=N(H130)-1,O130,ROUND(M130*(U130+1)-N130,2)))</f>
        <v/>
      </c>
      <c r="R130" s="25">
        <f>IF(C130="","",IF(O130&lt;=0,"Paid off",IF(OR(M130="",NOT(ISNUMBER(J130))),"Open",IF(W130&gt;0,"Overdue",IF(AND(ISNUMBER(P130),P130-TODAY()&lt;=Settings!$C$6),"Due soon","On track")))))</f>
        <v/>
      </c>
      <c r="S130" s="1">
        <f>IF(C130="","",B130&amp;" "&amp;C130)</f>
        <v/>
      </c>
      <c r="T130">
        <f>IF(OR(M130="",NOT(ISNUMBER(J130))),"",MIN(N(H130),IF(I130="Week",IF((TODAY()-1)&lt;J130,0,INT(((TODAY()-1)-J130)/7)+1),IF(I130="2 weeks",IF((TODAY()-1)&lt;J130,0,INT(((TODAY()-1)-J130)/14)+1),IF(((YEAR((TODAY()-1))-YEAR(J130))*12+MONTH((TODAY()-1))-MONTH(J130))&lt;0,0,IF(EDATE(J130,((YEAR((TODAY()-1))-YEAR(J130))*12+MONTH((TODAY()-1))-MONTH(J130)))&lt;=(TODAY()-1),((YEAR((TODAY()-1))-YEAR(J130))*12+MONTH((TODAY()-1))-MONTH(J130))+1,((YEAR((TODAY()-1))-YEAR(J130))*12+MONTH((TODAY()-1))-MONTH(J130))))))))</f>
        <v/>
      </c>
      <c r="U130">
        <f>IF(OR(M130="",NOT(ISNUMBER(J130))),"",IF(N(M130)&lt;=0,"",MIN(N(H130)-1,INT(ROUND(N130/M130,6)))))</f>
        <v/>
      </c>
      <c r="V130">
        <f>IF(T130="","",IF(T130&gt;=N(H130),L130,M130*T130))</f>
        <v/>
      </c>
      <c r="W130">
        <f>IF(V130="",0,MAX(0,ROUND(V130-N130,2)))</f>
        <v/>
      </c>
      <c r="X130">
        <f>IF(OR(R130="",R130="Paid off",NOT(ISNUMBER(P130))),"",P130*1000+ROW())</f>
        <v/>
      </c>
      <c r="Y130">
        <f>IF(C130="","",IF(AND(COUNTIF(C$6:C130,C130)=1,SUMIFS(Loans!$O$6:$O$305,Loans!$C$6:$C$305,C130,Loans!$O$6:$O$305,"&gt;0")&gt;0),ROW(),""))</f>
        <v/>
      </c>
      <c r="Z130">
        <f>IF(OR(C130="",P130=""),"",IF(D130="I borrowed","From you","To you"))</f>
        <v/>
      </c>
    </row>
    <row r="131">
      <c r="A131" s="1" t="n"/>
      <c r="B131" s="15" t="n">
        <v>126</v>
      </c>
      <c r="C131" s="16" t="n"/>
      <c r="D131" s="17" t="n"/>
      <c r="E131" s="18" t="n"/>
      <c r="F131" s="19" t="n"/>
      <c r="G131" s="20" t="n"/>
      <c r="H131" s="21" t="n"/>
      <c r="I131" s="17" t="n"/>
      <c r="J131" s="18" t="n"/>
      <c r="K131" s="22" t="n"/>
      <c r="L131" s="23">
        <f>IF(C131="","",ROUND(N(F131)*(1+N(G131)/100*IF(N(H131)&gt;0,N(H131)*IF(I131="Week",7/365,IF(I131="2 weeks",14/365,1/12)),IF(ISNUMBER(E131),MAX(0,TODAY()-E131)/365,0))),2))</f>
        <v/>
      </c>
      <c r="M131" s="23">
        <f>IF(OR(C131="",N(H131)&lt;=0),"",ROUND(L131/N(H131),2))</f>
        <v/>
      </c>
      <c r="N131" s="23">
        <f>IF(C131="","",SUMIFS(Payments!$D$6:$D$805,Payments!$G$6:$G$805,B131))</f>
        <v/>
      </c>
      <c r="O131" s="24">
        <f>IF(C131="","",ROUND(L131-N131,2))</f>
        <v/>
      </c>
      <c r="P131" s="11">
        <f>IF(OR(U131="",N(O131)&lt;=0),"",IF(I131="Week",J131+7*U131,IF(I131="2 weeks",J131+14*U131,EDATE(J131,U131))))</f>
        <v/>
      </c>
      <c r="Q131" s="23">
        <f>IF(P131="","",IF(U131=N(H131)-1,O131,ROUND(M131*(U131+1)-N131,2)))</f>
        <v/>
      </c>
      <c r="R131" s="25">
        <f>IF(C131="","",IF(O131&lt;=0,"Paid off",IF(OR(M131="",NOT(ISNUMBER(J131))),"Open",IF(W131&gt;0,"Overdue",IF(AND(ISNUMBER(P131),P131-TODAY()&lt;=Settings!$C$6),"Due soon","On track")))))</f>
        <v/>
      </c>
      <c r="S131" s="1">
        <f>IF(C131="","",B131&amp;" "&amp;C131)</f>
        <v/>
      </c>
      <c r="T131">
        <f>IF(OR(M131="",NOT(ISNUMBER(J131))),"",MIN(N(H131),IF(I131="Week",IF((TODAY()-1)&lt;J131,0,INT(((TODAY()-1)-J131)/7)+1),IF(I131="2 weeks",IF((TODAY()-1)&lt;J131,0,INT(((TODAY()-1)-J131)/14)+1),IF(((YEAR((TODAY()-1))-YEAR(J131))*12+MONTH((TODAY()-1))-MONTH(J131))&lt;0,0,IF(EDATE(J131,((YEAR((TODAY()-1))-YEAR(J131))*12+MONTH((TODAY()-1))-MONTH(J131)))&lt;=(TODAY()-1),((YEAR((TODAY()-1))-YEAR(J131))*12+MONTH((TODAY()-1))-MONTH(J131))+1,((YEAR((TODAY()-1))-YEAR(J131))*12+MONTH((TODAY()-1))-MONTH(J131))))))))</f>
        <v/>
      </c>
      <c r="U131">
        <f>IF(OR(M131="",NOT(ISNUMBER(J131))),"",IF(N(M131)&lt;=0,"",MIN(N(H131)-1,INT(ROUND(N131/M131,6)))))</f>
        <v/>
      </c>
      <c r="V131">
        <f>IF(T131="","",IF(T131&gt;=N(H131),L131,M131*T131))</f>
        <v/>
      </c>
      <c r="W131">
        <f>IF(V131="",0,MAX(0,ROUND(V131-N131,2)))</f>
        <v/>
      </c>
      <c r="X131">
        <f>IF(OR(R131="",R131="Paid off",NOT(ISNUMBER(P131))),"",P131*1000+ROW())</f>
        <v/>
      </c>
      <c r="Y131">
        <f>IF(C131="","",IF(AND(COUNTIF(C$6:C131,C131)=1,SUMIFS(Loans!$O$6:$O$305,Loans!$C$6:$C$305,C131,Loans!$O$6:$O$305,"&gt;0")&gt;0),ROW(),""))</f>
        <v/>
      </c>
      <c r="Z131">
        <f>IF(OR(C131="",P131=""),"",IF(D131="I borrowed","From you","To you"))</f>
        <v/>
      </c>
    </row>
    <row r="132">
      <c r="A132" s="1" t="n"/>
      <c r="B132" s="15" t="n">
        <v>127</v>
      </c>
      <c r="C132" s="16" t="n"/>
      <c r="D132" s="17" t="n"/>
      <c r="E132" s="18" t="n"/>
      <c r="F132" s="19" t="n"/>
      <c r="G132" s="20" t="n"/>
      <c r="H132" s="21" t="n"/>
      <c r="I132" s="17" t="n"/>
      <c r="J132" s="18" t="n"/>
      <c r="K132" s="22" t="n"/>
      <c r="L132" s="23">
        <f>IF(C132="","",ROUND(N(F132)*(1+N(G132)/100*IF(N(H132)&gt;0,N(H132)*IF(I132="Week",7/365,IF(I132="2 weeks",14/365,1/12)),IF(ISNUMBER(E132),MAX(0,TODAY()-E132)/365,0))),2))</f>
        <v/>
      </c>
      <c r="M132" s="23">
        <f>IF(OR(C132="",N(H132)&lt;=0),"",ROUND(L132/N(H132),2))</f>
        <v/>
      </c>
      <c r="N132" s="23">
        <f>IF(C132="","",SUMIFS(Payments!$D$6:$D$805,Payments!$G$6:$G$805,B132))</f>
        <v/>
      </c>
      <c r="O132" s="24">
        <f>IF(C132="","",ROUND(L132-N132,2))</f>
        <v/>
      </c>
      <c r="P132" s="11">
        <f>IF(OR(U132="",N(O132)&lt;=0),"",IF(I132="Week",J132+7*U132,IF(I132="2 weeks",J132+14*U132,EDATE(J132,U132))))</f>
        <v/>
      </c>
      <c r="Q132" s="23">
        <f>IF(P132="","",IF(U132=N(H132)-1,O132,ROUND(M132*(U132+1)-N132,2)))</f>
        <v/>
      </c>
      <c r="R132" s="25">
        <f>IF(C132="","",IF(O132&lt;=0,"Paid off",IF(OR(M132="",NOT(ISNUMBER(J132))),"Open",IF(W132&gt;0,"Overdue",IF(AND(ISNUMBER(P132),P132-TODAY()&lt;=Settings!$C$6),"Due soon","On track")))))</f>
        <v/>
      </c>
      <c r="S132" s="1">
        <f>IF(C132="","",B132&amp;" "&amp;C132)</f>
        <v/>
      </c>
      <c r="T132">
        <f>IF(OR(M132="",NOT(ISNUMBER(J132))),"",MIN(N(H132),IF(I132="Week",IF((TODAY()-1)&lt;J132,0,INT(((TODAY()-1)-J132)/7)+1),IF(I132="2 weeks",IF((TODAY()-1)&lt;J132,0,INT(((TODAY()-1)-J132)/14)+1),IF(((YEAR((TODAY()-1))-YEAR(J132))*12+MONTH((TODAY()-1))-MONTH(J132))&lt;0,0,IF(EDATE(J132,((YEAR((TODAY()-1))-YEAR(J132))*12+MONTH((TODAY()-1))-MONTH(J132)))&lt;=(TODAY()-1),((YEAR((TODAY()-1))-YEAR(J132))*12+MONTH((TODAY()-1))-MONTH(J132))+1,((YEAR((TODAY()-1))-YEAR(J132))*12+MONTH((TODAY()-1))-MONTH(J132))))))))</f>
        <v/>
      </c>
      <c r="U132">
        <f>IF(OR(M132="",NOT(ISNUMBER(J132))),"",IF(N(M132)&lt;=0,"",MIN(N(H132)-1,INT(ROUND(N132/M132,6)))))</f>
        <v/>
      </c>
      <c r="V132">
        <f>IF(T132="","",IF(T132&gt;=N(H132),L132,M132*T132))</f>
        <v/>
      </c>
      <c r="W132">
        <f>IF(V132="",0,MAX(0,ROUND(V132-N132,2)))</f>
        <v/>
      </c>
      <c r="X132">
        <f>IF(OR(R132="",R132="Paid off",NOT(ISNUMBER(P132))),"",P132*1000+ROW())</f>
        <v/>
      </c>
      <c r="Y132">
        <f>IF(C132="","",IF(AND(COUNTIF(C$6:C132,C132)=1,SUMIFS(Loans!$O$6:$O$305,Loans!$C$6:$C$305,C132,Loans!$O$6:$O$305,"&gt;0")&gt;0),ROW(),""))</f>
        <v/>
      </c>
      <c r="Z132">
        <f>IF(OR(C132="",P132=""),"",IF(D132="I borrowed","From you","To you"))</f>
        <v/>
      </c>
    </row>
    <row r="133">
      <c r="A133" s="1" t="n"/>
      <c r="B133" s="15" t="n">
        <v>128</v>
      </c>
      <c r="C133" s="16" t="n"/>
      <c r="D133" s="17" t="n"/>
      <c r="E133" s="18" t="n"/>
      <c r="F133" s="19" t="n"/>
      <c r="G133" s="20" t="n"/>
      <c r="H133" s="21" t="n"/>
      <c r="I133" s="17" t="n"/>
      <c r="J133" s="18" t="n"/>
      <c r="K133" s="22" t="n"/>
      <c r="L133" s="23">
        <f>IF(C133="","",ROUND(N(F133)*(1+N(G133)/100*IF(N(H133)&gt;0,N(H133)*IF(I133="Week",7/365,IF(I133="2 weeks",14/365,1/12)),IF(ISNUMBER(E133),MAX(0,TODAY()-E133)/365,0))),2))</f>
        <v/>
      </c>
      <c r="M133" s="23">
        <f>IF(OR(C133="",N(H133)&lt;=0),"",ROUND(L133/N(H133),2))</f>
        <v/>
      </c>
      <c r="N133" s="23">
        <f>IF(C133="","",SUMIFS(Payments!$D$6:$D$805,Payments!$G$6:$G$805,B133))</f>
        <v/>
      </c>
      <c r="O133" s="24">
        <f>IF(C133="","",ROUND(L133-N133,2))</f>
        <v/>
      </c>
      <c r="P133" s="11">
        <f>IF(OR(U133="",N(O133)&lt;=0),"",IF(I133="Week",J133+7*U133,IF(I133="2 weeks",J133+14*U133,EDATE(J133,U133))))</f>
        <v/>
      </c>
      <c r="Q133" s="23">
        <f>IF(P133="","",IF(U133=N(H133)-1,O133,ROUND(M133*(U133+1)-N133,2)))</f>
        <v/>
      </c>
      <c r="R133" s="25">
        <f>IF(C133="","",IF(O133&lt;=0,"Paid off",IF(OR(M133="",NOT(ISNUMBER(J133))),"Open",IF(W133&gt;0,"Overdue",IF(AND(ISNUMBER(P133),P133-TODAY()&lt;=Settings!$C$6),"Due soon","On track")))))</f>
        <v/>
      </c>
      <c r="S133" s="1">
        <f>IF(C133="","",B133&amp;" "&amp;C133)</f>
        <v/>
      </c>
      <c r="T133">
        <f>IF(OR(M133="",NOT(ISNUMBER(J133))),"",MIN(N(H133),IF(I133="Week",IF((TODAY()-1)&lt;J133,0,INT(((TODAY()-1)-J133)/7)+1),IF(I133="2 weeks",IF((TODAY()-1)&lt;J133,0,INT(((TODAY()-1)-J133)/14)+1),IF(((YEAR((TODAY()-1))-YEAR(J133))*12+MONTH((TODAY()-1))-MONTH(J133))&lt;0,0,IF(EDATE(J133,((YEAR((TODAY()-1))-YEAR(J133))*12+MONTH((TODAY()-1))-MONTH(J133)))&lt;=(TODAY()-1),((YEAR((TODAY()-1))-YEAR(J133))*12+MONTH((TODAY()-1))-MONTH(J133))+1,((YEAR((TODAY()-1))-YEAR(J133))*12+MONTH((TODAY()-1))-MONTH(J133))))))))</f>
        <v/>
      </c>
      <c r="U133">
        <f>IF(OR(M133="",NOT(ISNUMBER(J133))),"",IF(N(M133)&lt;=0,"",MIN(N(H133)-1,INT(ROUND(N133/M133,6)))))</f>
        <v/>
      </c>
      <c r="V133">
        <f>IF(T133="","",IF(T133&gt;=N(H133),L133,M133*T133))</f>
        <v/>
      </c>
      <c r="W133">
        <f>IF(V133="",0,MAX(0,ROUND(V133-N133,2)))</f>
        <v/>
      </c>
      <c r="X133">
        <f>IF(OR(R133="",R133="Paid off",NOT(ISNUMBER(P133))),"",P133*1000+ROW())</f>
        <v/>
      </c>
      <c r="Y133">
        <f>IF(C133="","",IF(AND(COUNTIF(C$6:C133,C133)=1,SUMIFS(Loans!$O$6:$O$305,Loans!$C$6:$C$305,C133,Loans!$O$6:$O$305,"&gt;0")&gt;0),ROW(),""))</f>
        <v/>
      </c>
      <c r="Z133">
        <f>IF(OR(C133="",P133=""),"",IF(D133="I borrowed","From you","To you"))</f>
        <v/>
      </c>
    </row>
    <row r="134">
      <c r="A134" s="1" t="n"/>
      <c r="B134" s="15" t="n">
        <v>129</v>
      </c>
      <c r="C134" s="16" t="n"/>
      <c r="D134" s="17" t="n"/>
      <c r="E134" s="18" t="n"/>
      <c r="F134" s="19" t="n"/>
      <c r="G134" s="20" t="n"/>
      <c r="H134" s="21" t="n"/>
      <c r="I134" s="17" t="n"/>
      <c r="J134" s="18" t="n"/>
      <c r="K134" s="22" t="n"/>
      <c r="L134" s="23">
        <f>IF(C134="","",ROUND(N(F134)*(1+N(G134)/100*IF(N(H134)&gt;0,N(H134)*IF(I134="Week",7/365,IF(I134="2 weeks",14/365,1/12)),IF(ISNUMBER(E134),MAX(0,TODAY()-E134)/365,0))),2))</f>
        <v/>
      </c>
      <c r="M134" s="23">
        <f>IF(OR(C134="",N(H134)&lt;=0),"",ROUND(L134/N(H134),2))</f>
        <v/>
      </c>
      <c r="N134" s="23">
        <f>IF(C134="","",SUMIFS(Payments!$D$6:$D$805,Payments!$G$6:$G$805,B134))</f>
        <v/>
      </c>
      <c r="O134" s="24">
        <f>IF(C134="","",ROUND(L134-N134,2))</f>
        <v/>
      </c>
      <c r="P134" s="11">
        <f>IF(OR(U134="",N(O134)&lt;=0),"",IF(I134="Week",J134+7*U134,IF(I134="2 weeks",J134+14*U134,EDATE(J134,U134))))</f>
        <v/>
      </c>
      <c r="Q134" s="23">
        <f>IF(P134="","",IF(U134=N(H134)-1,O134,ROUND(M134*(U134+1)-N134,2)))</f>
        <v/>
      </c>
      <c r="R134" s="25">
        <f>IF(C134="","",IF(O134&lt;=0,"Paid off",IF(OR(M134="",NOT(ISNUMBER(J134))),"Open",IF(W134&gt;0,"Overdue",IF(AND(ISNUMBER(P134),P134-TODAY()&lt;=Settings!$C$6),"Due soon","On track")))))</f>
        <v/>
      </c>
      <c r="S134" s="1">
        <f>IF(C134="","",B134&amp;" "&amp;C134)</f>
        <v/>
      </c>
      <c r="T134">
        <f>IF(OR(M134="",NOT(ISNUMBER(J134))),"",MIN(N(H134),IF(I134="Week",IF((TODAY()-1)&lt;J134,0,INT(((TODAY()-1)-J134)/7)+1),IF(I134="2 weeks",IF((TODAY()-1)&lt;J134,0,INT(((TODAY()-1)-J134)/14)+1),IF(((YEAR((TODAY()-1))-YEAR(J134))*12+MONTH((TODAY()-1))-MONTH(J134))&lt;0,0,IF(EDATE(J134,((YEAR((TODAY()-1))-YEAR(J134))*12+MONTH((TODAY()-1))-MONTH(J134)))&lt;=(TODAY()-1),((YEAR((TODAY()-1))-YEAR(J134))*12+MONTH((TODAY()-1))-MONTH(J134))+1,((YEAR((TODAY()-1))-YEAR(J134))*12+MONTH((TODAY()-1))-MONTH(J134))))))))</f>
        <v/>
      </c>
      <c r="U134">
        <f>IF(OR(M134="",NOT(ISNUMBER(J134))),"",IF(N(M134)&lt;=0,"",MIN(N(H134)-1,INT(ROUND(N134/M134,6)))))</f>
        <v/>
      </c>
      <c r="V134">
        <f>IF(T134="","",IF(T134&gt;=N(H134),L134,M134*T134))</f>
        <v/>
      </c>
      <c r="W134">
        <f>IF(V134="",0,MAX(0,ROUND(V134-N134,2)))</f>
        <v/>
      </c>
      <c r="X134">
        <f>IF(OR(R134="",R134="Paid off",NOT(ISNUMBER(P134))),"",P134*1000+ROW())</f>
        <v/>
      </c>
      <c r="Y134">
        <f>IF(C134="","",IF(AND(COUNTIF(C$6:C134,C134)=1,SUMIFS(Loans!$O$6:$O$305,Loans!$C$6:$C$305,C134,Loans!$O$6:$O$305,"&gt;0")&gt;0),ROW(),""))</f>
        <v/>
      </c>
      <c r="Z134">
        <f>IF(OR(C134="",P134=""),"",IF(D134="I borrowed","From you","To you"))</f>
        <v/>
      </c>
    </row>
    <row r="135">
      <c r="A135" s="1" t="n"/>
      <c r="B135" s="15" t="n">
        <v>130</v>
      </c>
      <c r="C135" s="16" t="n"/>
      <c r="D135" s="17" t="n"/>
      <c r="E135" s="18" t="n"/>
      <c r="F135" s="19" t="n"/>
      <c r="G135" s="20" t="n"/>
      <c r="H135" s="21" t="n"/>
      <c r="I135" s="17" t="n"/>
      <c r="J135" s="18" t="n"/>
      <c r="K135" s="22" t="n"/>
      <c r="L135" s="23">
        <f>IF(C135="","",ROUND(N(F135)*(1+N(G135)/100*IF(N(H135)&gt;0,N(H135)*IF(I135="Week",7/365,IF(I135="2 weeks",14/365,1/12)),IF(ISNUMBER(E135),MAX(0,TODAY()-E135)/365,0))),2))</f>
        <v/>
      </c>
      <c r="M135" s="23">
        <f>IF(OR(C135="",N(H135)&lt;=0),"",ROUND(L135/N(H135),2))</f>
        <v/>
      </c>
      <c r="N135" s="23">
        <f>IF(C135="","",SUMIFS(Payments!$D$6:$D$805,Payments!$G$6:$G$805,B135))</f>
        <v/>
      </c>
      <c r="O135" s="24">
        <f>IF(C135="","",ROUND(L135-N135,2))</f>
        <v/>
      </c>
      <c r="P135" s="11">
        <f>IF(OR(U135="",N(O135)&lt;=0),"",IF(I135="Week",J135+7*U135,IF(I135="2 weeks",J135+14*U135,EDATE(J135,U135))))</f>
        <v/>
      </c>
      <c r="Q135" s="23">
        <f>IF(P135="","",IF(U135=N(H135)-1,O135,ROUND(M135*(U135+1)-N135,2)))</f>
        <v/>
      </c>
      <c r="R135" s="25">
        <f>IF(C135="","",IF(O135&lt;=0,"Paid off",IF(OR(M135="",NOT(ISNUMBER(J135))),"Open",IF(W135&gt;0,"Overdue",IF(AND(ISNUMBER(P135),P135-TODAY()&lt;=Settings!$C$6),"Due soon","On track")))))</f>
        <v/>
      </c>
      <c r="S135" s="1">
        <f>IF(C135="","",B135&amp;" "&amp;C135)</f>
        <v/>
      </c>
      <c r="T135">
        <f>IF(OR(M135="",NOT(ISNUMBER(J135))),"",MIN(N(H135),IF(I135="Week",IF((TODAY()-1)&lt;J135,0,INT(((TODAY()-1)-J135)/7)+1),IF(I135="2 weeks",IF((TODAY()-1)&lt;J135,0,INT(((TODAY()-1)-J135)/14)+1),IF(((YEAR((TODAY()-1))-YEAR(J135))*12+MONTH((TODAY()-1))-MONTH(J135))&lt;0,0,IF(EDATE(J135,((YEAR((TODAY()-1))-YEAR(J135))*12+MONTH((TODAY()-1))-MONTH(J135)))&lt;=(TODAY()-1),((YEAR((TODAY()-1))-YEAR(J135))*12+MONTH((TODAY()-1))-MONTH(J135))+1,((YEAR((TODAY()-1))-YEAR(J135))*12+MONTH((TODAY()-1))-MONTH(J135))))))))</f>
        <v/>
      </c>
      <c r="U135">
        <f>IF(OR(M135="",NOT(ISNUMBER(J135))),"",IF(N(M135)&lt;=0,"",MIN(N(H135)-1,INT(ROUND(N135/M135,6)))))</f>
        <v/>
      </c>
      <c r="V135">
        <f>IF(T135="","",IF(T135&gt;=N(H135),L135,M135*T135))</f>
        <v/>
      </c>
      <c r="W135">
        <f>IF(V135="",0,MAX(0,ROUND(V135-N135,2)))</f>
        <v/>
      </c>
      <c r="X135">
        <f>IF(OR(R135="",R135="Paid off",NOT(ISNUMBER(P135))),"",P135*1000+ROW())</f>
        <v/>
      </c>
      <c r="Y135">
        <f>IF(C135="","",IF(AND(COUNTIF(C$6:C135,C135)=1,SUMIFS(Loans!$O$6:$O$305,Loans!$C$6:$C$305,C135,Loans!$O$6:$O$305,"&gt;0")&gt;0),ROW(),""))</f>
        <v/>
      </c>
      <c r="Z135">
        <f>IF(OR(C135="",P135=""),"",IF(D135="I borrowed","From you","To you"))</f>
        <v/>
      </c>
    </row>
    <row r="136">
      <c r="A136" s="1" t="n"/>
      <c r="B136" s="15" t="n">
        <v>131</v>
      </c>
      <c r="C136" s="16" t="n"/>
      <c r="D136" s="17" t="n"/>
      <c r="E136" s="18" t="n"/>
      <c r="F136" s="19" t="n"/>
      <c r="G136" s="20" t="n"/>
      <c r="H136" s="21" t="n"/>
      <c r="I136" s="17" t="n"/>
      <c r="J136" s="18" t="n"/>
      <c r="K136" s="22" t="n"/>
      <c r="L136" s="23">
        <f>IF(C136="","",ROUND(N(F136)*(1+N(G136)/100*IF(N(H136)&gt;0,N(H136)*IF(I136="Week",7/365,IF(I136="2 weeks",14/365,1/12)),IF(ISNUMBER(E136),MAX(0,TODAY()-E136)/365,0))),2))</f>
        <v/>
      </c>
      <c r="M136" s="23">
        <f>IF(OR(C136="",N(H136)&lt;=0),"",ROUND(L136/N(H136),2))</f>
        <v/>
      </c>
      <c r="N136" s="23">
        <f>IF(C136="","",SUMIFS(Payments!$D$6:$D$805,Payments!$G$6:$G$805,B136))</f>
        <v/>
      </c>
      <c r="O136" s="24">
        <f>IF(C136="","",ROUND(L136-N136,2))</f>
        <v/>
      </c>
      <c r="P136" s="11">
        <f>IF(OR(U136="",N(O136)&lt;=0),"",IF(I136="Week",J136+7*U136,IF(I136="2 weeks",J136+14*U136,EDATE(J136,U136))))</f>
        <v/>
      </c>
      <c r="Q136" s="23">
        <f>IF(P136="","",IF(U136=N(H136)-1,O136,ROUND(M136*(U136+1)-N136,2)))</f>
        <v/>
      </c>
      <c r="R136" s="25">
        <f>IF(C136="","",IF(O136&lt;=0,"Paid off",IF(OR(M136="",NOT(ISNUMBER(J136))),"Open",IF(W136&gt;0,"Overdue",IF(AND(ISNUMBER(P136),P136-TODAY()&lt;=Settings!$C$6),"Due soon","On track")))))</f>
        <v/>
      </c>
      <c r="S136" s="1">
        <f>IF(C136="","",B136&amp;" "&amp;C136)</f>
        <v/>
      </c>
      <c r="T136">
        <f>IF(OR(M136="",NOT(ISNUMBER(J136))),"",MIN(N(H136),IF(I136="Week",IF((TODAY()-1)&lt;J136,0,INT(((TODAY()-1)-J136)/7)+1),IF(I136="2 weeks",IF((TODAY()-1)&lt;J136,0,INT(((TODAY()-1)-J136)/14)+1),IF(((YEAR((TODAY()-1))-YEAR(J136))*12+MONTH((TODAY()-1))-MONTH(J136))&lt;0,0,IF(EDATE(J136,((YEAR((TODAY()-1))-YEAR(J136))*12+MONTH((TODAY()-1))-MONTH(J136)))&lt;=(TODAY()-1),((YEAR((TODAY()-1))-YEAR(J136))*12+MONTH((TODAY()-1))-MONTH(J136))+1,((YEAR((TODAY()-1))-YEAR(J136))*12+MONTH((TODAY()-1))-MONTH(J136))))))))</f>
        <v/>
      </c>
      <c r="U136">
        <f>IF(OR(M136="",NOT(ISNUMBER(J136))),"",IF(N(M136)&lt;=0,"",MIN(N(H136)-1,INT(ROUND(N136/M136,6)))))</f>
        <v/>
      </c>
      <c r="V136">
        <f>IF(T136="","",IF(T136&gt;=N(H136),L136,M136*T136))</f>
        <v/>
      </c>
      <c r="W136">
        <f>IF(V136="",0,MAX(0,ROUND(V136-N136,2)))</f>
        <v/>
      </c>
      <c r="X136">
        <f>IF(OR(R136="",R136="Paid off",NOT(ISNUMBER(P136))),"",P136*1000+ROW())</f>
        <v/>
      </c>
      <c r="Y136">
        <f>IF(C136="","",IF(AND(COUNTIF(C$6:C136,C136)=1,SUMIFS(Loans!$O$6:$O$305,Loans!$C$6:$C$305,C136,Loans!$O$6:$O$305,"&gt;0")&gt;0),ROW(),""))</f>
        <v/>
      </c>
      <c r="Z136">
        <f>IF(OR(C136="",P136=""),"",IF(D136="I borrowed","From you","To you"))</f>
        <v/>
      </c>
    </row>
    <row r="137">
      <c r="A137" s="1" t="n"/>
      <c r="B137" s="15" t="n">
        <v>132</v>
      </c>
      <c r="C137" s="16" t="n"/>
      <c r="D137" s="17" t="n"/>
      <c r="E137" s="18" t="n"/>
      <c r="F137" s="19" t="n"/>
      <c r="G137" s="20" t="n"/>
      <c r="H137" s="21" t="n"/>
      <c r="I137" s="17" t="n"/>
      <c r="J137" s="18" t="n"/>
      <c r="K137" s="22" t="n"/>
      <c r="L137" s="23">
        <f>IF(C137="","",ROUND(N(F137)*(1+N(G137)/100*IF(N(H137)&gt;0,N(H137)*IF(I137="Week",7/365,IF(I137="2 weeks",14/365,1/12)),IF(ISNUMBER(E137),MAX(0,TODAY()-E137)/365,0))),2))</f>
        <v/>
      </c>
      <c r="M137" s="23">
        <f>IF(OR(C137="",N(H137)&lt;=0),"",ROUND(L137/N(H137),2))</f>
        <v/>
      </c>
      <c r="N137" s="23">
        <f>IF(C137="","",SUMIFS(Payments!$D$6:$D$805,Payments!$G$6:$G$805,B137))</f>
        <v/>
      </c>
      <c r="O137" s="24">
        <f>IF(C137="","",ROUND(L137-N137,2))</f>
        <v/>
      </c>
      <c r="P137" s="11">
        <f>IF(OR(U137="",N(O137)&lt;=0),"",IF(I137="Week",J137+7*U137,IF(I137="2 weeks",J137+14*U137,EDATE(J137,U137))))</f>
        <v/>
      </c>
      <c r="Q137" s="23">
        <f>IF(P137="","",IF(U137=N(H137)-1,O137,ROUND(M137*(U137+1)-N137,2)))</f>
        <v/>
      </c>
      <c r="R137" s="25">
        <f>IF(C137="","",IF(O137&lt;=0,"Paid off",IF(OR(M137="",NOT(ISNUMBER(J137))),"Open",IF(W137&gt;0,"Overdue",IF(AND(ISNUMBER(P137),P137-TODAY()&lt;=Settings!$C$6),"Due soon","On track")))))</f>
        <v/>
      </c>
      <c r="S137" s="1">
        <f>IF(C137="","",B137&amp;" "&amp;C137)</f>
        <v/>
      </c>
      <c r="T137">
        <f>IF(OR(M137="",NOT(ISNUMBER(J137))),"",MIN(N(H137),IF(I137="Week",IF((TODAY()-1)&lt;J137,0,INT(((TODAY()-1)-J137)/7)+1),IF(I137="2 weeks",IF((TODAY()-1)&lt;J137,0,INT(((TODAY()-1)-J137)/14)+1),IF(((YEAR((TODAY()-1))-YEAR(J137))*12+MONTH((TODAY()-1))-MONTH(J137))&lt;0,0,IF(EDATE(J137,((YEAR((TODAY()-1))-YEAR(J137))*12+MONTH((TODAY()-1))-MONTH(J137)))&lt;=(TODAY()-1),((YEAR((TODAY()-1))-YEAR(J137))*12+MONTH((TODAY()-1))-MONTH(J137))+1,((YEAR((TODAY()-1))-YEAR(J137))*12+MONTH((TODAY()-1))-MONTH(J137))))))))</f>
        <v/>
      </c>
      <c r="U137">
        <f>IF(OR(M137="",NOT(ISNUMBER(J137))),"",IF(N(M137)&lt;=0,"",MIN(N(H137)-1,INT(ROUND(N137/M137,6)))))</f>
        <v/>
      </c>
      <c r="V137">
        <f>IF(T137="","",IF(T137&gt;=N(H137),L137,M137*T137))</f>
        <v/>
      </c>
      <c r="W137">
        <f>IF(V137="",0,MAX(0,ROUND(V137-N137,2)))</f>
        <v/>
      </c>
      <c r="X137">
        <f>IF(OR(R137="",R137="Paid off",NOT(ISNUMBER(P137))),"",P137*1000+ROW())</f>
        <v/>
      </c>
      <c r="Y137">
        <f>IF(C137="","",IF(AND(COUNTIF(C$6:C137,C137)=1,SUMIFS(Loans!$O$6:$O$305,Loans!$C$6:$C$305,C137,Loans!$O$6:$O$305,"&gt;0")&gt;0),ROW(),""))</f>
        <v/>
      </c>
      <c r="Z137">
        <f>IF(OR(C137="",P137=""),"",IF(D137="I borrowed","From you","To you"))</f>
        <v/>
      </c>
    </row>
    <row r="138">
      <c r="A138" s="1" t="n"/>
      <c r="B138" s="15" t="n">
        <v>133</v>
      </c>
      <c r="C138" s="16" t="n"/>
      <c r="D138" s="17" t="n"/>
      <c r="E138" s="18" t="n"/>
      <c r="F138" s="19" t="n"/>
      <c r="G138" s="20" t="n"/>
      <c r="H138" s="21" t="n"/>
      <c r="I138" s="17" t="n"/>
      <c r="J138" s="18" t="n"/>
      <c r="K138" s="22" t="n"/>
      <c r="L138" s="23">
        <f>IF(C138="","",ROUND(N(F138)*(1+N(G138)/100*IF(N(H138)&gt;0,N(H138)*IF(I138="Week",7/365,IF(I138="2 weeks",14/365,1/12)),IF(ISNUMBER(E138),MAX(0,TODAY()-E138)/365,0))),2))</f>
        <v/>
      </c>
      <c r="M138" s="23">
        <f>IF(OR(C138="",N(H138)&lt;=0),"",ROUND(L138/N(H138),2))</f>
        <v/>
      </c>
      <c r="N138" s="23">
        <f>IF(C138="","",SUMIFS(Payments!$D$6:$D$805,Payments!$G$6:$G$805,B138))</f>
        <v/>
      </c>
      <c r="O138" s="24">
        <f>IF(C138="","",ROUND(L138-N138,2))</f>
        <v/>
      </c>
      <c r="P138" s="11">
        <f>IF(OR(U138="",N(O138)&lt;=0),"",IF(I138="Week",J138+7*U138,IF(I138="2 weeks",J138+14*U138,EDATE(J138,U138))))</f>
        <v/>
      </c>
      <c r="Q138" s="23">
        <f>IF(P138="","",IF(U138=N(H138)-1,O138,ROUND(M138*(U138+1)-N138,2)))</f>
        <v/>
      </c>
      <c r="R138" s="25">
        <f>IF(C138="","",IF(O138&lt;=0,"Paid off",IF(OR(M138="",NOT(ISNUMBER(J138))),"Open",IF(W138&gt;0,"Overdue",IF(AND(ISNUMBER(P138),P138-TODAY()&lt;=Settings!$C$6),"Due soon","On track")))))</f>
        <v/>
      </c>
      <c r="S138" s="1">
        <f>IF(C138="","",B138&amp;" "&amp;C138)</f>
        <v/>
      </c>
      <c r="T138">
        <f>IF(OR(M138="",NOT(ISNUMBER(J138))),"",MIN(N(H138),IF(I138="Week",IF((TODAY()-1)&lt;J138,0,INT(((TODAY()-1)-J138)/7)+1),IF(I138="2 weeks",IF((TODAY()-1)&lt;J138,0,INT(((TODAY()-1)-J138)/14)+1),IF(((YEAR((TODAY()-1))-YEAR(J138))*12+MONTH((TODAY()-1))-MONTH(J138))&lt;0,0,IF(EDATE(J138,((YEAR((TODAY()-1))-YEAR(J138))*12+MONTH((TODAY()-1))-MONTH(J138)))&lt;=(TODAY()-1),((YEAR((TODAY()-1))-YEAR(J138))*12+MONTH((TODAY()-1))-MONTH(J138))+1,((YEAR((TODAY()-1))-YEAR(J138))*12+MONTH((TODAY()-1))-MONTH(J138))))))))</f>
        <v/>
      </c>
      <c r="U138">
        <f>IF(OR(M138="",NOT(ISNUMBER(J138))),"",IF(N(M138)&lt;=0,"",MIN(N(H138)-1,INT(ROUND(N138/M138,6)))))</f>
        <v/>
      </c>
      <c r="V138">
        <f>IF(T138="","",IF(T138&gt;=N(H138),L138,M138*T138))</f>
        <v/>
      </c>
      <c r="W138">
        <f>IF(V138="",0,MAX(0,ROUND(V138-N138,2)))</f>
        <v/>
      </c>
      <c r="X138">
        <f>IF(OR(R138="",R138="Paid off",NOT(ISNUMBER(P138))),"",P138*1000+ROW())</f>
        <v/>
      </c>
      <c r="Y138">
        <f>IF(C138="","",IF(AND(COUNTIF(C$6:C138,C138)=1,SUMIFS(Loans!$O$6:$O$305,Loans!$C$6:$C$305,C138,Loans!$O$6:$O$305,"&gt;0")&gt;0),ROW(),""))</f>
        <v/>
      </c>
      <c r="Z138">
        <f>IF(OR(C138="",P138=""),"",IF(D138="I borrowed","From you","To you"))</f>
        <v/>
      </c>
    </row>
    <row r="139">
      <c r="A139" s="1" t="n"/>
      <c r="B139" s="15" t="n">
        <v>134</v>
      </c>
      <c r="C139" s="16" t="n"/>
      <c r="D139" s="17" t="n"/>
      <c r="E139" s="18" t="n"/>
      <c r="F139" s="19" t="n"/>
      <c r="G139" s="20" t="n"/>
      <c r="H139" s="21" t="n"/>
      <c r="I139" s="17" t="n"/>
      <c r="J139" s="18" t="n"/>
      <c r="K139" s="22" t="n"/>
      <c r="L139" s="23">
        <f>IF(C139="","",ROUND(N(F139)*(1+N(G139)/100*IF(N(H139)&gt;0,N(H139)*IF(I139="Week",7/365,IF(I139="2 weeks",14/365,1/12)),IF(ISNUMBER(E139),MAX(0,TODAY()-E139)/365,0))),2))</f>
        <v/>
      </c>
      <c r="M139" s="23">
        <f>IF(OR(C139="",N(H139)&lt;=0),"",ROUND(L139/N(H139),2))</f>
        <v/>
      </c>
      <c r="N139" s="23">
        <f>IF(C139="","",SUMIFS(Payments!$D$6:$D$805,Payments!$G$6:$G$805,B139))</f>
        <v/>
      </c>
      <c r="O139" s="24">
        <f>IF(C139="","",ROUND(L139-N139,2))</f>
        <v/>
      </c>
      <c r="P139" s="11">
        <f>IF(OR(U139="",N(O139)&lt;=0),"",IF(I139="Week",J139+7*U139,IF(I139="2 weeks",J139+14*U139,EDATE(J139,U139))))</f>
        <v/>
      </c>
      <c r="Q139" s="23">
        <f>IF(P139="","",IF(U139=N(H139)-1,O139,ROUND(M139*(U139+1)-N139,2)))</f>
        <v/>
      </c>
      <c r="R139" s="25">
        <f>IF(C139="","",IF(O139&lt;=0,"Paid off",IF(OR(M139="",NOT(ISNUMBER(J139))),"Open",IF(W139&gt;0,"Overdue",IF(AND(ISNUMBER(P139),P139-TODAY()&lt;=Settings!$C$6),"Due soon","On track")))))</f>
        <v/>
      </c>
      <c r="S139" s="1">
        <f>IF(C139="","",B139&amp;" "&amp;C139)</f>
        <v/>
      </c>
      <c r="T139">
        <f>IF(OR(M139="",NOT(ISNUMBER(J139))),"",MIN(N(H139),IF(I139="Week",IF((TODAY()-1)&lt;J139,0,INT(((TODAY()-1)-J139)/7)+1),IF(I139="2 weeks",IF((TODAY()-1)&lt;J139,0,INT(((TODAY()-1)-J139)/14)+1),IF(((YEAR((TODAY()-1))-YEAR(J139))*12+MONTH((TODAY()-1))-MONTH(J139))&lt;0,0,IF(EDATE(J139,((YEAR((TODAY()-1))-YEAR(J139))*12+MONTH((TODAY()-1))-MONTH(J139)))&lt;=(TODAY()-1),((YEAR((TODAY()-1))-YEAR(J139))*12+MONTH((TODAY()-1))-MONTH(J139))+1,((YEAR((TODAY()-1))-YEAR(J139))*12+MONTH((TODAY()-1))-MONTH(J139))))))))</f>
        <v/>
      </c>
      <c r="U139">
        <f>IF(OR(M139="",NOT(ISNUMBER(J139))),"",IF(N(M139)&lt;=0,"",MIN(N(H139)-1,INT(ROUND(N139/M139,6)))))</f>
        <v/>
      </c>
      <c r="V139">
        <f>IF(T139="","",IF(T139&gt;=N(H139),L139,M139*T139))</f>
        <v/>
      </c>
      <c r="W139">
        <f>IF(V139="",0,MAX(0,ROUND(V139-N139,2)))</f>
        <v/>
      </c>
      <c r="X139">
        <f>IF(OR(R139="",R139="Paid off",NOT(ISNUMBER(P139))),"",P139*1000+ROW())</f>
        <v/>
      </c>
      <c r="Y139">
        <f>IF(C139="","",IF(AND(COUNTIF(C$6:C139,C139)=1,SUMIFS(Loans!$O$6:$O$305,Loans!$C$6:$C$305,C139,Loans!$O$6:$O$305,"&gt;0")&gt;0),ROW(),""))</f>
        <v/>
      </c>
      <c r="Z139">
        <f>IF(OR(C139="",P139=""),"",IF(D139="I borrowed","From you","To you"))</f>
        <v/>
      </c>
    </row>
    <row r="140">
      <c r="A140" s="1" t="n"/>
      <c r="B140" s="15" t="n">
        <v>135</v>
      </c>
      <c r="C140" s="16" t="n"/>
      <c r="D140" s="17" t="n"/>
      <c r="E140" s="18" t="n"/>
      <c r="F140" s="19" t="n"/>
      <c r="G140" s="20" t="n"/>
      <c r="H140" s="21" t="n"/>
      <c r="I140" s="17" t="n"/>
      <c r="J140" s="18" t="n"/>
      <c r="K140" s="22" t="n"/>
      <c r="L140" s="23">
        <f>IF(C140="","",ROUND(N(F140)*(1+N(G140)/100*IF(N(H140)&gt;0,N(H140)*IF(I140="Week",7/365,IF(I140="2 weeks",14/365,1/12)),IF(ISNUMBER(E140),MAX(0,TODAY()-E140)/365,0))),2))</f>
        <v/>
      </c>
      <c r="M140" s="23">
        <f>IF(OR(C140="",N(H140)&lt;=0),"",ROUND(L140/N(H140),2))</f>
        <v/>
      </c>
      <c r="N140" s="23">
        <f>IF(C140="","",SUMIFS(Payments!$D$6:$D$805,Payments!$G$6:$G$805,B140))</f>
        <v/>
      </c>
      <c r="O140" s="24">
        <f>IF(C140="","",ROUND(L140-N140,2))</f>
        <v/>
      </c>
      <c r="P140" s="11">
        <f>IF(OR(U140="",N(O140)&lt;=0),"",IF(I140="Week",J140+7*U140,IF(I140="2 weeks",J140+14*U140,EDATE(J140,U140))))</f>
        <v/>
      </c>
      <c r="Q140" s="23">
        <f>IF(P140="","",IF(U140=N(H140)-1,O140,ROUND(M140*(U140+1)-N140,2)))</f>
        <v/>
      </c>
      <c r="R140" s="25">
        <f>IF(C140="","",IF(O140&lt;=0,"Paid off",IF(OR(M140="",NOT(ISNUMBER(J140))),"Open",IF(W140&gt;0,"Overdue",IF(AND(ISNUMBER(P140),P140-TODAY()&lt;=Settings!$C$6),"Due soon","On track")))))</f>
        <v/>
      </c>
      <c r="S140" s="1">
        <f>IF(C140="","",B140&amp;" "&amp;C140)</f>
        <v/>
      </c>
      <c r="T140">
        <f>IF(OR(M140="",NOT(ISNUMBER(J140))),"",MIN(N(H140),IF(I140="Week",IF((TODAY()-1)&lt;J140,0,INT(((TODAY()-1)-J140)/7)+1),IF(I140="2 weeks",IF((TODAY()-1)&lt;J140,0,INT(((TODAY()-1)-J140)/14)+1),IF(((YEAR((TODAY()-1))-YEAR(J140))*12+MONTH((TODAY()-1))-MONTH(J140))&lt;0,0,IF(EDATE(J140,((YEAR((TODAY()-1))-YEAR(J140))*12+MONTH((TODAY()-1))-MONTH(J140)))&lt;=(TODAY()-1),((YEAR((TODAY()-1))-YEAR(J140))*12+MONTH((TODAY()-1))-MONTH(J140))+1,((YEAR((TODAY()-1))-YEAR(J140))*12+MONTH((TODAY()-1))-MONTH(J140))))))))</f>
        <v/>
      </c>
      <c r="U140">
        <f>IF(OR(M140="",NOT(ISNUMBER(J140))),"",IF(N(M140)&lt;=0,"",MIN(N(H140)-1,INT(ROUND(N140/M140,6)))))</f>
        <v/>
      </c>
      <c r="V140">
        <f>IF(T140="","",IF(T140&gt;=N(H140),L140,M140*T140))</f>
        <v/>
      </c>
      <c r="W140">
        <f>IF(V140="",0,MAX(0,ROUND(V140-N140,2)))</f>
        <v/>
      </c>
      <c r="X140">
        <f>IF(OR(R140="",R140="Paid off",NOT(ISNUMBER(P140))),"",P140*1000+ROW())</f>
        <v/>
      </c>
      <c r="Y140">
        <f>IF(C140="","",IF(AND(COUNTIF(C$6:C140,C140)=1,SUMIFS(Loans!$O$6:$O$305,Loans!$C$6:$C$305,C140,Loans!$O$6:$O$305,"&gt;0")&gt;0),ROW(),""))</f>
        <v/>
      </c>
      <c r="Z140">
        <f>IF(OR(C140="",P140=""),"",IF(D140="I borrowed","From you","To you"))</f>
        <v/>
      </c>
    </row>
    <row r="141">
      <c r="A141" s="1" t="n"/>
      <c r="B141" s="15" t="n">
        <v>136</v>
      </c>
      <c r="C141" s="16" t="n"/>
      <c r="D141" s="17" t="n"/>
      <c r="E141" s="18" t="n"/>
      <c r="F141" s="19" t="n"/>
      <c r="G141" s="20" t="n"/>
      <c r="H141" s="21" t="n"/>
      <c r="I141" s="17" t="n"/>
      <c r="J141" s="18" t="n"/>
      <c r="K141" s="22" t="n"/>
      <c r="L141" s="23">
        <f>IF(C141="","",ROUND(N(F141)*(1+N(G141)/100*IF(N(H141)&gt;0,N(H141)*IF(I141="Week",7/365,IF(I141="2 weeks",14/365,1/12)),IF(ISNUMBER(E141),MAX(0,TODAY()-E141)/365,0))),2))</f>
        <v/>
      </c>
      <c r="M141" s="23">
        <f>IF(OR(C141="",N(H141)&lt;=0),"",ROUND(L141/N(H141),2))</f>
        <v/>
      </c>
      <c r="N141" s="23">
        <f>IF(C141="","",SUMIFS(Payments!$D$6:$D$805,Payments!$G$6:$G$805,B141))</f>
        <v/>
      </c>
      <c r="O141" s="24">
        <f>IF(C141="","",ROUND(L141-N141,2))</f>
        <v/>
      </c>
      <c r="P141" s="11">
        <f>IF(OR(U141="",N(O141)&lt;=0),"",IF(I141="Week",J141+7*U141,IF(I141="2 weeks",J141+14*U141,EDATE(J141,U141))))</f>
        <v/>
      </c>
      <c r="Q141" s="23">
        <f>IF(P141="","",IF(U141=N(H141)-1,O141,ROUND(M141*(U141+1)-N141,2)))</f>
        <v/>
      </c>
      <c r="R141" s="25">
        <f>IF(C141="","",IF(O141&lt;=0,"Paid off",IF(OR(M141="",NOT(ISNUMBER(J141))),"Open",IF(W141&gt;0,"Overdue",IF(AND(ISNUMBER(P141),P141-TODAY()&lt;=Settings!$C$6),"Due soon","On track")))))</f>
        <v/>
      </c>
      <c r="S141" s="1">
        <f>IF(C141="","",B141&amp;" "&amp;C141)</f>
        <v/>
      </c>
      <c r="T141">
        <f>IF(OR(M141="",NOT(ISNUMBER(J141))),"",MIN(N(H141),IF(I141="Week",IF((TODAY()-1)&lt;J141,0,INT(((TODAY()-1)-J141)/7)+1),IF(I141="2 weeks",IF((TODAY()-1)&lt;J141,0,INT(((TODAY()-1)-J141)/14)+1),IF(((YEAR((TODAY()-1))-YEAR(J141))*12+MONTH((TODAY()-1))-MONTH(J141))&lt;0,0,IF(EDATE(J141,((YEAR((TODAY()-1))-YEAR(J141))*12+MONTH((TODAY()-1))-MONTH(J141)))&lt;=(TODAY()-1),((YEAR((TODAY()-1))-YEAR(J141))*12+MONTH((TODAY()-1))-MONTH(J141))+1,((YEAR((TODAY()-1))-YEAR(J141))*12+MONTH((TODAY()-1))-MONTH(J141))))))))</f>
        <v/>
      </c>
      <c r="U141">
        <f>IF(OR(M141="",NOT(ISNUMBER(J141))),"",IF(N(M141)&lt;=0,"",MIN(N(H141)-1,INT(ROUND(N141/M141,6)))))</f>
        <v/>
      </c>
      <c r="V141">
        <f>IF(T141="","",IF(T141&gt;=N(H141),L141,M141*T141))</f>
        <v/>
      </c>
      <c r="W141">
        <f>IF(V141="",0,MAX(0,ROUND(V141-N141,2)))</f>
        <v/>
      </c>
      <c r="X141">
        <f>IF(OR(R141="",R141="Paid off",NOT(ISNUMBER(P141))),"",P141*1000+ROW())</f>
        <v/>
      </c>
      <c r="Y141">
        <f>IF(C141="","",IF(AND(COUNTIF(C$6:C141,C141)=1,SUMIFS(Loans!$O$6:$O$305,Loans!$C$6:$C$305,C141,Loans!$O$6:$O$305,"&gt;0")&gt;0),ROW(),""))</f>
        <v/>
      </c>
      <c r="Z141">
        <f>IF(OR(C141="",P141=""),"",IF(D141="I borrowed","From you","To you"))</f>
        <v/>
      </c>
    </row>
    <row r="142">
      <c r="A142" s="1" t="n"/>
      <c r="B142" s="15" t="n">
        <v>137</v>
      </c>
      <c r="C142" s="16" t="n"/>
      <c r="D142" s="17" t="n"/>
      <c r="E142" s="18" t="n"/>
      <c r="F142" s="19" t="n"/>
      <c r="G142" s="20" t="n"/>
      <c r="H142" s="21" t="n"/>
      <c r="I142" s="17" t="n"/>
      <c r="J142" s="18" t="n"/>
      <c r="K142" s="22" t="n"/>
      <c r="L142" s="23">
        <f>IF(C142="","",ROUND(N(F142)*(1+N(G142)/100*IF(N(H142)&gt;0,N(H142)*IF(I142="Week",7/365,IF(I142="2 weeks",14/365,1/12)),IF(ISNUMBER(E142),MAX(0,TODAY()-E142)/365,0))),2))</f>
        <v/>
      </c>
      <c r="M142" s="23">
        <f>IF(OR(C142="",N(H142)&lt;=0),"",ROUND(L142/N(H142),2))</f>
        <v/>
      </c>
      <c r="N142" s="23">
        <f>IF(C142="","",SUMIFS(Payments!$D$6:$D$805,Payments!$G$6:$G$805,B142))</f>
        <v/>
      </c>
      <c r="O142" s="24">
        <f>IF(C142="","",ROUND(L142-N142,2))</f>
        <v/>
      </c>
      <c r="P142" s="11">
        <f>IF(OR(U142="",N(O142)&lt;=0),"",IF(I142="Week",J142+7*U142,IF(I142="2 weeks",J142+14*U142,EDATE(J142,U142))))</f>
        <v/>
      </c>
      <c r="Q142" s="23">
        <f>IF(P142="","",IF(U142=N(H142)-1,O142,ROUND(M142*(U142+1)-N142,2)))</f>
        <v/>
      </c>
      <c r="R142" s="25">
        <f>IF(C142="","",IF(O142&lt;=0,"Paid off",IF(OR(M142="",NOT(ISNUMBER(J142))),"Open",IF(W142&gt;0,"Overdue",IF(AND(ISNUMBER(P142),P142-TODAY()&lt;=Settings!$C$6),"Due soon","On track")))))</f>
        <v/>
      </c>
      <c r="S142" s="1">
        <f>IF(C142="","",B142&amp;" "&amp;C142)</f>
        <v/>
      </c>
      <c r="T142">
        <f>IF(OR(M142="",NOT(ISNUMBER(J142))),"",MIN(N(H142),IF(I142="Week",IF((TODAY()-1)&lt;J142,0,INT(((TODAY()-1)-J142)/7)+1),IF(I142="2 weeks",IF((TODAY()-1)&lt;J142,0,INT(((TODAY()-1)-J142)/14)+1),IF(((YEAR((TODAY()-1))-YEAR(J142))*12+MONTH((TODAY()-1))-MONTH(J142))&lt;0,0,IF(EDATE(J142,((YEAR((TODAY()-1))-YEAR(J142))*12+MONTH((TODAY()-1))-MONTH(J142)))&lt;=(TODAY()-1),((YEAR((TODAY()-1))-YEAR(J142))*12+MONTH((TODAY()-1))-MONTH(J142))+1,((YEAR((TODAY()-1))-YEAR(J142))*12+MONTH((TODAY()-1))-MONTH(J142))))))))</f>
        <v/>
      </c>
      <c r="U142">
        <f>IF(OR(M142="",NOT(ISNUMBER(J142))),"",IF(N(M142)&lt;=0,"",MIN(N(H142)-1,INT(ROUND(N142/M142,6)))))</f>
        <v/>
      </c>
      <c r="V142">
        <f>IF(T142="","",IF(T142&gt;=N(H142),L142,M142*T142))</f>
        <v/>
      </c>
      <c r="W142">
        <f>IF(V142="",0,MAX(0,ROUND(V142-N142,2)))</f>
        <v/>
      </c>
      <c r="X142">
        <f>IF(OR(R142="",R142="Paid off",NOT(ISNUMBER(P142))),"",P142*1000+ROW())</f>
        <v/>
      </c>
      <c r="Y142">
        <f>IF(C142="","",IF(AND(COUNTIF(C$6:C142,C142)=1,SUMIFS(Loans!$O$6:$O$305,Loans!$C$6:$C$305,C142,Loans!$O$6:$O$305,"&gt;0")&gt;0),ROW(),""))</f>
        <v/>
      </c>
      <c r="Z142">
        <f>IF(OR(C142="",P142=""),"",IF(D142="I borrowed","From you","To you"))</f>
        <v/>
      </c>
    </row>
    <row r="143">
      <c r="A143" s="1" t="n"/>
      <c r="B143" s="15" t="n">
        <v>138</v>
      </c>
      <c r="C143" s="16" t="n"/>
      <c r="D143" s="17" t="n"/>
      <c r="E143" s="18" t="n"/>
      <c r="F143" s="19" t="n"/>
      <c r="G143" s="20" t="n"/>
      <c r="H143" s="21" t="n"/>
      <c r="I143" s="17" t="n"/>
      <c r="J143" s="18" t="n"/>
      <c r="K143" s="22" t="n"/>
      <c r="L143" s="23">
        <f>IF(C143="","",ROUND(N(F143)*(1+N(G143)/100*IF(N(H143)&gt;0,N(H143)*IF(I143="Week",7/365,IF(I143="2 weeks",14/365,1/12)),IF(ISNUMBER(E143),MAX(0,TODAY()-E143)/365,0))),2))</f>
        <v/>
      </c>
      <c r="M143" s="23">
        <f>IF(OR(C143="",N(H143)&lt;=0),"",ROUND(L143/N(H143),2))</f>
        <v/>
      </c>
      <c r="N143" s="23">
        <f>IF(C143="","",SUMIFS(Payments!$D$6:$D$805,Payments!$G$6:$G$805,B143))</f>
        <v/>
      </c>
      <c r="O143" s="24">
        <f>IF(C143="","",ROUND(L143-N143,2))</f>
        <v/>
      </c>
      <c r="P143" s="11">
        <f>IF(OR(U143="",N(O143)&lt;=0),"",IF(I143="Week",J143+7*U143,IF(I143="2 weeks",J143+14*U143,EDATE(J143,U143))))</f>
        <v/>
      </c>
      <c r="Q143" s="23">
        <f>IF(P143="","",IF(U143=N(H143)-1,O143,ROUND(M143*(U143+1)-N143,2)))</f>
        <v/>
      </c>
      <c r="R143" s="25">
        <f>IF(C143="","",IF(O143&lt;=0,"Paid off",IF(OR(M143="",NOT(ISNUMBER(J143))),"Open",IF(W143&gt;0,"Overdue",IF(AND(ISNUMBER(P143),P143-TODAY()&lt;=Settings!$C$6),"Due soon","On track")))))</f>
        <v/>
      </c>
      <c r="S143" s="1">
        <f>IF(C143="","",B143&amp;" "&amp;C143)</f>
        <v/>
      </c>
      <c r="T143">
        <f>IF(OR(M143="",NOT(ISNUMBER(J143))),"",MIN(N(H143),IF(I143="Week",IF((TODAY()-1)&lt;J143,0,INT(((TODAY()-1)-J143)/7)+1),IF(I143="2 weeks",IF((TODAY()-1)&lt;J143,0,INT(((TODAY()-1)-J143)/14)+1),IF(((YEAR((TODAY()-1))-YEAR(J143))*12+MONTH((TODAY()-1))-MONTH(J143))&lt;0,0,IF(EDATE(J143,((YEAR((TODAY()-1))-YEAR(J143))*12+MONTH((TODAY()-1))-MONTH(J143)))&lt;=(TODAY()-1),((YEAR((TODAY()-1))-YEAR(J143))*12+MONTH((TODAY()-1))-MONTH(J143))+1,((YEAR((TODAY()-1))-YEAR(J143))*12+MONTH((TODAY()-1))-MONTH(J143))))))))</f>
        <v/>
      </c>
      <c r="U143">
        <f>IF(OR(M143="",NOT(ISNUMBER(J143))),"",IF(N(M143)&lt;=0,"",MIN(N(H143)-1,INT(ROUND(N143/M143,6)))))</f>
        <v/>
      </c>
      <c r="V143">
        <f>IF(T143="","",IF(T143&gt;=N(H143),L143,M143*T143))</f>
        <v/>
      </c>
      <c r="W143">
        <f>IF(V143="",0,MAX(0,ROUND(V143-N143,2)))</f>
        <v/>
      </c>
      <c r="X143">
        <f>IF(OR(R143="",R143="Paid off",NOT(ISNUMBER(P143))),"",P143*1000+ROW())</f>
        <v/>
      </c>
      <c r="Y143">
        <f>IF(C143="","",IF(AND(COUNTIF(C$6:C143,C143)=1,SUMIFS(Loans!$O$6:$O$305,Loans!$C$6:$C$305,C143,Loans!$O$6:$O$305,"&gt;0")&gt;0),ROW(),""))</f>
        <v/>
      </c>
      <c r="Z143">
        <f>IF(OR(C143="",P143=""),"",IF(D143="I borrowed","From you","To you"))</f>
        <v/>
      </c>
    </row>
    <row r="144">
      <c r="A144" s="1" t="n"/>
      <c r="B144" s="15" t="n">
        <v>139</v>
      </c>
      <c r="C144" s="16" t="n"/>
      <c r="D144" s="17" t="n"/>
      <c r="E144" s="18" t="n"/>
      <c r="F144" s="19" t="n"/>
      <c r="G144" s="20" t="n"/>
      <c r="H144" s="21" t="n"/>
      <c r="I144" s="17" t="n"/>
      <c r="J144" s="18" t="n"/>
      <c r="K144" s="22" t="n"/>
      <c r="L144" s="23">
        <f>IF(C144="","",ROUND(N(F144)*(1+N(G144)/100*IF(N(H144)&gt;0,N(H144)*IF(I144="Week",7/365,IF(I144="2 weeks",14/365,1/12)),IF(ISNUMBER(E144),MAX(0,TODAY()-E144)/365,0))),2))</f>
        <v/>
      </c>
      <c r="M144" s="23">
        <f>IF(OR(C144="",N(H144)&lt;=0),"",ROUND(L144/N(H144),2))</f>
        <v/>
      </c>
      <c r="N144" s="23">
        <f>IF(C144="","",SUMIFS(Payments!$D$6:$D$805,Payments!$G$6:$G$805,B144))</f>
        <v/>
      </c>
      <c r="O144" s="24">
        <f>IF(C144="","",ROUND(L144-N144,2))</f>
        <v/>
      </c>
      <c r="P144" s="11">
        <f>IF(OR(U144="",N(O144)&lt;=0),"",IF(I144="Week",J144+7*U144,IF(I144="2 weeks",J144+14*U144,EDATE(J144,U144))))</f>
        <v/>
      </c>
      <c r="Q144" s="23">
        <f>IF(P144="","",IF(U144=N(H144)-1,O144,ROUND(M144*(U144+1)-N144,2)))</f>
        <v/>
      </c>
      <c r="R144" s="25">
        <f>IF(C144="","",IF(O144&lt;=0,"Paid off",IF(OR(M144="",NOT(ISNUMBER(J144))),"Open",IF(W144&gt;0,"Overdue",IF(AND(ISNUMBER(P144),P144-TODAY()&lt;=Settings!$C$6),"Due soon","On track")))))</f>
        <v/>
      </c>
      <c r="S144" s="1">
        <f>IF(C144="","",B144&amp;" "&amp;C144)</f>
        <v/>
      </c>
      <c r="T144">
        <f>IF(OR(M144="",NOT(ISNUMBER(J144))),"",MIN(N(H144),IF(I144="Week",IF((TODAY()-1)&lt;J144,0,INT(((TODAY()-1)-J144)/7)+1),IF(I144="2 weeks",IF((TODAY()-1)&lt;J144,0,INT(((TODAY()-1)-J144)/14)+1),IF(((YEAR((TODAY()-1))-YEAR(J144))*12+MONTH((TODAY()-1))-MONTH(J144))&lt;0,0,IF(EDATE(J144,((YEAR((TODAY()-1))-YEAR(J144))*12+MONTH((TODAY()-1))-MONTH(J144)))&lt;=(TODAY()-1),((YEAR((TODAY()-1))-YEAR(J144))*12+MONTH((TODAY()-1))-MONTH(J144))+1,((YEAR((TODAY()-1))-YEAR(J144))*12+MONTH((TODAY()-1))-MONTH(J144))))))))</f>
        <v/>
      </c>
      <c r="U144">
        <f>IF(OR(M144="",NOT(ISNUMBER(J144))),"",IF(N(M144)&lt;=0,"",MIN(N(H144)-1,INT(ROUND(N144/M144,6)))))</f>
        <v/>
      </c>
      <c r="V144">
        <f>IF(T144="","",IF(T144&gt;=N(H144),L144,M144*T144))</f>
        <v/>
      </c>
      <c r="W144">
        <f>IF(V144="",0,MAX(0,ROUND(V144-N144,2)))</f>
        <v/>
      </c>
      <c r="X144">
        <f>IF(OR(R144="",R144="Paid off",NOT(ISNUMBER(P144))),"",P144*1000+ROW())</f>
        <v/>
      </c>
      <c r="Y144">
        <f>IF(C144="","",IF(AND(COUNTIF(C$6:C144,C144)=1,SUMIFS(Loans!$O$6:$O$305,Loans!$C$6:$C$305,C144,Loans!$O$6:$O$305,"&gt;0")&gt;0),ROW(),""))</f>
        <v/>
      </c>
      <c r="Z144">
        <f>IF(OR(C144="",P144=""),"",IF(D144="I borrowed","From you","To you"))</f>
        <v/>
      </c>
    </row>
    <row r="145">
      <c r="A145" s="1" t="n"/>
      <c r="B145" s="15" t="n">
        <v>140</v>
      </c>
      <c r="C145" s="16" t="n"/>
      <c r="D145" s="17" t="n"/>
      <c r="E145" s="18" t="n"/>
      <c r="F145" s="19" t="n"/>
      <c r="G145" s="20" t="n"/>
      <c r="H145" s="21" t="n"/>
      <c r="I145" s="17" t="n"/>
      <c r="J145" s="18" t="n"/>
      <c r="K145" s="22" t="n"/>
      <c r="L145" s="23">
        <f>IF(C145="","",ROUND(N(F145)*(1+N(G145)/100*IF(N(H145)&gt;0,N(H145)*IF(I145="Week",7/365,IF(I145="2 weeks",14/365,1/12)),IF(ISNUMBER(E145),MAX(0,TODAY()-E145)/365,0))),2))</f>
        <v/>
      </c>
      <c r="M145" s="23">
        <f>IF(OR(C145="",N(H145)&lt;=0),"",ROUND(L145/N(H145),2))</f>
        <v/>
      </c>
      <c r="N145" s="23">
        <f>IF(C145="","",SUMIFS(Payments!$D$6:$D$805,Payments!$G$6:$G$805,B145))</f>
        <v/>
      </c>
      <c r="O145" s="24">
        <f>IF(C145="","",ROUND(L145-N145,2))</f>
        <v/>
      </c>
      <c r="P145" s="11">
        <f>IF(OR(U145="",N(O145)&lt;=0),"",IF(I145="Week",J145+7*U145,IF(I145="2 weeks",J145+14*U145,EDATE(J145,U145))))</f>
        <v/>
      </c>
      <c r="Q145" s="23">
        <f>IF(P145="","",IF(U145=N(H145)-1,O145,ROUND(M145*(U145+1)-N145,2)))</f>
        <v/>
      </c>
      <c r="R145" s="25">
        <f>IF(C145="","",IF(O145&lt;=0,"Paid off",IF(OR(M145="",NOT(ISNUMBER(J145))),"Open",IF(W145&gt;0,"Overdue",IF(AND(ISNUMBER(P145),P145-TODAY()&lt;=Settings!$C$6),"Due soon","On track")))))</f>
        <v/>
      </c>
      <c r="S145" s="1">
        <f>IF(C145="","",B145&amp;" "&amp;C145)</f>
        <v/>
      </c>
      <c r="T145">
        <f>IF(OR(M145="",NOT(ISNUMBER(J145))),"",MIN(N(H145),IF(I145="Week",IF((TODAY()-1)&lt;J145,0,INT(((TODAY()-1)-J145)/7)+1),IF(I145="2 weeks",IF((TODAY()-1)&lt;J145,0,INT(((TODAY()-1)-J145)/14)+1),IF(((YEAR((TODAY()-1))-YEAR(J145))*12+MONTH((TODAY()-1))-MONTH(J145))&lt;0,0,IF(EDATE(J145,((YEAR((TODAY()-1))-YEAR(J145))*12+MONTH((TODAY()-1))-MONTH(J145)))&lt;=(TODAY()-1),((YEAR((TODAY()-1))-YEAR(J145))*12+MONTH((TODAY()-1))-MONTH(J145))+1,((YEAR((TODAY()-1))-YEAR(J145))*12+MONTH((TODAY()-1))-MONTH(J145))))))))</f>
        <v/>
      </c>
      <c r="U145">
        <f>IF(OR(M145="",NOT(ISNUMBER(J145))),"",IF(N(M145)&lt;=0,"",MIN(N(H145)-1,INT(ROUND(N145/M145,6)))))</f>
        <v/>
      </c>
      <c r="V145">
        <f>IF(T145="","",IF(T145&gt;=N(H145),L145,M145*T145))</f>
        <v/>
      </c>
      <c r="W145">
        <f>IF(V145="",0,MAX(0,ROUND(V145-N145,2)))</f>
        <v/>
      </c>
      <c r="X145">
        <f>IF(OR(R145="",R145="Paid off",NOT(ISNUMBER(P145))),"",P145*1000+ROW())</f>
        <v/>
      </c>
      <c r="Y145">
        <f>IF(C145="","",IF(AND(COUNTIF(C$6:C145,C145)=1,SUMIFS(Loans!$O$6:$O$305,Loans!$C$6:$C$305,C145,Loans!$O$6:$O$305,"&gt;0")&gt;0),ROW(),""))</f>
        <v/>
      </c>
      <c r="Z145">
        <f>IF(OR(C145="",P145=""),"",IF(D145="I borrowed","From you","To you"))</f>
        <v/>
      </c>
    </row>
    <row r="146">
      <c r="A146" s="1" t="n"/>
      <c r="B146" s="15" t="n">
        <v>141</v>
      </c>
      <c r="C146" s="16" t="n"/>
      <c r="D146" s="17" t="n"/>
      <c r="E146" s="18" t="n"/>
      <c r="F146" s="19" t="n"/>
      <c r="G146" s="20" t="n"/>
      <c r="H146" s="21" t="n"/>
      <c r="I146" s="17" t="n"/>
      <c r="J146" s="18" t="n"/>
      <c r="K146" s="22" t="n"/>
      <c r="L146" s="23">
        <f>IF(C146="","",ROUND(N(F146)*(1+N(G146)/100*IF(N(H146)&gt;0,N(H146)*IF(I146="Week",7/365,IF(I146="2 weeks",14/365,1/12)),IF(ISNUMBER(E146),MAX(0,TODAY()-E146)/365,0))),2))</f>
        <v/>
      </c>
      <c r="M146" s="23">
        <f>IF(OR(C146="",N(H146)&lt;=0),"",ROUND(L146/N(H146),2))</f>
        <v/>
      </c>
      <c r="N146" s="23">
        <f>IF(C146="","",SUMIFS(Payments!$D$6:$D$805,Payments!$G$6:$G$805,B146))</f>
        <v/>
      </c>
      <c r="O146" s="24">
        <f>IF(C146="","",ROUND(L146-N146,2))</f>
        <v/>
      </c>
      <c r="P146" s="11">
        <f>IF(OR(U146="",N(O146)&lt;=0),"",IF(I146="Week",J146+7*U146,IF(I146="2 weeks",J146+14*U146,EDATE(J146,U146))))</f>
        <v/>
      </c>
      <c r="Q146" s="23">
        <f>IF(P146="","",IF(U146=N(H146)-1,O146,ROUND(M146*(U146+1)-N146,2)))</f>
        <v/>
      </c>
      <c r="R146" s="25">
        <f>IF(C146="","",IF(O146&lt;=0,"Paid off",IF(OR(M146="",NOT(ISNUMBER(J146))),"Open",IF(W146&gt;0,"Overdue",IF(AND(ISNUMBER(P146),P146-TODAY()&lt;=Settings!$C$6),"Due soon","On track")))))</f>
        <v/>
      </c>
      <c r="S146" s="1">
        <f>IF(C146="","",B146&amp;" "&amp;C146)</f>
        <v/>
      </c>
      <c r="T146">
        <f>IF(OR(M146="",NOT(ISNUMBER(J146))),"",MIN(N(H146),IF(I146="Week",IF((TODAY()-1)&lt;J146,0,INT(((TODAY()-1)-J146)/7)+1),IF(I146="2 weeks",IF((TODAY()-1)&lt;J146,0,INT(((TODAY()-1)-J146)/14)+1),IF(((YEAR((TODAY()-1))-YEAR(J146))*12+MONTH((TODAY()-1))-MONTH(J146))&lt;0,0,IF(EDATE(J146,((YEAR((TODAY()-1))-YEAR(J146))*12+MONTH((TODAY()-1))-MONTH(J146)))&lt;=(TODAY()-1),((YEAR((TODAY()-1))-YEAR(J146))*12+MONTH((TODAY()-1))-MONTH(J146))+1,((YEAR((TODAY()-1))-YEAR(J146))*12+MONTH((TODAY()-1))-MONTH(J146))))))))</f>
        <v/>
      </c>
      <c r="U146">
        <f>IF(OR(M146="",NOT(ISNUMBER(J146))),"",IF(N(M146)&lt;=0,"",MIN(N(H146)-1,INT(ROUND(N146/M146,6)))))</f>
        <v/>
      </c>
      <c r="V146">
        <f>IF(T146="","",IF(T146&gt;=N(H146),L146,M146*T146))</f>
        <v/>
      </c>
      <c r="W146">
        <f>IF(V146="",0,MAX(0,ROUND(V146-N146,2)))</f>
        <v/>
      </c>
      <c r="X146">
        <f>IF(OR(R146="",R146="Paid off",NOT(ISNUMBER(P146))),"",P146*1000+ROW())</f>
        <v/>
      </c>
      <c r="Y146">
        <f>IF(C146="","",IF(AND(COUNTIF(C$6:C146,C146)=1,SUMIFS(Loans!$O$6:$O$305,Loans!$C$6:$C$305,C146,Loans!$O$6:$O$305,"&gt;0")&gt;0),ROW(),""))</f>
        <v/>
      </c>
      <c r="Z146">
        <f>IF(OR(C146="",P146=""),"",IF(D146="I borrowed","From you","To you"))</f>
        <v/>
      </c>
    </row>
    <row r="147">
      <c r="A147" s="1" t="n"/>
      <c r="B147" s="15" t="n">
        <v>142</v>
      </c>
      <c r="C147" s="16" t="n"/>
      <c r="D147" s="17" t="n"/>
      <c r="E147" s="18" t="n"/>
      <c r="F147" s="19" t="n"/>
      <c r="G147" s="20" t="n"/>
      <c r="H147" s="21" t="n"/>
      <c r="I147" s="17" t="n"/>
      <c r="J147" s="18" t="n"/>
      <c r="K147" s="22" t="n"/>
      <c r="L147" s="23">
        <f>IF(C147="","",ROUND(N(F147)*(1+N(G147)/100*IF(N(H147)&gt;0,N(H147)*IF(I147="Week",7/365,IF(I147="2 weeks",14/365,1/12)),IF(ISNUMBER(E147),MAX(0,TODAY()-E147)/365,0))),2))</f>
        <v/>
      </c>
      <c r="M147" s="23">
        <f>IF(OR(C147="",N(H147)&lt;=0),"",ROUND(L147/N(H147),2))</f>
        <v/>
      </c>
      <c r="N147" s="23">
        <f>IF(C147="","",SUMIFS(Payments!$D$6:$D$805,Payments!$G$6:$G$805,B147))</f>
        <v/>
      </c>
      <c r="O147" s="24">
        <f>IF(C147="","",ROUND(L147-N147,2))</f>
        <v/>
      </c>
      <c r="P147" s="11">
        <f>IF(OR(U147="",N(O147)&lt;=0),"",IF(I147="Week",J147+7*U147,IF(I147="2 weeks",J147+14*U147,EDATE(J147,U147))))</f>
        <v/>
      </c>
      <c r="Q147" s="23">
        <f>IF(P147="","",IF(U147=N(H147)-1,O147,ROUND(M147*(U147+1)-N147,2)))</f>
        <v/>
      </c>
      <c r="R147" s="25">
        <f>IF(C147="","",IF(O147&lt;=0,"Paid off",IF(OR(M147="",NOT(ISNUMBER(J147))),"Open",IF(W147&gt;0,"Overdue",IF(AND(ISNUMBER(P147),P147-TODAY()&lt;=Settings!$C$6),"Due soon","On track")))))</f>
        <v/>
      </c>
      <c r="S147" s="1">
        <f>IF(C147="","",B147&amp;" "&amp;C147)</f>
        <v/>
      </c>
      <c r="T147">
        <f>IF(OR(M147="",NOT(ISNUMBER(J147))),"",MIN(N(H147),IF(I147="Week",IF((TODAY()-1)&lt;J147,0,INT(((TODAY()-1)-J147)/7)+1),IF(I147="2 weeks",IF((TODAY()-1)&lt;J147,0,INT(((TODAY()-1)-J147)/14)+1),IF(((YEAR((TODAY()-1))-YEAR(J147))*12+MONTH((TODAY()-1))-MONTH(J147))&lt;0,0,IF(EDATE(J147,((YEAR((TODAY()-1))-YEAR(J147))*12+MONTH((TODAY()-1))-MONTH(J147)))&lt;=(TODAY()-1),((YEAR((TODAY()-1))-YEAR(J147))*12+MONTH((TODAY()-1))-MONTH(J147))+1,((YEAR((TODAY()-1))-YEAR(J147))*12+MONTH((TODAY()-1))-MONTH(J147))))))))</f>
        <v/>
      </c>
      <c r="U147">
        <f>IF(OR(M147="",NOT(ISNUMBER(J147))),"",IF(N(M147)&lt;=0,"",MIN(N(H147)-1,INT(ROUND(N147/M147,6)))))</f>
        <v/>
      </c>
      <c r="V147">
        <f>IF(T147="","",IF(T147&gt;=N(H147),L147,M147*T147))</f>
        <v/>
      </c>
      <c r="W147">
        <f>IF(V147="",0,MAX(0,ROUND(V147-N147,2)))</f>
        <v/>
      </c>
      <c r="X147">
        <f>IF(OR(R147="",R147="Paid off",NOT(ISNUMBER(P147))),"",P147*1000+ROW())</f>
        <v/>
      </c>
      <c r="Y147">
        <f>IF(C147="","",IF(AND(COUNTIF(C$6:C147,C147)=1,SUMIFS(Loans!$O$6:$O$305,Loans!$C$6:$C$305,C147,Loans!$O$6:$O$305,"&gt;0")&gt;0),ROW(),""))</f>
        <v/>
      </c>
      <c r="Z147">
        <f>IF(OR(C147="",P147=""),"",IF(D147="I borrowed","From you","To you"))</f>
        <v/>
      </c>
    </row>
    <row r="148">
      <c r="A148" s="1" t="n"/>
      <c r="B148" s="15" t="n">
        <v>143</v>
      </c>
      <c r="C148" s="16" t="n"/>
      <c r="D148" s="17" t="n"/>
      <c r="E148" s="18" t="n"/>
      <c r="F148" s="19" t="n"/>
      <c r="G148" s="20" t="n"/>
      <c r="H148" s="21" t="n"/>
      <c r="I148" s="17" t="n"/>
      <c r="J148" s="18" t="n"/>
      <c r="K148" s="22" t="n"/>
      <c r="L148" s="23">
        <f>IF(C148="","",ROUND(N(F148)*(1+N(G148)/100*IF(N(H148)&gt;0,N(H148)*IF(I148="Week",7/365,IF(I148="2 weeks",14/365,1/12)),IF(ISNUMBER(E148),MAX(0,TODAY()-E148)/365,0))),2))</f>
        <v/>
      </c>
      <c r="M148" s="23">
        <f>IF(OR(C148="",N(H148)&lt;=0),"",ROUND(L148/N(H148),2))</f>
        <v/>
      </c>
      <c r="N148" s="23">
        <f>IF(C148="","",SUMIFS(Payments!$D$6:$D$805,Payments!$G$6:$G$805,B148))</f>
        <v/>
      </c>
      <c r="O148" s="24">
        <f>IF(C148="","",ROUND(L148-N148,2))</f>
        <v/>
      </c>
      <c r="P148" s="11">
        <f>IF(OR(U148="",N(O148)&lt;=0),"",IF(I148="Week",J148+7*U148,IF(I148="2 weeks",J148+14*U148,EDATE(J148,U148))))</f>
        <v/>
      </c>
      <c r="Q148" s="23">
        <f>IF(P148="","",IF(U148=N(H148)-1,O148,ROUND(M148*(U148+1)-N148,2)))</f>
        <v/>
      </c>
      <c r="R148" s="25">
        <f>IF(C148="","",IF(O148&lt;=0,"Paid off",IF(OR(M148="",NOT(ISNUMBER(J148))),"Open",IF(W148&gt;0,"Overdue",IF(AND(ISNUMBER(P148),P148-TODAY()&lt;=Settings!$C$6),"Due soon","On track")))))</f>
        <v/>
      </c>
      <c r="S148" s="1">
        <f>IF(C148="","",B148&amp;" "&amp;C148)</f>
        <v/>
      </c>
      <c r="T148">
        <f>IF(OR(M148="",NOT(ISNUMBER(J148))),"",MIN(N(H148),IF(I148="Week",IF((TODAY()-1)&lt;J148,0,INT(((TODAY()-1)-J148)/7)+1),IF(I148="2 weeks",IF((TODAY()-1)&lt;J148,0,INT(((TODAY()-1)-J148)/14)+1),IF(((YEAR((TODAY()-1))-YEAR(J148))*12+MONTH((TODAY()-1))-MONTH(J148))&lt;0,0,IF(EDATE(J148,((YEAR((TODAY()-1))-YEAR(J148))*12+MONTH((TODAY()-1))-MONTH(J148)))&lt;=(TODAY()-1),((YEAR((TODAY()-1))-YEAR(J148))*12+MONTH((TODAY()-1))-MONTH(J148))+1,((YEAR((TODAY()-1))-YEAR(J148))*12+MONTH((TODAY()-1))-MONTH(J148))))))))</f>
        <v/>
      </c>
      <c r="U148">
        <f>IF(OR(M148="",NOT(ISNUMBER(J148))),"",IF(N(M148)&lt;=0,"",MIN(N(H148)-1,INT(ROUND(N148/M148,6)))))</f>
        <v/>
      </c>
      <c r="V148">
        <f>IF(T148="","",IF(T148&gt;=N(H148),L148,M148*T148))</f>
        <v/>
      </c>
      <c r="W148">
        <f>IF(V148="",0,MAX(0,ROUND(V148-N148,2)))</f>
        <v/>
      </c>
      <c r="X148">
        <f>IF(OR(R148="",R148="Paid off",NOT(ISNUMBER(P148))),"",P148*1000+ROW())</f>
        <v/>
      </c>
      <c r="Y148">
        <f>IF(C148="","",IF(AND(COUNTIF(C$6:C148,C148)=1,SUMIFS(Loans!$O$6:$O$305,Loans!$C$6:$C$305,C148,Loans!$O$6:$O$305,"&gt;0")&gt;0),ROW(),""))</f>
        <v/>
      </c>
      <c r="Z148">
        <f>IF(OR(C148="",P148=""),"",IF(D148="I borrowed","From you","To you"))</f>
        <v/>
      </c>
    </row>
    <row r="149">
      <c r="A149" s="1" t="n"/>
      <c r="B149" s="15" t="n">
        <v>144</v>
      </c>
      <c r="C149" s="16" t="n"/>
      <c r="D149" s="17" t="n"/>
      <c r="E149" s="18" t="n"/>
      <c r="F149" s="19" t="n"/>
      <c r="G149" s="20" t="n"/>
      <c r="H149" s="21" t="n"/>
      <c r="I149" s="17" t="n"/>
      <c r="J149" s="18" t="n"/>
      <c r="K149" s="22" t="n"/>
      <c r="L149" s="23">
        <f>IF(C149="","",ROUND(N(F149)*(1+N(G149)/100*IF(N(H149)&gt;0,N(H149)*IF(I149="Week",7/365,IF(I149="2 weeks",14/365,1/12)),IF(ISNUMBER(E149),MAX(0,TODAY()-E149)/365,0))),2))</f>
        <v/>
      </c>
      <c r="M149" s="23">
        <f>IF(OR(C149="",N(H149)&lt;=0),"",ROUND(L149/N(H149),2))</f>
        <v/>
      </c>
      <c r="N149" s="23">
        <f>IF(C149="","",SUMIFS(Payments!$D$6:$D$805,Payments!$G$6:$G$805,B149))</f>
        <v/>
      </c>
      <c r="O149" s="24">
        <f>IF(C149="","",ROUND(L149-N149,2))</f>
        <v/>
      </c>
      <c r="P149" s="11">
        <f>IF(OR(U149="",N(O149)&lt;=0),"",IF(I149="Week",J149+7*U149,IF(I149="2 weeks",J149+14*U149,EDATE(J149,U149))))</f>
        <v/>
      </c>
      <c r="Q149" s="23">
        <f>IF(P149="","",IF(U149=N(H149)-1,O149,ROUND(M149*(U149+1)-N149,2)))</f>
        <v/>
      </c>
      <c r="R149" s="25">
        <f>IF(C149="","",IF(O149&lt;=0,"Paid off",IF(OR(M149="",NOT(ISNUMBER(J149))),"Open",IF(W149&gt;0,"Overdue",IF(AND(ISNUMBER(P149),P149-TODAY()&lt;=Settings!$C$6),"Due soon","On track")))))</f>
        <v/>
      </c>
      <c r="S149" s="1">
        <f>IF(C149="","",B149&amp;" "&amp;C149)</f>
        <v/>
      </c>
      <c r="T149">
        <f>IF(OR(M149="",NOT(ISNUMBER(J149))),"",MIN(N(H149),IF(I149="Week",IF((TODAY()-1)&lt;J149,0,INT(((TODAY()-1)-J149)/7)+1),IF(I149="2 weeks",IF((TODAY()-1)&lt;J149,0,INT(((TODAY()-1)-J149)/14)+1),IF(((YEAR((TODAY()-1))-YEAR(J149))*12+MONTH((TODAY()-1))-MONTH(J149))&lt;0,0,IF(EDATE(J149,((YEAR((TODAY()-1))-YEAR(J149))*12+MONTH((TODAY()-1))-MONTH(J149)))&lt;=(TODAY()-1),((YEAR((TODAY()-1))-YEAR(J149))*12+MONTH((TODAY()-1))-MONTH(J149))+1,((YEAR((TODAY()-1))-YEAR(J149))*12+MONTH((TODAY()-1))-MONTH(J149))))))))</f>
        <v/>
      </c>
      <c r="U149">
        <f>IF(OR(M149="",NOT(ISNUMBER(J149))),"",IF(N(M149)&lt;=0,"",MIN(N(H149)-1,INT(ROUND(N149/M149,6)))))</f>
        <v/>
      </c>
      <c r="V149">
        <f>IF(T149="","",IF(T149&gt;=N(H149),L149,M149*T149))</f>
        <v/>
      </c>
      <c r="W149">
        <f>IF(V149="",0,MAX(0,ROUND(V149-N149,2)))</f>
        <v/>
      </c>
      <c r="X149">
        <f>IF(OR(R149="",R149="Paid off",NOT(ISNUMBER(P149))),"",P149*1000+ROW())</f>
        <v/>
      </c>
      <c r="Y149">
        <f>IF(C149="","",IF(AND(COUNTIF(C$6:C149,C149)=1,SUMIFS(Loans!$O$6:$O$305,Loans!$C$6:$C$305,C149,Loans!$O$6:$O$305,"&gt;0")&gt;0),ROW(),""))</f>
        <v/>
      </c>
      <c r="Z149">
        <f>IF(OR(C149="",P149=""),"",IF(D149="I borrowed","From you","To you"))</f>
        <v/>
      </c>
    </row>
    <row r="150">
      <c r="A150" s="1" t="n"/>
      <c r="B150" s="15" t="n">
        <v>145</v>
      </c>
      <c r="C150" s="16" t="n"/>
      <c r="D150" s="17" t="n"/>
      <c r="E150" s="18" t="n"/>
      <c r="F150" s="19" t="n"/>
      <c r="G150" s="20" t="n"/>
      <c r="H150" s="21" t="n"/>
      <c r="I150" s="17" t="n"/>
      <c r="J150" s="18" t="n"/>
      <c r="K150" s="22" t="n"/>
      <c r="L150" s="23">
        <f>IF(C150="","",ROUND(N(F150)*(1+N(G150)/100*IF(N(H150)&gt;0,N(H150)*IF(I150="Week",7/365,IF(I150="2 weeks",14/365,1/12)),IF(ISNUMBER(E150),MAX(0,TODAY()-E150)/365,0))),2))</f>
        <v/>
      </c>
      <c r="M150" s="23">
        <f>IF(OR(C150="",N(H150)&lt;=0),"",ROUND(L150/N(H150),2))</f>
        <v/>
      </c>
      <c r="N150" s="23">
        <f>IF(C150="","",SUMIFS(Payments!$D$6:$D$805,Payments!$G$6:$G$805,B150))</f>
        <v/>
      </c>
      <c r="O150" s="24">
        <f>IF(C150="","",ROUND(L150-N150,2))</f>
        <v/>
      </c>
      <c r="P150" s="11">
        <f>IF(OR(U150="",N(O150)&lt;=0),"",IF(I150="Week",J150+7*U150,IF(I150="2 weeks",J150+14*U150,EDATE(J150,U150))))</f>
        <v/>
      </c>
      <c r="Q150" s="23">
        <f>IF(P150="","",IF(U150=N(H150)-1,O150,ROUND(M150*(U150+1)-N150,2)))</f>
        <v/>
      </c>
      <c r="R150" s="25">
        <f>IF(C150="","",IF(O150&lt;=0,"Paid off",IF(OR(M150="",NOT(ISNUMBER(J150))),"Open",IF(W150&gt;0,"Overdue",IF(AND(ISNUMBER(P150),P150-TODAY()&lt;=Settings!$C$6),"Due soon","On track")))))</f>
        <v/>
      </c>
      <c r="S150" s="1">
        <f>IF(C150="","",B150&amp;" "&amp;C150)</f>
        <v/>
      </c>
      <c r="T150">
        <f>IF(OR(M150="",NOT(ISNUMBER(J150))),"",MIN(N(H150),IF(I150="Week",IF((TODAY()-1)&lt;J150,0,INT(((TODAY()-1)-J150)/7)+1),IF(I150="2 weeks",IF((TODAY()-1)&lt;J150,0,INT(((TODAY()-1)-J150)/14)+1),IF(((YEAR((TODAY()-1))-YEAR(J150))*12+MONTH((TODAY()-1))-MONTH(J150))&lt;0,0,IF(EDATE(J150,((YEAR((TODAY()-1))-YEAR(J150))*12+MONTH((TODAY()-1))-MONTH(J150)))&lt;=(TODAY()-1),((YEAR((TODAY()-1))-YEAR(J150))*12+MONTH((TODAY()-1))-MONTH(J150))+1,((YEAR((TODAY()-1))-YEAR(J150))*12+MONTH((TODAY()-1))-MONTH(J150))))))))</f>
        <v/>
      </c>
      <c r="U150">
        <f>IF(OR(M150="",NOT(ISNUMBER(J150))),"",IF(N(M150)&lt;=0,"",MIN(N(H150)-1,INT(ROUND(N150/M150,6)))))</f>
        <v/>
      </c>
      <c r="V150">
        <f>IF(T150="","",IF(T150&gt;=N(H150),L150,M150*T150))</f>
        <v/>
      </c>
      <c r="W150">
        <f>IF(V150="",0,MAX(0,ROUND(V150-N150,2)))</f>
        <v/>
      </c>
      <c r="X150">
        <f>IF(OR(R150="",R150="Paid off",NOT(ISNUMBER(P150))),"",P150*1000+ROW())</f>
        <v/>
      </c>
      <c r="Y150">
        <f>IF(C150="","",IF(AND(COUNTIF(C$6:C150,C150)=1,SUMIFS(Loans!$O$6:$O$305,Loans!$C$6:$C$305,C150,Loans!$O$6:$O$305,"&gt;0")&gt;0),ROW(),""))</f>
        <v/>
      </c>
      <c r="Z150">
        <f>IF(OR(C150="",P150=""),"",IF(D150="I borrowed","From you","To you"))</f>
        <v/>
      </c>
    </row>
    <row r="151">
      <c r="A151" s="1" t="n"/>
      <c r="B151" s="15" t="n">
        <v>146</v>
      </c>
      <c r="C151" s="16" t="n"/>
      <c r="D151" s="17" t="n"/>
      <c r="E151" s="18" t="n"/>
      <c r="F151" s="19" t="n"/>
      <c r="G151" s="20" t="n"/>
      <c r="H151" s="21" t="n"/>
      <c r="I151" s="17" t="n"/>
      <c r="J151" s="18" t="n"/>
      <c r="K151" s="22" t="n"/>
      <c r="L151" s="23">
        <f>IF(C151="","",ROUND(N(F151)*(1+N(G151)/100*IF(N(H151)&gt;0,N(H151)*IF(I151="Week",7/365,IF(I151="2 weeks",14/365,1/12)),IF(ISNUMBER(E151),MAX(0,TODAY()-E151)/365,0))),2))</f>
        <v/>
      </c>
      <c r="M151" s="23">
        <f>IF(OR(C151="",N(H151)&lt;=0),"",ROUND(L151/N(H151),2))</f>
        <v/>
      </c>
      <c r="N151" s="23">
        <f>IF(C151="","",SUMIFS(Payments!$D$6:$D$805,Payments!$G$6:$G$805,B151))</f>
        <v/>
      </c>
      <c r="O151" s="24">
        <f>IF(C151="","",ROUND(L151-N151,2))</f>
        <v/>
      </c>
      <c r="P151" s="11">
        <f>IF(OR(U151="",N(O151)&lt;=0),"",IF(I151="Week",J151+7*U151,IF(I151="2 weeks",J151+14*U151,EDATE(J151,U151))))</f>
        <v/>
      </c>
      <c r="Q151" s="23">
        <f>IF(P151="","",IF(U151=N(H151)-1,O151,ROUND(M151*(U151+1)-N151,2)))</f>
        <v/>
      </c>
      <c r="R151" s="25">
        <f>IF(C151="","",IF(O151&lt;=0,"Paid off",IF(OR(M151="",NOT(ISNUMBER(J151))),"Open",IF(W151&gt;0,"Overdue",IF(AND(ISNUMBER(P151),P151-TODAY()&lt;=Settings!$C$6),"Due soon","On track")))))</f>
        <v/>
      </c>
      <c r="S151" s="1">
        <f>IF(C151="","",B151&amp;" "&amp;C151)</f>
        <v/>
      </c>
      <c r="T151">
        <f>IF(OR(M151="",NOT(ISNUMBER(J151))),"",MIN(N(H151),IF(I151="Week",IF((TODAY()-1)&lt;J151,0,INT(((TODAY()-1)-J151)/7)+1),IF(I151="2 weeks",IF((TODAY()-1)&lt;J151,0,INT(((TODAY()-1)-J151)/14)+1),IF(((YEAR((TODAY()-1))-YEAR(J151))*12+MONTH((TODAY()-1))-MONTH(J151))&lt;0,0,IF(EDATE(J151,((YEAR((TODAY()-1))-YEAR(J151))*12+MONTH((TODAY()-1))-MONTH(J151)))&lt;=(TODAY()-1),((YEAR((TODAY()-1))-YEAR(J151))*12+MONTH((TODAY()-1))-MONTH(J151))+1,((YEAR((TODAY()-1))-YEAR(J151))*12+MONTH((TODAY()-1))-MONTH(J151))))))))</f>
        <v/>
      </c>
      <c r="U151">
        <f>IF(OR(M151="",NOT(ISNUMBER(J151))),"",IF(N(M151)&lt;=0,"",MIN(N(H151)-1,INT(ROUND(N151/M151,6)))))</f>
        <v/>
      </c>
      <c r="V151">
        <f>IF(T151="","",IF(T151&gt;=N(H151),L151,M151*T151))</f>
        <v/>
      </c>
      <c r="W151">
        <f>IF(V151="",0,MAX(0,ROUND(V151-N151,2)))</f>
        <v/>
      </c>
      <c r="X151">
        <f>IF(OR(R151="",R151="Paid off",NOT(ISNUMBER(P151))),"",P151*1000+ROW())</f>
        <v/>
      </c>
      <c r="Y151">
        <f>IF(C151="","",IF(AND(COUNTIF(C$6:C151,C151)=1,SUMIFS(Loans!$O$6:$O$305,Loans!$C$6:$C$305,C151,Loans!$O$6:$O$305,"&gt;0")&gt;0),ROW(),""))</f>
        <v/>
      </c>
      <c r="Z151">
        <f>IF(OR(C151="",P151=""),"",IF(D151="I borrowed","From you","To you"))</f>
        <v/>
      </c>
    </row>
    <row r="152">
      <c r="A152" s="1" t="n"/>
      <c r="B152" s="15" t="n">
        <v>147</v>
      </c>
      <c r="C152" s="16" t="n"/>
      <c r="D152" s="17" t="n"/>
      <c r="E152" s="18" t="n"/>
      <c r="F152" s="19" t="n"/>
      <c r="G152" s="20" t="n"/>
      <c r="H152" s="21" t="n"/>
      <c r="I152" s="17" t="n"/>
      <c r="J152" s="18" t="n"/>
      <c r="K152" s="22" t="n"/>
      <c r="L152" s="23">
        <f>IF(C152="","",ROUND(N(F152)*(1+N(G152)/100*IF(N(H152)&gt;0,N(H152)*IF(I152="Week",7/365,IF(I152="2 weeks",14/365,1/12)),IF(ISNUMBER(E152),MAX(0,TODAY()-E152)/365,0))),2))</f>
        <v/>
      </c>
      <c r="M152" s="23">
        <f>IF(OR(C152="",N(H152)&lt;=0),"",ROUND(L152/N(H152),2))</f>
        <v/>
      </c>
      <c r="N152" s="23">
        <f>IF(C152="","",SUMIFS(Payments!$D$6:$D$805,Payments!$G$6:$G$805,B152))</f>
        <v/>
      </c>
      <c r="O152" s="24">
        <f>IF(C152="","",ROUND(L152-N152,2))</f>
        <v/>
      </c>
      <c r="P152" s="11">
        <f>IF(OR(U152="",N(O152)&lt;=0),"",IF(I152="Week",J152+7*U152,IF(I152="2 weeks",J152+14*U152,EDATE(J152,U152))))</f>
        <v/>
      </c>
      <c r="Q152" s="23">
        <f>IF(P152="","",IF(U152=N(H152)-1,O152,ROUND(M152*(U152+1)-N152,2)))</f>
        <v/>
      </c>
      <c r="R152" s="25">
        <f>IF(C152="","",IF(O152&lt;=0,"Paid off",IF(OR(M152="",NOT(ISNUMBER(J152))),"Open",IF(W152&gt;0,"Overdue",IF(AND(ISNUMBER(P152),P152-TODAY()&lt;=Settings!$C$6),"Due soon","On track")))))</f>
        <v/>
      </c>
      <c r="S152" s="1">
        <f>IF(C152="","",B152&amp;" "&amp;C152)</f>
        <v/>
      </c>
      <c r="T152">
        <f>IF(OR(M152="",NOT(ISNUMBER(J152))),"",MIN(N(H152),IF(I152="Week",IF((TODAY()-1)&lt;J152,0,INT(((TODAY()-1)-J152)/7)+1),IF(I152="2 weeks",IF((TODAY()-1)&lt;J152,0,INT(((TODAY()-1)-J152)/14)+1),IF(((YEAR((TODAY()-1))-YEAR(J152))*12+MONTH((TODAY()-1))-MONTH(J152))&lt;0,0,IF(EDATE(J152,((YEAR((TODAY()-1))-YEAR(J152))*12+MONTH((TODAY()-1))-MONTH(J152)))&lt;=(TODAY()-1),((YEAR((TODAY()-1))-YEAR(J152))*12+MONTH((TODAY()-1))-MONTH(J152))+1,((YEAR((TODAY()-1))-YEAR(J152))*12+MONTH((TODAY()-1))-MONTH(J152))))))))</f>
        <v/>
      </c>
      <c r="U152">
        <f>IF(OR(M152="",NOT(ISNUMBER(J152))),"",IF(N(M152)&lt;=0,"",MIN(N(H152)-1,INT(ROUND(N152/M152,6)))))</f>
        <v/>
      </c>
      <c r="V152">
        <f>IF(T152="","",IF(T152&gt;=N(H152),L152,M152*T152))</f>
        <v/>
      </c>
      <c r="W152">
        <f>IF(V152="",0,MAX(0,ROUND(V152-N152,2)))</f>
        <v/>
      </c>
      <c r="X152">
        <f>IF(OR(R152="",R152="Paid off",NOT(ISNUMBER(P152))),"",P152*1000+ROW())</f>
        <v/>
      </c>
      <c r="Y152">
        <f>IF(C152="","",IF(AND(COUNTIF(C$6:C152,C152)=1,SUMIFS(Loans!$O$6:$O$305,Loans!$C$6:$C$305,C152,Loans!$O$6:$O$305,"&gt;0")&gt;0),ROW(),""))</f>
        <v/>
      </c>
      <c r="Z152">
        <f>IF(OR(C152="",P152=""),"",IF(D152="I borrowed","From you","To you"))</f>
        <v/>
      </c>
    </row>
    <row r="153">
      <c r="A153" s="1" t="n"/>
      <c r="B153" s="15" t="n">
        <v>148</v>
      </c>
      <c r="C153" s="16" t="n"/>
      <c r="D153" s="17" t="n"/>
      <c r="E153" s="18" t="n"/>
      <c r="F153" s="19" t="n"/>
      <c r="G153" s="20" t="n"/>
      <c r="H153" s="21" t="n"/>
      <c r="I153" s="17" t="n"/>
      <c r="J153" s="18" t="n"/>
      <c r="K153" s="22" t="n"/>
      <c r="L153" s="23">
        <f>IF(C153="","",ROUND(N(F153)*(1+N(G153)/100*IF(N(H153)&gt;0,N(H153)*IF(I153="Week",7/365,IF(I153="2 weeks",14/365,1/12)),IF(ISNUMBER(E153),MAX(0,TODAY()-E153)/365,0))),2))</f>
        <v/>
      </c>
      <c r="M153" s="23">
        <f>IF(OR(C153="",N(H153)&lt;=0),"",ROUND(L153/N(H153),2))</f>
        <v/>
      </c>
      <c r="N153" s="23">
        <f>IF(C153="","",SUMIFS(Payments!$D$6:$D$805,Payments!$G$6:$G$805,B153))</f>
        <v/>
      </c>
      <c r="O153" s="24">
        <f>IF(C153="","",ROUND(L153-N153,2))</f>
        <v/>
      </c>
      <c r="P153" s="11">
        <f>IF(OR(U153="",N(O153)&lt;=0),"",IF(I153="Week",J153+7*U153,IF(I153="2 weeks",J153+14*U153,EDATE(J153,U153))))</f>
        <v/>
      </c>
      <c r="Q153" s="23">
        <f>IF(P153="","",IF(U153=N(H153)-1,O153,ROUND(M153*(U153+1)-N153,2)))</f>
        <v/>
      </c>
      <c r="R153" s="25">
        <f>IF(C153="","",IF(O153&lt;=0,"Paid off",IF(OR(M153="",NOT(ISNUMBER(J153))),"Open",IF(W153&gt;0,"Overdue",IF(AND(ISNUMBER(P153),P153-TODAY()&lt;=Settings!$C$6),"Due soon","On track")))))</f>
        <v/>
      </c>
      <c r="S153" s="1">
        <f>IF(C153="","",B153&amp;" "&amp;C153)</f>
        <v/>
      </c>
      <c r="T153">
        <f>IF(OR(M153="",NOT(ISNUMBER(J153))),"",MIN(N(H153),IF(I153="Week",IF((TODAY()-1)&lt;J153,0,INT(((TODAY()-1)-J153)/7)+1),IF(I153="2 weeks",IF((TODAY()-1)&lt;J153,0,INT(((TODAY()-1)-J153)/14)+1),IF(((YEAR((TODAY()-1))-YEAR(J153))*12+MONTH((TODAY()-1))-MONTH(J153))&lt;0,0,IF(EDATE(J153,((YEAR((TODAY()-1))-YEAR(J153))*12+MONTH((TODAY()-1))-MONTH(J153)))&lt;=(TODAY()-1),((YEAR((TODAY()-1))-YEAR(J153))*12+MONTH((TODAY()-1))-MONTH(J153))+1,((YEAR((TODAY()-1))-YEAR(J153))*12+MONTH((TODAY()-1))-MONTH(J153))))))))</f>
        <v/>
      </c>
      <c r="U153">
        <f>IF(OR(M153="",NOT(ISNUMBER(J153))),"",IF(N(M153)&lt;=0,"",MIN(N(H153)-1,INT(ROUND(N153/M153,6)))))</f>
        <v/>
      </c>
      <c r="V153">
        <f>IF(T153="","",IF(T153&gt;=N(H153),L153,M153*T153))</f>
        <v/>
      </c>
      <c r="W153">
        <f>IF(V153="",0,MAX(0,ROUND(V153-N153,2)))</f>
        <v/>
      </c>
      <c r="X153">
        <f>IF(OR(R153="",R153="Paid off",NOT(ISNUMBER(P153))),"",P153*1000+ROW())</f>
        <v/>
      </c>
      <c r="Y153">
        <f>IF(C153="","",IF(AND(COUNTIF(C$6:C153,C153)=1,SUMIFS(Loans!$O$6:$O$305,Loans!$C$6:$C$305,C153,Loans!$O$6:$O$305,"&gt;0")&gt;0),ROW(),""))</f>
        <v/>
      </c>
      <c r="Z153">
        <f>IF(OR(C153="",P153=""),"",IF(D153="I borrowed","From you","To you"))</f>
        <v/>
      </c>
    </row>
    <row r="154">
      <c r="A154" s="1" t="n"/>
      <c r="B154" s="15" t="n">
        <v>149</v>
      </c>
      <c r="C154" s="16" t="n"/>
      <c r="D154" s="17" t="n"/>
      <c r="E154" s="18" t="n"/>
      <c r="F154" s="19" t="n"/>
      <c r="G154" s="20" t="n"/>
      <c r="H154" s="21" t="n"/>
      <c r="I154" s="17" t="n"/>
      <c r="J154" s="18" t="n"/>
      <c r="K154" s="22" t="n"/>
      <c r="L154" s="23">
        <f>IF(C154="","",ROUND(N(F154)*(1+N(G154)/100*IF(N(H154)&gt;0,N(H154)*IF(I154="Week",7/365,IF(I154="2 weeks",14/365,1/12)),IF(ISNUMBER(E154),MAX(0,TODAY()-E154)/365,0))),2))</f>
        <v/>
      </c>
      <c r="M154" s="23">
        <f>IF(OR(C154="",N(H154)&lt;=0),"",ROUND(L154/N(H154),2))</f>
        <v/>
      </c>
      <c r="N154" s="23">
        <f>IF(C154="","",SUMIFS(Payments!$D$6:$D$805,Payments!$G$6:$G$805,B154))</f>
        <v/>
      </c>
      <c r="O154" s="24">
        <f>IF(C154="","",ROUND(L154-N154,2))</f>
        <v/>
      </c>
      <c r="P154" s="11">
        <f>IF(OR(U154="",N(O154)&lt;=0),"",IF(I154="Week",J154+7*U154,IF(I154="2 weeks",J154+14*U154,EDATE(J154,U154))))</f>
        <v/>
      </c>
      <c r="Q154" s="23">
        <f>IF(P154="","",IF(U154=N(H154)-1,O154,ROUND(M154*(U154+1)-N154,2)))</f>
        <v/>
      </c>
      <c r="R154" s="25">
        <f>IF(C154="","",IF(O154&lt;=0,"Paid off",IF(OR(M154="",NOT(ISNUMBER(J154))),"Open",IF(W154&gt;0,"Overdue",IF(AND(ISNUMBER(P154),P154-TODAY()&lt;=Settings!$C$6),"Due soon","On track")))))</f>
        <v/>
      </c>
      <c r="S154" s="1">
        <f>IF(C154="","",B154&amp;" "&amp;C154)</f>
        <v/>
      </c>
      <c r="T154">
        <f>IF(OR(M154="",NOT(ISNUMBER(J154))),"",MIN(N(H154),IF(I154="Week",IF((TODAY()-1)&lt;J154,0,INT(((TODAY()-1)-J154)/7)+1),IF(I154="2 weeks",IF((TODAY()-1)&lt;J154,0,INT(((TODAY()-1)-J154)/14)+1),IF(((YEAR((TODAY()-1))-YEAR(J154))*12+MONTH((TODAY()-1))-MONTH(J154))&lt;0,0,IF(EDATE(J154,((YEAR((TODAY()-1))-YEAR(J154))*12+MONTH((TODAY()-1))-MONTH(J154)))&lt;=(TODAY()-1),((YEAR((TODAY()-1))-YEAR(J154))*12+MONTH((TODAY()-1))-MONTH(J154))+1,((YEAR((TODAY()-1))-YEAR(J154))*12+MONTH((TODAY()-1))-MONTH(J154))))))))</f>
        <v/>
      </c>
      <c r="U154">
        <f>IF(OR(M154="",NOT(ISNUMBER(J154))),"",IF(N(M154)&lt;=0,"",MIN(N(H154)-1,INT(ROUND(N154/M154,6)))))</f>
        <v/>
      </c>
      <c r="V154">
        <f>IF(T154="","",IF(T154&gt;=N(H154),L154,M154*T154))</f>
        <v/>
      </c>
      <c r="W154">
        <f>IF(V154="",0,MAX(0,ROUND(V154-N154,2)))</f>
        <v/>
      </c>
      <c r="X154">
        <f>IF(OR(R154="",R154="Paid off",NOT(ISNUMBER(P154))),"",P154*1000+ROW())</f>
        <v/>
      </c>
      <c r="Y154">
        <f>IF(C154="","",IF(AND(COUNTIF(C$6:C154,C154)=1,SUMIFS(Loans!$O$6:$O$305,Loans!$C$6:$C$305,C154,Loans!$O$6:$O$305,"&gt;0")&gt;0),ROW(),""))</f>
        <v/>
      </c>
      <c r="Z154">
        <f>IF(OR(C154="",P154=""),"",IF(D154="I borrowed","From you","To you"))</f>
        <v/>
      </c>
    </row>
    <row r="155">
      <c r="A155" s="1" t="n"/>
      <c r="B155" s="15" t="n">
        <v>150</v>
      </c>
      <c r="C155" s="16" t="n"/>
      <c r="D155" s="17" t="n"/>
      <c r="E155" s="18" t="n"/>
      <c r="F155" s="19" t="n"/>
      <c r="G155" s="20" t="n"/>
      <c r="H155" s="21" t="n"/>
      <c r="I155" s="17" t="n"/>
      <c r="J155" s="18" t="n"/>
      <c r="K155" s="22" t="n"/>
      <c r="L155" s="23">
        <f>IF(C155="","",ROUND(N(F155)*(1+N(G155)/100*IF(N(H155)&gt;0,N(H155)*IF(I155="Week",7/365,IF(I155="2 weeks",14/365,1/12)),IF(ISNUMBER(E155),MAX(0,TODAY()-E155)/365,0))),2))</f>
        <v/>
      </c>
      <c r="M155" s="23">
        <f>IF(OR(C155="",N(H155)&lt;=0),"",ROUND(L155/N(H155),2))</f>
        <v/>
      </c>
      <c r="N155" s="23">
        <f>IF(C155="","",SUMIFS(Payments!$D$6:$D$805,Payments!$G$6:$G$805,B155))</f>
        <v/>
      </c>
      <c r="O155" s="24">
        <f>IF(C155="","",ROUND(L155-N155,2))</f>
        <v/>
      </c>
      <c r="P155" s="11">
        <f>IF(OR(U155="",N(O155)&lt;=0),"",IF(I155="Week",J155+7*U155,IF(I155="2 weeks",J155+14*U155,EDATE(J155,U155))))</f>
        <v/>
      </c>
      <c r="Q155" s="23">
        <f>IF(P155="","",IF(U155=N(H155)-1,O155,ROUND(M155*(U155+1)-N155,2)))</f>
        <v/>
      </c>
      <c r="R155" s="25">
        <f>IF(C155="","",IF(O155&lt;=0,"Paid off",IF(OR(M155="",NOT(ISNUMBER(J155))),"Open",IF(W155&gt;0,"Overdue",IF(AND(ISNUMBER(P155),P155-TODAY()&lt;=Settings!$C$6),"Due soon","On track")))))</f>
        <v/>
      </c>
      <c r="S155" s="1">
        <f>IF(C155="","",B155&amp;" "&amp;C155)</f>
        <v/>
      </c>
      <c r="T155">
        <f>IF(OR(M155="",NOT(ISNUMBER(J155))),"",MIN(N(H155),IF(I155="Week",IF((TODAY()-1)&lt;J155,0,INT(((TODAY()-1)-J155)/7)+1),IF(I155="2 weeks",IF((TODAY()-1)&lt;J155,0,INT(((TODAY()-1)-J155)/14)+1),IF(((YEAR((TODAY()-1))-YEAR(J155))*12+MONTH((TODAY()-1))-MONTH(J155))&lt;0,0,IF(EDATE(J155,((YEAR((TODAY()-1))-YEAR(J155))*12+MONTH((TODAY()-1))-MONTH(J155)))&lt;=(TODAY()-1),((YEAR((TODAY()-1))-YEAR(J155))*12+MONTH((TODAY()-1))-MONTH(J155))+1,((YEAR((TODAY()-1))-YEAR(J155))*12+MONTH((TODAY()-1))-MONTH(J155))))))))</f>
        <v/>
      </c>
      <c r="U155">
        <f>IF(OR(M155="",NOT(ISNUMBER(J155))),"",IF(N(M155)&lt;=0,"",MIN(N(H155)-1,INT(ROUND(N155/M155,6)))))</f>
        <v/>
      </c>
      <c r="V155">
        <f>IF(T155="","",IF(T155&gt;=N(H155),L155,M155*T155))</f>
        <v/>
      </c>
      <c r="W155">
        <f>IF(V155="",0,MAX(0,ROUND(V155-N155,2)))</f>
        <v/>
      </c>
      <c r="X155">
        <f>IF(OR(R155="",R155="Paid off",NOT(ISNUMBER(P155))),"",P155*1000+ROW())</f>
        <v/>
      </c>
      <c r="Y155">
        <f>IF(C155="","",IF(AND(COUNTIF(C$6:C155,C155)=1,SUMIFS(Loans!$O$6:$O$305,Loans!$C$6:$C$305,C155,Loans!$O$6:$O$305,"&gt;0")&gt;0),ROW(),""))</f>
        <v/>
      </c>
      <c r="Z155">
        <f>IF(OR(C155="",P155=""),"",IF(D155="I borrowed","From you","To you"))</f>
        <v/>
      </c>
    </row>
    <row r="156">
      <c r="A156" s="1" t="n"/>
      <c r="B156" s="15" t="n">
        <v>151</v>
      </c>
      <c r="C156" s="16" t="n"/>
      <c r="D156" s="17" t="n"/>
      <c r="E156" s="18" t="n"/>
      <c r="F156" s="19" t="n"/>
      <c r="G156" s="20" t="n"/>
      <c r="H156" s="21" t="n"/>
      <c r="I156" s="17" t="n"/>
      <c r="J156" s="18" t="n"/>
      <c r="K156" s="22" t="n"/>
      <c r="L156" s="23">
        <f>IF(C156="","",ROUND(N(F156)*(1+N(G156)/100*IF(N(H156)&gt;0,N(H156)*IF(I156="Week",7/365,IF(I156="2 weeks",14/365,1/12)),IF(ISNUMBER(E156),MAX(0,TODAY()-E156)/365,0))),2))</f>
        <v/>
      </c>
      <c r="M156" s="23">
        <f>IF(OR(C156="",N(H156)&lt;=0),"",ROUND(L156/N(H156),2))</f>
        <v/>
      </c>
      <c r="N156" s="23">
        <f>IF(C156="","",SUMIFS(Payments!$D$6:$D$805,Payments!$G$6:$G$805,B156))</f>
        <v/>
      </c>
      <c r="O156" s="24">
        <f>IF(C156="","",ROUND(L156-N156,2))</f>
        <v/>
      </c>
      <c r="P156" s="11">
        <f>IF(OR(U156="",N(O156)&lt;=0),"",IF(I156="Week",J156+7*U156,IF(I156="2 weeks",J156+14*U156,EDATE(J156,U156))))</f>
        <v/>
      </c>
      <c r="Q156" s="23">
        <f>IF(P156="","",IF(U156=N(H156)-1,O156,ROUND(M156*(U156+1)-N156,2)))</f>
        <v/>
      </c>
      <c r="R156" s="25">
        <f>IF(C156="","",IF(O156&lt;=0,"Paid off",IF(OR(M156="",NOT(ISNUMBER(J156))),"Open",IF(W156&gt;0,"Overdue",IF(AND(ISNUMBER(P156),P156-TODAY()&lt;=Settings!$C$6),"Due soon","On track")))))</f>
        <v/>
      </c>
      <c r="S156" s="1">
        <f>IF(C156="","",B156&amp;" "&amp;C156)</f>
        <v/>
      </c>
      <c r="T156">
        <f>IF(OR(M156="",NOT(ISNUMBER(J156))),"",MIN(N(H156),IF(I156="Week",IF((TODAY()-1)&lt;J156,0,INT(((TODAY()-1)-J156)/7)+1),IF(I156="2 weeks",IF((TODAY()-1)&lt;J156,0,INT(((TODAY()-1)-J156)/14)+1),IF(((YEAR((TODAY()-1))-YEAR(J156))*12+MONTH((TODAY()-1))-MONTH(J156))&lt;0,0,IF(EDATE(J156,((YEAR((TODAY()-1))-YEAR(J156))*12+MONTH((TODAY()-1))-MONTH(J156)))&lt;=(TODAY()-1),((YEAR((TODAY()-1))-YEAR(J156))*12+MONTH((TODAY()-1))-MONTH(J156))+1,((YEAR((TODAY()-1))-YEAR(J156))*12+MONTH((TODAY()-1))-MONTH(J156))))))))</f>
        <v/>
      </c>
      <c r="U156">
        <f>IF(OR(M156="",NOT(ISNUMBER(J156))),"",IF(N(M156)&lt;=0,"",MIN(N(H156)-1,INT(ROUND(N156/M156,6)))))</f>
        <v/>
      </c>
      <c r="V156">
        <f>IF(T156="","",IF(T156&gt;=N(H156),L156,M156*T156))</f>
        <v/>
      </c>
      <c r="W156">
        <f>IF(V156="",0,MAX(0,ROUND(V156-N156,2)))</f>
        <v/>
      </c>
      <c r="X156">
        <f>IF(OR(R156="",R156="Paid off",NOT(ISNUMBER(P156))),"",P156*1000+ROW())</f>
        <v/>
      </c>
      <c r="Y156">
        <f>IF(C156="","",IF(AND(COUNTIF(C$6:C156,C156)=1,SUMIFS(Loans!$O$6:$O$305,Loans!$C$6:$C$305,C156,Loans!$O$6:$O$305,"&gt;0")&gt;0),ROW(),""))</f>
        <v/>
      </c>
      <c r="Z156">
        <f>IF(OR(C156="",P156=""),"",IF(D156="I borrowed","From you","To you"))</f>
        <v/>
      </c>
    </row>
    <row r="157">
      <c r="A157" s="1" t="n"/>
      <c r="B157" s="15" t="n">
        <v>152</v>
      </c>
      <c r="C157" s="16" t="n"/>
      <c r="D157" s="17" t="n"/>
      <c r="E157" s="18" t="n"/>
      <c r="F157" s="19" t="n"/>
      <c r="G157" s="20" t="n"/>
      <c r="H157" s="21" t="n"/>
      <c r="I157" s="17" t="n"/>
      <c r="J157" s="18" t="n"/>
      <c r="K157" s="22" t="n"/>
      <c r="L157" s="23">
        <f>IF(C157="","",ROUND(N(F157)*(1+N(G157)/100*IF(N(H157)&gt;0,N(H157)*IF(I157="Week",7/365,IF(I157="2 weeks",14/365,1/12)),IF(ISNUMBER(E157),MAX(0,TODAY()-E157)/365,0))),2))</f>
        <v/>
      </c>
      <c r="M157" s="23">
        <f>IF(OR(C157="",N(H157)&lt;=0),"",ROUND(L157/N(H157),2))</f>
        <v/>
      </c>
      <c r="N157" s="23">
        <f>IF(C157="","",SUMIFS(Payments!$D$6:$D$805,Payments!$G$6:$G$805,B157))</f>
        <v/>
      </c>
      <c r="O157" s="24">
        <f>IF(C157="","",ROUND(L157-N157,2))</f>
        <v/>
      </c>
      <c r="P157" s="11">
        <f>IF(OR(U157="",N(O157)&lt;=0),"",IF(I157="Week",J157+7*U157,IF(I157="2 weeks",J157+14*U157,EDATE(J157,U157))))</f>
        <v/>
      </c>
      <c r="Q157" s="23">
        <f>IF(P157="","",IF(U157=N(H157)-1,O157,ROUND(M157*(U157+1)-N157,2)))</f>
        <v/>
      </c>
      <c r="R157" s="25">
        <f>IF(C157="","",IF(O157&lt;=0,"Paid off",IF(OR(M157="",NOT(ISNUMBER(J157))),"Open",IF(W157&gt;0,"Overdue",IF(AND(ISNUMBER(P157),P157-TODAY()&lt;=Settings!$C$6),"Due soon","On track")))))</f>
        <v/>
      </c>
      <c r="S157" s="1">
        <f>IF(C157="","",B157&amp;" "&amp;C157)</f>
        <v/>
      </c>
      <c r="T157">
        <f>IF(OR(M157="",NOT(ISNUMBER(J157))),"",MIN(N(H157),IF(I157="Week",IF((TODAY()-1)&lt;J157,0,INT(((TODAY()-1)-J157)/7)+1),IF(I157="2 weeks",IF((TODAY()-1)&lt;J157,0,INT(((TODAY()-1)-J157)/14)+1),IF(((YEAR((TODAY()-1))-YEAR(J157))*12+MONTH((TODAY()-1))-MONTH(J157))&lt;0,0,IF(EDATE(J157,((YEAR((TODAY()-1))-YEAR(J157))*12+MONTH((TODAY()-1))-MONTH(J157)))&lt;=(TODAY()-1),((YEAR((TODAY()-1))-YEAR(J157))*12+MONTH((TODAY()-1))-MONTH(J157))+1,((YEAR((TODAY()-1))-YEAR(J157))*12+MONTH((TODAY()-1))-MONTH(J157))))))))</f>
        <v/>
      </c>
      <c r="U157">
        <f>IF(OR(M157="",NOT(ISNUMBER(J157))),"",IF(N(M157)&lt;=0,"",MIN(N(H157)-1,INT(ROUND(N157/M157,6)))))</f>
        <v/>
      </c>
      <c r="V157">
        <f>IF(T157="","",IF(T157&gt;=N(H157),L157,M157*T157))</f>
        <v/>
      </c>
      <c r="W157">
        <f>IF(V157="",0,MAX(0,ROUND(V157-N157,2)))</f>
        <v/>
      </c>
      <c r="X157">
        <f>IF(OR(R157="",R157="Paid off",NOT(ISNUMBER(P157))),"",P157*1000+ROW())</f>
        <v/>
      </c>
      <c r="Y157">
        <f>IF(C157="","",IF(AND(COUNTIF(C$6:C157,C157)=1,SUMIFS(Loans!$O$6:$O$305,Loans!$C$6:$C$305,C157,Loans!$O$6:$O$305,"&gt;0")&gt;0),ROW(),""))</f>
        <v/>
      </c>
      <c r="Z157">
        <f>IF(OR(C157="",P157=""),"",IF(D157="I borrowed","From you","To you"))</f>
        <v/>
      </c>
    </row>
    <row r="158">
      <c r="A158" s="1" t="n"/>
      <c r="B158" s="15" t="n">
        <v>153</v>
      </c>
      <c r="C158" s="16" t="n"/>
      <c r="D158" s="17" t="n"/>
      <c r="E158" s="18" t="n"/>
      <c r="F158" s="19" t="n"/>
      <c r="G158" s="20" t="n"/>
      <c r="H158" s="21" t="n"/>
      <c r="I158" s="17" t="n"/>
      <c r="J158" s="18" t="n"/>
      <c r="K158" s="22" t="n"/>
      <c r="L158" s="23">
        <f>IF(C158="","",ROUND(N(F158)*(1+N(G158)/100*IF(N(H158)&gt;0,N(H158)*IF(I158="Week",7/365,IF(I158="2 weeks",14/365,1/12)),IF(ISNUMBER(E158),MAX(0,TODAY()-E158)/365,0))),2))</f>
        <v/>
      </c>
      <c r="M158" s="23">
        <f>IF(OR(C158="",N(H158)&lt;=0),"",ROUND(L158/N(H158),2))</f>
        <v/>
      </c>
      <c r="N158" s="23">
        <f>IF(C158="","",SUMIFS(Payments!$D$6:$D$805,Payments!$G$6:$G$805,B158))</f>
        <v/>
      </c>
      <c r="O158" s="24">
        <f>IF(C158="","",ROUND(L158-N158,2))</f>
        <v/>
      </c>
      <c r="P158" s="11">
        <f>IF(OR(U158="",N(O158)&lt;=0),"",IF(I158="Week",J158+7*U158,IF(I158="2 weeks",J158+14*U158,EDATE(J158,U158))))</f>
        <v/>
      </c>
      <c r="Q158" s="23">
        <f>IF(P158="","",IF(U158=N(H158)-1,O158,ROUND(M158*(U158+1)-N158,2)))</f>
        <v/>
      </c>
      <c r="R158" s="25">
        <f>IF(C158="","",IF(O158&lt;=0,"Paid off",IF(OR(M158="",NOT(ISNUMBER(J158))),"Open",IF(W158&gt;0,"Overdue",IF(AND(ISNUMBER(P158),P158-TODAY()&lt;=Settings!$C$6),"Due soon","On track")))))</f>
        <v/>
      </c>
      <c r="S158" s="1">
        <f>IF(C158="","",B158&amp;" "&amp;C158)</f>
        <v/>
      </c>
      <c r="T158">
        <f>IF(OR(M158="",NOT(ISNUMBER(J158))),"",MIN(N(H158),IF(I158="Week",IF((TODAY()-1)&lt;J158,0,INT(((TODAY()-1)-J158)/7)+1),IF(I158="2 weeks",IF((TODAY()-1)&lt;J158,0,INT(((TODAY()-1)-J158)/14)+1),IF(((YEAR((TODAY()-1))-YEAR(J158))*12+MONTH((TODAY()-1))-MONTH(J158))&lt;0,0,IF(EDATE(J158,((YEAR((TODAY()-1))-YEAR(J158))*12+MONTH((TODAY()-1))-MONTH(J158)))&lt;=(TODAY()-1),((YEAR((TODAY()-1))-YEAR(J158))*12+MONTH((TODAY()-1))-MONTH(J158))+1,((YEAR((TODAY()-1))-YEAR(J158))*12+MONTH((TODAY()-1))-MONTH(J158))))))))</f>
        <v/>
      </c>
      <c r="U158">
        <f>IF(OR(M158="",NOT(ISNUMBER(J158))),"",IF(N(M158)&lt;=0,"",MIN(N(H158)-1,INT(ROUND(N158/M158,6)))))</f>
        <v/>
      </c>
      <c r="V158">
        <f>IF(T158="","",IF(T158&gt;=N(H158),L158,M158*T158))</f>
        <v/>
      </c>
      <c r="W158">
        <f>IF(V158="",0,MAX(0,ROUND(V158-N158,2)))</f>
        <v/>
      </c>
      <c r="X158">
        <f>IF(OR(R158="",R158="Paid off",NOT(ISNUMBER(P158))),"",P158*1000+ROW())</f>
        <v/>
      </c>
      <c r="Y158">
        <f>IF(C158="","",IF(AND(COUNTIF(C$6:C158,C158)=1,SUMIFS(Loans!$O$6:$O$305,Loans!$C$6:$C$305,C158,Loans!$O$6:$O$305,"&gt;0")&gt;0),ROW(),""))</f>
        <v/>
      </c>
      <c r="Z158">
        <f>IF(OR(C158="",P158=""),"",IF(D158="I borrowed","From you","To you"))</f>
        <v/>
      </c>
    </row>
    <row r="159">
      <c r="A159" s="1" t="n"/>
      <c r="B159" s="15" t="n">
        <v>154</v>
      </c>
      <c r="C159" s="16" t="n"/>
      <c r="D159" s="17" t="n"/>
      <c r="E159" s="18" t="n"/>
      <c r="F159" s="19" t="n"/>
      <c r="G159" s="20" t="n"/>
      <c r="H159" s="21" t="n"/>
      <c r="I159" s="17" t="n"/>
      <c r="J159" s="18" t="n"/>
      <c r="K159" s="22" t="n"/>
      <c r="L159" s="23">
        <f>IF(C159="","",ROUND(N(F159)*(1+N(G159)/100*IF(N(H159)&gt;0,N(H159)*IF(I159="Week",7/365,IF(I159="2 weeks",14/365,1/12)),IF(ISNUMBER(E159),MAX(0,TODAY()-E159)/365,0))),2))</f>
        <v/>
      </c>
      <c r="M159" s="23">
        <f>IF(OR(C159="",N(H159)&lt;=0),"",ROUND(L159/N(H159),2))</f>
        <v/>
      </c>
      <c r="N159" s="23">
        <f>IF(C159="","",SUMIFS(Payments!$D$6:$D$805,Payments!$G$6:$G$805,B159))</f>
        <v/>
      </c>
      <c r="O159" s="24">
        <f>IF(C159="","",ROUND(L159-N159,2))</f>
        <v/>
      </c>
      <c r="P159" s="11">
        <f>IF(OR(U159="",N(O159)&lt;=0),"",IF(I159="Week",J159+7*U159,IF(I159="2 weeks",J159+14*U159,EDATE(J159,U159))))</f>
        <v/>
      </c>
      <c r="Q159" s="23">
        <f>IF(P159="","",IF(U159=N(H159)-1,O159,ROUND(M159*(U159+1)-N159,2)))</f>
        <v/>
      </c>
      <c r="R159" s="25">
        <f>IF(C159="","",IF(O159&lt;=0,"Paid off",IF(OR(M159="",NOT(ISNUMBER(J159))),"Open",IF(W159&gt;0,"Overdue",IF(AND(ISNUMBER(P159),P159-TODAY()&lt;=Settings!$C$6),"Due soon","On track")))))</f>
        <v/>
      </c>
      <c r="S159" s="1">
        <f>IF(C159="","",B159&amp;" "&amp;C159)</f>
        <v/>
      </c>
      <c r="T159">
        <f>IF(OR(M159="",NOT(ISNUMBER(J159))),"",MIN(N(H159),IF(I159="Week",IF((TODAY()-1)&lt;J159,0,INT(((TODAY()-1)-J159)/7)+1),IF(I159="2 weeks",IF((TODAY()-1)&lt;J159,0,INT(((TODAY()-1)-J159)/14)+1),IF(((YEAR((TODAY()-1))-YEAR(J159))*12+MONTH((TODAY()-1))-MONTH(J159))&lt;0,0,IF(EDATE(J159,((YEAR((TODAY()-1))-YEAR(J159))*12+MONTH((TODAY()-1))-MONTH(J159)))&lt;=(TODAY()-1),((YEAR((TODAY()-1))-YEAR(J159))*12+MONTH((TODAY()-1))-MONTH(J159))+1,((YEAR((TODAY()-1))-YEAR(J159))*12+MONTH((TODAY()-1))-MONTH(J159))))))))</f>
        <v/>
      </c>
      <c r="U159">
        <f>IF(OR(M159="",NOT(ISNUMBER(J159))),"",IF(N(M159)&lt;=0,"",MIN(N(H159)-1,INT(ROUND(N159/M159,6)))))</f>
        <v/>
      </c>
      <c r="V159">
        <f>IF(T159="","",IF(T159&gt;=N(H159),L159,M159*T159))</f>
        <v/>
      </c>
      <c r="W159">
        <f>IF(V159="",0,MAX(0,ROUND(V159-N159,2)))</f>
        <v/>
      </c>
      <c r="X159">
        <f>IF(OR(R159="",R159="Paid off",NOT(ISNUMBER(P159))),"",P159*1000+ROW())</f>
        <v/>
      </c>
      <c r="Y159">
        <f>IF(C159="","",IF(AND(COUNTIF(C$6:C159,C159)=1,SUMIFS(Loans!$O$6:$O$305,Loans!$C$6:$C$305,C159,Loans!$O$6:$O$305,"&gt;0")&gt;0),ROW(),""))</f>
        <v/>
      </c>
      <c r="Z159">
        <f>IF(OR(C159="",P159=""),"",IF(D159="I borrowed","From you","To you"))</f>
        <v/>
      </c>
    </row>
    <row r="160">
      <c r="A160" s="1" t="n"/>
      <c r="B160" s="15" t="n">
        <v>155</v>
      </c>
      <c r="C160" s="16" t="n"/>
      <c r="D160" s="17" t="n"/>
      <c r="E160" s="18" t="n"/>
      <c r="F160" s="19" t="n"/>
      <c r="G160" s="20" t="n"/>
      <c r="H160" s="21" t="n"/>
      <c r="I160" s="17" t="n"/>
      <c r="J160" s="18" t="n"/>
      <c r="K160" s="22" t="n"/>
      <c r="L160" s="23">
        <f>IF(C160="","",ROUND(N(F160)*(1+N(G160)/100*IF(N(H160)&gt;0,N(H160)*IF(I160="Week",7/365,IF(I160="2 weeks",14/365,1/12)),IF(ISNUMBER(E160),MAX(0,TODAY()-E160)/365,0))),2))</f>
        <v/>
      </c>
      <c r="M160" s="23">
        <f>IF(OR(C160="",N(H160)&lt;=0),"",ROUND(L160/N(H160),2))</f>
        <v/>
      </c>
      <c r="N160" s="23">
        <f>IF(C160="","",SUMIFS(Payments!$D$6:$D$805,Payments!$G$6:$G$805,B160))</f>
        <v/>
      </c>
      <c r="O160" s="24">
        <f>IF(C160="","",ROUND(L160-N160,2))</f>
        <v/>
      </c>
      <c r="P160" s="11">
        <f>IF(OR(U160="",N(O160)&lt;=0),"",IF(I160="Week",J160+7*U160,IF(I160="2 weeks",J160+14*U160,EDATE(J160,U160))))</f>
        <v/>
      </c>
      <c r="Q160" s="23">
        <f>IF(P160="","",IF(U160=N(H160)-1,O160,ROUND(M160*(U160+1)-N160,2)))</f>
        <v/>
      </c>
      <c r="R160" s="25">
        <f>IF(C160="","",IF(O160&lt;=0,"Paid off",IF(OR(M160="",NOT(ISNUMBER(J160))),"Open",IF(W160&gt;0,"Overdue",IF(AND(ISNUMBER(P160),P160-TODAY()&lt;=Settings!$C$6),"Due soon","On track")))))</f>
        <v/>
      </c>
      <c r="S160" s="1">
        <f>IF(C160="","",B160&amp;" "&amp;C160)</f>
        <v/>
      </c>
      <c r="T160">
        <f>IF(OR(M160="",NOT(ISNUMBER(J160))),"",MIN(N(H160),IF(I160="Week",IF((TODAY()-1)&lt;J160,0,INT(((TODAY()-1)-J160)/7)+1),IF(I160="2 weeks",IF((TODAY()-1)&lt;J160,0,INT(((TODAY()-1)-J160)/14)+1),IF(((YEAR((TODAY()-1))-YEAR(J160))*12+MONTH((TODAY()-1))-MONTH(J160))&lt;0,0,IF(EDATE(J160,((YEAR((TODAY()-1))-YEAR(J160))*12+MONTH((TODAY()-1))-MONTH(J160)))&lt;=(TODAY()-1),((YEAR((TODAY()-1))-YEAR(J160))*12+MONTH((TODAY()-1))-MONTH(J160))+1,((YEAR((TODAY()-1))-YEAR(J160))*12+MONTH((TODAY()-1))-MONTH(J160))))))))</f>
        <v/>
      </c>
      <c r="U160">
        <f>IF(OR(M160="",NOT(ISNUMBER(J160))),"",IF(N(M160)&lt;=0,"",MIN(N(H160)-1,INT(ROUND(N160/M160,6)))))</f>
        <v/>
      </c>
      <c r="V160">
        <f>IF(T160="","",IF(T160&gt;=N(H160),L160,M160*T160))</f>
        <v/>
      </c>
      <c r="W160">
        <f>IF(V160="",0,MAX(0,ROUND(V160-N160,2)))</f>
        <v/>
      </c>
      <c r="X160">
        <f>IF(OR(R160="",R160="Paid off",NOT(ISNUMBER(P160))),"",P160*1000+ROW())</f>
        <v/>
      </c>
      <c r="Y160">
        <f>IF(C160="","",IF(AND(COUNTIF(C$6:C160,C160)=1,SUMIFS(Loans!$O$6:$O$305,Loans!$C$6:$C$305,C160,Loans!$O$6:$O$305,"&gt;0")&gt;0),ROW(),""))</f>
        <v/>
      </c>
      <c r="Z160">
        <f>IF(OR(C160="",P160=""),"",IF(D160="I borrowed","From you","To you"))</f>
        <v/>
      </c>
    </row>
    <row r="161">
      <c r="A161" s="1" t="n"/>
      <c r="B161" s="15" t="n">
        <v>156</v>
      </c>
      <c r="C161" s="16" t="n"/>
      <c r="D161" s="17" t="n"/>
      <c r="E161" s="18" t="n"/>
      <c r="F161" s="19" t="n"/>
      <c r="G161" s="20" t="n"/>
      <c r="H161" s="21" t="n"/>
      <c r="I161" s="17" t="n"/>
      <c r="J161" s="18" t="n"/>
      <c r="K161" s="22" t="n"/>
      <c r="L161" s="23">
        <f>IF(C161="","",ROUND(N(F161)*(1+N(G161)/100*IF(N(H161)&gt;0,N(H161)*IF(I161="Week",7/365,IF(I161="2 weeks",14/365,1/12)),IF(ISNUMBER(E161),MAX(0,TODAY()-E161)/365,0))),2))</f>
        <v/>
      </c>
      <c r="M161" s="23">
        <f>IF(OR(C161="",N(H161)&lt;=0),"",ROUND(L161/N(H161),2))</f>
        <v/>
      </c>
      <c r="N161" s="23">
        <f>IF(C161="","",SUMIFS(Payments!$D$6:$D$805,Payments!$G$6:$G$805,B161))</f>
        <v/>
      </c>
      <c r="O161" s="24">
        <f>IF(C161="","",ROUND(L161-N161,2))</f>
        <v/>
      </c>
      <c r="P161" s="11">
        <f>IF(OR(U161="",N(O161)&lt;=0),"",IF(I161="Week",J161+7*U161,IF(I161="2 weeks",J161+14*U161,EDATE(J161,U161))))</f>
        <v/>
      </c>
      <c r="Q161" s="23">
        <f>IF(P161="","",IF(U161=N(H161)-1,O161,ROUND(M161*(U161+1)-N161,2)))</f>
        <v/>
      </c>
      <c r="R161" s="25">
        <f>IF(C161="","",IF(O161&lt;=0,"Paid off",IF(OR(M161="",NOT(ISNUMBER(J161))),"Open",IF(W161&gt;0,"Overdue",IF(AND(ISNUMBER(P161),P161-TODAY()&lt;=Settings!$C$6),"Due soon","On track")))))</f>
        <v/>
      </c>
      <c r="S161" s="1">
        <f>IF(C161="","",B161&amp;" "&amp;C161)</f>
        <v/>
      </c>
      <c r="T161">
        <f>IF(OR(M161="",NOT(ISNUMBER(J161))),"",MIN(N(H161),IF(I161="Week",IF((TODAY()-1)&lt;J161,0,INT(((TODAY()-1)-J161)/7)+1),IF(I161="2 weeks",IF((TODAY()-1)&lt;J161,0,INT(((TODAY()-1)-J161)/14)+1),IF(((YEAR((TODAY()-1))-YEAR(J161))*12+MONTH((TODAY()-1))-MONTH(J161))&lt;0,0,IF(EDATE(J161,((YEAR((TODAY()-1))-YEAR(J161))*12+MONTH((TODAY()-1))-MONTH(J161)))&lt;=(TODAY()-1),((YEAR((TODAY()-1))-YEAR(J161))*12+MONTH((TODAY()-1))-MONTH(J161))+1,((YEAR((TODAY()-1))-YEAR(J161))*12+MONTH((TODAY()-1))-MONTH(J161))))))))</f>
        <v/>
      </c>
      <c r="U161">
        <f>IF(OR(M161="",NOT(ISNUMBER(J161))),"",IF(N(M161)&lt;=0,"",MIN(N(H161)-1,INT(ROUND(N161/M161,6)))))</f>
        <v/>
      </c>
      <c r="V161">
        <f>IF(T161="","",IF(T161&gt;=N(H161),L161,M161*T161))</f>
        <v/>
      </c>
      <c r="W161">
        <f>IF(V161="",0,MAX(0,ROUND(V161-N161,2)))</f>
        <v/>
      </c>
      <c r="X161">
        <f>IF(OR(R161="",R161="Paid off",NOT(ISNUMBER(P161))),"",P161*1000+ROW())</f>
        <v/>
      </c>
      <c r="Y161">
        <f>IF(C161="","",IF(AND(COUNTIF(C$6:C161,C161)=1,SUMIFS(Loans!$O$6:$O$305,Loans!$C$6:$C$305,C161,Loans!$O$6:$O$305,"&gt;0")&gt;0),ROW(),""))</f>
        <v/>
      </c>
      <c r="Z161">
        <f>IF(OR(C161="",P161=""),"",IF(D161="I borrowed","From you","To you"))</f>
        <v/>
      </c>
    </row>
    <row r="162">
      <c r="A162" s="1" t="n"/>
      <c r="B162" s="15" t="n">
        <v>157</v>
      </c>
      <c r="C162" s="16" t="n"/>
      <c r="D162" s="17" t="n"/>
      <c r="E162" s="18" t="n"/>
      <c r="F162" s="19" t="n"/>
      <c r="G162" s="20" t="n"/>
      <c r="H162" s="21" t="n"/>
      <c r="I162" s="17" t="n"/>
      <c r="J162" s="18" t="n"/>
      <c r="K162" s="22" t="n"/>
      <c r="L162" s="23">
        <f>IF(C162="","",ROUND(N(F162)*(1+N(G162)/100*IF(N(H162)&gt;0,N(H162)*IF(I162="Week",7/365,IF(I162="2 weeks",14/365,1/12)),IF(ISNUMBER(E162),MAX(0,TODAY()-E162)/365,0))),2))</f>
        <v/>
      </c>
      <c r="M162" s="23">
        <f>IF(OR(C162="",N(H162)&lt;=0),"",ROUND(L162/N(H162),2))</f>
        <v/>
      </c>
      <c r="N162" s="23">
        <f>IF(C162="","",SUMIFS(Payments!$D$6:$D$805,Payments!$G$6:$G$805,B162))</f>
        <v/>
      </c>
      <c r="O162" s="24">
        <f>IF(C162="","",ROUND(L162-N162,2))</f>
        <v/>
      </c>
      <c r="P162" s="11">
        <f>IF(OR(U162="",N(O162)&lt;=0),"",IF(I162="Week",J162+7*U162,IF(I162="2 weeks",J162+14*U162,EDATE(J162,U162))))</f>
        <v/>
      </c>
      <c r="Q162" s="23">
        <f>IF(P162="","",IF(U162=N(H162)-1,O162,ROUND(M162*(U162+1)-N162,2)))</f>
        <v/>
      </c>
      <c r="R162" s="25">
        <f>IF(C162="","",IF(O162&lt;=0,"Paid off",IF(OR(M162="",NOT(ISNUMBER(J162))),"Open",IF(W162&gt;0,"Overdue",IF(AND(ISNUMBER(P162),P162-TODAY()&lt;=Settings!$C$6),"Due soon","On track")))))</f>
        <v/>
      </c>
      <c r="S162" s="1">
        <f>IF(C162="","",B162&amp;" "&amp;C162)</f>
        <v/>
      </c>
      <c r="T162">
        <f>IF(OR(M162="",NOT(ISNUMBER(J162))),"",MIN(N(H162),IF(I162="Week",IF((TODAY()-1)&lt;J162,0,INT(((TODAY()-1)-J162)/7)+1),IF(I162="2 weeks",IF((TODAY()-1)&lt;J162,0,INT(((TODAY()-1)-J162)/14)+1),IF(((YEAR((TODAY()-1))-YEAR(J162))*12+MONTH((TODAY()-1))-MONTH(J162))&lt;0,0,IF(EDATE(J162,((YEAR((TODAY()-1))-YEAR(J162))*12+MONTH((TODAY()-1))-MONTH(J162)))&lt;=(TODAY()-1),((YEAR((TODAY()-1))-YEAR(J162))*12+MONTH((TODAY()-1))-MONTH(J162))+1,((YEAR((TODAY()-1))-YEAR(J162))*12+MONTH((TODAY()-1))-MONTH(J162))))))))</f>
        <v/>
      </c>
      <c r="U162">
        <f>IF(OR(M162="",NOT(ISNUMBER(J162))),"",IF(N(M162)&lt;=0,"",MIN(N(H162)-1,INT(ROUND(N162/M162,6)))))</f>
        <v/>
      </c>
      <c r="V162">
        <f>IF(T162="","",IF(T162&gt;=N(H162),L162,M162*T162))</f>
        <v/>
      </c>
      <c r="W162">
        <f>IF(V162="",0,MAX(0,ROUND(V162-N162,2)))</f>
        <v/>
      </c>
      <c r="X162">
        <f>IF(OR(R162="",R162="Paid off",NOT(ISNUMBER(P162))),"",P162*1000+ROW())</f>
        <v/>
      </c>
      <c r="Y162">
        <f>IF(C162="","",IF(AND(COUNTIF(C$6:C162,C162)=1,SUMIFS(Loans!$O$6:$O$305,Loans!$C$6:$C$305,C162,Loans!$O$6:$O$305,"&gt;0")&gt;0),ROW(),""))</f>
        <v/>
      </c>
      <c r="Z162">
        <f>IF(OR(C162="",P162=""),"",IF(D162="I borrowed","From you","To you"))</f>
        <v/>
      </c>
    </row>
    <row r="163">
      <c r="A163" s="1" t="n"/>
      <c r="B163" s="15" t="n">
        <v>158</v>
      </c>
      <c r="C163" s="16" t="n"/>
      <c r="D163" s="17" t="n"/>
      <c r="E163" s="18" t="n"/>
      <c r="F163" s="19" t="n"/>
      <c r="G163" s="20" t="n"/>
      <c r="H163" s="21" t="n"/>
      <c r="I163" s="17" t="n"/>
      <c r="J163" s="18" t="n"/>
      <c r="K163" s="22" t="n"/>
      <c r="L163" s="23">
        <f>IF(C163="","",ROUND(N(F163)*(1+N(G163)/100*IF(N(H163)&gt;0,N(H163)*IF(I163="Week",7/365,IF(I163="2 weeks",14/365,1/12)),IF(ISNUMBER(E163),MAX(0,TODAY()-E163)/365,0))),2))</f>
        <v/>
      </c>
      <c r="M163" s="23">
        <f>IF(OR(C163="",N(H163)&lt;=0),"",ROUND(L163/N(H163),2))</f>
        <v/>
      </c>
      <c r="N163" s="23">
        <f>IF(C163="","",SUMIFS(Payments!$D$6:$D$805,Payments!$G$6:$G$805,B163))</f>
        <v/>
      </c>
      <c r="O163" s="24">
        <f>IF(C163="","",ROUND(L163-N163,2))</f>
        <v/>
      </c>
      <c r="P163" s="11">
        <f>IF(OR(U163="",N(O163)&lt;=0),"",IF(I163="Week",J163+7*U163,IF(I163="2 weeks",J163+14*U163,EDATE(J163,U163))))</f>
        <v/>
      </c>
      <c r="Q163" s="23">
        <f>IF(P163="","",IF(U163=N(H163)-1,O163,ROUND(M163*(U163+1)-N163,2)))</f>
        <v/>
      </c>
      <c r="R163" s="25">
        <f>IF(C163="","",IF(O163&lt;=0,"Paid off",IF(OR(M163="",NOT(ISNUMBER(J163))),"Open",IF(W163&gt;0,"Overdue",IF(AND(ISNUMBER(P163),P163-TODAY()&lt;=Settings!$C$6),"Due soon","On track")))))</f>
        <v/>
      </c>
      <c r="S163" s="1">
        <f>IF(C163="","",B163&amp;" "&amp;C163)</f>
        <v/>
      </c>
      <c r="T163">
        <f>IF(OR(M163="",NOT(ISNUMBER(J163))),"",MIN(N(H163),IF(I163="Week",IF((TODAY()-1)&lt;J163,0,INT(((TODAY()-1)-J163)/7)+1),IF(I163="2 weeks",IF((TODAY()-1)&lt;J163,0,INT(((TODAY()-1)-J163)/14)+1),IF(((YEAR((TODAY()-1))-YEAR(J163))*12+MONTH((TODAY()-1))-MONTH(J163))&lt;0,0,IF(EDATE(J163,((YEAR((TODAY()-1))-YEAR(J163))*12+MONTH((TODAY()-1))-MONTH(J163)))&lt;=(TODAY()-1),((YEAR((TODAY()-1))-YEAR(J163))*12+MONTH((TODAY()-1))-MONTH(J163))+1,((YEAR((TODAY()-1))-YEAR(J163))*12+MONTH((TODAY()-1))-MONTH(J163))))))))</f>
        <v/>
      </c>
      <c r="U163">
        <f>IF(OR(M163="",NOT(ISNUMBER(J163))),"",IF(N(M163)&lt;=0,"",MIN(N(H163)-1,INT(ROUND(N163/M163,6)))))</f>
        <v/>
      </c>
      <c r="V163">
        <f>IF(T163="","",IF(T163&gt;=N(H163),L163,M163*T163))</f>
        <v/>
      </c>
      <c r="W163">
        <f>IF(V163="",0,MAX(0,ROUND(V163-N163,2)))</f>
        <v/>
      </c>
      <c r="X163">
        <f>IF(OR(R163="",R163="Paid off",NOT(ISNUMBER(P163))),"",P163*1000+ROW())</f>
        <v/>
      </c>
      <c r="Y163">
        <f>IF(C163="","",IF(AND(COUNTIF(C$6:C163,C163)=1,SUMIFS(Loans!$O$6:$O$305,Loans!$C$6:$C$305,C163,Loans!$O$6:$O$305,"&gt;0")&gt;0),ROW(),""))</f>
        <v/>
      </c>
      <c r="Z163">
        <f>IF(OR(C163="",P163=""),"",IF(D163="I borrowed","From you","To you"))</f>
        <v/>
      </c>
    </row>
    <row r="164">
      <c r="A164" s="1" t="n"/>
      <c r="B164" s="15" t="n">
        <v>159</v>
      </c>
      <c r="C164" s="16" t="n"/>
      <c r="D164" s="17" t="n"/>
      <c r="E164" s="18" t="n"/>
      <c r="F164" s="19" t="n"/>
      <c r="G164" s="20" t="n"/>
      <c r="H164" s="21" t="n"/>
      <c r="I164" s="17" t="n"/>
      <c r="J164" s="18" t="n"/>
      <c r="K164" s="22" t="n"/>
      <c r="L164" s="23">
        <f>IF(C164="","",ROUND(N(F164)*(1+N(G164)/100*IF(N(H164)&gt;0,N(H164)*IF(I164="Week",7/365,IF(I164="2 weeks",14/365,1/12)),IF(ISNUMBER(E164),MAX(0,TODAY()-E164)/365,0))),2))</f>
        <v/>
      </c>
      <c r="M164" s="23">
        <f>IF(OR(C164="",N(H164)&lt;=0),"",ROUND(L164/N(H164),2))</f>
        <v/>
      </c>
      <c r="N164" s="23">
        <f>IF(C164="","",SUMIFS(Payments!$D$6:$D$805,Payments!$G$6:$G$805,B164))</f>
        <v/>
      </c>
      <c r="O164" s="24">
        <f>IF(C164="","",ROUND(L164-N164,2))</f>
        <v/>
      </c>
      <c r="P164" s="11">
        <f>IF(OR(U164="",N(O164)&lt;=0),"",IF(I164="Week",J164+7*U164,IF(I164="2 weeks",J164+14*U164,EDATE(J164,U164))))</f>
        <v/>
      </c>
      <c r="Q164" s="23">
        <f>IF(P164="","",IF(U164=N(H164)-1,O164,ROUND(M164*(U164+1)-N164,2)))</f>
        <v/>
      </c>
      <c r="R164" s="25">
        <f>IF(C164="","",IF(O164&lt;=0,"Paid off",IF(OR(M164="",NOT(ISNUMBER(J164))),"Open",IF(W164&gt;0,"Overdue",IF(AND(ISNUMBER(P164),P164-TODAY()&lt;=Settings!$C$6),"Due soon","On track")))))</f>
        <v/>
      </c>
      <c r="S164" s="1">
        <f>IF(C164="","",B164&amp;" "&amp;C164)</f>
        <v/>
      </c>
      <c r="T164">
        <f>IF(OR(M164="",NOT(ISNUMBER(J164))),"",MIN(N(H164),IF(I164="Week",IF((TODAY()-1)&lt;J164,0,INT(((TODAY()-1)-J164)/7)+1),IF(I164="2 weeks",IF((TODAY()-1)&lt;J164,0,INT(((TODAY()-1)-J164)/14)+1),IF(((YEAR((TODAY()-1))-YEAR(J164))*12+MONTH((TODAY()-1))-MONTH(J164))&lt;0,0,IF(EDATE(J164,((YEAR((TODAY()-1))-YEAR(J164))*12+MONTH((TODAY()-1))-MONTH(J164)))&lt;=(TODAY()-1),((YEAR((TODAY()-1))-YEAR(J164))*12+MONTH((TODAY()-1))-MONTH(J164))+1,((YEAR((TODAY()-1))-YEAR(J164))*12+MONTH((TODAY()-1))-MONTH(J164))))))))</f>
        <v/>
      </c>
      <c r="U164">
        <f>IF(OR(M164="",NOT(ISNUMBER(J164))),"",IF(N(M164)&lt;=0,"",MIN(N(H164)-1,INT(ROUND(N164/M164,6)))))</f>
        <v/>
      </c>
      <c r="V164">
        <f>IF(T164="","",IF(T164&gt;=N(H164),L164,M164*T164))</f>
        <v/>
      </c>
      <c r="W164">
        <f>IF(V164="",0,MAX(0,ROUND(V164-N164,2)))</f>
        <v/>
      </c>
      <c r="X164">
        <f>IF(OR(R164="",R164="Paid off",NOT(ISNUMBER(P164))),"",P164*1000+ROW())</f>
        <v/>
      </c>
      <c r="Y164">
        <f>IF(C164="","",IF(AND(COUNTIF(C$6:C164,C164)=1,SUMIFS(Loans!$O$6:$O$305,Loans!$C$6:$C$305,C164,Loans!$O$6:$O$305,"&gt;0")&gt;0),ROW(),""))</f>
        <v/>
      </c>
      <c r="Z164">
        <f>IF(OR(C164="",P164=""),"",IF(D164="I borrowed","From you","To you"))</f>
        <v/>
      </c>
    </row>
    <row r="165">
      <c r="A165" s="1" t="n"/>
      <c r="B165" s="15" t="n">
        <v>160</v>
      </c>
      <c r="C165" s="16" t="n"/>
      <c r="D165" s="17" t="n"/>
      <c r="E165" s="18" t="n"/>
      <c r="F165" s="19" t="n"/>
      <c r="G165" s="20" t="n"/>
      <c r="H165" s="21" t="n"/>
      <c r="I165" s="17" t="n"/>
      <c r="J165" s="18" t="n"/>
      <c r="K165" s="22" t="n"/>
      <c r="L165" s="23">
        <f>IF(C165="","",ROUND(N(F165)*(1+N(G165)/100*IF(N(H165)&gt;0,N(H165)*IF(I165="Week",7/365,IF(I165="2 weeks",14/365,1/12)),IF(ISNUMBER(E165),MAX(0,TODAY()-E165)/365,0))),2))</f>
        <v/>
      </c>
      <c r="M165" s="23">
        <f>IF(OR(C165="",N(H165)&lt;=0),"",ROUND(L165/N(H165),2))</f>
        <v/>
      </c>
      <c r="N165" s="23">
        <f>IF(C165="","",SUMIFS(Payments!$D$6:$D$805,Payments!$G$6:$G$805,B165))</f>
        <v/>
      </c>
      <c r="O165" s="24">
        <f>IF(C165="","",ROUND(L165-N165,2))</f>
        <v/>
      </c>
      <c r="P165" s="11">
        <f>IF(OR(U165="",N(O165)&lt;=0),"",IF(I165="Week",J165+7*U165,IF(I165="2 weeks",J165+14*U165,EDATE(J165,U165))))</f>
        <v/>
      </c>
      <c r="Q165" s="23">
        <f>IF(P165="","",IF(U165=N(H165)-1,O165,ROUND(M165*(U165+1)-N165,2)))</f>
        <v/>
      </c>
      <c r="R165" s="25">
        <f>IF(C165="","",IF(O165&lt;=0,"Paid off",IF(OR(M165="",NOT(ISNUMBER(J165))),"Open",IF(W165&gt;0,"Overdue",IF(AND(ISNUMBER(P165),P165-TODAY()&lt;=Settings!$C$6),"Due soon","On track")))))</f>
        <v/>
      </c>
      <c r="S165" s="1">
        <f>IF(C165="","",B165&amp;" "&amp;C165)</f>
        <v/>
      </c>
      <c r="T165">
        <f>IF(OR(M165="",NOT(ISNUMBER(J165))),"",MIN(N(H165),IF(I165="Week",IF((TODAY()-1)&lt;J165,0,INT(((TODAY()-1)-J165)/7)+1),IF(I165="2 weeks",IF((TODAY()-1)&lt;J165,0,INT(((TODAY()-1)-J165)/14)+1),IF(((YEAR((TODAY()-1))-YEAR(J165))*12+MONTH((TODAY()-1))-MONTH(J165))&lt;0,0,IF(EDATE(J165,((YEAR((TODAY()-1))-YEAR(J165))*12+MONTH((TODAY()-1))-MONTH(J165)))&lt;=(TODAY()-1),((YEAR((TODAY()-1))-YEAR(J165))*12+MONTH((TODAY()-1))-MONTH(J165))+1,((YEAR((TODAY()-1))-YEAR(J165))*12+MONTH((TODAY()-1))-MONTH(J165))))))))</f>
        <v/>
      </c>
      <c r="U165">
        <f>IF(OR(M165="",NOT(ISNUMBER(J165))),"",IF(N(M165)&lt;=0,"",MIN(N(H165)-1,INT(ROUND(N165/M165,6)))))</f>
        <v/>
      </c>
      <c r="V165">
        <f>IF(T165="","",IF(T165&gt;=N(H165),L165,M165*T165))</f>
        <v/>
      </c>
      <c r="W165">
        <f>IF(V165="",0,MAX(0,ROUND(V165-N165,2)))</f>
        <v/>
      </c>
      <c r="X165">
        <f>IF(OR(R165="",R165="Paid off",NOT(ISNUMBER(P165))),"",P165*1000+ROW())</f>
        <v/>
      </c>
      <c r="Y165">
        <f>IF(C165="","",IF(AND(COUNTIF(C$6:C165,C165)=1,SUMIFS(Loans!$O$6:$O$305,Loans!$C$6:$C$305,C165,Loans!$O$6:$O$305,"&gt;0")&gt;0),ROW(),""))</f>
        <v/>
      </c>
      <c r="Z165">
        <f>IF(OR(C165="",P165=""),"",IF(D165="I borrowed","From you","To you"))</f>
        <v/>
      </c>
    </row>
    <row r="166">
      <c r="A166" s="1" t="n"/>
      <c r="B166" s="15" t="n">
        <v>161</v>
      </c>
      <c r="C166" s="16" t="n"/>
      <c r="D166" s="17" t="n"/>
      <c r="E166" s="18" t="n"/>
      <c r="F166" s="19" t="n"/>
      <c r="G166" s="20" t="n"/>
      <c r="H166" s="21" t="n"/>
      <c r="I166" s="17" t="n"/>
      <c r="J166" s="18" t="n"/>
      <c r="K166" s="22" t="n"/>
      <c r="L166" s="23">
        <f>IF(C166="","",ROUND(N(F166)*(1+N(G166)/100*IF(N(H166)&gt;0,N(H166)*IF(I166="Week",7/365,IF(I166="2 weeks",14/365,1/12)),IF(ISNUMBER(E166),MAX(0,TODAY()-E166)/365,0))),2))</f>
        <v/>
      </c>
      <c r="M166" s="23">
        <f>IF(OR(C166="",N(H166)&lt;=0),"",ROUND(L166/N(H166),2))</f>
        <v/>
      </c>
      <c r="N166" s="23">
        <f>IF(C166="","",SUMIFS(Payments!$D$6:$D$805,Payments!$G$6:$G$805,B166))</f>
        <v/>
      </c>
      <c r="O166" s="24">
        <f>IF(C166="","",ROUND(L166-N166,2))</f>
        <v/>
      </c>
      <c r="P166" s="11">
        <f>IF(OR(U166="",N(O166)&lt;=0),"",IF(I166="Week",J166+7*U166,IF(I166="2 weeks",J166+14*U166,EDATE(J166,U166))))</f>
        <v/>
      </c>
      <c r="Q166" s="23">
        <f>IF(P166="","",IF(U166=N(H166)-1,O166,ROUND(M166*(U166+1)-N166,2)))</f>
        <v/>
      </c>
      <c r="R166" s="25">
        <f>IF(C166="","",IF(O166&lt;=0,"Paid off",IF(OR(M166="",NOT(ISNUMBER(J166))),"Open",IF(W166&gt;0,"Overdue",IF(AND(ISNUMBER(P166),P166-TODAY()&lt;=Settings!$C$6),"Due soon","On track")))))</f>
        <v/>
      </c>
      <c r="S166" s="1">
        <f>IF(C166="","",B166&amp;" "&amp;C166)</f>
        <v/>
      </c>
      <c r="T166">
        <f>IF(OR(M166="",NOT(ISNUMBER(J166))),"",MIN(N(H166),IF(I166="Week",IF((TODAY()-1)&lt;J166,0,INT(((TODAY()-1)-J166)/7)+1),IF(I166="2 weeks",IF((TODAY()-1)&lt;J166,0,INT(((TODAY()-1)-J166)/14)+1),IF(((YEAR((TODAY()-1))-YEAR(J166))*12+MONTH((TODAY()-1))-MONTH(J166))&lt;0,0,IF(EDATE(J166,((YEAR((TODAY()-1))-YEAR(J166))*12+MONTH((TODAY()-1))-MONTH(J166)))&lt;=(TODAY()-1),((YEAR((TODAY()-1))-YEAR(J166))*12+MONTH((TODAY()-1))-MONTH(J166))+1,((YEAR((TODAY()-1))-YEAR(J166))*12+MONTH((TODAY()-1))-MONTH(J166))))))))</f>
        <v/>
      </c>
      <c r="U166">
        <f>IF(OR(M166="",NOT(ISNUMBER(J166))),"",IF(N(M166)&lt;=0,"",MIN(N(H166)-1,INT(ROUND(N166/M166,6)))))</f>
        <v/>
      </c>
      <c r="V166">
        <f>IF(T166="","",IF(T166&gt;=N(H166),L166,M166*T166))</f>
        <v/>
      </c>
      <c r="W166">
        <f>IF(V166="",0,MAX(0,ROUND(V166-N166,2)))</f>
        <v/>
      </c>
      <c r="X166">
        <f>IF(OR(R166="",R166="Paid off",NOT(ISNUMBER(P166))),"",P166*1000+ROW())</f>
        <v/>
      </c>
      <c r="Y166">
        <f>IF(C166="","",IF(AND(COUNTIF(C$6:C166,C166)=1,SUMIFS(Loans!$O$6:$O$305,Loans!$C$6:$C$305,C166,Loans!$O$6:$O$305,"&gt;0")&gt;0),ROW(),""))</f>
        <v/>
      </c>
      <c r="Z166">
        <f>IF(OR(C166="",P166=""),"",IF(D166="I borrowed","From you","To you"))</f>
        <v/>
      </c>
    </row>
    <row r="167">
      <c r="A167" s="1" t="n"/>
      <c r="B167" s="15" t="n">
        <v>162</v>
      </c>
      <c r="C167" s="16" t="n"/>
      <c r="D167" s="17" t="n"/>
      <c r="E167" s="18" t="n"/>
      <c r="F167" s="19" t="n"/>
      <c r="G167" s="20" t="n"/>
      <c r="H167" s="21" t="n"/>
      <c r="I167" s="17" t="n"/>
      <c r="J167" s="18" t="n"/>
      <c r="K167" s="22" t="n"/>
      <c r="L167" s="23">
        <f>IF(C167="","",ROUND(N(F167)*(1+N(G167)/100*IF(N(H167)&gt;0,N(H167)*IF(I167="Week",7/365,IF(I167="2 weeks",14/365,1/12)),IF(ISNUMBER(E167),MAX(0,TODAY()-E167)/365,0))),2))</f>
        <v/>
      </c>
      <c r="M167" s="23">
        <f>IF(OR(C167="",N(H167)&lt;=0),"",ROUND(L167/N(H167),2))</f>
        <v/>
      </c>
      <c r="N167" s="23">
        <f>IF(C167="","",SUMIFS(Payments!$D$6:$D$805,Payments!$G$6:$G$805,B167))</f>
        <v/>
      </c>
      <c r="O167" s="24">
        <f>IF(C167="","",ROUND(L167-N167,2))</f>
        <v/>
      </c>
      <c r="P167" s="11">
        <f>IF(OR(U167="",N(O167)&lt;=0),"",IF(I167="Week",J167+7*U167,IF(I167="2 weeks",J167+14*U167,EDATE(J167,U167))))</f>
        <v/>
      </c>
      <c r="Q167" s="23">
        <f>IF(P167="","",IF(U167=N(H167)-1,O167,ROUND(M167*(U167+1)-N167,2)))</f>
        <v/>
      </c>
      <c r="R167" s="25">
        <f>IF(C167="","",IF(O167&lt;=0,"Paid off",IF(OR(M167="",NOT(ISNUMBER(J167))),"Open",IF(W167&gt;0,"Overdue",IF(AND(ISNUMBER(P167),P167-TODAY()&lt;=Settings!$C$6),"Due soon","On track")))))</f>
        <v/>
      </c>
      <c r="S167" s="1">
        <f>IF(C167="","",B167&amp;" "&amp;C167)</f>
        <v/>
      </c>
      <c r="T167">
        <f>IF(OR(M167="",NOT(ISNUMBER(J167))),"",MIN(N(H167),IF(I167="Week",IF((TODAY()-1)&lt;J167,0,INT(((TODAY()-1)-J167)/7)+1),IF(I167="2 weeks",IF((TODAY()-1)&lt;J167,0,INT(((TODAY()-1)-J167)/14)+1),IF(((YEAR((TODAY()-1))-YEAR(J167))*12+MONTH((TODAY()-1))-MONTH(J167))&lt;0,0,IF(EDATE(J167,((YEAR((TODAY()-1))-YEAR(J167))*12+MONTH((TODAY()-1))-MONTH(J167)))&lt;=(TODAY()-1),((YEAR((TODAY()-1))-YEAR(J167))*12+MONTH((TODAY()-1))-MONTH(J167))+1,((YEAR((TODAY()-1))-YEAR(J167))*12+MONTH((TODAY()-1))-MONTH(J167))))))))</f>
        <v/>
      </c>
      <c r="U167">
        <f>IF(OR(M167="",NOT(ISNUMBER(J167))),"",IF(N(M167)&lt;=0,"",MIN(N(H167)-1,INT(ROUND(N167/M167,6)))))</f>
        <v/>
      </c>
      <c r="V167">
        <f>IF(T167="","",IF(T167&gt;=N(H167),L167,M167*T167))</f>
        <v/>
      </c>
      <c r="W167">
        <f>IF(V167="",0,MAX(0,ROUND(V167-N167,2)))</f>
        <v/>
      </c>
      <c r="X167">
        <f>IF(OR(R167="",R167="Paid off",NOT(ISNUMBER(P167))),"",P167*1000+ROW())</f>
        <v/>
      </c>
      <c r="Y167">
        <f>IF(C167="","",IF(AND(COUNTIF(C$6:C167,C167)=1,SUMIFS(Loans!$O$6:$O$305,Loans!$C$6:$C$305,C167,Loans!$O$6:$O$305,"&gt;0")&gt;0),ROW(),""))</f>
        <v/>
      </c>
      <c r="Z167">
        <f>IF(OR(C167="",P167=""),"",IF(D167="I borrowed","From you","To you"))</f>
        <v/>
      </c>
    </row>
    <row r="168">
      <c r="A168" s="1" t="n"/>
      <c r="B168" s="15" t="n">
        <v>163</v>
      </c>
      <c r="C168" s="16" t="n"/>
      <c r="D168" s="17" t="n"/>
      <c r="E168" s="18" t="n"/>
      <c r="F168" s="19" t="n"/>
      <c r="G168" s="20" t="n"/>
      <c r="H168" s="21" t="n"/>
      <c r="I168" s="17" t="n"/>
      <c r="J168" s="18" t="n"/>
      <c r="K168" s="22" t="n"/>
      <c r="L168" s="23">
        <f>IF(C168="","",ROUND(N(F168)*(1+N(G168)/100*IF(N(H168)&gt;0,N(H168)*IF(I168="Week",7/365,IF(I168="2 weeks",14/365,1/12)),IF(ISNUMBER(E168),MAX(0,TODAY()-E168)/365,0))),2))</f>
        <v/>
      </c>
      <c r="M168" s="23">
        <f>IF(OR(C168="",N(H168)&lt;=0),"",ROUND(L168/N(H168),2))</f>
        <v/>
      </c>
      <c r="N168" s="23">
        <f>IF(C168="","",SUMIFS(Payments!$D$6:$D$805,Payments!$G$6:$G$805,B168))</f>
        <v/>
      </c>
      <c r="O168" s="24">
        <f>IF(C168="","",ROUND(L168-N168,2))</f>
        <v/>
      </c>
      <c r="P168" s="11">
        <f>IF(OR(U168="",N(O168)&lt;=0),"",IF(I168="Week",J168+7*U168,IF(I168="2 weeks",J168+14*U168,EDATE(J168,U168))))</f>
        <v/>
      </c>
      <c r="Q168" s="23">
        <f>IF(P168="","",IF(U168=N(H168)-1,O168,ROUND(M168*(U168+1)-N168,2)))</f>
        <v/>
      </c>
      <c r="R168" s="25">
        <f>IF(C168="","",IF(O168&lt;=0,"Paid off",IF(OR(M168="",NOT(ISNUMBER(J168))),"Open",IF(W168&gt;0,"Overdue",IF(AND(ISNUMBER(P168),P168-TODAY()&lt;=Settings!$C$6),"Due soon","On track")))))</f>
        <v/>
      </c>
      <c r="S168" s="1">
        <f>IF(C168="","",B168&amp;" "&amp;C168)</f>
        <v/>
      </c>
      <c r="T168">
        <f>IF(OR(M168="",NOT(ISNUMBER(J168))),"",MIN(N(H168),IF(I168="Week",IF((TODAY()-1)&lt;J168,0,INT(((TODAY()-1)-J168)/7)+1),IF(I168="2 weeks",IF((TODAY()-1)&lt;J168,0,INT(((TODAY()-1)-J168)/14)+1),IF(((YEAR((TODAY()-1))-YEAR(J168))*12+MONTH((TODAY()-1))-MONTH(J168))&lt;0,0,IF(EDATE(J168,((YEAR((TODAY()-1))-YEAR(J168))*12+MONTH((TODAY()-1))-MONTH(J168)))&lt;=(TODAY()-1),((YEAR((TODAY()-1))-YEAR(J168))*12+MONTH((TODAY()-1))-MONTH(J168))+1,((YEAR((TODAY()-1))-YEAR(J168))*12+MONTH((TODAY()-1))-MONTH(J168))))))))</f>
        <v/>
      </c>
      <c r="U168">
        <f>IF(OR(M168="",NOT(ISNUMBER(J168))),"",IF(N(M168)&lt;=0,"",MIN(N(H168)-1,INT(ROUND(N168/M168,6)))))</f>
        <v/>
      </c>
      <c r="V168">
        <f>IF(T168="","",IF(T168&gt;=N(H168),L168,M168*T168))</f>
        <v/>
      </c>
      <c r="W168">
        <f>IF(V168="",0,MAX(0,ROUND(V168-N168,2)))</f>
        <v/>
      </c>
      <c r="X168">
        <f>IF(OR(R168="",R168="Paid off",NOT(ISNUMBER(P168))),"",P168*1000+ROW())</f>
        <v/>
      </c>
      <c r="Y168">
        <f>IF(C168="","",IF(AND(COUNTIF(C$6:C168,C168)=1,SUMIFS(Loans!$O$6:$O$305,Loans!$C$6:$C$305,C168,Loans!$O$6:$O$305,"&gt;0")&gt;0),ROW(),""))</f>
        <v/>
      </c>
      <c r="Z168">
        <f>IF(OR(C168="",P168=""),"",IF(D168="I borrowed","From you","To you"))</f>
        <v/>
      </c>
    </row>
    <row r="169">
      <c r="A169" s="1" t="n"/>
      <c r="B169" s="15" t="n">
        <v>164</v>
      </c>
      <c r="C169" s="16" t="n"/>
      <c r="D169" s="17" t="n"/>
      <c r="E169" s="18" t="n"/>
      <c r="F169" s="19" t="n"/>
      <c r="G169" s="20" t="n"/>
      <c r="H169" s="21" t="n"/>
      <c r="I169" s="17" t="n"/>
      <c r="J169" s="18" t="n"/>
      <c r="K169" s="22" t="n"/>
      <c r="L169" s="23">
        <f>IF(C169="","",ROUND(N(F169)*(1+N(G169)/100*IF(N(H169)&gt;0,N(H169)*IF(I169="Week",7/365,IF(I169="2 weeks",14/365,1/12)),IF(ISNUMBER(E169),MAX(0,TODAY()-E169)/365,0))),2))</f>
        <v/>
      </c>
      <c r="M169" s="23">
        <f>IF(OR(C169="",N(H169)&lt;=0),"",ROUND(L169/N(H169),2))</f>
        <v/>
      </c>
      <c r="N169" s="23">
        <f>IF(C169="","",SUMIFS(Payments!$D$6:$D$805,Payments!$G$6:$G$805,B169))</f>
        <v/>
      </c>
      <c r="O169" s="24">
        <f>IF(C169="","",ROUND(L169-N169,2))</f>
        <v/>
      </c>
      <c r="P169" s="11">
        <f>IF(OR(U169="",N(O169)&lt;=0),"",IF(I169="Week",J169+7*U169,IF(I169="2 weeks",J169+14*U169,EDATE(J169,U169))))</f>
        <v/>
      </c>
      <c r="Q169" s="23">
        <f>IF(P169="","",IF(U169=N(H169)-1,O169,ROUND(M169*(U169+1)-N169,2)))</f>
        <v/>
      </c>
      <c r="R169" s="25">
        <f>IF(C169="","",IF(O169&lt;=0,"Paid off",IF(OR(M169="",NOT(ISNUMBER(J169))),"Open",IF(W169&gt;0,"Overdue",IF(AND(ISNUMBER(P169),P169-TODAY()&lt;=Settings!$C$6),"Due soon","On track")))))</f>
        <v/>
      </c>
      <c r="S169" s="1">
        <f>IF(C169="","",B169&amp;" "&amp;C169)</f>
        <v/>
      </c>
      <c r="T169">
        <f>IF(OR(M169="",NOT(ISNUMBER(J169))),"",MIN(N(H169),IF(I169="Week",IF((TODAY()-1)&lt;J169,0,INT(((TODAY()-1)-J169)/7)+1),IF(I169="2 weeks",IF((TODAY()-1)&lt;J169,0,INT(((TODAY()-1)-J169)/14)+1),IF(((YEAR((TODAY()-1))-YEAR(J169))*12+MONTH((TODAY()-1))-MONTH(J169))&lt;0,0,IF(EDATE(J169,((YEAR((TODAY()-1))-YEAR(J169))*12+MONTH((TODAY()-1))-MONTH(J169)))&lt;=(TODAY()-1),((YEAR((TODAY()-1))-YEAR(J169))*12+MONTH((TODAY()-1))-MONTH(J169))+1,((YEAR((TODAY()-1))-YEAR(J169))*12+MONTH((TODAY()-1))-MONTH(J169))))))))</f>
        <v/>
      </c>
      <c r="U169">
        <f>IF(OR(M169="",NOT(ISNUMBER(J169))),"",IF(N(M169)&lt;=0,"",MIN(N(H169)-1,INT(ROUND(N169/M169,6)))))</f>
        <v/>
      </c>
      <c r="V169">
        <f>IF(T169="","",IF(T169&gt;=N(H169),L169,M169*T169))</f>
        <v/>
      </c>
      <c r="W169">
        <f>IF(V169="",0,MAX(0,ROUND(V169-N169,2)))</f>
        <v/>
      </c>
      <c r="X169">
        <f>IF(OR(R169="",R169="Paid off",NOT(ISNUMBER(P169))),"",P169*1000+ROW())</f>
        <v/>
      </c>
      <c r="Y169">
        <f>IF(C169="","",IF(AND(COUNTIF(C$6:C169,C169)=1,SUMIFS(Loans!$O$6:$O$305,Loans!$C$6:$C$305,C169,Loans!$O$6:$O$305,"&gt;0")&gt;0),ROW(),""))</f>
        <v/>
      </c>
      <c r="Z169">
        <f>IF(OR(C169="",P169=""),"",IF(D169="I borrowed","From you","To you"))</f>
        <v/>
      </c>
    </row>
    <row r="170">
      <c r="A170" s="1" t="n"/>
      <c r="B170" s="15" t="n">
        <v>165</v>
      </c>
      <c r="C170" s="16" t="n"/>
      <c r="D170" s="17" t="n"/>
      <c r="E170" s="18" t="n"/>
      <c r="F170" s="19" t="n"/>
      <c r="G170" s="20" t="n"/>
      <c r="H170" s="21" t="n"/>
      <c r="I170" s="17" t="n"/>
      <c r="J170" s="18" t="n"/>
      <c r="K170" s="22" t="n"/>
      <c r="L170" s="23">
        <f>IF(C170="","",ROUND(N(F170)*(1+N(G170)/100*IF(N(H170)&gt;0,N(H170)*IF(I170="Week",7/365,IF(I170="2 weeks",14/365,1/12)),IF(ISNUMBER(E170),MAX(0,TODAY()-E170)/365,0))),2))</f>
        <v/>
      </c>
      <c r="M170" s="23">
        <f>IF(OR(C170="",N(H170)&lt;=0),"",ROUND(L170/N(H170),2))</f>
        <v/>
      </c>
      <c r="N170" s="23">
        <f>IF(C170="","",SUMIFS(Payments!$D$6:$D$805,Payments!$G$6:$G$805,B170))</f>
        <v/>
      </c>
      <c r="O170" s="24">
        <f>IF(C170="","",ROUND(L170-N170,2))</f>
        <v/>
      </c>
      <c r="P170" s="11">
        <f>IF(OR(U170="",N(O170)&lt;=0),"",IF(I170="Week",J170+7*U170,IF(I170="2 weeks",J170+14*U170,EDATE(J170,U170))))</f>
        <v/>
      </c>
      <c r="Q170" s="23">
        <f>IF(P170="","",IF(U170=N(H170)-1,O170,ROUND(M170*(U170+1)-N170,2)))</f>
        <v/>
      </c>
      <c r="R170" s="25">
        <f>IF(C170="","",IF(O170&lt;=0,"Paid off",IF(OR(M170="",NOT(ISNUMBER(J170))),"Open",IF(W170&gt;0,"Overdue",IF(AND(ISNUMBER(P170),P170-TODAY()&lt;=Settings!$C$6),"Due soon","On track")))))</f>
        <v/>
      </c>
      <c r="S170" s="1">
        <f>IF(C170="","",B170&amp;" "&amp;C170)</f>
        <v/>
      </c>
      <c r="T170">
        <f>IF(OR(M170="",NOT(ISNUMBER(J170))),"",MIN(N(H170),IF(I170="Week",IF((TODAY()-1)&lt;J170,0,INT(((TODAY()-1)-J170)/7)+1),IF(I170="2 weeks",IF((TODAY()-1)&lt;J170,0,INT(((TODAY()-1)-J170)/14)+1),IF(((YEAR((TODAY()-1))-YEAR(J170))*12+MONTH((TODAY()-1))-MONTH(J170))&lt;0,0,IF(EDATE(J170,((YEAR((TODAY()-1))-YEAR(J170))*12+MONTH((TODAY()-1))-MONTH(J170)))&lt;=(TODAY()-1),((YEAR((TODAY()-1))-YEAR(J170))*12+MONTH((TODAY()-1))-MONTH(J170))+1,((YEAR((TODAY()-1))-YEAR(J170))*12+MONTH((TODAY()-1))-MONTH(J170))))))))</f>
        <v/>
      </c>
      <c r="U170">
        <f>IF(OR(M170="",NOT(ISNUMBER(J170))),"",IF(N(M170)&lt;=0,"",MIN(N(H170)-1,INT(ROUND(N170/M170,6)))))</f>
        <v/>
      </c>
      <c r="V170">
        <f>IF(T170="","",IF(T170&gt;=N(H170),L170,M170*T170))</f>
        <v/>
      </c>
      <c r="W170">
        <f>IF(V170="",0,MAX(0,ROUND(V170-N170,2)))</f>
        <v/>
      </c>
      <c r="X170">
        <f>IF(OR(R170="",R170="Paid off",NOT(ISNUMBER(P170))),"",P170*1000+ROW())</f>
        <v/>
      </c>
      <c r="Y170">
        <f>IF(C170="","",IF(AND(COUNTIF(C$6:C170,C170)=1,SUMIFS(Loans!$O$6:$O$305,Loans!$C$6:$C$305,C170,Loans!$O$6:$O$305,"&gt;0")&gt;0),ROW(),""))</f>
        <v/>
      </c>
      <c r="Z170">
        <f>IF(OR(C170="",P170=""),"",IF(D170="I borrowed","From you","To you"))</f>
        <v/>
      </c>
    </row>
    <row r="171">
      <c r="A171" s="1" t="n"/>
      <c r="B171" s="15" t="n">
        <v>166</v>
      </c>
      <c r="C171" s="16" t="n"/>
      <c r="D171" s="17" t="n"/>
      <c r="E171" s="18" t="n"/>
      <c r="F171" s="19" t="n"/>
      <c r="G171" s="20" t="n"/>
      <c r="H171" s="21" t="n"/>
      <c r="I171" s="17" t="n"/>
      <c r="J171" s="18" t="n"/>
      <c r="K171" s="22" t="n"/>
      <c r="L171" s="23">
        <f>IF(C171="","",ROUND(N(F171)*(1+N(G171)/100*IF(N(H171)&gt;0,N(H171)*IF(I171="Week",7/365,IF(I171="2 weeks",14/365,1/12)),IF(ISNUMBER(E171),MAX(0,TODAY()-E171)/365,0))),2))</f>
        <v/>
      </c>
      <c r="M171" s="23">
        <f>IF(OR(C171="",N(H171)&lt;=0),"",ROUND(L171/N(H171),2))</f>
        <v/>
      </c>
      <c r="N171" s="23">
        <f>IF(C171="","",SUMIFS(Payments!$D$6:$D$805,Payments!$G$6:$G$805,B171))</f>
        <v/>
      </c>
      <c r="O171" s="24">
        <f>IF(C171="","",ROUND(L171-N171,2))</f>
        <v/>
      </c>
      <c r="P171" s="11">
        <f>IF(OR(U171="",N(O171)&lt;=0),"",IF(I171="Week",J171+7*U171,IF(I171="2 weeks",J171+14*U171,EDATE(J171,U171))))</f>
        <v/>
      </c>
      <c r="Q171" s="23">
        <f>IF(P171="","",IF(U171=N(H171)-1,O171,ROUND(M171*(U171+1)-N171,2)))</f>
        <v/>
      </c>
      <c r="R171" s="25">
        <f>IF(C171="","",IF(O171&lt;=0,"Paid off",IF(OR(M171="",NOT(ISNUMBER(J171))),"Open",IF(W171&gt;0,"Overdue",IF(AND(ISNUMBER(P171),P171-TODAY()&lt;=Settings!$C$6),"Due soon","On track")))))</f>
        <v/>
      </c>
      <c r="S171" s="1">
        <f>IF(C171="","",B171&amp;" "&amp;C171)</f>
        <v/>
      </c>
      <c r="T171">
        <f>IF(OR(M171="",NOT(ISNUMBER(J171))),"",MIN(N(H171),IF(I171="Week",IF((TODAY()-1)&lt;J171,0,INT(((TODAY()-1)-J171)/7)+1),IF(I171="2 weeks",IF((TODAY()-1)&lt;J171,0,INT(((TODAY()-1)-J171)/14)+1),IF(((YEAR((TODAY()-1))-YEAR(J171))*12+MONTH((TODAY()-1))-MONTH(J171))&lt;0,0,IF(EDATE(J171,((YEAR((TODAY()-1))-YEAR(J171))*12+MONTH((TODAY()-1))-MONTH(J171)))&lt;=(TODAY()-1),((YEAR((TODAY()-1))-YEAR(J171))*12+MONTH((TODAY()-1))-MONTH(J171))+1,((YEAR((TODAY()-1))-YEAR(J171))*12+MONTH((TODAY()-1))-MONTH(J171))))))))</f>
        <v/>
      </c>
      <c r="U171">
        <f>IF(OR(M171="",NOT(ISNUMBER(J171))),"",IF(N(M171)&lt;=0,"",MIN(N(H171)-1,INT(ROUND(N171/M171,6)))))</f>
        <v/>
      </c>
      <c r="V171">
        <f>IF(T171="","",IF(T171&gt;=N(H171),L171,M171*T171))</f>
        <v/>
      </c>
      <c r="W171">
        <f>IF(V171="",0,MAX(0,ROUND(V171-N171,2)))</f>
        <v/>
      </c>
      <c r="X171">
        <f>IF(OR(R171="",R171="Paid off",NOT(ISNUMBER(P171))),"",P171*1000+ROW())</f>
        <v/>
      </c>
      <c r="Y171">
        <f>IF(C171="","",IF(AND(COUNTIF(C$6:C171,C171)=1,SUMIFS(Loans!$O$6:$O$305,Loans!$C$6:$C$305,C171,Loans!$O$6:$O$305,"&gt;0")&gt;0),ROW(),""))</f>
        <v/>
      </c>
      <c r="Z171">
        <f>IF(OR(C171="",P171=""),"",IF(D171="I borrowed","From you","To you"))</f>
        <v/>
      </c>
    </row>
    <row r="172">
      <c r="A172" s="1" t="n"/>
      <c r="B172" s="15" t="n">
        <v>167</v>
      </c>
      <c r="C172" s="16" t="n"/>
      <c r="D172" s="17" t="n"/>
      <c r="E172" s="18" t="n"/>
      <c r="F172" s="19" t="n"/>
      <c r="G172" s="20" t="n"/>
      <c r="H172" s="21" t="n"/>
      <c r="I172" s="17" t="n"/>
      <c r="J172" s="18" t="n"/>
      <c r="K172" s="22" t="n"/>
      <c r="L172" s="23">
        <f>IF(C172="","",ROUND(N(F172)*(1+N(G172)/100*IF(N(H172)&gt;0,N(H172)*IF(I172="Week",7/365,IF(I172="2 weeks",14/365,1/12)),IF(ISNUMBER(E172),MAX(0,TODAY()-E172)/365,0))),2))</f>
        <v/>
      </c>
      <c r="M172" s="23">
        <f>IF(OR(C172="",N(H172)&lt;=0),"",ROUND(L172/N(H172),2))</f>
        <v/>
      </c>
      <c r="N172" s="23">
        <f>IF(C172="","",SUMIFS(Payments!$D$6:$D$805,Payments!$G$6:$G$805,B172))</f>
        <v/>
      </c>
      <c r="O172" s="24">
        <f>IF(C172="","",ROUND(L172-N172,2))</f>
        <v/>
      </c>
      <c r="P172" s="11">
        <f>IF(OR(U172="",N(O172)&lt;=0),"",IF(I172="Week",J172+7*U172,IF(I172="2 weeks",J172+14*U172,EDATE(J172,U172))))</f>
        <v/>
      </c>
      <c r="Q172" s="23">
        <f>IF(P172="","",IF(U172=N(H172)-1,O172,ROUND(M172*(U172+1)-N172,2)))</f>
        <v/>
      </c>
      <c r="R172" s="25">
        <f>IF(C172="","",IF(O172&lt;=0,"Paid off",IF(OR(M172="",NOT(ISNUMBER(J172))),"Open",IF(W172&gt;0,"Overdue",IF(AND(ISNUMBER(P172),P172-TODAY()&lt;=Settings!$C$6),"Due soon","On track")))))</f>
        <v/>
      </c>
      <c r="S172" s="1">
        <f>IF(C172="","",B172&amp;" "&amp;C172)</f>
        <v/>
      </c>
      <c r="T172">
        <f>IF(OR(M172="",NOT(ISNUMBER(J172))),"",MIN(N(H172),IF(I172="Week",IF((TODAY()-1)&lt;J172,0,INT(((TODAY()-1)-J172)/7)+1),IF(I172="2 weeks",IF((TODAY()-1)&lt;J172,0,INT(((TODAY()-1)-J172)/14)+1),IF(((YEAR((TODAY()-1))-YEAR(J172))*12+MONTH((TODAY()-1))-MONTH(J172))&lt;0,0,IF(EDATE(J172,((YEAR((TODAY()-1))-YEAR(J172))*12+MONTH((TODAY()-1))-MONTH(J172)))&lt;=(TODAY()-1),((YEAR((TODAY()-1))-YEAR(J172))*12+MONTH((TODAY()-1))-MONTH(J172))+1,((YEAR((TODAY()-1))-YEAR(J172))*12+MONTH((TODAY()-1))-MONTH(J172))))))))</f>
        <v/>
      </c>
      <c r="U172">
        <f>IF(OR(M172="",NOT(ISNUMBER(J172))),"",IF(N(M172)&lt;=0,"",MIN(N(H172)-1,INT(ROUND(N172/M172,6)))))</f>
        <v/>
      </c>
      <c r="V172">
        <f>IF(T172="","",IF(T172&gt;=N(H172),L172,M172*T172))</f>
        <v/>
      </c>
      <c r="W172">
        <f>IF(V172="",0,MAX(0,ROUND(V172-N172,2)))</f>
        <v/>
      </c>
      <c r="X172">
        <f>IF(OR(R172="",R172="Paid off",NOT(ISNUMBER(P172))),"",P172*1000+ROW())</f>
        <v/>
      </c>
      <c r="Y172">
        <f>IF(C172="","",IF(AND(COUNTIF(C$6:C172,C172)=1,SUMIFS(Loans!$O$6:$O$305,Loans!$C$6:$C$305,C172,Loans!$O$6:$O$305,"&gt;0")&gt;0),ROW(),""))</f>
        <v/>
      </c>
      <c r="Z172">
        <f>IF(OR(C172="",P172=""),"",IF(D172="I borrowed","From you","To you"))</f>
        <v/>
      </c>
    </row>
    <row r="173">
      <c r="A173" s="1" t="n"/>
      <c r="B173" s="15" t="n">
        <v>168</v>
      </c>
      <c r="C173" s="16" t="n"/>
      <c r="D173" s="17" t="n"/>
      <c r="E173" s="18" t="n"/>
      <c r="F173" s="19" t="n"/>
      <c r="G173" s="20" t="n"/>
      <c r="H173" s="21" t="n"/>
      <c r="I173" s="17" t="n"/>
      <c r="J173" s="18" t="n"/>
      <c r="K173" s="22" t="n"/>
      <c r="L173" s="23">
        <f>IF(C173="","",ROUND(N(F173)*(1+N(G173)/100*IF(N(H173)&gt;0,N(H173)*IF(I173="Week",7/365,IF(I173="2 weeks",14/365,1/12)),IF(ISNUMBER(E173),MAX(0,TODAY()-E173)/365,0))),2))</f>
        <v/>
      </c>
      <c r="M173" s="23">
        <f>IF(OR(C173="",N(H173)&lt;=0),"",ROUND(L173/N(H173),2))</f>
        <v/>
      </c>
      <c r="N173" s="23">
        <f>IF(C173="","",SUMIFS(Payments!$D$6:$D$805,Payments!$G$6:$G$805,B173))</f>
        <v/>
      </c>
      <c r="O173" s="24">
        <f>IF(C173="","",ROUND(L173-N173,2))</f>
        <v/>
      </c>
      <c r="P173" s="11">
        <f>IF(OR(U173="",N(O173)&lt;=0),"",IF(I173="Week",J173+7*U173,IF(I173="2 weeks",J173+14*U173,EDATE(J173,U173))))</f>
        <v/>
      </c>
      <c r="Q173" s="23">
        <f>IF(P173="","",IF(U173=N(H173)-1,O173,ROUND(M173*(U173+1)-N173,2)))</f>
        <v/>
      </c>
      <c r="R173" s="25">
        <f>IF(C173="","",IF(O173&lt;=0,"Paid off",IF(OR(M173="",NOT(ISNUMBER(J173))),"Open",IF(W173&gt;0,"Overdue",IF(AND(ISNUMBER(P173),P173-TODAY()&lt;=Settings!$C$6),"Due soon","On track")))))</f>
        <v/>
      </c>
      <c r="S173" s="1">
        <f>IF(C173="","",B173&amp;" "&amp;C173)</f>
        <v/>
      </c>
      <c r="T173">
        <f>IF(OR(M173="",NOT(ISNUMBER(J173))),"",MIN(N(H173),IF(I173="Week",IF((TODAY()-1)&lt;J173,0,INT(((TODAY()-1)-J173)/7)+1),IF(I173="2 weeks",IF((TODAY()-1)&lt;J173,0,INT(((TODAY()-1)-J173)/14)+1),IF(((YEAR((TODAY()-1))-YEAR(J173))*12+MONTH((TODAY()-1))-MONTH(J173))&lt;0,0,IF(EDATE(J173,((YEAR((TODAY()-1))-YEAR(J173))*12+MONTH((TODAY()-1))-MONTH(J173)))&lt;=(TODAY()-1),((YEAR((TODAY()-1))-YEAR(J173))*12+MONTH((TODAY()-1))-MONTH(J173))+1,((YEAR((TODAY()-1))-YEAR(J173))*12+MONTH((TODAY()-1))-MONTH(J173))))))))</f>
        <v/>
      </c>
      <c r="U173">
        <f>IF(OR(M173="",NOT(ISNUMBER(J173))),"",IF(N(M173)&lt;=0,"",MIN(N(H173)-1,INT(ROUND(N173/M173,6)))))</f>
        <v/>
      </c>
      <c r="V173">
        <f>IF(T173="","",IF(T173&gt;=N(H173),L173,M173*T173))</f>
        <v/>
      </c>
      <c r="W173">
        <f>IF(V173="",0,MAX(0,ROUND(V173-N173,2)))</f>
        <v/>
      </c>
      <c r="X173">
        <f>IF(OR(R173="",R173="Paid off",NOT(ISNUMBER(P173))),"",P173*1000+ROW())</f>
        <v/>
      </c>
      <c r="Y173">
        <f>IF(C173="","",IF(AND(COUNTIF(C$6:C173,C173)=1,SUMIFS(Loans!$O$6:$O$305,Loans!$C$6:$C$305,C173,Loans!$O$6:$O$305,"&gt;0")&gt;0),ROW(),""))</f>
        <v/>
      </c>
      <c r="Z173">
        <f>IF(OR(C173="",P173=""),"",IF(D173="I borrowed","From you","To you"))</f>
        <v/>
      </c>
    </row>
    <row r="174">
      <c r="A174" s="1" t="n"/>
      <c r="B174" s="15" t="n">
        <v>169</v>
      </c>
      <c r="C174" s="16" t="n"/>
      <c r="D174" s="17" t="n"/>
      <c r="E174" s="18" t="n"/>
      <c r="F174" s="19" t="n"/>
      <c r="G174" s="20" t="n"/>
      <c r="H174" s="21" t="n"/>
      <c r="I174" s="17" t="n"/>
      <c r="J174" s="18" t="n"/>
      <c r="K174" s="22" t="n"/>
      <c r="L174" s="23">
        <f>IF(C174="","",ROUND(N(F174)*(1+N(G174)/100*IF(N(H174)&gt;0,N(H174)*IF(I174="Week",7/365,IF(I174="2 weeks",14/365,1/12)),IF(ISNUMBER(E174),MAX(0,TODAY()-E174)/365,0))),2))</f>
        <v/>
      </c>
      <c r="M174" s="23">
        <f>IF(OR(C174="",N(H174)&lt;=0),"",ROUND(L174/N(H174),2))</f>
        <v/>
      </c>
      <c r="N174" s="23">
        <f>IF(C174="","",SUMIFS(Payments!$D$6:$D$805,Payments!$G$6:$G$805,B174))</f>
        <v/>
      </c>
      <c r="O174" s="24">
        <f>IF(C174="","",ROUND(L174-N174,2))</f>
        <v/>
      </c>
      <c r="P174" s="11">
        <f>IF(OR(U174="",N(O174)&lt;=0),"",IF(I174="Week",J174+7*U174,IF(I174="2 weeks",J174+14*U174,EDATE(J174,U174))))</f>
        <v/>
      </c>
      <c r="Q174" s="23">
        <f>IF(P174="","",IF(U174=N(H174)-1,O174,ROUND(M174*(U174+1)-N174,2)))</f>
        <v/>
      </c>
      <c r="R174" s="25">
        <f>IF(C174="","",IF(O174&lt;=0,"Paid off",IF(OR(M174="",NOT(ISNUMBER(J174))),"Open",IF(W174&gt;0,"Overdue",IF(AND(ISNUMBER(P174),P174-TODAY()&lt;=Settings!$C$6),"Due soon","On track")))))</f>
        <v/>
      </c>
      <c r="S174" s="1">
        <f>IF(C174="","",B174&amp;" "&amp;C174)</f>
        <v/>
      </c>
      <c r="T174">
        <f>IF(OR(M174="",NOT(ISNUMBER(J174))),"",MIN(N(H174),IF(I174="Week",IF((TODAY()-1)&lt;J174,0,INT(((TODAY()-1)-J174)/7)+1),IF(I174="2 weeks",IF((TODAY()-1)&lt;J174,0,INT(((TODAY()-1)-J174)/14)+1),IF(((YEAR((TODAY()-1))-YEAR(J174))*12+MONTH((TODAY()-1))-MONTH(J174))&lt;0,0,IF(EDATE(J174,((YEAR((TODAY()-1))-YEAR(J174))*12+MONTH((TODAY()-1))-MONTH(J174)))&lt;=(TODAY()-1),((YEAR((TODAY()-1))-YEAR(J174))*12+MONTH((TODAY()-1))-MONTH(J174))+1,((YEAR((TODAY()-1))-YEAR(J174))*12+MONTH((TODAY()-1))-MONTH(J174))))))))</f>
        <v/>
      </c>
      <c r="U174">
        <f>IF(OR(M174="",NOT(ISNUMBER(J174))),"",IF(N(M174)&lt;=0,"",MIN(N(H174)-1,INT(ROUND(N174/M174,6)))))</f>
        <v/>
      </c>
      <c r="V174">
        <f>IF(T174="","",IF(T174&gt;=N(H174),L174,M174*T174))</f>
        <v/>
      </c>
      <c r="W174">
        <f>IF(V174="",0,MAX(0,ROUND(V174-N174,2)))</f>
        <v/>
      </c>
      <c r="X174">
        <f>IF(OR(R174="",R174="Paid off",NOT(ISNUMBER(P174))),"",P174*1000+ROW())</f>
        <v/>
      </c>
      <c r="Y174">
        <f>IF(C174="","",IF(AND(COUNTIF(C$6:C174,C174)=1,SUMIFS(Loans!$O$6:$O$305,Loans!$C$6:$C$305,C174,Loans!$O$6:$O$305,"&gt;0")&gt;0),ROW(),""))</f>
        <v/>
      </c>
      <c r="Z174">
        <f>IF(OR(C174="",P174=""),"",IF(D174="I borrowed","From you","To you"))</f>
        <v/>
      </c>
    </row>
    <row r="175">
      <c r="A175" s="1" t="n"/>
      <c r="B175" s="15" t="n">
        <v>170</v>
      </c>
      <c r="C175" s="16" t="n"/>
      <c r="D175" s="17" t="n"/>
      <c r="E175" s="18" t="n"/>
      <c r="F175" s="19" t="n"/>
      <c r="G175" s="20" t="n"/>
      <c r="H175" s="21" t="n"/>
      <c r="I175" s="17" t="n"/>
      <c r="J175" s="18" t="n"/>
      <c r="K175" s="22" t="n"/>
      <c r="L175" s="23">
        <f>IF(C175="","",ROUND(N(F175)*(1+N(G175)/100*IF(N(H175)&gt;0,N(H175)*IF(I175="Week",7/365,IF(I175="2 weeks",14/365,1/12)),IF(ISNUMBER(E175),MAX(0,TODAY()-E175)/365,0))),2))</f>
        <v/>
      </c>
      <c r="M175" s="23">
        <f>IF(OR(C175="",N(H175)&lt;=0),"",ROUND(L175/N(H175),2))</f>
        <v/>
      </c>
      <c r="N175" s="23">
        <f>IF(C175="","",SUMIFS(Payments!$D$6:$D$805,Payments!$G$6:$G$805,B175))</f>
        <v/>
      </c>
      <c r="O175" s="24">
        <f>IF(C175="","",ROUND(L175-N175,2))</f>
        <v/>
      </c>
      <c r="P175" s="11">
        <f>IF(OR(U175="",N(O175)&lt;=0),"",IF(I175="Week",J175+7*U175,IF(I175="2 weeks",J175+14*U175,EDATE(J175,U175))))</f>
        <v/>
      </c>
      <c r="Q175" s="23">
        <f>IF(P175="","",IF(U175=N(H175)-1,O175,ROUND(M175*(U175+1)-N175,2)))</f>
        <v/>
      </c>
      <c r="R175" s="25">
        <f>IF(C175="","",IF(O175&lt;=0,"Paid off",IF(OR(M175="",NOT(ISNUMBER(J175))),"Open",IF(W175&gt;0,"Overdue",IF(AND(ISNUMBER(P175),P175-TODAY()&lt;=Settings!$C$6),"Due soon","On track")))))</f>
        <v/>
      </c>
      <c r="S175" s="1">
        <f>IF(C175="","",B175&amp;" "&amp;C175)</f>
        <v/>
      </c>
      <c r="T175">
        <f>IF(OR(M175="",NOT(ISNUMBER(J175))),"",MIN(N(H175),IF(I175="Week",IF((TODAY()-1)&lt;J175,0,INT(((TODAY()-1)-J175)/7)+1),IF(I175="2 weeks",IF((TODAY()-1)&lt;J175,0,INT(((TODAY()-1)-J175)/14)+1),IF(((YEAR((TODAY()-1))-YEAR(J175))*12+MONTH((TODAY()-1))-MONTH(J175))&lt;0,0,IF(EDATE(J175,((YEAR((TODAY()-1))-YEAR(J175))*12+MONTH((TODAY()-1))-MONTH(J175)))&lt;=(TODAY()-1),((YEAR((TODAY()-1))-YEAR(J175))*12+MONTH((TODAY()-1))-MONTH(J175))+1,((YEAR((TODAY()-1))-YEAR(J175))*12+MONTH((TODAY()-1))-MONTH(J175))))))))</f>
        <v/>
      </c>
      <c r="U175">
        <f>IF(OR(M175="",NOT(ISNUMBER(J175))),"",IF(N(M175)&lt;=0,"",MIN(N(H175)-1,INT(ROUND(N175/M175,6)))))</f>
        <v/>
      </c>
      <c r="V175">
        <f>IF(T175="","",IF(T175&gt;=N(H175),L175,M175*T175))</f>
        <v/>
      </c>
      <c r="W175">
        <f>IF(V175="",0,MAX(0,ROUND(V175-N175,2)))</f>
        <v/>
      </c>
      <c r="X175">
        <f>IF(OR(R175="",R175="Paid off",NOT(ISNUMBER(P175))),"",P175*1000+ROW())</f>
        <v/>
      </c>
      <c r="Y175">
        <f>IF(C175="","",IF(AND(COUNTIF(C$6:C175,C175)=1,SUMIFS(Loans!$O$6:$O$305,Loans!$C$6:$C$305,C175,Loans!$O$6:$O$305,"&gt;0")&gt;0),ROW(),""))</f>
        <v/>
      </c>
      <c r="Z175">
        <f>IF(OR(C175="",P175=""),"",IF(D175="I borrowed","From you","To you"))</f>
        <v/>
      </c>
    </row>
    <row r="176">
      <c r="A176" s="1" t="n"/>
      <c r="B176" s="15" t="n">
        <v>171</v>
      </c>
      <c r="C176" s="16" t="n"/>
      <c r="D176" s="17" t="n"/>
      <c r="E176" s="18" t="n"/>
      <c r="F176" s="19" t="n"/>
      <c r="G176" s="20" t="n"/>
      <c r="H176" s="21" t="n"/>
      <c r="I176" s="17" t="n"/>
      <c r="J176" s="18" t="n"/>
      <c r="K176" s="22" t="n"/>
      <c r="L176" s="23">
        <f>IF(C176="","",ROUND(N(F176)*(1+N(G176)/100*IF(N(H176)&gt;0,N(H176)*IF(I176="Week",7/365,IF(I176="2 weeks",14/365,1/12)),IF(ISNUMBER(E176),MAX(0,TODAY()-E176)/365,0))),2))</f>
        <v/>
      </c>
      <c r="M176" s="23">
        <f>IF(OR(C176="",N(H176)&lt;=0),"",ROUND(L176/N(H176),2))</f>
        <v/>
      </c>
      <c r="N176" s="23">
        <f>IF(C176="","",SUMIFS(Payments!$D$6:$D$805,Payments!$G$6:$G$805,B176))</f>
        <v/>
      </c>
      <c r="O176" s="24">
        <f>IF(C176="","",ROUND(L176-N176,2))</f>
        <v/>
      </c>
      <c r="P176" s="11">
        <f>IF(OR(U176="",N(O176)&lt;=0),"",IF(I176="Week",J176+7*U176,IF(I176="2 weeks",J176+14*U176,EDATE(J176,U176))))</f>
        <v/>
      </c>
      <c r="Q176" s="23">
        <f>IF(P176="","",IF(U176=N(H176)-1,O176,ROUND(M176*(U176+1)-N176,2)))</f>
        <v/>
      </c>
      <c r="R176" s="25">
        <f>IF(C176="","",IF(O176&lt;=0,"Paid off",IF(OR(M176="",NOT(ISNUMBER(J176))),"Open",IF(W176&gt;0,"Overdue",IF(AND(ISNUMBER(P176),P176-TODAY()&lt;=Settings!$C$6),"Due soon","On track")))))</f>
        <v/>
      </c>
      <c r="S176" s="1">
        <f>IF(C176="","",B176&amp;" "&amp;C176)</f>
        <v/>
      </c>
      <c r="T176">
        <f>IF(OR(M176="",NOT(ISNUMBER(J176))),"",MIN(N(H176),IF(I176="Week",IF((TODAY()-1)&lt;J176,0,INT(((TODAY()-1)-J176)/7)+1),IF(I176="2 weeks",IF((TODAY()-1)&lt;J176,0,INT(((TODAY()-1)-J176)/14)+1),IF(((YEAR((TODAY()-1))-YEAR(J176))*12+MONTH((TODAY()-1))-MONTH(J176))&lt;0,0,IF(EDATE(J176,((YEAR((TODAY()-1))-YEAR(J176))*12+MONTH((TODAY()-1))-MONTH(J176)))&lt;=(TODAY()-1),((YEAR((TODAY()-1))-YEAR(J176))*12+MONTH((TODAY()-1))-MONTH(J176))+1,((YEAR((TODAY()-1))-YEAR(J176))*12+MONTH((TODAY()-1))-MONTH(J176))))))))</f>
        <v/>
      </c>
      <c r="U176">
        <f>IF(OR(M176="",NOT(ISNUMBER(J176))),"",IF(N(M176)&lt;=0,"",MIN(N(H176)-1,INT(ROUND(N176/M176,6)))))</f>
        <v/>
      </c>
      <c r="V176">
        <f>IF(T176="","",IF(T176&gt;=N(H176),L176,M176*T176))</f>
        <v/>
      </c>
      <c r="W176">
        <f>IF(V176="",0,MAX(0,ROUND(V176-N176,2)))</f>
        <v/>
      </c>
      <c r="X176">
        <f>IF(OR(R176="",R176="Paid off",NOT(ISNUMBER(P176))),"",P176*1000+ROW())</f>
        <v/>
      </c>
      <c r="Y176">
        <f>IF(C176="","",IF(AND(COUNTIF(C$6:C176,C176)=1,SUMIFS(Loans!$O$6:$O$305,Loans!$C$6:$C$305,C176,Loans!$O$6:$O$305,"&gt;0")&gt;0),ROW(),""))</f>
        <v/>
      </c>
      <c r="Z176">
        <f>IF(OR(C176="",P176=""),"",IF(D176="I borrowed","From you","To you"))</f>
        <v/>
      </c>
    </row>
    <row r="177">
      <c r="A177" s="1" t="n"/>
      <c r="B177" s="15" t="n">
        <v>172</v>
      </c>
      <c r="C177" s="16" t="n"/>
      <c r="D177" s="17" t="n"/>
      <c r="E177" s="18" t="n"/>
      <c r="F177" s="19" t="n"/>
      <c r="G177" s="20" t="n"/>
      <c r="H177" s="21" t="n"/>
      <c r="I177" s="17" t="n"/>
      <c r="J177" s="18" t="n"/>
      <c r="K177" s="22" t="n"/>
      <c r="L177" s="23">
        <f>IF(C177="","",ROUND(N(F177)*(1+N(G177)/100*IF(N(H177)&gt;0,N(H177)*IF(I177="Week",7/365,IF(I177="2 weeks",14/365,1/12)),IF(ISNUMBER(E177),MAX(0,TODAY()-E177)/365,0))),2))</f>
        <v/>
      </c>
      <c r="M177" s="23">
        <f>IF(OR(C177="",N(H177)&lt;=0),"",ROUND(L177/N(H177),2))</f>
        <v/>
      </c>
      <c r="N177" s="23">
        <f>IF(C177="","",SUMIFS(Payments!$D$6:$D$805,Payments!$G$6:$G$805,B177))</f>
        <v/>
      </c>
      <c r="O177" s="24">
        <f>IF(C177="","",ROUND(L177-N177,2))</f>
        <v/>
      </c>
      <c r="P177" s="11">
        <f>IF(OR(U177="",N(O177)&lt;=0),"",IF(I177="Week",J177+7*U177,IF(I177="2 weeks",J177+14*U177,EDATE(J177,U177))))</f>
        <v/>
      </c>
      <c r="Q177" s="23">
        <f>IF(P177="","",IF(U177=N(H177)-1,O177,ROUND(M177*(U177+1)-N177,2)))</f>
        <v/>
      </c>
      <c r="R177" s="25">
        <f>IF(C177="","",IF(O177&lt;=0,"Paid off",IF(OR(M177="",NOT(ISNUMBER(J177))),"Open",IF(W177&gt;0,"Overdue",IF(AND(ISNUMBER(P177),P177-TODAY()&lt;=Settings!$C$6),"Due soon","On track")))))</f>
        <v/>
      </c>
      <c r="S177" s="1">
        <f>IF(C177="","",B177&amp;" "&amp;C177)</f>
        <v/>
      </c>
      <c r="T177">
        <f>IF(OR(M177="",NOT(ISNUMBER(J177))),"",MIN(N(H177),IF(I177="Week",IF((TODAY()-1)&lt;J177,0,INT(((TODAY()-1)-J177)/7)+1),IF(I177="2 weeks",IF((TODAY()-1)&lt;J177,0,INT(((TODAY()-1)-J177)/14)+1),IF(((YEAR((TODAY()-1))-YEAR(J177))*12+MONTH((TODAY()-1))-MONTH(J177))&lt;0,0,IF(EDATE(J177,((YEAR((TODAY()-1))-YEAR(J177))*12+MONTH((TODAY()-1))-MONTH(J177)))&lt;=(TODAY()-1),((YEAR((TODAY()-1))-YEAR(J177))*12+MONTH((TODAY()-1))-MONTH(J177))+1,((YEAR((TODAY()-1))-YEAR(J177))*12+MONTH((TODAY()-1))-MONTH(J177))))))))</f>
        <v/>
      </c>
      <c r="U177">
        <f>IF(OR(M177="",NOT(ISNUMBER(J177))),"",IF(N(M177)&lt;=0,"",MIN(N(H177)-1,INT(ROUND(N177/M177,6)))))</f>
        <v/>
      </c>
      <c r="V177">
        <f>IF(T177="","",IF(T177&gt;=N(H177),L177,M177*T177))</f>
        <v/>
      </c>
      <c r="W177">
        <f>IF(V177="",0,MAX(0,ROUND(V177-N177,2)))</f>
        <v/>
      </c>
      <c r="X177">
        <f>IF(OR(R177="",R177="Paid off",NOT(ISNUMBER(P177))),"",P177*1000+ROW())</f>
        <v/>
      </c>
      <c r="Y177">
        <f>IF(C177="","",IF(AND(COUNTIF(C$6:C177,C177)=1,SUMIFS(Loans!$O$6:$O$305,Loans!$C$6:$C$305,C177,Loans!$O$6:$O$305,"&gt;0")&gt;0),ROW(),""))</f>
        <v/>
      </c>
      <c r="Z177">
        <f>IF(OR(C177="",P177=""),"",IF(D177="I borrowed","From you","To you"))</f>
        <v/>
      </c>
    </row>
    <row r="178">
      <c r="A178" s="1" t="n"/>
      <c r="B178" s="15" t="n">
        <v>173</v>
      </c>
      <c r="C178" s="16" t="n"/>
      <c r="D178" s="17" t="n"/>
      <c r="E178" s="18" t="n"/>
      <c r="F178" s="19" t="n"/>
      <c r="G178" s="20" t="n"/>
      <c r="H178" s="21" t="n"/>
      <c r="I178" s="17" t="n"/>
      <c r="J178" s="18" t="n"/>
      <c r="K178" s="22" t="n"/>
      <c r="L178" s="23">
        <f>IF(C178="","",ROUND(N(F178)*(1+N(G178)/100*IF(N(H178)&gt;0,N(H178)*IF(I178="Week",7/365,IF(I178="2 weeks",14/365,1/12)),IF(ISNUMBER(E178),MAX(0,TODAY()-E178)/365,0))),2))</f>
        <v/>
      </c>
      <c r="M178" s="23">
        <f>IF(OR(C178="",N(H178)&lt;=0),"",ROUND(L178/N(H178),2))</f>
        <v/>
      </c>
      <c r="N178" s="23">
        <f>IF(C178="","",SUMIFS(Payments!$D$6:$D$805,Payments!$G$6:$G$805,B178))</f>
        <v/>
      </c>
      <c r="O178" s="24">
        <f>IF(C178="","",ROUND(L178-N178,2))</f>
        <v/>
      </c>
      <c r="P178" s="11">
        <f>IF(OR(U178="",N(O178)&lt;=0),"",IF(I178="Week",J178+7*U178,IF(I178="2 weeks",J178+14*U178,EDATE(J178,U178))))</f>
        <v/>
      </c>
      <c r="Q178" s="23">
        <f>IF(P178="","",IF(U178=N(H178)-1,O178,ROUND(M178*(U178+1)-N178,2)))</f>
        <v/>
      </c>
      <c r="R178" s="25">
        <f>IF(C178="","",IF(O178&lt;=0,"Paid off",IF(OR(M178="",NOT(ISNUMBER(J178))),"Open",IF(W178&gt;0,"Overdue",IF(AND(ISNUMBER(P178),P178-TODAY()&lt;=Settings!$C$6),"Due soon","On track")))))</f>
        <v/>
      </c>
      <c r="S178" s="1">
        <f>IF(C178="","",B178&amp;" "&amp;C178)</f>
        <v/>
      </c>
      <c r="T178">
        <f>IF(OR(M178="",NOT(ISNUMBER(J178))),"",MIN(N(H178),IF(I178="Week",IF((TODAY()-1)&lt;J178,0,INT(((TODAY()-1)-J178)/7)+1),IF(I178="2 weeks",IF((TODAY()-1)&lt;J178,0,INT(((TODAY()-1)-J178)/14)+1),IF(((YEAR((TODAY()-1))-YEAR(J178))*12+MONTH((TODAY()-1))-MONTH(J178))&lt;0,0,IF(EDATE(J178,((YEAR((TODAY()-1))-YEAR(J178))*12+MONTH((TODAY()-1))-MONTH(J178)))&lt;=(TODAY()-1),((YEAR((TODAY()-1))-YEAR(J178))*12+MONTH((TODAY()-1))-MONTH(J178))+1,((YEAR((TODAY()-1))-YEAR(J178))*12+MONTH((TODAY()-1))-MONTH(J178))))))))</f>
        <v/>
      </c>
      <c r="U178">
        <f>IF(OR(M178="",NOT(ISNUMBER(J178))),"",IF(N(M178)&lt;=0,"",MIN(N(H178)-1,INT(ROUND(N178/M178,6)))))</f>
        <v/>
      </c>
      <c r="V178">
        <f>IF(T178="","",IF(T178&gt;=N(H178),L178,M178*T178))</f>
        <v/>
      </c>
      <c r="W178">
        <f>IF(V178="",0,MAX(0,ROUND(V178-N178,2)))</f>
        <v/>
      </c>
      <c r="X178">
        <f>IF(OR(R178="",R178="Paid off",NOT(ISNUMBER(P178))),"",P178*1000+ROW())</f>
        <v/>
      </c>
      <c r="Y178">
        <f>IF(C178="","",IF(AND(COUNTIF(C$6:C178,C178)=1,SUMIFS(Loans!$O$6:$O$305,Loans!$C$6:$C$305,C178,Loans!$O$6:$O$305,"&gt;0")&gt;0),ROW(),""))</f>
        <v/>
      </c>
      <c r="Z178">
        <f>IF(OR(C178="",P178=""),"",IF(D178="I borrowed","From you","To you"))</f>
        <v/>
      </c>
    </row>
    <row r="179">
      <c r="A179" s="1" t="n"/>
      <c r="B179" s="15" t="n">
        <v>174</v>
      </c>
      <c r="C179" s="16" t="n"/>
      <c r="D179" s="17" t="n"/>
      <c r="E179" s="18" t="n"/>
      <c r="F179" s="19" t="n"/>
      <c r="G179" s="20" t="n"/>
      <c r="H179" s="21" t="n"/>
      <c r="I179" s="17" t="n"/>
      <c r="J179" s="18" t="n"/>
      <c r="K179" s="22" t="n"/>
      <c r="L179" s="23">
        <f>IF(C179="","",ROUND(N(F179)*(1+N(G179)/100*IF(N(H179)&gt;0,N(H179)*IF(I179="Week",7/365,IF(I179="2 weeks",14/365,1/12)),IF(ISNUMBER(E179),MAX(0,TODAY()-E179)/365,0))),2))</f>
        <v/>
      </c>
      <c r="M179" s="23">
        <f>IF(OR(C179="",N(H179)&lt;=0),"",ROUND(L179/N(H179),2))</f>
        <v/>
      </c>
      <c r="N179" s="23">
        <f>IF(C179="","",SUMIFS(Payments!$D$6:$D$805,Payments!$G$6:$G$805,B179))</f>
        <v/>
      </c>
      <c r="O179" s="24">
        <f>IF(C179="","",ROUND(L179-N179,2))</f>
        <v/>
      </c>
      <c r="P179" s="11">
        <f>IF(OR(U179="",N(O179)&lt;=0),"",IF(I179="Week",J179+7*U179,IF(I179="2 weeks",J179+14*U179,EDATE(J179,U179))))</f>
        <v/>
      </c>
      <c r="Q179" s="23">
        <f>IF(P179="","",IF(U179=N(H179)-1,O179,ROUND(M179*(U179+1)-N179,2)))</f>
        <v/>
      </c>
      <c r="R179" s="25">
        <f>IF(C179="","",IF(O179&lt;=0,"Paid off",IF(OR(M179="",NOT(ISNUMBER(J179))),"Open",IF(W179&gt;0,"Overdue",IF(AND(ISNUMBER(P179),P179-TODAY()&lt;=Settings!$C$6),"Due soon","On track")))))</f>
        <v/>
      </c>
      <c r="S179" s="1">
        <f>IF(C179="","",B179&amp;" "&amp;C179)</f>
        <v/>
      </c>
      <c r="T179">
        <f>IF(OR(M179="",NOT(ISNUMBER(J179))),"",MIN(N(H179),IF(I179="Week",IF((TODAY()-1)&lt;J179,0,INT(((TODAY()-1)-J179)/7)+1),IF(I179="2 weeks",IF((TODAY()-1)&lt;J179,0,INT(((TODAY()-1)-J179)/14)+1),IF(((YEAR((TODAY()-1))-YEAR(J179))*12+MONTH((TODAY()-1))-MONTH(J179))&lt;0,0,IF(EDATE(J179,((YEAR((TODAY()-1))-YEAR(J179))*12+MONTH((TODAY()-1))-MONTH(J179)))&lt;=(TODAY()-1),((YEAR((TODAY()-1))-YEAR(J179))*12+MONTH((TODAY()-1))-MONTH(J179))+1,((YEAR((TODAY()-1))-YEAR(J179))*12+MONTH((TODAY()-1))-MONTH(J179))))))))</f>
        <v/>
      </c>
      <c r="U179">
        <f>IF(OR(M179="",NOT(ISNUMBER(J179))),"",IF(N(M179)&lt;=0,"",MIN(N(H179)-1,INT(ROUND(N179/M179,6)))))</f>
        <v/>
      </c>
      <c r="V179">
        <f>IF(T179="","",IF(T179&gt;=N(H179),L179,M179*T179))</f>
        <v/>
      </c>
      <c r="W179">
        <f>IF(V179="",0,MAX(0,ROUND(V179-N179,2)))</f>
        <v/>
      </c>
      <c r="X179">
        <f>IF(OR(R179="",R179="Paid off",NOT(ISNUMBER(P179))),"",P179*1000+ROW())</f>
        <v/>
      </c>
      <c r="Y179">
        <f>IF(C179="","",IF(AND(COUNTIF(C$6:C179,C179)=1,SUMIFS(Loans!$O$6:$O$305,Loans!$C$6:$C$305,C179,Loans!$O$6:$O$305,"&gt;0")&gt;0),ROW(),""))</f>
        <v/>
      </c>
      <c r="Z179">
        <f>IF(OR(C179="",P179=""),"",IF(D179="I borrowed","From you","To you"))</f>
        <v/>
      </c>
    </row>
    <row r="180">
      <c r="A180" s="1" t="n"/>
      <c r="B180" s="15" t="n">
        <v>175</v>
      </c>
      <c r="C180" s="16" t="n"/>
      <c r="D180" s="17" t="n"/>
      <c r="E180" s="18" t="n"/>
      <c r="F180" s="19" t="n"/>
      <c r="G180" s="20" t="n"/>
      <c r="H180" s="21" t="n"/>
      <c r="I180" s="17" t="n"/>
      <c r="J180" s="18" t="n"/>
      <c r="K180" s="22" t="n"/>
      <c r="L180" s="23">
        <f>IF(C180="","",ROUND(N(F180)*(1+N(G180)/100*IF(N(H180)&gt;0,N(H180)*IF(I180="Week",7/365,IF(I180="2 weeks",14/365,1/12)),IF(ISNUMBER(E180),MAX(0,TODAY()-E180)/365,0))),2))</f>
        <v/>
      </c>
      <c r="M180" s="23">
        <f>IF(OR(C180="",N(H180)&lt;=0),"",ROUND(L180/N(H180),2))</f>
        <v/>
      </c>
      <c r="N180" s="23">
        <f>IF(C180="","",SUMIFS(Payments!$D$6:$D$805,Payments!$G$6:$G$805,B180))</f>
        <v/>
      </c>
      <c r="O180" s="24">
        <f>IF(C180="","",ROUND(L180-N180,2))</f>
        <v/>
      </c>
      <c r="P180" s="11">
        <f>IF(OR(U180="",N(O180)&lt;=0),"",IF(I180="Week",J180+7*U180,IF(I180="2 weeks",J180+14*U180,EDATE(J180,U180))))</f>
        <v/>
      </c>
      <c r="Q180" s="23">
        <f>IF(P180="","",IF(U180=N(H180)-1,O180,ROUND(M180*(U180+1)-N180,2)))</f>
        <v/>
      </c>
      <c r="R180" s="25">
        <f>IF(C180="","",IF(O180&lt;=0,"Paid off",IF(OR(M180="",NOT(ISNUMBER(J180))),"Open",IF(W180&gt;0,"Overdue",IF(AND(ISNUMBER(P180),P180-TODAY()&lt;=Settings!$C$6),"Due soon","On track")))))</f>
        <v/>
      </c>
      <c r="S180" s="1">
        <f>IF(C180="","",B180&amp;" "&amp;C180)</f>
        <v/>
      </c>
      <c r="T180">
        <f>IF(OR(M180="",NOT(ISNUMBER(J180))),"",MIN(N(H180),IF(I180="Week",IF((TODAY()-1)&lt;J180,0,INT(((TODAY()-1)-J180)/7)+1),IF(I180="2 weeks",IF((TODAY()-1)&lt;J180,0,INT(((TODAY()-1)-J180)/14)+1),IF(((YEAR((TODAY()-1))-YEAR(J180))*12+MONTH((TODAY()-1))-MONTH(J180))&lt;0,0,IF(EDATE(J180,((YEAR((TODAY()-1))-YEAR(J180))*12+MONTH((TODAY()-1))-MONTH(J180)))&lt;=(TODAY()-1),((YEAR((TODAY()-1))-YEAR(J180))*12+MONTH((TODAY()-1))-MONTH(J180))+1,((YEAR((TODAY()-1))-YEAR(J180))*12+MONTH((TODAY()-1))-MONTH(J180))))))))</f>
        <v/>
      </c>
      <c r="U180">
        <f>IF(OR(M180="",NOT(ISNUMBER(J180))),"",IF(N(M180)&lt;=0,"",MIN(N(H180)-1,INT(ROUND(N180/M180,6)))))</f>
        <v/>
      </c>
      <c r="V180">
        <f>IF(T180="","",IF(T180&gt;=N(H180),L180,M180*T180))</f>
        <v/>
      </c>
      <c r="W180">
        <f>IF(V180="",0,MAX(0,ROUND(V180-N180,2)))</f>
        <v/>
      </c>
      <c r="X180">
        <f>IF(OR(R180="",R180="Paid off",NOT(ISNUMBER(P180))),"",P180*1000+ROW())</f>
        <v/>
      </c>
      <c r="Y180">
        <f>IF(C180="","",IF(AND(COUNTIF(C$6:C180,C180)=1,SUMIFS(Loans!$O$6:$O$305,Loans!$C$6:$C$305,C180,Loans!$O$6:$O$305,"&gt;0")&gt;0),ROW(),""))</f>
        <v/>
      </c>
      <c r="Z180">
        <f>IF(OR(C180="",P180=""),"",IF(D180="I borrowed","From you","To you"))</f>
        <v/>
      </c>
    </row>
    <row r="181">
      <c r="A181" s="1" t="n"/>
      <c r="B181" s="15" t="n">
        <v>176</v>
      </c>
      <c r="C181" s="16" t="n"/>
      <c r="D181" s="17" t="n"/>
      <c r="E181" s="18" t="n"/>
      <c r="F181" s="19" t="n"/>
      <c r="G181" s="20" t="n"/>
      <c r="H181" s="21" t="n"/>
      <c r="I181" s="17" t="n"/>
      <c r="J181" s="18" t="n"/>
      <c r="K181" s="22" t="n"/>
      <c r="L181" s="23">
        <f>IF(C181="","",ROUND(N(F181)*(1+N(G181)/100*IF(N(H181)&gt;0,N(H181)*IF(I181="Week",7/365,IF(I181="2 weeks",14/365,1/12)),IF(ISNUMBER(E181),MAX(0,TODAY()-E181)/365,0))),2))</f>
        <v/>
      </c>
      <c r="M181" s="23">
        <f>IF(OR(C181="",N(H181)&lt;=0),"",ROUND(L181/N(H181),2))</f>
        <v/>
      </c>
      <c r="N181" s="23">
        <f>IF(C181="","",SUMIFS(Payments!$D$6:$D$805,Payments!$G$6:$G$805,B181))</f>
        <v/>
      </c>
      <c r="O181" s="24">
        <f>IF(C181="","",ROUND(L181-N181,2))</f>
        <v/>
      </c>
      <c r="P181" s="11">
        <f>IF(OR(U181="",N(O181)&lt;=0),"",IF(I181="Week",J181+7*U181,IF(I181="2 weeks",J181+14*U181,EDATE(J181,U181))))</f>
        <v/>
      </c>
      <c r="Q181" s="23">
        <f>IF(P181="","",IF(U181=N(H181)-1,O181,ROUND(M181*(U181+1)-N181,2)))</f>
        <v/>
      </c>
      <c r="R181" s="25">
        <f>IF(C181="","",IF(O181&lt;=0,"Paid off",IF(OR(M181="",NOT(ISNUMBER(J181))),"Open",IF(W181&gt;0,"Overdue",IF(AND(ISNUMBER(P181),P181-TODAY()&lt;=Settings!$C$6),"Due soon","On track")))))</f>
        <v/>
      </c>
      <c r="S181" s="1">
        <f>IF(C181="","",B181&amp;" "&amp;C181)</f>
        <v/>
      </c>
      <c r="T181">
        <f>IF(OR(M181="",NOT(ISNUMBER(J181))),"",MIN(N(H181),IF(I181="Week",IF((TODAY()-1)&lt;J181,0,INT(((TODAY()-1)-J181)/7)+1),IF(I181="2 weeks",IF((TODAY()-1)&lt;J181,0,INT(((TODAY()-1)-J181)/14)+1),IF(((YEAR((TODAY()-1))-YEAR(J181))*12+MONTH((TODAY()-1))-MONTH(J181))&lt;0,0,IF(EDATE(J181,((YEAR((TODAY()-1))-YEAR(J181))*12+MONTH((TODAY()-1))-MONTH(J181)))&lt;=(TODAY()-1),((YEAR((TODAY()-1))-YEAR(J181))*12+MONTH((TODAY()-1))-MONTH(J181))+1,((YEAR((TODAY()-1))-YEAR(J181))*12+MONTH((TODAY()-1))-MONTH(J181))))))))</f>
        <v/>
      </c>
      <c r="U181">
        <f>IF(OR(M181="",NOT(ISNUMBER(J181))),"",IF(N(M181)&lt;=0,"",MIN(N(H181)-1,INT(ROUND(N181/M181,6)))))</f>
        <v/>
      </c>
      <c r="V181">
        <f>IF(T181="","",IF(T181&gt;=N(H181),L181,M181*T181))</f>
        <v/>
      </c>
      <c r="W181">
        <f>IF(V181="",0,MAX(0,ROUND(V181-N181,2)))</f>
        <v/>
      </c>
      <c r="X181">
        <f>IF(OR(R181="",R181="Paid off",NOT(ISNUMBER(P181))),"",P181*1000+ROW())</f>
        <v/>
      </c>
      <c r="Y181">
        <f>IF(C181="","",IF(AND(COUNTIF(C$6:C181,C181)=1,SUMIFS(Loans!$O$6:$O$305,Loans!$C$6:$C$305,C181,Loans!$O$6:$O$305,"&gt;0")&gt;0),ROW(),""))</f>
        <v/>
      </c>
      <c r="Z181">
        <f>IF(OR(C181="",P181=""),"",IF(D181="I borrowed","From you","To you"))</f>
        <v/>
      </c>
    </row>
    <row r="182">
      <c r="A182" s="1" t="n"/>
      <c r="B182" s="15" t="n">
        <v>177</v>
      </c>
      <c r="C182" s="16" t="n"/>
      <c r="D182" s="17" t="n"/>
      <c r="E182" s="18" t="n"/>
      <c r="F182" s="19" t="n"/>
      <c r="G182" s="20" t="n"/>
      <c r="H182" s="21" t="n"/>
      <c r="I182" s="17" t="n"/>
      <c r="J182" s="18" t="n"/>
      <c r="K182" s="22" t="n"/>
      <c r="L182" s="23">
        <f>IF(C182="","",ROUND(N(F182)*(1+N(G182)/100*IF(N(H182)&gt;0,N(H182)*IF(I182="Week",7/365,IF(I182="2 weeks",14/365,1/12)),IF(ISNUMBER(E182),MAX(0,TODAY()-E182)/365,0))),2))</f>
        <v/>
      </c>
      <c r="M182" s="23">
        <f>IF(OR(C182="",N(H182)&lt;=0),"",ROUND(L182/N(H182),2))</f>
        <v/>
      </c>
      <c r="N182" s="23">
        <f>IF(C182="","",SUMIFS(Payments!$D$6:$D$805,Payments!$G$6:$G$805,B182))</f>
        <v/>
      </c>
      <c r="O182" s="24">
        <f>IF(C182="","",ROUND(L182-N182,2))</f>
        <v/>
      </c>
      <c r="P182" s="11">
        <f>IF(OR(U182="",N(O182)&lt;=0),"",IF(I182="Week",J182+7*U182,IF(I182="2 weeks",J182+14*U182,EDATE(J182,U182))))</f>
        <v/>
      </c>
      <c r="Q182" s="23">
        <f>IF(P182="","",IF(U182=N(H182)-1,O182,ROUND(M182*(U182+1)-N182,2)))</f>
        <v/>
      </c>
      <c r="R182" s="25">
        <f>IF(C182="","",IF(O182&lt;=0,"Paid off",IF(OR(M182="",NOT(ISNUMBER(J182))),"Open",IF(W182&gt;0,"Overdue",IF(AND(ISNUMBER(P182),P182-TODAY()&lt;=Settings!$C$6),"Due soon","On track")))))</f>
        <v/>
      </c>
      <c r="S182" s="1">
        <f>IF(C182="","",B182&amp;" "&amp;C182)</f>
        <v/>
      </c>
      <c r="T182">
        <f>IF(OR(M182="",NOT(ISNUMBER(J182))),"",MIN(N(H182),IF(I182="Week",IF((TODAY()-1)&lt;J182,0,INT(((TODAY()-1)-J182)/7)+1),IF(I182="2 weeks",IF((TODAY()-1)&lt;J182,0,INT(((TODAY()-1)-J182)/14)+1),IF(((YEAR((TODAY()-1))-YEAR(J182))*12+MONTH((TODAY()-1))-MONTH(J182))&lt;0,0,IF(EDATE(J182,((YEAR((TODAY()-1))-YEAR(J182))*12+MONTH((TODAY()-1))-MONTH(J182)))&lt;=(TODAY()-1),((YEAR((TODAY()-1))-YEAR(J182))*12+MONTH((TODAY()-1))-MONTH(J182))+1,((YEAR((TODAY()-1))-YEAR(J182))*12+MONTH((TODAY()-1))-MONTH(J182))))))))</f>
        <v/>
      </c>
      <c r="U182">
        <f>IF(OR(M182="",NOT(ISNUMBER(J182))),"",IF(N(M182)&lt;=0,"",MIN(N(H182)-1,INT(ROUND(N182/M182,6)))))</f>
        <v/>
      </c>
      <c r="V182">
        <f>IF(T182="","",IF(T182&gt;=N(H182),L182,M182*T182))</f>
        <v/>
      </c>
      <c r="W182">
        <f>IF(V182="",0,MAX(0,ROUND(V182-N182,2)))</f>
        <v/>
      </c>
      <c r="X182">
        <f>IF(OR(R182="",R182="Paid off",NOT(ISNUMBER(P182))),"",P182*1000+ROW())</f>
        <v/>
      </c>
      <c r="Y182">
        <f>IF(C182="","",IF(AND(COUNTIF(C$6:C182,C182)=1,SUMIFS(Loans!$O$6:$O$305,Loans!$C$6:$C$305,C182,Loans!$O$6:$O$305,"&gt;0")&gt;0),ROW(),""))</f>
        <v/>
      </c>
      <c r="Z182">
        <f>IF(OR(C182="",P182=""),"",IF(D182="I borrowed","From you","To you"))</f>
        <v/>
      </c>
    </row>
    <row r="183">
      <c r="A183" s="1" t="n"/>
      <c r="B183" s="15" t="n">
        <v>178</v>
      </c>
      <c r="C183" s="16" t="n"/>
      <c r="D183" s="17" t="n"/>
      <c r="E183" s="18" t="n"/>
      <c r="F183" s="19" t="n"/>
      <c r="G183" s="20" t="n"/>
      <c r="H183" s="21" t="n"/>
      <c r="I183" s="17" t="n"/>
      <c r="J183" s="18" t="n"/>
      <c r="K183" s="22" t="n"/>
      <c r="L183" s="23">
        <f>IF(C183="","",ROUND(N(F183)*(1+N(G183)/100*IF(N(H183)&gt;0,N(H183)*IF(I183="Week",7/365,IF(I183="2 weeks",14/365,1/12)),IF(ISNUMBER(E183),MAX(0,TODAY()-E183)/365,0))),2))</f>
        <v/>
      </c>
      <c r="M183" s="23">
        <f>IF(OR(C183="",N(H183)&lt;=0),"",ROUND(L183/N(H183),2))</f>
        <v/>
      </c>
      <c r="N183" s="23">
        <f>IF(C183="","",SUMIFS(Payments!$D$6:$D$805,Payments!$G$6:$G$805,B183))</f>
        <v/>
      </c>
      <c r="O183" s="24">
        <f>IF(C183="","",ROUND(L183-N183,2))</f>
        <v/>
      </c>
      <c r="P183" s="11">
        <f>IF(OR(U183="",N(O183)&lt;=0),"",IF(I183="Week",J183+7*U183,IF(I183="2 weeks",J183+14*U183,EDATE(J183,U183))))</f>
        <v/>
      </c>
      <c r="Q183" s="23">
        <f>IF(P183="","",IF(U183=N(H183)-1,O183,ROUND(M183*(U183+1)-N183,2)))</f>
        <v/>
      </c>
      <c r="R183" s="25">
        <f>IF(C183="","",IF(O183&lt;=0,"Paid off",IF(OR(M183="",NOT(ISNUMBER(J183))),"Open",IF(W183&gt;0,"Overdue",IF(AND(ISNUMBER(P183),P183-TODAY()&lt;=Settings!$C$6),"Due soon","On track")))))</f>
        <v/>
      </c>
      <c r="S183" s="1">
        <f>IF(C183="","",B183&amp;" "&amp;C183)</f>
        <v/>
      </c>
      <c r="T183">
        <f>IF(OR(M183="",NOT(ISNUMBER(J183))),"",MIN(N(H183),IF(I183="Week",IF((TODAY()-1)&lt;J183,0,INT(((TODAY()-1)-J183)/7)+1),IF(I183="2 weeks",IF((TODAY()-1)&lt;J183,0,INT(((TODAY()-1)-J183)/14)+1),IF(((YEAR((TODAY()-1))-YEAR(J183))*12+MONTH((TODAY()-1))-MONTH(J183))&lt;0,0,IF(EDATE(J183,((YEAR((TODAY()-1))-YEAR(J183))*12+MONTH((TODAY()-1))-MONTH(J183)))&lt;=(TODAY()-1),((YEAR((TODAY()-1))-YEAR(J183))*12+MONTH((TODAY()-1))-MONTH(J183))+1,((YEAR((TODAY()-1))-YEAR(J183))*12+MONTH((TODAY()-1))-MONTH(J183))))))))</f>
        <v/>
      </c>
      <c r="U183">
        <f>IF(OR(M183="",NOT(ISNUMBER(J183))),"",IF(N(M183)&lt;=0,"",MIN(N(H183)-1,INT(ROUND(N183/M183,6)))))</f>
        <v/>
      </c>
      <c r="V183">
        <f>IF(T183="","",IF(T183&gt;=N(H183),L183,M183*T183))</f>
        <v/>
      </c>
      <c r="W183">
        <f>IF(V183="",0,MAX(0,ROUND(V183-N183,2)))</f>
        <v/>
      </c>
      <c r="X183">
        <f>IF(OR(R183="",R183="Paid off",NOT(ISNUMBER(P183))),"",P183*1000+ROW())</f>
        <v/>
      </c>
      <c r="Y183">
        <f>IF(C183="","",IF(AND(COUNTIF(C$6:C183,C183)=1,SUMIFS(Loans!$O$6:$O$305,Loans!$C$6:$C$305,C183,Loans!$O$6:$O$305,"&gt;0")&gt;0),ROW(),""))</f>
        <v/>
      </c>
      <c r="Z183">
        <f>IF(OR(C183="",P183=""),"",IF(D183="I borrowed","From you","To you"))</f>
        <v/>
      </c>
    </row>
    <row r="184">
      <c r="A184" s="1" t="n"/>
      <c r="B184" s="15" t="n">
        <v>179</v>
      </c>
      <c r="C184" s="16" t="n"/>
      <c r="D184" s="17" t="n"/>
      <c r="E184" s="18" t="n"/>
      <c r="F184" s="19" t="n"/>
      <c r="G184" s="20" t="n"/>
      <c r="H184" s="21" t="n"/>
      <c r="I184" s="17" t="n"/>
      <c r="J184" s="18" t="n"/>
      <c r="K184" s="22" t="n"/>
      <c r="L184" s="23">
        <f>IF(C184="","",ROUND(N(F184)*(1+N(G184)/100*IF(N(H184)&gt;0,N(H184)*IF(I184="Week",7/365,IF(I184="2 weeks",14/365,1/12)),IF(ISNUMBER(E184),MAX(0,TODAY()-E184)/365,0))),2))</f>
        <v/>
      </c>
      <c r="M184" s="23">
        <f>IF(OR(C184="",N(H184)&lt;=0),"",ROUND(L184/N(H184),2))</f>
        <v/>
      </c>
      <c r="N184" s="23">
        <f>IF(C184="","",SUMIFS(Payments!$D$6:$D$805,Payments!$G$6:$G$805,B184))</f>
        <v/>
      </c>
      <c r="O184" s="24">
        <f>IF(C184="","",ROUND(L184-N184,2))</f>
        <v/>
      </c>
      <c r="P184" s="11">
        <f>IF(OR(U184="",N(O184)&lt;=0),"",IF(I184="Week",J184+7*U184,IF(I184="2 weeks",J184+14*U184,EDATE(J184,U184))))</f>
        <v/>
      </c>
      <c r="Q184" s="23">
        <f>IF(P184="","",IF(U184=N(H184)-1,O184,ROUND(M184*(U184+1)-N184,2)))</f>
        <v/>
      </c>
      <c r="R184" s="25">
        <f>IF(C184="","",IF(O184&lt;=0,"Paid off",IF(OR(M184="",NOT(ISNUMBER(J184))),"Open",IF(W184&gt;0,"Overdue",IF(AND(ISNUMBER(P184),P184-TODAY()&lt;=Settings!$C$6),"Due soon","On track")))))</f>
        <v/>
      </c>
      <c r="S184" s="1">
        <f>IF(C184="","",B184&amp;" "&amp;C184)</f>
        <v/>
      </c>
      <c r="T184">
        <f>IF(OR(M184="",NOT(ISNUMBER(J184))),"",MIN(N(H184),IF(I184="Week",IF((TODAY()-1)&lt;J184,0,INT(((TODAY()-1)-J184)/7)+1),IF(I184="2 weeks",IF((TODAY()-1)&lt;J184,0,INT(((TODAY()-1)-J184)/14)+1),IF(((YEAR((TODAY()-1))-YEAR(J184))*12+MONTH((TODAY()-1))-MONTH(J184))&lt;0,0,IF(EDATE(J184,((YEAR((TODAY()-1))-YEAR(J184))*12+MONTH((TODAY()-1))-MONTH(J184)))&lt;=(TODAY()-1),((YEAR((TODAY()-1))-YEAR(J184))*12+MONTH((TODAY()-1))-MONTH(J184))+1,((YEAR((TODAY()-1))-YEAR(J184))*12+MONTH((TODAY()-1))-MONTH(J184))))))))</f>
        <v/>
      </c>
      <c r="U184">
        <f>IF(OR(M184="",NOT(ISNUMBER(J184))),"",IF(N(M184)&lt;=0,"",MIN(N(H184)-1,INT(ROUND(N184/M184,6)))))</f>
        <v/>
      </c>
      <c r="V184">
        <f>IF(T184="","",IF(T184&gt;=N(H184),L184,M184*T184))</f>
        <v/>
      </c>
      <c r="W184">
        <f>IF(V184="",0,MAX(0,ROUND(V184-N184,2)))</f>
        <v/>
      </c>
      <c r="X184">
        <f>IF(OR(R184="",R184="Paid off",NOT(ISNUMBER(P184))),"",P184*1000+ROW())</f>
        <v/>
      </c>
      <c r="Y184">
        <f>IF(C184="","",IF(AND(COUNTIF(C$6:C184,C184)=1,SUMIFS(Loans!$O$6:$O$305,Loans!$C$6:$C$305,C184,Loans!$O$6:$O$305,"&gt;0")&gt;0),ROW(),""))</f>
        <v/>
      </c>
      <c r="Z184">
        <f>IF(OR(C184="",P184=""),"",IF(D184="I borrowed","From you","To you"))</f>
        <v/>
      </c>
    </row>
    <row r="185">
      <c r="A185" s="1" t="n"/>
      <c r="B185" s="15" t="n">
        <v>180</v>
      </c>
      <c r="C185" s="16" t="n"/>
      <c r="D185" s="17" t="n"/>
      <c r="E185" s="18" t="n"/>
      <c r="F185" s="19" t="n"/>
      <c r="G185" s="20" t="n"/>
      <c r="H185" s="21" t="n"/>
      <c r="I185" s="17" t="n"/>
      <c r="J185" s="18" t="n"/>
      <c r="K185" s="22" t="n"/>
      <c r="L185" s="23">
        <f>IF(C185="","",ROUND(N(F185)*(1+N(G185)/100*IF(N(H185)&gt;0,N(H185)*IF(I185="Week",7/365,IF(I185="2 weeks",14/365,1/12)),IF(ISNUMBER(E185),MAX(0,TODAY()-E185)/365,0))),2))</f>
        <v/>
      </c>
      <c r="M185" s="23">
        <f>IF(OR(C185="",N(H185)&lt;=0),"",ROUND(L185/N(H185),2))</f>
        <v/>
      </c>
      <c r="N185" s="23">
        <f>IF(C185="","",SUMIFS(Payments!$D$6:$D$805,Payments!$G$6:$G$805,B185))</f>
        <v/>
      </c>
      <c r="O185" s="24">
        <f>IF(C185="","",ROUND(L185-N185,2))</f>
        <v/>
      </c>
      <c r="P185" s="11">
        <f>IF(OR(U185="",N(O185)&lt;=0),"",IF(I185="Week",J185+7*U185,IF(I185="2 weeks",J185+14*U185,EDATE(J185,U185))))</f>
        <v/>
      </c>
      <c r="Q185" s="23">
        <f>IF(P185="","",IF(U185=N(H185)-1,O185,ROUND(M185*(U185+1)-N185,2)))</f>
        <v/>
      </c>
      <c r="R185" s="25">
        <f>IF(C185="","",IF(O185&lt;=0,"Paid off",IF(OR(M185="",NOT(ISNUMBER(J185))),"Open",IF(W185&gt;0,"Overdue",IF(AND(ISNUMBER(P185),P185-TODAY()&lt;=Settings!$C$6),"Due soon","On track")))))</f>
        <v/>
      </c>
      <c r="S185" s="1">
        <f>IF(C185="","",B185&amp;" "&amp;C185)</f>
        <v/>
      </c>
      <c r="T185">
        <f>IF(OR(M185="",NOT(ISNUMBER(J185))),"",MIN(N(H185),IF(I185="Week",IF((TODAY()-1)&lt;J185,0,INT(((TODAY()-1)-J185)/7)+1),IF(I185="2 weeks",IF((TODAY()-1)&lt;J185,0,INT(((TODAY()-1)-J185)/14)+1),IF(((YEAR((TODAY()-1))-YEAR(J185))*12+MONTH((TODAY()-1))-MONTH(J185))&lt;0,0,IF(EDATE(J185,((YEAR((TODAY()-1))-YEAR(J185))*12+MONTH((TODAY()-1))-MONTH(J185)))&lt;=(TODAY()-1),((YEAR((TODAY()-1))-YEAR(J185))*12+MONTH((TODAY()-1))-MONTH(J185))+1,((YEAR((TODAY()-1))-YEAR(J185))*12+MONTH((TODAY()-1))-MONTH(J185))))))))</f>
        <v/>
      </c>
      <c r="U185">
        <f>IF(OR(M185="",NOT(ISNUMBER(J185))),"",IF(N(M185)&lt;=0,"",MIN(N(H185)-1,INT(ROUND(N185/M185,6)))))</f>
        <v/>
      </c>
      <c r="V185">
        <f>IF(T185="","",IF(T185&gt;=N(H185),L185,M185*T185))</f>
        <v/>
      </c>
      <c r="W185">
        <f>IF(V185="",0,MAX(0,ROUND(V185-N185,2)))</f>
        <v/>
      </c>
      <c r="X185">
        <f>IF(OR(R185="",R185="Paid off",NOT(ISNUMBER(P185))),"",P185*1000+ROW())</f>
        <v/>
      </c>
      <c r="Y185">
        <f>IF(C185="","",IF(AND(COUNTIF(C$6:C185,C185)=1,SUMIFS(Loans!$O$6:$O$305,Loans!$C$6:$C$305,C185,Loans!$O$6:$O$305,"&gt;0")&gt;0),ROW(),""))</f>
        <v/>
      </c>
      <c r="Z185">
        <f>IF(OR(C185="",P185=""),"",IF(D185="I borrowed","From you","To you"))</f>
        <v/>
      </c>
    </row>
    <row r="186">
      <c r="A186" s="1" t="n"/>
      <c r="B186" s="15" t="n">
        <v>181</v>
      </c>
      <c r="C186" s="16" t="n"/>
      <c r="D186" s="17" t="n"/>
      <c r="E186" s="18" t="n"/>
      <c r="F186" s="19" t="n"/>
      <c r="G186" s="20" t="n"/>
      <c r="H186" s="21" t="n"/>
      <c r="I186" s="17" t="n"/>
      <c r="J186" s="18" t="n"/>
      <c r="K186" s="22" t="n"/>
      <c r="L186" s="23">
        <f>IF(C186="","",ROUND(N(F186)*(1+N(G186)/100*IF(N(H186)&gt;0,N(H186)*IF(I186="Week",7/365,IF(I186="2 weeks",14/365,1/12)),IF(ISNUMBER(E186),MAX(0,TODAY()-E186)/365,0))),2))</f>
        <v/>
      </c>
      <c r="M186" s="23">
        <f>IF(OR(C186="",N(H186)&lt;=0),"",ROUND(L186/N(H186),2))</f>
        <v/>
      </c>
      <c r="N186" s="23">
        <f>IF(C186="","",SUMIFS(Payments!$D$6:$D$805,Payments!$G$6:$G$805,B186))</f>
        <v/>
      </c>
      <c r="O186" s="24">
        <f>IF(C186="","",ROUND(L186-N186,2))</f>
        <v/>
      </c>
      <c r="P186" s="11">
        <f>IF(OR(U186="",N(O186)&lt;=0),"",IF(I186="Week",J186+7*U186,IF(I186="2 weeks",J186+14*U186,EDATE(J186,U186))))</f>
        <v/>
      </c>
      <c r="Q186" s="23">
        <f>IF(P186="","",IF(U186=N(H186)-1,O186,ROUND(M186*(U186+1)-N186,2)))</f>
        <v/>
      </c>
      <c r="R186" s="25">
        <f>IF(C186="","",IF(O186&lt;=0,"Paid off",IF(OR(M186="",NOT(ISNUMBER(J186))),"Open",IF(W186&gt;0,"Overdue",IF(AND(ISNUMBER(P186),P186-TODAY()&lt;=Settings!$C$6),"Due soon","On track")))))</f>
        <v/>
      </c>
      <c r="S186" s="1">
        <f>IF(C186="","",B186&amp;" "&amp;C186)</f>
        <v/>
      </c>
      <c r="T186">
        <f>IF(OR(M186="",NOT(ISNUMBER(J186))),"",MIN(N(H186),IF(I186="Week",IF((TODAY()-1)&lt;J186,0,INT(((TODAY()-1)-J186)/7)+1),IF(I186="2 weeks",IF((TODAY()-1)&lt;J186,0,INT(((TODAY()-1)-J186)/14)+1),IF(((YEAR((TODAY()-1))-YEAR(J186))*12+MONTH((TODAY()-1))-MONTH(J186))&lt;0,0,IF(EDATE(J186,((YEAR((TODAY()-1))-YEAR(J186))*12+MONTH((TODAY()-1))-MONTH(J186)))&lt;=(TODAY()-1),((YEAR((TODAY()-1))-YEAR(J186))*12+MONTH((TODAY()-1))-MONTH(J186))+1,((YEAR((TODAY()-1))-YEAR(J186))*12+MONTH((TODAY()-1))-MONTH(J186))))))))</f>
        <v/>
      </c>
      <c r="U186">
        <f>IF(OR(M186="",NOT(ISNUMBER(J186))),"",IF(N(M186)&lt;=0,"",MIN(N(H186)-1,INT(ROUND(N186/M186,6)))))</f>
        <v/>
      </c>
      <c r="V186">
        <f>IF(T186="","",IF(T186&gt;=N(H186),L186,M186*T186))</f>
        <v/>
      </c>
      <c r="W186">
        <f>IF(V186="",0,MAX(0,ROUND(V186-N186,2)))</f>
        <v/>
      </c>
      <c r="X186">
        <f>IF(OR(R186="",R186="Paid off",NOT(ISNUMBER(P186))),"",P186*1000+ROW())</f>
        <v/>
      </c>
      <c r="Y186">
        <f>IF(C186="","",IF(AND(COUNTIF(C$6:C186,C186)=1,SUMIFS(Loans!$O$6:$O$305,Loans!$C$6:$C$305,C186,Loans!$O$6:$O$305,"&gt;0")&gt;0),ROW(),""))</f>
        <v/>
      </c>
      <c r="Z186">
        <f>IF(OR(C186="",P186=""),"",IF(D186="I borrowed","From you","To you"))</f>
        <v/>
      </c>
    </row>
    <row r="187">
      <c r="A187" s="1" t="n"/>
      <c r="B187" s="15" t="n">
        <v>182</v>
      </c>
      <c r="C187" s="16" t="n"/>
      <c r="D187" s="17" t="n"/>
      <c r="E187" s="18" t="n"/>
      <c r="F187" s="19" t="n"/>
      <c r="G187" s="20" t="n"/>
      <c r="H187" s="21" t="n"/>
      <c r="I187" s="17" t="n"/>
      <c r="J187" s="18" t="n"/>
      <c r="K187" s="22" t="n"/>
      <c r="L187" s="23">
        <f>IF(C187="","",ROUND(N(F187)*(1+N(G187)/100*IF(N(H187)&gt;0,N(H187)*IF(I187="Week",7/365,IF(I187="2 weeks",14/365,1/12)),IF(ISNUMBER(E187),MAX(0,TODAY()-E187)/365,0))),2))</f>
        <v/>
      </c>
      <c r="M187" s="23">
        <f>IF(OR(C187="",N(H187)&lt;=0),"",ROUND(L187/N(H187),2))</f>
        <v/>
      </c>
      <c r="N187" s="23">
        <f>IF(C187="","",SUMIFS(Payments!$D$6:$D$805,Payments!$G$6:$G$805,B187))</f>
        <v/>
      </c>
      <c r="O187" s="24">
        <f>IF(C187="","",ROUND(L187-N187,2))</f>
        <v/>
      </c>
      <c r="P187" s="11">
        <f>IF(OR(U187="",N(O187)&lt;=0),"",IF(I187="Week",J187+7*U187,IF(I187="2 weeks",J187+14*U187,EDATE(J187,U187))))</f>
        <v/>
      </c>
      <c r="Q187" s="23">
        <f>IF(P187="","",IF(U187=N(H187)-1,O187,ROUND(M187*(U187+1)-N187,2)))</f>
        <v/>
      </c>
      <c r="R187" s="25">
        <f>IF(C187="","",IF(O187&lt;=0,"Paid off",IF(OR(M187="",NOT(ISNUMBER(J187))),"Open",IF(W187&gt;0,"Overdue",IF(AND(ISNUMBER(P187),P187-TODAY()&lt;=Settings!$C$6),"Due soon","On track")))))</f>
        <v/>
      </c>
      <c r="S187" s="1">
        <f>IF(C187="","",B187&amp;" "&amp;C187)</f>
        <v/>
      </c>
      <c r="T187">
        <f>IF(OR(M187="",NOT(ISNUMBER(J187))),"",MIN(N(H187),IF(I187="Week",IF((TODAY()-1)&lt;J187,0,INT(((TODAY()-1)-J187)/7)+1),IF(I187="2 weeks",IF((TODAY()-1)&lt;J187,0,INT(((TODAY()-1)-J187)/14)+1),IF(((YEAR((TODAY()-1))-YEAR(J187))*12+MONTH((TODAY()-1))-MONTH(J187))&lt;0,0,IF(EDATE(J187,((YEAR((TODAY()-1))-YEAR(J187))*12+MONTH((TODAY()-1))-MONTH(J187)))&lt;=(TODAY()-1),((YEAR((TODAY()-1))-YEAR(J187))*12+MONTH((TODAY()-1))-MONTH(J187))+1,((YEAR((TODAY()-1))-YEAR(J187))*12+MONTH((TODAY()-1))-MONTH(J187))))))))</f>
        <v/>
      </c>
      <c r="U187">
        <f>IF(OR(M187="",NOT(ISNUMBER(J187))),"",IF(N(M187)&lt;=0,"",MIN(N(H187)-1,INT(ROUND(N187/M187,6)))))</f>
        <v/>
      </c>
      <c r="V187">
        <f>IF(T187="","",IF(T187&gt;=N(H187),L187,M187*T187))</f>
        <v/>
      </c>
      <c r="W187">
        <f>IF(V187="",0,MAX(0,ROUND(V187-N187,2)))</f>
        <v/>
      </c>
      <c r="X187">
        <f>IF(OR(R187="",R187="Paid off",NOT(ISNUMBER(P187))),"",P187*1000+ROW())</f>
        <v/>
      </c>
      <c r="Y187">
        <f>IF(C187="","",IF(AND(COUNTIF(C$6:C187,C187)=1,SUMIFS(Loans!$O$6:$O$305,Loans!$C$6:$C$305,C187,Loans!$O$6:$O$305,"&gt;0")&gt;0),ROW(),""))</f>
        <v/>
      </c>
      <c r="Z187">
        <f>IF(OR(C187="",P187=""),"",IF(D187="I borrowed","From you","To you"))</f>
        <v/>
      </c>
    </row>
    <row r="188">
      <c r="A188" s="1" t="n"/>
      <c r="B188" s="15" t="n">
        <v>183</v>
      </c>
      <c r="C188" s="16" t="n"/>
      <c r="D188" s="17" t="n"/>
      <c r="E188" s="18" t="n"/>
      <c r="F188" s="19" t="n"/>
      <c r="G188" s="20" t="n"/>
      <c r="H188" s="21" t="n"/>
      <c r="I188" s="17" t="n"/>
      <c r="J188" s="18" t="n"/>
      <c r="K188" s="22" t="n"/>
      <c r="L188" s="23">
        <f>IF(C188="","",ROUND(N(F188)*(1+N(G188)/100*IF(N(H188)&gt;0,N(H188)*IF(I188="Week",7/365,IF(I188="2 weeks",14/365,1/12)),IF(ISNUMBER(E188),MAX(0,TODAY()-E188)/365,0))),2))</f>
        <v/>
      </c>
      <c r="M188" s="23">
        <f>IF(OR(C188="",N(H188)&lt;=0),"",ROUND(L188/N(H188),2))</f>
        <v/>
      </c>
      <c r="N188" s="23">
        <f>IF(C188="","",SUMIFS(Payments!$D$6:$D$805,Payments!$G$6:$G$805,B188))</f>
        <v/>
      </c>
      <c r="O188" s="24">
        <f>IF(C188="","",ROUND(L188-N188,2))</f>
        <v/>
      </c>
      <c r="P188" s="11">
        <f>IF(OR(U188="",N(O188)&lt;=0),"",IF(I188="Week",J188+7*U188,IF(I188="2 weeks",J188+14*U188,EDATE(J188,U188))))</f>
        <v/>
      </c>
      <c r="Q188" s="23">
        <f>IF(P188="","",IF(U188=N(H188)-1,O188,ROUND(M188*(U188+1)-N188,2)))</f>
        <v/>
      </c>
      <c r="R188" s="25">
        <f>IF(C188="","",IF(O188&lt;=0,"Paid off",IF(OR(M188="",NOT(ISNUMBER(J188))),"Open",IF(W188&gt;0,"Overdue",IF(AND(ISNUMBER(P188),P188-TODAY()&lt;=Settings!$C$6),"Due soon","On track")))))</f>
        <v/>
      </c>
      <c r="S188" s="1">
        <f>IF(C188="","",B188&amp;" "&amp;C188)</f>
        <v/>
      </c>
      <c r="T188">
        <f>IF(OR(M188="",NOT(ISNUMBER(J188))),"",MIN(N(H188),IF(I188="Week",IF((TODAY()-1)&lt;J188,0,INT(((TODAY()-1)-J188)/7)+1),IF(I188="2 weeks",IF((TODAY()-1)&lt;J188,0,INT(((TODAY()-1)-J188)/14)+1),IF(((YEAR((TODAY()-1))-YEAR(J188))*12+MONTH((TODAY()-1))-MONTH(J188))&lt;0,0,IF(EDATE(J188,((YEAR((TODAY()-1))-YEAR(J188))*12+MONTH((TODAY()-1))-MONTH(J188)))&lt;=(TODAY()-1),((YEAR((TODAY()-1))-YEAR(J188))*12+MONTH((TODAY()-1))-MONTH(J188))+1,((YEAR((TODAY()-1))-YEAR(J188))*12+MONTH((TODAY()-1))-MONTH(J188))))))))</f>
        <v/>
      </c>
      <c r="U188">
        <f>IF(OR(M188="",NOT(ISNUMBER(J188))),"",IF(N(M188)&lt;=0,"",MIN(N(H188)-1,INT(ROUND(N188/M188,6)))))</f>
        <v/>
      </c>
      <c r="V188">
        <f>IF(T188="","",IF(T188&gt;=N(H188),L188,M188*T188))</f>
        <v/>
      </c>
      <c r="W188">
        <f>IF(V188="",0,MAX(0,ROUND(V188-N188,2)))</f>
        <v/>
      </c>
      <c r="X188">
        <f>IF(OR(R188="",R188="Paid off",NOT(ISNUMBER(P188))),"",P188*1000+ROW())</f>
        <v/>
      </c>
      <c r="Y188">
        <f>IF(C188="","",IF(AND(COUNTIF(C$6:C188,C188)=1,SUMIFS(Loans!$O$6:$O$305,Loans!$C$6:$C$305,C188,Loans!$O$6:$O$305,"&gt;0")&gt;0),ROW(),""))</f>
        <v/>
      </c>
      <c r="Z188">
        <f>IF(OR(C188="",P188=""),"",IF(D188="I borrowed","From you","To you"))</f>
        <v/>
      </c>
    </row>
    <row r="189">
      <c r="A189" s="1" t="n"/>
      <c r="B189" s="15" t="n">
        <v>184</v>
      </c>
      <c r="C189" s="16" t="n"/>
      <c r="D189" s="17" t="n"/>
      <c r="E189" s="18" t="n"/>
      <c r="F189" s="19" t="n"/>
      <c r="G189" s="20" t="n"/>
      <c r="H189" s="21" t="n"/>
      <c r="I189" s="17" t="n"/>
      <c r="J189" s="18" t="n"/>
      <c r="K189" s="22" t="n"/>
      <c r="L189" s="23">
        <f>IF(C189="","",ROUND(N(F189)*(1+N(G189)/100*IF(N(H189)&gt;0,N(H189)*IF(I189="Week",7/365,IF(I189="2 weeks",14/365,1/12)),IF(ISNUMBER(E189),MAX(0,TODAY()-E189)/365,0))),2))</f>
        <v/>
      </c>
      <c r="M189" s="23">
        <f>IF(OR(C189="",N(H189)&lt;=0),"",ROUND(L189/N(H189),2))</f>
        <v/>
      </c>
      <c r="N189" s="23">
        <f>IF(C189="","",SUMIFS(Payments!$D$6:$D$805,Payments!$G$6:$G$805,B189))</f>
        <v/>
      </c>
      <c r="O189" s="24">
        <f>IF(C189="","",ROUND(L189-N189,2))</f>
        <v/>
      </c>
      <c r="P189" s="11">
        <f>IF(OR(U189="",N(O189)&lt;=0),"",IF(I189="Week",J189+7*U189,IF(I189="2 weeks",J189+14*U189,EDATE(J189,U189))))</f>
        <v/>
      </c>
      <c r="Q189" s="23">
        <f>IF(P189="","",IF(U189=N(H189)-1,O189,ROUND(M189*(U189+1)-N189,2)))</f>
        <v/>
      </c>
      <c r="R189" s="25">
        <f>IF(C189="","",IF(O189&lt;=0,"Paid off",IF(OR(M189="",NOT(ISNUMBER(J189))),"Open",IF(W189&gt;0,"Overdue",IF(AND(ISNUMBER(P189),P189-TODAY()&lt;=Settings!$C$6),"Due soon","On track")))))</f>
        <v/>
      </c>
      <c r="S189" s="1">
        <f>IF(C189="","",B189&amp;" "&amp;C189)</f>
        <v/>
      </c>
      <c r="T189">
        <f>IF(OR(M189="",NOT(ISNUMBER(J189))),"",MIN(N(H189),IF(I189="Week",IF((TODAY()-1)&lt;J189,0,INT(((TODAY()-1)-J189)/7)+1),IF(I189="2 weeks",IF((TODAY()-1)&lt;J189,0,INT(((TODAY()-1)-J189)/14)+1),IF(((YEAR((TODAY()-1))-YEAR(J189))*12+MONTH((TODAY()-1))-MONTH(J189))&lt;0,0,IF(EDATE(J189,((YEAR((TODAY()-1))-YEAR(J189))*12+MONTH((TODAY()-1))-MONTH(J189)))&lt;=(TODAY()-1),((YEAR((TODAY()-1))-YEAR(J189))*12+MONTH((TODAY()-1))-MONTH(J189))+1,((YEAR((TODAY()-1))-YEAR(J189))*12+MONTH((TODAY()-1))-MONTH(J189))))))))</f>
        <v/>
      </c>
      <c r="U189">
        <f>IF(OR(M189="",NOT(ISNUMBER(J189))),"",IF(N(M189)&lt;=0,"",MIN(N(H189)-1,INT(ROUND(N189/M189,6)))))</f>
        <v/>
      </c>
      <c r="V189">
        <f>IF(T189="","",IF(T189&gt;=N(H189),L189,M189*T189))</f>
        <v/>
      </c>
      <c r="W189">
        <f>IF(V189="",0,MAX(0,ROUND(V189-N189,2)))</f>
        <v/>
      </c>
      <c r="X189">
        <f>IF(OR(R189="",R189="Paid off",NOT(ISNUMBER(P189))),"",P189*1000+ROW())</f>
        <v/>
      </c>
      <c r="Y189">
        <f>IF(C189="","",IF(AND(COUNTIF(C$6:C189,C189)=1,SUMIFS(Loans!$O$6:$O$305,Loans!$C$6:$C$305,C189,Loans!$O$6:$O$305,"&gt;0")&gt;0),ROW(),""))</f>
        <v/>
      </c>
      <c r="Z189">
        <f>IF(OR(C189="",P189=""),"",IF(D189="I borrowed","From you","To you"))</f>
        <v/>
      </c>
    </row>
    <row r="190">
      <c r="A190" s="1" t="n"/>
      <c r="B190" s="15" t="n">
        <v>185</v>
      </c>
      <c r="C190" s="16" t="n"/>
      <c r="D190" s="17" t="n"/>
      <c r="E190" s="18" t="n"/>
      <c r="F190" s="19" t="n"/>
      <c r="G190" s="20" t="n"/>
      <c r="H190" s="21" t="n"/>
      <c r="I190" s="17" t="n"/>
      <c r="J190" s="18" t="n"/>
      <c r="K190" s="22" t="n"/>
      <c r="L190" s="23">
        <f>IF(C190="","",ROUND(N(F190)*(1+N(G190)/100*IF(N(H190)&gt;0,N(H190)*IF(I190="Week",7/365,IF(I190="2 weeks",14/365,1/12)),IF(ISNUMBER(E190),MAX(0,TODAY()-E190)/365,0))),2))</f>
        <v/>
      </c>
      <c r="M190" s="23">
        <f>IF(OR(C190="",N(H190)&lt;=0),"",ROUND(L190/N(H190),2))</f>
        <v/>
      </c>
      <c r="N190" s="23">
        <f>IF(C190="","",SUMIFS(Payments!$D$6:$D$805,Payments!$G$6:$G$805,B190))</f>
        <v/>
      </c>
      <c r="O190" s="24">
        <f>IF(C190="","",ROUND(L190-N190,2))</f>
        <v/>
      </c>
      <c r="P190" s="11">
        <f>IF(OR(U190="",N(O190)&lt;=0),"",IF(I190="Week",J190+7*U190,IF(I190="2 weeks",J190+14*U190,EDATE(J190,U190))))</f>
        <v/>
      </c>
      <c r="Q190" s="23">
        <f>IF(P190="","",IF(U190=N(H190)-1,O190,ROUND(M190*(U190+1)-N190,2)))</f>
        <v/>
      </c>
      <c r="R190" s="25">
        <f>IF(C190="","",IF(O190&lt;=0,"Paid off",IF(OR(M190="",NOT(ISNUMBER(J190))),"Open",IF(W190&gt;0,"Overdue",IF(AND(ISNUMBER(P190),P190-TODAY()&lt;=Settings!$C$6),"Due soon","On track")))))</f>
        <v/>
      </c>
      <c r="S190" s="1">
        <f>IF(C190="","",B190&amp;" "&amp;C190)</f>
        <v/>
      </c>
      <c r="T190">
        <f>IF(OR(M190="",NOT(ISNUMBER(J190))),"",MIN(N(H190),IF(I190="Week",IF((TODAY()-1)&lt;J190,0,INT(((TODAY()-1)-J190)/7)+1),IF(I190="2 weeks",IF((TODAY()-1)&lt;J190,0,INT(((TODAY()-1)-J190)/14)+1),IF(((YEAR((TODAY()-1))-YEAR(J190))*12+MONTH((TODAY()-1))-MONTH(J190))&lt;0,0,IF(EDATE(J190,((YEAR((TODAY()-1))-YEAR(J190))*12+MONTH((TODAY()-1))-MONTH(J190)))&lt;=(TODAY()-1),((YEAR((TODAY()-1))-YEAR(J190))*12+MONTH((TODAY()-1))-MONTH(J190))+1,((YEAR((TODAY()-1))-YEAR(J190))*12+MONTH((TODAY()-1))-MONTH(J190))))))))</f>
        <v/>
      </c>
      <c r="U190">
        <f>IF(OR(M190="",NOT(ISNUMBER(J190))),"",IF(N(M190)&lt;=0,"",MIN(N(H190)-1,INT(ROUND(N190/M190,6)))))</f>
        <v/>
      </c>
      <c r="V190">
        <f>IF(T190="","",IF(T190&gt;=N(H190),L190,M190*T190))</f>
        <v/>
      </c>
      <c r="W190">
        <f>IF(V190="",0,MAX(0,ROUND(V190-N190,2)))</f>
        <v/>
      </c>
      <c r="X190">
        <f>IF(OR(R190="",R190="Paid off",NOT(ISNUMBER(P190))),"",P190*1000+ROW())</f>
        <v/>
      </c>
      <c r="Y190">
        <f>IF(C190="","",IF(AND(COUNTIF(C$6:C190,C190)=1,SUMIFS(Loans!$O$6:$O$305,Loans!$C$6:$C$305,C190,Loans!$O$6:$O$305,"&gt;0")&gt;0),ROW(),""))</f>
        <v/>
      </c>
      <c r="Z190">
        <f>IF(OR(C190="",P190=""),"",IF(D190="I borrowed","From you","To you"))</f>
        <v/>
      </c>
    </row>
    <row r="191">
      <c r="A191" s="1" t="n"/>
      <c r="B191" s="15" t="n">
        <v>186</v>
      </c>
      <c r="C191" s="16" t="n"/>
      <c r="D191" s="17" t="n"/>
      <c r="E191" s="18" t="n"/>
      <c r="F191" s="19" t="n"/>
      <c r="G191" s="20" t="n"/>
      <c r="H191" s="21" t="n"/>
      <c r="I191" s="17" t="n"/>
      <c r="J191" s="18" t="n"/>
      <c r="K191" s="22" t="n"/>
      <c r="L191" s="23">
        <f>IF(C191="","",ROUND(N(F191)*(1+N(G191)/100*IF(N(H191)&gt;0,N(H191)*IF(I191="Week",7/365,IF(I191="2 weeks",14/365,1/12)),IF(ISNUMBER(E191),MAX(0,TODAY()-E191)/365,0))),2))</f>
        <v/>
      </c>
      <c r="M191" s="23">
        <f>IF(OR(C191="",N(H191)&lt;=0),"",ROUND(L191/N(H191),2))</f>
        <v/>
      </c>
      <c r="N191" s="23">
        <f>IF(C191="","",SUMIFS(Payments!$D$6:$D$805,Payments!$G$6:$G$805,B191))</f>
        <v/>
      </c>
      <c r="O191" s="24">
        <f>IF(C191="","",ROUND(L191-N191,2))</f>
        <v/>
      </c>
      <c r="P191" s="11">
        <f>IF(OR(U191="",N(O191)&lt;=0),"",IF(I191="Week",J191+7*U191,IF(I191="2 weeks",J191+14*U191,EDATE(J191,U191))))</f>
        <v/>
      </c>
      <c r="Q191" s="23">
        <f>IF(P191="","",IF(U191=N(H191)-1,O191,ROUND(M191*(U191+1)-N191,2)))</f>
        <v/>
      </c>
      <c r="R191" s="25">
        <f>IF(C191="","",IF(O191&lt;=0,"Paid off",IF(OR(M191="",NOT(ISNUMBER(J191))),"Open",IF(W191&gt;0,"Overdue",IF(AND(ISNUMBER(P191),P191-TODAY()&lt;=Settings!$C$6),"Due soon","On track")))))</f>
        <v/>
      </c>
      <c r="S191" s="1">
        <f>IF(C191="","",B191&amp;" "&amp;C191)</f>
        <v/>
      </c>
      <c r="T191">
        <f>IF(OR(M191="",NOT(ISNUMBER(J191))),"",MIN(N(H191),IF(I191="Week",IF((TODAY()-1)&lt;J191,0,INT(((TODAY()-1)-J191)/7)+1),IF(I191="2 weeks",IF((TODAY()-1)&lt;J191,0,INT(((TODAY()-1)-J191)/14)+1),IF(((YEAR((TODAY()-1))-YEAR(J191))*12+MONTH((TODAY()-1))-MONTH(J191))&lt;0,0,IF(EDATE(J191,((YEAR((TODAY()-1))-YEAR(J191))*12+MONTH((TODAY()-1))-MONTH(J191)))&lt;=(TODAY()-1),((YEAR((TODAY()-1))-YEAR(J191))*12+MONTH((TODAY()-1))-MONTH(J191))+1,((YEAR((TODAY()-1))-YEAR(J191))*12+MONTH((TODAY()-1))-MONTH(J191))))))))</f>
        <v/>
      </c>
      <c r="U191">
        <f>IF(OR(M191="",NOT(ISNUMBER(J191))),"",IF(N(M191)&lt;=0,"",MIN(N(H191)-1,INT(ROUND(N191/M191,6)))))</f>
        <v/>
      </c>
      <c r="V191">
        <f>IF(T191="","",IF(T191&gt;=N(H191),L191,M191*T191))</f>
        <v/>
      </c>
      <c r="W191">
        <f>IF(V191="",0,MAX(0,ROUND(V191-N191,2)))</f>
        <v/>
      </c>
      <c r="X191">
        <f>IF(OR(R191="",R191="Paid off",NOT(ISNUMBER(P191))),"",P191*1000+ROW())</f>
        <v/>
      </c>
      <c r="Y191">
        <f>IF(C191="","",IF(AND(COUNTIF(C$6:C191,C191)=1,SUMIFS(Loans!$O$6:$O$305,Loans!$C$6:$C$305,C191,Loans!$O$6:$O$305,"&gt;0")&gt;0),ROW(),""))</f>
        <v/>
      </c>
      <c r="Z191">
        <f>IF(OR(C191="",P191=""),"",IF(D191="I borrowed","From you","To you"))</f>
        <v/>
      </c>
    </row>
    <row r="192">
      <c r="A192" s="1" t="n"/>
      <c r="B192" s="15" t="n">
        <v>187</v>
      </c>
      <c r="C192" s="16" t="n"/>
      <c r="D192" s="17" t="n"/>
      <c r="E192" s="18" t="n"/>
      <c r="F192" s="19" t="n"/>
      <c r="G192" s="20" t="n"/>
      <c r="H192" s="21" t="n"/>
      <c r="I192" s="17" t="n"/>
      <c r="J192" s="18" t="n"/>
      <c r="K192" s="22" t="n"/>
      <c r="L192" s="23">
        <f>IF(C192="","",ROUND(N(F192)*(1+N(G192)/100*IF(N(H192)&gt;0,N(H192)*IF(I192="Week",7/365,IF(I192="2 weeks",14/365,1/12)),IF(ISNUMBER(E192),MAX(0,TODAY()-E192)/365,0))),2))</f>
        <v/>
      </c>
      <c r="M192" s="23">
        <f>IF(OR(C192="",N(H192)&lt;=0),"",ROUND(L192/N(H192),2))</f>
        <v/>
      </c>
      <c r="N192" s="23">
        <f>IF(C192="","",SUMIFS(Payments!$D$6:$D$805,Payments!$G$6:$G$805,B192))</f>
        <v/>
      </c>
      <c r="O192" s="24">
        <f>IF(C192="","",ROUND(L192-N192,2))</f>
        <v/>
      </c>
      <c r="P192" s="11">
        <f>IF(OR(U192="",N(O192)&lt;=0),"",IF(I192="Week",J192+7*U192,IF(I192="2 weeks",J192+14*U192,EDATE(J192,U192))))</f>
        <v/>
      </c>
      <c r="Q192" s="23">
        <f>IF(P192="","",IF(U192=N(H192)-1,O192,ROUND(M192*(U192+1)-N192,2)))</f>
        <v/>
      </c>
      <c r="R192" s="25">
        <f>IF(C192="","",IF(O192&lt;=0,"Paid off",IF(OR(M192="",NOT(ISNUMBER(J192))),"Open",IF(W192&gt;0,"Overdue",IF(AND(ISNUMBER(P192),P192-TODAY()&lt;=Settings!$C$6),"Due soon","On track")))))</f>
        <v/>
      </c>
      <c r="S192" s="1">
        <f>IF(C192="","",B192&amp;" "&amp;C192)</f>
        <v/>
      </c>
      <c r="T192">
        <f>IF(OR(M192="",NOT(ISNUMBER(J192))),"",MIN(N(H192),IF(I192="Week",IF((TODAY()-1)&lt;J192,0,INT(((TODAY()-1)-J192)/7)+1),IF(I192="2 weeks",IF((TODAY()-1)&lt;J192,0,INT(((TODAY()-1)-J192)/14)+1),IF(((YEAR((TODAY()-1))-YEAR(J192))*12+MONTH((TODAY()-1))-MONTH(J192))&lt;0,0,IF(EDATE(J192,((YEAR((TODAY()-1))-YEAR(J192))*12+MONTH((TODAY()-1))-MONTH(J192)))&lt;=(TODAY()-1),((YEAR((TODAY()-1))-YEAR(J192))*12+MONTH((TODAY()-1))-MONTH(J192))+1,((YEAR((TODAY()-1))-YEAR(J192))*12+MONTH((TODAY()-1))-MONTH(J192))))))))</f>
        <v/>
      </c>
      <c r="U192">
        <f>IF(OR(M192="",NOT(ISNUMBER(J192))),"",IF(N(M192)&lt;=0,"",MIN(N(H192)-1,INT(ROUND(N192/M192,6)))))</f>
        <v/>
      </c>
      <c r="V192">
        <f>IF(T192="","",IF(T192&gt;=N(H192),L192,M192*T192))</f>
        <v/>
      </c>
      <c r="W192">
        <f>IF(V192="",0,MAX(0,ROUND(V192-N192,2)))</f>
        <v/>
      </c>
      <c r="X192">
        <f>IF(OR(R192="",R192="Paid off",NOT(ISNUMBER(P192))),"",P192*1000+ROW())</f>
        <v/>
      </c>
      <c r="Y192">
        <f>IF(C192="","",IF(AND(COUNTIF(C$6:C192,C192)=1,SUMIFS(Loans!$O$6:$O$305,Loans!$C$6:$C$305,C192,Loans!$O$6:$O$305,"&gt;0")&gt;0),ROW(),""))</f>
        <v/>
      </c>
      <c r="Z192">
        <f>IF(OR(C192="",P192=""),"",IF(D192="I borrowed","From you","To you"))</f>
        <v/>
      </c>
    </row>
    <row r="193">
      <c r="A193" s="1" t="n"/>
      <c r="B193" s="15" t="n">
        <v>188</v>
      </c>
      <c r="C193" s="16" t="n"/>
      <c r="D193" s="17" t="n"/>
      <c r="E193" s="18" t="n"/>
      <c r="F193" s="19" t="n"/>
      <c r="G193" s="20" t="n"/>
      <c r="H193" s="21" t="n"/>
      <c r="I193" s="17" t="n"/>
      <c r="J193" s="18" t="n"/>
      <c r="K193" s="22" t="n"/>
      <c r="L193" s="23">
        <f>IF(C193="","",ROUND(N(F193)*(1+N(G193)/100*IF(N(H193)&gt;0,N(H193)*IF(I193="Week",7/365,IF(I193="2 weeks",14/365,1/12)),IF(ISNUMBER(E193),MAX(0,TODAY()-E193)/365,0))),2))</f>
        <v/>
      </c>
      <c r="M193" s="23">
        <f>IF(OR(C193="",N(H193)&lt;=0),"",ROUND(L193/N(H193),2))</f>
        <v/>
      </c>
      <c r="N193" s="23">
        <f>IF(C193="","",SUMIFS(Payments!$D$6:$D$805,Payments!$G$6:$G$805,B193))</f>
        <v/>
      </c>
      <c r="O193" s="24">
        <f>IF(C193="","",ROUND(L193-N193,2))</f>
        <v/>
      </c>
      <c r="P193" s="11">
        <f>IF(OR(U193="",N(O193)&lt;=0),"",IF(I193="Week",J193+7*U193,IF(I193="2 weeks",J193+14*U193,EDATE(J193,U193))))</f>
        <v/>
      </c>
      <c r="Q193" s="23">
        <f>IF(P193="","",IF(U193=N(H193)-1,O193,ROUND(M193*(U193+1)-N193,2)))</f>
        <v/>
      </c>
      <c r="R193" s="25">
        <f>IF(C193="","",IF(O193&lt;=0,"Paid off",IF(OR(M193="",NOT(ISNUMBER(J193))),"Open",IF(W193&gt;0,"Overdue",IF(AND(ISNUMBER(P193),P193-TODAY()&lt;=Settings!$C$6),"Due soon","On track")))))</f>
        <v/>
      </c>
      <c r="S193" s="1">
        <f>IF(C193="","",B193&amp;" "&amp;C193)</f>
        <v/>
      </c>
      <c r="T193">
        <f>IF(OR(M193="",NOT(ISNUMBER(J193))),"",MIN(N(H193),IF(I193="Week",IF((TODAY()-1)&lt;J193,0,INT(((TODAY()-1)-J193)/7)+1),IF(I193="2 weeks",IF((TODAY()-1)&lt;J193,0,INT(((TODAY()-1)-J193)/14)+1),IF(((YEAR((TODAY()-1))-YEAR(J193))*12+MONTH((TODAY()-1))-MONTH(J193))&lt;0,0,IF(EDATE(J193,((YEAR((TODAY()-1))-YEAR(J193))*12+MONTH((TODAY()-1))-MONTH(J193)))&lt;=(TODAY()-1),((YEAR((TODAY()-1))-YEAR(J193))*12+MONTH((TODAY()-1))-MONTH(J193))+1,((YEAR((TODAY()-1))-YEAR(J193))*12+MONTH((TODAY()-1))-MONTH(J193))))))))</f>
        <v/>
      </c>
      <c r="U193">
        <f>IF(OR(M193="",NOT(ISNUMBER(J193))),"",IF(N(M193)&lt;=0,"",MIN(N(H193)-1,INT(ROUND(N193/M193,6)))))</f>
        <v/>
      </c>
      <c r="V193">
        <f>IF(T193="","",IF(T193&gt;=N(H193),L193,M193*T193))</f>
        <v/>
      </c>
      <c r="W193">
        <f>IF(V193="",0,MAX(0,ROUND(V193-N193,2)))</f>
        <v/>
      </c>
      <c r="X193">
        <f>IF(OR(R193="",R193="Paid off",NOT(ISNUMBER(P193))),"",P193*1000+ROW())</f>
        <v/>
      </c>
      <c r="Y193">
        <f>IF(C193="","",IF(AND(COUNTIF(C$6:C193,C193)=1,SUMIFS(Loans!$O$6:$O$305,Loans!$C$6:$C$305,C193,Loans!$O$6:$O$305,"&gt;0")&gt;0),ROW(),""))</f>
        <v/>
      </c>
      <c r="Z193">
        <f>IF(OR(C193="",P193=""),"",IF(D193="I borrowed","From you","To you"))</f>
        <v/>
      </c>
    </row>
    <row r="194">
      <c r="A194" s="1" t="n"/>
      <c r="B194" s="15" t="n">
        <v>189</v>
      </c>
      <c r="C194" s="16" t="n"/>
      <c r="D194" s="17" t="n"/>
      <c r="E194" s="18" t="n"/>
      <c r="F194" s="19" t="n"/>
      <c r="G194" s="20" t="n"/>
      <c r="H194" s="21" t="n"/>
      <c r="I194" s="17" t="n"/>
      <c r="J194" s="18" t="n"/>
      <c r="K194" s="22" t="n"/>
      <c r="L194" s="23">
        <f>IF(C194="","",ROUND(N(F194)*(1+N(G194)/100*IF(N(H194)&gt;0,N(H194)*IF(I194="Week",7/365,IF(I194="2 weeks",14/365,1/12)),IF(ISNUMBER(E194),MAX(0,TODAY()-E194)/365,0))),2))</f>
        <v/>
      </c>
      <c r="M194" s="23">
        <f>IF(OR(C194="",N(H194)&lt;=0),"",ROUND(L194/N(H194),2))</f>
        <v/>
      </c>
      <c r="N194" s="23">
        <f>IF(C194="","",SUMIFS(Payments!$D$6:$D$805,Payments!$G$6:$G$805,B194))</f>
        <v/>
      </c>
      <c r="O194" s="24">
        <f>IF(C194="","",ROUND(L194-N194,2))</f>
        <v/>
      </c>
      <c r="P194" s="11">
        <f>IF(OR(U194="",N(O194)&lt;=0),"",IF(I194="Week",J194+7*U194,IF(I194="2 weeks",J194+14*U194,EDATE(J194,U194))))</f>
        <v/>
      </c>
      <c r="Q194" s="23">
        <f>IF(P194="","",IF(U194=N(H194)-1,O194,ROUND(M194*(U194+1)-N194,2)))</f>
        <v/>
      </c>
      <c r="R194" s="25">
        <f>IF(C194="","",IF(O194&lt;=0,"Paid off",IF(OR(M194="",NOT(ISNUMBER(J194))),"Open",IF(W194&gt;0,"Overdue",IF(AND(ISNUMBER(P194),P194-TODAY()&lt;=Settings!$C$6),"Due soon","On track")))))</f>
        <v/>
      </c>
      <c r="S194" s="1">
        <f>IF(C194="","",B194&amp;" "&amp;C194)</f>
        <v/>
      </c>
      <c r="T194">
        <f>IF(OR(M194="",NOT(ISNUMBER(J194))),"",MIN(N(H194),IF(I194="Week",IF((TODAY()-1)&lt;J194,0,INT(((TODAY()-1)-J194)/7)+1),IF(I194="2 weeks",IF((TODAY()-1)&lt;J194,0,INT(((TODAY()-1)-J194)/14)+1),IF(((YEAR((TODAY()-1))-YEAR(J194))*12+MONTH((TODAY()-1))-MONTH(J194))&lt;0,0,IF(EDATE(J194,((YEAR((TODAY()-1))-YEAR(J194))*12+MONTH((TODAY()-1))-MONTH(J194)))&lt;=(TODAY()-1),((YEAR((TODAY()-1))-YEAR(J194))*12+MONTH((TODAY()-1))-MONTH(J194))+1,((YEAR((TODAY()-1))-YEAR(J194))*12+MONTH((TODAY()-1))-MONTH(J194))))))))</f>
        <v/>
      </c>
      <c r="U194">
        <f>IF(OR(M194="",NOT(ISNUMBER(J194))),"",IF(N(M194)&lt;=0,"",MIN(N(H194)-1,INT(ROUND(N194/M194,6)))))</f>
        <v/>
      </c>
      <c r="V194">
        <f>IF(T194="","",IF(T194&gt;=N(H194),L194,M194*T194))</f>
        <v/>
      </c>
      <c r="W194">
        <f>IF(V194="",0,MAX(0,ROUND(V194-N194,2)))</f>
        <v/>
      </c>
      <c r="X194">
        <f>IF(OR(R194="",R194="Paid off",NOT(ISNUMBER(P194))),"",P194*1000+ROW())</f>
        <v/>
      </c>
      <c r="Y194">
        <f>IF(C194="","",IF(AND(COUNTIF(C$6:C194,C194)=1,SUMIFS(Loans!$O$6:$O$305,Loans!$C$6:$C$305,C194,Loans!$O$6:$O$305,"&gt;0")&gt;0),ROW(),""))</f>
        <v/>
      </c>
      <c r="Z194">
        <f>IF(OR(C194="",P194=""),"",IF(D194="I borrowed","From you","To you"))</f>
        <v/>
      </c>
    </row>
    <row r="195">
      <c r="A195" s="1" t="n"/>
      <c r="B195" s="15" t="n">
        <v>190</v>
      </c>
      <c r="C195" s="16" t="n"/>
      <c r="D195" s="17" t="n"/>
      <c r="E195" s="18" t="n"/>
      <c r="F195" s="19" t="n"/>
      <c r="G195" s="20" t="n"/>
      <c r="H195" s="21" t="n"/>
      <c r="I195" s="17" t="n"/>
      <c r="J195" s="18" t="n"/>
      <c r="K195" s="22" t="n"/>
      <c r="L195" s="23">
        <f>IF(C195="","",ROUND(N(F195)*(1+N(G195)/100*IF(N(H195)&gt;0,N(H195)*IF(I195="Week",7/365,IF(I195="2 weeks",14/365,1/12)),IF(ISNUMBER(E195),MAX(0,TODAY()-E195)/365,0))),2))</f>
        <v/>
      </c>
      <c r="M195" s="23">
        <f>IF(OR(C195="",N(H195)&lt;=0),"",ROUND(L195/N(H195),2))</f>
        <v/>
      </c>
      <c r="N195" s="23">
        <f>IF(C195="","",SUMIFS(Payments!$D$6:$D$805,Payments!$G$6:$G$805,B195))</f>
        <v/>
      </c>
      <c r="O195" s="24">
        <f>IF(C195="","",ROUND(L195-N195,2))</f>
        <v/>
      </c>
      <c r="P195" s="11">
        <f>IF(OR(U195="",N(O195)&lt;=0),"",IF(I195="Week",J195+7*U195,IF(I195="2 weeks",J195+14*U195,EDATE(J195,U195))))</f>
        <v/>
      </c>
      <c r="Q195" s="23">
        <f>IF(P195="","",IF(U195=N(H195)-1,O195,ROUND(M195*(U195+1)-N195,2)))</f>
        <v/>
      </c>
      <c r="R195" s="25">
        <f>IF(C195="","",IF(O195&lt;=0,"Paid off",IF(OR(M195="",NOT(ISNUMBER(J195))),"Open",IF(W195&gt;0,"Overdue",IF(AND(ISNUMBER(P195),P195-TODAY()&lt;=Settings!$C$6),"Due soon","On track")))))</f>
        <v/>
      </c>
      <c r="S195" s="1">
        <f>IF(C195="","",B195&amp;" "&amp;C195)</f>
        <v/>
      </c>
      <c r="T195">
        <f>IF(OR(M195="",NOT(ISNUMBER(J195))),"",MIN(N(H195),IF(I195="Week",IF((TODAY()-1)&lt;J195,0,INT(((TODAY()-1)-J195)/7)+1),IF(I195="2 weeks",IF((TODAY()-1)&lt;J195,0,INT(((TODAY()-1)-J195)/14)+1),IF(((YEAR((TODAY()-1))-YEAR(J195))*12+MONTH((TODAY()-1))-MONTH(J195))&lt;0,0,IF(EDATE(J195,((YEAR((TODAY()-1))-YEAR(J195))*12+MONTH((TODAY()-1))-MONTH(J195)))&lt;=(TODAY()-1),((YEAR((TODAY()-1))-YEAR(J195))*12+MONTH((TODAY()-1))-MONTH(J195))+1,((YEAR((TODAY()-1))-YEAR(J195))*12+MONTH((TODAY()-1))-MONTH(J195))))))))</f>
        <v/>
      </c>
      <c r="U195">
        <f>IF(OR(M195="",NOT(ISNUMBER(J195))),"",IF(N(M195)&lt;=0,"",MIN(N(H195)-1,INT(ROUND(N195/M195,6)))))</f>
        <v/>
      </c>
      <c r="V195">
        <f>IF(T195="","",IF(T195&gt;=N(H195),L195,M195*T195))</f>
        <v/>
      </c>
      <c r="W195">
        <f>IF(V195="",0,MAX(0,ROUND(V195-N195,2)))</f>
        <v/>
      </c>
      <c r="X195">
        <f>IF(OR(R195="",R195="Paid off",NOT(ISNUMBER(P195))),"",P195*1000+ROW())</f>
        <v/>
      </c>
      <c r="Y195">
        <f>IF(C195="","",IF(AND(COUNTIF(C$6:C195,C195)=1,SUMIFS(Loans!$O$6:$O$305,Loans!$C$6:$C$305,C195,Loans!$O$6:$O$305,"&gt;0")&gt;0),ROW(),""))</f>
        <v/>
      </c>
      <c r="Z195">
        <f>IF(OR(C195="",P195=""),"",IF(D195="I borrowed","From you","To you"))</f>
        <v/>
      </c>
    </row>
    <row r="196">
      <c r="A196" s="1" t="n"/>
      <c r="B196" s="15" t="n">
        <v>191</v>
      </c>
      <c r="C196" s="16" t="n"/>
      <c r="D196" s="17" t="n"/>
      <c r="E196" s="18" t="n"/>
      <c r="F196" s="19" t="n"/>
      <c r="G196" s="20" t="n"/>
      <c r="H196" s="21" t="n"/>
      <c r="I196" s="17" t="n"/>
      <c r="J196" s="18" t="n"/>
      <c r="K196" s="22" t="n"/>
      <c r="L196" s="23">
        <f>IF(C196="","",ROUND(N(F196)*(1+N(G196)/100*IF(N(H196)&gt;0,N(H196)*IF(I196="Week",7/365,IF(I196="2 weeks",14/365,1/12)),IF(ISNUMBER(E196),MAX(0,TODAY()-E196)/365,0))),2))</f>
        <v/>
      </c>
      <c r="M196" s="23">
        <f>IF(OR(C196="",N(H196)&lt;=0),"",ROUND(L196/N(H196),2))</f>
        <v/>
      </c>
      <c r="N196" s="23">
        <f>IF(C196="","",SUMIFS(Payments!$D$6:$D$805,Payments!$G$6:$G$805,B196))</f>
        <v/>
      </c>
      <c r="O196" s="24">
        <f>IF(C196="","",ROUND(L196-N196,2))</f>
        <v/>
      </c>
      <c r="P196" s="11">
        <f>IF(OR(U196="",N(O196)&lt;=0),"",IF(I196="Week",J196+7*U196,IF(I196="2 weeks",J196+14*U196,EDATE(J196,U196))))</f>
        <v/>
      </c>
      <c r="Q196" s="23">
        <f>IF(P196="","",IF(U196=N(H196)-1,O196,ROUND(M196*(U196+1)-N196,2)))</f>
        <v/>
      </c>
      <c r="R196" s="25">
        <f>IF(C196="","",IF(O196&lt;=0,"Paid off",IF(OR(M196="",NOT(ISNUMBER(J196))),"Open",IF(W196&gt;0,"Overdue",IF(AND(ISNUMBER(P196),P196-TODAY()&lt;=Settings!$C$6),"Due soon","On track")))))</f>
        <v/>
      </c>
      <c r="S196" s="1">
        <f>IF(C196="","",B196&amp;" "&amp;C196)</f>
        <v/>
      </c>
      <c r="T196">
        <f>IF(OR(M196="",NOT(ISNUMBER(J196))),"",MIN(N(H196),IF(I196="Week",IF((TODAY()-1)&lt;J196,0,INT(((TODAY()-1)-J196)/7)+1),IF(I196="2 weeks",IF((TODAY()-1)&lt;J196,0,INT(((TODAY()-1)-J196)/14)+1),IF(((YEAR((TODAY()-1))-YEAR(J196))*12+MONTH((TODAY()-1))-MONTH(J196))&lt;0,0,IF(EDATE(J196,((YEAR((TODAY()-1))-YEAR(J196))*12+MONTH((TODAY()-1))-MONTH(J196)))&lt;=(TODAY()-1),((YEAR((TODAY()-1))-YEAR(J196))*12+MONTH((TODAY()-1))-MONTH(J196))+1,((YEAR((TODAY()-1))-YEAR(J196))*12+MONTH((TODAY()-1))-MONTH(J196))))))))</f>
        <v/>
      </c>
      <c r="U196">
        <f>IF(OR(M196="",NOT(ISNUMBER(J196))),"",IF(N(M196)&lt;=0,"",MIN(N(H196)-1,INT(ROUND(N196/M196,6)))))</f>
        <v/>
      </c>
      <c r="V196">
        <f>IF(T196="","",IF(T196&gt;=N(H196),L196,M196*T196))</f>
        <v/>
      </c>
      <c r="W196">
        <f>IF(V196="",0,MAX(0,ROUND(V196-N196,2)))</f>
        <v/>
      </c>
      <c r="X196">
        <f>IF(OR(R196="",R196="Paid off",NOT(ISNUMBER(P196))),"",P196*1000+ROW())</f>
        <v/>
      </c>
      <c r="Y196">
        <f>IF(C196="","",IF(AND(COUNTIF(C$6:C196,C196)=1,SUMIFS(Loans!$O$6:$O$305,Loans!$C$6:$C$305,C196,Loans!$O$6:$O$305,"&gt;0")&gt;0),ROW(),""))</f>
        <v/>
      </c>
      <c r="Z196">
        <f>IF(OR(C196="",P196=""),"",IF(D196="I borrowed","From you","To you"))</f>
        <v/>
      </c>
    </row>
    <row r="197">
      <c r="A197" s="1" t="n"/>
      <c r="B197" s="15" t="n">
        <v>192</v>
      </c>
      <c r="C197" s="16" t="n"/>
      <c r="D197" s="17" t="n"/>
      <c r="E197" s="18" t="n"/>
      <c r="F197" s="19" t="n"/>
      <c r="G197" s="20" t="n"/>
      <c r="H197" s="21" t="n"/>
      <c r="I197" s="17" t="n"/>
      <c r="J197" s="18" t="n"/>
      <c r="K197" s="22" t="n"/>
      <c r="L197" s="23">
        <f>IF(C197="","",ROUND(N(F197)*(1+N(G197)/100*IF(N(H197)&gt;0,N(H197)*IF(I197="Week",7/365,IF(I197="2 weeks",14/365,1/12)),IF(ISNUMBER(E197),MAX(0,TODAY()-E197)/365,0))),2))</f>
        <v/>
      </c>
      <c r="M197" s="23">
        <f>IF(OR(C197="",N(H197)&lt;=0),"",ROUND(L197/N(H197),2))</f>
        <v/>
      </c>
      <c r="N197" s="23">
        <f>IF(C197="","",SUMIFS(Payments!$D$6:$D$805,Payments!$G$6:$G$805,B197))</f>
        <v/>
      </c>
      <c r="O197" s="24">
        <f>IF(C197="","",ROUND(L197-N197,2))</f>
        <v/>
      </c>
      <c r="P197" s="11">
        <f>IF(OR(U197="",N(O197)&lt;=0),"",IF(I197="Week",J197+7*U197,IF(I197="2 weeks",J197+14*U197,EDATE(J197,U197))))</f>
        <v/>
      </c>
      <c r="Q197" s="23">
        <f>IF(P197="","",IF(U197=N(H197)-1,O197,ROUND(M197*(U197+1)-N197,2)))</f>
        <v/>
      </c>
      <c r="R197" s="25">
        <f>IF(C197="","",IF(O197&lt;=0,"Paid off",IF(OR(M197="",NOT(ISNUMBER(J197))),"Open",IF(W197&gt;0,"Overdue",IF(AND(ISNUMBER(P197),P197-TODAY()&lt;=Settings!$C$6),"Due soon","On track")))))</f>
        <v/>
      </c>
      <c r="S197" s="1">
        <f>IF(C197="","",B197&amp;" "&amp;C197)</f>
        <v/>
      </c>
      <c r="T197">
        <f>IF(OR(M197="",NOT(ISNUMBER(J197))),"",MIN(N(H197),IF(I197="Week",IF((TODAY()-1)&lt;J197,0,INT(((TODAY()-1)-J197)/7)+1),IF(I197="2 weeks",IF((TODAY()-1)&lt;J197,0,INT(((TODAY()-1)-J197)/14)+1),IF(((YEAR((TODAY()-1))-YEAR(J197))*12+MONTH((TODAY()-1))-MONTH(J197))&lt;0,0,IF(EDATE(J197,((YEAR((TODAY()-1))-YEAR(J197))*12+MONTH((TODAY()-1))-MONTH(J197)))&lt;=(TODAY()-1),((YEAR((TODAY()-1))-YEAR(J197))*12+MONTH((TODAY()-1))-MONTH(J197))+1,((YEAR((TODAY()-1))-YEAR(J197))*12+MONTH((TODAY()-1))-MONTH(J197))))))))</f>
        <v/>
      </c>
      <c r="U197">
        <f>IF(OR(M197="",NOT(ISNUMBER(J197))),"",IF(N(M197)&lt;=0,"",MIN(N(H197)-1,INT(ROUND(N197/M197,6)))))</f>
        <v/>
      </c>
      <c r="V197">
        <f>IF(T197="","",IF(T197&gt;=N(H197),L197,M197*T197))</f>
        <v/>
      </c>
      <c r="W197">
        <f>IF(V197="",0,MAX(0,ROUND(V197-N197,2)))</f>
        <v/>
      </c>
      <c r="X197">
        <f>IF(OR(R197="",R197="Paid off",NOT(ISNUMBER(P197))),"",P197*1000+ROW())</f>
        <v/>
      </c>
      <c r="Y197">
        <f>IF(C197="","",IF(AND(COUNTIF(C$6:C197,C197)=1,SUMIFS(Loans!$O$6:$O$305,Loans!$C$6:$C$305,C197,Loans!$O$6:$O$305,"&gt;0")&gt;0),ROW(),""))</f>
        <v/>
      </c>
      <c r="Z197">
        <f>IF(OR(C197="",P197=""),"",IF(D197="I borrowed","From you","To you"))</f>
        <v/>
      </c>
    </row>
    <row r="198">
      <c r="A198" s="1" t="n"/>
      <c r="B198" s="15" t="n">
        <v>193</v>
      </c>
      <c r="C198" s="16" t="n"/>
      <c r="D198" s="17" t="n"/>
      <c r="E198" s="18" t="n"/>
      <c r="F198" s="19" t="n"/>
      <c r="G198" s="20" t="n"/>
      <c r="H198" s="21" t="n"/>
      <c r="I198" s="17" t="n"/>
      <c r="J198" s="18" t="n"/>
      <c r="K198" s="22" t="n"/>
      <c r="L198" s="23">
        <f>IF(C198="","",ROUND(N(F198)*(1+N(G198)/100*IF(N(H198)&gt;0,N(H198)*IF(I198="Week",7/365,IF(I198="2 weeks",14/365,1/12)),IF(ISNUMBER(E198),MAX(0,TODAY()-E198)/365,0))),2))</f>
        <v/>
      </c>
      <c r="M198" s="23">
        <f>IF(OR(C198="",N(H198)&lt;=0),"",ROUND(L198/N(H198),2))</f>
        <v/>
      </c>
      <c r="N198" s="23">
        <f>IF(C198="","",SUMIFS(Payments!$D$6:$D$805,Payments!$G$6:$G$805,B198))</f>
        <v/>
      </c>
      <c r="O198" s="24">
        <f>IF(C198="","",ROUND(L198-N198,2))</f>
        <v/>
      </c>
      <c r="P198" s="11">
        <f>IF(OR(U198="",N(O198)&lt;=0),"",IF(I198="Week",J198+7*U198,IF(I198="2 weeks",J198+14*U198,EDATE(J198,U198))))</f>
        <v/>
      </c>
      <c r="Q198" s="23">
        <f>IF(P198="","",IF(U198=N(H198)-1,O198,ROUND(M198*(U198+1)-N198,2)))</f>
        <v/>
      </c>
      <c r="R198" s="25">
        <f>IF(C198="","",IF(O198&lt;=0,"Paid off",IF(OR(M198="",NOT(ISNUMBER(J198))),"Open",IF(W198&gt;0,"Overdue",IF(AND(ISNUMBER(P198),P198-TODAY()&lt;=Settings!$C$6),"Due soon","On track")))))</f>
        <v/>
      </c>
      <c r="S198" s="1">
        <f>IF(C198="","",B198&amp;" "&amp;C198)</f>
        <v/>
      </c>
      <c r="T198">
        <f>IF(OR(M198="",NOT(ISNUMBER(J198))),"",MIN(N(H198),IF(I198="Week",IF((TODAY()-1)&lt;J198,0,INT(((TODAY()-1)-J198)/7)+1),IF(I198="2 weeks",IF((TODAY()-1)&lt;J198,0,INT(((TODAY()-1)-J198)/14)+1),IF(((YEAR((TODAY()-1))-YEAR(J198))*12+MONTH((TODAY()-1))-MONTH(J198))&lt;0,0,IF(EDATE(J198,((YEAR((TODAY()-1))-YEAR(J198))*12+MONTH((TODAY()-1))-MONTH(J198)))&lt;=(TODAY()-1),((YEAR((TODAY()-1))-YEAR(J198))*12+MONTH((TODAY()-1))-MONTH(J198))+1,((YEAR((TODAY()-1))-YEAR(J198))*12+MONTH((TODAY()-1))-MONTH(J198))))))))</f>
        <v/>
      </c>
      <c r="U198">
        <f>IF(OR(M198="",NOT(ISNUMBER(J198))),"",IF(N(M198)&lt;=0,"",MIN(N(H198)-1,INT(ROUND(N198/M198,6)))))</f>
        <v/>
      </c>
      <c r="V198">
        <f>IF(T198="","",IF(T198&gt;=N(H198),L198,M198*T198))</f>
        <v/>
      </c>
      <c r="W198">
        <f>IF(V198="",0,MAX(0,ROUND(V198-N198,2)))</f>
        <v/>
      </c>
      <c r="X198">
        <f>IF(OR(R198="",R198="Paid off",NOT(ISNUMBER(P198))),"",P198*1000+ROW())</f>
        <v/>
      </c>
      <c r="Y198">
        <f>IF(C198="","",IF(AND(COUNTIF(C$6:C198,C198)=1,SUMIFS(Loans!$O$6:$O$305,Loans!$C$6:$C$305,C198,Loans!$O$6:$O$305,"&gt;0")&gt;0),ROW(),""))</f>
        <v/>
      </c>
      <c r="Z198">
        <f>IF(OR(C198="",P198=""),"",IF(D198="I borrowed","From you","To you"))</f>
        <v/>
      </c>
    </row>
    <row r="199">
      <c r="A199" s="1" t="n"/>
      <c r="B199" s="15" t="n">
        <v>194</v>
      </c>
      <c r="C199" s="16" t="n"/>
      <c r="D199" s="17" t="n"/>
      <c r="E199" s="18" t="n"/>
      <c r="F199" s="19" t="n"/>
      <c r="G199" s="20" t="n"/>
      <c r="H199" s="21" t="n"/>
      <c r="I199" s="17" t="n"/>
      <c r="J199" s="18" t="n"/>
      <c r="K199" s="22" t="n"/>
      <c r="L199" s="23">
        <f>IF(C199="","",ROUND(N(F199)*(1+N(G199)/100*IF(N(H199)&gt;0,N(H199)*IF(I199="Week",7/365,IF(I199="2 weeks",14/365,1/12)),IF(ISNUMBER(E199),MAX(0,TODAY()-E199)/365,0))),2))</f>
        <v/>
      </c>
      <c r="M199" s="23">
        <f>IF(OR(C199="",N(H199)&lt;=0),"",ROUND(L199/N(H199),2))</f>
        <v/>
      </c>
      <c r="N199" s="23">
        <f>IF(C199="","",SUMIFS(Payments!$D$6:$D$805,Payments!$G$6:$G$805,B199))</f>
        <v/>
      </c>
      <c r="O199" s="24">
        <f>IF(C199="","",ROUND(L199-N199,2))</f>
        <v/>
      </c>
      <c r="P199" s="11">
        <f>IF(OR(U199="",N(O199)&lt;=0),"",IF(I199="Week",J199+7*U199,IF(I199="2 weeks",J199+14*U199,EDATE(J199,U199))))</f>
        <v/>
      </c>
      <c r="Q199" s="23">
        <f>IF(P199="","",IF(U199=N(H199)-1,O199,ROUND(M199*(U199+1)-N199,2)))</f>
        <v/>
      </c>
      <c r="R199" s="25">
        <f>IF(C199="","",IF(O199&lt;=0,"Paid off",IF(OR(M199="",NOT(ISNUMBER(J199))),"Open",IF(W199&gt;0,"Overdue",IF(AND(ISNUMBER(P199),P199-TODAY()&lt;=Settings!$C$6),"Due soon","On track")))))</f>
        <v/>
      </c>
      <c r="S199" s="1">
        <f>IF(C199="","",B199&amp;" "&amp;C199)</f>
        <v/>
      </c>
      <c r="T199">
        <f>IF(OR(M199="",NOT(ISNUMBER(J199))),"",MIN(N(H199),IF(I199="Week",IF((TODAY()-1)&lt;J199,0,INT(((TODAY()-1)-J199)/7)+1),IF(I199="2 weeks",IF((TODAY()-1)&lt;J199,0,INT(((TODAY()-1)-J199)/14)+1),IF(((YEAR((TODAY()-1))-YEAR(J199))*12+MONTH((TODAY()-1))-MONTH(J199))&lt;0,0,IF(EDATE(J199,((YEAR((TODAY()-1))-YEAR(J199))*12+MONTH((TODAY()-1))-MONTH(J199)))&lt;=(TODAY()-1),((YEAR((TODAY()-1))-YEAR(J199))*12+MONTH((TODAY()-1))-MONTH(J199))+1,((YEAR((TODAY()-1))-YEAR(J199))*12+MONTH((TODAY()-1))-MONTH(J199))))))))</f>
        <v/>
      </c>
      <c r="U199">
        <f>IF(OR(M199="",NOT(ISNUMBER(J199))),"",IF(N(M199)&lt;=0,"",MIN(N(H199)-1,INT(ROUND(N199/M199,6)))))</f>
        <v/>
      </c>
      <c r="V199">
        <f>IF(T199="","",IF(T199&gt;=N(H199),L199,M199*T199))</f>
        <v/>
      </c>
      <c r="W199">
        <f>IF(V199="",0,MAX(0,ROUND(V199-N199,2)))</f>
        <v/>
      </c>
      <c r="X199">
        <f>IF(OR(R199="",R199="Paid off",NOT(ISNUMBER(P199))),"",P199*1000+ROW())</f>
        <v/>
      </c>
      <c r="Y199">
        <f>IF(C199="","",IF(AND(COUNTIF(C$6:C199,C199)=1,SUMIFS(Loans!$O$6:$O$305,Loans!$C$6:$C$305,C199,Loans!$O$6:$O$305,"&gt;0")&gt;0),ROW(),""))</f>
        <v/>
      </c>
      <c r="Z199">
        <f>IF(OR(C199="",P199=""),"",IF(D199="I borrowed","From you","To you"))</f>
        <v/>
      </c>
    </row>
    <row r="200">
      <c r="A200" s="1" t="n"/>
      <c r="B200" s="15" t="n">
        <v>195</v>
      </c>
      <c r="C200" s="16" t="n"/>
      <c r="D200" s="17" t="n"/>
      <c r="E200" s="18" t="n"/>
      <c r="F200" s="19" t="n"/>
      <c r="G200" s="20" t="n"/>
      <c r="H200" s="21" t="n"/>
      <c r="I200" s="17" t="n"/>
      <c r="J200" s="18" t="n"/>
      <c r="K200" s="22" t="n"/>
      <c r="L200" s="23">
        <f>IF(C200="","",ROUND(N(F200)*(1+N(G200)/100*IF(N(H200)&gt;0,N(H200)*IF(I200="Week",7/365,IF(I200="2 weeks",14/365,1/12)),IF(ISNUMBER(E200),MAX(0,TODAY()-E200)/365,0))),2))</f>
        <v/>
      </c>
      <c r="M200" s="23">
        <f>IF(OR(C200="",N(H200)&lt;=0),"",ROUND(L200/N(H200),2))</f>
        <v/>
      </c>
      <c r="N200" s="23">
        <f>IF(C200="","",SUMIFS(Payments!$D$6:$D$805,Payments!$G$6:$G$805,B200))</f>
        <v/>
      </c>
      <c r="O200" s="24">
        <f>IF(C200="","",ROUND(L200-N200,2))</f>
        <v/>
      </c>
      <c r="P200" s="11">
        <f>IF(OR(U200="",N(O200)&lt;=0),"",IF(I200="Week",J200+7*U200,IF(I200="2 weeks",J200+14*U200,EDATE(J200,U200))))</f>
        <v/>
      </c>
      <c r="Q200" s="23">
        <f>IF(P200="","",IF(U200=N(H200)-1,O200,ROUND(M200*(U200+1)-N200,2)))</f>
        <v/>
      </c>
      <c r="R200" s="25">
        <f>IF(C200="","",IF(O200&lt;=0,"Paid off",IF(OR(M200="",NOT(ISNUMBER(J200))),"Open",IF(W200&gt;0,"Overdue",IF(AND(ISNUMBER(P200),P200-TODAY()&lt;=Settings!$C$6),"Due soon","On track")))))</f>
        <v/>
      </c>
      <c r="S200" s="1">
        <f>IF(C200="","",B200&amp;" "&amp;C200)</f>
        <v/>
      </c>
      <c r="T200">
        <f>IF(OR(M200="",NOT(ISNUMBER(J200))),"",MIN(N(H200),IF(I200="Week",IF((TODAY()-1)&lt;J200,0,INT(((TODAY()-1)-J200)/7)+1),IF(I200="2 weeks",IF((TODAY()-1)&lt;J200,0,INT(((TODAY()-1)-J200)/14)+1),IF(((YEAR((TODAY()-1))-YEAR(J200))*12+MONTH((TODAY()-1))-MONTH(J200))&lt;0,0,IF(EDATE(J200,((YEAR((TODAY()-1))-YEAR(J200))*12+MONTH((TODAY()-1))-MONTH(J200)))&lt;=(TODAY()-1),((YEAR((TODAY()-1))-YEAR(J200))*12+MONTH((TODAY()-1))-MONTH(J200))+1,((YEAR((TODAY()-1))-YEAR(J200))*12+MONTH((TODAY()-1))-MONTH(J200))))))))</f>
        <v/>
      </c>
      <c r="U200">
        <f>IF(OR(M200="",NOT(ISNUMBER(J200))),"",IF(N(M200)&lt;=0,"",MIN(N(H200)-1,INT(ROUND(N200/M200,6)))))</f>
        <v/>
      </c>
      <c r="V200">
        <f>IF(T200="","",IF(T200&gt;=N(H200),L200,M200*T200))</f>
        <v/>
      </c>
      <c r="W200">
        <f>IF(V200="",0,MAX(0,ROUND(V200-N200,2)))</f>
        <v/>
      </c>
      <c r="X200">
        <f>IF(OR(R200="",R200="Paid off",NOT(ISNUMBER(P200))),"",P200*1000+ROW())</f>
        <v/>
      </c>
      <c r="Y200">
        <f>IF(C200="","",IF(AND(COUNTIF(C$6:C200,C200)=1,SUMIFS(Loans!$O$6:$O$305,Loans!$C$6:$C$305,C200,Loans!$O$6:$O$305,"&gt;0")&gt;0),ROW(),""))</f>
        <v/>
      </c>
      <c r="Z200">
        <f>IF(OR(C200="",P200=""),"",IF(D200="I borrowed","From you","To you"))</f>
        <v/>
      </c>
    </row>
    <row r="201">
      <c r="A201" s="1" t="n"/>
      <c r="B201" s="15" t="n">
        <v>196</v>
      </c>
      <c r="C201" s="16" t="n"/>
      <c r="D201" s="17" t="n"/>
      <c r="E201" s="18" t="n"/>
      <c r="F201" s="19" t="n"/>
      <c r="G201" s="20" t="n"/>
      <c r="H201" s="21" t="n"/>
      <c r="I201" s="17" t="n"/>
      <c r="J201" s="18" t="n"/>
      <c r="K201" s="22" t="n"/>
      <c r="L201" s="23">
        <f>IF(C201="","",ROUND(N(F201)*(1+N(G201)/100*IF(N(H201)&gt;0,N(H201)*IF(I201="Week",7/365,IF(I201="2 weeks",14/365,1/12)),IF(ISNUMBER(E201),MAX(0,TODAY()-E201)/365,0))),2))</f>
        <v/>
      </c>
      <c r="M201" s="23">
        <f>IF(OR(C201="",N(H201)&lt;=0),"",ROUND(L201/N(H201),2))</f>
        <v/>
      </c>
      <c r="N201" s="23">
        <f>IF(C201="","",SUMIFS(Payments!$D$6:$D$805,Payments!$G$6:$G$805,B201))</f>
        <v/>
      </c>
      <c r="O201" s="24">
        <f>IF(C201="","",ROUND(L201-N201,2))</f>
        <v/>
      </c>
      <c r="P201" s="11">
        <f>IF(OR(U201="",N(O201)&lt;=0),"",IF(I201="Week",J201+7*U201,IF(I201="2 weeks",J201+14*U201,EDATE(J201,U201))))</f>
        <v/>
      </c>
      <c r="Q201" s="23">
        <f>IF(P201="","",IF(U201=N(H201)-1,O201,ROUND(M201*(U201+1)-N201,2)))</f>
        <v/>
      </c>
      <c r="R201" s="25">
        <f>IF(C201="","",IF(O201&lt;=0,"Paid off",IF(OR(M201="",NOT(ISNUMBER(J201))),"Open",IF(W201&gt;0,"Overdue",IF(AND(ISNUMBER(P201),P201-TODAY()&lt;=Settings!$C$6),"Due soon","On track")))))</f>
        <v/>
      </c>
      <c r="S201" s="1">
        <f>IF(C201="","",B201&amp;" "&amp;C201)</f>
        <v/>
      </c>
      <c r="T201">
        <f>IF(OR(M201="",NOT(ISNUMBER(J201))),"",MIN(N(H201),IF(I201="Week",IF((TODAY()-1)&lt;J201,0,INT(((TODAY()-1)-J201)/7)+1),IF(I201="2 weeks",IF((TODAY()-1)&lt;J201,0,INT(((TODAY()-1)-J201)/14)+1),IF(((YEAR((TODAY()-1))-YEAR(J201))*12+MONTH((TODAY()-1))-MONTH(J201))&lt;0,0,IF(EDATE(J201,((YEAR((TODAY()-1))-YEAR(J201))*12+MONTH((TODAY()-1))-MONTH(J201)))&lt;=(TODAY()-1),((YEAR((TODAY()-1))-YEAR(J201))*12+MONTH((TODAY()-1))-MONTH(J201))+1,((YEAR((TODAY()-1))-YEAR(J201))*12+MONTH((TODAY()-1))-MONTH(J201))))))))</f>
        <v/>
      </c>
      <c r="U201">
        <f>IF(OR(M201="",NOT(ISNUMBER(J201))),"",IF(N(M201)&lt;=0,"",MIN(N(H201)-1,INT(ROUND(N201/M201,6)))))</f>
        <v/>
      </c>
      <c r="V201">
        <f>IF(T201="","",IF(T201&gt;=N(H201),L201,M201*T201))</f>
        <v/>
      </c>
      <c r="W201">
        <f>IF(V201="",0,MAX(0,ROUND(V201-N201,2)))</f>
        <v/>
      </c>
      <c r="X201">
        <f>IF(OR(R201="",R201="Paid off",NOT(ISNUMBER(P201))),"",P201*1000+ROW())</f>
        <v/>
      </c>
      <c r="Y201">
        <f>IF(C201="","",IF(AND(COUNTIF(C$6:C201,C201)=1,SUMIFS(Loans!$O$6:$O$305,Loans!$C$6:$C$305,C201,Loans!$O$6:$O$305,"&gt;0")&gt;0),ROW(),""))</f>
        <v/>
      </c>
      <c r="Z201">
        <f>IF(OR(C201="",P201=""),"",IF(D201="I borrowed","From you","To you"))</f>
        <v/>
      </c>
    </row>
    <row r="202">
      <c r="A202" s="1" t="n"/>
      <c r="B202" s="15" t="n">
        <v>197</v>
      </c>
      <c r="C202" s="16" t="n"/>
      <c r="D202" s="17" t="n"/>
      <c r="E202" s="18" t="n"/>
      <c r="F202" s="19" t="n"/>
      <c r="G202" s="20" t="n"/>
      <c r="H202" s="21" t="n"/>
      <c r="I202" s="17" t="n"/>
      <c r="J202" s="18" t="n"/>
      <c r="K202" s="22" t="n"/>
      <c r="L202" s="23">
        <f>IF(C202="","",ROUND(N(F202)*(1+N(G202)/100*IF(N(H202)&gt;0,N(H202)*IF(I202="Week",7/365,IF(I202="2 weeks",14/365,1/12)),IF(ISNUMBER(E202),MAX(0,TODAY()-E202)/365,0))),2))</f>
        <v/>
      </c>
      <c r="M202" s="23">
        <f>IF(OR(C202="",N(H202)&lt;=0),"",ROUND(L202/N(H202),2))</f>
        <v/>
      </c>
      <c r="N202" s="23">
        <f>IF(C202="","",SUMIFS(Payments!$D$6:$D$805,Payments!$G$6:$G$805,B202))</f>
        <v/>
      </c>
      <c r="O202" s="24">
        <f>IF(C202="","",ROUND(L202-N202,2))</f>
        <v/>
      </c>
      <c r="P202" s="11">
        <f>IF(OR(U202="",N(O202)&lt;=0),"",IF(I202="Week",J202+7*U202,IF(I202="2 weeks",J202+14*U202,EDATE(J202,U202))))</f>
        <v/>
      </c>
      <c r="Q202" s="23">
        <f>IF(P202="","",IF(U202=N(H202)-1,O202,ROUND(M202*(U202+1)-N202,2)))</f>
        <v/>
      </c>
      <c r="R202" s="25">
        <f>IF(C202="","",IF(O202&lt;=0,"Paid off",IF(OR(M202="",NOT(ISNUMBER(J202))),"Open",IF(W202&gt;0,"Overdue",IF(AND(ISNUMBER(P202),P202-TODAY()&lt;=Settings!$C$6),"Due soon","On track")))))</f>
        <v/>
      </c>
      <c r="S202" s="1">
        <f>IF(C202="","",B202&amp;" "&amp;C202)</f>
        <v/>
      </c>
      <c r="T202">
        <f>IF(OR(M202="",NOT(ISNUMBER(J202))),"",MIN(N(H202),IF(I202="Week",IF((TODAY()-1)&lt;J202,0,INT(((TODAY()-1)-J202)/7)+1),IF(I202="2 weeks",IF((TODAY()-1)&lt;J202,0,INT(((TODAY()-1)-J202)/14)+1),IF(((YEAR((TODAY()-1))-YEAR(J202))*12+MONTH((TODAY()-1))-MONTH(J202))&lt;0,0,IF(EDATE(J202,((YEAR((TODAY()-1))-YEAR(J202))*12+MONTH((TODAY()-1))-MONTH(J202)))&lt;=(TODAY()-1),((YEAR((TODAY()-1))-YEAR(J202))*12+MONTH((TODAY()-1))-MONTH(J202))+1,((YEAR((TODAY()-1))-YEAR(J202))*12+MONTH((TODAY()-1))-MONTH(J202))))))))</f>
        <v/>
      </c>
      <c r="U202">
        <f>IF(OR(M202="",NOT(ISNUMBER(J202))),"",IF(N(M202)&lt;=0,"",MIN(N(H202)-1,INT(ROUND(N202/M202,6)))))</f>
        <v/>
      </c>
      <c r="V202">
        <f>IF(T202="","",IF(T202&gt;=N(H202),L202,M202*T202))</f>
        <v/>
      </c>
      <c r="W202">
        <f>IF(V202="",0,MAX(0,ROUND(V202-N202,2)))</f>
        <v/>
      </c>
      <c r="X202">
        <f>IF(OR(R202="",R202="Paid off",NOT(ISNUMBER(P202))),"",P202*1000+ROW())</f>
        <v/>
      </c>
      <c r="Y202">
        <f>IF(C202="","",IF(AND(COUNTIF(C$6:C202,C202)=1,SUMIFS(Loans!$O$6:$O$305,Loans!$C$6:$C$305,C202,Loans!$O$6:$O$305,"&gt;0")&gt;0),ROW(),""))</f>
        <v/>
      </c>
      <c r="Z202">
        <f>IF(OR(C202="",P202=""),"",IF(D202="I borrowed","From you","To you"))</f>
        <v/>
      </c>
    </row>
    <row r="203">
      <c r="A203" s="1" t="n"/>
      <c r="B203" s="15" t="n">
        <v>198</v>
      </c>
      <c r="C203" s="16" t="n"/>
      <c r="D203" s="17" t="n"/>
      <c r="E203" s="18" t="n"/>
      <c r="F203" s="19" t="n"/>
      <c r="G203" s="20" t="n"/>
      <c r="H203" s="21" t="n"/>
      <c r="I203" s="17" t="n"/>
      <c r="J203" s="18" t="n"/>
      <c r="K203" s="22" t="n"/>
      <c r="L203" s="23">
        <f>IF(C203="","",ROUND(N(F203)*(1+N(G203)/100*IF(N(H203)&gt;0,N(H203)*IF(I203="Week",7/365,IF(I203="2 weeks",14/365,1/12)),IF(ISNUMBER(E203),MAX(0,TODAY()-E203)/365,0))),2))</f>
        <v/>
      </c>
      <c r="M203" s="23">
        <f>IF(OR(C203="",N(H203)&lt;=0),"",ROUND(L203/N(H203),2))</f>
        <v/>
      </c>
      <c r="N203" s="23">
        <f>IF(C203="","",SUMIFS(Payments!$D$6:$D$805,Payments!$G$6:$G$805,B203))</f>
        <v/>
      </c>
      <c r="O203" s="24">
        <f>IF(C203="","",ROUND(L203-N203,2))</f>
        <v/>
      </c>
      <c r="P203" s="11">
        <f>IF(OR(U203="",N(O203)&lt;=0),"",IF(I203="Week",J203+7*U203,IF(I203="2 weeks",J203+14*U203,EDATE(J203,U203))))</f>
        <v/>
      </c>
      <c r="Q203" s="23">
        <f>IF(P203="","",IF(U203=N(H203)-1,O203,ROUND(M203*(U203+1)-N203,2)))</f>
        <v/>
      </c>
      <c r="R203" s="25">
        <f>IF(C203="","",IF(O203&lt;=0,"Paid off",IF(OR(M203="",NOT(ISNUMBER(J203))),"Open",IF(W203&gt;0,"Overdue",IF(AND(ISNUMBER(P203),P203-TODAY()&lt;=Settings!$C$6),"Due soon","On track")))))</f>
        <v/>
      </c>
      <c r="S203" s="1">
        <f>IF(C203="","",B203&amp;" "&amp;C203)</f>
        <v/>
      </c>
      <c r="T203">
        <f>IF(OR(M203="",NOT(ISNUMBER(J203))),"",MIN(N(H203),IF(I203="Week",IF((TODAY()-1)&lt;J203,0,INT(((TODAY()-1)-J203)/7)+1),IF(I203="2 weeks",IF((TODAY()-1)&lt;J203,0,INT(((TODAY()-1)-J203)/14)+1),IF(((YEAR((TODAY()-1))-YEAR(J203))*12+MONTH((TODAY()-1))-MONTH(J203))&lt;0,0,IF(EDATE(J203,((YEAR((TODAY()-1))-YEAR(J203))*12+MONTH((TODAY()-1))-MONTH(J203)))&lt;=(TODAY()-1),((YEAR((TODAY()-1))-YEAR(J203))*12+MONTH((TODAY()-1))-MONTH(J203))+1,((YEAR((TODAY()-1))-YEAR(J203))*12+MONTH((TODAY()-1))-MONTH(J203))))))))</f>
        <v/>
      </c>
      <c r="U203">
        <f>IF(OR(M203="",NOT(ISNUMBER(J203))),"",IF(N(M203)&lt;=0,"",MIN(N(H203)-1,INT(ROUND(N203/M203,6)))))</f>
        <v/>
      </c>
      <c r="V203">
        <f>IF(T203="","",IF(T203&gt;=N(H203),L203,M203*T203))</f>
        <v/>
      </c>
      <c r="W203">
        <f>IF(V203="",0,MAX(0,ROUND(V203-N203,2)))</f>
        <v/>
      </c>
      <c r="X203">
        <f>IF(OR(R203="",R203="Paid off",NOT(ISNUMBER(P203))),"",P203*1000+ROW())</f>
        <v/>
      </c>
      <c r="Y203">
        <f>IF(C203="","",IF(AND(COUNTIF(C$6:C203,C203)=1,SUMIFS(Loans!$O$6:$O$305,Loans!$C$6:$C$305,C203,Loans!$O$6:$O$305,"&gt;0")&gt;0),ROW(),""))</f>
        <v/>
      </c>
      <c r="Z203">
        <f>IF(OR(C203="",P203=""),"",IF(D203="I borrowed","From you","To you"))</f>
        <v/>
      </c>
    </row>
    <row r="204">
      <c r="A204" s="1" t="n"/>
      <c r="B204" s="15" t="n">
        <v>199</v>
      </c>
      <c r="C204" s="16" t="n"/>
      <c r="D204" s="17" t="n"/>
      <c r="E204" s="18" t="n"/>
      <c r="F204" s="19" t="n"/>
      <c r="G204" s="20" t="n"/>
      <c r="H204" s="21" t="n"/>
      <c r="I204" s="17" t="n"/>
      <c r="J204" s="18" t="n"/>
      <c r="K204" s="22" t="n"/>
      <c r="L204" s="23">
        <f>IF(C204="","",ROUND(N(F204)*(1+N(G204)/100*IF(N(H204)&gt;0,N(H204)*IF(I204="Week",7/365,IF(I204="2 weeks",14/365,1/12)),IF(ISNUMBER(E204),MAX(0,TODAY()-E204)/365,0))),2))</f>
        <v/>
      </c>
      <c r="M204" s="23">
        <f>IF(OR(C204="",N(H204)&lt;=0),"",ROUND(L204/N(H204),2))</f>
        <v/>
      </c>
      <c r="N204" s="23">
        <f>IF(C204="","",SUMIFS(Payments!$D$6:$D$805,Payments!$G$6:$G$805,B204))</f>
        <v/>
      </c>
      <c r="O204" s="24">
        <f>IF(C204="","",ROUND(L204-N204,2))</f>
        <v/>
      </c>
      <c r="P204" s="11">
        <f>IF(OR(U204="",N(O204)&lt;=0),"",IF(I204="Week",J204+7*U204,IF(I204="2 weeks",J204+14*U204,EDATE(J204,U204))))</f>
        <v/>
      </c>
      <c r="Q204" s="23">
        <f>IF(P204="","",IF(U204=N(H204)-1,O204,ROUND(M204*(U204+1)-N204,2)))</f>
        <v/>
      </c>
      <c r="R204" s="25">
        <f>IF(C204="","",IF(O204&lt;=0,"Paid off",IF(OR(M204="",NOT(ISNUMBER(J204))),"Open",IF(W204&gt;0,"Overdue",IF(AND(ISNUMBER(P204),P204-TODAY()&lt;=Settings!$C$6),"Due soon","On track")))))</f>
        <v/>
      </c>
      <c r="S204" s="1">
        <f>IF(C204="","",B204&amp;" "&amp;C204)</f>
        <v/>
      </c>
      <c r="T204">
        <f>IF(OR(M204="",NOT(ISNUMBER(J204))),"",MIN(N(H204),IF(I204="Week",IF((TODAY()-1)&lt;J204,0,INT(((TODAY()-1)-J204)/7)+1),IF(I204="2 weeks",IF((TODAY()-1)&lt;J204,0,INT(((TODAY()-1)-J204)/14)+1),IF(((YEAR((TODAY()-1))-YEAR(J204))*12+MONTH((TODAY()-1))-MONTH(J204))&lt;0,0,IF(EDATE(J204,((YEAR((TODAY()-1))-YEAR(J204))*12+MONTH((TODAY()-1))-MONTH(J204)))&lt;=(TODAY()-1),((YEAR((TODAY()-1))-YEAR(J204))*12+MONTH((TODAY()-1))-MONTH(J204))+1,((YEAR((TODAY()-1))-YEAR(J204))*12+MONTH((TODAY()-1))-MONTH(J204))))))))</f>
        <v/>
      </c>
      <c r="U204">
        <f>IF(OR(M204="",NOT(ISNUMBER(J204))),"",IF(N(M204)&lt;=0,"",MIN(N(H204)-1,INT(ROUND(N204/M204,6)))))</f>
        <v/>
      </c>
      <c r="V204">
        <f>IF(T204="","",IF(T204&gt;=N(H204),L204,M204*T204))</f>
        <v/>
      </c>
      <c r="W204">
        <f>IF(V204="",0,MAX(0,ROUND(V204-N204,2)))</f>
        <v/>
      </c>
      <c r="X204">
        <f>IF(OR(R204="",R204="Paid off",NOT(ISNUMBER(P204))),"",P204*1000+ROW())</f>
        <v/>
      </c>
      <c r="Y204">
        <f>IF(C204="","",IF(AND(COUNTIF(C$6:C204,C204)=1,SUMIFS(Loans!$O$6:$O$305,Loans!$C$6:$C$305,C204,Loans!$O$6:$O$305,"&gt;0")&gt;0),ROW(),""))</f>
        <v/>
      </c>
      <c r="Z204">
        <f>IF(OR(C204="",P204=""),"",IF(D204="I borrowed","From you","To you"))</f>
        <v/>
      </c>
    </row>
    <row r="205">
      <c r="A205" s="1" t="n"/>
      <c r="B205" s="15" t="n">
        <v>200</v>
      </c>
      <c r="C205" s="16" t="n"/>
      <c r="D205" s="17" t="n"/>
      <c r="E205" s="18" t="n"/>
      <c r="F205" s="19" t="n"/>
      <c r="G205" s="20" t="n"/>
      <c r="H205" s="21" t="n"/>
      <c r="I205" s="17" t="n"/>
      <c r="J205" s="18" t="n"/>
      <c r="K205" s="22" t="n"/>
      <c r="L205" s="23">
        <f>IF(C205="","",ROUND(N(F205)*(1+N(G205)/100*IF(N(H205)&gt;0,N(H205)*IF(I205="Week",7/365,IF(I205="2 weeks",14/365,1/12)),IF(ISNUMBER(E205),MAX(0,TODAY()-E205)/365,0))),2))</f>
        <v/>
      </c>
      <c r="M205" s="23">
        <f>IF(OR(C205="",N(H205)&lt;=0),"",ROUND(L205/N(H205),2))</f>
        <v/>
      </c>
      <c r="N205" s="23">
        <f>IF(C205="","",SUMIFS(Payments!$D$6:$D$805,Payments!$G$6:$G$805,B205))</f>
        <v/>
      </c>
      <c r="O205" s="24">
        <f>IF(C205="","",ROUND(L205-N205,2))</f>
        <v/>
      </c>
      <c r="P205" s="11">
        <f>IF(OR(U205="",N(O205)&lt;=0),"",IF(I205="Week",J205+7*U205,IF(I205="2 weeks",J205+14*U205,EDATE(J205,U205))))</f>
        <v/>
      </c>
      <c r="Q205" s="23">
        <f>IF(P205="","",IF(U205=N(H205)-1,O205,ROUND(M205*(U205+1)-N205,2)))</f>
        <v/>
      </c>
      <c r="R205" s="25">
        <f>IF(C205="","",IF(O205&lt;=0,"Paid off",IF(OR(M205="",NOT(ISNUMBER(J205))),"Open",IF(W205&gt;0,"Overdue",IF(AND(ISNUMBER(P205),P205-TODAY()&lt;=Settings!$C$6),"Due soon","On track")))))</f>
        <v/>
      </c>
      <c r="S205" s="1">
        <f>IF(C205="","",B205&amp;" "&amp;C205)</f>
        <v/>
      </c>
      <c r="T205">
        <f>IF(OR(M205="",NOT(ISNUMBER(J205))),"",MIN(N(H205),IF(I205="Week",IF((TODAY()-1)&lt;J205,0,INT(((TODAY()-1)-J205)/7)+1),IF(I205="2 weeks",IF((TODAY()-1)&lt;J205,0,INT(((TODAY()-1)-J205)/14)+1),IF(((YEAR((TODAY()-1))-YEAR(J205))*12+MONTH((TODAY()-1))-MONTH(J205))&lt;0,0,IF(EDATE(J205,((YEAR((TODAY()-1))-YEAR(J205))*12+MONTH((TODAY()-1))-MONTH(J205)))&lt;=(TODAY()-1),((YEAR((TODAY()-1))-YEAR(J205))*12+MONTH((TODAY()-1))-MONTH(J205))+1,((YEAR((TODAY()-1))-YEAR(J205))*12+MONTH((TODAY()-1))-MONTH(J205))))))))</f>
        <v/>
      </c>
      <c r="U205">
        <f>IF(OR(M205="",NOT(ISNUMBER(J205))),"",IF(N(M205)&lt;=0,"",MIN(N(H205)-1,INT(ROUND(N205/M205,6)))))</f>
        <v/>
      </c>
      <c r="V205">
        <f>IF(T205="","",IF(T205&gt;=N(H205),L205,M205*T205))</f>
        <v/>
      </c>
      <c r="W205">
        <f>IF(V205="",0,MAX(0,ROUND(V205-N205,2)))</f>
        <v/>
      </c>
      <c r="X205">
        <f>IF(OR(R205="",R205="Paid off",NOT(ISNUMBER(P205))),"",P205*1000+ROW())</f>
        <v/>
      </c>
      <c r="Y205">
        <f>IF(C205="","",IF(AND(COUNTIF(C$6:C205,C205)=1,SUMIFS(Loans!$O$6:$O$305,Loans!$C$6:$C$305,C205,Loans!$O$6:$O$305,"&gt;0")&gt;0),ROW(),""))</f>
        <v/>
      </c>
      <c r="Z205">
        <f>IF(OR(C205="",P205=""),"",IF(D205="I borrowed","From you","To you"))</f>
        <v/>
      </c>
    </row>
    <row r="206">
      <c r="A206" s="1" t="n"/>
      <c r="B206" s="15" t="n">
        <v>201</v>
      </c>
      <c r="C206" s="16" t="n"/>
      <c r="D206" s="17" t="n"/>
      <c r="E206" s="18" t="n"/>
      <c r="F206" s="19" t="n"/>
      <c r="G206" s="20" t="n"/>
      <c r="H206" s="21" t="n"/>
      <c r="I206" s="17" t="n"/>
      <c r="J206" s="18" t="n"/>
      <c r="K206" s="22" t="n"/>
      <c r="L206" s="23">
        <f>IF(C206="","",ROUND(N(F206)*(1+N(G206)/100*IF(N(H206)&gt;0,N(H206)*IF(I206="Week",7/365,IF(I206="2 weeks",14/365,1/12)),IF(ISNUMBER(E206),MAX(0,TODAY()-E206)/365,0))),2))</f>
        <v/>
      </c>
      <c r="M206" s="23">
        <f>IF(OR(C206="",N(H206)&lt;=0),"",ROUND(L206/N(H206),2))</f>
        <v/>
      </c>
      <c r="N206" s="23">
        <f>IF(C206="","",SUMIFS(Payments!$D$6:$D$805,Payments!$G$6:$G$805,B206))</f>
        <v/>
      </c>
      <c r="O206" s="24">
        <f>IF(C206="","",ROUND(L206-N206,2))</f>
        <v/>
      </c>
      <c r="P206" s="11">
        <f>IF(OR(U206="",N(O206)&lt;=0),"",IF(I206="Week",J206+7*U206,IF(I206="2 weeks",J206+14*U206,EDATE(J206,U206))))</f>
        <v/>
      </c>
      <c r="Q206" s="23">
        <f>IF(P206="","",IF(U206=N(H206)-1,O206,ROUND(M206*(U206+1)-N206,2)))</f>
        <v/>
      </c>
      <c r="R206" s="25">
        <f>IF(C206="","",IF(O206&lt;=0,"Paid off",IF(OR(M206="",NOT(ISNUMBER(J206))),"Open",IF(W206&gt;0,"Overdue",IF(AND(ISNUMBER(P206),P206-TODAY()&lt;=Settings!$C$6),"Due soon","On track")))))</f>
        <v/>
      </c>
      <c r="S206" s="1">
        <f>IF(C206="","",B206&amp;" "&amp;C206)</f>
        <v/>
      </c>
      <c r="T206">
        <f>IF(OR(M206="",NOT(ISNUMBER(J206))),"",MIN(N(H206),IF(I206="Week",IF((TODAY()-1)&lt;J206,0,INT(((TODAY()-1)-J206)/7)+1),IF(I206="2 weeks",IF((TODAY()-1)&lt;J206,0,INT(((TODAY()-1)-J206)/14)+1),IF(((YEAR((TODAY()-1))-YEAR(J206))*12+MONTH((TODAY()-1))-MONTH(J206))&lt;0,0,IF(EDATE(J206,((YEAR((TODAY()-1))-YEAR(J206))*12+MONTH((TODAY()-1))-MONTH(J206)))&lt;=(TODAY()-1),((YEAR((TODAY()-1))-YEAR(J206))*12+MONTH((TODAY()-1))-MONTH(J206))+1,((YEAR((TODAY()-1))-YEAR(J206))*12+MONTH((TODAY()-1))-MONTH(J206))))))))</f>
        <v/>
      </c>
      <c r="U206">
        <f>IF(OR(M206="",NOT(ISNUMBER(J206))),"",IF(N(M206)&lt;=0,"",MIN(N(H206)-1,INT(ROUND(N206/M206,6)))))</f>
        <v/>
      </c>
      <c r="V206">
        <f>IF(T206="","",IF(T206&gt;=N(H206),L206,M206*T206))</f>
        <v/>
      </c>
      <c r="W206">
        <f>IF(V206="",0,MAX(0,ROUND(V206-N206,2)))</f>
        <v/>
      </c>
      <c r="X206">
        <f>IF(OR(R206="",R206="Paid off",NOT(ISNUMBER(P206))),"",P206*1000+ROW())</f>
        <v/>
      </c>
      <c r="Y206">
        <f>IF(C206="","",IF(AND(COUNTIF(C$6:C206,C206)=1,SUMIFS(Loans!$O$6:$O$305,Loans!$C$6:$C$305,C206,Loans!$O$6:$O$305,"&gt;0")&gt;0),ROW(),""))</f>
        <v/>
      </c>
      <c r="Z206">
        <f>IF(OR(C206="",P206=""),"",IF(D206="I borrowed","From you","To you"))</f>
        <v/>
      </c>
    </row>
    <row r="207">
      <c r="A207" s="1" t="n"/>
      <c r="B207" s="15" t="n">
        <v>202</v>
      </c>
      <c r="C207" s="16" t="n"/>
      <c r="D207" s="17" t="n"/>
      <c r="E207" s="18" t="n"/>
      <c r="F207" s="19" t="n"/>
      <c r="G207" s="20" t="n"/>
      <c r="H207" s="21" t="n"/>
      <c r="I207" s="17" t="n"/>
      <c r="J207" s="18" t="n"/>
      <c r="K207" s="22" t="n"/>
      <c r="L207" s="23">
        <f>IF(C207="","",ROUND(N(F207)*(1+N(G207)/100*IF(N(H207)&gt;0,N(H207)*IF(I207="Week",7/365,IF(I207="2 weeks",14/365,1/12)),IF(ISNUMBER(E207),MAX(0,TODAY()-E207)/365,0))),2))</f>
        <v/>
      </c>
      <c r="M207" s="23">
        <f>IF(OR(C207="",N(H207)&lt;=0),"",ROUND(L207/N(H207),2))</f>
        <v/>
      </c>
      <c r="N207" s="23">
        <f>IF(C207="","",SUMIFS(Payments!$D$6:$D$805,Payments!$G$6:$G$805,B207))</f>
        <v/>
      </c>
      <c r="O207" s="24">
        <f>IF(C207="","",ROUND(L207-N207,2))</f>
        <v/>
      </c>
      <c r="P207" s="11">
        <f>IF(OR(U207="",N(O207)&lt;=0),"",IF(I207="Week",J207+7*U207,IF(I207="2 weeks",J207+14*U207,EDATE(J207,U207))))</f>
        <v/>
      </c>
      <c r="Q207" s="23">
        <f>IF(P207="","",IF(U207=N(H207)-1,O207,ROUND(M207*(U207+1)-N207,2)))</f>
        <v/>
      </c>
      <c r="R207" s="25">
        <f>IF(C207="","",IF(O207&lt;=0,"Paid off",IF(OR(M207="",NOT(ISNUMBER(J207))),"Open",IF(W207&gt;0,"Overdue",IF(AND(ISNUMBER(P207),P207-TODAY()&lt;=Settings!$C$6),"Due soon","On track")))))</f>
        <v/>
      </c>
      <c r="S207" s="1">
        <f>IF(C207="","",B207&amp;" "&amp;C207)</f>
        <v/>
      </c>
      <c r="T207">
        <f>IF(OR(M207="",NOT(ISNUMBER(J207))),"",MIN(N(H207),IF(I207="Week",IF((TODAY()-1)&lt;J207,0,INT(((TODAY()-1)-J207)/7)+1),IF(I207="2 weeks",IF((TODAY()-1)&lt;J207,0,INT(((TODAY()-1)-J207)/14)+1),IF(((YEAR((TODAY()-1))-YEAR(J207))*12+MONTH((TODAY()-1))-MONTH(J207))&lt;0,0,IF(EDATE(J207,((YEAR((TODAY()-1))-YEAR(J207))*12+MONTH((TODAY()-1))-MONTH(J207)))&lt;=(TODAY()-1),((YEAR((TODAY()-1))-YEAR(J207))*12+MONTH((TODAY()-1))-MONTH(J207))+1,((YEAR((TODAY()-1))-YEAR(J207))*12+MONTH((TODAY()-1))-MONTH(J207))))))))</f>
        <v/>
      </c>
      <c r="U207">
        <f>IF(OR(M207="",NOT(ISNUMBER(J207))),"",IF(N(M207)&lt;=0,"",MIN(N(H207)-1,INT(ROUND(N207/M207,6)))))</f>
        <v/>
      </c>
      <c r="V207">
        <f>IF(T207="","",IF(T207&gt;=N(H207),L207,M207*T207))</f>
        <v/>
      </c>
      <c r="W207">
        <f>IF(V207="",0,MAX(0,ROUND(V207-N207,2)))</f>
        <v/>
      </c>
      <c r="X207">
        <f>IF(OR(R207="",R207="Paid off",NOT(ISNUMBER(P207))),"",P207*1000+ROW())</f>
        <v/>
      </c>
      <c r="Y207">
        <f>IF(C207="","",IF(AND(COUNTIF(C$6:C207,C207)=1,SUMIFS(Loans!$O$6:$O$305,Loans!$C$6:$C$305,C207,Loans!$O$6:$O$305,"&gt;0")&gt;0),ROW(),""))</f>
        <v/>
      </c>
      <c r="Z207">
        <f>IF(OR(C207="",P207=""),"",IF(D207="I borrowed","From you","To you"))</f>
        <v/>
      </c>
    </row>
    <row r="208">
      <c r="A208" s="1" t="n"/>
      <c r="B208" s="15" t="n">
        <v>203</v>
      </c>
      <c r="C208" s="16" t="n"/>
      <c r="D208" s="17" t="n"/>
      <c r="E208" s="18" t="n"/>
      <c r="F208" s="19" t="n"/>
      <c r="G208" s="20" t="n"/>
      <c r="H208" s="21" t="n"/>
      <c r="I208" s="17" t="n"/>
      <c r="J208" s="18" t="n"/>
      <c r="K208" s="22" t="n"/>
      <c r="L208" s="23">
        <f>IF(C208="","",ROUND(N(F208)*(1+N(G208)/100*IF(N(H208)&gt;0,N(H208)*IF(I208="Week",7/365,IF(I208="2 weeks",14/365,1/12)),IF(ISNUMBER(E208),MAX(0,TODAY()-E208)/365,0))),2))</f>
        <v/>
      </c>
      <c r="M208" s="23">
        <f>IF(OR(C208="",N(H208)&lt;=0),"",ROUND(L208/N(H208),2))</f>
        <v/>
      </c>
      <c r="N208" s="23">
        <f>IF(C208="","",SUMIFS(Payments!$D$6:$D$805,Payments!$G$6:$G$805,B208))</f>
        <v/>
      </c>
      <c r="O208" s="24">
        <f>IF(C208="","",ROUND(L208-N208,2))</f>
        <v/>
      </c>
      <c r="P208" s="11">
        <f>IF(OR(U208="",N(O208)&lt;=0),"",IF(I208="Week",J208+7*U208,IF(I208="2 weeks",J208+14*U208,EDATE(J208,U208))))</f>
        <v/>
      </c>
      <c r="Q208" s="23">
        <f>IF(P208="","",IF(U208=N(H208)-1,O208,ROUND(M208*(U208+1)-N208,2)))</f>
        <v/>
      </c>
      <c r="R208" s="25">
        <f>IF(C208="","",IF(O208&lt;=0,"Paid off",IF(OR(M208="",NOT(ISNUMBER(J208))),"Open",IF(W208&gt;0,"Overdue",IF(AND(ISNUMBER(P208),P208-TODAY()&lt;=Settings!$C$6),"Due soon","On track")))))</f>
        <v/>
      </c>
      <c r="S208" s="1">
        <f>IF(C208="","",B208&amp;" "&amp;C208)</f>
        <v/>
      </c>
      <c r="T208">
        <f>IF(OR(M208="",NOT(ISNUMBER(J208))),"",MIN(N(H208),IF(I208="Week",IF((TODAY()-1)&lt;J208,0,INT(((TODAY()-1)-J208)/7)+1),IF(I208="2 weeks",IF((TODAY()-1)&lt;J208,0,INT(((TODAY()-1)-J208)/14)+1),IF(((YEAR((TODAY()-1))-YEAR(J208))*12+MONTH((TODAY()-1))-MONTH(J208))&lt;0,0,IF(EDATE(J208,((YEAR((TODAY()-1))-YEAR(J208))*12+MONTH((TODAY()-1))-MONTH(J208)))&lt;=(TODAY()-1),((YEAR((TODAY()-1))-YEAR(J208))*12+MONTH((TODAY()-1))-MONTH(J208))+1,((YEAR((TODAY()-1))-YEAR(J208))*12+MONTH((TODAY()-1))-MONTH(J208))))))))</f>
        <v/>
      </c>
      <c r="U208">
        <f>IF(OR(M208="",NOT(ISNUMBER(J208))),"",IF(N(M208)&lt;=0,"",MIN(N(H208)-1,INT(ROUND(N208/M208,6)))))</f>
        <v/>
      </c>
      <c r="V208">
        <f>IF(T208="","",IF(T208&gt;=N(H208),L208,M208*T208))</f>
        <v/>
      </c>
      <c r="W208">
        <f>IF(V208="",0,MAX(0,ROUND(V208-N208,2)))</f>
        <v/>
      </c>
      <c r="X208">
        <f>IF(OR(R208="",R208="Paid off",NOT(ISNUMBER(P208))),"",P208*1000+ROW())</f>
        <v/>
      </c>
      <c r="Y208">
        <f>IF(C208="","",IF(AND(COUNTIF(C$6:C208,C208)=1,SUMIFS(Loans!$O$6:$O$305,Loans!$C$6:$C$305,C208,Loans!$O$6:$O$305,"&gt;0")&gt;0),ROW(),""))</f>
        <v/>
      </c>
      <c r="Z208">
        <f>IF(OR(C208="",P208=""),"",IF(D208="I borrowed","From you","To you"))</f>
        <v/>
      </c>
    </row>
    <row r="209">
      <c r="A209" s="1" t="n"/>
      <c r="B209" s="15" t="n">
        <v>204</v>
      </c>
      <c r="C209" s="16" t="n"/>
      <c r="D209" s="17" t="n"/>
      <c r="E209" s="18" t="n"/>
      <c r="F209" s="19" t="n"/>
      <c r="G209" s="20" t="n"/>
      <c r="H209" s="21" t="n"/>
      <c r="I209" s="17" t="n"/>
      <c r="J209" s="18" t="n"/>
      <c r="K209" s="22" t="n"/>
      <c r="L209" s="23">
        <f>IF(C209="","",ROUND(N(F209)*(1+N(G209)/100*IF(N(H209)&gt;0,N(H209)*IF(I209="Week",7/365,IF(I209="2 weeks",14/365,1/12)),IF(ISNUMBER(E209),MAX(0,TODAY()-E209)/365,0))),2))</f>
        <v/>
      </c>
      <c r="M209" s="23">
        <f>IF(OR(C209="",N(H209)&lt;=0),"",ROUND(L209/N(H209),2))</f>
        <v/>
      </c>
      <c r="N209" s="23">
        <f>IF(C209="","",SUMIFS(Payments!$D$6:$D$805,Payments!$G$6:$G$805,B209))</f>
        <v/>
      </c>
      <c r="O209" s="24">
        <f>IF(C209="","",ROUND(L209-N209,2))</f>
        <v/>
      </c>
      <c r="P209" s="11">
        <f>IF(OR(U209="",N(O209)&lt;=0),"",IF(I209="Week",J209+7*U209,IF(I209="2 weeks",J209+14*U209,EDATE(J209,U209))))</f>
        <v/>
      </c>
      <c r="Q209" s="23">
        <f>IF(P209="","",IF(U209=N(H209)-1,O209,ROUND(M209*(U209+1)-N209,2)))</f>
        <v/>
      </c>
      <c r="R209" s="25">
        <f>IF(C209="","",IF(O209&lt;=0,"Paid off",IF(OR(M209="",NOT(ISNUMBER(J209))),"Open",IF(W209&gt;0,"Overdue",IF(AND(ISNUMBER(P209),P209-TODAY()&lt;=Settings!$C$6),"Due soon","On track")))))</f>
        <v/>
      </c>
      <c r="S209" s="1">
        <f>IF(C209="","",B209&amp;" "&amp;C209)</f>
        <v/>
      </c>
      <c r="T209">
        <f>IF(OR(M209="",NOT(ISNUMBER(J209))),"",MIN(N(H209),IF(I209="Week",IF((TODAY()-1)&lt;J209,0,INT(((TODAY()-1)-J209)/7)+1),IF(I209="2 weeks",IF((TODAY()-1)&lt;J209,0,INT(((TODAY()-1)-J209)/14)+1),IF(((YEAR((TODAY()-1))-YEAR(J209))*12+MONTH((TODAY()-1))-MONTH(J209))&lt;0,0,IF(EDATE(J209,((YEAR((TODAY()-1))-YEAR(J209))*12+MONTH((TODAY()-1))-MONTH(J209)))&lt;=(TODAY()-1),((YEAR((TODAY()-1))-YEAR(J209))*12+MONTH((TODAY()-1))-MONTH(J209))+1,((YEAR((TODAY()-1))-YEAR(J209))*12+MONTH((TODAY()-1))-MONTH(J209))))))))</f>
        <v/>
      </c>
      <c r="U209">
        <f>IF(OR(M209="",NOT(ISNUMBER(J209))),"",IF(N(M209)&lt;=0,"",MIN(N(H209)-1,INT(ROUND(N209/M209,6)))))</f>
        <v/>
      </c>
      <c r="V209">
        <f>IF(T209="","",IF(T209&gt;=N(H209),L209,M209*T209))</f>
        <v/>
      </c>
      <c r="W209">
        <f>IF(V209="",0,MAX(0,ROUND(V209-N209,2)))</f>
        <v/>
      </c>
      <c r="X209">
        <f>IF(OR(R209="",R209="Paid off",NOT(ISNUMBER(P209))),"",P209*1000+ROW())</f>
        <v/>
      </c>
      <c r="Y209">
        <f>IF(C209="","",IF(AND(COUNTIF(C$6:C209,C209)=1,SUMIFS(Loans!$O$6:$O$305,Loans!$C$6:$C$305,C209,Loans!$O$6:$O$305,"&gt;0")&gt;0),ROW(),""))</f>
        <v/>
      </c>
      <c r="Z209">
        <f>IF(OR(C209="",P209=""),"",IF(D209="I borrowed","From you","To you"))</f>
        <v/>
      </c>
    </row>
    <row r="210">
      <c r="A210" s="1" t="n"/>
      <c r="B210" s="15" t="n">
        <v>205</v>
      </c>
      <c r="C210" s="16" t="n"/>
      <c r="D210" s="17" t="n"/>
      <c r="E210" s="18" t="n"/>
      <c r="F210" s="19" t="n"/>
      <c r="G210" s="20" t="n"/>
      <c r="H210" s="21" t="n"/>
      <c r="I210" s="17" t="n"/>
      <c r="J210" s="18" t="n"/>
      <c r="K210" s="22" t="n"/>
      <c r="L210" s="23">
        <f>IF(C210="","",ROUND(N(F210)*(1+N(G210)/100*IF(N(H210)&gt;0,N(H210)*IF(I210="Week",7/365,IF(I210="2 weeks",14/365,1/12)),IF(ISNUMBER(E210),MAX(0,TODAY()-E210)/365,0))),2))</f>
        <v/>
      </c>
      <c r="M210" s="23">
        <f>IF(OR(C210="",N(H210)&lt;=0),"",ROUND(L210/N(H210),2))</f>
        <v/>
      </c>
      <c r="N210" s="23">
        <f>IF(C210="","",SUMIFS(Payments!$D$6:$D$805,Payments!$G$6:$G$805,B210))</f>
        <v/>
      </c>
      <c r="O210" s="24">
        <f>IF(C210="","",ROUND(L210-N210,2))</f>
        <v/>
      </c>
      <c r="P210" s="11">
        <f>IF(OR(U210="",N(O210)&lt;=0),"",IF(I210="Week",J210+7*U210,IF(I210="2 weeks",J210+14*U210,EDATE(J210,U210))))</f>
        <v/>
      </c>
      <c r="Q210" s="23">
        <f>IF(P210="","",IF(U210=N(H210)-1,O210,ROUND(M210*(U210+1)-N210,2)))</f>
        <v/>
      </c>
      <c r="R210" s="25">
        <f>IF(C210="","",IF(O210&lt;=0,"Paid off",IF(OR(M210="",NOT(ISNUMBER(J210))),"Open",IF(W210&gt;0,"Overdue",IF(AND(ISNUMBER(P210),P210-TODAY()&lt;=Settings!$C$6),"Due soon","On track")))))</f>
        <v/>
      </c>
      <c r="S210" s="1">
        <f>IF(C210="","",B210&amp;" "&amp;C210)</f>
        <v/>
      </c>
      <c r="T210">
        <f>IF(OR(M210="",NOT(ISNUMBER(J210))),"",MIN(N(H210),IF(I210="Week",IF((TODAY()-1)&lt;J210,0,INT(((TODAY()-1)-J210)/7)+1),IF(I210="2 weeks",IF((TODAY()-1)&lt;J210,0,INT(((TODAY()-1)-J210)/14)+1),IF(((YEAR((TODAY()-1))-YEAR(J210))*12+MONTH((TODAY()-1))-MONTH(J210))&lt;0,0,IF(EDATE(J210,((YEAR((TODAY()-1))-YEAR(J210))*12+MONTH((TODAY()-1))-MONTH(J210)))&lt;=(TODAY()-1),((YEAR((TODAY()-1))-YEAR(J210))*12+MONTH((TODAY()-1))-MONTH(J210))+1,((YEAR((TODAY()-1))-YEAR(J210))*12+MONTH((TODAY()-1))-MONTH(J210))))))))</f>
        <v/>
      </c>
      <c r="U210">
        <f>IF(OR(M210="",NOT(ISNUMBER(J210))),"",IF(N(M210)&lt;=0,"",MIN(N(H210)-1,INT(ROUND(N210/M210,6)))))</f>
        <v/>
      </c>
      <c r="V210">
        <f>IF(T210="","",IF(T210&gt;=N(H210),L210,M210*T210))</f>
        <v/>
      </c>
      <c r="W210">
        <f>IF(V210="",0,MAX(0,ROUND(V210-N210,2)))</f>
        <v/>
      </c>
      <c r="X210">
        <f>IF(OR(R210="",R210="Paid off",NOT(ISNUMBER(P210))),"",P210*1000+ROW())</f>
        <v/>
      </c>
      <c r="Y210">
        <f>IF(C210="","",IF(AND(COUNTIF(C$6:C210,C210)=1,SUMIFS(Loans!$O$6:$O$305,Loans!$C$6:$C$305,C210,Loans!$O$6:$O$305,"&gt;0")&gt;0),ROW(),""))</f>
        <v/>
      </c>
      <c r="Z210">
        <f>IF(OR(C210="",P210=""),"",IF(D210="I borrowed","From you","To you"))</f>
        <v/>
      </c>
    </row>
    <row r="211">
      <c r="A211" s="1" t="n"/>
      <c r="B211" s="15" t="n">
        <v>206</v>
      </c>
      <c r="C211" s="16" t="n"/>
      <c r="D211" s="17" t="n"/>
      <c r="E211" s="18" t="n"/>
      <c r="F211" s="19" t="n"/>
      <c r="G211" s="20" t="n"/>
      <c r="H211" s="21" t="n"/>
      <c r="I211" s="17" t="n"/>
      <c r="J211" s="18" t="n"/>
      <c r="K211" s="22" t="n"/>
      <c r="L211" s="23">
        <f>IF(C211="","",ROUND(N(F211)*(1+N(G211)/100*IF(N(H211)&gt;0,N(H211)*IF(I211="Week",7/365,IF(I211="2 weeks",14/365,1/12)),IF(ISNUMBER(E211),MAX(0,TODAY()-E211)/365,0))),2))</f>
        <v/>
      </c>
      <c r="M211" s="23">
        <f>IF(OR(C211="",N(H211)&lt;=0),"",ROUND(L211/N(H211),2))</f>
        <v/>
      </c>
      <c r="N211" s="23">
        <f>IF(C211="","",SUMIFS(Payments!$D$6:$D$805,Payments!$G$6:$G$805,B211))</f>
        <v/>
      </c>
      <c r="O211" s="24">
        <f>IF(C211="","",ROUND(L211-N211,2))</f>
        <v/>
      </c>
      <c r="P211" s="11">
        <f>IF(OR(U211="",N(O211)&lt;=0),"",IF(I211="Week",J211+7*U211,IF(I211="2 weeks",J211+14*U211,EDATE(J211,U211))))</f>
        <v/>
      </c>
      <c r="Q211" s="23">
        <f>IF(P211="","",IF(U211=N(H211)-1,O211,ROUND(M211*(U211+1)-N211,2)))</f>
        <v/>
      </c>
      <c r="R211" s="25">
        <f>IF(C211="","",IF(O211&lt;=0,"Paid off",IF(OR(M211="",NOT(ISNUMBER(J211))),"Open",IF(W211&gt;0,"Overdue",IF(AND(ISNUMBER(P211),P211-TODAY()&lt;=Settings!$C$6),"Due soon","On track")))))</f>
        <v/>
      </c>
      <c r="S211" s="1">
        <f>IF(C211="","",B211&amp;" "&amp;C211)</f>
        <v/>
      </c>
      <c r="T211">
        <f>IF(OR(M211="",NOT(ISNUMBER(J211))),"",MIN(N(H211),IF(I211="Week",IF((TODAY()-1)&lt;J211,0,INT(((TODAY()-1)-J211)/7)+1),IF(I211="2 weeks",IF((TODAY()-1)&lt;J211,0,INT(((TODAY()-1)-J211)/14)+1),IF(((YEAR((TODAY()-1))-YEAR(J211))*12+MONTH((TODAY()-1))-MONTH(J211))&lt;0,0,IF(EDATE(J211,((YEAR((TODAY()-1))-YEAR(J211))*12+MONTH((TODAY()-1))-MONTH(J211)))&lt;=(TODAY()-1),((YEAR((TODAY()-1))-YEAR(J211))*12+MONTH((TODAY()-1))-MONTH(J211))+1,((YEAR((TODAY()-1))-YEAR(J211))*12+MONTH((TODAY()-1))-MONTH(J211))))))))</f>
        <v/>
      </c>
      <c r="U211">
        <f>IF(OR(M211="",NOT(ISNUMBER(J211))),"",IF(N(M211)&lt;=0,"",MIN(N(H211)-1,INT(ROUND(N211/M211,6)))))</f>
        <v/>
      </c>
      <c r="V211">
        <f>IF(T211="","",IF(T211&gt;=N(H211),L211,M211*T211))</f>
        <v/>
      </c>
      <c r="W211">
        <f>IF(V211="",0,MAX(0,ROUND(V211-N211,2)))</f>
        <v/>
      </c>
      <c r="X211">
        <f>IF(OR(R211="",R211="Paid off",NOT(ISNUMBER(P211))),"",P211*1000+ROW())</f>
        <v/>
      </c>
      <c r="Y211">
        <f>IF(C211="","",IF(AND(COUNTIF(C$6:C211,C211)=1,SUMIFS(Loans!$O$6:$O$305,Loans!$C$6:$C$305,C211,Loans!$O$6:$O$305,"&gt;0")&gt;0),ROW(),""))</f>
        <v/>
      </c>
      <c r="Z211">
        <f>IF(OR(C211="",P211=""),"",IF(D211="I borrowed","From you","To you"))</f>
        <v/>
      </c>
    </row>
    <row r="212">
      <c r="A212" s="1" t="n"/>
      <c r="B212" s="15" t="n">
        <v>207</v>
      </c>
      <c r="C212" s="16" t="n"/>
      <c r="D212" s="17" t="n"/>
      <c r="E212" s="18" t="n"/>
      <c r="F212" s="19" t="n"/>
      <c r="G212" s="20" t="n"/>
      <c r="H212" s="21" t="n"/>
      <c r="I212" s="17" t="n"/>
      <c r="J212" s="18" t="n"/>
      <c r="K212" s="22" t="n"/>
      <c r="L212" s="23">
        <f>IF(C212="","",ROUND(N(F212)*(1+N(G212)/100*IF(N(H212)&gt;0,N(H212)*IF(I212="Week",7/365,IF(I212="2 weeks",14/365,1/12)),IF(ISNUMBER(E212),MAX(0,TODAY()-E212)/365,0))),2))</f>
        <v/>
      </c>
      <c r="M212" s="23">
        <f>IF(OR(C212="",N(H212)&lt;=0),"",ROUND(L212/N(H212),2))</f>
        <v/>
      </c>
      <c r="N212" s="23">
        <f>IF(C212="","",SUMIFS(Payments!$D$6:$D$805,Payments!$G$6:$G$805,B212))</f>
        <v/>
      </c>
      <c r="O212" s="24">
        <f>IF(C212="","",ROUND(L212-N212,2))</f>
        <v/>
      </c>
      <c r="P212" s="11">
        <f>IF(OR(U212="",N(O212)&lt;=0),"",IF(I212="Week",J212+7*U212,IF(I212="2 weeks",J212+14*U212,EDATE(J212,U212))))</f>
        <v/>
      </c>
      <c r="Q212" s="23">
        <f>IF(P212="","",IF(U212=N(H212)-1,O212,ROUND(M212*(U212+1)-N212,2)))</f>
        <v/>
      </c>
      <c r="R212" s="25">
        <f>IF(C212="","",IF(O212&lt;=0,"Paid off",IF(OR(M212="",NOT(ISNUMBER(J212))),"Open",IF(W212&gt;0,"Overdue",IF(AND(ISNUMBER(P212),P212-TODAY()&lt;=Settings!$C$6),"Due soon","On track")))))</f>
        <v/>
      </c>
      <c r="S212" s="1">
        <f>IF(C212="","",B212&amp;" "&amp;C212)</f>
        <v/>
      </c>
      <c r="T212">
        <f>IF(OR(M212="",NOT(ISNUMBER(J212))),"",MIN(N(H212),IF(I212="Week",IF((TODAY()-1)&lt;J212,0,INT(((TODAY()-1)-J212)/7)+1),IF(I212="2 weeks",IF((TODAY()-1)&lt;J212,0,INT(((TODAY()-1)-J212)/14)+1),IF(((YEAR((TODAY()-1))-YEAR(J212))*12+MONTH((TODAY()-1))-MONTH(J212))&lt;0,0,IF(EDATE(J212,((YEAR((TODAY()-1))-YEAR(J212))*12+MONTH((TODAY()-1))-MONTH(J212)))&lt;=(TODAY()-1),((YEAR((TODAY()-1))-YEAR(J212))*12+MONTH((TODAY()-1))-MONTH(J212))+1,((YEAR((TODAY()-1))-YEAR(J212))*12+MONTH((TODAY()-1))-MONTH(J212))))))))</f>
        <v/>
      </c>
      <c r="U212">
        <f>IF(OR(M212="",NOT(ISNUMBER(J212))),"",IF(N(M212)&lt;=0,"",MIN(N(H212)-1,INT(ROUND(N212/M212,6)))))</f>
        <v/>
      </c>
      <c r="V212">
        <f>IF(T212="","",IF(T212&gt;=N(H212),L212,M212*T212))</f>
        <v/>
      </c>
      <c r="W212">
        <f>IF(V212="",0,MAX(0,ROUND(V212-N212,2)))</f>
        <v/>
      </c>
      <c r="X212">
        <f>IF(OR(R212="",R212="Paid off",NOT(ISNUMBER(P212))),"",P212*1000+ROW())</f>
        <v/>
      </c>
      <c r="Y212">
        <f>IF(C212="","",IF(AND(COUNTIF(C$6:C212,C212)=1,SUMIFS(Loans!$O$6:$O$305,Loans!$C$6:$C$305,C212,Loans!$O$6:$O$305,"&gt;0")&gt;0),ROW(),""))</f>
        <v/>
      </c>
      <c r="Z212">
        <f>IF(OR(C212="",P212=""),"",IF(D212="I borrowed","From you","To you"))</f>
        <v/>
      </c>
    </row>
    <row r="213">
      <c r="A213" s="1" t="n"/>
      <c r="B213" s="15" t="n">
        <v>208</v>
      </c>
      <c r="C213" s="16" t="n"/>
      <c r="D213" s="17" t="n"/>
      <c r="E213" s="18" t="n"/>
      <c r="F213" s="19" t="n"/>
      <c r="G213" s="20" t="n"/>
      <c r="H213" s="21" t="n"/>
      <c r="I213" s="17" t="n"/>
      <c r="J213" s="18" t="n"/>
      <c r="K213" s="22" t="n"/>
      <c r="L213" s="23">
        <f>IF(C213="","",ROUND(N(F213)*(1+N(G213)/100*IF(N(H213)&gt;0,N(H213)*IF(I213="Week",7/365,IF(I213="2 weeks",14/365,1/12)),IF(ISNUMBER(E213),MAX(0,TODAY()-E213)/365,0))),2))</f>
        <v/>
      </c>
      <c r="M213" s="23">
        <f>IF(OR(C213="",N(H213)&lt;=0),"",ROUND(L213/N(H213),2))</f>
        <v/>
      </c>
      <c r="N213" s="23">
        <f>IF(C213="","",SUMIFS(Payments!$D$6:$D$805,Payments!$G$6:$G$805,B213))</f>
        <v/>
      </c>
      <c r="O213" s="24">
        <f>IF(C213="","",ROUND(L213-N213,2))</f>
        <v/>
      </c>
      <c r="P213" s="11">
        <f>IF(OR(U213="",N(O213)&lt;=0),"",IF(I213="Week",J213+7*U213,IF(I213="2 weeks",J213+14*U213,EDATE(J213,U213))))</f>
        <v/>
      </c>
      <c r="Q213" s="23">
        <f>IF(P213="","",IF(U213=N(H213)-1,O213,ROUND(M213*(U213+1)-N213,2)))</f>
        <v/>
      </c>
      <c r="R213" s="25">
        <f>IF(C213="","",IF(O213&lt;=0,"Paid off",IF(OR(M213="",NOT(ISNUMBER(J213))),"Open",IF(W213&gt;0,"Overdue",IF(AND(ISNUMBER(P213),P213-TODAY()&lt;=Settings!$C$6),"Due soon","On track")))))</f>
        <v/>
      </c>
      <c r="S213" s="1">
        <f>IF(C213="","",B213&amp;" "&amp;C213)</f>
        <v/>
      </c>
      <c r="T213">
        <f>IF(OR(M213="",NOT(ISNUMBER(J213))),"",MIN(N(H213),IF(I213="Week",IF((TODAY()-1)&lt;J213,0,INT(((TODAY()-1)-J213)/7)+1),IF(I213="2 weeks",IF((TODAY()-1)&lt;J213,0,INT(((TODAY()-1)-J213)/14)+1),IF(((YEAR((TODAY()-1))-YEAR(J213))*12+MONTH((TODAY()-1))-MONTH(J213))&lt;0,0,IF(EDATE(J213,((YEAR((TODAY()-1))-YEAR(J213))*12+MONTH((TODAY()-1))-MONTH(J213)))&lt;=(TODAY()-1),((YEAR((TODAY()-1))-YEAR(J213))*12+MONTH((TODAY()-1))-MONTH(J213))+1,((YEAR((TODAY()-1))-YEAR(J213))*12+MONTH((TODAY()-1))-MONTH(J213))))))))</f>
        <v/>
      </c>
      <c r="U213">
        <f>IF(OR(M213="",NOT(ISNUMBER(J213))),"",IF(N(M213)&lt;=0,"",MIN(N(H213)-1,INT(ROUND(N213/M213,6)))))</f>
        <v/>
      </c>
      <c r="V213">
        <f>IF(T213="","",IF(T213&gt;=N(H213),L213,M213*T213))</f>
        <v/>
      </c>
      <c r="W213">
        <f>IF(V213="",0,MAX(0,ROUND(V213-N213,2)))</f>
        <v/>
      </c>
      <c r="X213">
        <f>IF(OR(R213="",R213="Paid off",NOT(ISNUMBER(P213))),"",P213*1000+ROW())</f>
        <v/>
      </c>
      <c r="Y213">
        <f>IF(C213="","",IF(AND(COUNTIF(C$6:C213,C213)=1,SUMIFS(Loans!$O$6:$O$305,Loans!$C$6:$C$305,C213,Loans!$O$6:$O$305,"&gt;0")&gt;0),ROW(),""))</f>
        <v/>
      </c>
      <c r="Z213">
        <f>IF(OR(C213="",P213=""),"",IF(D213="I borrowed","From you","To you"))</f>
        <v/>
      </c>
    </row>
    <row r="214">
      <c r="A214" s="1" t="n"/>
      <c r="B214" s="15" t="n">
        <v>209</v>
      </c>
      <c r="C214" s="16" t="n"/>
      <c r="D214" s="17" t="n"/>
      <c r="E214" s="18" t="n"/>
      <c r="F214" s="19" t="n"/>
      <c r="G214" s="20" t="n"/>
      <c r="H214" s="21" t="n"/>
      <c r="I214" s="17" t="n"/>
      <c r="J214" s="18" t="n"/>
      <c r="K214" s="22" t="n"/>
      <c r="L214" s="23">
        <f>IF(C214="","",ROUND(N(F214)*(1+N(G214)/100*IF(N(H214)&gt;0,N(H214)*IF(I214="Week",7/365,IF(I214="2 weeks",14/365,1/12)),IF(ISNUMBER(E214),MAX(0,TODAY()-E214)/365,0))),2))</f>
        <v/>
      </c>
      <c r="M214" s="23">
        <f>IF(OR(C214="",N(H214)&lt;=0),"",ROUND(L214/N(H214),2))</f>
        <v/>
      </c>
      <c r="N214" s="23">
        <f>IF(C214="","",SUMIFS(Payments!$D$6:$D$805,Payments!$G$6:$G$805,B214))</f>
        <v/>
      </c>
      <c r="O214" s="24">
        <f>IF(C214="","",ROUND(L214-N214,2))</f>
        <v/>
      </c>
      <c r="P214" s="11">
        <f>IF(OR(U214="",N(O214)&lt;=0),"",IF(I214="Week",J214+7*U214,IF(I214="2 weeks",J214+14*U214,EDATE(J214,U214))))</f>
        <v/>
      </c>
      <c r="Q214" s="23">
        <f>IF(P214="","",IF(U214=N(H214)-1,O214,ROUND(M214*(U214+1)-N214,2)))</f>
        <v/>
      </c>
      <c r="R214" s="25">
        <f>IF(C214="","",IF(O214&lt;=0,"Paid off",IF(OR(M214="",NOT(ISNUMBER(J214))),"Open",IF(W214&gt;0,"Overdue",IF(AND(ISNUMBER(P214),P214-TODAY()&lt;=Settings!$C$6),"Due soon","On track")))))</f>
        <v/>
      </c>
      <c r="S214" s="1">
        <f>IF(C214="","",B214&amp;" "&amp;C214)</f>
        <v/>
      </c>
      <c r="T214">
        <f>IF(OR(M214="",NOT(ISNUMBER(J214))),"",MIN(N(H214),IF(I214="Week",IF((TODAY()-1)&lt;J214,0,INT(((TODAY()-1)-J214)/7)+1),IF(I214="2 weeks",IF((TODAY()-1)&lt;J214,0,INT(((TODAY()-1)-J214)/14)+1),IF(((YEAR((TODAY()-1))-YEAR(J214))*12+MONTH((TODAY()-1))-MONTH(J214))&lt;0,0,IF(EDATE(J214,((YEAR((TODAY()-1))-YEAR(J214))*12+MONTH((TODAY()-1))-MONTH(J214)))&lt;=(TODAY()-1),((YEAR((TODAY()-1))-YEAR(J214))*12+MONTH((TODAY()-1))-MONTH(J214))+1,((YEAR((TODAY()-1))-YEAR(J214))*12+MONTH((TODAY()-1))-MONTH(J214))))))))</f>
        <v/>
      </c>
      <c r="U214">
        <f>IF(OR(M214="",NOT(ISNUMBER(J214))),"",IF(N(M214)&lt;=0,"",MIN(N(H214)-1,INT(ROUND(N214/M214,6)))))</f>
        <v/>
      </c>
      <c r="V214">
        <f>IF(T214="","",IF(T214&gt;=N(H214),L214,M214*T214))</f>
        <v/>
      </c>
      <c r="W214">
        <f>IF(V214="",0,MAX(0,ROUND(V214-N214,2)))</f>
        <v/>
      </c>
      <c r="X214">
        <f>IF(OR(R214="",R214="Paid off",NOT(ISNUMBER(P214))),"",P214*1000+ROW())</f>
        <v/>
      </c>
      <c r="Y214">
        <f>IF(C214="","",IF(AND(COUNTIF(C$6:C214,C214)=1,SUMIFS(Loans!$O$6:$O$305,Loans!$C$6:$C$305,C214,Loans!$O$6:$O$305,"&gt;0")&gt;0),ROW(),""))</f>
        <v/>
      </c>
      <c r="Z214">
        <f>IF(OR(C214="",P214=""),"",IF(D214="I borrowed","From you","To you"))</f>
        <v/>
      </c>
    </row>
    <row r="215">
      <c r="A215" s="1" t="n"/>
      <c r="B215" s="15" t="n">
        <v>210</v>
      </c>
      <c r="C215" s="16" t="n"/>
      <c r="D215" s="17" t="n"/>
      <c r="E215" s="18" t="n"/>
      <c r="F215" s="19" t="n"/>
      <c r="G215" s="20" t="n"/>
      <c r="H215" s="21" t="n"/>
      <c r="I215" s="17" t="n"/>
      <c r="J215" s="18" t="n"/>
      <c r="K215" s="22" t="n"/>
      <c r="L215" s="23">
        <f>IF(C215="","",ROUND(N(F215)*(1+N(G215)/100*IF(N(H215)&gt;0,N(H215)*IF(I215="Week",7/365,IF(I215="2 weeks",14/365,1/12)),IF(ISNUMBER(E215),MAX(0,TODAY()-E215)/365,0))),2))</f>
        <v/>
      </c>
      <c r="M215" s="23">
        <f>IF(OR(C215="",N(H215)&lt;=0),"",ROUND(L215/N(H215),2))</f>
        <v/>
      </c>
      <c r="N215" s="23">
        <f>IF(C215="","",SUMIFS(Payments!$D$6:$D$805,Payments!$G$6:$G$805,B215))</f>
        <v/>
      </c>
      <c r="O215" s="24">
        <f>IF(C215="","",ROUND(L215-N215,2))</f>
        <v/>
      </c>
      <c r="P215" s="11">
        <f>IF(OR(U215="",N(O215)&lt;=0),"",IF(I215="Week",J215+7*U215,IF(I215="2 weeks",J215+14*U215,EDATE(J215,U215))))</f>
        <v/>
      </c>
      <c r="Q215" s="23">
        <f>IF(P215="","",IF(U215=N(H215)-1,O215,ROUND(M215*(U215+1)-N215,2)))</f>
        <v/>
      </c>
      <c r="R215" s="25">
        <f>IF(C215="","",IF(O215&lt;=0,"Paid off",IF(OR(M215="",NOT(ISNUMBER(J215))),"Open",IF(W215&gt;0,"Overdue",IF(AND(ISNUMBER(P215),P215-TODAY()&lt;=Settings!$C$6),"Due soon","On track")))))</f>
        <v/>
      </c>
      <c r="S215" s="1">
        <f>IF(C215="","",B215&amp;" "&amp;C215)</f>
        <v/>
      </c>
      <c r="T215">
        <f>IF(OR(M215="",NOT(ISNUMBER(J215))),"",MIN(N(H215),IF(I215="Week",IF((TODAY()-1)&lt;J215,0,INT(((TODAY()-1)-J215)/7)+1),IF(I215="2 weeks",IF((TODAY()-1)&lt;J215,0,INT(((TODAY()-1)-J215)/14)+1),IF(((YEAR((TODAY()-1))-YEAR(J215))*12+MONTH((TODAY()-1))-MONTH(J215))&lt;0,0,IF(EDATE(J215,((YEAR((TODAY()-1))-YEAR(J215))*12+MONTH((TODAY()-1))-MONTH(J215)))&lt;=(TODAY()-1),((YEAR((TODAY()-1))-YEAR(J215))*12+MONTH((TODAY()-1))-MONTH(J215))+1,((YEAR((TODAY()-1))-YEAR(J215))*12+MONTH((TODAY()-1))-MONTH(J215))))))))</f>
        <v/>
      </c>
      <c r="U215">
        <f>IF(OR(M215="",NOT(ISNUMBER(J215))),"",IF(N(M215)&lt;=0,"",MIN(N(H215)-1,INT(ROUND(N215/M215,6)))))</f>
        <v/>
      </c>
      <c r="V215">
        <f>IF(T215="","",IF(T215&gt;=N(H215),L215,M215*T215))</f>
        <v/>
      </c>
      <c r="W215">
        <f>IF(V215="",0,MAX(0,ROUND(V215-N215,2)))</f>
        <v/>
      </c>
      <c r="X215">
        <f>IF(OR(R215="",R215="Paid off",NOT(ISNUMBER(P215))),"",P215*1000+ROW())</f>
        <v/>
      </c>
      <c r="Y215">
        <f>IF(C215="","",IF(AND(COUNTIF(C$6:C215,C215)=1,SUMIFS(Loans!$O$6:$O$305,Loans!$C$6:$C$305,C215,Loans!$O$6:$O$305,"&gt;0")&gt;0),ROW(),""))</f>
        <v/>
      </c>
      <c r="Z215">
        <f>IF(OR(C215="",P215=""),"",IF(D215="I borrowed","From you","To you"))</f>
        <v/>
      </c>
    </row>
    <row r="216">
      <c r="A216" s="1" t="n"/>
      <c r="B216" s="15" t="n">
        <v>211</v>
      </c>
      <c r="C216" s="16" t="n"/>
      <c r="D216" s="17" t="n"/>
      <c r="E216" s="18" t="n"/>
      <c r="F216" s="19" t="n"/>
      <c r="G216" s="20" t="n"/>
      <c r="H216" s="21" t="n"/>
      <c r="I216" s="17" t="n"/>
      <c r="J216" s="18" t="n"/>
      <c r="K216" s="22" t="n"/>
      <c r="L216" s="23">
        <f>IF(C216="","",ROUND(N(F216)*(1+N(G216)/100*IF(N(H216)&gt;0,N(H216)*IF(I216="Week",7/365,IF(I216="2 weeks",14/365,1/12)),IF(ISNUMBER(E216),MAX(0,TODAY()-E216)/365,0))),2))</f>
        <v/>
      </c>
      <c r="M216" s="23">
        <f>IF(OR(C216="",N(H216)&lt;=0),"",ROUND(L216/N(H216),2))</f>
        <v/>
      </c>
      <c r="N216" s="23">
        <f>IF(C216="","",SUMIFS(Payments!$D$6:$D$805,Payments!$G$6:$G$805,B216))</f>
        <v/>
      </c>
      <c r="O216" s="24">
        <f>IF(C216="","",ROUND(L216-N216,2))</f>
        <v/>
      </c>
      <c r="P216" s="11">
        <f>IF(OR(U216="",N(O216)&lt;=0),"",IF(I216="Week",J216+7*U216,IF(I216="2 weeks",J216+14*U216,EDATE(J216,U216))))</f>
        <v/>
      </c>
      <c r="Q216" s="23">
        <f>IF(P216="","",IF(U216=N(H216)-1,O216,ROUND(M216*(U216+1)-N216,2)))</f>
        <v/>
      </c>
      <c r="R216" s="25">
        <f>IF(C216="","",IF(O216&lt;=0,"Paid off",IF(OR(M216="",NOT(ISNUMBER(J216))),"Open",IF(W216&gt;0,"Overdue",IF(AND(ISNUMBER(P216),P216-TODAY()&lt;=Settings!$C$6),"Due soon","On track")))))</f>
        <v/>
      </c>
      <c r="S216" s="1">
        <f>IF(C216="","",B216&amp;" "&amp;C216)</f>
        <v/>
      </c>
      <c r="T216">
        <f>IF(OR(M216="",NOT(ISNUMBER(J216))),"",MIN(N(H216),IF(I216="Week",IF((TODAY()-1)&lt;J216,0,INT(((TODAY()-1)-J216)/7)+1),IF(I216="2 weeks",IF((TODAY()-1)&lt;J216,0,INT(((TODAY()-1)-J216)/14)+1),IF(((YEAR((TODAY()-1))-YEAR(J216))*12+MONTH((TODAY()-1))-MONTH(J216))&lt;0,0,IF(EDATE(J216,((YEAR((TODAY()-1))-YEAR(J216))*12+MONTH((TODAY()-1))-MONTH(J216)))&lt;=(TODAY()-1),((YEAR((TODAY()-1))-YEAR(J216))*12+MONTH((TODAY()-1))-MONTH(J216))+1,((YEAR((TODAY()-1))-YEAR(J216))*12+MONTH((TODAY()-1))-MONTH(J216))))))))</f>
        <v/>
      </c>
      <c r="U216">
        <f>IF(OR(M216="",NOT(ISNUMBER(J216))),"",IF(N(M216)&lt;=0,"",MIN(N(H216)-1,INT(ROUND(N216/M216,6)))))</f>
        <v/>
      </c>
      <c r="V216">
        <f>IF(T216="","",IF(T216&gt;=N(H216),L216,M216*T216))</f>
        <v/>
      </c>
      <c r="W216">
        <f>IF(V216="",0,MAX(0,ROUND(V216-N216,2)))</f>
        <v/>
      </c>
      <c r="X216">
        <f>IF(OR(R216="",R216="Paid off",NOT(ISNUMBER(P216))),"",P216*1000+ROW())</f>
        <v/>
      </c>
      <c r="Y216">
        <f>IF(C216="","",IF(AND(COUNTIF(C$6:C216,C216)=1,SUMIFS(Loans!$O$6:$O$305,Loans!$C$6:$C$305,C216,Loans!$O$6:$O$305,"&gt;0")&gt;0),ROW(),""))</f>
        <v/>
      </c>
      <c r="Z216">
        <f>IF(OR(C216="",P216=""),"",IF(D216="I borrowed","From you","To you"))</f>
        <v/>
      </c>
    </row>
    <row r="217">
      <c r="A217" s="1" t="n"/>
      <c r="B217" s="15" t="n">
        <v>212</v>
      </c>
      <c r="C217" s="16" t="n"/>
      <c r="D217" s="17" t="n"/>
      <c r="E217" s="18" t="n"/>
      <c r="F217" s="19" t="n"/>
      <c r="G217" s="20" t="n"/>
      <c r="H217" s="21" t="n"/>
      <c r="I217" s="17" t="n"/>
      <c r="J217" s="18" t="n"/>
      <c r="K217" s="22" t="n"/>
      <c r="L217" s="23">
        <f>IF(C217="","",ROUND(N(F217)*(1+N(G217)/100*IF(N(H217)&gt;0,N(H217)*IF(I217="Week",7/365,IF(I217="2 weeks",14/365,1/12)),IF(ISNUMBER(E217),MAX(0,TODAY()-E217)/365,0))),2))</f>
        <v/>
      </c>
      <c r="M217" s="23">
        <f>IF(OR(C217="",N(H217)&lt;=0),"",ROUND(L217/N(H217),2))</f>
        <v/>
      </c>
      <c r="N217" s="23">
        <f>IF(C217="","",SUMIFS(Payments!$D$6:$D$805,Payments!$G$6:$G$805,B217))</f>
        <v/>
      </c>
      <c r="O217" s="24">
        <f>IF(C217="","",ROUND(L217-N217,2))</f>
        <v/>
      </c>
      <c r="P217" s="11">
        <f>IF(OR(U217="",N(O217)&lt;=0),"",IF(I217="Week",J217+7*U217,IF(I217="2 weeks",J217+14*U217,EDATE(J217,U217))))</f>
        <v/>
      </c>
      <c r="Q217" s="23">
        <f>IF(P217="","",IF(U217=N(H217)-1,O217,ROUND(M217*(U217+1)-N217,2)))</f>
        <v/>
      </c>
      <c r="R217" s="25">
        <f>IF(C217="","",IF(O217&lt;=0,"Paid off",IF(OR(M217="",NOT(ISNUMBER(J217))),"Open",IF(W217&gt;0,"Overdue",IF(AND(ISNUMBER(P217),P217-TODAY()&lt;=Settings!$C$6),"Due soon","On track")))))</f>
        <v/>
      </c>
      <c r="S217" s="1">
        <f>IF(C217="","",B217&amp;" "&amp;C217)</f>
        <v/>
      </c>
      <c r="T217">
        <f>IF(OR(M217="",NOT(ISNUMBER(J217))),"",MIN(N(H217),IF(I217="Week",IF((TODAY()-1)&lt;J217,0,INT(((TODAY()-1)-J217)/7)+1),IF(I217="2 weeks",IF((TODAY()-1)&lt;J217,0,INT(((TODAY()-1)-J217)/14)+1),IF(((YEAR((TODAY()-1))-YEAR(J217))*12+MONTH((TODAY()-1))-MONTH(J217))&lt;0,0,IF(EDATE(J217,((YEAR((TODAY()-1))-YEAR(J217))*12+MONTH((TODAY()-1))-MONTH(J217)))&lt;=(TODAY()-1),((YEAR((TODAY()-1))-YEAR(J217))*12+MONTH((TODAY()-1))-MONTH(J217))+1,((YEAR((TODAY()-1))-YEAR(J217))*12+MONTH((TODAY()-1))-MONTH(J217))))))))</f>
        <v/>
      </c>
      <c r="U217">
        <f>IF(OR(M217="",NOT(ISNUMBER(J217))),"",IF(N(M217)&lt;=0,"",MIN(N(H217)-1,INT(ROUND(N217/M217,6)))))</f>
        <v/>
      </c>
      <c r="V217">
        <f>IF(T217="","",IF(T217&gt;=N(H217),L217,M217*T217))</f>
        <v/>
      </c>
      <c r="W217">
        <f>IF(V217="",0,MAX(0,ROUND(V217-N217,2)))</f>
        <v/>
      </c>
      <c r="X217">
        <f>IF(OR(R217="",R217="Paid off",NOT(ISNUMBER(P217))),"",P217*1000+ROW())</f>
        <v/>
      </c>
      <c r="Y217">
        <f>IF(C217="","",IF(AND(COUNTIF(C$6:C217,C217)=1,SUMIFS(Loans!$O$6:$O$305,Loans!$C$6:$C$305,C217,Loans!$O$6:$O$305,"&gt;0")&gt;0),ROW(),""))</f>
        <v/>
      </c>
      <c r="Z217">
        <f>IF(OR(C217="",P217=""),"",IF(D217="I borrowed","From you","To you"))</f>
        <v/>
      </c>
    </row>
    <row r="218">
      <c r="A218" s="1" t="n"/>
      <c r="B218" s="15" t="n">
        <v>213</v>
      </c>
      <c r="C218" s="16" t="n"/>
      <c r="D218" s="17" t="n"/>
      <c r="E218" s="18" t="n"/>
      <c r="F218" s="19" t="n"/>
      <c r="G218" s="20" t="n"/>
      <c r="H218" s="21" t="n"/>
      <c r="I218" s="17" t="n"/>
      <c r="J218" s="18" t="n"/>
      <c r="K218" s="22" t="n"/>
      <c r="L218" s="23">
        <f>IF(C218="","",ROUND(N(F218)*(1+N(G218)/100*IF(N(H218)&gt;0,N(H218)*IF(I218="Week",7/365,IF(I218="2 weeks",14/365,1/12)),IF(ISNUMBER(E218),MAX(0,TODAY()-E218)/365,0))),2))</f>
        <v/>
      </c>
      <c r="M218" s="23">
        <f>IF(OR(C218="",N(H218)&lt;=0),"",ROUND(L218/N(H218),2))</f>
        <v/>
      </c>
      <c r="N218" s="23">
        <f>IF(C218="","",SUMIFS(Payments!$D$6:$D$805,Payments!$G$6:$G$805,B218))</f>
        <v/>
      </c>
      <c r="O218" s="24">
        <f>IF(C218="","",ROUND(L218-N218,2))</f>
        <v/>
      </c>
      <c r="P218" s="11">
        <f>IF(OR(U218="",N(O218)&lt;=0),"",IF(I218="Week",J218+7*U218,IF(I218="2 weeks",J218+14*U218,EDATE(J218,U218))))</f>
        <v/>
      </c>
      <c r="Q218" s="23">
        <f>IF(P218="","",IF(U218=N(H218)-1,O218,ROUND(M218*(U218+1)-N218,2)))</f>
        <v/>
      </c>
      <c r="R218" s="25">
        <f>IF(C218="","",IF(O218&lt;=0,"Paid off",IF(OR(M218="",NOT(ISNUMBER(J218))),"Open",IF(W218&gt;0,"Overdue",IF(AND(ISNUMBER(P218),P218-TODAY()&lt;=Settings!$C$6),"Due soon","On track")))))</f>
        <v/>
      </c>
      <c r="S218" s="1">
        <f>IF(C218="","",B218&amp;" "&amp;C218)</f>
        <v/>
      </c>
      <c r="T218">
        <f>IF(OR(M218="",NOT(ISNUMBER(J218))),"",MIN(N(H218),IF(I218="Week",IF((TODAY()-1)&lt;J218,0,INT(((TODAY()-1)-J218)/7)+1),IF(I218="2 weeks",IF((TODAY()-1)&lt;J218,0,INT(((TODAY()-1)-J218)/14)+1),IF(((YEAR((TODAY()-1))-YEAR(J218))*12+MONTH((TODAY()-1))-MONTH(J218))&lt;0,0,IF(EDATE(J218,((YEAR((TODAY()-1))-YEAR(J218))*12+MONTH((TODAY()-1))-MONTH(J218)))&lt;=(TODAY()-1),((YEAR((TODAY()-1))-YEAR(J218))*12+MONTH((TODAY()-1))-MONTH(J218))+1,((YEAR((TODAY()-1))-YEAR(J218))*12+MONTH((TODAY()-1))-MONTH(J218))))))))</f>
        <v/>
      </c>
      <c r="U218">
        <f>IF(OR(M218="",NOT(ISNUMBER(J218))),"",IF(N(M218)&lt;=0,"",MIN(N(H218)-1,INT(ROUND(N218/M218,6)))))</f>
        <v/>
      </c>
      <c r="V218">
        <f>IF(T218="","",IF(T218&gt;=N(H218),L218,M218*T218))</f>
        <v/>
      </c>
      <c r="W218">
        <f>IF(V218="",0,MAX(0,ROUND(V218-N218,2)))</f>
        <v/>
      </c>
      <c r="X218">
        <f>IF(OR(R218="",R218="Paid off",NOT(ISNUMBER(P218))),"",P218*1000+ROW())</f>
        <v/>
      </c>
      <c r="Y218">
        <f>IF(C218="","",IF(AND(COUNTIF(C$6:C218,C218)=1,SUMIFS(Loans!$O$6:$O$305,Loans!$C$6:$C$305,C218,Loans!$O$6:$O$305,"&gt;0")&gt;0),ROW(),""))</f>
        <v/>
      </c>
      <c r="Z218">
        <f>IF(OR(C218="",P218=""),"",IF(D218="I borrowed","From you","To you"))</f>
        <v/>
      </c>
    </row>
    <row r="219">
      <c r="A219" s="1" t="n"/>
      <c r="B219" s="15" t="n">
        <v>214</v>
      </c>
      <c r="C219" s="16" t="n"/>
      <c r="D219" s="17" t="n"/>
      <c r="E219" s="18" t="n"/>
      <c r="F219" s="19" t="n"/>
      <c r="G219" s="20" t="n"/>
      <c r="H219" s="21" t="n"/>
      <c r="I219" s="17" t="n"/>
      <c r="J219" s="18" t="n"/>
      <c r="K219" s="22" t="n"/>
      <c r="L219" s="23">
        <f>IF(C219="","",ROUND(N(F219)*(1+N(G219)/100*IF(N(H219)&gt;0,N(H219)*IF(I219="Week",7/365,IF(I219="2 weeks",14/365,1/12)),IF(ISNUMBER(E219),MAX(0,TODAY()-E219)/365,0))),2))</f>
        <v/>
      </c>
      <c r="M219" s="23">
        <f>IF(OR(C219="",N(H219)&lt;=0),"",ROUND(L219/N(H219),2))</f>
        <v/>
      </c>
      <c r="N219" s="23">
        <f>IF(C219="","",SUMIFS(Payments!$D$6:$D$805,Payments!$G$6:$G$805,B219))</f>
        <v/>
      </c>
      <c r="O219" s="24">
        <f>IF(C219="","",ROUND(L219-N219,2))</f>
        <v/>
      </c>
      <c r="P219" s="11">
        <f>IF(OR(U219="",N(O219)&lt;=0),"",IF(I219="Week",J219+7*U219,IF(I219="2 weeks",J219+14*U219,EDATE(J219,U219))))</f>
        <v/>
      </c>
      <c r="Q219" s="23">
        <f>IF(P219="","",IF(U219=N(H219)-1,O219,ROUND(M219*(U219+1)-N219,2)))</f>
        <v/>
      </c>
      <c r="R219" s="25">
        <f>IF(C219="","",IF(O219&lt;=0,"Paid off",IF(OR(M219="",NOT(ISNUMBER(J219))),"Open",IF(W219&gt;0,"Overdue",IF(AND(ISNUMBER(P219),P219-TODAY()&lt;=Settings!$C$6),"Due soon","On track")))))</f>
        <v/>
      </c>
      <c r="S219" s="1">
        <f>IF(C219="","",B219&amp;" "&amp;C219)</f>
        <v/>
      </c>
      <c r="T219">
        <f>IF(OR(M219="",NOT(ISNUMBER(J219))),"",MIN(N(H219),IF(I219="Week",IF((TODAY()-1)&lt;J219,0,INT(((TODAY()-1)-J219)/7)+1),IF(I219="2 weeks",IF((TODAY()-1)&lt;J219,0,INT(((TODAY()-1)-J219)/14)+1),IF(((YEAR((TODAY()-1))-YEAR(J219))*12+MONTH((TODAY()-1))-MONTH(J219))&lt;0,0,IF(EDATE(J219,((YEAR((TODAY()-1))-YEAR(J219))*12+MONTH((TODAY()-1))-MONTH(J219)))&lt;=(TODAY()-1),((YEAR((TODAY()-1))-YEAR(J219))*12+MONTH((TODAY()-1))-MONTH(J219))+1,((YEAR((TODAY()-1))-YEAR(J219))*12+MONTH((TODAY()-1))-MONTH(J219))))))))</f>
        <v/>
      </c>
      <c r="U219">
        <f>IF(OR(M219="",NOT(ISNUMBER(J219))),"",IF(N(M219)&lt;=0,"",MIN(N(H219)-1,INT(ROUND(N219/M219,6)))))</f>
        <v/>
      </c>
      <c r="V219">
        <f>IF(T219="","",IF(T219&gt;=N(H219),L219,M219*T219))</f>
        <v/>
      </c>
      <c r="W219">
        <f>IF(V219="",0,MAX(0,ROUND(V219-N219,2)))</f>
        <v/>
      </c>
      <c r="X219">
        <f>IF(OR(R219="",R219="Paid off",NOT(ISNUMBER(P219))),"",P219*1000+ROW())</f>
        <v/>
      </c>
      <c r="Y219">
        <f>IF(C219="","",IF(AND(COUNTIF(C$6:C219,C219)=1,SUMIFS(Loans!$O$6:$O$305,Loans!$C$6:$C$305,C219,Loans!$O$6:$O$305,"&gt;0")&gt;0),ROW(),""))</f>
        <v/>
      </c>
      <c r="Z219">
        <f>IF(OR(C219="",P219=""),"",IF(D219="I borrowed","From you","To you"))</f>
        <v/>
      </c>
    </row>
    <row r="220">
      <c r="A220" s="1" t="n"/>
      <c r="B220" s="15" t="n">
        <v>215</v>
      </c>
      <c r="C220" s="16" t="n"/>
      <c r="D220" s="17" t="n"/>
      <c r="E220" s="18" t="n"/>
      <c r="F220" s="19" t="n"/>
      <c r="G220" s="20" t="n"/>
      <c r="H220" s="21" t="n"/>
      <c r="I220" s="17" t="n"/>
      <c r="J220" s="18" t="n"/>
      <c r="K220" s="22" t="n"/>
      <c r="L220" s="23">
        <f>IF(C220="","",ROUND(N(F220)*(1+N(G220)/100*IF(N(H220)&gt;0,N(H220)*IF(I220="Week",7/365,IF(I220="2 weeks",14/365,1/12)),IF(ISNUMBER(E220),MAX(0,TODAY()-E220)/365,0))),2))</f>
        <v/>
      </c>
      <c r="M220" s="23">
        <f>IF(OR(C220="",N(H220)&lt;=0),"",ROUND(L220/N(H220),2))</f>
        <v/>
      </c>
      <c r="N220" s="23">
        <f>IF(C220="","",SUMIFS(Payments!$D$6:$D$805,Payments!$G$6:$G$805,B220))</f>
        <v/>
      </c>
      <c r="O220" s="24">
        <f>IF(C220="","",ROUND(L220-N220,2))</f>
        <v/>
      </c>
      <c r="P220" s="11">
        <f>IF(OR(U220="",N(O220)&lt;=0),"",IF(I220="Week",J220+7*U220,IF(I220="2 weeks",J220+14*U220,EDATE(J220,U220))))</f>
        <v/>
      </c>
      <c r="Q220" s="23">
        <f>IF(P220="","",IF(U220=N(H220)-1,O220,ROUND(M220*(U220+1)-N220,2)))</f>
        <v/>
      </c>
      <c r="R220" s="25">
        <f>IF(C220="","",IF(O220&lt;=0,"Paid off",IF(OR(M220="",NOT(ISNUMBER(J220))),"Open",IF(W220&gt;0,"Overdue",IF(AND(ISNUMBER(P220),P220-TODAY()&lt;=Settings!$C$6),"Due soon","On track")))))</f>
        <v/>
      </c>
      <c r="S220" s="1">
        <f>IF(C220="","",B220&amp;" "&amp;C220)</f>
        <v/>
      </c>
      <c r="T220">
        <f>IF(OR(M220="",NOT(ISNUMBER(J220))),"",MIN(N(H220),IF(I220="Week",IF((TODAY()-1)&lt;J220,0,INT(((TODAY()-1)-J220)/7)+1),IF(I220="2 weeks",IF((TODAY()-1)&lt;J220,0,INT(((TODAY()-1)-J220)/14)+1),IF(((YEAR((TODAY()-1))-YEAR(J220))*12+MONTH((TODAY()-1))-MONTH(J220))&lt;0,0,IF(EDATE(J220,((YEAR((TODAY()-1))-YEAR(J220))*12+MONTH((TODAY()-1))-MONTH(J220)))&lt;=(TODAY()-1),((YEAR((TODAY()-1))-YEAR(J220))*12+MONTH((TODAY()-1))-MONTH(J220))+1,((YEAR((TODAY()-1))-YEAR(J220))*12+MONTH((TODAY()-1))-MONTH(J220))))))))</f>
        <v/>
      </c>
      <c r="U220">
        <f>IF(OR(M220="",NOT(ISNUMBER(J220))),"",IF(N(M220)&lt;=0,"",MIN(N(H220)-1,INT(ROUND(N220/M220,6)))))</f>
        <v/>
      </c>
      <c r="V220">
        <f>IF(T220="","",IF(T220&gt;=N(H220),L220,M220*T220))</f>
        <v/>
      </c>
      <c r="W220">
        <f>IF(V220="",0,MAX(0,ROUND(V220-N220,2)))</f>
        <v/>
      </c>
      <c r="X220">
        <f>IF(OR(R220="",R220="Paid off",NOT(ISNUMBER(P220))),"",P220*1000+ROW())</f>
        <v/>
      </c>
      <c r="Y220">
        <f>IF(C220="","",IF(AND(COUNTIF(C$6:C220,C220)=1,SUMIFS(Loans!$O$6:$O$305,Loans!$C$6:$C$305,C220,Loans!$O$6:$O$305,"&gt;0")&gt;0),ROW(),""))</f>
        <v/>
      </c>
      <c r="Z220">
        <f>IF(OR(C220="",P220=""),"",IF(D220="I borrowed","From you","To you"))</f>
        <v/>
      </c>
    </row>
    <row r="221">
      <c r="A221" s="1" t="n"/>
      <c r="B221" s="15" t="n">
        <v>216</v>
      </c>
      <c r="C221" s="16" t="n"/>
      <c r="D221" s="17" t="n"/>
      <c r="E221" s="18" t="n"/>
      <c r="F221" s="19" t="n"/>
      <c r="G221" s="20" t="n"/>
      <c r="H221" s="21" t="n"/>
      <c r="I221" s="17" t="n"/>
      <c r="J221" s="18" t="n"/>
      <c r="K221" s="22" t="n"/>
      <c r="L221" s="23">
        <f>IF(C221="","",ROUND(N(F221)*(1+N(G221)/100*IF(N(H221)&gt;0,N(H221)*IF(I221="Week",7/365,IF(I221="2 weeks",14/365,1/12)),IF(ISNUMBER(E221),MAX(0,TODAY()-E221)/365,0))),2))</f>
        <v/>
      </c>
      <c r="M221" s="23">
        <f>IF(OR(C221="",N(H221)&lt;=0),"",ROUND(L221/N(H221),2))</f>
        <v/>
      </c>
      <c r="N221" s="23">
        <f>IF(C221="","",SUMIFS(Payments!$D$6:$D$805,Payments!$G$6:$G$805,B221))</f>
        <v/>
      </c>
      <c r="O221" s="24">
        <f>IF(C221="","",ROUND(L221-N221,2))</f>
        <v/>
      </c>
      <c r="P221" s="11">
        <f>IF(OR(U221="",N(O221)&lt;=0),"",IF(I221="Week",J221+7*U221,IF(I221="2 weeks",J221+14*U221,EDATE(J221,U221))))</f>
        <v/>
      </c>
      <c r="Q221" s="23">
        <f>IF(P221="","",IF(U221=N(H221)-1,O221,ROUND(M221*(U221+1)-N221,2)))</f>
        <v/>
      </c>
      <c r="R221" s="25">
        <f>IF(C221="","",IF(O221&lt;=0,"Paid off",IF(OR(M221="",NOT(ISNUMBER(J221))),"Open",IF(W221&gt;0,"Overdue",IF(AND(ISNUMBER(P221),P221-TODAY()&lt;=Settings!$C$6),"Due soon","On track")))))</f>
        <v/>
      </c>
      <c r="S221" s="1">
        <f>IF(C221="","",B221&amp;" "&amp;C221)</f>
        <v/>
      </c>
      <c r="T221">
        <f>IF(OR(M221="",NOT(ISNUMBER(J221))),"",MIN(N(H221),IF(I221="Week",IF((TODAY()-1)&lt;J221,0,INT(((TODAY()-1)-J221)/7)+1),IF(I221="2 weeks",IF((TODAY()-1)&lt;J221,0,INT(((TODAY()-1)-J221)/14)+1),IF(((YEAR((TODAY()-1))-YEAR(J221))*12+MONTH((TODAY()-1))-MONTH(J221))&lt;0,0,IF(EDATE(J221,((YEAR((TODAY()-1))-YEAR(J221))*12+MONTH((TODAY()-1))-MONTH(J221)))&lt;=(TODAY()-1),((YEAR((TODAY()-1))-YEAR(J221))*12+MONTH((TODAY()-1))-MONTH(J221))+1,((YEAR((TODAY()-1))-YEAR(J221))*12+MONTH((TODAY()-1))-MONTH(J221))))))))</f>
        <v/>
      </c>
      <c r="U221">
        <f>IF(OR(M221="",NOT(ISNUMBER(J221))),"",IF(N(M221)&lt;=0,"",MIN(N(H221)-1,INT(ROUND(N221/M221,6)))))</f>
        <v/>
      </c>
      <c r="V221">
        <f>IF(T221="","",IF(T221&gt;=N(H221),L221,M221*T221))</f>
        <v/>
      </c>
      <c r="W221">
        <f>IF(V221="",0,MAX(0,ROUND(V221-N221,2)))</f>
        <v/>
      </c>
      <c r="X221">
        <f>IF(OR(R221="",R221="Paid off",NOT(ISNUMBER(P221))),"",P221*1000+ROW())</f>
        <v/>
      </c>
      <c r="Y221">
        <f>IF(C221="","",IF(AND(COUNTIF(C$6:C221,C221)=1,SUMIFS(Loans!$O$6:$O$305,Loans!$C$6:$C$305,C221,Loans!$O$6:$O$305,"&gt;0")&gt;0),ROW(),""))</f>
        <v/>
      </c>
      <c r="Z221">
        <f>IF(OR(C221="",P221=""),"",IF(D221="I borrowed","From you","To you"))</f>
        <v/>
      </c>
    </row>
    <row r="222">
      <c r="A222" s="1" t="n"/>
      <c r="B222" s="15" t="n">
        <v>217</v>
      </c>
      <c r="C222" s="16" t="n"/>
      <c r="D222" s="17" t="n"/>
      <c r="E222" s="18" t="n"/>
      <c r="F222" s="19" t="n"/>
      <c r="G222" s="20" t="n"/>
      <c r="H222" s="21" t="n"/>
      <c r="I222" s="17" t="n"/>
      <c r="J222" s="18" t="n"/>
      <c r="K222" s="22" t="n"/>
      <c r="L222" s="23">
        <f>IF(C222="","",ROUND(N(F222)*(1+N(G222)/100*IF(N(H222)&gt;0,N(H222)*IF(I222="Week",7/365,IF(I222="2 weeks",14/365,1/12)),IF(ISNUMBER(E222),MAX(0,TODAY()-E222)/365,0))),2))</f>
        <v/>
      </c>
      <c r="M222" s="23">
        <f>IF(OR(C222="",N(H222)&lt;=0),"",ROUND(L222/N(H222),2))</f>
        <v/>
      </c>
      <c r="N222" s="23">
        <f>IF(C222="","",SUMIFS(Payments!$D$6:$D$805,Payments!$G$6:$G$805,B222))</f>
        <v/>
      </c>
      <c r="O222" s="24">
        <f>IF(C222="","",ROUND(L222-N222,2))</f>
        <v/>
      </c>
      <c r="P222" s="11">
        <f>IF(OR(U222="",N(O222)&lt;=0),"",IF(I222="Week",J222+7*U222,IF(I222="2 weeks",J222+14*U222,EDATE(J222,U222))))</f>
        <v/>
      </c>
      <c r="Q222" s="23">
        <f>IF(P222="","",IF(U222=N(H222)-1,O222,ROUND(M222*(U222+1)-N222,2)))</f>
        <v/>
      </c>
      <c r="R222" s="25">
        <f>IF(C222="","",IF(O222&lt;=0,"Paid off",IF(OR(M222="",NOT(ISNUMBER(J222))),"Open",IF(W222&gt;0,"Overdue",IF(AND(ISNUMBER(P222),P222-TODAY()&lt;=Settings!$C$6),"Due soon","On track")))))</f>
        <v/>
      </c>
      <c r="S222" s="1">
        <f>IF(C222="","",B222&amp;" "&amp;C222)</f>
        <v/>
      </c>
      <c r="T222">
        <f>IF(OR(M222="",NOT(ISNUMBER(J222))),"",MIN(N(H222),IF(I222="Week",IF((TODAY()-1)&lt;J222,0,INT(((TODAY()-1)-J222)/7)+1),IF(I222="2 weeks",IF((TODAY()-1)&lt;J222,0,INT(((TODAY()-1)-J222)/14)+1),IF(((YEAR((TODAY()-1))-YEAR(J222))*12+MONTH((TODAY()-1))-MONTH(J222))&lt;0,0,IF(EDATE(J222,((YEAR((TODAY()-1))-YEAR(J222))*12+MONTH((TODAY()-1))-MONTH(J222)))&lt;=(TODAY()-1),((YEAR((TODAY()-1))-YEAR(J222))*12+MONTH((TODAY()-1))-MONTH(J222))+1,((YEAR((TODAY()-1))-YEAR(J222))*12+MONTH((TODAY()-1))-MONTH(J222))))))))</f>
        <v/>
      </c>
      <c r="U222">
        <f>IF(OR(M222="",NOT(ISNUMBER(J222))),"",IF(N(M222)&lt;=0,"",MIN(N(H222)-1,INT(ROUND(N222/M222,6)))))</f>
        <v/>
      </c>
      <c r="V222">
        <f>IF(T222="","",IF(T222&gt;=N(H222),L222,M222*T222))</f>
        <v/>
      </c>
      <c r="W222">
        <f>IF(V222="",0,MAX(0,ROUND(V222-N222,2)))</f>
        <v/>
      </c>
      <c r="X222">
        <f>IF(OR(R222="",R222="Paid off",NOT(ISNUMBER(P222))),"",P222*1000+ROW())</f>
        <v/>
      </c>
      <c r="Y222">
        <f>IF(C222="","",IF(AND(COUNTIF(C$6:C222,C222)=1,SUMIFS(Loans!$O$6:$O$305,Loans!$C$6:$C$305,C222,Loans!$O$6:$O$305,"&gt;0")&gt;0),ROW(),""))</f>
        <v/>
      </c>
      <c r="Z222">
        <f>IF(OR(C222="",P222=""),"",IF(D222="I borrowed","From you","To you"))</f>
        <v/>
      </c>
    </row>
    <row r="223">
      <c r="A223" s="1" t="n"/>
      <c r="B223" s="15" t="n">
        <v>218</v>
      </c>
      <c r="C223" s="16" t="n"/>
      <c r="D223" s="17" t="n"/>
      <c r="E223" s="18" t="n"/>
      <c r="F223" s="19" t="n"/>
      <c r="G223" s="20" t="n"/>
      <c r="H223" s="21" t="n"/>
      <c r="I223" s="17" t="n"/>
      <c r="J223" s="18" t="n"/>
      <c r="K223" s="22" t="n"/>
      <c r="L223" s="23">
        <f>IF(C223="","",ROUND(N(F223)*(1+N(G223)/100*IF(N(H223)&gt;0,N(H223)*IF(I223="Week",7/365,IF(I223="2 weeks",14/365,1/12)),IF(ISNUMBER(E223),MAX(0,TODAY()-E223)/365,0))),2))</f>
        <v/>
      </c>
      <c r="M223" s="23">
        <f>IF(OR(C223="",N(H223)&lt;=0),"",ROUND(L223/N(H223),2))</f>
        <v/>
      </c>
      <c r="N223" s="23">
        <f>IF(C223="","",SUMIFS(Payments!$D$6:$D$805,Payments!$G$6:$G$805,B223))</f>
        <v/>
      </c>
      <c r="O223" s="24">
        <f>IF(C223="","",ROUND(L223-N223,2))</f>
        <v/>
      </c>
      <c r="P223" s="11">
        <f>IF(OR(U223="",N(O223)&lt;=0),"",IF(I223="Week",J223+7*U223,IF(I223="2 weeks",J223+14*U223,EDATE(J223,U223))))</f>
        <v/>
      </c>
      <c r="Q223" s="23">
        <f>IF(P223="","",IF(U223=N(H223)-1,O223,ROUND(M223*(U223+1)-N223,2)))</f>
        <v/>
      </c>
      <c r="R223" s="25">
        <f>IF(C223="","",IF(O223&lt;=0,"Paid off",IF(OR(M223="",NOT(ISNUMBER(J223))),"Open",IF(W223&gt;0,"Overdue",IF(AND(ISNUMBER(P223),P223-TODAY()&lt;=Settings!$C$6),"Due soon","On track")))))</f>
        <v/>
      </c>
      <c r="S223" s="1">
        <f>IF(C223="","",B223&amp;" "&amp;C223)</f>
        <v/>
      </c>
      <c r="T223">
        <f>IF(OR(M223="",NOT(ISNUMBER(J223))),"",MIN(N(H223),IF(I223="Week",IF((TODAY()-1)&lt;J223,0,INT(((TODAY()-1)-J223)/7)+1),IF(I223="2 weeks",IF((TODAY()-1)&lt;J223,0,INT(((TODAY()-1)-J223)/14)+1),IF(((YEAR((TODAY()-1))-YEAR(J223))*12+MONTH((TODAY()-1))-MONTH(J223))&lt;0,0,IF(EDATE(J223,((YEAR((TODAY()-1))-YEAR(J223))*12+MONTH((TODAY()-1))-MONTH(J223)))&lt;=(TODAY()-1),((YEAR((TODAY()-1))-YEAR(J223))*12+MONTH((TODAY()-1))-MONTH(J223))+1,((YEAR((TODAY()-1))-YEAR(J223))*12+MONTH((TODAY()-1))-MONTH(J223))))))))</f>
        <v/>
      </c>
      <c r="U223">
        <f>IF(OR(M223="",NOT(ISNUMBER(J223))),"",IF(N(M223)&lt;=0,"",MIN(N(H223)-1,INT(ROUND(N223/M223,6)))))</f>
        <v/>
      </c>
      <c r="V223">
        <f>IF(T223="","",IF(T223&gt;=N(H223),L223,M223*T223))</f>
        <v/>
      </c>
      <c r="W223">
        <f>IF(V223="",0,MAX(0,ROUND(V223-N223,2)))</f>
        <v/>
      </c>
      <c r="X223">
        <f>IF(OR(R223="",R223="Paid off",NOT(ISNUMBER(P223))),"",P223*1000+ROW())</f>
        <v/>
      </c>
      <c r="Y223">
        <f>IF(C223="","",IF(AND(COUNTIF(C$6:C223,C223)=1,SUMIFS(Loans!$O$6:$O$305,Loans!$C$6:$C$305,C223,Loans!$O$6:$O$305,"&gt;0")&gt;0),ROW(),""))</f>
        <v/>
      </c>
      <c r="Z223">
        <f>IF(OR(C223="",P223=""),"",IF(D223="I borrowed","From you","To you"))</f>
        <v/>
      </c>
    </row>
    <row r="224">
      <c r="A224" s="1" t="n"/>
      <c r="B224" s="15" t="n">
        <v>219</v>
      </c>
      <c r="C224" s="16" t="n"/>
      <c r="D224" s="17" t="n"/>
      <c r="E224" s="18" t="n"/>
      <c r="F224" s="19" t="n"/>
      <c r="G224" s="20" t="n"/>
      <c r="H224" s="21" t="n"/>
      <c r="I224" s="17" t="n"/>
      <c r="J224" s="18" t="n"/>
      <c r="K224" s="22" t="n"/>
      <c r="L224" s="23">
        <f>IF(C224="","",ROUND(N(F224)*(1+N(G224)/100*IF(N(H224)&gt;0,N(H224)*IF(I224="Week",7/365,IF(I224="2 weeks",14/365,1/12)),IF(ISNUMBER(E224),MAX(0,TODAY()-E224)/365,0))),2))</f>
        <v/>
      </c>
      <c r="M224" s="23">
        <f>IF(OR(C224="",N(H224)&lt;=0),"",ROUND(L224/N(H224),2))</f>
        <v/>
      </c>
      <c r="N224" s="23">
        <f>IF(C224="","",SUMIFS(Payments!$D$6:$D$805,Payments!$G$6:$G$805,B224))</f>
        <v/>
      </c>
      <c r="O224" s="24">
        <f>IF(C224="","",ROUND(L224-N224,2))</f>
        <v/>
      </c>
      <c r="P224" s="11">
        <f>IF(OR(U224="",N(O224)&lt;=0),"",IF(I224="Week",J224+7*U224,IF(I224="2 weeks",J224+14*U224,EDATE(J224,U224))))</f>
        <v/>
      </c>
      <c r="Q224" s="23">
        <f>IF(P224="","",IF(U224=N(H224)-1,O224,ROUND(M224*(U224+1)-N224,2)))</f>
        <v/>
      </c>
      <c r="R224" s="25">
        <f>IF(C224="","",IF(O224&lt;=0,"Paid off",IF(OR(M224="",NOT(ISNUMBER(J224))),"Open",IF(W224&gt;0,"Overdue",IF(AND(ISNUMBER(P224),P224-TODAY()&lt;=Settings!$C$6),"Due soon","On track")))))</f>
        <v/>
      </c>
      <c r="S224" s="1">
        <f>IF(C224="","",B224&amp;" "&amp;C224)</f>
        <v/>
      </c>
      <c r="T224">
        <f>IF(OR(M224="",NOT(ISNUMBER(J224))),"",MIN(N(H224),IF(I224="Week",IF((TODAY()-1)&lt;J224,0,INT(((TODAY()-1)-J224)/7)+1),IF(I224="2 weeks",IF((TODAY()-1)&lt;J224,0,INT(((TODAY()-1)-J224)/14)+1),IF(((YEAR((TODAY()-1))-YEAR(J224))*12+MONTH((TODAY()-1))-MONTH(J224))&lt;0,0,IF(EDATE(J224,((YEAR((TODAY()-1))-YEAR(J224))*12+MONTH((TODAY()-1))-MONTH(J224)))&lt;=(TODAY()-1),((YEAR((TODAY()-1))-YEAR(J224))*12+MONTH((TODAY()-1))-MONTH(J224))+1,((YEAR((TODAY()-1))-YEAR(J224))*12+MONTH((TODAY()-1))-MONTH(J224))))))))</f>
        <v/>
      </c>
      <c r="U224">
        <f>IF(OR(M224="",NOT(ISNUMBER(J224))),"",IF(N(M224)&lt;=0,"",MIN(N(H224)-1,INT(ROUND(N224/M224,6)))))</f>
        <v/>
      </c>
      <c r="V224">
        <f>IF(T224="","",IF(T224&gt;=N(H224),L224,M224*T224))</f>
        <v/>
      </c>
      <c r="W224">
        <f>IF(V224="",0,MAX(0,ROUND(V224-N224,2)))</f>
        <v/>
      </c>
      <c r="X224">
        <f>IF(OR(R224="",R224="Paid off",NOT(ISNUMBER(P224))),"",P224*1000+ROW())</f>
        <v/>
      </c>
      <c r="Y224">
        <f>IF(C224="","",IF(AND(COUNTIF(C$6:C224,C224)=1,SUMIFS(Loans!$O$6:$O$305,Loans!$C$6:$C$305,C224,Loans!$O$6:$O$305,"&gt;0")&gt;0),ROW(),""))</f>
        <v/>
      </c>
      <c r="Z224">
        <f>IF(OR(C224="",P224=""),"",IF(D224="I borrowed","From you","To you"))</f>
        <v/>
      </c>
    </row>
    <row r="225">
      <c r="A225" s="1" t="n"/>
      <c r="B225" s="15" t="n">
        <v>220</v>
      </c>
      <c r="C225" s="16" t="n"/>
      <c r="D225" s="17" t="n"/>
      <c r="E225" s="18" t="n"/>
      <c r="F225" s="19" t="n"/>
      <c r="G225" s="20" t="n"/>
      <c r="H225" s="21" t="n"/>
      <c r="I225" s="17" t="n"/>
      <c r="J225" s="18" t="n"/>
      <c r="K225" s="22" t="n"/>
      <c r="L225" s="23">
        <f>IF(C225="","",ROUND(N(F225)*(1+N(G225)/100*IF(N(H225)&gt;0,N(H225)*IF(I225="Week",7/365,IF(I225="2 weeks",14/365,1/12)),IF(ISNUMBER(E225),MAX(0,TODAY()-E225)/365,0))),2))</f>
        <v/>
      </c>
      <c r="M225" s="23">
        <f>IF(OR(C225="",N(H225)&lt;=0),"",ROUND(L225/N(H225),2))</f>
        <v/>
      </c>
      <c r="N225" s="23">
        <f>IF(C225="","",SUMIFS(Payments!$D$6:$D$805,Payments!$G$6:$G$805,B225))</f>
        <v/>
      </c>
      <c r="O225" s="24">
        <f>IF(C225="","",ROUND(L225-N225,2))</f>
        <v/>
      </c>
      <c r="P225" s="11">
        <f>IF(OR(U225="",N(O225)&lt;=0),"",IF(I225="Week",J225+7*U225,IF(I225="2 weeks",J225+14*U225,EDATE(J225,U225))))</f>
        <v/>
      </c>
      <c r="Q225" s="23">
        <f>IF(P225="","",IF(U225=N(H225)-1,O225,ROUND(M225*(U225+1)-N225,2)))</f>
        <v/>
      </c>
      <c r="R225" s="25">
        <f>IF(C225="","",IF(O225&lt;=0,"Paid off",IF(OR(M225="",NOT(ISNUMBER(J225))),"Open",IF(W225&gt;0,"Overdue",IF(AND(ISNUMBER(P225),P225-TODAY()&lt;=Settings!$C$6),"Due soon","On track")))))</f>
        <v/>
      </c>
      <c r="S225" s="1">
        <f>IF(C225="","",B225&amp;" "&amp;C225)</f>
        <v/>
      </c>
      <c r="T225">
        <f>IF(OR(M225="",NOT(ISNUMBER(J225))),"",MIN(N(H225),IF(I225="Week",IF((TODAY()-1)&lt;J225,0,INT(((TODAY()-1)-J225)/7)+1),IF(I225="2 weeks",IF((TODAY()-1)&lt;J225,0,INT(((TODAY()-1)-J225)/14)+1),IF(((YEAR((TODAY()-1))-YEAR(J225))*12+MONTH((TODAY()-1))-MONTH(J225))&lt;0,0,IF(EDATE(J225,((YEAR((TODAY()-1))-YEAR(J225))*12+MONTH((TODAY()-1))-MONTH(J225)))&lt;=(TODAY()-1),((YEAR((TODAY()-1))-YEAR(J225))*12+MONTH((TODAY()-1))-MONTH(J225))+1,((YEAR((TODAY()-1))-YEAR(J225))*12+MONTH((TODAY()-1))-MONTH(J225))))))))</f>
        <v/>
      </c>
      <c r="U225">
        <f>IF(OR(M225="",NOT(ISNUMBER(J225))),"",IF(N(M225)&lt;=0,"",MIN(N(H225)-1,INT(ROUND(N225/M225,6)))))</f>
        <v/>
      </c>
      <c r="V225">
        <f>IF(T225="","",IF(T225&gt;=N(H225),L225,M225*T225))</f>
        <v/>
      </c>
      <c r="W225">
        <f>IF(V225="",0,MAX(0,ROUND(V225-N225,2)))</f>
        <v/>
      </c>
      <c r="X225">
        <f>IF(OR(R225="",R225="Paid off",NOT(ISNUMBER(P225))),"",P225*1000+ROW())</f>
        <v/>
      </c>
      <c r="Y225">
        <f>IF(C225="","",IF(AND(COUNTIF(C$6:C225,C225)=1,SUMIFS(Loans!$O$6:$O$305,Loans!$C$6:$C$305,C225,Loans!$O$6:$O$305,"&gt;0")&gt;0),ROW(),""))</f>
        <v/>
      </c>
      <c r="Z225">
        <f>IF(OR(C225="",P225=""),"",IF(D225="I borrowed","From you","To you"))</f>
        <v/>
      </c>
    </row>
    <row r="226">
      <c r="A226" s="1" t="n"/>
      <c r="B226" s="15" t="n">
        <v>221</v>
      </c>
      <c r="C226" s="16" t="n"/>
      <c r="D226" s="17" t="n"/>
      <c r="E226" s="18" t="n"/>
      <c r="F226" s="19" t="n"/>
      <c r="G226" s="20" t="n"/>
      <c r="H226" s="21" t="n"/>
      <c r="I226" s="17" t="n"/>
      <c r="J226" s="18" t="n"/>
      <c r="K226" s="22" t="n"/>
      <c r="L226" s="23">
        <f>IF(C226="","",ROUND(N(F226)*(1+N(G226)/100*IF(N(H226)&gt;0,N(H226)*IF(I226="Week",7/365,IF(I226="2 weeks",14/365,1/12)),IF(ISNUMBER(E226),MAX(0,TODAY()-E226)/365,0))),2))</f>
        <v/>
      </c>
      <c r="M226" s="23">
        <f>IF(OR(C226="",N(H226)&lt;=0),"",ROUND(L226/N(H226),2))</f>
        <v/>
      </c>
      <c r="N226" s="23">
        <f>IF(C226="","",SUMIFS(Payments!$D$6:$D$805,Payments!$G$6:$G$805,B226))</f>
        <v/>
      </c>
      <c r="O226" s="24">
        <f>IF(C226="","",ROUND(L226-N226,2))</f>
        <v/>
      </c>
      <c r="P226" s="11">
        <f>IF(OR(U226="",N(O226)&lt;=0),"",IF(I226="Week",J226+7*U226,IF(I226="2 weeks",J226+14*U226,EDATE(J226,U226))))</f>
        <v/>
      </c>
      <c r="Q226" s="23">
        <f>IF(P226="","",IF(U226=N(H226)-1,O226,ROUND(M226*(U226+1)-N226,2)))</f>
        <v/>
      </c>
      <c r="R226" s="25">
        <f>IF(C226="","",IF(O226&lt;=0,"Paid off",IF(OR(M226="",NOT(ISNUMBER(J226))),"Open",IF(W226&gt;0,"Overdue",IF(AND(ISNUMBER(P226),P226-TODAY()&lt;=Settings!$C$6),"Due soon","On track")))))</f>
        <v/>
      </c>
      <c r="S226" s="1">
        <f>IF(C226="","",B226&amp;" "&amp;C226)</f>
        <v/>
      </c>
      <c r="T226">
        <f>IF(OR(M226="",NOT(ISNUMBER(J226))),"",MIN(N(H226),IF(I226="Week",IF((TODAY()-1)&lt;J226,0,INT(((TODAY()-1)-J226)/7)+1),IF(I226="2 weeks",IF((TODAY()-1)&lt;J226,0,INT(((TODAY()-1)-J226)/14)+1),IF(((YEAR((TODAY()-1))-YEAR(J226))*12+MONTH((TODAY()-1))-MONTH(J226))&lt;0,0,IF(EDATE(J226,((YEAR((TODAY()-1))-YEAR(J226))*12+MONTH((TODAY()-1))-MONTH(J226)))&lt;=(TODAY()-1),((YEAR((TODAY()-1))-YEAR(J226))*12+MONTH((TODAY()-1))-MONTH(J226))+1,((YEAR((TODAY()-1))-YEAR(J226))*12+MONTH((TODAY()-1))-MONTH(J226))))))))</f>
        <v/>
      </c>
      <c r="U226">
        <f>IF(OR(M226="",NOT(ISNUMBER(J226))),"",IF(N(M226)&lt;=0,"",MIN(N(H226)-1,INT(ROUND(N226/M226,6)))))</f>
        <v/>
      </c>
      <c r="V226">
        <f>IF(T226="","",IF(T226&gt;=N(H226),L226,M226*T226))</f>
        <v/>
      </c>
      <c r="W226">
        <f>IF(V226="",0,MAX(0,ROUND(V226-N226,2)))</f>
        <v/>
      </c>
      <c r="X226">
        <f>IF(OR(R226="",R226="Paid off",NOT(ISNUMBER(P226))),"",P226*1000+ROW())</f>
        <v/>
      </c>
      <c r="Y226">
        <f>IF(C226="","",IF(AND(COUNTIF(C$6:C226,C226)=1,SUMIFS(Loans!$O$6:$O$305,Loans!$C$6:$C$305,C226,Loans!$O$6:$O$305,"&gt;0")&gt;0),ROW(),""))</f>
        <v/>
      </c>
      <c r="Z226">
        <f>IF(OR(C226="",P226=""),"",IF(D226="I borrowed","From you","To you"))</f>
        <v/>
      </c>
    </row>
    <row r="227">
      <c r="A227" s="1" t="n"/>
      <c r="B227" s="15" t="n">
        <v>222</v>
      </c>
      <c r="C227" s="16" t="n"/>
      <c r="D227" s="17" t="n"/>
      <c r="E227" s="18" t="n"/>
      <c r="F227" s="19" t="n"/>
      <c r="G227" s="20" t="n"/>
      <c r="H227" s="21" t="n"/>
      <c r="I227" s="17" t="n"/>
      <c r="J227" s="18" t="n"/>
      <c r="K227" s="22" t="n"/>
      <c r="L227" s="23">
        <f>IF(C227="","",ROUND(N(F227)*(1+N(G227)/100*IF(N(H227)&gt;0,N(H227)*IF(I227="Week",7/365,IF(I227="2 weeks",14/365,1/12)),IF(ISNUMBER(E227),MAX(0,TODAY()-E227)/365,0))),2))</f>
        <v/>
      </c>
      <c r="M227" s="23">
        <f>IF(OR(C227="",N(H227)&lt;=0),"",ROUND(L227/N(H227),2))</f>
        <v/>
      </c>
      <c r="N227" s="23">
        <f>IF(C227="","",SUMIFS(Payments!$D$6:$D$805,Payments!$G$6:$G$805,B227))</f>
        <v/>
      </c>
      <c r="O227" s="24">
        <f>IF(C227="","",ROUND(L227-N227,2))</f>
        <v/>
      </c>
      <c r="P227" s="11">
        <f>IF(OR(U227="",N(O227)&lt;=0),"",IF(I227="Week",J227+7*U227,IF(I227="2 weeks",J227+14*U227,EDATE(J227,U227))))</f>
        <v/>
      </c>
      <c r="Q227" s="23">
        <f>IF(P227="","",IF(U227=N(H227)-1,O227,ROUND(M227*(U227+1)-N227,2)))</f>
        <v/>
      </c>
      <c r="R227" s="25">
        <f>IF(C227="","",IF(O227&lt;=0,"Paid off",IF(OR(M227="",NOT(ISNUMBER(J227))),"Open",IF(W227&gt;0,"Overdue",IF(AND(ISNUMBER(P227),P227-TODAY()&lt;=Settings!$C$6),"Due soon","On track")))))</f>
        <v/>
      </c>
      <c r="S227" s="1">
        <f>IF(C227="","",B227&amp;" "&amp;C227)</f>
        <v/>
      </c>
      <c r="T227">
        <f>IF(OR(M227="",NOT(ISNUMBER(J227))),"",MIN(N(H227),IF(I227="Week",IF((TODAY()-1)&lt;J227,0,INT(((TODAY()-1)-J227)/7)+1),IF(I227="2 weeks",IF((TODAY()-1)&lt;J227,0,INT(((TODAY()-1)-J227)/14)+1),IF(((YEAR((TODAY()-1))-YEAR(J227))*12+MONTH((TODAY()-1))-MONTH(J227))&lt;0,0,IF(EDATE(J227,((YEAR((TODAY()-1))-YEAR(J227))*12+MONTH((TODAY()-1))-MONTH(J227)))&lt;=(TODAY()-1),((YEAR((TODAY()-1))-YEAR(J227))*12+MONTH((TODAY()-1))-MONTH(J227))+1,((YEAR((TODAY()-1))-YEAR(J227))*12+MONTH((TODAY()-1))-MONTH(J227))))))))</f>
        <v/>
      </c>
      <c r="U227">
        <f>IF(OR(M227="",NOT(ISNUMBER(J227))),"",IF(N(M227)&lt;=0,"",MIN(N(H227)-1,INT(ROUND(N227/M227,6)))))</f>
        <v/>
      </c>
      <c r="V227">
        <f>IF(T227="","",IF(T227&gt;=N(H227),L227,M227*T227))</f>
        <v/>
      </c>
      <c r="W227">
        <f>IF(V227="",0,MAX(0,ROUND(V227-N227,2)))</f>
        <v/>
      </c>
      <c r="X227">
        <f>IF(OR(R227="",R227="Paid off",NOT(ISNUMBER(P227))),"",P227*1000+ROW())</f>
        <v/>
      </c>
      <c r="Y227">
        <f>IF(C227="","",IF(AND(COUNTIF(C$6:C227,C227)=1,SUMIFS(Loans!$O$6:$O$305,Loans!$C$6:$C$305,C227,Loans!$O$6:$O$305,"&gt;0")&gt;0),ROW(),""))</f>
        <v/>
      </c>
      <c r="Z227">
        <f>IF(OR(C227="",P227=""),"",IF(D227="I borrowed","From you","To you"))</f>
        <v/>
      </c>
    </row>
    <row r="228">
      <c r="A228" s="1" t="n"/>
      <c r="B228" s="15" t="n">
        <v>223</v>
      </c>
      <c r="C228" s="16" t="n"/>
      <c r="D228" s="17" t="n"/>
      <c r="E228" s="18" t="n"/>
      <c r="F228" s="19" t="n"/>
      <c r="G228" s="20" t="n"/>
      <c r="H228" s="21" t="n"/>
      <c r="I228" s="17" t="n"/>
      <c r="J228" s="18" t="n"/>
      <c r="K228" s="22" t="n"/>
      <c r="L228" s="23">
        <f>IF(C228="","",ROUND(N(F228)*(1+N(G228)/100*IF(N(H228)&gt;0,N(H228)*IF(I228="Week",7/365,IF(I228="2 weeks",14/365,1/12)),IF(ISNUMBER(E228),MAX(0,TODAY()-E228)/365,0))),2))</f>
        <v/>
      </c>
      <c r="M228" s="23">
        <f>IF(OR(C228="",N(H228)&lt;=0),"",ROUND(L228/N(H228),2))</f>
        <v/>
      </c>
      <c r="N228" s="23">
        <f>IF(C228="","",SUMIFS(Payments!$D$6:$D$805,Payments!$G$6:$G$805,B228))</f>
        <v/>
      </c>
      <c r="O228" s="24">
        <f>IF(C228="","",ROUND(L228-N228,2))</f>
        <v/>
      </c>
      <c r="P228" s="11">
        <f>IF(OR(U228="",N(O228)&lt;=0),"",IF(I228="Week",J228+7*U228,IF(I228="2 weeks",J228+14*U228,EDATE(J228,U228))))</f>
        <v/>
      </c>
      <c r="Q228" s="23">
        <f>IF(P228="","",IF(U228=N(H228)-1,O228,ROUND(M228*(U228+1)-N228,2)))</f>
        <v/>
      </c>
      <c r="R228" s="25">
        <f>IF(C228="","",IF(O228&lt;=0,"Paid off",IF(OR(M228="",NOT(ISNUMBER(J228))),"Open",IF(W228&gt;0,"Overdue",IF(AND(ISNUMBER(P228),P228-TODAY()&lt;=Settings!$C$6),"Due soon","On track")))))</f>
        <v/>
      </c>
      <c r="S228" s="1">
        <f>IF(C228="","",B228&amp;" "&amp;C228)</f>
        <v/>
      </c>
      <c r="T228">
        <f>IF(OR(M228="",NOT(ISNUMBER(J228))),"",MIN(N(H228),IF(I228="Week",IF((TODAY()-1)&lt;J228,0,INT(((TODAY()-1)-J228)/7)+1),IF(I228="2 weeks",IF((TODAY()-1)&lt;J228,0,INT(((TODAY()-1)-J228)/14)+1),IF(((YEAR((TODAY()-1))-YEAR(J228))*12+MONTH((TODAY()-1))-MONTH(J228))&lt;0,0,IF(EDATE(J228,((YEAR((TODAY()-1))-YEAR(J228))*12+MONTH((TODAY()-1))-MONTH(J228)))&lt;=(TODAY()-1),((YEAR((TODAY()-1))-YEAR(J228))*12+MONTH((TODAY()-1))-MONTH(J228))+1,((YEAR((TODAY()-1))-YEAR(J228))*12+MONTH((TODAY()-1))-MONTH(J228))))))))</f>
        <v/>
      </c>
      <c r="U228">
        <f>IF(OR(M228="",NOT(ISNUMBER(J228))),"",IF(N(M228)&lt;=0,"",MIN(N(H228)-1,INT(ROUND(N228/M228,6)))))</f>
        <v/>
      </c>
      <c r="V228">
        <f>IF(T228="","",IF(T228&gt;=N(H228),L228,M228*T228))</f>
        <v/>
      </c>
      <c r="W228">
        <f>IF(V228="",0,MAX(0,ROUND(V228-N228,2)))</f>
        <v/>
      </c>
      <c r="X228">
        <f>IF(OR(R228="",R228="Paid off",NOT(ISNUMBER(P228))),"",P228*1000+ROW())</f>
        <v/>
      </c>
      <c r="Y228">
        <f>IF(C228="","",IF(AND(COUNTIF(C$6:C228,C228)=1,SUMIFS(Loans!$O$6:$O$305,Loans!$C$6:$C$305,C228,Loans!$O$6:$O$305,"&gt;0")&gt;0),ROW(),""))</f>
        <v/>
      </c>
      <c r="Z228">
        <f>IF(OR(C228="",P228=""),"",IF(D228="I borrowed","From you","To you"))</f>
        <v/>
      </c>
    </row>
    <row r="229">
      <c r="A229" s="1" t="n"/>
      <c r="B229" s="15" t="n">
        <v>224</v>
      </c>
      <c r="C229" s="16" t="n"/>
      <c r="D229" s="17" t="n"/>
      <c r="E229" s="18" t="n"/>
      <c r="F229" s="19" t="n"/>
      <c r="G229" s="20" t="n"/>
      <c r="H229" s="21" t="n"/>
      <c r="I229" s="17" t="n"/>
      <c r="J229" s="18" t="n"/>
      <c r="K229" s="22" t="n"/>
      <c r="L229" s="23">
        <f>IF(C229="","",ROUND(N(F229)*(1+N(G229)/100*IF(N(H229)&gt;0,N(H229)*IF(I229="Week",7/365,IF(I229="2 weeks",14/365,1/12)),IF(ISNUMBER(E229),MAX(0,TODAY()-E229)/365,0))),2))</f>
        <v/>
      </c>
      <c r="M229" s="23">
        <f>IF(OR(C229="",N(H229)&lt;=0),"",ROUND(L229/N(H229),2))</f>
        <v/>
      </c>
      <c r="N229" s="23">
        <f>IF(C229="","",SUMIFS(Payments!$D$6:$D$805,Payments!$G$6:$G$805,B229))</f>
        <v/>
      </c>
      <c r="O229" s="24">
        <f>IF(C229="","",ROUND(L229-N229,2))</f>
        <v/>
      </c>
      <c r="P229" s="11">
        <f>IF(OR(U229="",N(O229)&lt;=0),"",IF(I229="Week",J229+7*U229,IF(I229="2 weeks",J229+14*U229,EDATE(J229,U229))))</f>
        <v/>
      </c>
      <c r="Q229" s="23">
        <f>IF(P229="","",IF(U229=N(H229)-1,O229,ROUND(M229*(U229+1)-N229,2)))</f>
        <v/>
      </c>
      <c r="R229" s="25">
        <f>IF(C229="","",IF(O229&lt;=0,"Paid off",IF(OR(M229="",NOT(ISNUMBER(J229))),"Open",IF(W229&gt;0,"Overdue",IF(AND(ISNUMBER(P229),P229-TODAY()&lt;=Settings!$C$6),"Due soon","On track")))))</f>
        <v/>
      </c>
      <c r="S229" s="1">
        <f>IF(C229="","",B229&amp;" "&amp;C229)</f>
        <v/>
      </c>
      <c r="T229">
        <f>IF(OR(M229="",NOT(ISNUMBER(J229))),"",MIN(N(H229),IF(I229="Week",IF((TODAY()-1)&lt;J229,0,INT(((TODAY()-1)-J229)/7)+1),IF(I229="2 weeks",IF((TODAY()-1)&lt;J229,0,INT(((TODAY()-1)-J229)/14)+1),IF(((YEAR((TODAY()-1))-YEAR(J229))*12+MONTH((TODAY()-1))-MONTH(J229))&lt;0,0,IF(EDATE(J229,((YEAR((TODAY()-1))-YEAR(J229))*12+MONTH((TODAY()-1))-MONTH(J229)))&lt;=(TODAY()-1),((YEAR((TODAY()-1))-YEAR(J229))*12+MONTH((TODAY()-1))-MONTH(J229))+1,((YEAR((TODAY()-1))-YEAR(J229))*12+MONTH((TODAY()-1))-MONTH(J229))))))))</f>
        <v/>
      </c>
      <c r="U229">
        <f>IF(OR(M229="",NOT(ISNUMBER(J229))),"",IF(N(M229)&lt;=0,"",MIN(N(H229)-1,INT(ROUND(N229/M229,6)))))</f>
        <v/>
      </c>
      <c r="V229">
        <f>IF(T229="","",IF(T229&gt;=N(H229),L229,M229*T229))</f>
        <v/>
      </c>
      <c r="W229">
        <f>IF(V229="",0,MAX(0,ROUND(V229-N229,2)))</f>
        <v/>
      </c>
      <c r="X229">
        <f>IF(OR(R229="",R229="Paid off",NOT(ISNUMBER(P229))),"",P229*1000+ROW())</f>
        <v/>
      </c>
      <c r="Y229">
        <f>IF(C229="","",IF(AND(COUNTIF(C$6:C229,C229)=1,SUMIFS(Loans!$O$6:$O$305,Loans!$C$6:$C$305,C229,Loans!$O$6:$O$305,"&gt;0")&gt;0),ROW(),""))</f>
        <v/>
      </c>
      <c r="Z229">
        <f>IF(OR(C229="",P229=""),"",IF(D229="I borrowed","From you","To you"))</f>
        <v/>
      </c>
    </row>
    <row r="230">
      <c r="A230" s="1" t="n"/>
      <c r="B230" s="15" t="n">
        <v>225</v>
      </c>
      <c r="C230" s="16" t="n"/>
      <c r="D230" s="17" t="n"/>
      <c r="E230" s="18" t="n"/>
      <c r="F230" s="19" t="n"/>
      <c r="G230" s="20" t="n"/>
      <c r="H230" s="21" t="n"/>
      <c r="I230" s="17" t="n"/>
      <c r="J230" s="18" t="n"/>
      <c r="K230" s="22" t="n"/>
      <c r="L230" s="23">
        <f>IF(C230="","",ROUND(N(F230)*(1+N(G230)/100*IF(N(H230)&gt;0,N(H230)*IF(I230="Week",7/365,IF(I230="2 weeks",14/365,1/12)),IF(ISNUMBER(E230),MAX(0,TODAY()-E230)/365,0))),2))</f>
        <v/>
      </c>
      <c r="M230" s="23">
        <f>IF(OR(C230="",N(H230)&lt;=0),"",ROUND(L230/N(H230),2))</f>
        <v/>
      </c>
      <c r="N230" s="23">
        <f>IF(C230="","",SUMIFS(Payments!$D$6:$D$805,Payments!$G$6:$G$805,B230))</f>
        <v/>
      </c>
      <c r="O230" s="24">
        <f>IF(C230="","",ROUND(L230-N230,2))</f>
        <v/>
      </c>
      <c r="P230" s="11">
        <f>IF(OR(U230="",N(O230)&lt;=0),"",IF(I230="Week",J230+7*U230,IF(I230="2 weeks",J230+14*U230,EDATE(J230,U230))))</f>
        <v/>
      </c>
      <c r="Q230" s="23">
        <f>IF(P230="","",IF(U230=N(H230)-1,O230,ROUND(M230*(U230+1)-N230,2)))</f>
        <v/>
      </c>
      <c r="R230" s="25">
        <f>IF(C230="","",IF(O230&lt;=0,"Paid off",IF(OR(M230="",NOT(ISNUMBER(J230))),"Open",IF(W230&gt;0,"Overdue",IF(AND(ISNUMBER(P230),P230-TODAY()&lt;=Settings!$C$6),"Due soon","On track")))))</f>
        <v/>
      </c>
      <c r="S230" s="1">
        <f>IF(C230="","",B230&amp;" "&amp;C230)</f>
        <v/>
      </c>
      <c r="T230">
        <f>IF(OR(M230="",NOT(ISNUMBER(J230))),"",MIN(N(H230),IF(I230="Week",IF((TODAY()-1)&lt;J230,0,INT(((TODAY()-1)-J230)/7)+1),IF(I230="2 weeks",IF((TODAY()-1)&lt;J230,0,INT(((TODAY()-1)-J230)/14)+1),IF(((YEAR((TODAY()-1))-YEAR(J230))*12+MONTH((TODAY()-1))-MONTH(J230))&lt;0,0,IF(EDATE(J230,((YEAR((TODAY()-1))-YEAR(J230))*12+MONTH((TODAY()-1))-MONTH(J230)))&lt;=(TODAY()-1),((YEAR((TODAY()-1))-YEAR(J230))*12+MONTH((TODAY()-1))-MONTH(J230))+1,((YEAR((TODAY()-1))-YEAR(J230))*12+MONTH((TODAY()-1))-MONTH(J230))))))))</f>
        <v/>
      </c>
      <c r="U230">
        <f>IF(OR(M230="",NOT(ISNUMBER(J230))),"",IF(N(M230)&lt;=0,"",MIN(N(H230)-1,INT(ROUND(N230/M230,6)))))</f>
        <v/>
      </c>
      <c r="V230">
        <f>IF(T230="","",IF(T230&gt;=N(H230),L230,M230*T230))</f>
        <v/>
      </c>
      <c r="W230">
        <f>IF(V230="",0,MAX(0,ROUND(V230-N230,2)))</f>
        <v/>
      </c>
      <c r="X230">
        <f>IF(OR(R230="",R230="Paid off",NOT(ISNUMBER(P230))),"",P230*1000+ROW())</f>
        <v/>
      </c>
      <c r="Y230">
        <f>IF(C230="","",IF(AND(COUNTIF(C$6:C230,C230)=1,SUMIFS(Loans!$O$6:$O$305,Loans!$C$6:$C$305,C230,Loans!$O$6:$O$305,"&gt;0")&gt;0),ROW(),""))</f>
        <v/>
      </c>
      <c r="Z230">
        <f>IF(OR(C230="",P230=""),"",IF(D230="I borrowed","From you","To you"))</f>
        <v/>
      </c>
    </row>
    <row r="231">
      <c r="A231" s="1" t="n"/>
      <c r="B231" s="15" t="n">
        <v>226</v>
      </c>
      <c r="C231" s="16" t="n"/>
      <c r="D231" s="17" t="n"/>
      <c r="E231" s="18" t="n"/>
      <c r="F231" s="19" t="n"/>
      <c r="G231" s="20" t="n"/>
      <c r="H231" s="21" t="n"/>
      <c r="I231" s="17" t="n"/>
      <c r="J231" s="18" t="n"/>
      <c r="K231" s="22" t="n"/>
      <c r="L231" s="23">
        <f>IF(C231="","",ROUND(N(F231)*(1+N(G231)/100*IF(N(H231)&gt;0,N(H231)*IF(I231="Week",7/365,IF(I231="2 weeks",14/365,1/12)),IF(ISNUMBER(E231),MAX(0,TODAY()-E231)/365,0))),2))</f>
        <v/>
      </c>
      <c r="M231" s="23">
        <f>IF(OR(C231="",N(H231)&lt;=0),"",ROUND(L231/N(H231),2))</f>
        <v/>
      </c>
      <c r="N231" s="23">
        <f>IF(C231="","",SUMIFS(Payments!$D$6:$D$805,Payments!$G$6:$G$805,B231))</f>
        <v/>
      </c>
      <c r="O231" s="24">
        <f>IF(C231="","",ROUND(L231-N231,2))</f>
        <v/>
      </c>
      <c r="P231" s="11">
        <f>IF(OR(U231="",N(O231)&lt;=0),"",IF(I231="Week",J231+7*U231,IF(I231="2 weeks",J231+14*U231,EDATE(J231,U231))))</f>
        <v/>
      </c>
      <c r="Q231" s="23">
        <f>IF(P231="","",IF(U231=N(H231)-1,O231,ROUND(M231*(U231+1)-N231,2)))</f>
        <v/>
      </c>
      <c r="R231" s="25">
        <f>IF(C231="","",IF(O231&lt;=0,"Paid off",IF(OR(M231="",NOT(ISNUMBER(J231))),"Open",IF(W231&gt;0,"Overdue",IF(AND(ISNUMBER(P231),P231-TODAY()&lt;=Settings!$C$6),"Due soon","On track")))))</f>
        <v/>
      </c>
      <c r="S231" s="1">
        <f>IF(C231="","",B231&amp;" "&amp;C231)</f>
        <v/>
      </c>
      <c r="T231">
        <f>IF(OR(M231="",NOT(ISNUMBER(J231))),"",MIN(N(H231),IF(I231="Week",IF((TODAY()-1)&lt;J231,0,INT(((TODAY()-1)-J231)/7)+1),IF(I231="2 weeks",IF((TODAY()-1)&lt;J231,0,INT(((TODAY()-1)-J231)/14)+1),IF(((YEAR((TODAY()-1))-YEAR(J231))*12+MONTH((TODAY()-1))-MONTH(J231))&lt;0,0,IF(EDATE(J231,((YEAR((TODAY()-1))-YEAR(J231))*12+MONTH((TODAY()-1))-MONTH(J231)))&lt;=(TODAY()-1),((YEAR((TODAY()-1))-YEAR(J231))*12+MONTH((TODAY()-1))-MONTH(J231))+1,((YEAR((TODAY()-1))-YEAR(J231))*12+MONTH((TODAY()-1))-MONTH(J231))))))))</f>
        <v/>
      </c>
      <c r="U231">
        <f>IF(OR(M231="",NOT(ISNUMBER(J231))),"",IF(N(M231)&lt;=0,"",MIN(N(H231)-1,INT(ROUND(N231/M231,6)))))</f>
        <v/>
      </c>
      <c r="V231">
        <f>IF(T231="","",IF(T231&gt;=N(H231),L231,M231*T231))</f>
        <v/>
      </c>
      <c r="W231">
        <f>IF(V231="",0,MAX(0,ROUND(V231-N231,2)))</f>
        <v/>
      </c>
      <c r="X231">
        <f>IF(OR(R231="",R231="Paid off",NOT(ISNUMBER(P231))),"",P231*1000+ROW())</f>
        <v/>
      </c>
      <c r="Y231">
        <f>IF(C231="","",IF(AND(COUNTIF(C$6:C231,C231)=1,SUMIFS(Loans!$O$6:$O$305,Loans!$C$6:$C$305,C231,Loans!$O$6:$O$305,"&gt;0")&gt;0),ROW(),""))</f>
        <v/>
      </c>
      <c r="Z231">
        <f>IF(OR(C231="",P231=""),"",IF(D231="I borrowed","From you","To you"))</f>
        <v/>
      </c>
    </row>
    <row r="232">
      <c r="A232" s="1" t="n"/>
      <c r="B232" s="15" t="n">
        <v>227</v>
      </c>
      <c r="C232" s="16" t="n"/>
      <c r="D232" s="17" t="n"/>
      <c r="E232" s="18" t="n"/>
      <c r="F232" s="19" t="n"/>
      <c r="G232" s="20" t="n"/>
      <c r="H232" s="21" t="n"/>
      <c r="I232" s="17" t="n"/>
      <c r="J232" s="18" t="n"/>
      <c r="K232" s="22" t="n"/>
      <c r="L232" s="23">
        <f>IF(C232="","",ROUND(N(F232)*(1+N(G232)/100*IF(N(H232)&gt;0,N(H232)*IF(I232="Week",7/365,IF(I232="2 weeks",14/365,1/12)),IF(ISNUMBER(E232),MAX(0,TODAY()-E232)/365,0))),2))</f>
        <v/>
      </c>
      <c r="M232" s="23">
        <f>IF(OR(C232="",N(H232)&lt;=0),"",ROUND(L232/N(H232),2))</f>
        <v/>
      </c>
      <c r="N232" s="23">
        <f>IF(C232="","",SUMIFS(Payments!$D$6:$D$805,Payments!$G$6:$G$805,B232))</f>
        <v/>
      </c>
      <c r="O232" s="24">
        <f>IF(C232="","",ROUND(L232-N232,2))</f>
        <v/>
      </c>
      <c r="P232" s="11">
        <f>IF(OR(U232="",N(O232)&lt;=0),"",IF(I232="Week",J232+7*U232,IF(I232="2 weeks",J232+14*U232,EDATE(J232,U232))))</f>
        <v/>
      </c>
      <c r="Q232" s="23">
        <f>IF(P232="","",IF(U232=N(H232)-1,O232,ROUND(M232*(U232+1)-N232,2)))</f>
        <v/>
      </c>
      <c r="R232" s="25">
        <f>IF(C232="","",IF(O232&lt;=0,"Paid off",IF(OR(M232="",NOT(ISNUMBER(J232))),"Open",IF(W232&gt;0,"Overdue",IF(AND(ISNUMBER(P232),P232-TODAY()&lt;=Settings!$C$6),"Due soon","On track")))))</f>
        <v/>
      </c>
      <c r="S232" s="1">
        <f>IF(C232="","",B232&amp;" "&amp;C232)</f>
        <v/>
      </c>
      <c r="T232">
        <f>IF(OR(M232="",NOT(ISNUMBER(J232))),"",MIN(N(H232),IF(I232="Week",IF((TODAY()-1)&lt;J232,0,INT(((TODAY()-1)-J232)/7)+1),IF(I232="2 weeks",IF((TODAY()-1)&lt;J232,0,INT(((TODAY()-1)-J232)/14)+1),IF(((YEAR((TODAY()-1))-YEAR(J232))*12+MONTH((TODAY()-1))-MONTH(J232))&lt;0,0,IF(EDATE(J232,((YEAR((TODAY()-1))-YEAR(J232))*12+MONTH((TODAY()-1))-MONTH(J232)))&lt;=(TODAY()-1),((YEAR((TODAY()-1))-YEAR(J232))*12+MONTH((TODAY()-1))-MONTH(J232))+1,((YEAR((TODAY()-1))-YEAR(J232))*12+MONTH((TODAY()-1))-MONTH(J232))))))))</f>
        <v/>
      </c>
      <c r="U232">
        <f>IF(OR(M232="",NOT(ISNUMBER(J232))),"",IF(N(M232)&lt;=0,"",MIN(N(H232)-1,INT(ROUND(N232/M232,6)))))</f>
        <v/>
      </c>
      <c r="V232">
        <f>IF(T232="","",IF(T232&gt;=N(H232),L232,M232*T232))</f>
        <v/>
      </c>
      <c r="W232">
        <f>IF(V232="",0,MAX(0,ROUND(V232-N232,2)))</f>
        <v/>
      </c>
      <c r="X232">
        <f>IF(OR(R232="",R232="Paid off",NOT(ISNUMBER(P232))),"",P232*1000+ROW())</f>
        <v/>
      </c>
      <c r="Y232">
        <f>IF(C232="","",IF(AND(COUNTIF(C$6:C232,C232)=1,SUMIFS(Loans!$O$6:$O$305,Loans!$C$6:$C$305,C232,Loans!$O$6:$O$305,"&gt;0")&gt;0),ROW(),""))</f>
        <v/>
      </c>
      <c r="Z232">
        <f>IF(OR(C232="",P232=""),"",IF(D232="I borrowed","From you","To you"))</f>
        <v/>
      </c>
    </row>
    <row r="233">
      <c r="A233" s="1" t="n"/>
      <c r="B233" s="15" t="n">
        <v>228</v>
      </c>
      <c r="C233" s="16" t="n"/>
      <c r="D233" s="17" t="n"/>
      <c r="E233" s="18" t="n"/>
      <c r="F233" s="19" t="n"/>
      <c r="G233" s="20" t="n"/>
      <c r="H233" s="21" t="n"/>
      <c r="I233" s="17" t="n"/>
      <c r="J233" s="18" t="n"/>
      <c r="K233" s="22" t="n"/>
      <c r="L233" s="23">
        <f>IF(C233="","",ROUND(N(F233)*(1+N(G233)/100*IF(N(H233)&gt;0,N(H233)*IF(I233="Week",7/365,IF(I233="2 weeks",14/365,1/12)),IF(ISNUMBER(E233),MAX(0,TODAY()-E233)/365,0))),2))</f>
        <v/>
      </c>
      <c r="M233" s="23">
        <f>IF(OR(C233="",N(H233)&lt;=0),"",ROUND(L233/N(H233),2))</f>
        <v/>
      </c>
      <c r="N233" s="23">
        <f>IF(C233="","",SUMIFS(Payments!$D$6:$D$805,Payments!$G$6:$G$805,B233))</f>
        <v/>
      </c>
      <c r="O233" s="24">
        <f>IF(C233="","",ROUND(L233-N233,2))</f>
        <v/>
      </c>
      <c r="P233" s="11">
        <f>IF(OR(U233="",N(O233)&lt;=0),"",IF(I233="Week",J233+7*U233,IF(I233="2 weeks",J233+14*U233,EDATE(J233,U233))))</f>
        <v/>
      </c>
      <c r="Q233" s="23">
        <f>IF(P233="","",IF(U233=N(H233)-1,O233,ROUND(M233*(U233+1)-N233,2)))</f>
        <v/>
      </c>
      <c r="R233" s="25">
        <f>IF(C233="","",IF(O233&lt;=0,"Paid off",IF(OR(M233="",NOT(ISNUMBER(J233))),"Open",IF(W233&gt;0,"Overdue",IF(AND(ISNUMBER(P233),P233-TODAY()&lt;=Settings!$C$6),"Due soon","On track")))))</f>
        <v/>
      </c>
      <c r="S233" s="1">
        <f>IF(C233="","",B233&amp;" "&amp;C233)</f>
        <v/>
      </c>
      <c r="T233">
        <f>IF(OR(M233="",NOT(ISNUMBER(J233))),"",MIN(N(H233),IF(I233="Week",IF((TODAY()-1)&lt;J233,0,INT(((TODAY()-1)-J233)/7)+1),IF(I233="2 weeks",IF((TODAY()-1)&lt;J233,0,INT(((TODAY()-1)-J233)/14)+1),IF(((YEAR((TODAY()-1))-YEAR(J233))*12+MONTH((TODAY()-1))-MONTH(J233))&lt;0,0,IF(EDATE(J233,((YEAR((TODAY()-1))-YEAR(J233))*12+MONTH((TODAY()-1))-MONTH(J233)))&lt;=(TODAY()-1),((YEAR((TODAY()-1))-YEAR(J233))*12+MONTH((TODAY()-1))-MONTH(J233))+1,((YEAR((TODAY()-1))-YEAR(J233))*12+MONTH((TODAY()-1))-MONTH(J233))))))))</f>
        <v/>
      </c>
      <c r="U233">
        <f>IF(OR(M233="",NOT(ISNUMBER(J233))),"",IF(N(M233)&lt;=0,"",MIN(N(H233)-1,INT(ROUND(N233/M233,6)))))</f>
        <v/>
      </c>
      <c r="V233">
        <f>IF(T233="","",IF(T233&gt;=N(H233),L233,M233*T233))</f>
        <v/>
      </c>
      <c r="W233">
        <f>IF(V233="",0,MAX(0,ROUND(V233-N233,2)))</f>
        <v/>
      </c>
      <c r="X233">
        <f>IF(OR(R233="",R233="Paid off",NOT(ISNUMBER(P233))),"",P233*1000+ROW())</f>
        <v/>
      </c>
      <c r="Y233">
        <f>IF(C233="","",IF(AND(COUNTIF(C$6:C233,C233)=1,SUMIFS(Loans!$O$6:$O$305,Loans!$C$6:$C$305,C233,Loans!$O$6:$O$305,"&gt;0")&gt;0),ROW(),""))</f>
        <v/>
      </c>
      <c r="Z233">
        <f>IF(OR(C233="",P233=""),"",IF(D233="I borrowed","From you","To you"))</f>
        <v/>
      </c>
    </row>
    <row r="234">
      <c r="A234" s="1" t="n"/>
      <c r="B234" s="15" t="n">
        <v>229</v>
      </c>
      <c r="C234" s="16" t="n"/>
      <c r="D234" s="17" t="n"/>
      <c r="E234" s="18" t="n"/>
      <c r="F234" s="19" t="n"/>
      <c r="G234" s="20" t="n"/>
      <c r="H234" s="21" t="n"/>
      <c r="I234" s="17" t="n"/>
      <c r="J234" s="18" t="n"/>
      <c r="K234" s="22" t="n"/>
      <c r="L234" s="23">
        <f>IF(C234="","",ROUND(N(F234)*(1+N(G234)/100*IF(N(H234)&gt;0,N(H234)*IF(I234="Week",7/365,IF(I234="2 weeks",14/365,1/12)),IF(ISNUMBER(E234),MAX(0,TODAY()-E234)/365,0))),2))</f>
        <v/>
      </c>
      <c r="M234" s="23">
        <f>IF(OR(C234="",N(H234)&lt;=0),"",ROUND(L234/N(H234),2))</f>
        <v/>
      </c>
      <c r="N234" s="23">
        <f>IF(C234="","",SUMIFS(Payments!$D$6:$D$805,Payments!$G$6:$G$805,B234))</f>
        <v/>
      </c>
      <c r="O234" s="24">
        <f>IF(C234="","",ROUND(L234-N234,2))</f>
        <v/>
      </c>
      <c r="P234" s="11">
        <f>IF(OR(U234="",N(O234)&lt;=0),"",IF(I234="Week",J234+7*U234,IF(I234="2 weeks",J234+14*U234,EDATE(J234,U234))))</f>
        <v/>
      </c>
      <c r="Q234" s="23">
        <f>IF(P234="","",IF(U234=N(H234)-1,O234,ROUND(M234*(U234+1)-N234,2)))</f>
        <v/>
      </c>
      <c r="R234" s="25">
        <f>IF(C234="","",IF(O234&lt;=0,"Paid off",IF(OR(M234="",NOT(ISNUMBER(J234))),"Open",IF(W234&gt;0,"Overdue",IF(AND(ISNUMBER(P234),P234-TODAY()&lt;=Settings!$C$6),"Due soon","On track")))))</f>
        <v/>
      </c>
      <c r="S234" s="1">
        <f>IF(C234="","",B234&amp;" "&amp;C234)</f>
        <v/>
      </c>
      <c r="T234">
        <f>IF(OR(M234="",NOT(ISNUMBER(J234))),"",MIN(N(H234),IF(I234="Week",IF((TODAY()-1)&lt;J234,0,INT(((TODAY()-1)-J234)/7)+1),IF(I234="2 weeks",IF((TODAY()-1)&lt;J234,0,INT(((TODAY()-1)-J234)/14)+1),IF(((YEAR((TODAY()-1))-YEAR(J234))*12+MONTH((TODAY()-1))-MONTH(J234))&lt;0,0,IF(EDATE(J234,((YEAR((TODAY()-1))-YEAR(J234))*12+MONTH((TODAY()-1))-MONTH(J234)))&lt;=(TODAY()-1),((YEAR((TODAY()-1))-YEAR(J234))*12+MONTH((TODAY()-1))-MONTH(J234))+1,((YEAR((TODAY()-1))-YEAR(J234))*12+MONTH((TODAY()-1))-MONTH(J234))))))))</f>
        <v/>
      </c>
      <c r="U234">
        <f>IF(OR(M234="",NOT(ISNUMBER(J234))),"",IF(N(M234)&lt;=0,"",MIN(N(H234)-1,INT(ROUND(N234/M234,6)))))</f>
        <v/>
      </c>
      <c r="V234">
        <f>IF(T234="","",IF(T234&gt;=N(H234),L234,M234*T234))</f>
        <v/>
      </c>
      <c r="W234">
        <f>IF(V234="",0,MAX(0,ROUND(V234-N234,2)))</f>
        <v/>
      </c>
      <c r="X234">
        <f>IF(OR(R234="",R234="Paid off",NOT(ISNUMBER(P234))),"",P234*1000+ROW())</f>
        <v/>
      </c>
      <c r="Y234">
        <f>IF(C234="","",IF(AND(COUNTIF(C$6:C234,C234)=1,SUMIFS(Loans!$O$6:$O$305,Loans!$C$6:$C$305,C234,Loans!$O$6:$O$305,"&gt;0")&gt;0),ROW(),""))</f>
        <v/>
      </c>
      <c r="Z234">
        <f>IF(OR(C234="",P234=""),"",IF(D234="I borrowed","From you","To you"))</f>
        <v/>
      </c>
    </row>
    <row r="235">
      <c r="A235" s="1" t="n"/>
      <c r="B235" s="15" t="n">
        <v>230</v>
      </c>
      <c r="C235" s="16" t="n"/>
      <c r="D235" s="17" t="n"/>
      <c r="E235" s="18" t="n"/>
      <c r="F235" s="19" t="n"/>
      <c r="G235" s="20" t="n"/>
      <c r="H235" s="21" t="n"/>
      <c r="I235" s="17" t="n"/>
      <c r="J235" s="18" t="n"/>
      <c r="K235" s="22" t="n"/>
      <c r="L235" s="23">
        <f>IF(C235="","",ROUND(N(F235)*(1+N(G235)/100*IF(N(H235)&gt;0,N(H235)*IF(I235="Week",7/365,IF(I235="2 weeks",14/365,1/12)),IF(ISNUMBER(E235),MAX(0,TODAY()-E235)/365,0))),2))</f>
        <v/>
      </c>
      <c r="M235" s="23">
        <f>IF(OR(C235="",N(H235)&lt;=0),"",ROUND(L235/N(H235),2))</f>
        <v/>
      </c>
      <c r="N235" s="23">
        <f>IF(C235="","",SUMIFS(Payments!$D$6:$D$805,Payments!$G$6:$G$805,B235))</f>
        <v/>
      </c>
      <c r="O235" s="24">
        <f>IF(C235="","",ROUND(L235-N235,2))</f>
        <v/>
      </c>
      <c r="P235" s="11">
        <f>IF(OR(U235="",N(O235)&lt;=0),"",IF(I235="Week",J235+7*U235,IF(I235="2 weeks",J235+14*U235,EDATE(J235,U235))))</f>
        <v/>
      </c>
      <c r="Q235" s="23">
        <f>IF(P235="","",IF(U235=N(H235)-1,O235,ROUND(M235*(U235+1)-N235,2)))</f>
        <v/>
      </c>
      <c r="R235" s="25">
        <f>IF(C235="","",IF(O235&lt;=0,"Paid off",IF(OR(M235="",NOT(ISNUMBER(J235))),"Open",IF(W235&gt;0,"Overdue",IF(AND(ISNUMBER(P235),P235-TODAY()&lt;=Settings!$C$6),"Due soon","On track")))))</f>
        <v/>
      </c>
      <c r="S235" s="1">
        <f>IF(C235="","",B235&amp;" "&amp;C235)</f>
        <v/>
      </c>
      <c r="T235">
        <f>IF(OR(M235="",NOT(ISNUMBER(J235))),"",MIN(N(H235),IF(I235="Week",IF((TODAY()-1)&lt;J235,0,INT(((TODAY()-1)-J235)/7)+1),IF(I235="2 weeks",IF((TODAY()-1)&lt;J235,0,INT(((TODAY()-1)-J235)/14)+1),IF(((YEAR((TODAY()-1))-YEAR(J235))*12+MONTH((TODAY()-1))-MONTH(J235))&lt;0,0,IF(EDATE(J235,((YEAR((TODAY()-1))-YEAR(J235))*12+MONTH((TODAY()-1))-MONTH(J235)))&lt;=(TODAY()-1),((YEAR((TODAY()-1))-YEAR(J235))*12+MONTH((TODAY()-1))-MONTH(J235))+1,((YEAR((TODAY()-1))-YEAR(J235))*12+MONTH((TODAY()-1))-MONTH(J235))))))))</f>
        <v/>
      </c>
      <c r="U235">
        <f>IF(OR(M235="",NOT(ISNUMBER(J235))),"",IF(N(M235)&lt;=0,"",MIN(N(H235)-1,INT(ROUND(N235/M235,6)))))</f>
        <v/>
      </c>
      <c r="V235">
        <f>IF(T235="","",IF(T235&gt;=N(H235),L235,M235*T235))</f>
        <v/>
      </c>
      <c r="W235">
        <f>IF(V235="",0,MAX(0,ROUND(V235-N235,2)))</f>
        <v/>
      </c>
      <c r="X235">
        <f>IF(OR(R235="",R235="Paid off",NOT(ISNUMBER(P235))),"",P235*1000+ROW())</f>
        <v/>
      </c>
      <c r="Y235">
        <f>IF(C235="","",IF(AND(COUNTIF(C$6:C235,C235)=1,SUMIFS(Loans!$O$6:$O$305,Loans!$C$6:$C$305,C235,Loans!$O$6:$O$305,"&gt;0")&gt;0),ROW(),""))</f>
        <v/>
      </c>
      <c r="Z235">
        <f>IF(OR(C235="",P235=""),"",IF(D235="I borrowed","From you","To you"))</f>
        <v/>
      </c>
    </row>
    <row r="236">
      <c r="A236" s="1" t="n"/>
      <c r="B236" s="15" t="n">
        <v>231</v>
      </c>
      <c r="C236" s="16" t="n"/>
      <c r="D236" s="17" t="n"/>
      <c r="E236" s="18" t="n"/>
      <c r="F236" s="19" t="n"/>
      <c r="G236" s="20" t="n"/>
      <c r="H236" s="21" t="n"/>
      <c r="I236" s="17" t="n"/>
      <c r="J236" s="18" t="n"/>
      <c r="K236" s="22" t="n"/>
      <c r="L236" s="23">
        <f>IF(C236="","",ROUND(N(F236)*(1+N(G236)/100*IF(N(H236)&gt;0,N(H236)*IF(I236="Week",7/365,IF(I236="2 weeks",14/365,1/12)),IF(ISNUMBER(E236),MAX(0,TODAY()-E236)/365,0))),2))</f>
        <v/>
      </c>
      <c r="M236" s="23">
        <f>IF(OR(C236="",N(H236)&lt;=0),"",ROUND(L236/N(H236),2))</f>
        <v/>
      </c>
      <c r="N236" s="23">
        <f>IF(C236="","",SUMIFS(Payments!$D$6:$D$805,Payments!$G$6:$G$805,B236))</f>
        <v/>
      </c>
      <c r="O236" s="24">
        <f>IF(C236="","",ROUND(L236-N236,2))</f>
        <v/>
      </c>
      <c r="P236" s="11">
        <f>IF(OR(U236="",N(O236)&lt;=0),"",IF(I236="Week",J236+7*U236,IF(I236="2 weeks",J236+14*U236,EDATE(J236,U236))))</f>
        <v/>
      </c>
      <c r="Q236" s="23">
        <f>IF(P236="","",IF(U236=N(H236)-1,O236,ROUND(M236*(U236+1)-N236,2)))</f>
        <v/>
      </c>
      <c r="R236" s="25">
        <f>IF(C236="","",IF(O236&lt;=0,"Paid off",IF(OR(M236="",NOT(ISNUMBER(J236))),"Open",IF(W236&gt;0,"Overdue",IF(AND(ISNUMBER(P236),P236-TODAY()&lt;=Settings!$C$6),"Due soon","On track")))))</f>
        <v/>
      </c>
      <c r="S236" s="1">
        <f>IF(C236="","",B236&amp;" "&amp;C236)</f>
        <v/>
      </c>
      <c r="T236">
        <f>IF(OR(M236="",NOT(ISNUMBER(J236))),"",MIN(N(H236),IF(I236="Week",IF((TODAY()-1)&lt;J236,0,INT(((TODAY()-1)-J236)/7)+1),IF(I236="2 weeks",IF((TODAY()-1)&lt;J236,0,INT(((TODAY()-1)-J236)/14)+1),IF(((YEAR((TODAY()-1))-YEAR(J236))*12+MONTH((TODAY()-1))-MONTH(J236))&lt;0,0,IF(EDATE(J236,((YEAR((TODAY()-1))-YEAR(J236))*12+MONTH((TODAY()-1))-MONTH(J236)))&lt;=(TODAY()-1),((YEAR((TODAY()-1))-YEAR(J236))*12+MONTH((TODAY()-1))-MONTH(J236))+1,((YEAR((TODAY()-1))-YEAR(J236))*12+MONTH((TODAY()-1))-MONTH(J236))))))))</f>
        <v/>
      </c>
      <c r="U236">
        <f>IF(OR(M236="",NOT(ISNUMBER(J236))),"",IF(N(M236)&lt;=0,"",MIN(N(H236)-1,INT(ROUND(N236/M236,6)))))</f>
        <v/>
      </c>
      <c r="V236">
        <f>IF(T236="","",IF(T236&gt;=N(H236),L236,M236*T236))</f>
        <v/>
      </c>
      <c r="W236">
        <f>IF(V236="",0,MAX(0,ROUND(V236-N236,2)))</f>
        <v/>
      </c>
      <c r="X236">
        <f>IF(OR(R236="",R236="Paid off",NOT(ISNUMBER(P236))),"",P236*1000+ROW())</f>
        <v/>
      </c>
      <c r="Y236">
        <f>IF(C236="","",IF(AND(COUNTIF(C$6:C236,C236)=1,SUMIFS(Loans!$O$6:$O$305,Loans!$C$6:$C$305,C236,Loans!$O$6:$O$305,"&gt;0")&gt;0),ROW(),""))</f>
        <v/>
      </c>
      <c r="Z236">
        <f>IF(OR(C236="",P236=""),"",IF(D236="I borrowed","From you","To you"))</f>
        <v/>
      </c>
    </row>
    <row r="237">
      <c r="A237" s="1" t="n"/>
      <c r="B237" s="15" t="n">
        <v>232</v>
      </c>
      <c r="C237" s="16" t="n"/>
      <c r="D237" s="17" t="n"/>
      <c r="E237" s="18" t="n"/>
      <c r="F237" s="19" t="n"/>
      <c r="G237" s="20" t="n"/>
      <c r="H237" s="21" t="n"/>
      <c r="I237" s="17" t="n"/>
      <c r="J237" s="18" t="n"/>
      <c r="K237" s="22" t="n"/>
      <c r="L237" s="23">
        <f>IF(C237="","",ROUND(N(F237)*(1+N(G237)/100*IF(N(H237)&gt;0,N(H237)*IF(I237="Week",7/365,IF(I237="2 weeks",14/365,1/12)),IF(ISNUMBER(E237),MAX(0,TODAY()-E237)/365,0))),2))</f>
        <v/>
      </c>
      <c r="M237" s="23">
        <f>IF(OR(C237="",N(H237)&lt;=0),"",ROUND(L237/N(H237),2))</f>
        <v/>
      </c>
      <c r="N237" s="23">
        <f>IF(C237="","",SUMIFS(Payments!$D$6:$D$805,Payments!$G$6:$G$805,B237))</f>
        <v/>
      </c>
      <c r="O237" s="24">
        <f>IF(C237="","",ROUND(L237-N237,2))</f>
        <v/>
      </c>
      <c r="P237" s="11">
        <f>IF(OR(U237="",N(O237)&lt;=0),"",IF(I237="Week",J237+7*U237,IF(I237="2 weeks",J237+14*U237,EDATE(J237,U237))))</f>
        <v/>
      </c>
      <c r="Q237" s="23">
        <f>IF(P237="","",IF(U237=N(H237)-1,O237,ROUND(M237*(U237+1)-N237,2)))</f>
        <v/>
      </c>
      <c r="R237" s="25">
        <f>IF(C237="","",IF(O237&lt;=0,"Paid off",IF(OR(M237="",NOT(ISNUMBER(J237))),"Open",IF(W237&gt;0,"Overdue",IF(AND(ISNUMBER(P237),P237-TODAY()&lt;=Settings!$C$6),"Due soon","On track")))))</f>
        <v/>
      </c>
      <c r="S237" s="1">
        <f>IF(C237="","",B237&amp;" "&amp;C237)</f>
        <v/>
      </c>
      <c r="T237">
        <f>IF(OR(M237="",NOT(ISNUMBER(J237))),"",MIN(N(H237),IF(I237="Week",IF((TODAY()-1)&lt;J237,0,INT(((TODAY()-1)-J237)/7)+1),IF(I237="2 weeks",IF((TODAY()-1)&lt;J237,0,INT(((TODAY()-1)-J237)/14)+1),IF(((YEAR((TODAY()-1))-YEAR(J237))*12+MONTH((TODAY()-1))-MONTH(J237))&lt;0,0,IF(EDATE(J237,((YEAR((TODAY()-1))-YEAR(J237))*12+MONTH((TODAY()-1))-MONTH(J237)))&lt;=(TODAY()-1),((YEAR((TODAY()-1))-YEAR(J237))*12+MONTH((TODAY()-1))-MONTH(J237))+1,((YEAR((TODAY()-1))-YEAR(J237))*12+MONTH((TODAY()-1))-MONTH(J237))))))))</f>
        <v/>
      </c>
      <c r="U237">
        <f>IF(OR(M237="",NOT(ISNUMBER(J237))),"",IF(N(M237)&lt;=0,"",MIN(N(H237)-1,INT(ROUND(N237/M237,6)))))</f>
        <v/>
      </c>
      <c r="V237">
        <f>IF(T237="","",IF(T237&gt;=N(H237),L237,M237*T237))</f>
        <v/>
      </c>
      <c r="W237">
        <f>IF(V237="",0,MAX(0,ROUND(V237-N237,2)))</f>
        <v/>
      </c>
      <c r="X237">
        <f>IF(OR(R237="",R237="Paid off",NOT(ISNUMBER(P237))),"",P237*1000+ROW())</f>
        <v/>
      </c>
      <c r="Y237">
        <f>IF(C237="","",IF(AND(COUNTIF(C$6:C237,C237)=1,SUMIFS(Loans!$O$6:$O$305,Loans!$C$6:$C$305,C237,Loans!$O$6:$O$305,"&gt;0")&gt;0),ROW(),""))</f>
        <v/>
      </c>
      <c r="Z237">
        <f>IF(OR(C237="",P237=""),"",IF(D237="I borrowed","From you","To you"))</f>
        <v/>
      </c>
    </row>
    <row r="238">
      <c r="A238" s="1" t="n"/>
      <c r="B238" s="15" t="n">
        <v>233</v>
      </c>
      <c r="C238" s="16" t="n"/>
      <c r="D238" s="17" t="n"/>
      <c r="E238" s="18" t="n"/>
      <c r="F238" s="19" t="n"/>
      <c r="G238" s="20" t="n"/>
      <c r="H238" s="21" t="n"/>
      <c r="I238" s="17" t="n"/>
      <c r="J238" s="18" t="n"/>
      <c r="K238" s="22" t="n"/>
      <c r="L238" s="23">
        <f>IF(C238="","",ROUND(N(F238)*(1+N(G238)/100*IF(N(H238)&gt;0,N(H238)*IF(I238="Week",7/365,IF(I238="2 weeks",14/365,1/12)),IF(ISNUMBER(E238),MAX(0,TODAY()-E238)/365,0))),2))</f>
        <v/>
      </c>
      <c r="M238" s="23">
        <f>IF(OR(C238="",N(H238)&lt;=0),"",ROUND(L238/N(H238),2))</f>
        <v/>
      </c>
      <c r="N238" s="23">
        <f>IF(C238="","",SUMIFS(Payments!$D$6:$D$805,Payments!$G$6:$G$805,B238))</f>
        <v/>
      </c>
      <c r="O238" s="24">
        <f>IF(C238="","",ROUND(L238-N238,2))</f>
        <v/>
      </c>
      <c r="P238" s="11">
        <f>IF(OR(U238="",N(O238)&lt;=0),"",IF(I238="Week",J238+7*U238,IF(I238="2 weeks",J238+14*U238,EDATE(J238,U238))))</f>
        <v/>
      </c>
      <c r="Q238" s="23">
        <f>IF(P238="","",IF(U238=N(H238)-1,O238,ROUND(M238*(U238+1)-N238,2)))</f>
        <v/>
      </c>
      <c r="R238" s="25">
        <f>IF(C238="","",IF(O238&lt;=0,"Paid off",IF(OR(M238="",NOT(ISNUMBER(J238))),"Open",IF(W238&gt;0,"Overdue",IF(AND(ISNUMBER(P238),P238-TODAY()&lt;=Settings!$C$6),"Due soon","On track")))))</f>
        <v/>
      </c>
      <c r="S238" s="1">
        <f>IF(C238="","",B238&amp;" "&amp;C238)</f>
        <v/>
      </c>
      <c r="T238">
        <f>IF(OR(M238="",NOT(ISNUMBER(J238))),"",MIN(N(H238),IF(I238="Week",IF((TODAY()-1)&lt;J238,0,INT(((TODAY()-1)-J238)/7)+1),IF(I238="2 weeks",IF((TODAY()-1)&lt;J238,0,INT(((TODAY()-1)-J238)/14)+1),IF(((YEAR((TODAY()-1))-YEAR(J238))*12+MONTH((TODAY()-1))-MONTH(J238))&lt;0,0,IF(EDATE(J238,((YEAR((TODAY()-1))-YEAR(J238))*12+MONTH((TODAY()-1))-MONTH(J238)))&lt;=(TODAY()-1),((YEAR((TODAY()-1))-YEAR(J238))*12+MONTH((TODAY()-1))-MONTH(J238))+1,((YEAR((TODAY()-1))-YEAR(J238))*12+MONTH((TODAY()-1))-MONTH(J238))))))))</f>
        <v/>
      </c>
      <c r="U238">
        <f>IF(OR(M238="",NOT(ISNUMBER(J238))),"",IF(N(M238)&lt;=0,"",MIN(N(H238)-1,INT(ROUND(N238/M238,6)))))</f>
        <v/>
      </c>
      <c r="V238">
        <f>IF(T238="","",IF(T238&gt;=N(H238),L238,M238*T238))</f>
        <v/>
      </c>
      <c r="W238">
        <f>IF(V238="",0,MAX(0,ROUND(V238-N238,2)))</f>
        <v/>
      </c>
      <c r="X238">
        <f>IF(OR(R238="",R238="Paid off",NOT(ISNUMBER(P238))),"",P238*1000+ROW())</f>
        <v/>
      </c>
      <c r="Y238">
        <f>IF(C238="","",IF(AND(COUNTIF(C$6:C238,C238)=1,SUMIFS(Loans!$O$6:$O$305,Loans!$C$6:$C$305,C238,Loans!$O$6:$O$305,"&gt;0")&gt;0),ROW(),""))</f>
        <v/>
      </c>
      <c r="Z238">
        <f>IF(OR(C238="",P238=""),"",IF(D238="I borrowed","From you","To you"))</f>
        <v/>
      </c>
    </row>
    <row r="239">
      <c r="A239" s="1" t="n"/>
      <c r="B239" s="15" t="n">
        <v>234</v>
      </c>
      <c r="C239" s="16" t="n"/>
      <c r="D239" s="17" t="n"/>
      <c r="E239" s="18" t="n"/>
      <c r="F239" s="19" t="n"/>
      <c r="G239" s="20" t="n"/>
      <c r="H239" s="21" t="n"/>
      <c r="I239" s="17" t="n"/>
      <c r="J239" s="18" t="n"/>
      <c r="K239" s="22" t="n"/>
      <c r="L239" s="23">
        <f>IF(C239="","",ROUND(N(F239)*(1+N(G239)/100*IF(N(H239)&gt;0,N(H239)*IF(I239="Week",7/365,IF(I239="2 weeks",14/365,1/12)),IF(ISNUMBER(E239),MAX(0,TODAY()-E239)/365,0))),2))</f>
        <v/>
      </c>
      <c r="M239" s="23">
        <f>IF(OR(C239="",N(H239)&lt;=0),"",ROUND(L239/N(H239),2))</f>
        <v/>
      </c>
      <c r="N239" s="23">
        <f>IF(C239="","",SUMIFS(Payments!$D$6:$D$805,Payments!$G$6:$G$805,B239))</f>
        <v/>
      </c>
      <c r="O239" s="24">
        <f>IF(C239="","",ROUND(L239-N239,2))</f>
        <v/>
      </c>
      <c r="P239" s="11">
        <f>IF(OR(U239="",N(O239)&lt;=0),"",IF(I239="Week",J239+7*U239,IF(I239="2 weeks",J239+14*U239,EDATE(J239,U239))))</f>
        <v/>
      </c>
      <c r="Q239" s="23">
        <f>IF(P239="","",IF(U239=N(H239)-1,O239,ROUND(M239*(U239+1)-N239,2)))</f>
        <v/>
      </c>
      <c r="R239" s="25">
        <f>IF(C239="","",IF(O239&lt;=0,"Paid off",IF(OR(M239="",NOT(ISNUMBER(J239))),"Open",IF(W239&gt;0,"Overdue",IF(AND(ISNUMBER(P239),P239-TODAY()&lt;=Settings!$C$6),"Due soon","On track")))))</f>
        <v/>
      </c>
      <c r="S239" s="1">
        <f>IF(C239="","",B239&amp;" "&amp;C239)</f>
        <v/>
      </c>
      <c r="T239">
        <f>IF(OR(M239="",NOT(ISNUMBER(J239))),"",MIN(N(H239),IF(I239="Week",IF((TODAY()-1)&lt;J239,0,INT(((TODAY()-1)-J239)/7)+1),IF(I239="2 weeks",IF((TODAY()-1)&lt;J239,0,INT(((TODAY()-1)-J239)/14)+1),IF(((YEAR((TODAY()-1))-YEAR(J239))*12+MONTH((TODAY()-1))-MONTH(J239))&lt;0,0,IF(EDATE(J239,((YEAR((TODAY()-1))-YEAR(J239))*12+MONTH((TODAY()-1))-MONTH(J239)))&lt;=(TODAY()-1),((YEAR((TODAY()-1))-YEAR(J239))*12+MONTH((TODAY()-1))-MONTH(J239))+1,((YEAR((TODAY()-1))-YEAR(J239))*12+MONTH((TODAY()-1))-MONTH(J239))))))))</f>
        <v/>
      </c>
      <c r="U239">
        <f>IF(OR(M239="",NOT(ISNUMBER(J239))),"",IF(N(M239)&lt;=0,"",MIN(N(H239)-1,INT(ROUND(N239/M239,6)))))</f>
        <v/>
      </c>
      <c r="V239">
        <f>IF(T239="","",IF(T239&gt;=N(H239),L239,M239*T239))</f>
        <v/>
      </c>
      <c r="W239">
        <f>IF(V239="",0,MAX(0,ROUND(V239-N239,2)))</f>
        <v/>
      </c>
      <c r="X239">
        <f>IF(OR(R239="",R239="Paid off",NOT(ISNUMBER(P239))),"",P239*1000+ROW())</f>
        <v/>
      </c>
      <c r="Y239">
        <f>IF(C239="","",IF(AND(COUNTIF(C$6:C239,C239)=1,SUMIFS(Loans!$O$6:$O$305,Loans!$C$6:$C$305,C239,Loans!$O$6:$O$305,"&gt;0")&gt;0),ROW(),""))</f>
        <v/>
      </c>
      <c r="Z239">
        <f>IF(OR(C239="",P239=""),"",IF(D239="I borrowed","From you","To you"))</f>
        <v/>
      </c>
    </row>
    <row r="240">
      <c r="A240" s="1" t="n"/>
      <c r="B240" s="15" t="n">
        <v>235</v>
      </c>
      <c r="C240" s="16" t="n"/>
      <c r="D240" s="17" t="n"/>
      <c r="E240" s="18" t="n"/>
      <c r="F240" s="19" t="n"/>
      <c r="G240" s="20" t="n"/>
      <c r="H240" s="21" t="n"/>
      <c r="I240" s="17" t="n"/>
      <c r="J240" s="18" t="n"/>
      <c r="K240" s="22" t="n"/>
      <c r="L240" s="23">
        <f>IF(C240="","",ROUND(N(F240)*(1+N(G240)/100*IF(N(H240)&gt;0,N(H240)*IF(I240="Week",7/365,IF(I240="2 weeks",14/365,1/12)),IF(ISNUMBER(E240),MAX(0,TODAY()-E240)/365,0))),2))</f>
        <v/>
      </c>
      <c r="M240" s="23">
        <f>IF(OR(C240="",N(H240)&lt;=0),"",ROUND(L240/N(H240),2))</f>
        <v/>
      </c>
      <c r="N240" s="23">
        <f>IF(C240="","",SUMIFS(Payments!$D$6:$D$805,Payments!$G$6:$G$805,B240))</f>
        <v/>
      </c>
      <c r="O240" s="24">
        <f>IF(C240="","",ROUND(L240-N240,2))</f>
        <v/>
      </c>
      <c r="P240" s="11">
        <f>IF(OR(U240="",N(O240)&lt;=0),"",IF(I240="Week",J240+7*U240,IF(I240="2 weeks",J240+14*U240,EDATE(J240,U240))))</f>
        <v/>
      </c>
      <c r="Q240" s="23">
        <f>IF(P240="","",IF(U240=N(H240)-1,O240,ROUND(M240*(U240+1)-N240,2)))</f>
        <v/>
      </c>
      <c r="R240" s="25">
        <f>IF(C240="","",IF(O240&lt;=0,"Paid off",IF(OR(M240="",NOT(ISNUMBER(J240))),"Open",IF(W240&gt;0,"Overdue",IF(AND(ISNUMBER(P240),P240-TODAY()&lt;=Settings!$C$6),"Due soon","On track")))))</f>
        <v/>
      </c>
      <c r="S240" s="1">
        <f>IF(C240="","",B240&amp;" "&amp;C240)</f>
        <v/>
      </c>
      <c r="T240">
        <f>IF(OR(M240="",NOT(ISNUMBER(J240))),"",MIN(N(H240),IF(I240="Week",IF((TODAY()-1)&lt;J240,0,INT(((TODAY()-1)-J240)/7)+1),IF(I240="2 weeks",IF((TODAY()-1)&lt;J240,0,INT(((TODAY()-1)-J240)/14)+1),IF(((YEAR((TODAY()-1))-YEAR(J240))*12+MONTH((TODAY()-1))-MONTH(J240))&lt;0,0,IF(EDATE(J240,((YEAR((TODAY()-1))-YEAR(J240))*12+MONTH((TODAY()-1))-MONTH(J240)))&lt;=(TODAY()-1),((YEAR((TODAY()-1))-YEAR(J240))*12+MONTH((TODAY()-1))-MONTH(J240))+1,((YEAR((TODAY()-1))-YEAR(J240))*12+MONTH((TODAY()-1))-MONTH(J240))))))))</f>
        <v/>
      </c>
      <c r="U240">
        <f>IF(OR(M240="",NOT(ISNUMBER(J240))),"",IF(N(M240)&lt;=0,"",MIN(N(H240)-1,INT(ROUND(N240/M240,6)))))</f>
        <v/>
      </c>
      <c r="V240">
        <f>IF(T240="","",IF(T240&gt;=N(H240),L240,M240*T240))</f>
        <v/>
      </c>
      <c r="W240">
        <f>IF(V240="",0,MAX(0,ROUND(V240-N240,2)))</f>
        <v/>
      </c>
      <c r="X240">
        <f>IF(OR(R240="",R240="Paid off",NOT(ISNUMBER(P240))),"",P240*1000+ROW())</f>
        <v/>
      </c>
      <c r="Y240">
        <f>IF(C240="","",IF(AND(COUNTIF(C$6:C240,C240)=1,SUMIFS(Loans!$O$6:$O$305,Loans!$C$6:$C$305,C240,Loans!$O$6:$O$305,"&gt;0")&gt;0),ROW(),""))</f>
        <v/>
      </c>
      <c r="Z240">
        <f>IF(OR(C240="",P240=""),"",IF(D240="I borrowed","From you","To you"))</f>
        <v/>
      </c>
    </row>
    <row r="241">
      <c r="A241" s="1" t="n"/>
      <c r="B241" s="15" t="n">
        <v>236</v>
      </c>
      <c r="C241" s="16" t="n"/>
      <c r="D241" s="17" t="n"/>
      <c r="E241" s="18" t="n"/>
      <c r="F241" s="19" t="n"/>
      <c r="G241" s="20" t="n"/>
      <c r="H241" s="21" t="n"/>
      <c r="I241" s="17" t="n"/>
      <c r="J241" s="18" t="n"/>
      <c r="K241" s="22" t="n"/>
      <c r="L241" s="23">
        <f>IF(C241="","",ROUND(N(F241)*(1+N(G241)/100*IF(N(H241)&gt;0,N(H241)*IF(I241="Week",7/365,IF(I241="2 weeks",14/365,1/12)),IF(ISNUMBER(E241),MAX(0,TODAY()-E241)/365,0))),2))</f>
        <v/>
      </c>
      <c r="M241" s="23">
        <f>IF(OR(C241="",N(H241)&lt;=0),"",ROUND(L241/N(H241),2))</f>
        <v/>
      </c>
      <c r="N241" s="23">
        <f>IF(C241="","",SUMIFS(Payments!$D$6:$D$805,Payments!$G$6:$G$805,B241))</f>
        <v/>
      </c>
      <c r="O241" s="24">
        <f>IF(C241="","",ROUND(L241-N241,2))</f>
        <v/>
      </c>
      <c r="P241" s="11">
        <f>IF(OR(U241="",N(O241)&lt;=0),"",IF(I241="Week",J241+7*U241,IF(I241="2 weeks",J241+14*U241,EDATE(J241,U241))))</f>
        <v/>
      </c>
      <c r="Q241" s="23">
        <f>IF(P241="","",IF(U241=N(H241)-1,O241,ROUND(M241*(U241+1)-N241,2)))</f>
        <v/>
      </c>
      <c r="R241" s="25">
        <f>IF(C241="","",IF(O241&lt;=0,"Paid off",IF(OR(M241="",NOT(ISNUMBER(J241))),"Open",IF(W241&gt;0,"Overdue",IF(AND(ISNUMBER(P241),P241-TODAY()&lt;=Settings!$C$6),"Due soon","On track")))))</f>
        <v/>
      </c>
      <c r="S241" s="1">
        <f>IF(C241="","",B241&amp;" "&amp;C241)</f>
        <v/>
      </c>
      <c r="T241">
        <f>IF(OR(M241="",NOT(ISNUMBER(J241))),"",MIN(N(H241),IF(I241="Week",IF((TODAY()-1)&lt;J241,0,INT(((TODAY()-1)-J241)/7)+1),IF(I241="2 weeks",IF((TODAY()-1)&lt;J241,0,INT(((TODAY()-1)-J241)/14)+1),IF(((YEAR((TODAY()-1))-YEAR(J241))*12+MONTH((TODAY()-1))-MONTH(J241))&lt;0,0,IF(EDATE(J241,((YEAR((TODAY()-1))-YEAR(J241))*12+MONTH((TODAY()-1))-MONTH(J241)))&lt;=(TODAY()-1),((YEAR((TODAY()-1))-YEAR(J241))*12+MONTH((TODAY()-1))-MONTH(J241))+1,((YEAR((TODAY()-1))-YEAR(J241))*12+MONTH((TODAY()-1))-MONTH(J241))))))))</f>
        <v/>
      </c>
      <c r="U241">
        <f>IF(OR(M241="",NOT(ISNUMBER(J241))),"",IF(N(M241)&lt;=0,"",MIN(N(H241)-1,INT(ROUND(N241/M241,6)))))</f>
        <v/>
      </c>
      <c r="V241">
        <f>IF(T241="","",IF(T241&gt;=N(H241),L241,M241*T241))</f>
        <v/>
      </c>
      <c r="W241">
        <f>IF(V241="",0,MAX(0,ROUND(V241-N241,2)))</f>
        <v/>
      </c>
      <c r="X241">
        <f>IF(OR(R241="",R241="Paid off",NOT(ISNUMBER(P241))),"",P241*1000+ROW())</f>
        <v/>
      </c>
      <c r="Y241">
        <f>IF(C241="","",IF(AND(COUNTIF(C$6:C241,C241)=1,SUMIFS(Loans!$O$6:$O$305,Loans!$C$6:$C$305,C241,Loans!$O$6:$O$305,"&gt;0")&gt;0),ROW(),""))</f>
        <v/>
      </c>
      <c r="Z241">
        <f>IF(OR(C241="",P241=""),"",IF(D241="I borrowed","From you","To you"))</f>
        <v/>
      </c>
    </row>
    <row r="242">
      <c r="A242" s="1" t="n"/>
      <c r="B242" s="15" t="n">
        <v>237</v>
      </c>
      <c r="C242" s="16" t="n"/>
      <c r="D242" s="17" t="n"/>
      <c r="E242" s="18" t="n"/>
      <c r="F242" s="19" t="n"/>
      <c r="G242" s="20" t="n"/>
      <c r="H242" s="21" t="n"/>
      <c r="I242" s="17" t="n"/>
      <c r="J242" s="18" t="n"/>
      <c r="K242" s="22" t="n"/>
      <c r="L242" s="23">
        <f>IF(C242="","",ROUND(N(F242)*(1+N(G242)/100*IF(N(H242)&gt;0,N(H242)*IF(I242="Week",7/365,IF(I242="2 weeks",14/365,1/12)),IF(ISNUMBER(E242),MAX(0,TODAY()-E242)/365,0))),2))</f>
        <v/>
      </c>
      <c r="M242" s="23">
        <f>IF(OR(C242="",N(H242)&lt;=0),"",ROUND(L242/N(H242),2))</f>
        <v/>
      </c>
      <c r="N242" s="23">
        <f>IF(C242="","",SUMIFS(Payments!$D$6:$D$805,Payments!$G$6:$G$805,B242))</f>
        <v/>
      </c>
      <c r="O242" s="24">
        <f>IF(C242="","",ROUND(L242-N242,2))</f>
        <v/>
      </c>
      <c r="P242" s="11">
        <f>IF(OR(U242="",N(O242)&lt;=0),"",IF(I242="Week",J242+7*U242,IF(I242="2 weeks",J242+14*U242,EDATE(J242,U242))))</f>
        <v/>
      </c>
      <c r="Q242" s="23">
        <f>IF(P242="","",IF(U242=N(H242)-1,O242,ROUND(M242*(U242+1)-N242,2)))</f>
        <v/>
      </c>
      <c r="R242" s="25">
        <f>IF(C242="","",IF(O242&lt;=0,"Paid off",IF(OR(M242="",NOT(ISNUMBER(J242))),"Open",IF(W242&gt;0,"Overdue",IF(AND(ISNUMBER(P242),P242-TODAY()&lt;=Settings!$C$6),"Due soon","On track")))))</f>
        <v/>
      </c>
      <c r="S242" s="1">
        <f>IF(C242="","",B242&amp;" "&amp;C242)</f>
        <v/>
      </c>
      <c r="T242">
        <f>IF(OR(M242="",NOT(ISNUMBER(J242))),"",MIN(N(H242),IF(I242="Week",IF((TODAY()-1)&lt;J242,0,INT(((TODAY()-1)-J242)/7)+1),IF(I242="2 weeks",IF((TODAY()-1)&lt;J242,0,INT(((TODAY()-1)-J242)/14)+1),IF(((YEAR((TODAY()-1))-YEAR(J242))*12+MONTH((TODAY()-1))-MONTH(J242))&lt;0,0,IF(EDATE(J242,((YEAR((TODAY()-1))-YEAR(J242))*12+MONTH((TODAY()-1))-MONTH(J242)))&lt;=(TODAY()-1),((YEAR((TODAY()-1))-YEAR(J242))*12+MONTH((TODAY()-1))-MONTH(J242))+1,((YEAR((TODAY()-1))-YEAR(J242))*12+MONTH((TODAY()-1))-MONTH(J242))))))))</f>
        <v/>
      </c>
      <c r="U242">
        <f>IF(OR(M242="",NOT(ISNUMBER(J242))),"",IF(N(M242)&lt;=0,"",MIN(N(H242)-1,INT(ROUND(N242/M242,6)))))</f>
        <v/>
      </c>
      <c r="V242">
        <f>IF(T242="","",IF(T242&gt;=N(H242),L242,M242*T242))</f>
        <v/>
      </c>
      <c r="W242">
        <f>IF(V242="",0,MAX(0,ROUND(V242-N242,2)))</f>
        <v/>
      </c>
      <c r="X242">
        <f>IF(OR(R242="",R242="Paid off",NOT(ISNUMBER(P242))),"",P242*1000+ROW())</f>
        <v/>
      </c>
      <c r="Y242">
        <f>IF(C242="","",IF(AND(COUNTIF(C$6:C242,C242)=1,SUMIFS(Loans!$O$6:$O$305,Loans!$C$6:$C$305,C242,Loans!$O$6:$O$305,"&gt;0")&gt;0),ROW(),""))</f>
        <v/>
      </c>
      <c r="Z242">
        <f>IF(OR(C242="",P242=""),"",IF(D242="I borrowed","From you","To you"))</f>
        <v/>
      </c>
    </row>
    <row r="243">
      <c r="A243" s="1" t="n"/>
      <c r="B243" s="15" t="n">
        <v>238</v>
      </c>
      <c r="C243" s="16" t="n"/>
      <c r="D243" s="17" t="n"/>
      <c r="E243" s="18" t="n"/>
      <c r="F243" s="19" t="n"/>
      <c r="G243" s="20" t="n"/>
      <c r="H243" s="21" t="n"/>
      <c r="I243" s="17" t="n"/>
      <c r="J243" s="18" t="n"/>
      <c r="K243" s="22" t="n"/>
      <c r="L243" s="23">
        <f>IF(C243="","",ROUND(N(F243)*(1+N(G243)/100*IF(N(H243)&gt;0,N(H243)*IF(I243="Week",7/365,IF(I243="2 weeks",14/365,1/12)),IF(ISNUMBER(E243),MAX(0,TODAY()-E243)/365,0))),2))</f>
        <v/>
      </c>
      <c r="M243" s="23">
        <f>IF(OR(C243="",N(H243)&lt;=0),"",ROUND(L243/N(H243),2))</f>
        <v/>
      </c>
      <c r="N243" s="23">
        <f>IF(C243="","",SUMIFS(Payments!$D$6:$D$805,Payments!$G$6:$G$805,B243))</f>
        <v/>
      </c>
      <c r="O243" s="24">
        <f>IF(C243="","",ROUND(L243-N243,2))</f>
        <v/>
      </c>
      <c r="P243" s="11">
        <f>IF(OR(U243="",N(O243)&lt;=0),"",IF(I243="Week",J243+7*U243,IF(I243="2 weeks",J243+14*U243,EDATE(J243,U243))))</f>
        <v/>
      </c>
      <c r="Q243" s="23">
        <f>IF(P243="","",IF(U243=N(H243)-1,O243,ROUND(M243*(U243+1)-N243,2)))</f>
        <v/>
      </c>
      <c r="R243" s="25">
        <f>IF(C243="","",IF(O243&lt;=0,"Paid off",IF(OR(M243="",NOT(ISNUMBER(J243))),"Open",IF(W243&gt;0,"Overdue",IF(AND(ISNUMBER(P243),P243-TODAY()&lt;=Settings!$C$6),"Due soon","On track")))))</f>
        <v/>
      </c>
      <c r="S243" s="1">
        <f>IF(C243="","",B243&amp;" "&amp;C243)</f>
        <v/>
      </c>
      <c r="T243">
        <f>IF(OR(M243="",NOT(ISNUMBER(J243))),"",MIN(N(H243),IF(I243="Week",IF((TODAY()-1)&lt;J243,0,INT(((TODAY()-1)-J243)/7)+1),IF(I243="2 weeks",IF((TODAY()-1)&lt;J243,0,INT(((TODAY()-1)-J243)/14)+1),IF(((YEAR((TODAY()-1))-YEAR(J243))*12+MONTH((TODAY()-1))-MONTH(J243))&lt;0,0,IF(EDATE(J243,((YEAR((TODAY()-1))-YEAR(J243))*12+MONTH((TODAY()-1))-MONTH(J243)))&lt;=(TODAY()-1),((YEAR((TODAY()-1))-YEAR(J243))*12+MONTH((TODAY()-1))-MONTH(J243))+1,((YEAR((TODAY()-1))-YEAR(J243))*12+MONTH((TODAY()-1))-MONTH(J243))))))))</f>
        <v/>
      </c>
      <c r="U243">
        <f>IF(OR(M243="",NOT(ISNUMBER(J243))),"",IF(N(M243)&lt;=0,"",MIN(N(H243)-1,INT(ROUND(N243/M243,6)))))</f>
        <v/>
      </c>
      <c r="V243">
        <f>IF(T243="","",IF(T243&gt;=N(H243),L243,M243*T243))</f>
        <v/>
      </c>
      <c r="W243">
        <f>IF(V243="",0,MAX(0,ROUND(V243-N243,2)))</f>
        <v/>
      </c>
      <c r="X243">
        <f>IF(OR(R243="",R243="Paid off",NOT(ISNUMBER(P243))),"",P243*1000+ROW())</f>
        <v/>
      </c>
      <c r="Y243">
        <f>IF(C243="","",IF(AND(COUNTIF(C$6:C243,C243)=1,SUMIFS(Loans!$O$6:$O$305,Loans!$C$6:$C$305,C243,Loans!$O$6:$O$305,"&gt;0")&gt;0),ROW(),""))</f>
        <v/>
      </c>
      <c r="Z243">
        <f>IF(OR(C243="",P243=""),"",IF(D243="I borrowed","From you","To you"))</f>
        <v/>
      </c>
    </row>
    <row r="244">
      <c r="A244" s="1" t="n"/>
      <c r="B244" s="15" t="n">
        <v>239</v>
      </c>
      <c r="C244" s="16" t="n"/>
      <c r="D244" s="17" t="n"/>
      <c r="E244" s="18" t="n"/>
      <c r="F244" s="19" t="n"/>
      <c r="G244" s="20" t="n"/>
      <c r="H244" s="21" t="n"/>
      <c r="I244" s="17" t="n"/>
      <c r="J244" s="18" t="n"/>
      <c r="K244" s="22" t="n"/>
      <c r="L244" s="23">
        <f>IF(C244="","",ROUND(N(F244)*(1+N(G244)/100*IF(N(H244)&gt;0,N(H244)*IF(I244="Week",7/365,IF(I244="2 weeks",14/365,1/12)),IF(ISNUMBER(E244),MAX(0,TODAY()-E244)/365,0))),2))</f>
        <v/>
      </c>
      <c r="M244" s="23">
        <f>IF(OR(C244="",N(H244)&lt;=0),"",ROUND(L244/N(H244),2))</f>
        <v/>
      </c>
      <c r="N244" s="23">
        <f>IF(C244="","",SUMIFS(Payments!$D$6:$D$805,Payments!$G$6:$G$805,B244))</f>
        <v/>
      </c>
      <c r="O244" s="24">
        <f>IF(C244="","",ROUND(L244-N244,2))</f>
        <v/>
      </c>
      <c r="P244" s="11">
        <f>IF(OR(U244="",N(O244)&lt;=0),"",IF(I244="Week",J244+7*U244,IF(I244="2 weeks",J244+14*U244,EDATE(J244,U244))))</f>
        <v/>
      </c>
      <c r="Q244" s="23">
        <f>IF(P244="","",IF(U244=N(H244)-1,O244,ROUND(M244*(U244+1)-N244,2)))</f>
        <v/>
      </c>
      <c r="R244" s="25">
        <f>IF(C244="","",IF(O244&lt;=0,"Paid off",IF(OR(M244="",NOT(ISNUMBER(J244))),"Open",IF(W244&gt;0,"Overdue",IF(AND(ISNUMBER(P244),P244-TODAY()&lt;=Settings!$C$6),"Due soon","On track")))))</f>
        <v/>
      </c>
      <c r="S244" s="1">
        <f>IF(C244="","",B244&amp;" "&amp;C244)</f>
        <v/>
      </c>
      <c r="T244">
        <f>IF(OR(M244="",NOT(ISNUMBER(J244))),"",MIN(N(H244),IF(I244="Week",IF((TODAY()-1)&lt;J244,0,INT(((TODAY()-1)-J244)/7)+1),IF(I244="2 weeks",IF((TODAY()-1)&lt;J244,0,INT(((TODAY()-1)-J244)/14)+1),IF(((YEAR((TODAY()-1))-YEAR(J244))*12+MONTH((TODAY()-1))-MONTH(J244))&lt;0,0,IF(EDATE(J244,((YEAR((TODAY()-1))-YEAR(J244))*12+MONTH((TODAY()-1))-MONTH(J244)))&lt;=(TODAY()-1),((YEAR((TODAY()-1))-YEAR(J244))*12+MONTH((TODAY()-1))-MONTH(J244))+1,((YEAR((TODAY()-1))-YEAR(J244))*12+MONTH((TODAY()-1))-MONTH(J244))))))))</f>
        <v/>
      </c>
      <c r="U244">
        <f>IF(OR(M244="",NOT(ISNUMBER(J244))),"",IF(N(M244)&lt;=0,"",MIN(N(H244)-1,INT(ROUND(N244/M244,6)))))</f>
        <v/>
      </c>
      <c r="V244">
        <f>IF(T244="","",IF(T244&gt;=N(H244),L244,M244*T244))</f>
        <v/>
      </c>
      <c r="W244">
        <f>IF(V244="",0,MAX(0,ROUND(V244-N244,2)))</f>
        <v/>
      </c>
      <c r="X244">
        <f>IF(OR(R244="",R244="Paid off",NOT(ISNUMBER(P244))),"",P244*1000+ROW())</f>
        <v/>
      </c>
      <c r="Y244">
        <f>IF(C244="","",IF(AND(COUNTIF(C$6:C244,C244)=1,SUMIFS(Loans!$O$6:$O$305,Loans!$C$6:$C$305,C244,Loans!$O$6:$O$305,"&gt;0")&gt;0),ROW(),""))</f>
        <v/>
      </c>
      <c r="Z244">
        <f>IF(OR(C244="",P244=""),"",IF(D244="I borrowed","From you","To you"))</f>
        <v/>
      </c>
    </row>
    <row r="245">
      <c r="A245" s="1" t="n"/>
      <c r="B245" s="15" t="n">
        <v>240</v>
      </c>
      <c r="C245" s="16" t="n"/>
      <c r="D245" s="17" t="n"/>
      <c r="E245" s="18" t="n"/>
      <c r="F245" s="19" t="n"/>
      <c r="G245" s="20" t="n"/>
      <c r="H245" s="21" t="n"/>
      <c r="I245" s="17" t="n"/>
      <c r="J245" s="18" t="n"/>
      <c r="K245" s="22" t="n"/>
      <c r="L245" s="23">
        <f>IF(C245="","",ROUND(N(F245)*(1+N(G245)/100*IF(N(H245)&gt;0,N(H245)*IF(I245="Week",7/365,IF(I245="2 weeks",14/365,1/12)),IF(ISNUMBER(E245),MAX(0,TODAY()-E245)/365,0))),2))</f>
        <v/>
      </c>
      <c r="M245" s="23">
        <f>IF(OR(C245="",N(H245)&lt;=0),"",ROUND(L245/N(H245),2))</f>
        <v/>
      </c>
      <c r="N245" s="23">
        <f>IF(C245="","",SUMIFS(Payments!$D$6:$D$805,Payments!$G$6:$G$805,B245))</f>
        <v/>
      </c>
      <c r="O245" s="24">
        <f>IF(C245="","",ROUND(L245-N245,2))</f>
        <v/>
      </c>
      <c r="P245" s="11">
        <f>IF(OR(U245="",N(O245)&lt;=0),"",IF(I245="Week",J245+7*U245,IF(I245="2 weeks",J245+14*U245,EDATE(J245,U245))))</f>
        <v/>
      </c>
      <c r="Q245" s="23">
        <f>IF(P245="","",IF(U245=N(H245)-1,O245,ROUND(M245*(U245+1)-N245,2)))</f>
        <v/>
      </c>
      <c r="R245" s="25">
        <f>IF(C245="","",IF(O245&lt;=0,"Paid off",IF(OR(M245="",NOT(ISNUMBER(J245))),"Open",IF(W245&gt;0,"Overdue",IF(AND(ISNUMBER(P245),P245-TODAY()&lt;=Settings!$C$6),"Due soon","On track")))))</f>
        <v/>
      </c>
      <c r="S245" s="1">
        <f>IF(C245="","",B245&amp;" "&amp;C245)</f>
        <v/>
      </c>
      <c r="T245">
        <f>IF(OR(M245="",NOT(ISNUMBER(J245))),"",MIN(N(H245),IF(I245="Week",IF((TODAY()-1)&lt;J245,0,INT(((TODAY()-1)-J245)/7)+1),IF(I245="2 weeks",IF((TODAY()-1)&lt;J245,0,INT(((TODAY()-1)-J245)/14)+1),IF(((YEAR((TODAY()-1))-YEAR(J245))*12+MONTH((TODAY()-1))-MONTH(J245))&lt;0,0,IF(EDATE(J245,((YEAR((TODAY()-1))-YEAR(J245))*12+MONTH((TODAY()-1))-MONTH(J245)))&lt;=(TODAY()-1),((YEAR((TODAY()-1))-YEAR(J245))*12+MONTH((TODAY()-1))-MONTH(J245))+1,((YEAR((TODAY()-1))-YEAR(J245))*12+MONTH((TODAY()-1))-MONTH(J245))))))))</f>
        <v/>
      </c>
      <c r="U245">
        <f>IF(OR(M245="",NOT(ISNUMBER(J245))),"",IF(N(M245)&lt;=0,"",MIN(N(H245)-1,INT(ROUND(N245/M245,6)))))</f>
        <v/>
      </c>
      <c r="V245">
        <f>IF(T245="","",IF(T245&gt;=N(H245),L245,M245*T245))</f>
        <v/>
      </c>
      <c r="W245">
        <f>IF(V245="",0,MAX(0,ROUND(V245-N245,2)))</f>
        <v/>
      </c>
      <c r="X245">
        <f>IF(OR(R245="",R245="Paid off",NOT(ISNUMBER(P245))),"",P245*1000+ROW())</f>
        <v/>
      </c>
      <c r="Y245">
        <f>IF(C245="","",IF(AND(COUNTIF(C$6:C245,C245)=1,SUMIFS(Loans!$O$6:$O$305,Loans!$C$6:$C$305,C245,Loans!$O$6:$O$305,"&gt;0")&gt;0),ROW(),""))</f>
        <v/>
      </c>
      <c r="Z245">
        <f>IF(OR(C245="",P245=""),"",IF(D245="I borrowed","From you","To you"))</f>
        <v/>
      </c>
    </row>
    <row r="246">
      <c r="A246" s="1" t="n"/>
      <c r="B246" s="15" t="n">
        <v>241</v>
      </c>
      <c r="C246" s="16" t="n"/>
      <c r="D246" s="17" t="n"/>
      <c r="E246" s="18" t="n"/>
      <c r="F246" s="19" t="n"/>
      <c r="G246" s="20" t="n"/>
      <c r="H246" s="21" t="n"/>
      <c r="I246" s="17" t="n"/>
      <c r="J246" s="18" t="n"/>
      <c r="K246" s="22" t="n"/>
      <c r="L246" s="23">
        <f>IF(C246="","",ROUND(N(F246)*(1+N(G246)/100*IF(N(H246)&gt;0,N(H246)*IF(I246="Week",7/365,IF(I246="2 weeks",14/365,1/12)),IF(ISNUMBER(E246),MAX(0,TODAY()-E246)/365,0))),2))</f>
        <v/>
      </c>
      <c r="M246" s="23">
        <f>IF(OR(C246="",N(H246)&lt;=0),"",ROUND(L246/N(H246),2))</f>
        <v/>
      </c>
      <c r="N246" s="23">
        <f>IF(C246="","",SUMIFS(Payments!$D$6:$D$805,Payments!$G$6:$G$805,B246))</f>
        <v/>
      </c>
      <c r="O246" s="24">
        <f>IF(C246="","",ROUND(L246-N246,2))</f>
        <v/>
      </c>
      <c r="P246" s="11">
        <f>IF(OR(U246="",N(O246)&lt;=0),"",IF(I246="Week",J246+7*U246,IF(I246="2 weeks",J246+14*U246,EDATE(J246,U246))))</f>
        <v/>
      </c>
      <c r="Q246" s="23">
        <f>IF(P246="","",IF(U246=N(H246)-1,O246,ROUND(M246*(U246+1)-N246,2)))</f>
        <v/>
      </c>
      <c r="R246" s="25">
        <f>IF(C246="","",IF(O246&lt;=0,"Paid off",IF(OR(M246="",NOT(ISNUMBER(J246))),"Open",IF(W246&gt;0,"Overdue",IF(AND(ISNUMBER(P246),P246-TODAY()&lt;=Settings!$C$6),"Due soon","On track")))))</f>
        <v/>
      </c>
      <c r="S246" s="1">
        <f>IF(C246="","",B246&amp;" "&amp;C246)</f>
        <v/>
      </c>
      <c r="T246">
        <f>IF(OR(M246="",NOT(ISNUMBER(J246))),"",MIN(N(H246),IF(I246="Week",IF((TODAY()-1)&lt;J246,0,INT(((TODAY()-1)-J246)/7)+1),IF(I246="2 weeks",IF((TODAY()-1)&lt;J246,0,INT(((TODAY()-1)-J246)/14)+1),IF(((YEAR((TODAY()-1))-YEAR(J246))*12+MONTH((TODAY()-1))-MONTH(J246))&lt;0,0,IF(EDATE(J246,((YEAR((TODAY()-1))-YEAR(J246))*12+MONTH((TODAY()-1))-MONTH(J246)))&lt;=(TODAY()-1),((YEAR((TODAY()-1))-YEAR(J246))*12+MONTH((TODAY()-1))-MONTH(J246))+1,((YEAR((TODAY()-1))-YEAR(J246))*12+MONTH((TODAY()-1))-MONTH(J246))))))))</f>
        <v/>
      </c>
      <c r="U246">
        <f>IF(OR(M246="",NOT(ISNUMBER(J246))),"",IF(N(M246)&lt;=0,"",MIN(N(H246)-1,INT(ROUND(N246/M246,6)))))</f>
        <v/>
      </c>
      <c r="V246">
        <f>IF(T246="","",IF(T246&gt;=N(H246),L246,M246*T246))</f>
        <v/>
      </c>
      <c r="W246">
        <f>IF(V246="",0,MAX(0,ROUND(V246-N246,2)))</f>
        <v/>
      </c>
      <c r="X246">
        <f>IF(OR(R246="",R246="Paid off",NOT(ISNUMBER(P246))),"",P246*1000+ROW())</f>
        <v/>
      </c>
      <c r="Y246">
        <f>IF(C246="","",IF(AND(COUNTIF(C$6:C246,C246)=1,SUMIFS(Loans!$O$6:$O$305,Loans!$C$6:$C$305,C246,Loans!$O$6:$O$305,"&gt;0")&gt;0),ROW(),""))</f>
        <v/>
      </c>
      <c r="Z246">
        <f>IF(OR(C246="",P246=""),"",IF(D246="I borrowed","From you","To you"))</f>
        <v/>
      </c>
    </row>
    <row r="247">
      <c r="A247" s="1" t="n"/>
      <c r="B247" s="15" t="n">
        <v>242</v>
      </c>
      <c r="C247" s="16" t="n"/>
      <c r="D247" s="17" t="n"/>
      <c r="E247" s="18" t="n"/>
      <c r="F247" s="19" t="n"/>
      <c r="G247" s="20" t="n"/>
      <c r="H247" s="21" t="n"/>
      <c r="I247" s="17" t="n"/>
      <c r="J247" s="18" t="n"/>
      <c r="K247" s="22" t="n"/>
      <c r="L247" s="23">
        <f>IF(C247="","",ROUND(N(F247)*(1+N(G247)/100*IF(N(H247)&gt;0,N(H247)*IF(I247="Week",7/365,IF(I247="2 weeks",14/365,1/12)),IF(ISNUMBER(E247),MAX(0,TODAY()-E247)/365,0))),2))</f>
        <v/>
      </c>
      <c r="M247" s="23">
        <f>IF(OR(C247="",N(H247)&lt;=0),"",ROUND(L247/N(H247),2))</f>
        <v/>
      </c>
      <c r="N247" s="23">
        <f>IF(C247="","",SUMIFS(Payments!$D$6:$D$805,Payments!$G$6:$G$805,B247))</f>
        <v/>
      </c>
      <c r="O247" s="24">
        <f>IF(C247="","",ROUND(L247-N247,2))</f>
        <v/>
      </c>
      <c r="P247" s="11">
        <f>IF(OR(U247="",N(O247)&lt;=0),"",IF(I247="Week",J247+7*U247,IF(I247="2 weeks",J247+14*U247,EDATE(J247,U247))))</f>
        <v/>
      </c>
      <c r="Q247" s="23">
        <f>IF(P247="","",IF(U247=N(H247)-1,O247,ROUND(M247*(U247+1)-N247,2)))</f>
        <v/>
      </c>
      <c r="R247" s="25">
        <f>IF(C247="","",IF(O247&lt;=0,"Paid off",IF(OR(M247="",NOT(ISNUMBER(J247))),"Open",IF(W247&gt;0,"Overdue",IF(AND(ISNUMBER(P247),P247-TODAY()&lt;=Settings!$C$6),"Due soon","On track")))))</f>
        <v/>
      </c>
      <c r="S247" s="1">
        <f>IF(C247="","",B247&amp;" "&amp;C247)</f>
        <v/>
      </c>
      <c r="T247">
        <f>IF(OR(M247="",NOT(ISNUMBER(J247))),"",MIN(N(H247),IF(I247="Week",IF((TODAY()-1)&lt;J247,0,INT(((TODAY()-1)-J247)/7)+1),IF(I247="2 weeks",IF((TODAY()-1)&lt;J247,0,INT(((TODAY()-1)-J247)/14)+1),IF(((YEAR((TODAY()-1))-YEAR(J247))*12+MONTH((TODAY()-1))-MONTH(J247))&lt;0,0,IF(EDATE(J247,((YEAR((TODAY()-1))-YEAR(J247))*12+MONTH((TODAY()-1))-MONTH(J247)))&lt;=(TODAY()-1),((YEAR((TODAY()-1))-YEAR(J247))*12+MONTH((TODAY()-1))-MONTH(J247))+1,((YEAR((TODAY()-1))-YEAR(J247))*12+MONTH((TODAY()-1))-MONTH(J247))))))))</f>
        <v/>
      </c>
      <c r="U247">
        <f>IF(OR(M247="",NOT(ISNUMBER(J247))),"",IF(N(M247)&lt;=0,"",MIN(N(H247)-1,INT(ROUND(N247/M247,6)))))</f>
        <v/>
      </c>
      <c r="V247">
        <f>IF(T247="","",IF(T247&gt;=N(H247),L247,M247*T247))</f>
        <v/>
      </c>
      <c r="W247">
        <f>IF(V247="",0,MAX(0,ROUND(V247-N247,2)))</f>
        <v/>
      </c>
      <c r="X247">
        <f>IF(OR(R247="",R247="Paid off",NOT(ISNUMBER(P247))),"",P247*1000+ROW())</f>
        <v/>
      </c>
      <c r="Y247">
        <f>IF(C247="","",IF(AND(COUNTIF(C$6:C247,C247)=1,SUMIFS(Loans!$O$6:$O$305,Loans!$C$6:$C$305,C247,Loans!$O$6:$O$305,"&gt;0")&gt;0),ROW(),""))</f>
        <v/>
      </c>
      <c r="Z247">
        <f>IF(OR(C247="",P247=""),"",IF(D247="I borrowed","From you","To you"))</f>
        <v/>
      </c>
    </row>
    <row r="248">
      <c r="A248" s="1" t="n"/>
      <c r="B248" s="15" t="n">
        <v>243</v>
      </c>
      <c r="C248" s="16" t="n"/>
      <c r="D248" s="17" t="n"/>
      <c r="E248" s="18" t="n"/>
      <c r="F248" s="19" t="n"/>
      <c r="G248" s="20" t="n"/>
      <c r="H248" s="21" t="n"/>
      <c r="I248" s="17" t="n"/>
      <c r="J248" s="18" t="n"/>
      <c r="K248" s="22" t="n"/>
      <c r="L248" s="23">
        <f>IF(C248="","",ROUND(N(F248)*(1+N(G248)/100*IF(N(H248)&gt;0,N(H248)*IF(I248="Week",7/365,IF(I248="2 weeks",14/365,1/12)),IF(ISNUMBER(E248),MAX(0,TODAY()-E248)/365,0))),2))</f>
        <v/>
      </c>
      <c r="M248" s="23">
        <f>IF(OR(C248="",N(H248)&lt;=0),"",ROUND(L248/N(H248),2))</f>
        <v/>
      </c>
      <c r="N248" s="23">
        <f>IF(C248="","",SUMIFS(Payments!$D$6:$D$805,Payments!$G$6:$G$805,B248))</f>
        <v/>
      </c>
      <c r="O248" s="24">
        <f>IF(C248="","",ROUND(L248-N248,2))</f>
        <v/>
      </c>
      <c r="P248" s="11">
        <f>IF(OR(U248="",N(O248)&lt;=0),"",IF(I248="Week",J248+7*U248,IF(I248="2 weeks",J248+14*U248,EDATE(J248,U248))))</f>
        <v/>
      </c>
      <c r="Q248" s="23">
        <f>IF(P248="","",IF(U248=N(H248)-1,O248,ROUND(M248*(U248+1)-N248,2)))</f>
        <v/>
      </c>
      <c r="R248" s="25">
        <f>IF(C248="","",IF(O248&lt;=0,"Paid off",IF(OR(M248="",NOT(ISNUMBER(J248))),"Open",IF(W248&gt;0,"Overdue",IF(AND(ISNUMBER(P248),P248-TODAY()&lt;=Settings!$C$6),"Due soon","On track")))))</f>
        <v/>
      </c>
      <c r="S248" s="1">
        <f>IF(C248="","",B248&amp;" "&amp;C248)</f>
        <v/>
      </c>
      <c r="T248">
        <f>IF(OR(M248="",NOT(ISNUMBER(J248))),"",MIN(N(H248),IF(I248="Week",IF((TODAY()-1)&lt;J248,0,INT(((TODAY()-1)-J248)/7)+1),IF(I248="2 weeks",IF((TODAY()-1)&lt;J248,0,INT(((TODAY()-1)-J248)/14)+1),IF(((YEAR((TODAY()-1))-YEAR(J248))*12+MONTH((TODAY()-1))-MONTH(J248))&lt;0,0,IF(EDATE(J248,((YEAR((TODAY()-1))-YEAR(J248))*12+MONTH((TODAY()-1))-MONTH(J248)))&lt;=(TODAY()-1),((YEAR((TODAY()-1))-YEAR(J248))*12+MONTH((TODAY()-1))-MONTH(J248))+1,((YEAR((TODAY()-1))-YEAR(J248))*12+MONTH((TODAY()-1))-MONTH(J248))))))))</f>
        <v/>
      </c>
      <c r="U248">
        <f>IF(OR(M248="",NOT(ISNUMBER(J248))),"",IF(N(M248)&lt;=0,"",MIN(N(H248)-1,INT(ROUND(N248/M248,6)))))</f>
        <v/>
      </c>
      <c r="V248">
        <f>IF(T248="","",IF(T248&gt;=N(H248),L248,M248*T248))</f>
        <v/>
      </c>
      <c r="W248">
        <f>IF(V248="",0,MAX(0,ROUND(V248-N248,2)))</f>
        <v/>
      </c>
      <c r="X248">
        <f>IF(OR(R248="",R248="Paid off",NOT(ISNUMBER(P248))),"",P248*1000+ROW())</f>
        <v/>
      </c>
      <c r="Y248">
        <f>IF(C248="","",IF(AND(COUNTIF(C$6:C248,C248)=1,SUMIFS(Loans!$O$6:$O$305,Loans!$C$6:$C$305,C248,Loans!$O$6:$O$305,"&gt;0")&gt;0),ROW(),""))</f>
        <v/>
      </c>
      <c r="Z248">
        <f>IF(OR(C248="",P248=""),"",IF(D248="I borrowed","From you","To you"))</f>
        <v/>
      </c>
    </row>
    <row r="249">
      <c r="A249" s="1" t="n"/>
      <c r="B249" s="15" t="n">
        <v>244</v>
      </c>
      <c r="C249" s="16" t="n"/>
      <c r="D249" s="17" t="n"/>
      <c r="E249" s="18" t="n"/>
      <c r="F249" s="19" t="n"/>
      <c r="G249" s="20" t="n"/>
      <c r="H249" s="21" t="n"/>
      <c r="I249" s="17" t="n"/>
      <c r="J249" s="18" t="n"/>
      <c r="K249" s="22" t="n"/>
      <c r="L249" s="23">
        <f>IF(C249="","",ROUND(N(F249)*(1+N(G249)/100*IF(N(H249)&gt;0,N(H249)*IF(I249="Week",7/365,IF(I249="2 weeks",14/365,1/12)),IF(ISNUMBER(E249),MAX(0,TODAY()-E249)/365,0))),2))</f>
        <v/>
      </c>
      <c r="M249" s="23">
        <f>IF(OR(C249="",N(H249)&lt;=0),"",ROUND(L249/N(H249),2))</f>
        <v/>
      </c>
      <c r="N249" s="23">
        <f>IF(C249="","",SUMIFS(Payments!$D$6:$D$805,Payments!$G$6:$G$805,B249))</f>
        <v/>
      </c>
      <c r="O249" s="24">
        <f>IF(C249="","",ROUND(L249-N249,2))</f>
        <v/>
      </c>
      <c r="P249" s="11">
        <f>IF(OR(U249="",N(O249)&lt;=0),"",IF(I249="Week",J249+7*U249,IF(I249="2 weeks",J249+14*U249,EDATE(J249,U249))))</f>
        <v/>
      </c>
      <c r="Q249" s="23">
        <f>IF(P249="","",IF(U249=N(H249)-1,O249,ROUND(M249*(U249+1)-N249,2)))</f>
        <v/>
      </c>
      <c r="R249" s="25">
        <f>IF(C249="","",IF(O249&lt;=0,"Paid off",IF(OR(M249="",NOT(ISNUMBER(J249))),"Open",IF(W249&gt;0,"Overdue",IF(AND(ISNUMBER(P249),P249-TODAY()&lt;=Settings!$C$6),"Due soon","On track")))))</f>
        <v/>
      </c>
      <c r="S249" s="1">
        <f>IF(C249="","",B249&amp;" "&amp;C249)</f>
        <v/>
      </c>
      <c r="T249">
        <f>IF(OR(M249="",NOT(ISNUMBER(J249))),"",MIN(N(H249),IF(I249="Week",IF((TODAY()-1)&lt;J249,0,INT(((TODAY()-1)-J249)/7)+1),IF(I249="2 weeks",IF((TODAY()-1)&lt;J249,0,INT(((TODAY()-1)-J249)/14)+1),IF(((YEAR((TODAY()-1))-YEAR(J249))*12+MONTH((TODAY()-1))-MONTH(J249))&lt;0,0,IF(EDATE(J249,((YEAR((TODAY()-1))-YEAR(J249))*12+MONTH((TODAY()-1))-MONTH(J249)))&lt;=(TODAY()-1),((YEAR((TODAY()-1))-YEAR(J249))*12+MONTH((TODAY()-1))-MONTH(J249))+1,((YEAR((TODAY()-1))-YEAR(J249))*12+MONTH((TODAY()-1))-MONTH(J249))))))))</f>
        <v/>
      </c>
      <c r="U249">
        <f>IF(OR(M249="",NOT(ISNUMBER(J249))),"",IF(N(M249)&lt;=0,"",MIN(N(H249)-1,INT(ROUND(N249/M249,6)))))</f>
        <v/>
      </c>
      <c r="V249">
        <f>IF(T249="","",IF(T249&gt;=N(H249),L249,M249*T249))</f>
        <v/>
      </c>
      <c r="W249">
        <f>IF(V249="",0,MAX(0,ROUND(V249-N249,2)))</f>
        <v/>
      </c>
      <c r="X249">
        <f>IF(OR(R249="",R249="Paid off",NOT(ISNUMBER(P249))),"",P249*1000+ROW())</f>
        <v/>
      </c>
      <c r="Y249">
        <f>IF(C249="","",IF(AND(COUNTIF(C$6:C249,C249)=1,SUMIFS(Loans!$O$6:$O$305,Loans!$C$6:$C$305,C249,Loans!$O$6:$O$305,"&gt;0")&gt;0),ROW(),""))</f>
        <v/>
      </c>
      <c r="Z249">
        <f>IF(OR(C249="",P249=""),"",IF(D249="I borrowed","From you","To you"))</f>
        <v/>
      </c>
    </row>
    <row r="250">
      <c r="A250" s="1" t="n"/>
      <c r="B250" s="15" t="n">
        <v>245</v>
      </c>
      <c r="C250" s="16" t="n"/>
      <c r="D250" s="17" t="n"/>
      <c r="E250" s="18" t="n"/>
      <c r="F250" s="19" t="n"/>
      <c r="G250" s="20" t="n"/>
      <c r="H250" s="21" t="n"/>
      <c r="I250" s="17" t="n"/>
      <c r="J250" s="18" t="n"/>
      <c r="K250" s="22" t="n"/>
      <c r="L250" s="23">
        <f>IF(C250="","",ROUND(N(F250)*(1+N(G250)/100*IF(N(H250)&gt;0,N(H250)*IF(I250="Week",7/365,IF(I250="2 weeks",14/365,1/12)),IF(ISNUMBER(E250),MAX(0,TODAY()-E250)/365,0))),2))</f>
        <v/>
      </c>
      <c r="M250" s="23">
        <f>IF(OR(C250="",N(H250)&lt;=0),"",ROUND(L250/N(H250),2))</f>
        <v/>
      </c>
      <c r="N250" s="23">
        <f>IF(C250="","",SUMIFS(Payments!$D$6:$D$805,Payments!$G$6:$G$805,B250))</f>
        <v/>
      </c>
      <c r="O250" s="24">
        <f>IF(C250="","",ROUND(L250-N250,2))</f>
        <v/>
      </c>
      <c r="P250" s="11">
        <f>IF(OR(U250="",N(O250)&lt;=0),"",IF(I250="Week",J250+7*U250,IF(I250="2 weeks",J250+14*U250,EDATE(J250,U250))))</f>
        <v/>
      </c>
      <c r="Q250" s="23">
        <f>IF(P250="","",IF(U250=N(H250)-1,O250,ROUND(M250*(U250+1)-N250,2)))</f>
        <v/>
      </c>
      <c r="R250" s="25">
        <f>IF(C250="","",IF(O250&lt;=0,"Paid off",IF(OR(M250="",NOT(ISNUMBER(J250))),"Open",IF(W250&gt;0,"Overdue",IF(AND(ISNUMBER(P250),P250-TODAY()&lt;=Settings!$C$6),"Due soon","On track")))))</f>
        <v/>
      </c>
      <c r="S250" s="1">
        <f>IF(C250="","",B250&amp;" "&amp;C250)</f>
        <v/>
      </c>
      <c r="T250">
        <f>IF(OR(M250="",NOT(ISNUMBER(J250))),"",MIN(N(H250),IF(I250="Week",IF((TODAY()-1)&lt;J250,0,INT(((TODAY()-1)-J250)/7)+1),IF(I250="2 weeks",IF((TODAY()-1)&lt;J250,0,INT(((TODAY()-1)-J250)/14)+1),IF(((YEAR((TODAY()-1))-YEAR(J250))*12+MONTH((TODAY()-1))-MONTH(J250))&lt;0,0,IF(EDATE(J250,((YEAR((TODAY()-1))-YEAR(J250))*12+MONTH((TODAY()-1))-MONTH(J250)))&lt;=(TODAY()-1),((YEAR((TODAY()-1))-YEAR(J250))*12+MONTH((TODAY()-1))-MONTH(J250))+1,((YEAR((TODAY()-1))-YEAR(J250))*12+MONTH((TODAY()-1))-MONTH(J250))))))))</f>
        <v/>
      </c>
      <c r="U250">
        <f>IF(OR(M250="",NOT(ISNUMBER(J250))),"",IF(N(M250)&lt;=0,"",MIN(N(H250)-1,INT(ROUND(N250/M250,6)))))</f>
        <v/>
      </c>
      <c r="V250">
        <f>IF(T250="","",IF(T250&gt;=N(H250),L250,M250*T250))</f>
        <v/>
      </c>
      <c r="W250">
        <f>IF(V250="",0,MAX(0,ROUND(V250-N250,2)))</f>
        <v/>
      </c>
      <c r="X250">
        <f>IF(OR(R250="",R250="Paid off",NOT(ISNUMBER(P250))),"",P250*1000+ROW())</f>
        <v/>
      </c>
      <c r="Y250">
        <f>IF(C250="","",IF(AND(COUNTIF(C$6:C250,C250)=1,SUMIFS(Loans!$O$6:$O$305,Loans!$C$6:$C$305,C250,Loans!$O$6:$O$305,"&gt;0")&gt;0),ROW(),""))</f>
        <v/>
      </c>
      <c r="Z250">
        <f>IF(OR(C250="",P250=""),"",IF(D250="I borrowed","From you","To you"))</f>
        <v/>
      </c>
    </row>
    <row r="251">
      <c r="A251" s="1" t="n"/>
      <c r="B251" s="15" t="n">
        <v>246</v>
      </c>
      <c r="C251" s="16" t="n"/>
      <c r="D251" s="17" t="n"/>
      <c r="E251" s="18" t="n"/>
      <c r="F251" s="19" t="n"/>
      <c r="G251" s="20" t="n"/>
      <c r="H251" s="21" t="n"/>
      <c r="I251" s="17" t="n"/>
      <c r="J251" s="18" t="n"/>
      <c r="K251" s="22" t="n"/>
      <c r="L251" s="23">
        <f>IF(C251="","",ROUND(N(F251)*(1+N(G251)/100*IF(N(H251)&gt;0,N(H251)*IF(I251="Week",7/365,IF(I251="2 weeks",14/365,1/12)),IF(ISNUMBER(E251),MAX(0,TODAY()-E251)/365,0))),2))</f>
        <v/>
      </c>
      <c r="M251" s="23">
        <f>IF(OR(C251="",N(H251)&lt;=0),"",ROUND(L251/N(H251),2))</f>
        <v/>
      </c>
      <c r="N251" s="23">
        <f>IF(C251="","",SUMIFS(Payments!$D$6:$D$805,Payments!$G$6:$G$805,B251))</f>
        <v/>
      </c>
      <c r="O251" s="24">
        <f>IF(C251="","",ROUND(L251-N251,2))</f>
        <v/>
      </c>
      <c r="P251" s="11">
        <f>IF(OR(U251="",N(O251)&lt;=0),"",IF(I251="Week",J251+7*U251,IF(I251="2 weeks",J251+14*U251,EDATE(J251,U251))))</f>
        <v/>
      </c>
      <c r="Q251" s="23">
        <f>IF(P251="","",IF(U251=N(H251)-1,O251,ROUND(M251*(U251+1)-N251,2)))</f>
        <v/>
      </c>
      <c r="R251" s="25">
        <f>IF(C251="","",IF(O251&lt;=0,"Paid off",IF(OR(M251="",NOT(ISNUMBER(J251))),"Open",IF(W251&gt;0,"Overdue",IF(AND(ISNUMBER(P251),P251-TODAY()&lt;=Settings!$C$6),"Due soon","On track")))))</f>
        <v/>
      </c>
      <c r="S251" s="1">
        <f>IF(C251="","",B251&amp;" "&amp;C251)</f>
        <v/>
      </c>
      <c r="T251">
        <f>IF(OR(M251="",NOT(ISNUMBER(J251))),"",MIN(N(H251),IF(I251="Week",IF((TODAY()-1)&lt;J251,0,INT(((TODAY()-1)-J251)/7)+1),IF(I251="2 weeks",IF((TODAY()-1)&lt;J251,0,INT(((TODAY()-1)-J251)/14)+1),IF(((YEAR((TODAY()-1))-YEAR(J251))*12+MONTH((TODAY()-1))-MONTH(J251))&lt;0,0,IF(EDATE(J251,((YEAR((TODAY()-1))-YEAR(J251))*12+MONTH((TODAY()-1))-MONTH(J251)))&lt;=(TODAY()-1),((YEAR((TODAY()-1))-YEAR(J251))*12+MONTH((TODAY()-1))-MONTH(J251))+1,((YEAR((TODAY()-1))-YEAR(J251))*12+MONTH((TODAY()-1))-MONTH(J251))))))))</f>
        <v/>
      </c>
      <c r="U251">
        <f>IF(OR(M251="",NOT(ISNUMBER(J251))),"",IF(N(M251)&lt;=0,"",MIN(N(H251)-1,INT(ROUND(N251/M251,6)))))</f>
        <v/>
      </c>
      <c r="V251">
        <f>IF(T251="","",IF(T251&gt;=N(H251),L251,M251*T251))</f>
        <v/>
      </c>
      <c r="W251">
        <f>IF(V251="",0,MAX(0,ROUND(V251-N251,2)))</f>
        <v/>
      </c>
      <c r="X251">
        <f>IF(OR(R251="",R251="Paid off",NOT(ISNUMBER(P251))),"",P251*1000+ROW())</f>
        <v/>
      </c>
      <c r="Y251">
        <f>IF(C251="","",IF(AND(COUNTIF(C$6:C251,C251)=1,SUMIFS(Loans!$O$6:$O$305,Loans!$C$6:$C$305,C251,Loans!$O$6:$O$305,"&gt;0")&gt;0),ROW(),""))</f>
        <v/>
      </c>
      <c r="Z251">
        <f>IF(OR(C251="",P251=""),"",IF(D251="I borrowed","From you","To you"))</f>
        <v/>
      </c>
    </row>
    <row r="252">
      <c r="A252" s="1" t="n"/>
      <c r="B252" s="15" t="n">
        <v>247</v>
      </c>
      <c r="C252" s="16" t="n"/>
      <c r="D252" s="17" t="n"/>
      <c r="E252" s="18" t="n"/>
      <c r="F252" s="19" t="n"/>
      <c r="G252" s="20" t="n"/>
      <c r="H252" s="21" t="n"/>
      <c r="I252" s="17" t="n"/>
      <c r="J252" s="18" t="n"/>
      <c r="K252" s="22" t="n"/>
      <c r="L252" s="23">
        <f>IF(C252="","",ROUND(N(F252)*(1+N(G252)/100*IF(N(H252)&gt;0,N(H252)*IF(I252="Week",7/365,IF(I252="2 weeks",14/365,1/12)),IF(ISNUMBER(E252),MAX(0,TODAY()-E252)/365,0))),2))</f>
        <v/>
      </c>
      <c r="M252" s="23">
        <f>IF(OR(C252="",N(H252)&lt;=0),"",ROUND(L252/N(H252),2))</f>
        <v/>
      </c>
      <c r="N252" s="23">
        <f>IF(C252="","",SUMIFS(Payments!$D$6:$D$805,Payments!$G$6:$G$805,B252))</f>
        <v/>
      </c>
      <c r="O252" s="24">
        <f>IF(C252="","",ROUND(L252-N252,2))</f>
        <v/>
      </c>
      <c r="P252" s="11">
        <f>IF(OR(U252="",N(O252)&lt;=0),"",IF(I252="Week",J252+7*U252,IF(I252="2 weeks",J252+14*U252,EDATE(J252,U252))))</f>
        <v/>
      </c>
      <c r="Q252" s="23">
        <f>IF(P252="","",IF(U252=N(H252)-1,O252,ROUND(M252*(U252+1)-N252,2)))</f>
        <v/>
      </c>
      <c r="R252" s="25">
        <f>IF(C252="","",IF(O252&lt;=0,"Paid off",IF(OR(M252="",NOT(ISNUMBER(J252))),"Open",IF(W252&gt;0,"Overdue",IF(AND(ISNUMBER(P252),P252-TODAY()&lt;=Settings!$C$6),"Due soon","On track")))))</f>
        <v/>
      </c>
      <c r="S252" s="1">
        <f>IF(C252="","",B252&amp;" "&amp;C252)</f>
        <v/>
      </c>
      <c r="T252">
        <f>IF(OR(M252="",NOT(ISNUMBER(J252))),"",MIN(N(H252),IF(I252="Week",IF((TODAY()-1)&lt;J252,0,INT(((TODAY()-1)-J252)/7)+1),IF(I252="2 weeks",IF((TODAY()-1)&lt;J252,0,INT(((TODAY()-1)-J252)/14)+1),IF(((YEAR((TODAY()-1))-YEAR(J252))*12+MONTH((TODAY()-1))-MONTH(J252))&lt;0,0,IF(EDATE(J252,((YEAR((TODAY()-1))-YEAR(J252))*12+MONTH((TODAY()-1))-MONTH(J252)))&lt;=(TODAY()-1),((YEAR((TODAY()-1))-YEAR(J252))*12+MONTH((TODAY()-1))-MONTH(J252))+1,((YEAR((TODAY()-1))-YEAR(J252))*12+MONTH((TODAY()-1))-MONTH(J252))))))))</f>
        <v/>
      </c>
      <c r="U252">
        <f>IF(OR(M252="",NOT(ISNUMBER(J252))),"",IF(N(M252)&lt;=0,"",MIN(N(H252)-1,INT(ROUND(N252/M252,6)))))</f>
        <v/>
      </c>
      <c r="V252">
        <f>IF(T252="","",IF(T252&gt;=N(H252),L252,M252*T252))</f>
        <v/>
      </c>
      <c r="W252">
        <f>IF(V252="",0,MAX(0,ROUND(V252-N252,2)))</f>
        <v/>
      </c>
      <c r="X252">
        <f>IF(OR(R252="",R252="Paid off",NOT(ISNUMBER(P252))),"",P252*1000+ROW())</f>
        <v/>
      </c>
      <c r="Y252">
        <f>IF(C252="","",IF(AND(COUNTIF(C$6:C252,C252)=1,SUMIFS(Loans!$O$6:$O$305,Loans!$C$6:$C$305,C252,Loans!$O$6:$O$305,"&gt;0")&gt;0),ROW(),""))</f>
        <v/>
      </c>
      <c r="Z252">
        <f>IF(OR(C252="",P252=""),"",IF(D252="I borrowed","From you","To you"))</f>
        <v/>
      </c>
    </row>
    <row r="253">
      <c r="A253" s="1" t="n"/>
      <c r="B253" s="15" t="n">
        <v>248</v>
      </c>
      <c r="C253" s="16" t="n"/>
      <c r="D253" s="17" t="n"/>
      <c r="E253" s="18" t="n"/>
      <c r="F253" s="19" t="n"/>
      <c r="G253" s="20" t="n"/>
      <c r="H253" s="21" t="n"/>
      <c r="I253" s="17" t="n"/>
      <c r="J253" s="18" t="n"/>
      <c r="K253" s="22" t="n"/>
      <c r="L253" s="23">
        <f>IF(C253="","",ROUND(N(F253)*(1+N(G253)/100*IF(N(H253)&gt;0,N(H253)*IF(I253="Week",7/365,IF(I253="2 weeks",14/365,1/12)),IF(ISNUMBER(E253),MAX(0,TODAY()-E253)/365,0))),2))</f>
        <v/>
      </c>
      <c r="M253" s="23">
        <f>IF(OR(C253="",N(H253)&lt;=0),"",ROUND(L253/N(H253),2))</f>
        <v/>
      </c>
      <c r="N253" s="23">
        <f>IF(C253="","",SUMIFS(Payments!$D$6:$D$805,Payments!$G$6:$G$805,B253))</f>
        <v/>
      </c>
      <c r="O253" s="24">
        <f>IF(C253="","",ROUND(L253-N253,2))</f>
        <v/>
      </c>
      <c r="P253" s="11">
        <f>IF(OR(U253="",N(O253)&lt;=0),"",IF(I253="Week",J253+7*U253,IF(I253="2 weeks",J253+14*U253,EDATE(J253,U253))))</f>
        <v/>
      </c>
      <c r="Q253" s="23">
        <f>IF(P253="","",IF(U253=N(H253)-1,O253,ROUND(M253*(U253+1)-N253,2)))</f>
        <v/>
      </c>
      <c r="R253" s="25">
        <f>IF(C253="","",IF(O253&lt;=0,"Paid off",IF(OR(M253="",NOT(ISNUMBER(J253))),"Open",IF(W253&gt;0,"Overdue",IF(AND(ISNUMBER(P253),P253-TODAY()&lt;=Settings!$C$6),"Due soon","On track")))))</f>
        <v/>
      </c>
      <c r="S253" s="1">
        <f>IF(C253="","",B253&amp;" "&amp;C253)</f>
        <v/>
      </c>
      <c r="T253">
        <f>IF(OR(M253="",NOT(ISNUMBER(J253))),"",MIN(N(H253),IF(I253="Week",IF((TODAY()-1)&lt;J253,0,INT(((TODAY()-1)-J253)/7)+1),IF(I253="2 weeks",IF((TODAY()-1)&lt;J253,0,INT(((TODAY()-1)-J253)/14)+1),IF(((YEAR((TODAY()-1))-YEAR(J253))*12+MONTH((TODAY()-1))-MONTH(J253))&lt;0,0,IF(EDATE(J253,((YEAR((TODAY()-1))-YEAR(J253))*12+MONTH((TODAY()-1))-MONTH(J253)))&lt;=(TODAY()-1),((YEAR((TODAY()-1))-YEAR(J253))*12+MONTH((TODAY()-1))-MONTH(J253))+1,((YEAR((TODAY()-1))-YEAR(J253))*12+MONTH((TODAY()-1))-MONTH(J253))))))))</f>
        <v/>
      </c>
      <c r="U253">
        <f>IF(OR(M253="",NOT(ISNUMBER(J253))),"",IF(N(M253)&lt;=0,"",MIN(N(H253)-1,INT(ROUND(N253/M253,6)))))</f>
        <v/>
      </c>
      <c r="V253">
        <f>IF(T253="","",IF(T253&gt;=N(H253),L253,M253*T253))</f>
        <v/>
      </c>
      <c r="W253">
        <f>IF(V253="",0,MAX(0,ROUND(V253-N253,2)))</f>
        <v/>
      </c>
      <c r="X253">
        <f>IF(OR(R253="",R253="Paid off",NOT(ISNUMBER(P253))),"",P253*1000+ROW())</f>
        <v/>
      </c>
      <c r="Y253">
        <f>IF(C253="","",IF(AND(COUNTIF(C$6:C253,C253)=1,SUMIFS(Loans!$O$6:$O$305,Loans!$C$6:$C$305,C253,Loans!$O$6:$O$305,"&gt;0")&gt;0),ROW(),""))</f>
        <v/>
      </c>
      <c r="Z253">
        <f>IF(OR(C253="",P253=""),"",IF(D253="I borrowed","From you","To you"))</f>
        <v/>
      </c>
    </row>
    <row r="254">
      <c r="A254" s="1" t="n"/>
      <c r="B254" s="15" t="n">
        <v>249</v>
      </c>
      <c r="C254" s="16" t="n"/>
      <c r="D254" s="17" t="n"/>
      <c r="E254" s="18" t="n"/>
      <c r="F254" s="19" t="n"/>
      <c r="G254" s="20" t="n"/>
      <c r="H254" s="21" t="n"/>
      <c r="I254" s="17" t="n"/>
      <c r="J254" s="18" t="n"/>
      <c r="K254" s="22" t="n"/>
      <c r="L254" s="23">
        <f>IF(C254="","",ROUND(N(F254)*(1+N(G254)/100*IF(N(H254)&gt;0,N(H254)*IF(I254="Week",7/365,IF(I254="2 weeks",14/365,1/12)),IF(ISNUMBER(E254),MAX(0,TODAY()-E254)/365,0))),2))</f>
        <v/>
      </c>
      <c r="M254" s="23">
        <f>IF(OR(C254="",N(H254)&lt;=0),"",ROUND(L254/N(H254),2))</f>
        <v/>
      </c>
      <c r="N254" s="23">
        <f>IF(C254="","",SUMIFS(Payments!$D$6:$D$805,Payments!$G$6:$G$805,B254))</f>
        <v/>
      </c>
      <c r="O254" s="24">
        <f>IF(C254="","",ROUND(L254-N254,2))</f>
        <v/>
      </c>
      <c r="P254" s="11">
        <f>IF(OR(U254="",N(O254)&lt;=0),"",IF(I254="Week",J254+7*U254,IF(I254="2 weeks",J254+14*U254,EDATE(J254,U254))))</f>
        <v/>
      </c>
      <c r="Q254" s="23">
        <f>IF(P254="","",IF(U254=N(H254)-1,O254,ROUND(M254*(U254+1)-N254,2)))</f>
        <v/>
      </c>
      <c r="R254" s="25">
        <f>IF(C254="","",IF(O254&lt;=0,"Paid off",IF(OR(M254="",NOT(ISNUMBER(J254))),"Open",IF(W254&gt;0,"Overdue",IF(AND(ISNUMBER(P254),P254-TODAY()&lt;=Settings!$C$6),"Due soon","On track")))))</f>
        <v/>
      </c>
      <c r="S254" s="1">
        <f>IF(C254="","",B254&amp;" "&amp;C254)</f>
        <v/>
      </c>
      <c r="T254">
        <f>IF(OR(M254="",NOT(ISNUMBER(J254))),"",MIN(N(H254),IF(I254="Week",IF((TODAY()-1)&lt;J254,0,INT(((TODAY()-1)-J254)/7)+1),IF(I254="2 weeks",IF((TODAY()-1)&lt;J254,0,INT(((TODAY()-1)-J254)/14)+1),IF(((YEAR((TODAY()-1))-YEAR(J254))*12+MONTH((TODAY()-1))-MONTH(J254))&lt;0,0,IF(EDATE(J254,((YEAR((TODAY()-1))-YEAR(J254))*12+MONTH((TODAY()-1))-MONTH(J254)))&lt;=(TODAY()-1),((YEAR((TODAY()-1))-YEAR(J254))*12+MONTH((TODAY()-1))-MONTH(J254))+1,((YEAR((TODAY()-1))-YEAR(J254))*12+MONTH((TODAY()-1))-MONTH(J254))))))))</f>
        <v/>
      </c>
      <c r="U254">
        <f>IF(OR(M254="",NOT(ISNUMBER(J254))),"",IF(N(M254)&lt;=0,"",MIN(N(H254)-1,INT(ROUND(N254/M254,6)))))</f>
        <v/>
      </c>
      <c r="V254">
        <f>IF(T254="","",IF(T254&gt;=N(H254),L254,M254*T254))</f>
        <v/>
      </c>
      <c r="W254">
        <f>IF(V254="",0,MAX(0,ROUND(V254-N254,2)))</f>
        <v/>
      </c>
      <c r="X254">
        <f>IF(OR(R254="",R254="Paid off",NOT(ISNUMBER(P254))),"",P254*1000+ROW())</f>
        <v/>
      </c>
      <c r="Y254">
        <f>IF(C254="","",IF(AND(COUNTIF(C$6:C254,C254)=1,SUMIFS(Loans!$O$6:$O$305,Loans!$C$6:$C$305,C254,Loans!$O$6:$O$305,"&gt;0")&gt;0),ROW(),""))</f>
        <v/>
      </c>
      <c r="Z254">
        <f>IF(OR(C254="",P254=""),"",IF(D254="I borrowed","From you","To you"))</f>
        <v/>
      </c>
    </row>
    <row r="255">
      <c r="A255" s="1" t="n"/>
      <c r="B255" s="15" t="n">
        <v>250</v>
      </c>
      <c r="C255" s="16" t="n"/>
      <c r="D255" s="17" t="n"/>
      <c r="E255" s="18" t="n"/>
      <c r="F255" s="19" t="n"/>
      <c r="G255" s="20" t="n"/>
      <c r="H255" s="21" t="n"/>
      <c r="I255" s="17" t="n"/>
      <c r="J255" s="18" t="n"/>
      <c r="K255" s="22" t="n"/>
      <c r="L255" s="23">
        <f>IF(C255="","",ROUND(N(F255)*(1+N(G255)/100*IF(N(H255)&gt;0,N(H255)*IF(I255="Week",7/365,IF(I255="2 weeks",14/365,1/12)),IF(ISNUMBER(E255),MAX(0,TODAY()-E255)/365,0))),2))</f>
        <v/>
      </c>
      <c r="M255" s="23">
        <f>IF(OR(C255="",N(H255)&lt;=0),"",ROUND(L255/N(H255),2))</f>
        <v/>
      </c>
      <c r="N255" s="23">
        <f>IF(C255="","",SUMIFS(Payments!$D$6:$D$805,Payments!$G$6:$G$805,B255))</f>
        <v/>
      </c>
      <c r="O255" s="24">
        <f>IF(C255="","",ROUND(L255-N255,2))</f>
        <v/>
      </c>
      <c r="P255" s="11">
        <f>IF(OR(U255="",N(O255)&lt;=0),"",IF(I255="Week",J255+7*U255,IF(I255="2 weeks",J255+14*U255,EDATE(J255,U255))))</f>
        <v/>
      </c>
      <c r="Q255" s="23">
        <f>IF(P255="","",IF(U255=N(H255)-1,O255,ROUND(M255*(U255+1)-N255,2)))</f>
        <v/>
      </c>
      <c r="R255" s="25">
        <f>IF(C255="","",IF(O255&lt;=0,"Paid off",IF(OR(M255="",NOT(ISNUMBER(J255))),"Open",IF(W255&gt;0,"Overdue",IF(AND(ISNUMBER(P255),P255-TODAY()&lt;=Settings!$C$6),"Due soon","On track")))))</f>
        <v/>
      </c>
      <c r="S255" s="1">
        <f>IF(C255="","",B255&amp;" "&amp;C255)</f>
        <v/>
      </c>
      <c r="T255">
        <f>IF(OR(M255="",NOT(ISNUMBER(J255))),"",MIN(N(H255),IF(I255="Week",IF((TODAY()-1)&lt;J255,0,INT(((TODAY()-1)-J255)/7)+1),IF(I255="2 weeks",IF((TODAY()-1)&lt;J255,0,INT(((TODAY()-1)-J255)/14)+1),IF(((YEAR((TODAY()-1))-YEAR(J255))*12+MONTH((TODAY()-1))-MONTH(J255))&lt;0,0,IF(EDATE(J255,((YEAR((TODAY()-1))-YEAR(J255))*12+MONTH((TODAY()-1))-MONTH(J255)))&lt;=(TODAY()-1),((YEAR((TODAY()-1))-YEAR(J255))*12+MONTH((TODAY()-1))-MONTH(J255))+1,((YEAR((TODAY()-1))-YEAR(J255))*12+MONTH((TODAY()-1))-MONTH(J255))))))))</f>
        <v/>
      </c>
      <c r="U255">
        <f>IF(OR(M255="",NOT(ISNUMBER(J255))),"",IF(N(M255)&lt;=0,"",MIN(N(H255)-1,INT(ROUND(N255/M255,6)))))</f>
        <v/>
      </c>
      <c r="V255">
        <f>IF(T255="","",IF(T255&gt;=N(H255),L255,M255*T255))</f>
        <v/>
      </c>
      <c r="W255">
        <f>IF(V255="",0,MAX(0,ROUND(V255-N255,2)))</f>
        <v/>
      </c>
      <c r="X255">
        <f>IF(OR(R255="",R255="Paid off",NOT(ISNUMBER(P255))),"",P255*1000+ROW())</f>
        <v/>
      </c>
      <c r="Y255">
        <f>IF(C255="","",IF(AND(COUNTIF(C$6:C255,C255)=1,SUMIFS(Loans!$O$6:$O$305,Loans!$C$6:$C$305,C255,Loans!$O$6:$O$305,"&gt;0")&gt;0),ROW(),""))</f>
        <v/>
      </c>
      <c r="Z255">
        <f>IF(OR(C255="",P255=""),"",IF(D255="I borrowed","From you","To you"))</f>
        <v/>
      </c>
    </row>
    <row r="256">
      <c r="A256" s="1" t="n"/>
      <c r="B256" s="15" t="n">
        <v>251</v>
      </c>
      <c r="C256" s="16" t="n"/>
      <c r="D256" s="17" t="n"/>
      <c r="E256" s="18" t="n"/>
      <c r="F256" s="19" t="n"/>
      <c r="G256" s="20" t="n"/>
      <c r="H256" s="21" t="n"/>
      <c r="I256" s="17" t="n"/>
      <c r="J256" s="18" t="n"/>
      <c r="K256" s="22" t="n"/>
      <c r="L256" s="23">
        <f>IF(C256="","",ROUND(N(F256)*(1+N(G256)/100*IF(N(H256)&gt;0,N(H256)*IF(I256="Week",7/365,IF(I256="2 weeks",14/365,1/12)),IF(ISNUMBER(E256),MAX(0,TODAY()-E256)/365,0))),2))</f>
        <v/>
      </c>
      <c r="M256" s="23">
        <f>IF(OR(C256="",N(H256)&lt;=0),"",ROUND(L256/N(H256),2))</f>
        <v/>
      </c>
      <c r="N256" s="23">
        <f>IF(C256="","",SUMIFS(Payments!$D$6:$D$805,Payments!$G$6:$G$805,B256))</f>
        <v/>
      </c>
      <c r="O256" s="24">
        <f>IF(C256="","",ROUND(L256-N256,2))</f>
        <v/>
      </c>
      <c r="P256" s="11">
        <f>IF(OR(U256="",N(O256)&lt;=0),"",IF(I256="Week",J256+7*U256,IF(I256="2 weeks",J256+14*U256,EDATE(J256,U256))))</f>
        <v/>
      </c>
      <c r="Q256" s="23">
        <f>IF(P256="","",IF(U256=N(H256)-1,O256,ROUND(M256*(U256+1)-N256,2)))</f>
        <v/>
      </c>
      <c r="R256" s="25">
        <f>IF(C256="","",IF(O256&lt;=0,"Paid off",IF(OR(M256="",NOT(ISNUMBER(J256))),"Open",IF(W256&gt;0,"Overdue",IF(AND(ISNUMBER(P256),P256-TODAY()&lt;=Settings!$C$6),"Due soon","On track")))))</f>
        <v/>
      </c>
      <c r="S256" s="1">
        <f>IF(C256="","",B256&amp;" "&amp;C256)</f>
        <v/>
      </c>
      <c r="T256">
        <f>IF(OR(M256="",NOT(ISNUMBER(J256))),"",MIN(N(H256),IF(I256="Week",IF((TODAY()-1)&lt;J256,0,INT(((TODAY()-1)-J256)/7)+1),IF(I256="2 weeks",IF((TODAY()-1)&lt;J256,0,INT(((TODAY()-1)-J256)/14)+1),IF(((YEAR((TODAY()-1))-YEAR(J256))*12+MONTH((TODAY()-1))-MONTH(J256))&lt;0,0,IF(EDATE(J256,((YEAR((TODAY()-1))-YEAR(J256))*12+MONTH((TODAY()-1))-MONTH(J256)))&lt;=(TODAY()-1),((YEAR((TODAY()-1))-YEAR(J256))*12+MONTH((TODAY()-1))-MONTH(J256))+1,((YEAR((TODAY()-1))-YEAR(J256))*12+MONTH((TODAY()-1))-MONTH(J256))))))))</f>
        <v/>
      </c>
      <c r="U256">
        <f>IF(OR(M256="",NOT(ISNUMBER(J256))),"",IF(N(M256)&lt;=0,"",MIN(N(H256)-1,INT(ROUND(N256/M256,6)))))</f>
        <v/>
      </c>
      <c r="V256">
        <f>IF(T256="","",IF(T256&gt;=N(H256),L256,M256*T256))</f>
        <v/>
      </c>
      <c r="W256">
        <f>IF(V256="",0,MAX(0,ROUND(V256-N256,2)))</f>
        <v/>
      </c>
      <c r="X256">
        <f>IF(OR(R256="",R256="Paid off",NOT(ISNUMBER(P256))),"",P256*1000+ROW())</f>
        <v/>
      </c>
      <c r="Y256">
        <f>IF(C256="","",IF(AND(COUNTIF(C$6:C256,C256)=1,SUMIFS(Loans!$O$6:$O$305,Loans!$C$6:$C$305,C256,Loans!$O$6:$O$305,"&gt;0")&gt;0),ROW(),""))</f>
        <v/>
      </c>
      <c r="Z256">
        <f>IF(OR(C256="",P256=""),"",IF(D256="I borrowed","From you","To you"))</f>
        <v/>
      </c>
    </row>
    <row r="257">
      <c r="A257" s="1" t="n"/>
      <c r="B257" s="15" t="n">
        <v>252</v>
      </c>
      <c r="C257" s="16" t="n"/>
      <c r="D257" s="17" t="n"/>
      <c r="E257" s="18" t="n"/>
      <c r="F257" s="19" t="n"/>
      <c r="G257" s="20" t="n"/>
      <c r="H257" s="21" t="n"/>
      <c r="I257" s="17" t="n"/>
      <c r="J257" s="18" t="n"/>
      <c r="K257" s="22" t="n"/>
      <c r="L257" s="23">
        <f>IF(C257="","",ROUND(N(F257)*(1+N(G257)/100*IF(N(H257)&gt;0,N(H257)*IF(I257="Week",7/365,IF(I257="2 weeks",14/365,1/12)),IF(ISNUMBER(E257),MAX(0,TODAY()-E257)/365,0))),2))</f>
        <v/>
      </c>
      <c r="M257" s="23">
        <f>IF(OR(C257="",N(H257)&lt;=0),"",ROUND(L257/N(H257),2))</f>
        <v/>
      </c>
      <c r="N257" s="23">
        <f>IF(C257="","",SUMIFS(Payments!$D$6:$D$805,Payments!$G$6:$G$805,B257))</f>
        <v/>
      </c>
      <c r="O257" s="24">
        <f>IF(C257="","",ROUND(L257-N257,2))</f>
        <v/>
      </c>
      <c r="P257" s="11">
        <f>IF(OR(U257="",N(O257)&lt;=0),"",IF(I257="Week",J257+7*U257,IF(I257="2 weeks",J257+14*U257,EDATE(J257,U257))))</f>
        <v/>
      </c>
      <c r="Q257" s="23">
        <f>IF(P257="","",IF(U257=N(H257)-1,O257,ROUND(M257*(U257+1)-N257,2)))</f>
        <v/>
      </c>
      <c r="R257" s="25">
        <f>IF(C257="","",IF(O257&lt;=0,"Paid off",IF(OR(M257="",NOT(ISNUMBER(J257))),"Open",IF(W257&gt;0,"Overdue",IF(AND(ISNUMBER(P257),P257-TODAY()&lt;=Settings!$C$6),"Due soon","On track")))))</f>
        <v/>
      </c>
      <c r="S257" s="1">
        <f>IF(C257="","",B257&amp;" "&amp;C257)</f>
        <v/>
      </c>
      <c r="T257">
        <f>IF(OR(M257="",NOT(ISNUMBER(J257))),"",MIN(N(H257),IF(I257="Week",IF((TODAY()-1)&lt;J257,0,INT(((TODAY()-1)-J257)/7)+1),IF(I257="2 weeks",IF((TODAY()-1)&lt;J257,0,INT(((TODAY()-1)-J257)/14)+1),IF(((YEAR((TODAY()-1))-YEAR(J257))*12+MONTH((TODAY()-1))-MONTH(J257))&lt;0,0,IF(EDATE(J257,((YEAR((TODAY()-1))-YEAR(J257))*12+MONTH((TODAY()-1))-MONTH(J257)))&lt;=(TODAY()-1),((YEAR((TODAY()-1))-YEAR(J257))*12+MONTH((TODAY()-1))-MONTH(J257))+1,((YEAR((TODAY()-1))-YEAR(J257))*12+MONTH((TODAY()-1))-MONTH(J257))))))))</f>
        <v/>
      </c>
      <c r="U257">
        <f>IF(OR(M257="",NOT(ISNUMBER(J257))),"",IF(N(M257)&lt;=0,"",MIN(N(H257)-1,INT(ROUND(N257/M257,6)))))</f>
        <v/>
      </c>
      <c r="V257">
        <f>IF(T257="","",IF(T257&gt;=N(H257),L257,M257*T257))</f>
        <v/>
      </c>
      <c r="W257">
        <f>IF(V257="",0,MAX(0,ROUND(V257-N257,2)))</f>
        <v/>
      </c>
      <c r="X257">
        <f>IF(OR(R257="",R257="Paid off",NOT(ISNUMBER(P257))),"",P257*1000+ROW())</f>
        <v/>
      </c>
      <c r="Y257">
        <f>IF(C257="","",IF(AND(COUNTIF(C$6:C257,C257)=1,SUMIFS(Loans!$O$6:$O$305,Loans!$C$6:$C$305,C257,Loans!$O$6:$O$305,"&gt;0")&gt;0),ROW(),""))</f>
        <v/>
      </c>
      <c r="Z257">
        <f>IF(OR(C257="",P257=""),"",IF(D257="I borrowed","From you","To you"))</f>
        <v/>
      </c>
    </row>
    <row r="258">
      <c r="A258" s="1" t="n"/>
      <c r="B258" s="15" t="n">
        <v>253</v>
      </c>
      <c r="C258" s="16" t="n"/>
      <c r="D258" s="17" t="n"/>
      <c r="E258" s="18" t="n"/>
      <c r="F258" s="19" t="n"/>
      <c r="G258" s="20" t="n"/>
      <c r="H258" s="21" t="n"/>
      <c r="I258" s="17" t="n"/>
      <c r="J258" s="18" t="n"/>
      <c r="K258" s="22" t="n"/>
      <c r="L258" s="23">
        <f>IF(C258="","",ROUND(N(F258)*(1+N(G258)/100*IF(N(H258)&gt;0,N(H258)*IF(I258="Week",7/365,IF(I258="2 weeks",14/365,1/12)),IF(ISNUMBER(E258),MAX(0,TODAY()-E258)/365,0))),2))</f>
        <v/>
      </c>
      <c r="M258" s="23">
        <f>IF(OR(C258="",N(H258)&lt;=0),"",ROUND(L258/N(H258),2))</f>
        <v/>
      </c>
      <c r="N258" s="23">
        <f>IF(C258="","",SUMIFS(Payments!$D$6:$D$805,Payments!$G$6:$G$805,B258))</f>
        <v/>
      </c>
      <c r="O258" s="24">
        <f>IF(C258="","",ROUND(L258-N258,2))</f>
        <v/>
      </c>
      <c r="P258" s="11">
        <f>IF(OR(U258="",N(O258)&lt;=0),"",IF(I258="Week",J258+7*U258,IF(I258="2 weeks",J258+14*U258,EDATE(J258,U258))))</f>
        <v/>
      </c>
      <c r="Q258" s="23">
        <f>IF(P258="","",IF(U258=N(H258)-1,O258,ROUND(M258*(U258+1)-N258,2)))</f>
        <v/>
      </c>
      <c r="R258" s="25">
        <f>IF(C258="","",IF(O258&lt;=0,"Paid off",IF(OR(M258="",NOT(ISNUMBER(J258))),"Open",IF(W258&gt;0,"Overdue",IF(AND(ISNUMBER(P258),P258-TODAY()&lt;=Settings!$C$6),"Due soon","On track")))))</f>
        <v/>
      </c>
      <c r="S258" s="1">
        <f>IF(C258="","",B258&amp;" "&amp;C258)</f>
        <v/>
      </c>
      <c r="T258">
        <f>IF(OR(M258="",NOT(ISNUMBER(J258))),"",MIN(N(H258),IF(I258="Week",IF((TODAY()-1)&lt;J258,0,INT(((TODAY()-1)-J258)/7)+1),IF(I258="2 weeks",IF((TODAY()-1)&lt;J258,0,INT(((TODAY()-1)-J258)/14)+1),IF(((YEAR((TODAY()-1))-YEAR(J258))*12+MONTH((TODAY()-1))-MONTH(J258))&lt;0,0,IF(EDATE(J258,((YEAR((TODAY()-1))-YEAR(J258))*12+MONTH((TODAY()-1))-MONTH(J258)))&lt;=(TODAY()-1),((YEAR((TODAY()-1))-YEAR(J258))*12+MONTH((TODAY()-1))-MONTH(J258))+1,((YEAR((TODAY()-1))-YEAR(J258))*12+MONTH((TODAY()-1))-MONTH(J258))))))))</f>
        <v/>
      </c>
      <c r="U258">
        <f>IF(OR(M258="",NOT(ISNUMBER(J258))),"",IF(N(M258)&lt;=0,"",MIN(N(H258)-1,INT(ROUND(N258/M258,6)))))</f>
        <v/>
      </c>
      <c r="V258">
        <f>IF(T258="","",IF(T258&gt;=N(H258),L258,M258*T258))</f>
        <v/>
      </c>
      <c r="W258">
        <f>IF(V258="",0,MAX(0,ROUND(V258-N258,2)))</f>
        <v/>
      </c>
      <c r="X258">
        <f>IF(OR(R258="",R258="Paid off",NOT(ISNUMBER(P258))),"",P258*1000+ROW())</f>
        <v/>
      </c>
      <c r="Y258">
        <f>IF(C258="","",IF(AND(COUNTIF(C$6:C258,C258)=1,SUMIFS(Loans!$O$6:$O$305,Loans!$C$6:$C$305,C258,Loans!$O$6:$O$305,"&gt;0")&gt;0),ROW(),""))</f>
        <v/>
      </c>
      <c r="Z258">
        <f>IF(OR(C258="",P258=""),"",IF(D258="I borrowed","From you","To you"))</f>
        <v/>
      </c>
    </row>
    <row r="259">
      <c r="A259" s="1" t="n"/>
      <c r="B259" s="15" t="n">
        <v>254</v>
      </c>
      <c r="C259" s="16" t="n"/>
      <c r="D259" s="17" t="n"/>
      <c r="E259" s="18" t="n"/>
      <c r="F259" s="19" t="n"/>
      <c r="G259" s="20" t="n"/>
      <c r="H259" s="21" t="n"/>
      <c r="I259" s="17" t="n"/>
      <c r="J259" s="18" t="n"/>
      <c r="K259" s="22" t="n"/>
      <c r="L259" s="23">
        <f>IF(C259="","",ROUND(N(F259)*(1+N(G259)/100*IF(N(H259)&gt;0,N(H259)*IF(I259="Week",7/365,IF(I259="2 weeks",14/365,1/12)),IF(ISNUMBER(E259),MAX(0,TODAY()-E259)/365,0))),2))</f>
        <v/>
      </c>
      <c r="M259" s="23">
        <f>IF(OR(C259="",N(H259)&lt;=0),"",ROUND(L259/N(H259),2))</f>
        <v/>
      </c>
      <c r="N259" s="23">
        <f>IF(C259="","",SUMIFS(Payments!$D$6:$D$805,Payments!$G$6:$G$805,B259))</f>
        <v/>
      </c>
      <c r="O259" s="24">
        <f>IF(C259="","",ROUND(L259-N259,2))</f>
        <v/>
      </c>
      <c r="P259" s="11">
        <f>IF(OR(U259="",N(O259)&lt;=0),"",IF(I259="Week",J259+7*U259,IF(I259="2 weeks",J259+14*U259,EDATE(J259,U259))))</f>
        <v/>
      </c>
      <c r="Q259" s="23">
        <f>IF(P259="","",IF(U259=N(H259)-1,O259,ROUND(M259*(U259+1)-N259,2)))</f>
        <v/>
      </c>
      <c r="R259" s="25">
        <f>IF(C259="","",IF(O259&lt;=0,"Paid off",IF(OR(M259="",NOT(ISNUMBER(J259))),"Open",IF(W259&gt;0,"Overdue",IF(AND(ISNUMBER(P259),P259-TODAY()&lt;=Settings!$C$6),"Due soon","On track")))))</f>
        <v/>
      </c>
      <c r="S259" s="1">
        <f>IF(C259="","",B259&amp;" "&amp;C259)</f>
        <v/>
      </c>
      <c r="T259">
        <f>IF(OR(M259="",NOT(ISNUMBER(J259))),"",MIN(N(H259),IF(I259="Week",IF((TODAY()-1)&lt;J259,0,INT(((TODAY()-1)-J259)/7)+1),IF(I259="2 weeks",IF((TODAY()-1)&lt;J259,0,INT(((TODAY()-1)-J259)/14)+1),IF(((YEAR((TODAY()-1))-YEAR(J259))*12+MONTH((TODAY()-1))-MONTH(J259))&lt;0,0,IF(EDATE(J259,((YEAR((TODAY()-1))-YEAR(J259))*12+MONTH((TODAY()-1))-MONTH(J259)))&lt;=(TODAY()-1),((YEAR((TODAY()-1))-YEAR(J259))*12+MONTH((TODAY()-1))-MONTH(J259))+1,((YEAR((TODAY()-1))-YEAR(J259))*12+MONTH((TODAY()-1))-MONTH(J259))))))))</f>
        <v/>
      </c>
      <c r="U259">
        <f>IF(OR(M259="",NOT(ISNUMBER(J259))),"",IF(N(M259)&lt;=0,"",MIN(N(H259)-1,INT(ROUND(N259/M259,6)))))</f>
        <v/>
      </c>
      <c r="V259">
        <f>IF(T259="","",IF(T259&gt;=N(H259),L259,M259*T259))</f>
        <v/>
      </c>
      <c r="W259">
        <f>IF(V259="",0,MAX(0,ROUND(V259-N259,2)))</f>
        <v/>
      </c>
      <c r="X259">
        <f>IF(OR(R259="",R259="Paid off",NOT(ISNUMBER(P259))),"",P259*1000+ROW())</f>
        <v/>
      </c>
      <c r="Y259">
        <f>IF(C259="","",IF(AND(COUNTIF(C$6:C259,C259)=1,SUMIFS(Loans!$O$6:$O$305,Loans!$C$6:$C$305,C259,Loans!$O$6:$O$305,"&gt;0")&gt;0),ROW(),""))</f>
        <v/>
      </c>
      <c r="Z259">
        <f>IF(OR(C259="",P259=""),"",IF(D259="I borrowed","From you","To you"))</f>
        <v/>
      </c>
    </row>
    <row r="260">
      <c r="A260" s="1" t="n"/>
      <c r="B260" s="15" t="n">
        <v>255</v>
      </c>
      <c r="C260" s="16" t="n"/>
      <c r="D260" s="17" t="n"/>
      <c r="E260" s="18" t="n"/>
      <c r="F260" s="19" t="n"/>
      <c r="G260" s="20" t="n"/>
      <c r="H260" s="21" t="n"/>
      <c r="I260" s="17" t="n"/>
      <c r="J260" s="18" t="n"/>
      <c r="K260" s="22" t="n"/>
      <c r="L260" s="23">
        <f>IF(C260="","",ROUND(N(F260)*(1+N(G260)/100*IF(N(H260)&gt;0,N(H260)*IF(I260="Week",7/365,IF(I260="2 weeks",14/365,1/12)),IF(ISNUMBER(E260),MAX(0,TODAY()-E260)/365,0))),2))</f>
        <v/>
      </c>
      <c r="M260" s="23">
        <f>IF(OR(C260="",N(H260)&lt;=0),"",ROUND(L260/N(H260),2))</f>
        <v/>
      </c>
      <c r="N260" s="23">
        <f>IF(C260="","",SUMIFS(Payments!$D$6:$D$805,Payments!$G$6:$G$805,B260))</f>
        <v/>
      </c>
      <c r="O260" s="24">
        <f>IF(C260="","",ROUND(L260-N260,2))</f>
        <v/>
      </c>
      <c r="P260" s="11">
        <f>IF(OR(U260="",N(O260)&lt;=0),"",IF(I260="Week",J260+7*U260,IF(I260="2 weeks",J260+14*U260,EDATE(J260,U260))))</f>
        <v/>
      </c>
      <c r="Q260" s="23">
        <f>IF(P260="","",IF(U260=N(H260)-1,O260,ROUND(M260*(U260+1)-N260,2)))</f>
        <v/>
      </c>
      <c r="R260" s="25">
        <f>IF(C260="","",IF(O260&lt;=0,"Paid off",IF(OR(M260="",NOT(ISNUMBER(J260))),"Open",IF(W260&gt;0,"Overdue",IF(AND(ISNUMBER(P260),P260-TODAY()&lt;=Settings!$C$6),"Due soon","On track")))))</f>
        <v/>
      </c>
      <c r="S260" s="1">
        <f>IF(C260="","",B260&amp;" "&amp;C260)</f>
        <v/>
      </c>
      <c r="T260">
        <f>IF(OR(M260="",NOT(ISNUMBER(J260))),"",MIN(N(H260),IF(I260="Week",IF((TODAY()-1)&lt;J260,0,INT(((TODAY()-1)-J260)/7)+1),IF(I260="2 weeks",IF((TODAY()-1)&lt;J260,0,INT(((TODAY()-1)-J260)/14)+1),IF(((YEAR((TODAY()-1))-YEAR(J260))*12+MONTH((TODAY()-1))-MONTH(J260))&lt;0,0,IF(EDATE(J260,((YEAR((TODAY()-1))-YEAR(J260))*12+MONTH((TODAY()-1))-MONTH(J260)))&lt;=(TODAY()-1),((YEAR((TODAY()-1))-YEAR(J260))*12+MONTH((TODAY()-1))-MONTH(J260))+1,((YEAR((TODAY()-1))-YEAR(J260))*12+MONTH((TODAY()-1))-MONTH(J260))))))))</f>
        <v/>
      </c>
      <c r="U260">
        <f>IF(OR(M260="",NOT(ISNUMBER(J260))),"",IF(N(M260)&lt;=0,"",MIN(N(H260)-1,INT(ROUND(N260/M260,6)))))</f>
        <v/>
      </c>
      <c r="V260">
        <f>IF(T260="","",IF(T260&gt;=N(H260),L260,M260*T260))</f>
        <v/>
      </c>
      <c r="W260">
        <f>IF(V260="",0,MAX(0,ROUND(V260-N260,2)))</f>
        <v/>
      </c>
      <c r="X260">
        <f>IF(OR(R260="",R260="Paid off",NOT(ISNUMBER(P260))),"",P260*1000+ROW())</f>
        <v/>
      </c>
      <c r="Y260">
        <f>IF(C260="","",IF(AND(COUNTIF(C$6:C260,C260)=1,SUMIFS(Loans!$O$6:$O$305,Loans!$C$6:$C$305,C260,Loans!$O$6:$O$305,"&gt;0")&gt;0),ROW(),""))</f>
        <v/>
      </c>
      <c r="Z260">
        <f>IF(OR(C260="",P260=""),"",IF(D260="I borrowed","From you","To you"))</f>
        <v/>
      </c>
    </row>
    <row r="261">
      <c r="A261" s="1" t="n"/>
      <c r="B261" s="15" t="n">
        <v>256</v>
      </c>
      <c r="C261" s="16" t="n"/>
      <c r="D261" s="17" t="n"/>
      <c r="E261" s="18" t="n"/>
      <c r="F261" s="19" t="n"/>
      <c r="G261" s="20" t="n"/>
      <c r="H261" s="21" t="n"/>
      <c r="I261" s="17" t="n"/>
      <c r="J261" s="18" t="n"/>
      <c r="K261" s="22" t="n"/>
      <c r="L261" s="23">
        <f>IF(C261="","",ROUND(N(F261)*(1+N(G261)/100*IF(N(H261)&gt;0,N(H261)*IF(I261="Week",7/365,IF(I261="2 weeks",14/365,1/12)),IF(ISNUMBER(E261),MAX(0,TODAY()-E261)/365,0))),2))</f>
        <v/>
      </c>
      <c r="M261" s="23">
        <f>IF(OR(C261="",N(H261)&lt;=0),"",ROUND(L261/N(H261),2))</f>
        <v/>
      </c>
      <c r="N261" s="23">
        <f>IF(C261="","",SUMIFS(Payments!$D$6:$D$805,Payments!$G$6:$G$805,B261))</f>
        <v/>
      </c>
      <c r="O261" s="24">
        <f>IF(C261="","",ROUND(L261-N261,2))</f>
        <v/>
      </c>
      <c r="P261" s="11">
        <f>IF(OR(U261="",N(O261)&lt;=0),"",IF(I261="Week",J261+7*U261,IF(I261="2 weeks",J261+14*U261,EDATE(J261,U261))))</f>
        <v/>
      </c>
      <c r="Q261" s="23">
        <f>IF(P261="","",IF(U261=N(H261)-1,O261,ROUND(M261*(U261+1)-N261,2)))</f>
        <v/>
      </c>
      <c r="R261" s="25">
        <f>IF(C261="","",IF(O261&lt;=0,"Paid off",IF(OR(M261="",NOT(ISNUMBER(J261))),"Open",IF(W261&gt;0,"Overdue",IF(AND(ISNUMBER(P261),P261-TODAY()&lt;=Settings!$C$6),"Due soon","On track")))))</f>
        <v/>
      </c>
      <c r="S261" s="1">
        <f>IF(C261="","",B261&amp;" "&amp;C261)</f>
        <v/>
      </c>
      <c r="T261">
        <f>IF(OR(M261="",NOT(ISNUMBER(J261))),"",MIN(N(H261),IF(I261="Week",IF((TODAY()-1)&lt;J261,0,INT(((TODAY()-1)-J261)/7)+1),IF(I261="2 weeks",IF((TODAY()-1)&lt;J261,0,INT(((TODAY()-1)-J261)/14)+1),IF(((YEAR((TODAY()-1))-YEAR(J261))*12+MONTH((TODAY()-1))-MONTH(J261))&lt;0,0,IF(EDATE(J261,((YEAR((TODAY()-1))-YEAR(J261))*12+MONTH((TODAY()-1))-MONTH(J261)))&lt;=(TODAY()-1),((YEAR((TODAY()-1))-YEAR(J261))*12+MONTH((TODAY()-1))-MONTH(J261))+1,((YEAR((TODAY()-1))-YEAR(J261))*12+MONTH((TODAY()-1))-MONTH(J261))))))))</f>
        <v/>
      </c>
      <c r="U261">
        <f>IF(OR(M261="",NOT(ISNUMBER(J261))),"",IF(N(M261)&lt;=0,"",MIN(N(H261)-1,INT(ROUND(N261/M261,6)))))</f>
        <v/>
      </c>
      <c r="V261">
        <f>IF(T261="","",IF(T261&gt;=N(H261),L261,M261*T261))</f>
        <v/>
      </c>
      <c r="W261">
        <f>IF(V261="",0,MAX(0,ROUND(V261-N261,2)))</f>
        <v/>
      </c>
      <c r="X261">
        <f>IF(OR(R261="",R261="Paid off",NOT(ISNUMBER(P261))),"",P261*1000+ROW())</f>
        <v/>
      </c>
      <c r="Y261">
        <f>IF(C261="","",IF(AND(COUNTIF(C$6:C261,C261)=1,SUMIFS(Loans!$O$6:$O$305,Loans!$C$6:$C$305,C261,Loans!$O$6:$O$305,"&gt;0")&gt;0),ROW(),""))</f>
        <v/>
      </c>
      <c r="Z261">
        <f>IF(OR(C261="",P261=""),"",IF(D261="I borrowed","From you","To you"))</f>
        <v/>
      </c>
    </row>
    <row r="262">
      <c r="A262" s="1" t="n"/>
      <c r="B262" s="15" t="n">
        <v>257</v>
      </c>
      <c r="C262" s="16" t="n"/>
      <c r="D262" s="17" t="n"/>
      <c r="E262" s="18" t="n"/>
      <c r="F262" s="19" t="n"/>
      <c r="G262" s="20" t="n"/>
      <c r="H262" s="21" t="n"/>
      <c r="I262" s="17" t="n"/>
      <c r="J262" s="18" t="n"/>
      <c r="K262" s="22" t="n"/>
      <c r="L262" s="23">
        <f>IF(C262="","",ROUND(N(F262)*(1+N(G262)/100*IF(N(H262)&gt;0,N(H262)*IF(I262="Week",7/365,IF(I262="2 weeks",14/365,1/12)),IF(ISNUMBER(E262),MAX(0,TODAY()-E262)/365,0))),2))</f>
        <v/>
      </c>
      <c r="M262" s="23">
        <f>IF(OR(C262="",N(H262)&lt;=0),"",ROUND(L262/N(H262),2))</f>
        <v/>
      </c>
      <c r="N262" s="23">
        <f>IF(C262="","",SUMIFS(Payments!$D$6:$D$805,Payments!$G$6:$G$805,B262))</f>
        <v/>
      </c>
      <c r="O262" s="24">
        <f>IF(C262="","",ROUND(L262-N262,2))</f>
        <v/>
      </c>
      <c r="P262" s="11">
        <f>IF(OR(U262="",N(O262)&lt;=0),"",IF(I262="Week",J262+7*U262,IF(I262="2 weeks",J262+14*U262,EDATE(J262,U262))))</f>
        <v/>
      </c>
      <c r="Q262" s="23">
        <f>IF(P262="","",IF(U262=N(H262)-1,O262,ROUND(M262*(U262+1)-N262,2)))</f>
        <v/>
      </c>
      <c r="R262" s="25">
        <f>IF(C262="","",IF(O262&lt;=0,"Paid off",IF(OR(M262="",NOT(ISNUMBER(J262))),"Open",IF(W262&gt;0,"Overdue",IF(AND(ISNUMBER(P262),P262-TODAY()&lt;=Settings!$C$6),"Due soon","On track")))))</f>
        <v/>
      </c>
      <c r="S262" s="1">
        <f>IF(C262="","",B262&amp;" "&amp;C262)</f>
        <v/>
      </c>
      <c r="T262">
        <f>IF(OR(M262="",NOT(ISNUMBER(J262))),"",MIN(N(H262),IF(I262="Week",IF((TODAY()-1)&lt;J262,0,INT(((TODAY()-1)-J262)/7)+1),IF(I262="2 weeks",IF((TODAY()-1)&lt;J262,0,INT(((TODAY()-1)-J262)/14)+1),IF(((YEAR((TODAY()-1))-YEAR(J262))*12+MONTH((TODAY()-1))-MONTH(J262))&lt;0,0,IF(EDATE(J262,((YEAR((TODAY()-1))-YEAR(J262))*12+MONTH((TODAY()-1))-MONTH(J262)))&lt;=(TODAY()-1),((YEAR((TODAY()-1))-YEAR(J262))*12+MONTH((TODAY()-1))-MONTH(J262))+1,((YEAR((TODAY()-1))-YEAR(J262))*12+MONTH((TODAY()-1))-MONTH(J262))))))))</f>
        <v/>
      </c>
      <c r="U262">
        <f>IF(OR(M262="",NOT(ISNUMBER(J262))),"",IF(N(M262)&lt;=0,"",MIN(N(H262)-1,INT(ROUND(N262/M262,6)))))</f>
        <v/>
      </c>
      <c r="V262">
        <f>IF(T262="","",IF(T262&gt;=N(H262),L262,M262*T262))</f>
        <v/>
      </c>
      <c r="W262">
        <f>IF(V262="",0,MAX(0,ROUND(V262-N262,2)))</f>
        <v/>
      </c>
      <c r="X262">
        <f>IF(OR(R262="",R262="Paid off",NOT(ISNUMBER(P262))),"",P262*1000+ROW())</f>
        <v/>
      </c>
      <c r="Y262">
        <f>IF(C262="","",IF(AND(COUNTIF(C$6:C262,C262)=1,SUMIFS(Loans!$O$6:$O$305,Loans!$C$6:$C$305,C262,Loans!$O$6:$O$305,"&gt;0")&gt;0),ROW(),""))</f>
        <v/>
      </c>
      <c r="Z262">
        <f>IF(OR(C262="",P262=""),"",IF(D262="I borrowed","From you","To you"))</f>
        <v/>
      </c>
    </row>
    <row r="263">
      <c r="A263" s="1" t="n"/>
      <c r="B263" s="15" t="n">
        <v>258</v>
      </c>
      <c r="C263" s="16" t="n"/>
      <c r="D263" s="17" t="n"/>
      <c r="E263" s="18" t="n"/>
      <c r="F263" s="19" t="n"/>
      <c r="G263" s="20" t="n"/>
      <c r="H263" s="21" t="n"/>
      <c r="I263" s="17" t="n"/>
      <c r="J263" s="18" t="n"/>
      <c r="K263" s="22" t="n"/>
      <c r="L263" s="23">
        <f>IF(C263="","",ROUND(N(F263)*(1+N(G263)/100*IF(N(H263)&gt;0,N(H263)*IF(I263="Week",7/365,IF(I263="2 weeks",14/365,1/12)),IF(ISNUMBER(E263),MAX(0,TODAY()-E263)/365,0))),2))</f>
        <v/>
      </c>
      <c r="M263" s="23">
        <f>IF(OR(C263="",N(H263)&lt;=0),"",ROUND(L263/N(H263),2))</f>
        <v/>
      </c>
      <c r="N263" s="23">
        <f>IF(C263="","",SUMIFS(Payments!$D$6:$D$805,Payments!$G$6:$G$805,B263))</f>
        <v/>
      </c>
      <c r="O263" s="24">
        <f>IF(C263="","",ROUND(L263-N263,2))</f>
        <v/>
      </c>
      <c r="P263" s="11">
        <f>IF(OR(U263="",N(O263)&lt;=0),"",IF(I263="Week",J263+7*U263,IF(I263="2 weeks",J263+14*U263,EDATE(J263,U263))))</f>
        <v/>
      </c>
      <c r="Q263" s="23">
        <f>IF(P263="","",IF(U263=N(H263)-1,O263,ROUND(M263*(U263+1)-N263,2)))</f>
        <v/>
      </c>
      <c r="R263" s="25">
        <f>IF(C263="","",IF(O263&lt;=0,"Paid off",IF(OR(M263="",NOT(ISNUMBER(J263))),"Open",IF(W263&gt;0,"Overdue",IF(AND(ISNUMBER(P263),P263-TODAY()&lt;=Settings!$C$6),"Due soon","On track")))))</f>
        <v/>
      </c>
      <c r="S263" s="1">
        <f>IF(C263="","",B263&amp;" "&amp;C263)</f>
        <v/>
      </c>
      <c r="T263">
        <f>IF(OR(M263="",NOT(ISNUMBER(J263))),"",MIN(N(H263),IF(I263="Week",IF((TODAY()-1)&lt;J263,0,INT(((TODAY()-1)-J263)/7)+1),IF(I263="2 weeks",IF((TODAY()-1)&lt;J263,0,INT(((TODAY()-1)-J263)/14)+1),IF(((YEAR((TODAY()-1))-YEAR(J263))*12+MONTH((TODAY()-1))-MONTH(J263))&lt;0,0,IF(EDATE(J263,((YEAR((TODAY()-1))-YEAR(J263))*12+MONTH((TODAY()-1))-MONTH(J263)))&lt;=(TODAY()-1),((YEAR((TODAY()-1))-YEAR(J263))*12+MONTH((TODAY()-1))-MONTH(J263))+1,((YEAR((TODAY()-1))-YEAR(J263))*12+MONTH((TODAY()-1))-MONTH(J263))))))))</f>
        <v/>
      </c>
      <c r="U263">
        <f>IF(OR(M263="",NOT(ISNUMBER(J263))),"",IF(N(M263)&lt;=0,"",MIN(N(H263)-1,INT(ROUND(N263/M263,6)))))</f>
        <v/>
      </c>
      <c r="V263">
        <f>IF(T263="","",IF(T263&gt;=N(H263),L263,M263*T263))</f>
        <v/>
      </c>
      <c r="W263">
        <f>IF(V263="",0,MAX(0,ROUND(V263-N263,2)))</f>
        <v/>
      </c>
      <c r="X263">
        <f>IF(OR(R263="",R263="Paid off",NOT(ISNUMBER(P263))),"",P263*1000+ROW())</f>
        <v/>
      </c>
      <c r="Y263">
        <f>IF(C263="","",IF(AND(COUNTIF(C$6:C263,C263)=1,SUMIFS(Loans!$O$6:$O$305,Loans!$C$6:$C$305,C263,Loans!$O$6:$O$305,"&gt;0")&gt;0),ROW(),""))</f>
        <v/>
      </c>
      <c r="Z263">
        <f>IF(OR(C263="",P263=""),"",IF(D263="I borrowed","From you","To you"))</f>
        <v/>
      </c>
    </row>
    <row r="264">
      <c r="A264" s="1" t="n"/>
      <c r="B264" s="15" t="n">
        <v>259</v>
      </c>
      <c r="C264" s="16" t="n"/>
      <c r="D264" s="17" t="n"/>
      <c r="E264" s="18" t="n"/>
      <c r="F264" s="19" t="n"/>
      <c r="G264" s="20" t="n"/>
      <c r="H264" s="21" t="n"/>
      <c r="I264" s="17" t="n"/>
      <c r="J264" s="18" t="n"/>
      <c r="K264" s="22" t="n"/>
      <c r="L264" s="23">
        <f>IF(C264="","",ROUND(N(F264)*(1+N(G264)/100*IF(N(H264)&gt;0,N(H264)*IF(I264="Week",7/365,IF(I264="2 weeks",14/365,1/12)),IF(ISNUMBER(E264),MAX(0,TODAY()-E264)/365,0))),2))</f>
        <v/>
      </c>
      <c r="M264" s="23">
        <f>IF(OR(C264="",N(H264)&lt;=0),"",ROUND(L264/N(H264),2))</f>
        <v/>
      </c>
      <c r="N264" s="23">
        <f>IF(C264="","",SUMIFS(Payments!$D$6:$D$805,Payments!$G$6:$G$805,B264))</f>
        <v/>
      </c>
      <c r="O264" s="24">
        <f>IF(C264="","",ROUND(L264-N264,2))</f>
        <v/>
      </c>
      <c r="P264" s="11">
        <f>IF(OR(U264="",N(O264)&lt;=0),"",IF(I264="Week",J264+7*U264,IF(I264="2 weeks",J264+14*U264,EDATE(J264,U264))))</f>
        <v/>
      </c>
      <c r="Q264" s="23">
        <f>IF(P264="","",IF(U264=N(H264)-1,O264,ROUND(M264*(U264+1)-N264,2)))</f>
        <v/>
      </c>
      <c r="R264" s="25">
        <f>IF(C264="","",IF(O264&lt;=0,"Paid off",IF(OR(M264="",NOT(ISNUMBER(J264))),"Open",IF(W264&gt;0,"Overdue",IF(AND(ISNUMBER(P264),P264-TODAY()&lt;=Settings!$C$6),"Due soon","On track")))))</f>
        <v/>
      </c>
      <c r="S264" s="1">
        <f>IF(C264="","",B264&amp;" "&amp;C264)</f>
        <v/>
      </c>
      <c r="T264">
        <f>IF(OR(M264="",NOT(ISNUMBER(J264))),"",MIN(N(H264),IF(I264="Week",IF((TODAY()-1)&lt;J264,0,INT(((TODAY()-1)-J264)/7)+1),IF(I264="2 weeks",IF((TODAY()-1)&lt;J264,0,INT(((TODAY()-1)-J264)/14)+1),IF(((YEAR((TODAY()-1))-YEAR(J264))*12+MONTH((TODAY()-1))-MONTH(J264))&lt;0,0,IF(EDATE(J264,((YEAR((TODAY()-1))-YEAR(J264))*12+MONTH((TODAY()-1))-MONTH(J264)))&lt;=(TODAY()-1),((YEAR((TODAY()-1))-YEAR(J264))*12+MONTH((TODAY()-1))-MONTH(J264))+1,((YEAR((TODAY()-1))-YEAR(J264))*12+MONTH((TODAY()-1))-MONTH(J264))))))))</f>
        <v/>
      </c>
      <c r="U264">
        <f>IF(OR(M264="",NOT(ISNUMBER(J264))),"",IF(N(M264)&lt;=0,"",MIN(N(H264)-1,INT(ROUND(N264/M264,6)))))</f>
        <v/>
      </c>
      <c r="V264">
        <f>IF(T264="","",IF(T264&gt;=N(H264),L264,M264*T264))</f>
        <v/>
      </c>
      <c r="W264">
        <f>IF(V264="",0,MAX(0,ROUND(V264-N264,2)))</f>
        <v/>
      </c>
      <c r="X264">
        <f>IF(OR(R264="",R264="Paid off",NOT(ISNUMBER(P264))),"",P264*1000+ROW())</f>
        <v/>
      </c>
      <c r="Y264">
        <f>IF(C264="","",IF(AND(COUNTIF(C$6:C264,C264)=1,SUMIFS(Loans!$O$6:$O$305,Loans!$C$6:$C$305,C264,Loans!$O$6:$O$305,"&gt;0")&gt;0),ROW(),""))</f>
        <v/>
      </c>
      <c r="Z264">
        <f>IF(OR(C264="",P264=""),"",IF(D264="I borrowed","From you","To you"))</f>
        <v/>
      </c>
    </row>
    <row r="265">
      <c r="A265" s="1" t="n"/>
      <c r="B265" s="15" t="n">
        <v>260</v>
      </c>
      <c r="C265" s="16" t="n"/>
      <c r="D265" s="17" t="n"/>
      <c r="E265" s="18" t="n"/>
      <c r="F265" s="19" t="n"/>
      <c r="G265" s="20" t="n"/>
      <c r="H265" s="21" t="n"/>
      <c r="I265" s="17" t="n"/>
      <c r="J265" s="18" t="n"/>
      <c r="K265" s="22" t="n"/>
      <c r="L265" s="23">
        <f>IF(C265="","",ROUND(N(F265)*(1+N(G265)/100*IF(N(H265)&gt;0,N(H265)*IF(I265="Week",7/365,IF(I265="2 weeks",14/365,1/12)),IF(ISNUMBER(E265),MAX(0,TODAY()-E265)/365,0))),2))</f>
        <v/>
      </c>
      <c r="M265" s="23">
        <f>IF(OR(C265="",N(H265)&lt;=0),"",ROUND(L265/N(H265),2))</f>
        <v/>
      </c>
      <c r="N265" s="23">
        <f>IF(C265="","",SUMIFS(Payments!$D$6:$D$805,Payments!$G$6:$G$805,B265))</f>
        <v/>
      </c>
      <c r="O265" s="24">
        <f>IF(C265="","",ROUND(L265-N265,2))</f>
        <v/>
      </c>
      <c r="P265" s="11">
        <f>IF(OR(U265="",N(O265)&lt;=0),"",IF(I265="Week",J265+7*U265,IF(I265="2 weeks",J265+14*U265,EDATE(J265,U265))))</f>
        <v/>
      </c>
      <c r="Q265" s="23">
        <f>IF(P265="","",IF(U265=N(H265)-1,O265,ROUND(M265*(U265+1)-N265,2)))</f>
        <v/>
      </c>
      <c r="R265" s="25">
        <f>IF(C265="","",IF(O265&lt;=0,"Paid off",IF(OR(M265="",NOT(ISNUMBER(J265))),"Open",IF(W265&gt;0,"Overdue",IF(AND(ISNUMBER(P265),P265-TODAY()&lt;=Settings!$C$6),"Due soon","On track")))))</f>
        <v/>
      </c>
      <c r="S265" s="1">
        <f>IF(C265="","",B265&amp;" "&amp;C265)</f>
        <v/>
      </c>
      <c r="T265">
        <f>IF(OR(M265="",NOT(ISNUMBER(J265))),"",MIN(N(H265),IF(I265="Week",IF((TODAY()-1)&lt;J265,0,INT(((TODAY()-1)-J265)/7)+1),IF(I265="2 weeks",IF((TODAY()-1)&lt;J265,0,INT(((TODAY()-1)-J265)/14)+1),IF(((YEAR((TODAY()-1))-YEAR(J265))*12+MONTH((TODAY()-1))-MONTH(J265))&lt;0,0,IF(EDATE(J265,((YEAR((TODAY()-1))-YEAR(J265))*12+MONTH((TODAY()-1))-MONTH(J265)))&lt;=(TODAY()-1),((YEAR((TODAY()-1))-YEAR(J265))*12+MONTH((TODAY()-1))-MONTH(J265))+1,((YEAR((TODAY()-1))-YEAR(J265))*12+MONTH((TODAY()-1))-MONTH(J265))))))))</f>
        <v/>
      </c>
      <c r="U265">
        <f>IF(OR(M265="",NOT(ISNUMBER(J265))),"",IF(N(M265)&lt;=0,"",MIN(N(H265)-1,INT(ROUND(N265/M265,6)))))</f>
        <v/>
      </c>
      <c r="V265">
        <f>IF(T265="","",IF(T265&gt;=N(H265),L265,M265*T265))</f>
        <v/>
      </c>
      <c r="W265">
        <f>IF(V265="",0,MAX(0,ROUND(V265-N265,2)))</f>
        <v/>
      </c>
      <c r="X265">
        <f>IF(OR(R265="",R265="Paid off",NOT(ISNUMBER(P265))),"",P265*1000+ROW())</f>
        <v/>
      </c>
      <c r="Y265">
        <f>IF(C265="","",IF(AND(COUNTIF(C$6:C265,C265)=1,SUMIFS(Loans!$O$6:$O$305,Loans!$C$6:$C$305,C265,Loans!$O$6:$O$305,"&gt;0")&gt;0),ROW(),""))</f>
        <v/>
      </c>
      <c r="Z265">
        <f>IF(OR(C265="",P265=""),"",IF(D265="I borrowed","From you","To you"))</f>
        <v/>
      </c>
    </row>
    <row r="266">
      <c r="A266" s="1" t="n"/>
      <c r="B266" s="15" t="n">
        <v>261</v>
      </c>
      <c r="C266" s="16" t="n"/>
      <c r="D266" s="17" t="n"/>
      <c r="E266" s="18" t="n"/>
      <c r="F266" s="19" t="n"/>
      <c r="G266" s="20" t="n"/>
      <c r="H266" s="21" t="n"/>
      <c r="I266" s="17" t="n"/>
      <c r="J266" s="18" t="n"/>
      <c r="K266" s="22" t="n"/>
      <c r="L266" s="23">
        <f>IF(C266="","",ROUND(N(F266)*(1+N(G266)/100*IF(N(H266)&gt;0,N(H266)*IF(I266="Week",7/365,IF(I266="2 weeks",14/365,1/12)),IF(ISNUMBER(E266),MAX(0,TODAY()-E266)/365,0))),2))</f>
        <v/>
      </c>
      <c r="M266" s="23">
        <f>IF(OR(C266="",N(H266)&lt;=0),"",ROUND(L266/N(H266),2))</f>
        <v/>
      </c>
      <c r="N266" s="23">
        <f>IF(C266="","",SUMIFS(Payments!$D$6:$D$805,Payments!$G$6:$G$805,B266))</f>
        <v/>
      </c>
      <c r="O266" s="24">
        <f>IF(C266="","",ROUND(L266-N266,2))</f>
        <v/>
      </c>
      <c r="P266" s="11">
        <f>IF(OR(U266="",N(O266)&lt;=0),"",IF(I266="Week",J266+7*U266,IF(I266="2 weeks",J266+14*U266,EDATE(J266,U266))))</f>
        <v/>
      </c>
      <c r="Q266" s="23">
        <f>IF(P266="","",IF(U266=N(H266)-1,O266,ROUND(M266*(U266+1)-N266,2)))</f>
        <v/>
      </c>
      <c r="R266" s="25">
        <f>IF(C266="","",IF(O266&lt;=0,"Paid off",IF(OR(M266="",NOT(ISNUMBER(J266))),"Open",IF(W266&gt;0,"Overdue",IF(AND(ISNUMBER(P266),P266-TODAY()&lt;=Settings!$C$6),"Due soon","On track")))))</f>
        <v/>
      </c>
      <c r="S266" s="1">
        <f>IF(C266="","",B266&amp;" "&amp;C266)</f>
        <v/>
      </c>
      <c r="T266">
        <f>IF(OR(M266="",NOT(ISNUMBER(J266))),"",MIN(N(H266),IF(I266="Week",IF((TODAY()-1)&lt;J266,0,INT(((TODAY()-1)-J266)/7)+1),IF(I266="2 weeks",IF((TODAY()-1)&lt;J266,0,INT(((TODAY()-1)-J266)/14)+1),IF(((YEAR((TODAY()-1))-YEAR(J266))*12+MONTH((TODAY()-1))-MONTH(J266))&lt;0,0,IF(EDATE(J266,((YEAR((TODAY()-1))-YEAR(J266))*12+MONTH((TODAY()-1))-MONTH(J266)))&lt;=(TODAY()-1),((YEAR((TODAY()-1))-YEAR(J266))*12+MONTH((TODAY()-1))-MONTH(J266))+1,((YEAR((TODAY()-1))-YEAR(J266))*12+MONTH((TODAY()-1))-MONTH(J266))))))))</f>
        <v/>
      </c>
      <c r="U266">
        <f>IF(OR(M266="",NOT(ISNUMBER(J266))),"",IF(N(M266)&lt;=0,"",MIN(N(H266)-1,INT(ROUND(N266/M266,6)))))</f>
        <v/>
      </c>
      <c r="V266">
        <f>IF(T266="","",IF(T266&gt;=N(H266),L266,M266*T266))</f>
        <v/>
      </c>
      <c r="W266">
        <f>IF(V266="",0,MAX(0,ROUND(V266-N266,2)))</f>
        <v/>
      </c>
      <c r="X266">
        <f>IF(OR(R266="",R266="Paid off",NOT(ISNUMBER(P266))),"",P266*1000+ROW())</f>
        <v/>
      </c>
      <c r="Y266">
        <f>IF(C266="","",IF(AND(COUNTIF(C$6:C266,C266)=1,SUMIFS(Loans!$O$6:$O$305,Loans!$C$6:$C$305,C266,Loans!$O$6:$O$305,"&gt;0")&gt;0),ROW(),""))</f>
        <v/>
      </c>
      <c r="Z266">
        <f>IF(OR(C266="",P266=""),"",IF(D266="I borrowed","From you","To you"))</f>
        <v/>
      </c>
    </row>
    <row r="267">
      <c r="A267" s="1" t="n"/>
      <c r="B267" s="15" t="n">
        <v>262</v>
      </c>
      <c r="C267" s="16" t="n"/>
      <c r="D267" s="17" t="n"/>
      <c r="E267" s="18" t="n"/>
      <c r="F267" s="19" t="n"/>
      <c r="G267" s="20" t="n"/>
      <c r="H267" s="21" t="n"/>
      <c r="I267" s="17" t="n"/>
      <c r="J267" s="18" t="n"/>
      <c r="K267" s="22" t="n"/>
      <c r="L267" s="23">
        <f>IF(C267="","",ROUND(N(F267)*(1+N(G267)/100*IF(N(H267)&gt;0,N(H267)*IF(I267="Week",7/365,IF(I267="2 weeks",14/365,1/12)),IF(ISNUMBER(E267),MAX(0,TODAY()-E267)/365,0))),2))</f>
        <v/>
      </c>
      <c r="M267" s="23">
        <f>IF(OR(C267="",N(H267)&lt;=0),"",ROUND(L267/N(H267),2))</f>
        <v/>
      </c>
      <c r="N267" s="23">
        <f>IF(C267="","",SUMIFS(Payments!$D$6:$D$805,Payments!$G$6:$G$805,B267))</f>
        <v/>
      </c>
      <c r="O267" s="24">
        <f>IF(C267="","",ROUND(L267-N267,2))</f>
        <v/>
      </c>
      <c r="P267" s="11">
        <f>IF(OR(U267="",N(O267)&lt;=0),"",IF(I267="Week",J267+7*U267,IF(I267="2 weeks",J267+14*U267,EDATE(J267,U267))))</f>
        <v/>
      </c>
      <c r="Q267" s="23">
        <f>IF(P267="","",IF(U267=N(H267)-1,O267,ROUND(M267*(U267+1)-N267,2)))</f>
        <v/>
      </c>
      <c r="R267" s="25">
        <f>IF(C267="","",IF(O267&lt;=0,"Paid off",IF(OR(M267="",NOT(ISNUMBER(J267))),"Open",IF(W267&gt;0,"Overdue",IF(AND(ISNUMBER(P267),P267-TODAY()&lt;=Settings!$C$6),"Due soon","On track")))))</f>
        <v/>
      </c>
      <c r="S267" s="1">
        <f>IF(C267="","",B267&amp;" "&amp;C267)</f>
        <v/>
      </c>
      <c r="T267">
        <f>IF(OR(M267="",NOT(ISNUMBER(J267))),"",MIN(N(H267),IF(I267="Week",IF((TODAY()-1)&lt;J267,0,INT(((TODAY()-1)-J267)/7)+1),IF(I267="2 weeks",IF((TODAY()-1)&lt;J267,0,INT(((TODAY()-1)-J267)/14)+1),IF(((YEAR((TODAY()-1))-YEAR(J267))*12+MONTH((TODAY()-1))-MONTH(J267))&lt;0,0,IF(EDATE(J267,((YEAR((TODAY()-1))-YEAR(J267))*12+MONTH((TODAY()-1))-MONTH(J267)))&lt;=(TODAY()-1),((YEAR((TODAY()-1))-YEAR(J267))*12+MONTH((TODAY()-1))-MONTH(J267))+1,((YEAR((TODAY()-1))-YEAR(J267))*12+MONTH((TODAY()-1))-MONTH(J267))))))))</f>
        <v/>
      </c>
      <c r="U267">
        <f>IF(OR(M267="",NOT(ISNUMBER(J267))),"",IF(N(M267)&lt;=0,"",MIN(N(H267)-1,INT(ROUND(N267/M267,6)))))</f>
        <v/>
      </c>
      <c r="V267">
        <f>IF(T267="","",IF(T267&gt;=N(H267),L267,M267*T267))</f>
        <v/>
      </c>
      <c r="W267">
        <f>IF(V267="",0,MAX(0,ROUND(V267-N267,2)))</f>
        <v/>
      </c>
      <c r="X267">
        <f>IF(OR(R267="",R267="Paid off",NOT(ISNUMBER(P267))),"",P267*1000+ROW())</f>
        <v/>
      </c>
      <c r="Y267">
        <f>IF(C267="","",IF(AND(COUNTIF(C$6:C267,C267)=1,SUMIFS(Loans!$O$6:$O$305,Loans!$C$6:$C$305,C267,Loans!$O$6:$O$305,"&gt;0")&gt;0),ROW(),""))</f>
        <v/>
      </c>
      <c r="Z267">
        <f>IF(OR(C267="",P267=""),"",IF(D267="I borrowed","From you","To you"))</f>
        <v/>
      </c>
    </row>
    <row r="268">
      <c r="A268" s="1" t="n"/>
      <c r="B268" s="15" t="n">
        <v>263</v>
      </c>
      <c r="C268" s="16" t="n"/>
      <c r="D268" s="17" t="n"/>
      <c r="E268" s="18" t="n"/>
      <c r="F268" s="19" t="n"/>
      <c r="G268" s="20" t="n"/>
      <c r="H268" s="21" t="n"/>
      <c r="I268" s="17" t="n"/>
      <c r="J268" s="18" t="n"/>
      <c r="K268" s="22" t="n"/>
      <c r="L268" s="23">
        <f>IF(C268="","",ROUND(N(F268)*(1+N(G268)/100*IF(N(H268)&gt;0,N(H268)*IF(I268="Week",7/365,IF(I268="2 weeks",14/365,1/12)),IF(ISNUMBER(E268),MAX(0,TODAY()-E268)/365,0))),2))</f>
        <v/>
      </c>
      <c r="M268" s="23">
        <f>IF(OR(C268="",N(H268)&lt;=0),"",ROUND(L268/N(H268),2))</f>
        <v/>
      </c>
      <c r="N268" s="23">
        <f>IF(C268="","",SUMIFS(Payments!$D$6:$D$805,Payments!$G$6:$G$805,B268))</f>
        <v/>
      </c>
      <c r="O268" s="24">
        <f>IF(C268="","",ROUND(L268-N268,2))</f>
        <v/>
      </c>
      <c r="P268" s="11">
        <f>IF(OR(U268="",N(O268)&lt;=0),"",IF(I268="Week",J268+7*U268,IF(I268="2 weeks",J268+14*U268,EDATE(J268,U268))))</f>
        <v/>
      </c>
      <c r="Q268" s="23">
        <f>IF(P268="","",IF(U268=N(H268)-1,O268,ROUND(M268*(U268+1)-N268,2)))</f>
        <v/>
      </c>
      <c r="R268" s="25">
        <f>IF(C268="","",IF(O268&lt;=0,"Paid off",IF(OR(M268="",NOT(ISNUMBER(J268))),"Open",IF(W268&gt;0,"Overdue",IF(AND(ISNUMBER(P268),P268-TODAY()&lt;=Settings!$C$6),"Due soon","On track")))))</f>
        <v/>
      </c>
      <c r="S268" s="1">
        <f>IF(C268="","",B268&amp;" "&amp;C268)</f>
        <v/>
      </c>
      <c r="T268">
        <f>IF(OR(M268="",NOT(ISNUMBER(J268))),"",MIN(N(H268),IF(I268="Week",IF((TODAY()-1)&lt;J268,0,INT(((TODAY()-1)-J268)/7)+1),IF(I268="2 weeks",IF((TODAY()-1)&lt;J268,0,INT(((TODAY()-1)-J268)/14)+1),IF(((YEAR((TODAY()-1))-YEAR(J268))*12+MONTH((TODAY()-1))-MONTH(J268))&lt;0,0,IF(EDATE(J268,((YEAR((TODAY()-1))-YEAR(J268))*12+MONTH((TODAY()-1))-MONTH(J268)))&lt;=(TODAY()-1),((YEAR((TODAY()-1))-YEAR(J268))*12+MONTH((TODAY()-1))-MONTH(J268))+1,((YEAR((TODAY()-1))-YEAR(J268))*12+MONTH((TODAY()-1))-MONTH(J268))))))))</f>
        <v/>
      </c>
      <c r="U268">
        <f>IF(OR(M268="",NOT(ISNUMBER(J268))),"",IF(N(M268)&lt;=0,"",MIN(N(H268)-1,INT(ROUND(N268/M268,6)))))</f>
        <v/>
      </c>
      <c r="V268">
        <f>IF(T268="","",IF(T268&gt;=N(H268),L268,M268*T268))</f>
        <v/>
      </c>
      <c r="W268">
        <f>IF(V268="",0,MAX(0,ROUND(V268-N268,2)))</f>
        <v/>
      </c>
      <c r="X268">
        <f>IF(OR(R268="",R268="Paid off",NOT(ISNUMBER(P268))),"",P268*1000+ROW())</f>
        <v/>
      </c>
      <c r="Y268">
        <f>IF(C268="","",IF(AND(COUNTIF(C$6:C268,C268)=1,SUMIFS(Loans!$O$6:$O$305,Loans!$C$6:$C$305,C268,Loans!$O$6:$O$305,"&gt;0")&gt;0),ROW(),""))</f>
        <v/>
      </c>
      <c r="Z268">
        <f>IF(OR(C268="",P268=""),"",IF(D268="I borrowed","From you","To you"))</f>
        <v/>
      </c>
    </row>
    <row r="269">
      <c r="A269" s="1" t="n"/>
      <c r="B269" s="15" t="n">
        <v>264</v>
      </c>
      <c r="C269" s="16" t="n"/>
      <c r="D269" s="17" t="n"/>
      <c r="E269" s="18" t="n"/>
      <c r="F269" s="19" t="n"/>
      <c r="G269" s="20" t="n"/>
      <c r="H269" s="21" t="n"/>
      <c r="I269" s="17" t="n"/>
      <c r="J269" s="18" t="n"/>
      <c r="K269" s="22" t="n"/>
      <c r="L269" s="23">
        <f>IF(C269="","",ROUND(N(F269)*(1+N(G269)/100*IF(N(H269)&gt;0,N(H269)*IF(I269="Week",7/365,IF(I269="2 weeks",14/365,1/12)),IF(ISNUMBER(E269),MAX(0,TODAY()-E269)/365,0))),2))</f>
        <v/>
      </c>
      <c r="M269" s="23">
        <f>IF(OR(C269="",N(H269)&lt;=0),"",ROUND(L269/N(H269),2))</f>
        <v/>
      </c>
      <c r="N269" s="23">
        <f>IF(C269="","",SUMIFS(Payments!$D$6:$D$805,Payments!$G$6:$G$805,B269))</f>
        <v/>
      </c>
      <c r="O269" s="24">
        <f>IF(C269="","",ROUND(L269-N269,2))</f>
        <v/>
      </c>
      <c r="P269" s="11">
        <f>IF(OR(U269="",N(O269)&lt;=0),"",IF(I269="Week",J269+7*U269,IF(I269="2 weeks",J269+14*U269,EDATE(J269,U269))))</f>
        <v/>
      </c>
      <c r="Q269" s="23">
        <f>IF(P269="","",IF(U269=N(H269)-1,O269,ROUND(M269*(U269+1)-N269,2)))</f>
        <v/>
      </c>
      <c r="R269" s="25">
        <f>IF(C269="","",IF(O269&lt;=0,"Paid off",IF(OR(M269="",NOT(ISNUMBER(J269))),"Open",IF(W269&gt;0,"Overdue",IF(AND(ISNUMBER(P269),P269-TODAY()&lt;=Settings!$C$6),"Due soon","On track")))))</f>
        <v/>
      </c>
      <c r="S269" s="1">
        <f>IF(C269="","",B269&amp;" "&amp;C269)</f>
        <v/>
      </c>
      <c r="T269">
        <f>IF(OR(M269="",NOT(ISNUMBER(J269))),"",MIN(N(H269),IF(I269="Week",IF((TODAY()-1)&lt;J269,0,INT(((TODAY()-1)-J269)/7)+1),IF(I269="2 weeks",IF((TODAY()-1)&lt;J269,0,INT(((TODAY()-1)-J269)/14)+1),IF(((YEAR((TODAY()-1))-YEAR(J269))*12+MONTH((TODAY()-1))-MONTH(J269))&lt;0,0,IF(EDATE(J269,((YEAR((TODAY()-1))-YEAR(J269))*12+MONTH((TODAY()-1))-MONTH(J269)))&lt;=(TODAY()-1),((YEAR((TODAY()-1))-YEAR(J269))*12+MONTH((TODAY()-1))-MONTH(J269))+1,((YEAR((TODAY()-1))-YEAR(J269))*12+MONTH((TODAY()-1))-MONTH(J269))))))))</f>
        <v/>
      </c>
      <c r="U269">
        <f>IF(OR(M269="",NOT(ISNUMBER(J269))),"",IF(N(M269)&lt;=0,"",MIN(N(H269)-1,INT(ROUND(N269/M269,6)))))</f>
        <v/>
      </c>
      <c r="V269">
        <f>IF(T269="","",IF(T269&gt;=N(H269),L269,M269*T269))</f>
        <v/>
      </c>
      <c r="W269">
        <f>IF(V269="",0,MAX(0,ROUND(V269-N269,2)))</f>
        <v/>
      </c>
      <c r="X269">
        <f>IF(OR(R269="",R269="Paid off",NOT(ISNUMBER(P269))),"",P269*1000+ROW())</f>
        <v/>
      </c>
      <c r="Y269">
        <f>IF(C269="","",IF(AND(COUNTIF(C$6:C269,C269)=1,SUMIFS(Loans!$O$6:$O$305,Loans!$C$6:$C$305,C269,Loans!$O$6:$O$305,"&gt;0")&gt;0),ROW(),""))</f>
        <v/>
      </c>
      <c r="Z269">
        <f>IF(OR(C269="",P269=""),"",IF(D269="I borrowed","From you","To you"))</f>
        <v/>
      </c>
    </row>
    <row r="270">
      <c r="A270" s="1" t="n"/>
      <c r="B270" s="15" t="n">
        <v>265</v>
      </c>
      <c r="C270" s="16" t="n"/>
      <c r="D270" s="17" t="n"/>
      <c r="E270" s="18" t="n"/>
      <c r="F270" s="19" t="n"/>
      <c r="G270" s="20" t="n"/>
      <c r="H270" s="21" t="n"/>
      <c r="I270" s="17" t="n"/>
      <c r="J270" s="18" t="n"/>
      <c r="K270" s="22" t="n"/>
      <c r="L270" s="23">
        <f>IF(C270="","",ROUND(N(F270)*(1+N(G270)/100*IF(N(H270)&gt;0,N(H270)*IF(I270="Week",7/365,IF(I270="2 weeks",14/365,1/12)),IF(ISNUMBER(E270),MAX(0,TODAY()-E270)/365,0))),2))</f>
        <v/>
      </c>
      <c r="M270" s="23">
        <f>IF(OR(C270="",N(H270)&lt;=0),"",ROUND(L270/N(H270),2))</f>
        <v/>
      </c>
      <c r="N270" s="23">
        <f>IF(C270="","",SUMIFS(Payments!$D$6:$D$805,Payments!$G$6:$G$805,B270))</f>
        <v/>
      </c>
      <c r="O270" s="24">
        <f>IF(C270="","",ROUND(L270-N270,2))</f>
        <v/>
      </c>
      <c r="P270" s="11">
        <f>IF(OR(U270="",N(O270)&lt;=0),"",IF(I270="Week",J270+7*U270,IF(I270="2 weeks",J270+14*U270,EDATE(J270,U270))))</f>
        <v/>
      </c>
      <c r="Q270" s="23">
        <f>IF(P270="","",IF(U270=N(H270)-1,O270,ROUND(M270*(U270+1)-N270,2)))</f>
        <v/>
      </c>
      <c r="R270" s="25">
        <f>IF(C270="","",IF(O270&lt;=0,"Paid off",IF(OR(M270="",NOT(ISNUMBER(J270))),"Open",IF(W270&gt;0,"Overdue",IF(AND(ISNUMBER(P270),P270-TODAY()&lt;=Settings!$C$6),"Due soon","On track")))))</f>
        <v/>
      </c>
      <c r="S270" s="1">
        <f>IF(C270="","",B270&amp;" "&amp;C270)</f>
        <v/>
      </c>
      <c r="T270">
        <f>IF(OR(M270="",NOT(ISNUMBER(J270))),"",MIN(N(H270),IF(I270="Week",IF((TODAY()-1)&lt;J270,0,INT(((TODAY()-1)-J270)/7)+1),IF(I270="2 weeks",IF((TODAY()-1)&lt;J270,0,INT(((TODAY()-1)-J270)/14)+1),IF(((YEAR((TODAY()-1))-YEAR(J270))*12+MONTH((TODAY()-1))-MONTH(J270))&lt;0,0,IF(EDATE(J270,((YEAR((TODAY()-1))-YEAR(J270))*12+MONTH((TODAY()-1))-MONTH(J270)))&lt;=(TODAY()-1),((YEAR((TODAY()-1))-YEAR(J270))*12+MONTH((TODAY()-1))-MONTH(J270))+1,((YEAR((TODAY()-1))-YEAR(J270))*12+MONTH((TODAY()-1))-MONTH(J270))))))))</f>
        <v/>
      </c>
      <c r="U270">
        <f>IF(OR(M270="",NOT(ISNUMBER(J270))),"",IF(N(M270)&lt;=0,"",MIN(N(H270)-1,INT(ROUND(N270/M270,6)))))</f>
        <v/>
      </c>
      <c r="V270">
        <f>IF(T270="","",IF(T270&gt;=N(H270),L270,M270*T270))</f>
        <v/>
      </c>
      <c r="W270">
        <f>IF(V270="",0,MAX(0,ROUND(V270-N270,2)))</f>
        <v/>
      </c>
      <c r="X270">
        <f>IF(OR(R270="",R270="Paid off",NOT(ISNUMBER(P270))),"",P270*1000+ROW())</f>
        <v/>
      </c>
      <c r="Y270">
        <f>IF(C270="","",IF(AND(COUNTIF(C$6:C270,C270)=1,SUMIFS(Loans!$O$6:$O$305,Loans!$C$6:$C$305,C270,Loans!$O$6:$O$305,"&gt;0")&gt;0),ROW(),""))</f>
        <v/>
      </c>
      <c r="Z270">
        <f>IF(OR(C270="",P270=""),"",IF(D270="I borrowed","From you","To you"))</f>
        <v/>
      </c>
    </row>
    <row r="271">
      <c r="A271" s="1" t="n"/>
      <c r="B271" s="15" t="n">
        <v>266</v>
      </c>
      <c r="C271" s="16" t="n"/>
      <c r="D271" s="17" t="n"/>
      <c r="E271" s="18" t="n"/>
      <c r="F271" s="19" t="n"/>
      <c r="G271" s="20" t="n"/>
      <c r="H271" s="21" t="n"/>
      <c r="I271" s="17" t="n"/>
      <c r="J271" s="18" t="n"/>
      <c r="K271" s="22" t="n"/>
      <c r="L271" s="23">
        <f>IF(C271="","",ROUND(N(F271)*(1+N(G271)/100*IF(N(H271)&gt;0,N(H271)*IF(I271="Week",7/365,IF(I271="2 weeks",14/365,1/12)),IF(ISNUMBER(E271),MAX(0,TODAY()-E271)/365,0))),2))</f>
        <v/>
      </c>
      <c r="M271" s="23">
        <f>IF(OR(C271="",N(H271)&lt;=0),"",ROUND(L271/N(H271),2))</f>
        <v/>
      </c>
      <c r="N271" s="23">
        <f>IF(C271="","",SUMIFS(Payments!$D$6:$D$805,Payments!$G$6:$G$805,B271))</f>
        <v/>
      </c>
      <c r="O271" s="24">
        <f>IF(C271="","",ROUND(L271-N271,2))</f>
        <v/>
      </c>
      <c r="P271" s="11">
        <f>IF(OR(U271="",N(O271)&lt;=0),"",IF(I271="Week",J271+7*U271,IF(I271="2 weeks",J271+14*U271,EDATE(J271,U271))))</f>
        <v/>
      </c>
      <c r="Q271" s="23">
        <f>IF(P271="","",IF(U271=N(H271)-1,O271,ROUND(M271*(U271+1)-N271,2)))</f>
        <v/>
      </c>
      <c r="R271" s="25">
        <f>IF(C271="","",IF(O271&lt;=0,"Paid off",IF(OR(M271="",NOT(ISNUMBER(J271))),"Open",IF(W271&gt;0,"Overdue",IF(AND(ISNUMBER(P271),P271-TODAY()&lt;=Settings!$C$6),"Due soon","On track")))))</f>
        <v/>
      </c>
      <c r="S271" s="1">
        <f>IF(C271="","",B271&amp;" "&amp;C271)</f>
        <v/>
      </c>
      <c r="T271">
        <f>IF(OR(M271="",NOT(ISNUMBER(J271))),"",MIN(N(H271),IF(I271="Week",IF((TODAY()-1)&lt;J271,0,INT(((TODAY()-1)-J271)/7)+1),IF(I271="2 weeks",IF((TODAY()-1)&lt;J271,0,INT(((TODAY()-1)-J271)/14)+1),IF(((YEAR((TODAY()-1))-YEAR(J271))*12+MONTH((TODAY()-1))-MONTH(J271))&lt;0,0,IF(EDATE(J271,((YEAR((TODAY()-1))-YEAR(J271))*12+MONTH((TODAY()-1))-MONTH(J271)))&lt;=(TODAY()-1),((YEAR((TODAY()-1))-YEAR(J271))*12+MONTH((TODAY()-1))-MONTH(J271))+1,((YEAR((TODAY()-1))-YEAR(J271))*12+MONTH((TODAY()-1))-MONTH(J271))))))))</f>
        <v/>
      </c>
      <c r="U271">
        <f>IF(OR(M271="",NOT(ISNUMBER(J271))),"",IF(N(M271)&lt;=0,"",MIN(N(H271)-1,INT(ROUND(N271/M271,6)))))</f>
        <v/>
      </c>
      <c r="V271">
        <f>IF(T271="","",IF(T271&gt;=N(H271),L271,M271*T271))</f>
        <v/>
      </c>
      <c r="W271">
        <f>IF(V271="",0,MAX(0,ROUND(V271-N271,2)))</f>
        <v/>
      </c>
      <c r="X271">
        <f>IF(OR(R271="",R271="Paid off",NOT(ISNUMBER(P271))),"",P271*1000+ROW())</f>
        <v/>
      </c>
      <c r="Y271">
        <f>IF(C271="","",IF(AND(COUNTIF(C$6:C271,C271)=1,SUMIFS(Loans!$O$6:$O$305,Loans!$C$6:$C$305,C271,Loans!$O$6:$O$305,"&gt;0")&gt;0),ROW(),""))</f>
        <v/>
      </c>
      <c r="Z271">
        <f>IF(OR(C271="",P271=""),"",IF(D271="I borrowed","From you","To you"))</f>
        <v/>
      </c>
    </row>
    <row r="272">
      <c r="A272" s="1" t="n"/>
      <c r="B272" s="15" t="n">
        <v>267</v>
      </c>
      <c r="C272" s="16" t="n"/>
      <c r="D272" s="17" t="n"/>
      <c r="E272" s="18" t="n"/>
      <c r="F272" s="19" t="n"/>
      <c r="G272" s="20" t="n"/>
      <c r="H272" s="21" t="n"/>
      <c r="I272" s="17" t="n"/>
      <c r="J272" s="18" t="n"/>
      <c r="K272" s="22" t="n"/>
      <c r="L272" s="23">
        <f>IF(C272="","",ROUND(N(F272)*(1+N(G272)/100*IF(N(H272)&gt;0,N(H272)*IF(I272="Week",7/365,IF(I272="2 weeks",14/365,1/12)),IF(ISNUMBER(E272),MAX(0,TODAY()-E272)/365,0))),2))</f>
        <v/>
      </c>
      <c r="M272" s="23">
        <f>IF(OR(C272="",N(H272)&lt;=0),"",ROUND(L272/N(H272),2))</f>
        <v/>
      </c>
      <c r="N272" s="23">
        <f>IF(C272="","",SUMIFS(Payments!$D$6:$D$805,Payments!$G$6:$G$805,B272))</f>
        <v/>
      </c>
      <c r="O272" s="24">
        <f>IF(C272="","",ROUND(L272-N272,2))</f>
        <v/>
      </c>
      <c r="P272" s="11">
        <f>IF(OR(U272="",N(O272)&lt;=0),"",IF(I272="Week",J272+7*U272,IF(I272="2 weeks",J272+14*U272,EDATE(J272,U272))))</f>
        <v/>
      </c>
      <c r="Q272" s="23">
        <f>IF(P272="","",IF(U272=N(H272)-1,O272,ROUND(M272*(U272+1)-N272,2)))</f>
        <v/>
      </c>
      <c r="R272" s="25">
        <f>IF(C272="","",IF(O272&lt;=0,"Paid off",IF(OR(M272="",NOT(ISNUMBER(J272))),"Open",IF(W272&gt;0,"Overdue",IF(AND(ISNUMBER(P272),P272-TODAY()&lt;=Settings!$C$6),"Due soon","On track")))))</f>
        <v/>
      </c>
      <c r="S272" s="1">
        <f>IF(C272="","",B272&amp;" "&amp;C272)</f>
        <v/>
      </c>
      <c r="T272">
        <f>IF(OR(M272="",NOT(ISNUMBER(J272))),"",MIN(N(H272),IF(I272="Week",IF((TODAY()-1)&lt;J272,0,INT(((TODAY()-1)-J272)/7)+1),IF(I272="2 weeks",IF((TODAY()-1)&lt;J272,0,INT(((TODAY()-1)-J272)/14)+1),IF(((YEAR((TODAY()-1))-YEAR(J272))*12+MONTH((TODAY()-1))-MONTH(J272))&lt;0,0,IF(EDATE(J272,((YEAR((TODAY()-1))-YEAR(J272))*12+MONTH((TODAY()-1))-MONTH(J272)))&lt;=(TODAY()-1),((YEAR((TODAY()-1))-YEAR(J272))*12+MONTH((TODAY()-1))-MONTH(J272))+1,((YEAR((TODAY()-1))-YEAR(J272))*12+MONTH((TODAY()-1))-MONTH(J272))))))))</f>
        <v/>
      </c>
      <c r="U272">
        <f>IF(OR(M272="",NOT(ISNUMBER(J272))),"",IF(N(M272)&lt;=0,"",MIN(N(H272)-1,INT(ROUND(N272/M272,6)))))</f>
        <v/>
      </c>
      <c r="V272">
        <f>IF(T272="","",IF(T272&gt;=N(H272),L272,M272*T272))</f>
        <v/>
      </c>
      <c r="W272">
        <f>IF(V272="",0,MAX(0,ROUND(V272-N272,2)))</f>
        <v/>
      </c>
      <c r="X272">
        <f>IF(OR(R272="",R272="Paid off",NOT(ISNUMBER(P272))),"",P272*1000+ROW())</f>
        <v/>
      </c>
      <c r="Y272">
        <f>IF(C272="","",IF(AND(COUNTIF(C$6:C272,C272)=1,SUMIFS(Loans!$O$6:$O$305,Loans!$C$6:$C$305,C272,Loans!$O$6:$O$305,"&gt;0")&gt;0),ROW(),""))</f>
        <v/>
      </c>
      <c r="Z272">
        <f>IF(OR(C272="",P272=""),"",IF(D272="I borrowed","From you","To you"))</f>
        <v/>
      </c>
    </row>
    <row r="273">
      <c r="A273" s="1" t="n"/>
      <c r="B273" s="15" t="n">
        <v>268</v>
      </c>
      <c r="C273" s="16" t="n"/>
      <c r="D273" s="17" t="n"/>
      <c r="E273" s="18" t="n"/>
      <c r="F273" s="19" t="n"/>
      <c r="G273" s="20" t="n"/>
      <c r="H273" s="21" t="n"/>
      <c r="I273" s="17" t="n"/>
      <c r="J273" s="18" t="n"/>
      <c r="K273" s="22" t="n"/>
      <c r="L273" s="23">
        <f>IF(C273="","",ROUND(N(F273)*(1+N(G273)/100*IF(N(H273)&gt;0,N(H273)*IF(I273="Week",7/365,IF(I273="2 weeks",14/365,1/12)),IF(ISNUMBER(E273),MAX(0,TODAY()-E273)/365,0))),2))</f>
        <v/>
      </c>
      <c r="M273" s="23">
        <f>IF(OR(C273="",N(H273)&lt;=0),"",ROUND(L273/N(H273),2))</f>
        <v/>
      </c>
      <c r="N273" s="23">
        <f>IF(C273="","",SUMIFS(Payments!$D$6:$D$805,Payments!$G$6:$G$805,B273))</f>
        <v/>
      </c>
      <c r="O273" s="24">
        <f>IF(C273="","",ROUND(L273-N273,2))</f>
        <v/>
      </c>
      <c r="P273" s="11">
        <f>IF(OR(U273="",N(O273)&lt;=0),"",IF(I273="Week",J273+7*U273,IF(I273="2 weeks",J273+14*U273,EDATE(J273,U273))))</f>
        <v/>
      </c>
      <c r="Q273" s="23">
        <f>IF(P273="","",IF(U273=N(H273)-1,O273,ROUND(M273*(U273+1)-N273,2)))</f>
        <v/>
      </c>
      <c r="R273" s="25">
        <f>IF(C273="","",IF(O273&lt;=0,"Paid off",IF(OR(M273="",NOT(ISNUMBER(J273))),"Open",IF(W273&gt;0,"Overdue",IF(AND(ISNUMBER(P273),P273-TODAY()&lt;=Settings!$C$6),"Due soon","On track")))))</f>
        <v/>
      </c>
      <c r="S273" s="1">
        <f>IF(C273="","",B273&amp;" "&amp;C273)</f>
        <v/>
      </c>
      <c r="T273">
        <f>IF(OR(M273="",NOT(ISNUMBER(J273))),"",MIN(N(H273),IF(I273="Week",IF((TODAY()-1)&lt;J273,0,INT(((TODAY()-1)-J273)/7)+1),IF(I273="2 weeks",IF((TODAY()-1)&lt;J273,0,INT(((TODAY()-1)-J273)/14)+1),IF(((YEAR((TODAY()-1))-YEAR(J273))*12+MONTH((TODAY()-1))-MONTH(J273))&lt;0,0,IF(EDATE(J273,((YEAR((TODAY()-1))-YEAR(J273))*12+MONTH((TODAY()-1))-MONTH(J273)))&lt;=(TODAY()-1),((YEAR((TODAY()-1))-YEAR(J273))*12+MONTH((TODAY()-1))-MONTH(J273))+1,((YEAR((TODAY()-1))-YEAR(J273))*12+MONTH((TODAY()-1))-MONTH(J273))))))))</f>
        <v/>
      </c>
      <c r="U273">
        <f>IF(OR(M273="",NOT(ISNUMBER(J273))),"",IF(N(M273)&lt;=0,"",MIN(N(H273)-1,INT(ROUND(N273/M273,6)))))</f>
        <v/>
      </c>
      <c r="V273">
        <f>IF(T273="","",IF(T273&gt;=N(H273),L273,M273*T273))</f>
        <v/>
      </c>
      <c r="W273">
        <f>IF(V273="",0,MAX(0,ROUND(V273-N273,2)))</f>
        <v/>
      </c>
      <c r="X273">
        <f>IF(OR(R273="",R273="Paid off",NOT(ISNUMBER(P273))),"",P273*1000+ROW())</f>
        <v/>
      </c>
      <c r="Y273">
        <f>IF(C273="","",IF(AND(COUNTIF(C$6:C273,C273)=1,SUMIFS(Loans!$O$6:$O$305,Loans!$C$6:$C$305,C273,Loans!$O$6:$O$305,"&gt;0")&gt;0),ROW(),""))</f>
        <v/>
      </c>
      <c r="Z273">
        <f>IF(OR(C273="",P273=""),"",IF(D273="I borrowed","From you","To you"))</f>
        <v/>
      </c>
    </row>
    <row r="274">
      <c r="A274" s="1" t="n"/>
      <c r="B274" s="15" t="n">
        <v>269</v>
      </c>
      <c r="C274" s="16" t="n"/>
      <c r="D274" s="17" t="n"/>
      <c r="E274" s="18" t="n"/>
      <c r="F274" s="19" t="n"/>
      <c r="G274" s="20" t="n"/>
      <c r="H274" s="21" t="n"/>
      <c r="I274" s="17" t="n"/>
      <c r="J274" s="18" t="n"/>
      <c r="K274" s="22" t="n"/>
      <c r="L274" s="23">
        <f>IF(C274="","",ROUND(N(F274)*(1+N(G274)/100*IF(N(H274)&gt;0,N(H274)*IF(I274="Week",7/365,IF(I274="2 weeks",14/365,1/12)),IF(ISNUMBER(E274),MAX(0,TODAY()-E274)/365,0))),2))</f>
        <v/>
      </c>
      <c r="M274" s="23">
        <f>IF(OR(C274="",N(H274)&lt;=0),"",ROUND(L274/N(H274),2))</f>
        <v/>
      </c>
      <c r="N274" s="23">
        <f>IF(C274="","",SUMIFS(Payments!$D$6:$D$805,Payments!$G$6:$G$805,B274))</f>
        <v/>
      </c>
      <c r="O274" s="24">
        <f>IF(C274="","",ROUND(L274-N274,2))</f>
        <v/>
      </c>
      <c r="P274" s="11">
        <f>IF(OR(U274="",N(O274)&lt;=0),"",IF(I274="Week",J274+7*U274,IF(I274="2 weeks",J274+14*U274,EDATE(J274,U274))))</f>
        <v/>
      </c>
      <c r="Q274" s="23">
        <f>IF(P274="","",IF(U274=N(H274)-1,O274,ROUND(M274*(U274+1)-N274,2)))</f>
        <v/>
      </c>
      <c r="R274" s="25">
        <f>IF(C274="","",IF(O274&lt;=0,"Paid off",IF(OR(M274="",NOT(ISNUMBER(J274))),"Open",IF(W274&gt;0,"Overdue",IF(AND(ISNUMBER(P274),P274-TODAY()&lt;=Settings!$C$6),"Due soon","On track")))))</f>
        <v/>
      </c>
      <c r="S274" s="1">
        <f>IF(C274="","",B274&amp;" "&amp;C274)</f>
        <v/>
      </c>
      <c r="T274">
        <f>IF(OR(M274="",NOT(ISNUMBER(J274))),"",MIN(N(H274),IF(I274="Week",IF((TODAY()-1)&lt;J274,0,INT(((TODAY()-1)-J274)/7)+1),IF(I274="2 weeks",IF((TODAY()-1)&lt;J274,0,INT(((TODAY()-1)-J274)/14)+1),IF(((YEAR((TODAY()-1))-YEAR(J274))*12+MONTH((TODAY()-1))-MONTH(J274))&lt;0,0,IF(EDATE(J274,((YEAR((TODAY()-1))-YEAR(J274))*12+MONTH((TODAY()-1))-MONTH(J274)))&lt;=(TODAY()-1),((YEAR((TODAY()-1))-YEAR(J274))*12+MONTH((TODAY()-1))-MONTH(J274))+1,((YEAR((TODAY()-1))-YEAR(J274))*12+MONTH((TODAY()-1))-MONTH(J274))))))))</f>
        <v/>
      </c>
      <c r="U274">
        <f>IF(OR(M274="",NOT(ISNUMBER(J274))),"",IF(N(M274)&lt;=0,"",MIN(N(H274)-1,INT(ROUND(N274/M274,6)))))</f>
        <v/>
      </c>
      <c r="V274">
        <f>IF(T274="","",IF(T274&gt;=N(H274),L274,M274*T274))</f>
        <v/>
      </c>
      <c r="W274">
        <f>IF(V274="",0,MAX(0,ROUND(V274-N274,2)))</f>
        <v/>
      </c>
      <c r="X274">
        <f>IF(OR(R274="",R274="Paid off",NOT(ISNUMBER(P274))),"",P274*1000+ROW())</f>
        <v/>
      </c>
      <c r="Y274">
        <f>IF(C274="","",IF(AND(COUNTIF(C$6:C274,C274)=1,SUMIFS(Loans!$O$6:$O$305,Loans!$C$6:$C$305,C274,Loans!$O$6:$O$305,"&gt;0")&gt;0),ROW(),""))</f>
        <v/>
      </c>
      <c r="Z274">
        <f>IF(OR(C274="",P274=""),"",IF(D274="I borrowed","From you","To you"))</f>
        <v/>
      </c>
    </row>
    <row r="275">
      <c r="A275" s="1" t="n"/>
      <c r="B275" s="15" t="n">
        <v>270</v>
      </c>
      <c r="C275" s="16" t="n"/>
      <c r="D275" s="17" t="n"/>
      <c r="E275" s="18" t="n"/>
      <c r="F275" s="19" t="n"/>
      <c r="G275" s="20" t="n"/>
      <c r="H275" s="21" t="n"/>
      <c r="I275" s="17" t="n"/>
      <c r="J275" s="18" t="n"/>
      <c r="K275" s="22" t="n"/>
      <c r="L275" s="23">
        <f>IF(C275="","",ROUND(N(F275)*(1+N(G275)/100*IF(N(H275)&gt;0,N(H275)*IF(I275="Week",7/365,IF(I275="2 weeks",14/365,1/12)),IF(ISNUMBER(E275),MAX(0,TODAY()-E275)/365,0))),2))</f>
        <v/>
      </c>
      <c r="M275" s="23">
        <f>IF(OR(C275="",N(H275)&lt;=0),"",ROUND(L275/N(H275),2))</f>
        <v/>
      </c>
      <c r="N275" s="23">
        <f>IF(C275="","",SUMIFS(Payments!$D$6:$D$805,Payments!$G$6:$G$805,B275))</f>
        <v/>
      </c>
      <c r="O275" s="24">
        <f>IF(C275="","",ROUND(L275-N275,2))</f>
        <v/>
      </c>
      <c r="P275" s="11">
        <f>IF(OR(U275="",N(O275)&lt;=0),"",IF(I275="Week",J275+7*U275,IF(I275="2 weeks",J275+14*U275,EDATE(J275,U275))))</f>
        <v/>
      </c>
      <c r="Q275" s="23">
        <f>IF(P275="","",IF(U275=N(H275)-1,O275,ROUND(M275*(U275+1)-N275,2)))</f>
        <v/>
      </c>
      <c r="R275" s="25">
        <f>IF(C275="","",IF(O275&lt;=0,"Paid off",IF(OR(M275="",NOT(ISNUMBER(J275))),"Open",IF(W275&gt;0,"Overdue",IF(AND(ISNUMBER(P275),P275-TODAY()&lt;=Settings!$C$6),"Due soon","On track")))))</f>
        <v/>
      </c>
      <c r="S275" s="1">
        <f>IF(C275="","",B275&amp;" "&amp;C275)</f>
        <v/>
      </c>
      <c r="T275">
        <f>IF(OR(M275="",NOT(ISNUMBER(J275))),"",MIN(N(H275),IF(I275="Week",IF((TODAY()-1)&lt;J275,0,INT(((TODAY()-1)-J275)/7)+1),IF(I275="2 weeks",IF((TODAY()-1)&lt;J275,0,INT(((TODAY()-1)-J275)/14)+1),IF(((YEAR((TODAY()-1))-YEAR(J275))*12+MONTH((TODAY()-1))-MONTH(J275))&lt;0,0,IF(EDATE(J275,((YEAR((TODAY()-1))-YEAR(J275))*12+MONTH((TODAY()-1))-MONTH(J275)))&lt;=(TODAY()-1),((YEAR((TODAY()-1))-YEAR(J275))*12+MONTH((TODAY()-1))-MONTH(J275))+1,((YEAR((TODAY()-1))-YEAR(J275))*12+MONTH((TODAY()-1))-MONTH(J275))))))))</f>
        <v/>
      </c>
      <c r="U275">
        <f>IF(OR(M275="",NOT(ISNUMBER(J275))),"",IF(N(M275)&lt;=0,"",MIN(N(H275)-1,INT(ROUND(N275/M275,6)))))</f>
        <v/>
      </c>
      <c r="V275">
        <f>IF(T275="","",IF(T275&gt;=N(H275),L275,M275*T275))</f>
        <v/>
      </c>
      <c r="W275">
        <f>IF(V275="",0,MAX(0,ROUND(V275-N275,2)))</f>
        <v/>
      </c>
      <c r="X275">
        <f>IF(OR(R275="",R275="Paid off",NOT(ISNUMBER(P275))),"",P275*1000+ROW())</f>
        <v/>
      </c>
      <c r="Y275">
        <f>IF(C275="","",IF(AND(COUNTIF(C$6:C275,C275)=1,SUMIFS(Loans!$O$6:$O$305,Loans!$C$6:$C$305,C275,Loans!$O$6:$O$305,"&gt;0")&gt;0),ROW(),""))</f>
        <v/>
      </c>
      <c r="Z275">
        <f>IF(OR(C275="",P275=""),"",IF(D275="I borrowed","From you","To you"))</f>
        <v/>
      </c>
    </row>
    <row r="276">
      <c r="A276" s="1" t="n"/>
      <c r="B276" s="15" t="n">
        <v>271</v>
      </c>
      <c r="C276" s="16" t="n"/>
      <c r="D276" s="17" t="n"/>
      <c r="E276" s="18" t="n"/>
      <c r="F276" s="19" t="n"/>
      <c r="G276" s="20" t="n"/>
      <c r="H276" s="21" t="n"/>
      <c r="I276" s="17" t="n"/>
      <c r="J276" s="18" t="n"/>
      <c r="K276" s="22" t="n"/>
      <c r="L276" s="23">
        <f>IF(C276="","",ROUND(N(F276)*(1+N(G276)/100*IF(N(H276)&gt;0,N(H276)*IF(I276="Week",7/365,IF(I276="2 weeks",14/365,1/12)),IF(ISNUMBER(E276),MAX(0,TODAY()-E276)/365,0))),2))</f>
        <v/>
      </c>
      <c r="M276" s="23">
        <f>IF(OR(C276="",N(H276)&lt;=0),"",ROUND(L276/N(H276),2))</f>
        <v/>
      </c>
      <c r="N276" s="23">
        <f>IF(C276="","",SUMIFS(Payments!$D$6:$D$805,Payments!$G$6:$G$805,B276))</f>
        <v/>
      </c>
      <c r="O276" s="24">
        <f>IF(C276="","",ROUND(L276-N276,2))</f>
        <v/>
      </c>
      <c r="P276" s="11">
        <f>IF(OR(U276="",N(O276)&lt;=0),"",IF(I276="Week",J276+7*U276,IF(I276="2 weeks",J276+14*U276,EDATE(J276,U276))))</f>
        <v/>
      </c>
      <c r="Q276" s="23">
        <f>IF(P276="","",IF(U276=N(H276)-1,O276,ROUND(M276*(U276+1)-N276,2)))</f>
        <v/>
      </c>
      <c r="R276" s="25">
        <f>IF(C276="","",IF(O276&lt;=0,"Paid off",IF(OR(M276="",NOT(ISNUMBER(J276))),"Open",IF(W276&gt;0,"Overdue",IF(AND(ISNUMBER(P276),P276-TODAY()&lt;=Settings!$C$6),"Due soon","On track")))))</f>
        <v/>
      </c>
      <c r="S276" s="1">
        <f>IF(C276="","",B276&amp;" "&amp;C276)</f>
        <v/>
      </c>
      <c r="T276">
        <f>IF(OR(M276="",NOT(ISNUMBER(J276))),"",MIN(N(H276),IF(I276="Week",IF((TODAY()-1)&lt;J276,0,INT(((TODAY()-1)-J276)/7)+1),IF(I276="2 weeks",IF((TODAY()-1)&lt;J276,0,INT(((TODAY()-1)-J276)/14)+1),IF(((YEAR((TODAY()-1))-YEAR(J276))*12+MONTH((TODAY()-1))-MONTH(J276))&lt;0,0,IF(EDATE(J276,((YEAR((TODAY()-1))-YEAR(J276))*12+MONTH((TODAY()-1))-MONTH(J276)))&lt;=(TODAY()-1),((YEAR((TODAY()-1))-YEAR(J276))*12+MONTH((TODAY()-1))-MONTH(J276))+1,((YEAR((TODAY()-1))-YEAR(J276))*12+MONTH((TODAY()-1))-MONTH(J276))))))))</f>
        <v/>
      </c>
      <c r="U276">
        <f>IF(OR(M276="",NOT(ISNUMBER(J276))),"",IF(N(M276)&lt;=0,"",MIN(N(H276)-1,INT(ROUND(N276/M276,6)))))</f>
        <v/>
      </c>
      <c r="V276">
        <f>IF(T276="","",IF(T276&gt;=N(H276),L276,M276*T276))</f>
        <v/>
      </c>
      <c r="W276">
        <f>IF(V276="",0,MAX(0,ROUND(V276-N276,2)))</f>
        <v/>
      </c>
      <c r="X276">
        <f>IF(OR(R276="",R276="Paid off",NOT(ISNUMBER(P276))),"",P276*1000+ROW())</f>
        <v/>
      </c>
      <c r="Y276">
        <f>IF(C276="","",IF(AND(COUNTIF(C$6:C276,C276)=1,SUMIFS(Loans!$O$6:$O$305,Loans!$C$6:$C$305,C276,Loans!$O$6:$O$305,"&gt;0")&gt;0),ROW(),""))</f>
        <v/>
      </c>
      <c r="Z276">
        <f>IF(OR(C276="",P276=""),"",IF(D276="I borrowed","From you","To you"))</f>
        <v/>
      </c>
    </row>
    <row r="277">
      <c r="A277" s="1" t="n"/>
      <c r="B277" s="15" t="n">
        <v>272</v>
      </c>
      <c r="C277" s="16" t="n"/>
      <c r="D277" s="17" t="n"/>
      <c r="E277" s="18" t="n"/>
      <c r="F277" s="19" t="n"/>
      <c r="G277" s="20" t="n"/>
      <c r="H277" s="21" t="n"/>
      <c r="I277" s="17" t="n"/>
      <c r="J277" s="18" t="n"/>
      <c r="K277" s="22" t="n"/>
      <c r="L277" s="23">
        <f>IF(C277="","",ROUND(N(F277)*(1+N(G277)/100*IF(N(H277)&gt;0,N(H277)*IF(I277="Week",7/365,IF(I277="2 weeks",14/365,1/12)),IF(ISNUMBER(E277),MAX(0,TODAY()-E277)/365,0))),2))</f>
        <v/>
      </c>
      <c r="M277" s="23">
        <f>IF(OR(C277="",N(H277)&lt;=0),"",ROUND(L277/N(H277),2))</f>
        <v/>
      </c>
      <c r="N277" s="23">
        <f>IF(C277="","",SUMIFS(Payments!$D$6:$D$805,Payments!$G$6:$G$805,B277))</f>
        <v/>
      </c>
      <c r="O277" s="24">
        <f>IF(C277="","",ROUND(L277-N277,2))</f>
        <v/>
      </c>
      <c r="P277" s="11">
        <f>IF(OR(U277="",N(O277)&lt;=0),"",IF(I277="Week",J277+7*U277,IF(I277="2 weeks",J277+14*U277,EDATE(J277,U277))))</f>
        <v/>
      </c>
      <c r="Q277" s="23">
        <f>IF(P277="","",IF(U277=N(H277)-1,O277,ROUND(M277*(U277+1)-N277,2)))</f>
        <v/>
      </c>
      <c r="R277" s="25">
        <f>IF(C277="","",IF(O277&lt;=0,"Paid off",IF(OR(M277="",NOT(ISNUMBER(J277))),"Open",IF(W277&gt;0,"Overdue",IF(AND(ISNUMBER(P277),P277-TODAY()&lt;=Settings!$C$6),"Due soon","On track")))))</f>
        <v/>
      </c>
      <c r="S277" s="1">
        <f>IF(C277="","",B277&amp;" "&amp;C277)</f>
        <v/>
      </c>
      <c r="T277">
        <f>IF(OR(M277="",NOT(ISNUMBER(J277))),"",MIN(N(H277),IF(I277="Week",IF((TODAY()-1)&lt;J277,0,INT(((TODAY()-1)-J277)/7)+1),IF(I277="2 weeks",IF((TODAY()-1)&lt;J277,0,INT(((TODAY()-1)-J277)/14)+1),IF(((YEAR((TODAY()-1))-YEAR(J277))*12+MONTH((TODAY()-1))-MONTH(J277))&lt;0,0,IF(EDATE(J277,((YEAR((TODAY()-1))-YEAR(J277))*12+MONTH((TODAY()-1))-MONTH(J277)))&lt;=(TODAY()-1),((YEAR((TODAY()-1))-YEAR(J277))*12+MONTH((TODAY()-1))-MONTH(J277))+1,((YEAR((TODAY()-1))-YEAR(J277))*12+MONTH((TODAY()-1))-MONTH(J277))))))))</f>
        <v/>
      </c>
      <c r="U277">
        <f>IF(OR(M277="",NOT(ISNUMBER(J277))),"",IF(N(M277)&lt;=0,"",MIN(N(H277)-1,INT(ROUND(N277/M277,6)))))</f>
        <v/>
      </c>
      <c r="V277">
        <f>IF(T277="","",IF(T277&gt;=N(H277),L277,M277*T277))</f>
        <v/>
      </c>
      <c r="W277">
        <f>IF(V277="",0,MAX(0,ROUND(V277-N277,2)))</f>
        <v/>
      </c>
      <c r="X277">
        <f>IF(OR(R277="",R277="Paid off",NOT(ISNUMBER(P277))),"",P277*1000+ROW())</f>
        <v/>
      </c>
      <c r="Y277">
        <f>IF(C277="","",IF(AND(COUNTIF(C$6:C277,C277)=1,SUMIFS(Loans!$O$6:$O$305,Loans!$C$6:$C$305,C277,Loans!$O$6:$O$305,"&gt;0")&gt;0),ROW(),""))</f>
        <v/>
      </c>
      <c r="Z277">
        <f>IF(OR(C277="",P277=""),"",IF(D277="I borrowed","From you","To you"))</f>
        <v/>
      </c>
    </row>
    <row r="278">
      <c r="A278" s="1" t="n"/>
      <c r="B278" s="15" t="n">
        <v>273</v>
      </c>
      <c r="C278" s="16" t="n"/>
      <c r="D278" s="17" t="n"/>
      <c r="E278" s="18" t="n"/>
      <c r="F278" s="19" t="n"/>
      <c r="G278" s="20" t="n"/>
      <c r="H278" s="21" t="n"/>
      <c r="I278" s="17" t="n"/>
      <c r="J278" s="18" t="n"/>
      <c r="K278" s="22" t="n"/>
      <c r="L278" s="23">
        <f>IF(C278="","",ROUND(N(F278)*(1+N(G278)/100*IF(N(H278)&gt;0,N(H278)*IF(I278="Week",7/365,IF(I278="2 weeks",14/365,1/12)),IF(ISNUMBER(E278),MAX(0,TODAY()-E278)/365,0))),2))</f>
        <v/>
      </c>
      <c r="M278" s="23">
        <f>IF(OR(C278="",N(H278)&lt;=0),"",ROUND(L278/N(H278),2))</f>
        <v/>
      </c>
      <c r="N278" s="23">
        <f>IF(C278="","",SUMIFS(Payments!$D$6:$D$805,Payments!$G$6:$G$805,B278))</f>
        <v/>
      </c>
      <c r="O278" s="24">
        <f>IF(C278="","",ROUND(L278-N278,2))</f>
        <v/>
      </c>
      <c r="P278" s="11">
        <f>IF(OR(U278="",N(O278)&lt;=0),"",IF(I278="Week",J278+7*U278,IF(I278="2 weeks",J278+14*U278,EDATE(J278,U278))))</f>
        <v/>
      </c>
      <c r="Q278" s="23">
        <f>IF(P278="","",IF(U278=N(H278)-1,O278,ROUND(M278*(U278+1)-N278,2)))</f>
        <v/>
      </c>
      <c r="R278" s="25">
        <f>IF(C278="","",IF(O278&lt;=0,"Paid off",IF(OR(M278="",NOT(ISNUMBER(J278))),"Open",IF(W278&gt;0,"Overdue",IF(AND(ISNUMBER(P278),P278-TODAY()&lt;=Settings!$C$6),"Due soon","On track")))))</f>
        <v/>
      </c>
      <c r="S278" s="1">
        <f>IF(C278="","",B278&amp;" "&amp;C278)</f>
        <v/>
      </c>
      <c r="T278">
        <f>IF(OR(M278="",NOT(ISNUMBER(J278))),"",MIN(N(H278),IF(I278="Week",IF((TODAY()-1)&lt;J278,0,INT(((TODAY()-1)-J278)/7)+1),IF(I278="2 weeks",IF((TODAY()-1)&lt;J278,0,INT(((TODAY()-1)-J278)/14)+1),IF(((YEAR((TODAY()-1))-YEAR(J278))*12+MONTH((TODAY()-1))-MONTH(J278))&lt;0,0,IF(EDATE(J278,((YEAR((TODAY()-1))-YEAR(J278))*12+MONTH((TODAY()-1))-MONTH(J278)))&lt;=(TODAY()-1),((YEAR((TODAY()-1))-YEAR(J278))*12+MONTH((TODAY()-1))-MONTH(J278))+1,((YEAR((TODAY()-1))-YEAR(J278))*12+MONTH((TODAY()-1))-MONTH(J278))))))))</f>
        <v/>
      </c>
      <c r="U278">
        <f>IF(OR(M278="",NOT(ISNUMBER(J278))),"",IF(N(M278)&lt;=0,"",MIN(N(H278)-1,INT(ROUND(N278/M278,6)))))</f>
        <v/>
      </c>
      <c r="V278">
        <f>IF(T278="","",IF(T278&gt;=N(H278),L278,M278*T278))</f>
        <v/>
      </c>
      <c r="W278">
        <f>IF(V278="",0,MAX(0,ROUND(V278-N278,2)))</f>
        <v/>
      </c>
      <c r="X278">
        <f>IF(OR(R278="",R278="Paid off",NOT(ISNUMBER(P278))),"",P278*1000+ROW())</f>
        <v/>
      </c>
      <c r="Y278">
        <f>IF(C278="","",IF(AND(COUNTIF(C$6:C278,C278)=1,SUMIFS(Loans!$O$6:$O$305,Loans!$C$6:$C$305,C278,Loans!$O$6:$O$305,"&gt;0")&gt;0),ROW(),""))</f>
        <v/>
      </c>
      <c r="Z278">
        <f>IF(OR(C278="",P278=""),"",IF(D278="I borrowed","From you","To you"))</f>
        <v/>
      </c>
    </row>
    <row r="279">
      <c r="A279" s="1" t="n"/>
      <c r="B279" s="15" t="n">
        <v>274</v>
      </c>
      <c r="C279" s="16" t="n"/>
      <c r="D279" s="17" t="n"/>
      <c r="E279" s="18" t="n"/>
      <c r="F279" s="19" t="n"/>
      <c r="G279" s="20" t="n"/>
      <c r="H279" s="21" t="n"/>
      <c r="I279" s="17" t="n"/>
      <c r="J279" s="18" t="n"/>
      <c r="K279" s="22" t="n"/>
      <c r="L279" s="23">
        <f>IF(C279="","",ROUND(N(F279)*(1+N(G279)/100*IF(N(H279)&gt;0,N(H279)*IF(I279="Week",7/365,IF(I279="2 weeks",14/365,1/12)),IF(ISNUMBER(E279),MAX(0,TODAY()-E279)/365,0))),2))</f>
        <v/>
      </c>
      <c r="M279" s="23">
        <f>IF(OR(C279="",N(H279)&lt;=0),"",ROUND(L279/N(H279),2))</f>
        <v/>
      </c>
      <c r="N279" s="23">
        <f>IF(C279="","",SUMIFS(Payments!$D$6:$D$805,Payments!$G$6:$G$805,B279))</f>
        <v/>
      </c>
      <c r="O279" s="24">
        <f>IF(C279="","",ROUND(L279-N279,2))</f>
        <v/>
      </c>
      <c r="P279" s="11">
        <f>IF(OR(U279="",N(O279)&lt;=0),"",IF(I279="Week",J279+7*U279,IF(I279="2 weeks",J279+14*U279,EDATE(J279,U279))))</f>
        <v/>
      </c>
      <c r="Q279" s="23">
        <f>IF(P279="","",IF(U279=N(H279)-1,O279,ROUND(M279*(U279+1)-N279,2)))</f>
        <v/>
      </c>
      <c r="R279" s="25">
        <f>IF(C279="","",IF(O279&lt;=0,"Paid off",IF(OR(M279="",NOT(ISNUMBER(J279))),"Open",IF(W279&gt;0,"Overdue",IF(AND(ISNUMBER(P279),P279-TODAY()&lt;=Settings!$C$6),"Due soon","On track")))))</f>
        <v/>
      </c>
      <c r="S279" s="1">
        <f>IF(C279="","",B279&amp;" "&amp;C279)</f>
        <v/>
      </c>
      <c r="T279">
        <f>IF(OR(M279="",NOT(ISNUMBER(J279))),"",MIN(N(H279),IF(I279="Week",IF((TODAY()-1)&lt;J279,0,INT(((TODAY()-1)-J279)/7)+1),IF(I279="2 weeks",IF((TODAY()-1)&lt;J279,0,INT(((TODAY()-1)-J279)/14)+1),IF(((YEAR((TODAY()-1))-YEAR(J279))*12+MONTH((TODAY()-1))-MONTH(J279))&lt;0,0,IF(EDATE(J279,((YEAR((TODAY()-1))-YEAR(J279))*12+MONTH((TODAY()-1))-MONTH(J279)))&lt;=(TODAY()-1),((YEAR((TODAY()-1))-YEAR(J279))*12+MONTH((TODAY()-1))-MONTH(J279))+1,((YEAR((TODAY()-1))-YEAR(J279))*12+MONTH((TODAY()-1))-MONTH(J279))))))))</f>
        <v/>
      </c>
      <c r="U279">
        <f>IF(OR(M279="",NOT(ISNUMBER(J279))),"",IF(N(M279)&lt;=0,"",MIN(N(H279)-1,INT(ROUND(N279/M279,6)))))</f>
        <v/>
      </c>
      <c r="V279">
        <f>IF(T279="","",IF(T279&gt;=N(H279),L279,M279*T279))</f>
        <v/>
      </c>
      <c r="W279">
        <f>IF(V279="",0,MAX(0,ROUND(V279-N279,2)))</f>
        <v/>
      </c>
      <c r="X279">
        <f>IF(OR(R279="",R279="Paid off",NOT(ISNUMBER(P279))),"",P279*1000+ROW())</f>
        <v/>
      </c>
      <c r="Y279">
        <f>IF(C279="","",IF(AND(COUNTIF(C$6:C279,C279)=1,SUMIFS(Loans!$O$6:$O$305,Loans!$C$6:$C$305,C279,Loans!$O$6:$O$305,"&gt;0")&gt;0),ROW(),""))</f>
        <v/>
      </c>
      <c r="Z279">
        <f>IF(OR(C279="",P279=""),"",IF(D279="I borrowed","From you","To you"))</f>
        <v/>
      </c>
    </row>
    <row r="280">
      <c r="A280" s="1" t="n"/>
      <c r="B280" s="15" t="n">
        <v>275</v>
      </c>
      <c r="C280" s="16" t="n"/>
      <c r="D280" s="17" t="n"/>
      <c r="E280" s="18" t="n"/>
      <c r="F280" s="19" t="n"/>
      <c r="G280" s="20" t="n"/>
      <c r="H280" s="21" t="n"/>
      <c r="I280" s="17" t="n"/>
      <c r="J280" s="18" t="n"/>
      <c r="K280" s="22" t="n"/>
      <c r="L280" s="23">
        <f>IF(C280="","",ROUND(N(F280)*(1+N(G280)/100*IF(N(H280)&gt;0,N(H280)*IF(I280="Week",7/365,IF(I280="2 weeks",14/365,1/12)),IF(ISNUMBER(E280),MAX(0,TODAY()-E280)/365,0))),2))</f>
        <v/>
      </c>
      <c r="M280" s="23">
        <f>IF(OR(C280="",N(H280)&lt;=0),"",ROUND(L280/N(H280),2))</f>
        <v/>
      </c>
      <c r="N280" s="23">
        <f>IF(C280="","",SUMIFS(Payments!$D$6:$D$805,Payments!$G$6:$G$805,B280))</f>
        <v/>
      </c>
      <c r="O280" s="24">
        <f>IF(C280="","",ROUND(L280-N280,2))</f>
        <v/>
      </c>
      <c r="P280" s="11">
        <f>IF(OR(U280="",N(O280)&lt;=0),"",IF(I280="Week",J280+7*U280,IF(I280="2 weeks",J280+14*U280,EDATE(J280,U280))))</f>
        <v/>
      </c>
      <c r="Q280" s="23">
        <f>IF(P280="","",IF(U280=N(H280)-1,O280,ROUND(M280*(U280+1)-N280,2)))</f>
        <v/>
      </c>
      <c r="R280" s="25">
        <f>IF(C280="","",IF(O280&lt;=0,"Paid off",IF(OR(M280="",NOT(ISNUMBER(J280))),"Open",IF(W280&gt;0,"Overdue",IF(AND(ISNUMBER(P280),P280-TODAY()&lt;=Settings!$C$6),"Due soon","On track")))))</f>
        <v/>
      </c>
      <c r="S280" s="1">
        <f>IF(C280="","",B280&amp;" "&amp;C280)</f>
        <v/>
      </c>
      <c r="T280">
        <f>IF(OR(M280="",NOT(ISNUMBER(J280))),"",MIN(N(H280),IF(I280="Week",IF((TODAY()-1)&lt;J280,0,INT(((TODAY()-1)-J280)/7)+1),IF(I280="2 weeks",IF((TODAY()-1)&lt;J280,0,INT(((TODAY()-1)-J280)/14)+1),IF(((YEAR((TODAY()-1))-YEAR(J280))*12+MONTH((TODAY()-1))-MONTH(J280))&lt;0,0,IF(EDATE(J280,((YEAR((TODAY()-1))-YEAR(J280))*12+MONTH((TODAY()-1))-MONTH(J280)))&lt;=(TODAY()-1),((YEAR((TODAY()-1))-YEAR(J280))*12+MONTH((TODAY()-1))-MONTH(J280))+1,((YEAR((TODAY()-1))-YEAR(J280))*12+MONTH((TODAY()-1))-MONTH(J280))))))))</f>
        <v/>
      </c>
      <c r="U280">
        <f>IF(OR(M280="",NOT(ISNUMBER(J280))),"",IF(N(M280)&lt;=0,"",MIN(N(H280)-1,INT(ROUND(N280/M280,6)))))</f>
        <v/>
      </c>
      <c r="V280">
        <f>IF(T280="","",IF(T280&gt;=N(H280),L280,M280*T280))</f>
        <v/>
      </c>
      <c r="W280">
        <f>IF(V280="",0,MAX(0,ROUND(V280-N280,2)))</f>
        <v/>
      </c>
      <c r="X280">
        <f>IF(OR(R280="",R280="Paid off",NOT(ISNUMBER(P280))),"",P280*1000+ROW())</f>
        <v/>
      </c>
      <c r="Y280">
        <f>IF(C280="","",IF(AND(COUNTIF(C$6:C280,C280)=1,SUMIFS(Loans!$O$6:$O$305,Loans!$C$6:$C$305,C280,Loans!$O$6:$O$305,"&gt;0")&gt;0),ROW(),""))</f>
        <v/>
      </c>
      <c r="Z280">
        <f>IF(OR(C280="",P280=""),"",IF(D280="I borrowed","From you","To you"))</f>
        <v/>
      </c>
    </row>
    <row r="281">
      <c r="A281" s="1" t="n"/>
      <c r="B281" s="15" t="n">
        <v>276</v>
      </c>
      <c r="C281" s="16" t="n"/>
      <c r="D281" s="17" t="n"/>
      <c r="E281" s="18" t="n"/>
      <c r="F281" s="19" t="n"/>
      <c r="G281" s="20" t="n"/>
      <c r="H281" s="21" t="n"/>
      <c r="I281" s="17" t="n"/>
      <c r="J281" s="18" t="n"/>
      <c r="K281" s="22" t="n"/>
      <c r="L281" s="23">
        <f>IF(C281="","",ROUND(N(F281)*(1+N(G281)/100*IF(N(H281)&gt;0,N(H281)*IF(I281="Week",7/365,IF(I281="2 weeks",14/365,1/12)),IF(ISNUMBER(E281),MAX(0,TODAY()-E281)/365,0))),2))</f>
        <v/>
      </c>
      <c r="M281" s="23">
        <f>IF(OR(C281="",N(H281)&lt;=0),"",ROUND(L281/N(H281),2))</f>
        <v/>
      </c>
      <c r="N281" s="23">
        <f>IF(C281="","",SUMIFS(Payments!$D$6:$D$805,Payments!$G$6:$G$805,B281))</f>
        <v/>
      </c>
      <c r="O281" s="24">
        <f>IF(C281="","",ROUND(L281-N281,2))</f>
        <v/>
      </c>
      <c r="P281" s="11">
        <f>IF(OR(U281="",N(O281)&lt;=0),"",IF(I281="Week",J281+7*U281,IF(I281="2 weeks",J281+14*U281,EDATE(J281,U281))))</f>
        <v/>
      </c>
      <c r="Q281" s="23">
        <f>IF(P281="","",IF(U281=N(H281)-1,O281,ROUND(M281*(U281+1)-N281,2)))</f>
        <v/>
      </c>
      <c r="R281" s="25">
        <f>IF(C281="","",IF(O281&lt;=0,"Paid off",IF(OR(M281="",NOT(ISNUMBER(J281))),"Open",IF(W281&gt;0,"Overdue",IF(AND(ISNUMBER(P281),P281-TODAY()&lt;=Settings!$C$6),"Due soon","On track")))))</f>
        <v/>
      </c>
      <c r="S281" s="1">
        <f>IF(C281="","",B281&amp;" "&amp;C281)</f>
        <v/>
      </c>
      <c r="T281">
        <f>IF(OR(M281="",NOT(ISNUMBER(J281))),"",MIN(N(H281),IF(I281="Week",IF((TODAY()-1)&lt;J281,0,INT(((TODAY()-1)-J281)/7)+1),IF(I281="2 weeks",IF((TODAY()-1)&lt;J281,0,INT(((TODAY()-1)-J281)/14)+1),IF(((YEAR((TODAY()-1))-YEAR(J281))*12+MONTH((TODAY()-1))-MONTH(J281))&lt;0,0,IF(EDATE(J281,((YEAR((TODAY()-1))-YEAR(J281))*12+MONTH((TODAY()-1))-MONTH(J281)))&lt;=(TODAY()-1),((YEAR((TODAY()-1))-YEAR(J281))*12+MONTH((TODAY()-1))-MONTH(J281))+1,((YEAR((TODAY()-1))-YEAR(J281))*12+MONTH((TODAY()-1))-MONTH(J281))))))))</f>
        <v/>
      </c>
      <c r="U281">
        <f>IF(OR(M281="",NOT(ISNUMBER(J281))),"",IF(N(M281)&lt;=0,"",MIN(N(H281)-1,INT(ROUND(N281/M281,6)))))</f>
        <v/>
      </c>
      <c r="V281">
        <f>IF(T281="","",IF(T281&gt;=N(H281),L281,M281*T281))</f>
        <v/>
      </c>
      <c r="W281">
        <f>IF(V281="",0,MAX(0,ROUND(V281-N281,2)))</f>
        <v/>
      </c>
      <c r="X281">
        <f>IF(OR(R281="",R281="Paid off",NOT(ISNUMBER(P281))),"",P281*1000+ROW())</f>
        <v/>
      </c>
      <c r="Y281">
        <f>IF(C281="","",IF(AND(COUNTIF(C$6:C281,C281)=1,SUMIFS(Loans!$O$6:$O$305,Loans!$C$6:$C$305,C281,Loans!$O$6:$O$305,"&gt;0")&gt;0),ROW(),""))</f>
        <v/>
      </c>
      <c r="Z281">
        <f>IF(OR(C281="",P281=""),"",IF(D281="I borrowed","From you","To you"))</f>
        <v/>
      </c>
    </row>
    <row r="282">
      <c r="A282" s="1" t="n"/>
      <c r="B282" s="15" t="n">
        <v>277</v>
      </c>
      <c r="C282" s="16" t="n"/>
      <c r="D282" s="17" t="n"/>
      <c r="E282" s="18" t="n"/>
      <c r="F282" s="19" t="n"/>
      <c r="G282" s="20" t="n"/>
      <c r="H282" s="21" t="n"/>
      <c r="I282" s="17" t="n"/>
      <c r="J282" s="18" t="n"/>
      <c r="K282" s="22" t="n"/>
      <c r="L282" s="23">
        <f>IF(C282="","",ROUND(N(F282)*(1+N(G282)/100*IF(N(H282)&gt;0,N(H282)*IF(I282="Week",7/365,IF(I282="2 weeks",14/365,1/12)),IF(ISNUMBER(E282),MAX(0,TODAY()-E282)/365,0))),2))</f>
        <v/>
      </c>
      <c r="M282" s="23">
        <f>IF(OR(C282="",N(H282)&lt;=0),"",ROUND(L282/N(H282),2))</f>
        <v/>
      </c>
      <c r="N282" s="23">
        <f>IF(C282="","",SUMIFS(Payments!$D$6:$D$805,Payments!$G$6:$G$805,B282))</f>
        <v/>
      </c>
      <c r="O282" s="24">
        <f>IF(C282="","",ROUND(L282-N282,2))</f>
        <v/>
      </c>
      <c r="P282" s="11">
        <f>IF(OR(U282="",N(O282)&lt;=0),"",IF(I282="Week",J282+7*U282,IF(I282="2 weeks",J282+14*U282,EDATE(J282,U282))))</f>
        <v/>
      </c>
      <c r="Q282" s="23">
        <f>IF(P282="","",IF(U282=N(H282)-1,O282,ROUND(M282*(U282+1)-N282,2)))</f>
        <v/>
      </c>
      <c r="R282" s="25">
        <f>IF(C282="","",IF(O282&lt;=0,"Paid off",IF(OR(M282="",NOT(ISNUMBER(J282))),"Open",IF(W282&gt;0,"Overdue",IF(AND(ISNUMBER(P282),P282-TODAY()&lt;=Settings!$C$6),"Due soon","On track")))))</f>
        <v/>
      </c>
      <c r="S282" s="1">
        <f>IF(C282="","",B282&amp;" "&amp;C282)</f>
        <v/>
      </c>
      <c r="T282">
        <f>IF(OR(M282="",NOT(ISNUMBER(J282))),"",MIN(N(H282),IF(I282="Week",IF((TODAY()-1)&lt;J282,0,INT(((TODAY()-1)-J282)/7)+1),IF(I282="2 weeks",IF((TODAY()-1)&lt;J282,0,INT(((TODAY()-1)-J282)/14)+1),IF(((YEAR((TODAY()-1))-YEAR(J282))*12+MONTH((TODAY()-1))-MONTH(J282))&lt;0,0,IF(EDATE(J282,((YEAR((TODAY()-1))-YEAR(J282))*12+MONTH((TODAY()-1))-MONTH(J282)))&lt;=(TODAY()-1),((YEAR((TODAY()-1))-YEAR(J282))*12+MONTH((TODAY()-1))-MONTH(J282))+1,((YEAR((TODAY()-1))-YEAR(J282))*12+MONTH((TODAY()-1))-MONTH(J282))))))))</f>
        <v/>
      </c>
      <c r="U282">
        <f>IF(OR(M282="",NOT(ISNUMBER(J282))),"",IF(N(M282)&lt;=0,"",MIN(N(H282)-1,INT(ROUND(N282/M282,6)))))</f>
        <v/>
      </c>
      <c r="V282">
        <f>IF(T282="","",IF(T282&gt;=N(H282),L282,M282*T282))</f>
        <v/>
      </c>
      <c r="W282">
        <f>IF(V282="",0,MAX(0,ROUND(V282-N282,2)))</f>
        <v/>
      </c>
      <c r="X282">
        <f>IF(OR(R282="",R282="Paid off",NOT(ISNUMBER(P282))),"",P282*1000+ROW())</f>
        <v/>
      </c>
      <c r="Y282">
        <f>IF(C282="","",IF(AND(COUNTIF(C$6:C282,C282)=1,SUMIFS(Loans!$O$6:$O$305,Loans!$C$6:$C$305,C282,Loans!$O$6:$O$305,"&gt;0")&gt;0),ROW(),""))</f>
        <v/>
      </c>
      <c r="Z282">
        <f>IF(OR(C282="",P282=""),"",IF(D282="I borrowed","From you","To you"))</f>
        <v/>
      </c>
    </row>
    <row r="283">
      <c r="A283" s="1" t="n"/>
      <c r="B283" s="15" t="n">
        <v>278</v>
      </c>
      <c r="C283" s="16" t="n"/>
      <c r="D283" s="17" t="n"/>
      <c r="E283" s="18" t="n"/>
      <c r="F283" s="19" t="n"/>
      <c r="G283" s="20" t="n"/>
      <c r="H283" s="21" t="n"/>
      <c r="I283" s="17" t="n"/>
      <c r="J283" s="18" t="n"/>
      <c r="K283" s="22" t="n"/>
      <c r="L283" s="23">
        <f>IF(C283="","",ROUND(N(F283)*(1+N(G283)/100*IF(N(H283)&gt;0,N(H283)*IF(I283="Week",7/365,IF(I283="2 weeks",14/365,1/12)),IF(ISNUMBER(E283),MAX(0,TODAY()-E283)/365,0))),2))</f>
        <v/>
      </c>
      <c r="M283" s="23">
        <f>IF(OR(C283="",N(H283)&lt;=0),"",ROUND(L283/N(H283),2))</f>
        <v/>
      </c>
      <c r="N283" s="23">
        <f>IF(C283="","",SUMIFS(Payments!$D$6:$D$805,Payments!$G$6:$G$805,B283))</f>
        <v/>
      </c>
      <c r="O283" s="24">
        <f>IF(C283="","",ROUND(L283-N283,2))</f>
        <v/>
      </c>
      <c r="P283" s="11">
        <f>IF(OR(U283="",N(O283)&lt;=0),"",IF(I283="Week",J283+7*U283,IF(I283="2 weeks",J283+14*U283,EDATE(J283,U283))))</f>
        <v/>
      </c>
      <c r="Q283" s="23">
        <f>IF(P283="","",IF(U283=N(H283)-1,O283,ROUND(M283*(U283+1)-N283,2)))</f>
        <v/>
      </c>
      <c r="R283" s="25">
        <f>IF(C283="","",IF(O283&lt;=0,"Paid off",IF(OR(M283="",NOT(ISNUMBER(J283))),"Open",IF(W283&gt;0,"Overdue",IF(AND(ISNUMBER(P283),P283-TODAY()&lt;=Settings!$C$6),"Due soon","On track")))))</f>
        <v/>
      </c>
      <c r="S283" s="1">
        <f>IF(C283="","",B283&amp;" "&amp;C283)</f>
        <v/>
      </c>
      <c r="T283">
        <f>IF(OR(M283="",NOT(ISNUMBER(J283))),"",MIN(N(H283),IF(I283="Week",IF((TODAY()-1)&lt;J283,0,INT(((TODAY()-1)-J283)/7)+1),IF(I283="2 weeks",IF((TODAY()-1)&lt;J283,0,INT(((TODAY()-1)-J283)/14)+1),IF(((YEAR((TODAY()-1))-YEAR(J283))*12+MONTH((TODAY()-1))-MONTH(J283))&lt;0,0,IF(EDATE(J283,((YEAR((TODAY()-1))-YEAR(J283))*12+MONTH((TODAY()-1))-MONTH(J283)))&lt;=(TODAY()-1),((YEAR((TODAY()-1))-YEAR(J283))*12+MONTH((TODAY()-1))-MONTH(J283))+1,((YEAR((TODAY()-1))-YEAR(J283))*12+MONTH((TODAY()-1))-MONTH(J283))))))))</f>
        <v/>
      </c>
      <c r="U283">
        <f>IF(OR(M283="",NOT(ISNUMBER(J283))),"",IF(N(M283)&lt;=0,"",MIN(N(H283)-1,INT(ROUND(N283/M283,6)))))</f>
        <v/>
      </c>
      <c r="V283">
        <f>IF(T283="","",IF(T283&gt;=N(H283),L283,M283*T283))</f>
        <v/>
      </c>
      <c r="W283">
        <f>IF(V283="",0,MAX(0,ROUND(V283-N283,2)))</f>
        <v/>
      </c>
      <c r="X283">
        <f>IF(OR(R283="",R283="Paid off",NOT(ISNUMBER(P283))),"",P283*1000+ROW())</f>
        <v/>
      </c>
      <c r="Y283">
        <f>IF(C283="","",IF(AND(COUNTIF(C$6:C283,C283)=1,SUMIFS(Loans!$O$6:$O$305,Loans!$C$6:$C$305,C283,Loans!$O$6:$O$305,"&gt;0")&gt;0),ROW(),""))</f>
        <v/>
      </c>
      <c r="Z283">
        <f>IF(OR(C283="",P283=""),"",IF(D283="I borrowed","From you","To you"))</f>
        <v/>
      </c>
    </row>
    <row r="284">
      <c r="A284" s="1" t="n"/>
      <c r="B284" s="15" t="n">
        <v>279</v>
      </c>
      <c r="C284" s="16" t="n"/>
      <c r="D284" s="17" t="n"/>
      <c r="E284" s="18" t="n"/>
      <c r="F284" s="19" t="n"/>
      <c r="G284" s="20" t="n"/>
      <c r="H284" s="21" t="n"/>
      <c r="I284" s="17" t="n"/>
      <c r="J284" s="18" t="n"/>
      <c r="K284" s="22" t="n"/>
      <c r="L284" s="23">
        <f>IF(C284="","",ROUND(N(F284)*(1+N(G284)/100*IF(N(H284)&gt;0,N(H284)*IF(I284="Week",7/365,IF(I284="2 weeks",14/365,1/12)),IF(ISNUMBER(E284),MAX(0,TODAY()-E284)/365,0))),2))</f>
        <v/>
      </c>
      <c r="M284" s="23">
        <f>IF(OR(C284="",N(H284)&lt;=0),"",ROUND(L284/N(H284),2))</f>
        <v/>
      </c>
      <c r="N284" s="23">
        <f>IF(C284="","",SUMIFS(Payments!$D$6:$D$805,Payments!$G$6:$G$805,B284))</f>
        <v/>
      </c>
      <c r="O284" s="24">
        <f>IF(C284="","",ROUND(L284-N284,2))</f>
        <v/>
      </c>
      <c r="P284" s="11">
        <f>IF(OR(U284="",N(O284)&lt;=0),"",IF(I284="Week",J284+7*U284,IF(I284="2 weeks",J284+14*U284,EDATE(J284,U284))))</f>
        <v/>
      </c>
      <c r="Q284" s="23">
        <f>IF(P284="","",IF(U284=N(H284)-1,O284,ROUND(M284*(U284+1)-N284,2)))</f>
        <v/>
      </c>
      <c r="R284" s="25">
        <f>IF(C284="","",IF(O284&lt;=0,"Paid off",IF(OR(M284="",NOT(ISNUMBER(J284))),"Open",IF(W284&gt;0,"Overdue",IF(AND(ISNUMBER(P284),P284-TODAY()&lt;=Settings!$C$6),"Due soon","On track")))))</f>
        <v/>
      </c>
      <c r="S284" s="1">
        <f>IF(C284="","",B284&amp;" "&amp;C284)</f>
        <v/>
      </c>
      <c r="T284">
        <f>IF(OR(M284="",NOT(ISNUMBER(J284))),"",MIN(N(H284),IF(I284="Week",IF((TODAY()-1)&lt;J284,0,INT(((TODAY()-1)-J284)/7)+1),IF(I284="2 weeks",IF((TODAY()-1)&lt;J284,0,INT(((TODAY()-1)-J284)/14)+1),IF(((YEAR((TODAY()-1))-YEAR(J284))*12+MONTH((TODAY()-1))-MONTH(J284))&lt;0,0,IF(EDATE(J284,((YEAR((TODAY()-1))-YEAR(J284))*12+MONTH((TODAY()-1))-MONTH(J284)))&lt;=(TODAY()-1),((YEAR((TODAY()-1))-YEAR(J284))*12+MONTH((TODAY()-1))-MONTH(J284))+1,((YEAR((TODAY()-1))-YEAR(J284))*12+MONTH((TODAY()-1))-MONTH(J284))))))))</f>
        <v/>
      </c>
      <c r="U284">
        <f>IF(OR(M284="",NOT(ISNUMBER(J284))),"",IF(N(M284)&lt;=0,"",MIN(N(H284)-1,INT(ROUND(N284/M284,6)))))</f>
        <v/>
      </c>
      <c r="V284">
        <f>IF(T284="","",IF(T284&gt;=N(H284),L284,M284*T284))</f>
        <v/>
      </c>
      <c r="W284">
        <f>IF(V284="",0,MAX(0,ROUND(V284-N284,2)))</f>
        <v/>
      </c>
      <c r="X284">
        <f>IF(OR(R284="",R284="Paid off",NOT(ISNUMBER(P284))),"",P284*1000+ROW())</f>
        <v/>
      </c>
      <c r="Y284">
        <f>IF(C284="","",IF(AND(COUNTIF(C$6:C284,C284)=1,SUMIFS(Loans!$O$6:$O$305,Loans!$C$6:$C$305,C284,Loans!$O$6:$O$305,"&gt;0")&gt;0),ROW(),""))</f>
        <v/>
      </c>
      <c r="Z284">
        <f>IF(OR(C284="",P284=""),"",IF(D284="I borrowed","From you","To you"))</f>
        <v/>
      </c>
    </row>
    <row r="285">
      <c r="A285" s="1" t="n"/>
      <c r="B285" s="15" t="n">
        <v>280</v>
      </c>
      <c r="C285" s="16" t="n"/>
      <c r="D285" s="17" t="n"/>
      <c r="E285" s="18" t="n"/>
      <c r="F285" s="19" t="n"/>
      <c r="G285" s="20" t="n"/>
      <c r="H285" s="21" t="n"/>
      <c r="I285" s="17" t="n"/>
      <c r="J285" s="18" t="n"/>
      <c r="K285" s="22" t="n"/>
      <c r="L285" s="23">
        <f>IF(C285="","",ROUND(N(F285)*(1+N(G285)/100*IF(N(H285)&gt;0,N(H285)*IF(I285="Week",7/365,IF(I285="2 weeks",14/365,1/12)),IF(ISNUMBER(E285),MAX(0,TODAY()-E285)/365,0))),2))</f>
        <v/>
      </c>
      <c r="M285" s="23">
        <f>IF(OR(C285="",N(H285)&lt;=0),"",ROUND(L285/N(H285),2))</f>
        <v/>
      </c>
      <c r="N285" s="23">
        <f>IF(C285="","",SUMIFS(Payments!$D$6:$D$805,Payments!$G$6:$G$805,B285))</f>
        <v/>
      </c>
      <c r="O285" s="24">
        <f>IF(C285="","",ROUND(L285-N285,2))</f>
        <v/>
      </c>
      <c r="P285" s="11">
        <f>IF(OR(U285="",N(O285)&lt;=0),"",IF(I285="Week",J285+7*U285,IF(I285="2 weeks",J285+14*U285,EDATE(J285,U285))))</f>
        <v/>
      </c>
      <c r="Q285" s="23">
        <f>IF(P285="","",IF(U285=N(H285)-1,O285,ROUND(M285*(U285+1)-N285,2)))</f>
        <v/>
      </c>
      <c r="R285" s="25">
        <f>IF(C285="","",IF(O285&lt;=0,"Paid off",IF(OR(M285="",NOT(ISNUMBER(J285))),"Open",IF(W285&gt;0,"Overdue",IF(AND(ISNUMBER(P285),P285-TODAY()&lt;=Settings!$C$6),"Due soon","On track")))))</f>
        <v/>
      </c>
      <c r="S285" s="1">
        <f>IF(C285="","",B285&amp;" "&amp;C285)</f>
        <v/>
      </c>
      <c r="T285">
        <f>IF(OR(M285="",NOT(ISNUMBER(J285))),"",MIN(N(H285),IF(I285="Week",IF((TODAY()-1)&lt;J285,0,INT(((TODAY()-1)-J285)/7)+1),IF(I285="2 weeks",IF((TODAY()-1)&lt;J285,0,INT(((TODAY()-1)-J285)/14)+1),IF(((YEAR((TODAY()-1))-YEAR(J285))*12+MONTH((TODAY()-1))-MONTH(J285))&lt;0,0,IF(EDATE(J285,((YEAR((TODAY()-1))-YEAR(J285))*12+MONTH((TODAY()-1))-MONTH(J285)))&lt;=(TODAY()-1),((YEAR((TODAY()-1))-YEAR(J285))*12+MONTH((TODAY()-1))-MONTH(J285))+1,((YEAR((TODAY()-1))-YEAR(J285))*12+MONTH((TODAY()-1))-MONTH(J285))))))))</f>
        <v/>
      </c>
      <c r="U285">
        <f>IF(OR(M285="",NOT(ISNUMBER(J285))),"",IF(N(M285)&lt;=0,"",MIN(N(H285)-1,INT(ROUND(N285/M285,6)))))</f>
        <v/>
      </c>
      <c r="V285">
        <f>IF(T285="","",IF(T285&gt;=N(H285),L285,M285*T285))</f>
        <v/>
      </c>
      <c r="W285">
        <f>IF(V285="",0,MAX(0,ROUND(V285-N285,2)))</f>
        <v/>
      </c>
      <c r="X285">
        <f>IF(OR(R285="",R285="Paid off",NOT(ISNUMBER(P285))),"",P285*1000+ROW())</f>
        <v/>
      </c>
      <c r="Y285">
        <f>IF(C285="","",IF(AND(COUNTIF(C$6:C285,C285)=1,SUMIFS(Loans!$O$6:$O$305,Loans!$C$6:$C$305,C285,Loans!$O$6:$O$305,"&gt;0")&gt;0),ROW(),""))</f>
        <v/>
      </c>
      <c r="Z285">
        <f>IF(OR(C285="",P285=""),"",IF(D285="I borrowed","From you","To you"))</f>
        <v/>
      </c>
    </row>
    <row r="286">
      <c r="A286" s="1" t="n"/>
      <c r="B286" s="15" t="n">
        <v>281</v>
      </c>
      <c r="C286" s="16" t="n"/>
      <c r="D286" s="17" t="n"/>
      <c r="E286" s="18" t="n"/>
      <c r="F286" s="19" t="n"/>
      <c r="G286" s="20" t="n"/>
      <c r="H286" s="21" t="n"/>
      <c r="I286" s="17" t="n"/>
      <c r="J286" s="18" t="n"/>
      <c r="K286" s="22" t="n"/>
      <c r="L286" s="23">
        <f>IF(C286="","",ROUND(N(F286)*(1+N(G286)/100*IF(N(H286)&gt;0,N(H286)*IF(I286="Week",7/365,IF(I286="2 weeks",14/365,1/12)),IF(ISNUMBER(E286),MAX(0,TODAY()-E286)/365,0))),2))</f>
        <v/>
      </c>
      <c r="M286" s="23">
        <f>IF(OR(C286="",N(H286)&lt;=0),"",ROUND(L286/N(H286),2))</f>
        <v/>
      </c>
      <c r="N286" s="23">
        <f>IF(C286="","",SUMIFS(Payments!$D$6:$D$805,Payments!$G$6:$G$805,B286))</f>
        <v/>
      </c>
      <c r="O286" s="24">
        <f>IF(C286="","",ROUND(L286-N286,2))</f>
        <v/>
      </c>
      <c r="P286" s="11">
        <f>IF(OR(U286="",N(O286)&lt;=0),"",IF(I286="Week",J286+7*U286,IF(I286="2 weeks",J286+14*U286,EDATE(J286,U286))))</f>
        <v/>
      </c>
      <c r="Q286" s="23">
        <f>IF(P286="","",IF(U286=N(H286)-1,O286,ROUND(M286*(U286+1)-N286,2)))</f>
        <v/>
      </c>
      <c r="R286" s="25">
        <f>IF(C286="","",IF(O286&lt;=0,"Paid off",IF(OR(M286="",NOT(ISNUMBER(J286))),"Open",IF(W286&gt;0,"Overdue",IF(AND(ISNUMBER(P286),P286-TODAY()&lt;=Settings!$C$6),"Due soon","On track")))))</f>
        <v/>
      </c>
      <c r="S286" s="1">
        <f>IF(C286="","",B286&amp;" "&amp;C286)</f>
        <v/>
      </c>
      <c r="T286">
        <f>IF(OR(M286="",NOT(ISNUMBER(J286))),"",MIN(N(H286),IF(I286="Week",IF((TODAY()-1)&lt;J286,0,INT(((TODAY()-1)-J286)/7)+1),IF(I286="2 weeks",IF((TODAY()-1)&lt;J286,0,INT(((TODAY()-1)-J286)/14)+1),IF(((YEAR((TODAY()-1))-YEAR(J286))*12+MONTH((TODAY()-1))-MONTH(J286))&lt;0,0,IF(EDATE(J286,((YEAR((TODAY()-1))-YEAR(J286))*12+MONTH((TODAY()-1))-MONTH(J286)))&lt;=(TODAY()-1),((YEAR((TODAY()-1))-YEAR(J286))*12+MONTH((TODAY()-1))-MONTH(J286))+1,((YEAR((TODAY()-1))-YEAR(J286))*12+MONTH((TODAY()-1))-MONTH(J286))))))))</f>
        <v/>
      </c>
      <c r="U286">
        <f>IF(OR(M286="",NOT(ISNUMBER(J286))),"",IF(N(M286)&lt;=0,"",MIN(N(H286)-1,INT(ROUND(N286/M286,6)))))</f>
        <v/>
      </c>
      <c r="V286">
        <f>IF(T286="","",IF(T286&gt;=N(H286),L286,M286*T286))</f>
        <v/>
      </c>
      <c r="W286">
        <f>IF(V286="",0,MAX(0,ROUND(V286-N286,2)))</f>
        <v/>
      </c>
      <c r="X286">
        <f>IF(OR(R286="",R286="Paid off",NOT(ISNUMBER(P286))),"",P286*1000+ROW())</f>
        <v/>
      </c>
      <c r="Y286">
        <f>IF(C286="","",IF(AND(COUNTIF(C$6:C286,C286)=1,SUMIFS(Loans!$O$6:$O$305,Loans!$C$6:$C$305,C286,Loans!$O$6:$O$305,"&gt;0")&gt;0),ROW(),""))</f>
        <v/>
      </c>
      <c r="Z286">
        <f>IF(OR(C286="",P286=""),"",IF(D286="I borrowed","From you","To you"))</f>
        <v/>
      </c>
    </row>
    <row r="287">
      <c r="A287" s="1" t="n"/>
      <c r="B287" s="15" t="n">
        <v>282</v>
      </c>
      <c r="C287" s="16" t="n"/>
      <c r="D287" s="17" t="n"/>
      <c r="E287" s="18" t="n"/>
      <c r="F287" s="19" t="n"/>
      <c r="G287" s="20" t="n"/>
      <c r="H287" s="21" t="n"/>
      <c r="I287" s="17" t="n"/>
      <c r="J287" s="18" t="n"/>
      <c r="K287" s="22" t="n"/>
      <c r="L287" s="23">
        <f>IF(C287="","",ROUND(N(F287)*(1+N(G287)/100*IF(N(H287)&gt;0,N(H287)*IF(I287="Week",7/365,IF(I287="2 weeks",14/365,1/12)),IF(ISNUMBER(E287),MAX(0,TODAY()-E287)/365,0))),2))</f>
        <v/>
      </c>
      <c r="M287" s="23">
        <f>IF(OR(C287="",N(H287)&lt;=0),"",ROUND(L287/N(H287),2))</f>
        <v/>
      </c>
      <c r="N287" s="23">
        <f>IF(C287="","",SUMIFS(Payments!$D$6:$D$805,Payments!$G$6:$G$805,B287))</f>
        <v/>
      </c>
      <c r="O287" s="24">
        <f>IF(C287="","",ROUND(L287-N287,2))</f>
        <v/>
      </c>
      <c r="P287" s="11">
        <f>IF(OR(U287="",N(O287)&lt;=0),"",IF(I287="Week",J287+7*U287,IF(I287="2 weeks",J287+14*U287,EDATE(J287,U287))))</f>
        <v/>
      </c>
      <c r="Q287" s="23">
        <f>IF(P287="","",IF(U287=N(H287)-1,O287,ROUND(M287*(U287+1)-N287,2)))</f>
        <v/>
      </c>
      <c r="R287" s="25">
        <f>IF(C287="","",IF(O287&lt;=0,"Paid off",IF(OR(M287="",NOT(ISNUMBER(J287))),"Open",IF(W287&gt;0,"Overdue",IF(AND(ISNUMBER(P287),P287-TODAY()&lt;=Settings!$C$6),"Due soon","On track")))))</f>
        <v/>
      </c>
      <c r="S287" s="1">
        <f>IF(C287="","",B287&amp;" "&amp;C287)</f>
        <v/>
      </c>
      <c r="T287">
        <f>IF(OR(M287="",NOT(ISNUMBER(J287))),"",MIN(N(H287),IF(I287="Week",IF((TODAY()-1)&lt;J287,0,INT(((TODAY()-1)-J287)/7)+1),IF(I287="2 weeks",IF((TODAY()-1)&lt;J287,0,INT(((TODAY()-1)-J287)/14)+1),IF(((YEAR((TODAY()-1))-YEAR(J287))*12+MONTH((TODAY()-1))-MONTH(J287))&lt;0,0,IF(EDATE(J287,((YEAR((TODAY()-1))-YEAR(J287))*12+MONTH((TODAY()-1))-MONTH(J287)))&lt;=(TODAY()-1),((YEAR((TODAY()-1))-YEAR(J287))*12+MONTH((TODAY()-1))-MONTH(J287))+1,((YEAR((TODAY()-1))-YEAR(J287))*12+MONTH((TODAY()-1))-MONTH(J287))))))))</f>
        <v/>
      </c>
      <c r="U287">
        <f>IF(OR(M287="",NOT(ISNUMBER(J287))),"",IF(N(M287)&lt;=0,"",MIN(N(H287)-1,INT(ROUND(N287/M287,6)))))</f>
        <v/>
      </c>
      <c r="V287">
        <f>IF(T287="","",IF(T287&gt;=N(H287),L287,M287*T287))</f>
        <v/>
      </c>
      <c r="W287">
        <f>IF(V287="",0,MAX(0,ROUND(V287-N287,2)))</f>
        <v/>
      </c>
      <c r="X287">
        <f>IF(OR(R287="",R287="Paid off",NOT(ISNUMBER(P287))),"",P287*1000+ROW())</f>
        <v/>
      </c>
      <c r="Y287">
        <f>IF(C287="","",IF(AND(COUNTIF(C$6:C287,C287)=1,SUMIFS(Loans!$O$6:$O$305,Loans!$C$6:$C$305,C287,Loans!$O$6:$O$305,"&gt;0")&gt;0),ROW(),""))</f>
        <v/>
      </c>
      <c r="Z287">
        <f>IF(OR(C287="",P287=""),"",IF(D287="I borrowed","From you","To you"))</f>
        <v/>
      </c>
    </row>
    <row r="288">
      <c r="A288" s="1" t="n"/>
      <c r="B288" s="15" t="n">
        <v>283</v>
      </c>
      <c r="C288" s="16" t="n"/>
      <c r="D288" s="17" t="n"/>
      <c r="E288" s="18" t="n"/>
      <c r="F288" s="19" t="n"/>
      <c r="G288" s="20" t="n"/>
      <c r="H288" s="21" t="n"/>
      <c r="I288" s="17" t="n"/>
      <c r="J288" s="18" t="n"/>
      <c r="K288" s="22" t="n"/>
      <c r="L288" s="23">
        <f>IF(C288="","",ROUND(N(F288)*(1+N(G288)/100*IF(N(H288)&gt;0,N(H288)*IF(I288="Week",7/365,IF(I288="2 weeks",14/365,1/12)),IF(ISNUMBER(E288),MAX(0,TODAY()-E288)/365,0))),2))</f>
        <v/>
      </c>
      <c r="M288" s="23">
        <f>IF(OR(C288="",N(H288)&lt;=0),"",ROUND(L288/N(H288),2))</f>
        <v/>
      </c>
      <c r="N288" s="23">
        <f>IF(C288="","",SUMIFS(Payments!$D$6:$D$805,Payments!$G$6:$G$805,B288))</f>
        <v/>
      </c>
      <c r="O288" s="24">
        <f>IF(C288="","",ROUND(L288-N288,2))</f>
        <v/>
      </c>
      <c r="P288" s="11">
        <f>IF(OR(U288="",N(O288)&lt;=0),"",IF(I288="Week",J288+7*U288,IF(I288="2 weeks",J288+14*U288,EDATE(J288,U288))))</f>
        <v/>
      </c>
      <c r="Q288" s="23">
        <f>IF(P288="","",IF(U288=N(H288)-1,O288,ROUND(M288*(U288+1)-N288,2)))</f>
        <v/>
      </c>
      <c r="R288" s="25">
        <f>IF(C288="","",IF(O288&lt;=0,"Paid off",IF(OR(M288="",NOT(ISNUMBER(J288))),"Open",IF(W288&gt;0,"Overdue",IF(AND(ISNUMBER(P288),P288-TODAY()&lt;=Settings!$C$6),"Due soon","On track")))))</f>
        <v/>
      </c>
      <c r="S288" s="1">
        <f>IF(C288="","",B288&amp;" "&amp;C288)</f>
        <v/>
      </c>
      <c r="T288">
        <f>IF(OR(M288="",NOT(ISNUMBER(J288))),"",MIN(N(H288),IF(I288="Week",IF((TODAY()-1)&lt;J288,0,INT(((TODAY()-1)-J288)/7)+1),IF(I288="2 weeks",IF((TODAY()-1)&lt;J288,0,INT(((TODAY()-1)-J288)/14)+1),IF(((YEAR((TODAY()-1))-YEAR(J288))*12+MONTH((TODAY()-1))-MONTH(J288))&lt;0,0,IF(EDATE(J288,((YEAR((TODAY()-1))-YEAR(J288))*12+MONTH((TODAY()-1))-MONTH(J288)))&lt;=(TODAY()-1),((YEAR((TODAY()-1))-YEAR(J288))*12+MONTH((TODAY()-1))-MONTH(J288))+1,((YEAR((TODAY()-1))-YEAR(J288))*12+MONTH((TODAY()-1))-MONTH(J288))))))))</f>
        <v/>
      </c>
      <c r="U288">
        <f>IF(OR(M288="",NOT(ISNUMBER(J288))),"",IF(N(M288)&lt;=0,"",MIN(N(H288)-1,INT(ROUND(N288/M288,6)))))</f>
        <v/>
      </c>
      <c r="V288">
        <f>IF(T288="","",IF(T288&gt;=N(H288),L288,M288*T288))</f>
        <v/>
      </c>
      <c r="W288">
        <f>IF(V288="",0,MAX(0,ROUND(V288-N288,2)))</f>
        <v/>
      </c>
      <c r="X288">
        <f>IF(OR(R288="",R288="Paid off",NOT(ISNUMBER(P288))),"",P288*1000+ROW())</f>
        <v/>
      </c>
      <c r="Y288">
        <f>IF(C288="","",IF(AND(COUNTIF(C$6:C288,C288)=1,SUMIFS(Loans!$O$6:$O$305,Loans!$C$6:$C$305,C288,Loans!$O$6:$O$305,"&gt;0")&gt;0),ROW(),""))</f>
        <v/>
      </c>
      <c r="Z288">
        <f>IF(OR(C288="",P288=""),"",IF(D288="I borrowed","From you","To you"))</f>
        <v/>
      </c>
    </row>
    <row r="289">
      <c r="A289" s="1" t="n"/>
      <c r="B289" s="15" t="n">
        <v>284</v>
      </c>
      <c r="C289" s="16" t="n"/>
      <c r="D289" s="17" t="n"/>
      <c r="E289" s="18" t="n"/>
      <c r="F289" s="19" t="n"/>
      <c r="G289" s="20" t="n"/>
      <c r="H289" s="21" t="n"/>
      <c r="I289" s="17" t="n"/>
      <c r="J289" s="18" t="n"/>
      <c r="K289" s="22" t="n"/>
      <c r="L289" s="23">
        <f>IF(C289="","",ROUND(N(F289)*(1+N(G289)/100*IF(N(H289)&gt;0,N(H289)*IF(I289="Week",7/365,IF(I289="2 weeks",14/365,1/12)),IF(ISNUMBER(E289),MAX(0,TODAY()-E289)/365,0))),2))</f>
        <v/>
      </c>
      <c r="M289" s="23">
        <f>IF(OR(C289="",N(H289)&lt;=0),"",ROUND(L289/N(H289),2))</f>
        <v/>
      </c>
      <c r="N289" s="23">
        <f>IF(C289="","",SUMIFS(Payments!$D$6:$D$805,Payments!$G$6:$G$805,B289))</f>
        <v/>
      </c>
      <c r="O289" s="24">
        <f>IF(C289="","",ROUND(L289-N289,2))</f>
        <v/>
      </c>
      <c r="P289" s="11">
        <f>IF(OR(U289="",N(O289)&lt;=0),"",IF(I289="Week",J289+7*U289,IF(I289="2 weeks",J289+14*U289,EDATE(J289,U289))))</f>
        <v/>
      </c>
      <c r="Q289" s="23">
        <f>IF(P289="","",IF(U289=N(H289)-1,O289,ROUND(M289*(U289+1)-N289,2)))</f>
        <v/>
      </c>
      <c r="R289" s="25">
        <f>IF(C289="","",IF(O289&lt;=0,"Paid off",IF(OR(M289="",NOT(ISNUMBER(J289))),"Open",IF(W289&gt;0,"Overdue",IF(AND(ISNUMBER(P289),P289-TODAY()&lt;=Settings!$C$6),"Due soon","On track")))))</f>
        <v/>
      </c>
      <c r="S289" s="1">
        <f>IF(C289="","",B289&amp;" "&amp;C289)</f>
        <v/>
      </c>
      <c r="T289">
        <f>IF(OR(M289="",NOT(ISNUMBER(J289))),"",MIN(N(H289),IF(I289="Week",IF((TODAY()-1)&lt;J289,0,INT(((TODAY()-1)-J289)/7)+1),IF(I289="2 weeks",IF((TODAY()-1)&lt;J289,0,INT(((TODAY()-1)-J289)/14)+1),IF(((YEAR((TODAY()-1))-YEAR(J289))*12+MONTH((TODAY()-1))-MONTH(J289))&lt;0,0,IF(EDATE(J289,((YEAR((TODAY()-1))-YEAR(J289))*12+MONTH((TODAY()-1))-MONTH(J289)))&lt;=(TODAY()-1),((YEAR((TODAY()-1))-YEAR(J289))*12+MONTH((TODAY()-1))-MONTH(J289))+1,((YEAR((TODAY()-1))-YEAR(J289))*12+MONTH((TODAY()-1))-MONTH(J289))))))))</f>
        <v/>
      </c>
      <c r="U289">
        <f>IF(OR(M289="",NOT(ISNUMBER(J289))),"",IF(N(M289)&lt;=0,"",MIN(N(H289)-1,INT(ROUND(N289/M289,6)))))</f>
        <v/>
      </c>
      <c r="V289">
        <f>IF(T289="","",IF(T289&gt;=N(H289),L289,M289*T289))</f>
        <v/>
      </c>
      <c r="W289">
        <f>IF(V289="",0,MAX(0,ROUND(V289-N289,2)))</f>
        <v/>
      </c>
      <c r="X289">
        <f>IF(OR(R289="",R289="Paid off",NOT(ISNUMBER(P289))),"",P289*1000+ROW())</f>
        <v/>
      </c>
      <c r="Y289">
        <f>IF(C289="","",IF(AND(COUNTIF(C$6:C289,C289)=1,SUMIFS(Loans!$O$6:$O$305,Loans!$C$6:$C$305,C289,Loans!$O$6:$O$305,"&gt;0")&gt;0),ROW(),""))</f>
        <v/>
      </c>
      <c r="Z289">
        <f>IF(OR(C289="",P289=""),"",IF(D289="I borrowed","From you","To you"))</f>
        <v/>
      </c>
    </row>
    <row r="290">
      <c r="A290" s="1" t="n"/>
      <c r="B290" s="15" t="n">
        <v>285</v>
      </c>
      <c r="C290" s="16" t="n"/>
      <c r="D290" s="17" t="n"/>
      <c r="E290" s="18" t="n"/>
      <c r="F290" s="19" t="n"/>
      <c r="G290" s="20" t="n"/>
      <c r="H290" s="21" t="n"/>
      <c r="I290" s="17" t="n"/>
      <c r="J290" s="18" t="n"/>
      <c r="K290" s="22" t="n"/>
      <c r="L290" s="23">
        <f>IF(C290="","",ROUND(N(F290)*(1+N(G290)/100*IF(N(H290)&gt;0,N(H290)*IF(I290="Week",7/365,IF(I290="2 weeks",14/365,1/12)),IF(ISNUMBER(E290),MAX(0,TODAY()-E290)/365,0))),2))</f>
        <v/>
      </c>
      <c r="M290" s="23">
        <f>IF(OR(C290="",N(H290)&lt;=0),"",ROUND(L290/N(H290),2))</f>
        <v/>
      </c>
      <c r="N290" s="23">
        <f>IF(C290="","",SUMIFS(Payments!$D$6:$D$805,Payments!$G$6:$G$805,B290))</f>
        <v/>
      </c>
      <c r="O290" s="24">
        <f>IF(C290="","",ROUND(L290-N290,2))</f>
        <v/>
      </c>
      <c r="P290" s="11">
        <f>IF(OR(U290="",N(O290)&lt;=0),"",IF(I290="Week",J290+7*U290,IF(I290="2 weeks",J290+14*U290,EDATE(J290,U290))))</f>
        <v/>
      </c>
      <c r="Q290" s="23">
        <f>IF(P290="","",IF(U290=N(H290)-1,O290,ROUND(M290*(U290+1)-N290,2)))</f>
        <v/>
      </c>
      <c r="R290" s="25">
        <f>IF(C290="","",IF(O290&lt;=0,"Paid off",IF(OR(M290="",NOT(ISNUMBER(J290))),"Open",IF(W290&gt;0,"Overdue",IF(AND(ISNUMBER(P290),P290-TODAY()&lt;=Settings!$C$6),"Due soon","On track")))))</f>
        <v/>
      </c>
      <c r="S290" s="1">
        <f>IF(C290="","",B290&amp;" "&amp;C290)</f>
        <v/>
      </c>
      <c r="T290">
        <f>IF(OR(M290="",NOT(ISNUMBER(J290))),"",MIN(N(H290),IF(I290="Week",IF((TODAY()-1)&lt;J290,0,INT(((TODAY()-1)-J290)/7)+1),IF(I290="2 weeks",IF((TODAY()-1)&lt;J290,0,INT(((TODAY()-1)-J290)/14)+1),IF(((YEAR((TODAY()-1))-YEAR(J290))*12+MONTH((TODAY()-1))-MONTH(J290))&lt;0,0,IF(EDATE(J290,((YEAR((TODAY()-1))-YEAR(J290))*12+MONTH((TODAY()-1))-MONTH(J290)))&lt;=(TODAY()-1),((YEAR((TODAY()-1))-YEAR(J290))*12+MONTH((TODAY()-1))-MONTH(J290))+1,((YEAR((TODAY()-1))-YEAR(J290))*12+MONTH((TODAY()-1))-MONTH(J290))))))))</f>
        <v/>
      </c>
      <c r="U290">
        <f>IF(OR(M290="",NOT(ISNUMBER(J290))),"",IF(N(M290)&lt;=0,"",MIN(N(H290)-1,INT(ROUND(N290/M290,6)))))</f>
        <v/>
      </c>
      <c r="V290">
        <f>IF(T290="","",IF(T290&gt;=N(H290),L290,M290*T290))</f>
        <v/>
      </c>
      <c r="W290">
        <f>IF(V290="",0,MAX(0,ROUND(V290-N290,2)))</f>
        <v/>
      </c>
      <c r="X290">
        <f>IF(OR(R290="",R290="Paid off",NOT(ISNUMBER(P290))),"",P290*1000+ROW())</f>
        <v/>
      </c>
      <c r="Y290">
        <f>IF(C290="","",IF(AND(COUNTIF(C$6:C290,C290)=1,SUMIFS(Loans!$O$6:$O$305,Loans!$C$6:$C$305,C290,Loans!$O$6:$O$305,"&gt;0")&gt;0),ROW(),""))</f>
        <v/>
      </c>
      <c r="Z290">
        <f>IF(OR(C290="",P290=""),"",IF(D290="I borrowed","From you","To you"))</f>
        <v/>
      </c>
    </row>
    <row r="291">
      <c r="A291" s="1" t="n"/>
      <c r="B291" s="15" t="n">
        <v>286</v>
      </c>
      <c r="C291" s="16" t="n"/>
      <c r="D291" s="17" t="n"/>
      <c r="E291" s="18" t="n"/>
      <c r="F291" s="19" t="n"/>
      <c r="G291" s="20" t="n"/>
      <c r="H291" s="21" t="n"/>
      <c r="I291" s="17" t="n"/>
      <c r="J291" s="18" t="n"/>
      <c r="K291" s="22" t="n"/>
      <c r="L291" s="23">
        <f>IF(C291="","",ROUND(N(F291)*(1+N(G291)/100*IF(N(H291)&gt;0,N(H291)*IF(I291="Week",7/365,IF(I291="2 weeks",14/365,1/12)),IF(ISNUMBER(E291),MAX(0,TODAY()-E291)/365,0))),2))</f>
        <v/>
      </c>
      <c r="M291" s="23">
        <f>IF(OR(C291="",N(H291)&lt;=0),"",ROUND(L291/N(H291),2))</f>
        <v/>
      </c>
      <c r="N291" s="23">
        <f>IF(C291="","",SUMIFS(Payments!$D$6:$D$805,Payments!$G$6:$G$805,B291))</f>
        <v/>
      </c>
      <c r="O291" s="24">
        <f>IF(C291="","",ROUND(L291-N291,2))</f>
        <v/>
      </c>
      <c r="P291" s="11">
        <f>IF(OR(U291="",N(O291)&lt;=0),"",IF(I291="Week",J291+7*U291,IF(I291="2 weeks",J291+14*U291,EDATE(J291,U291))))</f>
        <v/>
      </c>
      <c r="Q291" s="23">
        <f>IF(P291="","",IF(U291=N(H291)-1,O291,ROUND(M291*(U291+1)-N291,2)))</f>
        <v/>
      </c>
      <c r="R291" s="25">
        <f>IF(C291="","",IF(O291&lt;=0,"Paid off",IF(OR(M291="",NOT(ISNUMBER(J291))),"Open",IF(W291&gt;0,"Overdue",IF(AND(ISNUMBER(P291),P291-TODAY()&lt;=Settings!$C$6),"Due soon","On track")))))</f>
        <v/>
      </c>
      <c r="S291" s="1">
        <f>IF(C291="","",B291&amp;" "&amp;C291)</f>
        <v/>
      </c>
      <c r="T291">
        <f>IF(OR(M291="",NOT(ISNUMBER(J291))),"",MIN(N(H291),IF(I291="Week",IF((TODAY()-1)&lt;J291,0,INT(((TODAY()-1)-J291)/7)+1),IF(I291="2 weeks",IF((TODAY()-1)&lt;J291,0,INT(((TODAY()-1)-J291)/14)+1),IF(((YEAR((TODAY()-1))-YEAR(J291))*12+MONTH((TODAY()-1))-MONTH(J291))&lt;0,0,IF(EDATE(J291,((YEAR((TODAY()-1))-YEAR(J291))*12+MONTH((TODAY()-1))-MONTH(J291)))&lt;=(TODAY()-1),((YEAR((TODAY()-1))-YEAR(J291))*12+MONTH((TODAY()-1))-MONTH(J291))+1,((YEAR((TODAY()-1))-YEAR(J291))*12+MONTH((TODAY()-1))-MONTH(J291))))))))</f>
        <v/>
      </c>
      <c r="U291">
        <f>IF(OR(M291="",NOT(ISNUMBER(J291))),"",IF(N(M291)&lt;=0,"",MIN(N(H291)-1,INT(ROUND(N291/M291,6)))))</f>
        <v/>
      </c>
      <c r="V291">
        <f>IF(T291="","",IF(T291&gt;=N(H291),L291,M291*T291))</f>
        <v/>
      </c>
      <c r="W291">
        <f>IF(V291="",0,MAX(0,ROUND(V291-N291,2)))</f>
        <v/>
      </c>
      <c r="X291">
        <f>IF(OR(R291="",R291="Paid off",NOT(ISNUMBER(P291))),"",P291*1000+ROW())</f>
        <v/>
      </c>
      <c r="Y291">
        <f>IF(C291="","",IF(AND(COUNTIF(C$6:C291,C291)=1,SUMIFS(Loans!$O$6:$O$305,Loans!$C$6:$C$305,C291,Loans!$O$6:$O$305,"&gt;0")&gt;0),ROW(),""))</f>
        <v/>
      </c>
      <c r="Z291">
        <f>IF(OR(C291="",P291=""),"",IF(D291="I borrowed","From you","To you"))</f>
        <v/>
      </c>
    </row>
    <row r="292">
      <c r="A292" s="1" t="n"/>
      <c r="B292" s="15" t="n">
        <v>287</v>
      </c>
      <c r="C292" s="16" t="n"/>
      <c r="D292" s="17" t="n"/>
      <c r="E292" s="18" t="n"/>
      <c r="F292" s="19" t="n"/>
      <c r="G292" s="20" t="n"/>
      <c r="H292" s="21" t="n"/>
      <c r="I292" s="17" t="n"/>
      <c r="J292" s="18" t="n"/>
      <c r="K292" s="22" t="n"/>
      <c r="L292" s="23">
        <f>IF(C292="","",ROUND(N(F292)*(1+N(G292)/100*IF(N(H292)&gt;0,N(H292)*IF(I292="Week",7/365,IF(I292="2 weeks",14/365,1/12)),IF(ISNUMBER(E292),MAX(0,TODAY()-E292)/365,0))),2))</f>
        <v/>
      </c>
      <c r="M292" s="23">
        <f>IF(OR(C292="",N(H292)&lt;=0),"",ROUND(L292/N(H292),2))</f>
        <v/>
      </c>
      <c r="N292" s="23">
        <f>IF(C292="","",SUMIFS(Payments!$D$6:$D$805,Payments!$G$6:$G$805,B292))</f>
        <v/>
      </c>
      <c r="O292" s="24">
        <f>IF(C292="","",ROUND(L292-N292,2))</f>
        <v/>
      </c>
      <c r="P292" s="11">
        <f>IF(OR(U292="",N(O292)&lt;=0),"",IF(I292="Week",J292+7*U292,IF(I292="2 weeks",J292+14*U292,EDATE(J292,U292))))</f>
        <v/>
      </c>
      <c r="Q292" s="23">
        <f>IF(P292="","",IF(U292=N(H292)-1,O292,ROUND(M292*(U292+1)-N292,2)))</f>
        <v/>
      </c>
      <c r="R292" s="25">
        <f>IF(C292="","",IF(O292&lt;=0,"Paid off",IF(OR(M292="",NOT(ISNUMBER(J292))),"Open",IF(W292&gt;0,"Overdue",IF(AND(ISNUMBER(P292),P292-TODAY()&lt;=Settings!$C$6),"Due soon","On track")))))</f>
        <v/>
      </c>
      <c r="S292" s="1">
        <f>IF(C292="","",B292&amp;" "&amp;C292)</f>
        <v/>
      </c>
      <c r="T292">
        <f>IF(OR(M292="",NOT(ISNUMBER(J292))),"",MIN(N(H292),IF(I292="Week",IF((TODAY()-1)&lt;J292,0,INT(((TODAY()-1)-J292)/7)+1),IF(I292="2 weeks",IF((TODAY()-1)&lt;J292,0,INT(((TODAY()-1)-J292)/14)+1),IF(((YEAR((TODAY()-1))-YEAR(J292))*12+MONTH((TODAY()-1))-MONTH(J292))&lt;0,0,IF(EDATE(J292,((YEAR((TODAY()-1))-YEAR(J292))*12+MONTH((TODAY()-1))-MONTH(J292)))&lt;=(TODAY()-1),((YEAR((TODAY()-1))-YEAR(J292))*12+MONTH((TODAY()-1))-MONTH(J292))+1,((YEAR((TODAY()-1))-YEAR(J292))*12+MONTH((TODAY()-1))-MONTH(J292))))))))</f>
        <v/>
      </c>
      <c r="U292">
        <f>IF(OR(M292="",NOT(ISNUMBER(J292))),"",IF(N(M292)&lt;=0,"",MIN(N(H292)-1,INT(ROUND(N292/M292,6)))))</f>
        <v/>
      </c>
      <c r="V292">
        <f>IF(T292="","",IF(T292&gt;=N(H292),L292,M292*T292))</f>
        <v/>
      </c>
      <c r="W292">
        <f>IF(V292="",0,MAX(0,ROUND(V292-N292,2)))</f>
        <v/>
      </c>
      <c r="X292">
        <f>IF(OR(R292="",R292="Paid off",NOT(ISNUMBER(P292))),"",P292*1000+ROW())</f>
        <v/>
      </c>
      <c r="Y292">
        <f>IF(C292="","",IF(AND(COUNTIF(C$6:C292,C292)=1,SUMIFS(Loans!$O$6:$O$305,Loans!$C$6:$C$305,C292,Loans!$O$6:$O$305,"&gt;0")&gt;0),ROW(),""))</f>
        <v/>
      </c>
      <c r="Z292">
        <f>IF(OR(C292="",P292=""),"",IF(D292="I borrowed","From you","To you"))</f>
        <v/>
      </c>
    </row>
    <row r="293">
      <c r="A293" s="1" t="n"/>
      <c r="B293" s="15" t="n">
        <v>288</v>
      </c>
      <c r="C293" s="16" t="n"/>
      <c r="D293" s="17" t="n"/>
      <c r="E293" s="18" t="n"/>
      <c r="F293" s="19" t="n"/>
      <c r="G293" s="20" t="n"/>
      <c r="H293" s="21" t="n"/>
      <c r="I293" s="17" t="n"/>
      <c r="J293" s="18" t="n"/>
      <c r="K293" s="22" t="n"/>
      <c r="L293" s="23">
        <f>IF(C293="","",ROUND(N(F293)*(1+N(G293)/100*IF(N(H293)&gt;0,N(H293)*IF(I293="Week",7/365,IF(I293="2 weeks",14/365,1/12)),IF(ISNUMBER(E293),MAX(0,TODAY()-E293)/365,0))),2))</f>
        <v/>
      </c>
      <c r="M293" s="23">
        <f>IF(OR(C293="",N(H293)&lt;=0),"",ROUND(L293/N(H293),2))</f>
        <v/>
      </c>
      <c r="N293" s="23">
        <f>IF(C293="","",SUMIFS(Payments!$D$6:$D$805,Payments!$G$6:$G$805,B293))</f>
        <v/>
      </c>
      <c r="O293" s="24">
        <f>IF(C293="","",ROUND(L293-N293,2))</f>
        <v/>
      </c>
      <c r="P293" s="11">
        <f>IF(OR(U293="",N(O293)&lt;=0),"",IF(I293="Week",J293+7*U293,IF(I293="2 weeks",J293+14*U293,EDATE(J293,U293))))</f>
        <v/>
      </c>
      <c r="Q293" s="23">
        <f>IF(P293="","",IF(U293=N(H293)-1,O293,ROUND(M293*(U293+1)-N293,2)))</f>
        <v/>
      </c>
      <c r="R293" s="25">
        <f>IF(C293="","",IF(O293&lt;=0,"Paid off",IF(OR(M293="",NOT(ISNUMBER(J293))),"Open",IF(W293&gt;0,"Overdue",IF(AND(ISNUMBER(P293),P293-TODAY()&lt;=Settings!$C$6),"Due soon","On track")))))</f>
        <v/>
      </c>
      <c r="S293" s="1">
        <f>IF(C293="","",B293&amp;" "&amp;C293)</f>
        <v/>
      </c>
      <c r="T293">
        <f>IF(OR(M293="",NOT(ISNUMBER(J293))),"",MIN(N(H293),IF(I293="Week",IF((TODAY()-1)&lt;J293,0,INT(((TODAY()-1)-J293)/7)+1),IF(I293="2 weeks",IF((TODAY()-1)&lt;J293,0,INT(((TODAY()-1)-J293)/14)+1),IF(((YEAR((TODAY()-1))-YEAR(J293))*12+MONTH((TODAY()-1))-MONTH(J293))&lt;0,0,IF(EDATE(J293,((YEAR((TODAY()-1))-YEAR(J293))*12+MONTH((TODAY()-1))-MONTH(J293)))&lt;=(TODAY()-1),((YEAR((TODAY()-1))-YEAR(J293))*12+MONTH((TODAY()-1))-MONTH(J293))+1,((YEAR((TODAY()-1))-YEAR(J293))*12+MONTH((TODAY()-1))-MONTH(J293))))))))</f>
        <v/>
      </c>
      <c r="U293">
        <f>IF(OR(M293="",NOT(ISNUMBER(J293))),"",IF(N(M293)&lt;=0,"",MIN(N(H293)-1,INT(ROUND(N293/M293,6)))))</f>
        <v/>
      </c>
      <c r="V293">
        <f>IF(T293="","",IF(T293&gt;=N(H293),L293,M293*T293))</f>
        <v/>
      </c>
      <c r="W293">
        <f>IF(V293="",0,MAX(0,ROUND(V293-N293,2)))</f>
        <v/>
      </c>
      <c r="X293">
        <f>IF(OR(R293="",R293="Paid off",NOT(ISNUMBER(P293))),"",P293*1000+ROW())</f>
        <v/>
      </c>
      <c r="Y293">
        <f>IF(C293="","",IF(AND(COUNTIF(C$6:C293,C293)=1,SUMIFS(Loans!$O$6:$O$305,Loans!$C$6:$C$305,C293,Loans!$O$6:$O$305,"&gt;0")&gt;0),ROW(),""))</f>
        <v/>
      </c>
      <c r="Z293">
        <f>IF(OR(C293="",P293=""),"",IF(D293="I borrowed","From you","To you"))</f>
        <v/>
      </c>
    </row>
    <row r="294">
      <c r="A294" s="1" t="n"/>
      <c r="B294" s="15" t="n">
        <v>289</v>
      </c>
      <c r="C294" s="16" t="n"/>
      <c r="D294" s="17" t="n"/>
      <c r="E294" s="18" t="n"/>
      <c r="F294" s="19" t="n"/>
      <c r="G294" s="20" t="n"/>
      <c r="H294" s="21" t="n"/>
      <c r="I294" s="17" t="n"/>
      <c r="J294" s="18" t="n"/>
      <c r="K294" s="22" t="n"/>
      <c r="L294" s="23">
        <f>IF(C294="","",ROUND(N(F294)*(1+N(G294)/100*IF(N(H294)&gt;0,N(H294)*IF(I294="Week",7/365,IF(I294="2 weeks",14/365,1/12)),IF(ISNUMBER(E294),MAX(0,TODAY()-E294)/365,0))),2))</f>
        <v/>
      </c>
      <c r="M294" s="23">
        <f>IF(OR(C294="",N(H294)&lt;=0),"",ROUND(L294/N(H294),2))</f>
        <v/>
      </c>
      <c r="N294" s="23">
        <f>IF(C294="","",SUMIFS(Payments!$D$6:$D$805,Payments!$G$6:$G$805,B294))</f>
        <v/>
      </c>
      <c r="O294" s="24">
        <f>IF(C294="","",ROUND(L294-N294,2))</f>
        <v/>
      </c>
      <c r="P294" s="11">
        <f>IF(OR(U294="",N(O294)&lt;=0),"",IF(I294="Week",J294+7*U294,IF(I294="2 weeks",J294+14*U294,EDATE(J294,U294))))</f>
        <v/>
      </c>
      <c r="Q294" s="23">
        <f>IF(P294="","",IF(U294=N(H294)-1,O294,ROUND(M294*(U294+1)-N294,2)))</f>
        <v/>
      </c>
      <c r="R294" s="25">
        <f>IF(C294="","",IF(O294&lt;=0,"Paid off",IF(OR(M294="",NOT(ISNUMBER(J294))),"Open",IF(W294&gt;0,"Overdue",IF(AND(ISNUMBER(P294),P294-TODAY()&lt;=Settings!$C$6),"Due soon","On track")))))</f>
        <v/>
      </c>
      <c r="S294" s="1">
        <f>IF(C294="","",B294&amp;" "&amp;C294)</f>
        <v/>
      </c>
      <c r="T294">
        <f>IF(OR(M294="",NOT(ISNUMBER(J294))),"",MIN(N(H294),IF(I294="Week",IF((TODAY()-1)&lt;J294,0,INT(((TODAY()-1)-J294)/7)+1),IF(I294="2 weeks",IF((TODAY()-1)&lt;J294,0,INT(((TODAY()-1)-J294)/14)+1),IF(((YEAR((TODAY()-1))-YEAR(J294))*12+MONTH((TODAY()-1))-MONTH(J294))&lt;0,0,IF(EDATE(J294,((YEAR((TODAY()-1))-YEAR(J294))*12+MONTH((TODAY()-1))-MONTH(J294)))&lt;=(TODAY()-1),((YEAR((TODAY()-1))-YEAR(J294))*12+MONTH((TODAY()-1))-MONTH(J294))+1,((YEAR((TODAY()-1))-YEAR(J294))*12+MONTH((TODAY()-1))-MONTH(J294))))))))</f>
        <v/>
      </c>
      <c r="U294">
        <f>IF(OR(M294="",NOT(ISNUMBER(J294))),"",IF(N(M294)&lt;=0,"",MIN(N(H294)-1,INT(ROUND(N294/M294,6)))))</f>
        <v/>
      </c>
      <c r="V294">
        <f>IF(T294="","",IF(T294&gt;=N(H294),L294,M294*T294))</f>
        <v/>
      </c>
      <c r="W294">
        <f>IF(V294="",0,MAX(0,ROUND(V294-N294,2)))</f>
        <v/>
      </c>
      <c r="X294">
        <f>IF(OR(R294="",R294="Paid off",NOT(ISNUMBER(P294))),"",P294*1000+ROW())</f>
        <v/>
      </c>
      <c r="Y294">
        <f>IF(C294="","",IF(AND(COUNTIF(C$6:C294,C294)=1,SUMIFS(Loans!$O$6:$O$305,Loans!$C$6:$C$305,C294,Loans!$O$6:$O$305,"&gt;0")&gt;0),ROW(),""))</f>
        <v/>
      </c>
      <c r="Z294">
        <f>IF(OR(C294="",P294=""),"",IF(D294="I borrowed","From you","To you"))</f>
        <v/>
      </c>
    </row>
    <row r="295">
      <c r="A295" s="1" t="n"/>
      <c r="B295" s="15" t="n">
        <v>290</v>
      </c>
      <c r="C295" s="16" t="n"/>
      <c r="D295" s="17" t="n"/>
      <c r="E295" s="18" t="n"/>
      <c r="F295" s="19" t="n"/>
      <c r="G295" s="20" t="n"/>
      <c r="H295" s="21" t="n"/>
      <c r="I295" s="17" t="n"/>
      <c r="J295" s="18" t="n"/>
      <c r="K295" s="22" t="n"/>
      <c r="L295" s="23">
        <f>IF(C295="","",ROUND(N(F295)*(1+N(G295)/100*IF(N(H295)&gt;0,N(H295)*IF(I295="Week",7/365,IF(I295="2 weeks",14/365,1/12)),IF(ISNUMBER(E295),MAX(0,TODAY()-E295)/365,0))),2))</f>
        <v/>
      </c>
      <c r="M295" s="23">
        <f>IF(OR(C295="",N(H295)&lt;=0),"",ROUND(L295/N(H295),2))</f>
        <v/>
      </c>
      <c r="N295" s="23">
        <f>IF(C295="","",SUMIFS(Payments!$D$6:$D$805,Payments!$G$6:$G$805,B295))</f>
        <v/>
      </c>
      <c r="O295" s="24">
        <f>IF(C295="","",ROUND(L295-N295,2))</f>
        <v/>
      </c>
      <c r="P295" s="11">
        <f>IF(OR(U295="",N(O295)&lt;=0),"",IF(I295="Week",J295+7*U295,IF(I295="2 weeks",J295+14*U295,EDATE(J295,U295))))</f>
        <v/>
      </c>
      <c r="Q295" s="23">
        <f>IF(P295="","",IF(U295=N(H295)-1,O295,ROUND(M295*(U295+1)-N295,2)))</f>
        <v/>
      </c>
      <c r="R295" s="25">
        <f>IF(C295="","",IF(O295&lt;=0,"Paid off",IF(OR(M295="",NOT(ISNUMBER(J295))),"Open",IF(W295&gt;0,"Overdue",IF(AND(ISNUMBER(P295),P295-TODAY()&lt;=Settings!$C$6),"Due soon","On track")))))</f>
        <v/>
      </c>
      <c r="S295" s="1">
        <f>IF(C295="","",B295&amp;" "&amp;C295)</f>
        <v/>
      </c>
      <c r="T295">
        <f>IF(OR(M295="",NOT(ISNUMBER(J295))),"",MIN(N(H295),IF(I295="Week",IF((TODAY()-1)&lt;J295,0,INT(((TODAY()-1)-J295)/7)+1),IF(I295="2 weeks",IF((TODAY()-1)&lt;J295,0,INT(((TODAY()-1)-J295)/14)+1),IF(((YEAR((TODAY()-1))-YEAR(J295))*12+MONTH((TODAY()-1))-MONTH(J295))&lt;0,0,IF(EDATE(J295,((YEAR((TODAY()-1))-YEAR(J295))*12+MONTH((TODAY()-1))-MONTH(J295)))&lt;=(TODAY()-1),((YEAR((TODAY()-1))-YEAR(J295))*12+MONTH((TODAY()-1))-MONTH(J295))+1,((YEAR((TODAY()-1))-YEAR(J295))*12+MONTH((TODAY()-1))-MONTH(J295))))))))</f>
        <v/>
      </c>
      <c r="U295">
        <f>IF(OR(M295="",NOT(ISNUMBER(J295))),"",IF(N(M295)&lt;=0,"",MIN(N(H295)-1,INT(ROUND(N295/M295,6)))))</f>
        <v/>
      </c>
      <c r="V295">
        <f>IF(T295="","",IF(T295&gt;=N(H295),L295,M295*T295))</f>
        <v/>
      </c>
      <c r="W295">
        <f>IF(V295="",0,MAX(0,ROUND(V295-N295,2)))</f>
        <v/>
      </c>
      <c r="X295">
        <f>IF(OR(R295="",R295="Paid off",NOT(ISNUMBER(P295))),"",P295*1000+ROW())</f>
        <v/>
      </c>
      <c r="Y295">
        <f>IF(C295="","",IF(AND(COUNTIF(C$6:C295,C295)=1,SUMIFS(Loans!$O$6:$O$305,Loans!$C$6:$C$305,C295,Loans!$O$6:$O$305,"&gt;0")&gt;0),ROW(),""))</f>
        <v/>
      </c>
      <c r="Z295">
        <f>IF(OR(C295="",P295=""),"",IF(D295="I borrowed","From you","To you"))</f>
        <v/>
      </c>
    </row>
    <row r="296">
      <c r="A296" s="1" t="n"/>
      <c r="B296" s="15" t="n">
        <v>291</v>
      </c>
      <c r="C296" s="16" t="n"/>
      <c r="D296" s="17" t="n"/>
      <c r="E296" s="18" t="n"/>
      <c r="F296" s="19" t="n"/>
      <c r="G296" s="20" t="n"/>
      <c r="H296" s="21" t="n"/>
      <c r="I296" s="17" t="n"/>
      <c r="J296" s="18" t="n"/>
      <c r="K296" s="22" t="n"/>
      <c r="L296" s="23">
        <f>IF(C296="","",ROUND(N(F296)*(1+N(G296)/100*IF(N(H296)&gt;0,N(H296)*IF(I296="Week",7/365,IF(I296="2 weeks",14/365,1/12)),IF(ISNUMBER(E296),MAX(0,TODAY()-E296)/365,0))),2))</f>
        <v/>
      </c>
      <c r="M296" s="23">
        <f>IF(OR(C296="",N(H296)&lt;=0),"",ROUND(L296/N(H296),2))</f>
        <v/>
      </c>
      <c r="N296" s="23">
        <f>IF(C296="","",SUMIFS(Payments!$D$6:$D$805,Payments!$G$6:$G$805,B296))</f>
        <v/>
      </c>
      <c r="O296" s="24">
        <f>IF(C296="","",ROUND(L296-N296,2))</f>
        <v/>
      </c>
      <c r="P296" s="11">
        <f>IF(OR(U296="",N(O296)&lt;=0),"",IF(I296="Week",J296+7*U296,IF(I296="2 weeks",J296+14*U296,EDATE(J296,U296))))</f>
        <v/>
      </c>
      <c r="Q296" s="23">
        <f>IF(P296="","",IF(U296=N(H296)-1,O296,ROUND(M296*(U296+1)-N296,2)))</f>
        <v/>
      </c>
      <c r="R296" s="25">
        <f>IF(C296="","",IF(O296&lt;=0,"Paid off",IF(OR(M296="",NOT(ISNUMBER(J296))),"Open",IF(W296&gt;0,"Overdue",IF(AND(ISNUMBER(P296),P296-TODAY()&lt;=Settings!$C$6),"Due soon","On track")))))</f>
        <v/>
      </c>
      <c r="S296" s="1">
        <f>IF(C296="","",B296&amp;" "&amp;C296)</f>
        <v/>
      </c>
      <c r="T296">
        <f>IF(OR(M296="",NOT(ISNUMBER(J296))),"",MIN(N(H296),IF(I296="Week",IF((TODAY()-1)&lt;J296,0,INT(((TODAY()-1)-J296)/7)+1),IF(I296="2 weeks",IF((TODAY()-1)&lt;J296,0,INT(((TODAY()-1)-J296)/14)+1),IF(((YEAR((TODAY()-1))-YEAR(J296))*12+MONTH((TODAY()-1))-MONTH(J296))&lt;0,0,IF(EDATE(J296,((YEAR((TODAY()-1))-YEAR(J296))*12+MONTH((TODAY()-1))-MONTH(J296)))&lt;=(TODAY()-1),((YEAR((TODAY()-1))-YEAR(J296))*12+MONTH((TODAY()-1))-MONTH(J296))+1,((YEAR((TODAY()-1))-YEAR(J296))*12+MONTH((TODAY()-1))-MONTH(J296))))))))</f>
        <v/>
      </c>
      <c r="U296">
        <f>IF(OR(M296="",NOT(ISNUMBER(J296))),"",IF(N(M296)&lt;=0,"",MIN(N(H296)-1,INT(ROUND(N296/M296,6)))))</f>
        <v/>
      </c>
      <c r="V296">
        <f>IF(T296="","",IF(T296&gt;=N(H296),L296,M296*T296))</f>
        <v/>
      </c>
      <c r="W296">
        <f>IF(V296="",0,MAX(0,ROUND(V296-N296,2)))</f>
        <v/>
      </c>
      <c r="X296">
        <f>IF(OR(R296="",R296="Paid off",NOT(ISNUMBER(P296))),"",P296*1000+ROW())</f>
        <v/>
      </c>
      <c r="Y296">
        <f>IF(C296="","",IF(AND(COUNTIF(C$6:C296,C296)=1,SUMIFS(Loans!$O$6:$O$305,Loans!$C$6:$C$305,C296,Loans!$O$6:$O$305,"&gt;0")&gt;0),ROW(),""))</f>
        <v/>
      </c>
      <c r="Z296">
        <f>IF(OR(C296="",P296=""),"",IF(D296="I borrowed","From you","To you"))</f>
        <v/>
      </c>
    </row>
    <row r="297">
      <c r="A297" s="1" t="n"/>
      <c r="B297" s="15" t="n">
        <v>292</v>
      </c>
      <c r="C297" s="16" t="n"/>
      <c r="D297" s="17" t="n"/>
      <c r="E297" s="18" t="n"/>
      <c r="F297" s="19" t="n"/>
      <c r="G297" s="20" t="n"/>
      <c r="H297" s="21" t="n"/>
      <c r="I297" s="17" t="n"/>
      <c r="J297" s="18" t="n"/>
      <c r="K297" s="22" t="n"/>
      <c r="L297" s="23">
        <f>IF(C297="","",ROUND(N(F297)*(1+N(G297)/100*IF(N(H297)&gt;0,N(H297)*IF(I297="Week",7/365,IF(I297="2 weeks",14/365,1/12)),IF(ISNUMBER(E297),MAX(0,TODAY()-E297)/365,0))),2))</f>
        <v/>
      </c>
      <c r="M297" s="23">
        <f>IF(OR(C297="",N(H297)&lt;=0),"",ROUND(L297/N(H297),2))</f>
        <v/>
      </c>
      <c r="N297" s="23">
        <f>IF(C297="","",SUMIFS(Payments!$D$6:$D$805,Payments!$G$6:$G$805,B297))</f>
        <v/>
      </c>
      <c r="O297" s="24">
        <f>IF(C297="","",ROUND(L297-N297,2))</f>
        <v/>
      </c>
      <c r="P297" s="11">
        <f>IF(OR(U297="",N(O297)&lt;=0),"",IF(I297="Week",J297+7*U297,IF(I297="2 weeks",J297+14*U297,EDATE(J297,U297))))</f>
        <v/>
      </c>
      <c r="Q297" s="23">
        <f>IF(P297="","",IF(U297=N(H297)-1,O297,ROUND(M297*(U297+1)-N297,2)))</f>
        <v/>
      </c>
      <c r="R297" s="25">
        <f>IF(C297="","",IF(O297&lt;=0,"Paid off",IF(OR(M297="",NOT(ISNUMBER(J297))),"Open",IF(W297&gt;0,"Overdue",IF(AND(ISNUMBER(P297),P297-TODAY()&lt;=Settings!$C$6),"Due soon","On track")))))</f>
        <v/>
      </c>
      <c r="S297" s="1">
        <f>IF(C297="","",B297&amp;" "&amp;C297)</f>
        <v/>
      </c>
      <c r="T297">
        <f>IF(OR(M297="",NOT(ISNUMBER(J297))),"",MIN(N(H297),IF(I297="Week",IF((TODAY()-1)&lt;J297,0,INT(((TODAY()-1)-J297)/7)+1),IF(I297="2 weeks",IF((TODAY()-1)&lt;J297,0,INT(((TODAY()-1)-J297)/14)+1),IF(((YEAR((TODAY()-1))-YEAR(J297))*12+MONTH((TODAY()-1))-MONTH(J297))&lt;0,0,IF(EDATE(J297,((YEAR((TODAY()-1))-YEAR(J297))*12+MONTH((TODAY()-1))-MONTH(J297)))&lt;=(TODAY()-1),((YEAR((TODAY()-1))-YEAR(J297))*12+MONTH((TODAY()-1))-MONTH(J297))+1,((YEAR((TODAY()-1))-YEAR(J297))*12+MONTH((TODAY()-1))-MONTH(J297))))))))</f>
        <v/>
      </c>
      <c r="U297">
        <f>IF(OR(M297="",NOT(ISNUMBER(J297))),"",IF(N(M297)&lt;=0,"",MIN(N(H297)-1,INT(ROUND(N297/M297,6)))))</f>
        <v/>
      </c>
      <c r="V297">
        <f>IF(T297="","",IF(T297&gt;=N(H297),L297,M297*T297))</f>
        <v/>
      </c>
      <c r="W297">
        <f>IF(V297="",0,MAX(0,ROUND(V297-N297,2)))</f>
        <v/>
      </c>
      <c r="X297">
        <f>IF(OR(R297="",R297="Paid off",NOT(ISNUMBER(P297))),"",P297*1000+ROW())</f>
        <v/>
      </c>
      <c r="Y297">
        <f>IF(C297="","",IF(AND(COUNTIF(C$6:C297,C297)=1,SUMIFS(Loans!$O$6:$O$305,Loans!$C$6:$C$305,C297,Loans!$O$6:$O$305,"&gt;0")&gt;0),ROW(),""))</f>
        <v/>
      </c>
      <c r="Z297">
        <f>IF(OR(C297="",P297=""),"",IF(D297="I borrowed","From you","To you"))</f>
        <v/>
      </c>
    </row>
    <row r="298">
      <c r="A298" s="1" t="n"/>
      <c r="B298" s="15" t="n">
        <v>293</v>
      </c>
      <c r="C298" s="16" t="n"/>
      <c r="D298" s="17" t="n"/>
      <c r="E298" s="18" t="n"/>
      <c r="F298" s="19" t="n"/>
      <c r="G298" s="20" t="n"/>
      <c r="H298" s="21" t="n"/>
      <c r="I298" s="17" t="n"/>
      <c r="J298" s="18" t="n"/>
      <c r="K298" s="22" t="n"/>
      <c r="L298" s="23">
        <f>IF(C298="","",ROUND(N(F298)*(1+N(G298)/100*IF(N(H298)&gt;0,N(H298)*IF(I298="Week",7/365,IF(I298="2 weeks",14/365,1/12)),IF(ISNUMBER(E298),MAX(0,TODAY()-E298)/365,0))),2))</f>
        <v/>
      </c>
      <c r="M298" s="23">
        <f>IF(OR(C298="",N(H298)&lt;=0),"",ROUND(L298/N(H298),2))</f>
        <v/>
      </c>
      <c r="N298" s="23">
        <f>IF(C298="","",SUMIFS(Payments!$D$6:$D$805,Payments!$G$6:$G$805,B298))</f>
        <v/>
      </c>
      <c r="O298" s="24">
        <f>IF(C298="","",ROUND(L298-N298,2))</f>
        <v/>
      </c>
      <c r="P298" s="11">
        <f>IF(OR(U298="",N(O298)&lt;=0),"",IF(I298="Week",J298+7*U298,IF(I298="2 weeks",J298+14*U298,EDATE(J298,U298))))</f>
        <v/>
      </c>
      <c r="Q298" s="23">
        <f>IF(P298="","",IF(U298=N(H298)-1,O298,ROUND(M298*(U298+1)-N298,2)))</f>
        <v/>
      </c>
      <c r="R298" s="25">
        <f>IF(C298="","",IF(O298&lt;=0,"Paid off",IF(OR(M298="",NOT(ISNUMBER(J298))),"Open",IF(W298&gt;0,"Overdue",IF(AND(ISNUMBER(P298),P298-TODAY()&lt;=Settings!$C$6),"Due soon","On track")))))</f>
        <v/>
      </c>
      <c r="S298" s="1">
        <f>IF(C298="","",B298&amp;" "&amp;C298)</f>
        <v/>
      </c>
      <c r="T298">
        <f>IF(OR(M298="",NOT(ISNUMBER(J298))),"",MIN(N(H298),IF(I298="Week",IF((TODAY()-1)&lt;J298,0,INT(((TODAY()-1)-J298)/7)+1),IF(I298="2 weeks",IF((TODAY()-1)&lt;J298,0,INT(((TODAY()-1)-J298)/14)+1),IF(((YEAR((TODAY()-1))-YEAR(J298))*12+MONTH((TODAY()-1))-MONTH(J298))&lt;0,0,IF(EDATE(J298,((YEAR((TODAY()-1))-YEAR(J298))*12+MONTH((TODAY()-1))-MONTH(J298)))&lt;=(TODAY()-1),((YEAR((TODAY()-1))-YEAR(J298))*12+MONTH((TODAY()-1))-MONTH(J298))+1,((YEAR((TODAY()-1))-YEAR(J298))*12+MONTH((TODAY()-1))-MONTH(J298))))))))</f>
        <v/>
      </c>
      <c r="U298">
        <f>IF(OR(M298="",NOT(ISNUMBER(J298))),"",IF(N(M298)&lt;=0,"",MIN(N(H298)-1,INT(ROUND(N298/M298,6)))))</f>
        <v/>
      </c>
      <c r="V298">
        <f>IF(T298="","",IF(T298&gt;=N(H298),L298,M298*T298))</f>
        <v/>
      </c>
      <c r="W298">
        <f>IF(V298="",0,MAX(0,ROUND(V298-N298,2)))</f>
        <v/>
      </c>
      <c r="X298">
        <f>IF(OR(R298="",R298="Paid off",NOT(ISNUMBER(P298))),"",P298*1000+ROW())</f>
        <v/>
      </c>
      <c r="Y298">
        <f>IF(C298="","",IF(AND(COUNTIF(C$6:C298,C298)=1,SUMIFS(Loans!$O$6:$O$305,Loans!$C$6:$C$305,C298,Loans!$O$6:$O$305,"&gt;0")&gt;0),ROW(),""))</f>
        <v/>
      </c>
      <c r="Z298">
        <f>IF(OR(C298="",P298=""),"",IF(D298="I borrowed","From you","To you"))</f>
        <v/>
      </c>
    </row>
    <row r="299">
      <c r="A299" s="1" t="n"/>
      <c r="B299" s="15" t="n">
        <v>294</v>
      </c>
      <c r="C299" s="16" t="n"/>
      <c r="D299" s="17" t="n"/>
      <c r="E299" s="18" t="n"/>
      <c r="F299" s="19" t="n"/>
      <c r="G299" s="20" t="n"/>
      <c r="H299" s="21" t="n"/>
      <c r="I299" s="17" t="n"/>
      <c r="J299" s="18" t="n"/>
      <c r="K299" s="22" t="n"/>
      <c r="L299" s="23">
        <f>IF(C299="","",ROUND(N(F299)*(1+N(G299)/100*IF(N(H299)&gt;0,N(H299)*IF(I299="Week",7/365,IF(I299="2 weeks",14/365,1/12)),IF(ISNUMBER(E299),MAX(0,TODAY()-E299)/365,0))),2))</f>
        <v/>
      </c>
      <c r="M299" s="23">
        <f>IF(OR(C299="",N(H299)&lt;=0),"",ROUND(L299/N(H299),2))</f>
        <v/>
      </c>
      <c r="N299" s="23">
        <f>IF(C299="","",SUMIFS(Payments!$D$6:$D$805,Payments!$G$6:$G$805,B299))</f>
        <v/>
      </c>
      <c r="O299" s="24">
        <f>IF(C299="","",ROUND(L299-N299,2))</f>
        <v/>
      </c>
      <c r="P299" s="11">
        <f>IF(OR(U299="",N(O299)&lt;=0),"",IF(I299="Week",J299+7*U299,IF(I299="2 weeks",J299+14*U299,EDATE(J299,U299))))</f>
        <v/>
      </c>
      <c r="Q299" s="23">
        <f>IF(P299="","",IF(U299=N(H299)-1,O299,ROUND(M299*(U299+1)-N299,2)))</f>
        <v/>
      </c>
      <c r="R299" s="25">
        <f>IF(C299="","",IF(O299&lt;=0,"Paid off",IF(OR(M299="",NOT(ISNUMBER(J299))),"Open",IF(W299&gt;0,"Overdue",IF(AND(ISNUMBER(P299),P299-TODAY()&lt;=Settings!$C$6),"Due soon","On track")))))</f>
        <v/>
      </c>
      <c r="S299" s="1">
        <f>IF(C299="","",B299&amp;" "&amp;C299)</f>
        <v/>
      </c>
      <c r="T299">
        <f>IF(OR(M299="",NOT(ISNUMBER(J299))),"",MIN(N(H299),IF(I299="Week",IF((TODAY()-1)&lt;J299,0,INT(((TODAY()-1)-J299)/7)+1),IF(I299="2 weeks",IF((TODAY()-1)&lt;J299,0,INT(((TODAY()-1)-J299)/14)+1),IF(((YEAR((TODAY()-1))-YEAR(J299))*12+MONTH((TODAY()-1))-MONTH(J299))&lt;0,0,IF(EDATE(J299,((YEAR((TODAY()-1))-YEAR(J299))*12+MONTH((TODAY()-1))-MONTH(J299)))&lt;=(TODAY()-1),((YEAR((TODAY()-1))-YEAR(J299))*12+MONTH((TODAY()-1))-MONTH(J299))+1,((YEAR((TODAY()-1))-YEAR(J299))*12+MONTH((TODAY()-1))-MONTH(J299))))))))</f>
        <v/>
      </c>
      <c r="U299">
        <f>IF(OR(M299="",NOT(ISNUMBER(J299))),"",IF(N(M299)&lt;=0,"",MIN(N(H299)-1,INT(ROUND(N299/M299,6)))))</f>
        <v/>
      </c>
      <c r="V299">
        <f>IF(T299="","",IF(T299&gt;=N(H299),L299,M299*T299))</f>
        <v/>
      </c>
      <c r="W299">
        <f>IF(V299="",0,MAX(0,ROUND(V299-N299,2)))</f>
        <v/>
      </c>
      <c r="X299">
        <f>IF(OR(R299="",R299="Paid off",NOT(ISNUMBER(P299))),"",P299*1000+ROW())</f>
        <v/>
      </c>
      <c r="Y299">
        <f>IF(C299="","",IF(AND(COUNTIF(C$6:C299,C299)=1,SUMIFS(Loans!$O$6:$O$305,Loans!$C$6:$C$305,C299,Loans!$O$6:$O$305,"&gt;0")&gt;0),ROW(),""))</f>
        <v/>
      </c>
      <c r="Z299">
        <f>IF(OR(C299="",P299=""),"",IF(D299="I borrowed","From you","To you"))</f>
        <v/>
      </c>
    </row>
    <row r="300">
      <c r="A300" s="1" t="n"/>
      <c r="B300" s="15" t="n">
        <v>295</v>
      </c>
      <c r="C300" s="16" t="n"/>
      <c r="D300" s="17" t="n"/>
      <c r="E300" s="18" t="n"/>
      <c r="F300" s="19" t="n"/>
      <c r="G300" s="20" t="n"/>
      <c r="H300" s="21" t="n"/>
      <c r="I300" s="17" t="n"/>
      <c r="J300" s="18" t="n"/>
      <c r="K300" s="22" t="n"/>
      <c r="L300" s="23">
        <f>IF(C300="","",ROUND(N(F300)*(1+N(G300)/100*IF(N(H300)&gt;0,N(H300)*IF(I300="Week",7/365,IF(I300="2 weeks",14/365,1/12)),IF(ISNUMBER(E300),MAX(0,TODAY()-E300)/365,0))),2))</f>
        <v/>
      </c>
      <c r="M300" s="23">
        <f>IF(OR(C300="",N(H300)&lt;=0),"",ROUND(L300/N(H300),2))</f>
        <v/>
      </c>
      <c r="N300" s="23">
        <f>IF(C300="","",SUMIFS(Payments!$D$6:$D$805,Payments!$G$6:$G$805,B300))</f>
        <v/>
      </c>
      <c r="O300" s="24">
        <f>IF(C300="","",ROUND(L300-N300,2))</f>
        <v/>
      </c>
      <c r="P300" s="11">
        <f>IF(OR(U300="",N(O300)&lt;=0),"",IF(I300="Week",J300+7*U300,IF(I300="2 weeks",J300+14*U300,EDATE(J300,U300))))</f>
        <v/>
      </c>
      <c r="Q300" s="23">
        <f>IF(P300="","",IF(U300=N(H300)-1,O300,ROUND(M300*(U300+1)-N300,2)))</f>
        <v/>
      </c>
      <c r="R300" s="25">
        <f>IF(C300="","",IF(O300&lt;=0,"Paid off",IF(OR(M300="",NOT(ISNUMBER(J300))),"Open",IF(W300&gt;0,"Overdue",IF(AND(ISNUMBER(P300),P300-TODAY()&lt;=Settings!$C$6),"Due soon","On track")))))</f>
        <v/>
      </c>
      <c r="S300" s="1">
        <f>IF(C300="","",B300&amp;" "&amp;C300)</f>
        <v/>
      </c>
      <c r="T300">
        <f>IF(OR(M300="",NOT(ISNUMBER(J300))),"",MIN(N(H300),IF(I300="Week",IF((TODAY()-1)&lt;J300,0,INT(((TODAY()-1)-J300)/7)+1),IF(I300="2 weeks",IF((TODAY()-1)&lt;J300,0,INT(((TODAY()-1)-J300)/14)+1),IF(((YEAR((TODAY()-1))-YEAR(J300))*12+MONTH((TODAY()-1))-MONTH(J300))&lt;0,0,IF(EDATE(J300,((YEAR((TODAY()-1))-YEAR(J300))*12+MONTH((TODAY()-1))-MONTH(J300)))&lt;=(TODAY()-1),((YEAR((TODAY()-1))-YEAR(J300))*12+MONTH((TODAY()-1))-MONTH(J300))+1,((YEAR((TODAY()-1))-YEAR(J300))*12+MONTH((TODAY()-1))-MONTH(J300))))))))</f>
        <v/>
      </c>
      <c r="U300">
        <f>IF(OR(M300="",NOT(ISNUMBER(J300))),"",IF(N(M300)&lt;=0,"",MIN(N(H300)-1,INT(ROUND(N300/M300,6)))))</f>
        <v/>
      </c>
      <c r="V300">
        <f>IF(T300="","",IF(T300&gt;=N(H300),L300,M300*T300))</f>
        <v/>
      </c>
      <c r="W300">
        <f>IF(V300="",0,MAX(0,ROUND(V300-N300,2)))</f>
        <v/>
      </c>
      <c r="X300">
        <f>IF(OR(R300="",R300="Paid off",NOT(ISNUMBER(P300))),"",P300*1000+ROW())</f>
        <v/>
      </c>
      <c r="Y300">
        <f>IF(C300="","",IF(AND(COUNTIF(C$6:C300,C300)=1,SUMIFS(Loans!$O$6:$O$305,Loans!$C$6:$C$305,C300,Loans!$O$6:$O$305,"&gt;0")&gt;0),ROW(),""))</f>
        <v/>
      </c>
      <c r="Z300">
        <f>IF(OR(C300="",P300=""),"",IF(D300="I borrowed","From you","To you"))</f>
        <v/>
      </c>
    </row>
    <row r="301">
      <c r="A301" s="1" t="n"/>
      <c r="B301" s="15" t="n">
        <v>296</v>
      </c>
      <c r="C301" s="16" t="n"/>
      <c r="D301" s="17" t="n"/>
      <c r="E301" s="18" t="n"/>
      <c r="F301" s="19" t="n"/>
      <c r="G301" s="20" t="n"/>
      <c r="H301" s="21" t="n"/>
      <c r="I301" s="17" t="n"/>
      <c r="J301" s="18" t="n"/>
      <c r="K301" s="22" t="n"/>
      <c r="L301" s="23">
        <f>IF(C301="","",ROUND(N(F301)*(1+N(G301)/100*IF(N(H301)&gt;0,N(H301)*IF(I301="Week",7/365,IF(I301="2 weeks",14/365,1/12)),IF(ISNUMBER(E301),MAX(0,TODAY()-E301)/365,0))),2))</f>
        <v/>
      </c>
      <c r="M301" s="23">
        <f>IF(OR(C301="",N(H301)&lt;=0),"",ROUND(L301/N(H301),2))</f>
        <v/>
      </c>
      <c r="N301" s="23">
        <f>IF(C301="","",SUMIFS(Payments!$D$6:$D$805,Payments!$G$6:$G$805,B301))</f>
        <v/>
      </c>
      <c r="O301" s="24">
        <f>IF(C301="","",ROUND(L301-N301,2))</f>
        <v/>
      </c>
      <c r="P301" s="11">
        <f>IF(OR(U301="",N(O301)&lt;=0),"",IF(I301="Week",J301+7*U301,IF(I301="2 weeks",J301+14*U301,EDATE(J301,U301))))</f>
        <v/>
      </c>
      <c r="Q301" s="23">
        <f>IF(P301="","",IF(U301=N(H301)-1,O301,ROUND(M301*(U301+1)-N301,2)))</f>
        <v/>
      </c>
      <c r="R301" s="25">
        <f>IF(C301="","",IF(O301&lt;=0,"Paid off",IF(OR(M301="",NOT(ISNUMBER(J301))),"Open",IF(W301&gt;0,"Overdue",IF(AND(ISNUMBER(P301),P301-TODAY()&lt;=Settings!$C$6),"Due soon","On track")))))</f>
        <v/>
      </c>
      <c r="S301" s="1">
        <f>IF(C301="","",B301&amp;" "&amp;C301)</f>
        <v/>
      </c>
      <c r="T301">
        <f>IF(OR(M301="",NOT(ISNUMBER(J301))),"",MIN(N(H301),IF(I301="Week",IF((TODAY()-1)&lt;J301,0,INT(((TODAY()-1)-J301)/7)+1),IF(I301="2 weeks",IF((TODAY()-1)&lt;J301,0,INT(((TODAY()-1)-J301)/14)+1),IF(((YEAR((TODAY()-1))-YEAR(J301))*12+MONTH((TODAY()-1))-MONTH(J301))&lt;0,0,IF(EDATE(J301,((YEAR((TODAY()-1))-YEAR(J301))*12+MONTH((TODAY()-1))-MONTH(J301)))&lt;=(TODAY()-1),((YEAR((TODAY()-1))-YEAR(J301))*12+MONTH((TODAY()-1))-MONTH(J301))+1,((YEAR((TODAY()-1))-YEAR(J301))*12+MONTH((TODAY()-1))-MONTH(J301))))))))</f>
        <v/>
      </c>
      <c r="U301">
        <f>IF(OR(M301="",NOT(ISNUMBER(J301))),"",IF(N(M301)&lt;=0,"",MIN(N(H301)-1,INT(ROUND(N301/M301,6)))))</f>
        <v/>
      </c>
      <c r="V301">
        <f>IF(T301="","",IF(T301&gt;=N(H301),L301,M301*T301))</f>
        <v/>
      </c>
      <c r="W301">
        <f>IF(V301="",0,MAX(0,ROUND(V301-N301,2)))</f>
        <v/>
      </c>
      <c r="X301">
        <f>IF(OR(R301="",R301="Paid off",NOT(ISNUMBER(P301))),"",P301*1000+ROW())</f>
        <v/>
      </c>
      <c r="Y301">
        <f>IF(C301="","",IF(AND(COUNTIF(C$6:C301,C301)=1,SUMIFS(Loans!$O$6:$O$305,Loans!$C$6:$C$305,C301,Loans!$O$6:$O$305,"&gt;0")&gt;0),ROW(),""))</f>
        <v/>
      </c>
      <c r="Z301">
        <f>IF(OR(C301="",P301=""),"",IF(D301="I borrowed","From you","To you"))</f>
        <v/>
      </c>
    </row>
    <row r="302">
      <c r="A302" s="1" t="n"/>
      <c r="B302" s="15" t="n">
        <v>297</v>
      </c>
      <c r="C302" s="16" t="n"/>
      <c r="D302" s="17" t="n"/>
      <c r="E302" s="18" t="n"/>
      <c r="F302" s="19" t="n"/>
      <c r="G302" s="20" t="n"/>
      <c r="H302" s="21" t="n"/>
      <c r="I302" s="17" t="n"/>
      <c r="J302" s="18" t="n"/>
      <c r="K302" s="22" t="n"/>
      <c r="L302" s="23">
        <f>IF(C302="","",ROUND(N(F302)*(1+N(G302)/100*IF(N(H302)&gt;0,N(H302)*IF(I302="Week",7/365,IF(I302="2 weeks",14/365,1/12)),IF(ISNUMBER(E302),MAX(0,TODAY()-E302)/365,0))),2))</f>
        <v/>
      </c>
      <c r="M302" s="23">
        <f>IF(OR(C302="",N(H302)&lt;=0),"",ROUND(L302/N(H302),2))</f>
        <v/>
      </c>
      <c r="N302" s="23">
        <f>IF(C302="","",SUMIFS(Payments!$D$6:$D$805,Payments!$G$6:$G$805,B302))</f>
        <v/>
      </c>
      <c r="O302" s="24">
        <f>IF(C302="","",ROUND(L302-N302,2))</f>
        <v/>
      </c>
      <c r="P302" s="11">
        <f>IF(OR(U302="",N(O302)&lt;=0),"",IF(I302="Week",J302+7*U302,IF(I302="2 weeks",J302+14*U302,EDATE(J302,U302))))</f>
        <v/>
      </c>
      <c r="Q302" s="23">
        <f>IF(P302="","",IF(U302=N(H302)-1,O302,ROUND(M302*(U302+1)-N302,2)))</f>
        <v/>
      </c>
      <c r="R302" s="25">
        <f>IF(C302="","",IF(O302&lt;=0,"Paid off",IF(OR(M302="",NOT(ISNUMBER(J302))),"Open",IF(W302&gt;0,"Overdue",IF(AND(ISNUMBER(P302),P302-TODAY()&lt;=Settings!$C$6),"Due soon","On track")))))</f>
        <v/>
      </c>
      <c r="S302" s="1">
        <f>IF(C302="","",B302&amp;" "&amp;C302)</f>
        <v/>
      </c>
      <c r="T302">
        <f>IF(OR(M302="",NOT(ISNUMBER(J302))),"",MIN(N(H302),IF(I302="Week",IF((TODAY()-1)&lt;J302,0,INT(((TODAY()-1)-J302)/7)+1),IF(I302="2 weeks",IF((TODAY()-1)&lt;J302,0,INT(((TODAY()-1)-J302)/14)+1),IF(((YEAR((TODAY()-1))-YEAR(J302))*12+MONTH((TODAY()-1))-MONTH(J302))&lt;0,0,IF(EDATE(J302,((YEAR((TODAY()-1))-YEAR(J302))*12+MONTH((TODAY()-1))-MONTH(J302)))&lt;=(TODAY()-1),((YEAR((TODAY()-1))-YEAR(J302))*12+MONTH((TODAY()-1))-MONTH(J302))+1,((YEAR((TODAY()-1))-YEAR(J302))*12+MONTH((TODAY()-1))-MONTH(J302))))))))</f>
        <v/>
      </c>
      <c r="U302">
        <f>IF(OR(M302="",NOT(ISNUMBER(J302))),"",IF(N(M302)&lt;=0,"",MIN(N(H302)-1,INT(ROUND(N302/M302,6)))))</f>
        <v/>
      </c>
      <c r="V302">
        <f>IF(T302="","",IF(T302&gt;=N(H302),L302,M302*T302))</f>
        <v/>
      </c>
      <c r="W302">
        <f>IF(V302="",0,MAX(0,ROUND(V302-N302,2)))</f>
        <v/>
      </c>
      <c r="X302">
        <f>IF(OR(R302="",R302="Paid off",NOT(ISNUMBER(P302))),"",P302*1000+ROW())</f>
        <v/>
      </c>
      <c r="Y302">
        <f>IF(C302="","",IF(AND(COUNTIF(C$6:C302,C302)=1,SUMIFS(Loans!$O$6:$O$305,Loans!$C$6:$C$305,C302,Loans!$O$6:$O$305,"&gt;0")&gt;0),ROW(),""))</f>
        <v/>
      </c>
      <c r="Z302">
        <f>IF(OR(C302="",P302=""),"",IF(D302="I borrowed","From you","To you"))</f>
        <v/>
      </c>
    </row>
    <row r="303">
      <c r="A303" s="1" t="n"/>
      <c r="B303" s="15" t="n">
        <v>298</v>
      </c>
      <c r="C303" s="16" t="n"/>
      <c r="D303" s="17" t="n"/>
      <c r="E303" s="18" t="n"/>
      <c r="F303" s="19" t="n"/>
      <c r="G303" s="20" t="n"/>
      <c r="H303" s="21" t="n"/>
      <c r="I303" s="17" t="n"/>
      <c r="J303" s="18" t="n"/>
      <c r="K303" s="22" t="n"/>
      <c r="L303" s="23">
        <f>IF(C303="","",ROUND(N(F303)*(1+N(G303)/100*IF(N(H303)&gt;0,N(H303)*IF(I303="Week",7/365,IF(I303="2 weeks",14/365,1/12)),IF(ISNUMBER(E303),MAX(0,TODAY()-E303)/365,0))),2))</f>
        <v/>
      </c>
      <c r="M303" s="23">
        <f>IF(OR(C303="",N(H303)&lt;=0),"",ROUND(L303/N(H303),2))</f>
        <v/>
      </c>
      <c r="N303" s="23">
        <f>IF(C303="","",SUMIFS(Payments!$D$6:$D$805,Payments!$G$6:$G$805,B303))</f>
        <v/>
      </c>
      <c r="O303" s="24">
        <f>IF(C303="","",ROUND(L303-N303,2))</f>
        <v/>
      </c>
      <c r="P303" s="11">
        <f>IF(OR(U303="",N(O303)&lt;=0),"",IF(I303="Week",J303+7*U303,IF(I303="2 weeks",J303+14*U303,EDATE(J303,U303))))</f>
        <v/>
      </c>
      <c r="Q303" s="23">
        <f>IF(P303="","",IF(U303=N(H303)-1,O303,ROUND(M303*(U303+1)-N303,2)))</f>
        <v/>
      </c>
      <c r="R303" s="25">
        <f>IF(C303="","",IF(O303&lt;=0,"Paid off",IF(OR(M303="",NOT(ISNUMBER(J303))),"Open",IF(W303&gt;0,"Overdue",IF(AND(ISNUMBER(P303),P303-TODAY()&lt;=Settings!$C$6),"Due soon","On track")))))</f>
        <v/>
      </c>
      <c r="S303" s="1">
        <f>IF(C303="","",B303&amp;" "&amp;C303)</f>
        <v/>
      </c>
      <c r="T303">
        <f>IF(OR(M303="",NOT(ISNUMBER(J303))),"",MIN(N(H303),IF(I303="Week",IF((TODAY()-1)&lt;J303,0,INT(((TODAY()-1)-J303)/7)+1),IF(I303="2 weeks",IF((TODAY()-1)&lt;J303,0,INT(((TODAY()-1)-J303)/14)+1),IF(((YEAR((TODAY()-1))-YEAR(J303))*12+MONTH((TODAY()-1))-MONTH(J303))&lt;0,0,IF(EDATE(J303,((YEAR((TODAY()-1))-YEAR(J303))*12+MONTH((TODAY()-1))-MONTH(J303)))&lt;=(TODAY()-1),((YEAR((TODAY()-1))-YEAR(J303))*12+MONTH((TODAY()-1))-MONTH(J303))+1,((YEAR((TODAY()-1))-YEAR(J303))*12+MONTH((TODAY()-1))-MONTH(J303))))))))</f>
        <v/>
      </c>
      <c r="U303">
        <f>IF(OR(M303="",NOT(ISNUMBER(J303))),"",IF(N(M303)&lt;=0,"",MIN(N(H303)-1,INT(ROUND(N303/M303,6)))))</f>
        <v/>
      </c>
      <c r="V303">
        <f>IF(T303="","",IF(T303&gt;=N(H303),L303,M303*T303))</f>
        <v/>
      </c>
      <c r="W303">
        <f>IF(V303="",0,MAX(0,ROUND(V303-N303,2)))</f>
        <v/>
      </c>
      <c r="X303">
        <f>IF(OR(R303="",R303="Paid off",NOT(ISNUMBER(P303))),"",P303*1000+ROW())</f>
        <v/>
      </c>
      <c r="Y303">
        <f>IF(C303="","",IF(AND(COUNTIF(C$6:C303,C303)=1,SUMIFS(Loans!$O$6:$O$305,Loans!$C$6:$C$305,C303,Loans!$O$6:$O$305,"&gt;0")&gt;0),ROW(),""))</f>
        <v/>
      </c>
      <c r="Z303">
        <f>IF(OR(C303="",P303=""),"",IF(D303="I borrowed","From you","To you"))</f>
        <v/>
      </c>
    </row>
    <row r="304">
      <c r="A304" s="1" t="n"/>
      <c r="B304" s="15" t="n">
        <v>299</v>
      </c>
      <c r="C304" s="16" t="n"/>
      <c r="D304" s="17" t="n"/>
      <c r="E304" s="18" t="n"/>
      <c r="F304" s="19" t="n"/>
      <c r="G304" s="20" t="n"/>
      <c r="H304" s="21" t="n"/>
      <c r="I304" s="17" t="n"/>
      <c r="J304" s="18" t="n"/>
      <c r="K304" s="22" t="n"/>
      <c r="L304" s="23">
        <f>IF(C304="","",ROUND(N(F304)*(1+N(G304)/100*IF(N(H304)&gt;0,N(H304)*IF(I304="Week",7/365,IF(I304="2 weeks",14/365,1/12)),IF(ISNUMBER(E304),MAX(0,TODAY()-E304)/365,0))),2))</f>
        <v/>
      </c>
      <c r="M304" s="23">
        <f>IF(OR(C304="",N(H304)&lt;=0),"",ROUND(L304/N(H304),2))</f>
        <v/>
      </c>
      <c r="N304" s="23">
        <f>IF(C304="","",SUMIFS(Payments!$D$6:$D$805,Payments!$G$6:$G$805,B304))</f>
        <v/>
      </c>
      <c r="O304" s="24">
        <f>IF(C304="","",ROUND(L304-N304,2))</f>
        <v/>
      </c>
      <c r="P304" s="11">
        <f>IF(OR(U304="",N(O304)&lt;=0),"",IF(I304="Week",J304+7*U304,IF(I304="2 weeks",J304+14*U304,EDATE(J304,U304))))</f>
        <v/>
      </c>
      <c r="Q304" s="23">
        <f>IF(P304="","",IF(U304=N(H304)-1,O304,ROUND(M304*(U304+1)-N304,2)))</f>
        <v/>
      </c>
      <c r="R304" s="25">
        <f>IF(C304="","",IF(O304&lt;=0,"Paid off",IF(OR(M304="",NOT(ISNUMBER(J304))),"Open",IF(W304&gt;0,"Overdue",IF(AND(ISNUMBER(P304),P304-TODAY()&lt;=Settings!$C$6),"Due soon","On track")))))</f>
        <v/>
      </c>
      <c r="S304" s="1">
        <f>IF(C304="","",B304&amp;" "&amp;C304)</f>
        <v/>
      </c>
      <c r="T304">
        <f>IF(OR(M304="",NOT(ISNUMBER(J304))),"",MIN(N(H304),IF(I304="Week",IF((TODAY()-1)&lt;J304,0,INT(((TODAY()-1)-J304)/7)+1),IF(I304="2 weeks",IF((TODAY()-1)&lt;J304,0,INT(((TODAY()-1)-J304)/14)+1),IF(((YEAR((TODAY()-1))-YEAR(J304))*12+MONTH((TODAY()-1))-MONTH(J304))&lt;0,0,IF(EDATE(J304,((YEAR((TODAY()-1))-YEAR(J304))*12+MONTH((TODAY()-1))-MONTH(J304)))&lt;=(TODAY()-1),((YEAR((TODAY()-1))-YEAR(J304))*12+MONTH((TODAY()-1))-MONTH(J304))+1,((YEAR((TODAY()-1))-YEAR(J304))*12+MONTH((TODAY()-1))-MONTH(J304))))))))</f>
        <v/>
      </c>
      <c r="U304">
        <f>IF(OR(M304="",NOT(ISNUMBER(J304))),"",IF(N(M304)&lt;=0,"",MIN(N(H304)-1,INT(ROUND(N304/M304,6)))))</f>
        <v/>
      </c>
      <c r="V304">
        <f>IF(T304="","",IF(T304&gt;=N(H304),L304,M304*T304))</f>
        <v/>
      </c>
      <c r="W304">
        <f>IF(V304="",0,MAX(0,ROUND(V304-N304,2)))</f>
        <v/>
      </c>
      <c r="X304">
        <f>IF(OR(R304="",R304="Paid off",NOT(ISNUMBER(P304))),"",P304*1000+ROW())</f>
        <v/>
      </c>
      <c r="Y304">
        <f>IF(C304="","",IF(AND(COUNTIF(C$6:C304,C304)=1,SUMIFS(Loans!$O$6:$O$305,Loans!$C$6:$C$305,C304,Loans!$O$6:$O$305,"&gt;0")&gt;0),ROW(),""))</f>
        <v/>
      </c>
      <c r="Z304">
        <f>IF(OR(C304="",P304=""),"",IF(D304="I borrowed","From you","To you"))</f>
        <v/>
      </c>
    </row>
    <row r="305">
      <c r="A305" s="1" t="n"/>
      <c r="B305" s="15" t="n">
        <v>300</v>
      </c>
      <c r="C305" s="16" t="n"/>
      <c r="D305" s="17" t="n"/>
      <c r="E305" s="18" t="n"/>
      <c r="F305" s="19" t="n"/>
      <c r="G305" s="20" t="n"/>
      <c r="H305" s="21" t="n"/>
      <c r="I305" s="17" t="n"/>
      <c r="J305" s="18" t="n"/>
      <c r="K305" s="22" t="n"/>
      <c r="L305" s="23">
        <f>IF(C305="","",ROUND(N(F305)*(1+N(G305)/100*IF(N(H305)&gt;0,N(H305)*IF(I305="Week",7/365,IF(I305="2 weeks",14/365,1/12)),IF(ISNUMBER(E305),MAX(0,TODAY()-E305)/365,0))),2))</f>
        <v/>
      </c>
      <c r="M305" s="23">
        <f>IF(OR(C305="",N(H305)&lt;=0),"",ROUND(L305/N(H305),2))</f>
        <v/>
      </c>
      <c r="N305" s="23">
        <f>IF(C305="","",SUMIFS(Payments!$D$6:$D$805,Payments!$G$6:$G$805,B305))</f>
        <v/>
      </c>
      <c r="O305" s="24">
        <f>IF(C305="","",ROUND(L305-N305,2))</f>
        <v/>
      </c>
      <c r="P305" s="11">
        <f>IF(OR(U305="",N(O305)&lt;=0),"",IF(I305="Week",J305+7*U305,IF(I305="2 weeks",J305+14*U305,EDATE(J305,U305))))</f>
        <v/>
      </c>
      <c r="Q305" s="23">
        <f>IF(P305="","",IF(U305=N(H305)-1,O305,ROUND(M305*(U305+1)-N305,2)))</f>
        <v/>
      </c>
      <c r="R305" s="25">
        <f>IF(C305="","",IF(O305&lt;=0,"Paid off",IF(OR(M305="",NOT(ISNUMBER(J305))),"Open",IF(W305&gt;0,"Overdue",IF(AND(ISNUMBER(P305),P305-TODAY()&lt;=Settings!$C$6),"Due soon","On track")))))</f>
        <v/>
      </c>
      <c r="S305" s="1">
        <f>IF(C305="","",B305&amp;" "&amp;C305)</f>
        <v/>
      </c>
      <c r="T305">
        <f>IF(OR(M305="",NOT(ISNUMBER(J305))),"",MIN(N(H305),IF(I305="Week",IF((TODAY()-1)&lt;J305,0,INT(((TODAY()-1)-J305)/7)+1),IF(I305="2 weeks",IF((TODAY()-1)&lt;J305,0,INT(((TODAY()-1)-J305)/14)+1),IF(((YEAR((TODAY()-1))-YEAR(J305))*12+MONTH((TODAY()-1))-MONTH(J305))&lt;0,0,IF(EDATE(J305,((YEAR((TODAY()-1))-YEAR(J305))*12+MONTH((TODAY()-1))-MONTH(J305)))&lt;=(TODAY()-1),((YEAR((TODAY()-1))-YEAR(J305))*12+MONTH((TODAY()-1))-MONTH(J305))+1,((YEAR((TODAY()-1))-YEAR(J305))*12+MONTH((TODAY()-1))-MONTH(J305))))))))</f>
        <v/>
      </c>
      <c r="U305">
        <f>IF(OR(M305="",NOT(ISNUMBER(J305))),"",IF(N(M305)&lt;=0,"",MIN(N(H305)-1,INT(ROUND(N305/M305,6)))))</f>
        <v/>
      </c>
      <c r="V305">
        <f>IF(T305="","",IF(T305&gt;=N(H305),L305,M305*T305))</f>
        <v/>
      </c>
      <c r="W305">
        <f>IF(V305="",0,MAX(0,ROUND(V305-N305,2)))</f>
        <v/>
      </c>
      <c r="X305">
        <f>IF(OR(R305="",R305="Paid off",NOT(ISNUMBER(P305))),"",P305*1000+ROW())</f>
        <v/>
      </c>
      <c r="Y305">
        <f>IF(C305="","",IF(AND(COUNTIF(C$6:C305,C305)=1,SUMIFS(Loans!$O$6:$O$305,Loans!$C$6:$C$305,C305,Loans!$O$6:$O$305,"&gt;0")&gt;0),ROW(),""))</f>
        <v/>
      </c>
      <c r="Z305">
        <f>IF(OR(C305="",P305=""),"",IF(D305="I borrowed","From you","To you"))</f>
        <v/>
      </c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</row>
  </sheetData>
  <conditionalFormatting sqref="L6:R305">
    <cfRule type="expression" priority="1" dxfId="0">
      <formula>$R6="Overdue"</formula>
    </cfRule>
    <cfRule type="expression" priority="2" dxfId="1">
      <formula>$R6="Due soon"</formula>
    </cfRule>
    <cfRule type="expression" priority="3" dxfId="2">
      <formula>$R6="Paid off"</formula>
    </cfRule>
  </conditionalFormatting>
  <dataValidations count="2">
    <dataValidation sqref="D6:D305" showDropDown="0" showInputMessage="0" showErrorMessage="1" allowBlank="1" type="list">
      <formula1>"I lent,I borrowed"</formula1>
    </dataValidation>
    <dataValidation sqref="I6:I305" showDropDown="0" showInputMessage="0" showErrorMessage="1" allowBlank="1" type="list">
      <formula1>"Week,2 weeks,Month"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8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8" customWidth="1" min="3" max="3"/>
    <col width="11" customWidth="1" min="4" max="4"/>
    <col width="14" customWidth="1" min="5" max="5"/>
    <col width="28" customWidth="1" min="6" max="6"/>
    <col width="6" customWidth="1" min="7" max="7"/>
    <col width="16" customWidth="1" min="8" max="8"/>
    <col width="8" customWidth="1" min="9" max="9"/>
    <col hidden="1" width="13" customWidth="1" min="10" max="10"/>
    <col hidden="1" width="13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2" customHeight="1">
      <c r="A2" s="1" t="n"/>
      <c r="B2" s="2" t="inlineStr">
        <is>
          <t>Payments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3" t="inlineStr">
        <is>
          <t>Every payment, whichever way it goes. Pick the loan by its number and name.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30" customHeight="1">
      <c r="A5" s="1" t="n"/>
      <c r="B5" s="8" t="inlineStr">
        <is>
          <t>Date</t>
        </is>
      </c>
      <c r="C5" s="8" t="inlineStr">
        <is>
          <t>Loan</t>
        </is>
      </c>
      <c r="D5" s="8" t="inlineStr">
        <is>
          <t>Amount</t>
        </is>
      </c>
      <c r="E5" s="8" t="inlineStr">
        <is>
          <t>How</t>
        </is>
      </c>
      <c r="F5" s="8" t="inlineStr">
        <is>
          <t>Note</t>
        </is>
      </c>
      <c r="G5" s="8" t="inlineStr">
        <is>
          <t>No.</t>
        </is>
      </c>
      <c r="H5" s="8" t="inlineStr">
        <is>
          <t>Person</t>
        </is>
      </c>
      <c r="I5" s="8" t="inlineStr">
        <is>
          <t>Way</t>
        </is>
      </c>
      <c r="J5" s="1" t="n"/>
    </row>
    <row r="6">
      <c r="A6" s="1" t="n"/>
      <c r="B6" s="18" t="n">
        <v>45992</v>
      </c>
      <c r="C6" s="16" t="inlineStr">
        <is>
          <t>4 Aunt Rosa</t>
        </is>
      </c>
      <c r="D6" s="19" t="n">
        <v>100</v>
      </c>
      <c r="E6" s="17" t="inlineStr">
        <is>
          <t>Bank transfer</t>
        </is>
      </c>
      <c r="F6" s="22" t="n"/>
      <c r="G6" s="14">
        <f>IF(C6="","",IFERROR(VALUE(LEFT(C6,FIND(" ",C6&amp;" ")-1)),""))</f>
        <v/>
      </c>
      <c r="H6" s="26">
        <f>IF(C6="","",IF(G6="","Pick a loan",IFERROR(IF(INDEX(Loans!$C$6:$C$305,MATCH(G6,Loans!$B$6:$B$305,0))="","Not a loan",INDEX(Loans!$C$6:$C$305,MATCH(G6,Loans!$B$6:$B$305,0))),"Not a loan")))</f>
        <v/>
      </c>
      <c r="I6" s="10">
        <f>IF(OR(G6="",H6="Not a loan"),"",IF(INDEX(Loans!$D$6:$D$305,MATCH(G6,Loans!$B$6:$B$305,0))="I borrowed","Out","In"))</f>
        <v/>
      </c>
      <c r="J6" s="1">
        <f>IF(NOT(ISNUMBER(B6)),"",YEAR(B6)*100+MONTH(B6))</f>
        <v/>
      </c>
      <c r="K6">
        <f>IF(OR(G6="",NOT(ISNUMBER(B6))),"",IF(G6=Statement!$H$2,B6*1000+ROW(),""))</f>
        <v/>
      </c>
    </row>
    <row r="7">
      <c r="A7" s="1" t="n"/>
      <c r="B7" s="18" t="n">
        <v>46023</v>
      </c>
      <c r="C7" s="16" t="inlineStr">
        <is>
          <t>4 Aunt Rosa</t>
        </is>
      </c>
      <c r="D7" s="19" t="n">
        <v>100</v>
      </c>
      <c r="E7" s="17" t="inlineStr">
        <is>
          <t>Bank transfer</t>
        </is>
      </c>
      <c r="F7" s="22" t="n"/>
      <c r="G7" s="14">
        <f>IF(C7="","",IFERROR(VALUE(LEFT(C7,FIND(" ",C7&amp;" ")-1)),""))</f>
        <v/>
      </c>
      <c r="H7" s="26">
        <f>IF(C7="","",IF(G7="","Pick a loan",IFERROR(IF(INDEX(Loans!$C$6:$C$305,MATCH(G7,Loans!$B$6:$B$305,0))="","Not a loan",INDEX(Loans!$C$6:$C$305,MATCH(G7,Loans!$B$6:$B$305,0))),"Not a loan")))</f>
        <v/>
      </c>
      <c r="I7" s="10">
        <f>IF(OR(G7="",H7="Not a loan"),"",IF(INDEX(Loans!$D$6:$D$305,MATCH(G7,Loans!$B$6:$B$305,0))="I borrowed","Out","In"))</f>
        <v/>
      </c>
      <c r="J7" s="1">
        <f>IF(NOT(ISNUMBER(B7)),"",YEAR(B7)*100+MONTH(B7))</f>
        <v/>
      </c>
      <c r="K7">
        <f>IF(OR(G7="",NOT(ISNUMBER(B7))),"",IF(G7=Statement!$H$2,B7*1000+ROW(),""))</f>
        <v/>
      </c>
    </row>
    <row r="8">
      <c r="A8" s="1" t="n"/>
      <c r="B8" s="18" t="n">
        <v>46054</v>
      </c>
      <c r="C8" s="16" t="inlineStr">
        <is>
          <t>4 Aunt Rosa</t>
        </is>
      </c>
      <c r="D8" s="19" t="n">
        <v>100</v>
      </c>
      <c r="E8" s="17" t="inlineStr">
        <is>
          <t>Bank transfer</t>
        </is>
      </c>
      <c r="F8" s="22" t="n"/>
      <c r="G8" s="14">
        <f>IF(C8="","",IFERROR(VALUE(LEFT(C8,FIND(" ",C8&amp;" ")-1)),""))</f>
        <v/>
      </c>
      <c r="H8" s="26">
        <f>IF(C8="","",IF(G8="","Pick a loan",IFERROR(IF(INDEX(Loans!$C$6:$C$305,MATCH(G8,Loans!$B$6:$B$305,0))="","Not a loan",INDEX(Loans!$C$6:$C$305,MATCH(G8,Loans!$B$6:$B$305,0))),"Not a loan")))</f>
        <v/>
      </c>
      <c r="I8" s="10">
        <f>IF(OR(G8="",H8="Not a loan"),"",IF(INDEX(Loans!$D$6:$D$305,MATCH(G8,Loans!$B$6:$B$305,0))="I borrowed","Out","In"))</f>
        <v/>
      </c>
      <c r="J8" s="1">
        <f>IF(NOT(ISNUMBER(B8)),"",YEAR(B8)*100+MONTH(B8))</f>
        <v/>
      </c>
      <c r="K8">
        <f>IF(OR(G8="",NOT(ISNUMBER(B8))),"",IF(G8=Statement!$H$2,B8*1000+ROW(),""))</f>
        <v/>
      </c>
    </row>
    <row r="9">
      <c r="A9" s="1" t="n"/>
      <c r="B9" s="18" t="n">
        <v>46082</v>
      </c>
      <c r="C9" s="16" t="inlineStr">
        <is>
          <t>4 Aunt Rosa</t>
        </is>
      </c>
      <c r="D9" s="19" t="n">
        <v>100</v>
      </c>
      <c r="E9" s="17" t="inlineStr">
        <is>
          <t>Bank transfer</t>
        </is>
      </c>
      <c r="F9" s="22" t="n"/>
      <c r="G9" s="14">
        <f>IF(C9="","",IFERROR(VALUE(LEFT(C9,FIND(" ",C9&amp;" ")-1)),""))</f>
        <v/>
      </c>
      <c r="H9" s="26">
        <f>IF(C9="","",IF(G9="","Pick a loan",IFERROR(IF(INDEX(Loans!$C$6:$C$305,MATCH(G9,Loans!$B$6:$B$305,0))="","Not a loan",INDEX(Loans!$C$6:$C$305,MATCH(G9,Loans!$B$6:$B$305,0))),"Not a loan")))</f>
        <v/>
      </c>
      <c r="I9" s="10">
        <f>IF(OR(G9="",H9="Not a loan"),"",IF(INDEX(Loans!$D$6:$D$305,MATCH(G9,Loans!$B$6:$B$305,0))="I borrowed","Out","In"))</f>
        <v/>
      </c>
      <c r="J9" s="1">
        <f>IF(NOT(ISNUMBER(B9)),"",YEAR(B9)*100+MONTH(B9))</f>
        <v/>
      </c>
      <c r="K9">
        <f>IF(OR(G9="",NOT(ISNUMBER(B9))),"",IF(G9=Statement!$H$2,B9*1000+ROW(),""))</f>
        <v/>
      </c>
    </row>
    <row r="10">
      <c r="A10" s="1" t="n"/>
      <c r="B10" s="18" t="n">
        <v>46096</v>
      </c>
      <c r="C10" s="16" t="inlineStr">
        <is>
          <t>2 Priya</t>
        </is>
      </c>
      <c r="D10" s="19" t="n">
        <v>103</v>
      </c>
      <c r="E10" s="17" t="inlineStr">
        <is>
          <t>Bank transfer</t>
        </is>
      </c>
      <c r="F10" s="22" t="n"/>
      <c r="G10" s="14">
        <f>IF(C10="","",IFERROR(VALUE(LEFT(C10,FIND(" ",C10&amp;" ")-1)),""))</f>
        <v/>
      </c>
      <c r="H10" s="26">
        <f>IF(C10="","",IF(G10="","Pick a loan",IFERROR(IF(INDEX(Loans!$C$6:$C$305,MATCH(G10,Loans!$B$6:$B$305,0))="","Not a loan",INDEX(Loans!$C$6:$C$305,MATCH(G10,Loans!$B$6:$B$305,0))),"Not a loan")))</f>
        <v/>
      </c>
      <c r="I10" s="10">
        <f>IF(OR(G10="",H10="Not a loan"),"",IF(INDEX(Loans!$D$6:$D$305,MATCH(G10,Loans!$B$6:$B$305,0))="I borrowed","Out","In"))</f>
        <v/>
      </c>
      <c r="J10" s="1">
        <f>IF(NOT(ISNUMBER(B10)),"",YEAR(B10)*100+MONTH(B10))</f>
        <v/>
      </c>
      <c r="K10">
        <f>IF(OR(G10="",NOT(ISNUMBER(B10))),"",IF(G10=Statement!$H$2,B10*1000+ROW(),""))</f>
        <v/>
      </c>
    </row>
    <row r="11">
      <c r="A11" s="1" t="n"/>
      <c r="B11" s="18" t="n">
        <v>46113</v>
      </c>
      <c r="C11" s="16" t="inlineStr">
        <is>
          <t>4 Aunt Rosa</t>
        </is>
      </c>
      <c r="D11" s="19" t="n">
        <v>100</v>
      </c>
      <c r="E11" s="17" t="inlineStr">
        <is>
          <t>Bank transfer</t>
        </is>
      </c>
      <c r="F11" s="22" t="n"/>
      <c r="G11" s="14">
        <f>IF(C11="","",IFERROR(VALUE(LEFT(C11,FIND(" ",C11&amp;" ")-1)),""))</f>
        <v/>
      </c>
      <c r="H11" s="26">
        <f>IF(C11="","",IF(G11="","Pick a loan",IFERROR(IF(INDEX(Loans!$C$6:$C$305,MATCH(G11,Loans!$B$6:$B$305,0))="","Not a loan",INDEX(Loans!$C$6:$C$305,MATCH(G11,Loans!$B$6:$B$305,0))),"Not a loan")))</f>
        <v/>
      </c>
      <c r="I11" s="10">
        <f>IF(OR(G11="",H11="Not a loan"),"",IF(INDEX(Loans!$D$6:$D$305,MATCH(G11,Loans!$B$6:$B$305,0))="I borrowed","Out","In"))</f>
        <v/>
      </c>
      <c r="J11" s="1">
        <f>IF(NOT(ISNUMBER(B11)),"",YEAR(B11)*100+MONTH(B11))</f>
        <v/>
      </c>
      <c r="K11">
        <f>IF(OR(G11="",NOT(ISNUMBER(B11))),"",IF(G11=Statement!$H$2,B11*1000+ROW(),""))</f>
        <v/>
      </c>
    </row>
    <row r="12">
      <c r="A12" s="1" t="n"/>
      <c r="B12" s="18" t="n">
        <v>46114</v>
      </c>
      <c r="C12" s="16" t="inlineStr">
        <is>
          <t>1 Sam</t>
        </is>
      </c>
      <c r="D12" s="19" t="n">
        <v>50</v>
      </c>
      <c r="E12" s="17" t="inlineStr">
        <is>
          <t>Bank transfer</t>
        </is>
      </c>
      <c r="F12" s="22" t="n"/>
      <c r="G12" s="14">
        <f>IF(C12="","",IFERROR(VALUE(LEFT(C12,FIND(" ",C12&amp;" ")-1)),""))</f>
        <v/>
      </c>
      <c r="H12" s="26">
        <f>IF(C12="","",IF(G12="","Pick a loan",IFERROR(IF(INDEX(Loans!$C$6:$C$305,MATCH(G12,Loans!$B$6:$B$305,0))="","Not a loan",INDEX(Loans!$C$6:$C$305,MATCH(G12,Loans!$B$6:$B$305,0))),"Not a loan")))</f>
        <v/>
      </c>
      <c r="I12" s="10">
        <f>IF(OR(G12="",H12="Not a loan"),"",IF(INDEX(Loans!$D$6:$D$305,MATCH(G12,Loans!$B$6:$B$305,0))="I borrowed","Out","In"))</f>
        <v/>
      </c>
      <c r="J12" s="1">
        <f>IF(NOT(ISNUMBER(B12)),"",YEAR(B12)*100+MONTH(B12))</f>
        <v/>
      </c>
      <c r="K12">
        <f>IF(OR(G12="",NOT(ISNUMBER(B12))),"",IF(G12=Statement!$H$2,B12*1000+ROW(),""))</f>
        <v/>
      </c>
    </row>
    <row r="13">
      <c r="A13" s="1" t="n"/>
      <c r="B13" s="18" t="n">
        <v>46127</v>
      </c>
      <c r="C13" s="16" t="inlineStr">
        <is>
          <t>2 Priya</t>
        </is>
      </c>
      <c r="D13" s="19" t="n">
        <v>103</v>
      </c>
      <c r="E13" s="17" t="inlineStr">
        <is>
          <t>Bank transfer</t>
        </is>
      </c>
      <c r="F13" s="22" t="n"/>
      <c r="G13" s="14">
        <f>IF(C13="","",IFERROR(VALUE(LEFT(C13,FIND(" ",C13&amp;" ")-1)),""))</f>
        <v/>
      </c>
      <c r="H13" s="26">
        <f>IF(C13="","",IF(G13="","Pick a loan",IFERROR(IF(INDEX(Loans!$C$6:$C$305,MATCH(G13,Loans!$B$6:$B$305,0))="","Not a loan",INDEX(Loans!$C$6:$C$305,MATCH(G13,Loans!$B$6:$B$305,0))),"Not a loan")))</f>
        <v/>
      </c>
      <c r="I13" s="10">
        <f>IF(OR(G13="",H13="Not a loan"),"",IF(INDEX(Loans!$D$6:$D$305,MATCH(G13,Loans!$B$6:$B$305,0))="I borrowed","Out","In"))</f>
        <v/>
      </c>
      <c r="J13" s="1">
        <f>IF(NOT(ISNUMBER(B13)),"",YEAR(B13)*100+MONTH(B13))</f>
        <v/>
      </c>
      <c r="K13">
        <f>IF(OR(G13="",NOT(ISNUMBER(B13))),"",IF(G13=Statement!$H$2,B13*1000+ROW(),""))</f>
        <v/>
      </c>
    </row>
    <row r="14">
      <c r="A14" s="1" t="n"/>
      <c r="B14" s="18" t="n">
        <v>46143</v>
      </c>
      <c r="C14" s="16" t="inlineStr">
        <is>
          <t>4 Aunt Rosa</t>
        </is>
      </c>
      <c r="D14" s="19" t="n">
        <v>100</v>
      </c>
      <c r="E14" s="17" t="inlineStr">
        <is>
          <t>Bank transfer</t>
        </is>
      </c>
      <c r="F14" s="22" t="n"/>
      <c r="G14" s="14">
        <f>IF(C14="","",IFERROR(VALUE(LEFT(C14,FIND(" ",C14&amp;" ")-1)),""))</f>
        <v/>
      </c>
      <c r="H14" s="26">
        <f>IF(C14="","",IF(G14="","Pick a loan",IFERROR(IF(INDEX(Loans!$C$6:$C$305,MATCH(G14,Loans!$B$6:$B$305,0))="","Not a loan",INDEX(Loans!$C$6:$C$305,MATCH(G14,Loans!$B$6:$B$305,0))),"Not a loan")))</f>
        <v/>
      </c>
      <c r="I14" s="10">
        <f>IF(OR(G14="",H14="Not a loan"),"",IF(INDEX(Loans!$D$6:$D$305,MATCH(G14,Loans!$B$6:$B$305,0))="I borrowed","Out","In"))</f>
        <v/>
      </c>
      <c r="J14" s="1">
        <f>IF(NOT(ISNUMBER(B14)),"",YEAR(B14)*100+MONTH(B14))</f>
        <v/>
      </c>
      <c r="K14">
        <f>IF(OR(G14="",NOT(ISNUMBER(B14))),"",IF(G14=Statement!$H$2,B14*1000+ROW(),""))</f>
        <v/>
      </c>
    </row>
    <row r="15">
      <c r="A15" s="1" t="n"/>
      <c r="B15" s="18" t="n">
        <v>46144</v>
      </c>
      <c r="C15" s="16" t="inlineStr">
        <is>
          <t>1 Sam</t>
        </is>
      </c>
      <c r="D15" s="19" t="n">
        <v>50</v>
      </c>
      <c r="E15" s="17" t="inlineStr">
        <is>
          <t>Bank transfer</t>
        </is>
      </c>
      <c r="F15" s="22" t="n"/>
      <c r="G15" s="14">
        <f>IF(C15="","",IFERROR(VALUE(LEFT(C15,FIND(" ",C15&amp;" ")-1)),""))</f>
        <v/>
      </c>
      <c r="H15" s="26">
        <f>IF(C15="","",IF(G15="","Pick a loan",IFERROR(IF(INDEX(Loans!$C$6:$C$305,MATCH(G15,Loans!$B$6:$B$305,0))="","Not a loan",INDEX(Loans!$C$6:$C$305,MATCH(G15,Loans!$B$6:$B$305,0))),"Not a loan")))</f>
        <v/>
      </c>
      <c r="I15" s="10">
        <f>IF(OR(G15="",H15="Not a loan"),"",IF(INDEX(Loans!$D$6:$D$305,MATCH(G15,Loans!$B$6:$B$305,0))="I borrowed","Out","In"))</f>
        <v/>
      </c>
      <c r="J15" s="1">
        <f>IF(NOT(ISNUMBER(B15)),"",YEAR(B15)*100+MONTH(B15))</f>
        <v/>
      </c>
      <c r="K15">
        <f>IF(OR(G15="",NOT(ISNUMBER(B15))),"",IF(G15=Statement!$H$2,B15*1000+ROW(),""))</f>
        <v/>
      </c>
    </row>
    <row r="16">
      <c r="A16" s="1" t="n"/>
      <c r="B16" s="18" t="n">
        <v>46157</v>
      </c>
      <c r="C16" s="16" t="inlineStr">
        <is>
          <t>2 Priya</t>
        </is>
      </c>
      <c r="D16" s="19" t="n">
        <v>103</v>
      </c>
      <c r="E16" s="17" t="inlineStr">
        <is>
          <t>Bank transfer</t>
        </is>
      </c>
      <c r="F16" s="22" t="n"/>
      <c r="G16" s="14">
        <f>IF(C16="","",IFERROR(VALUE(LEFT(C16,FIND(" ",C16&amp;" ")-1)),""))</f>
        <v/>
      </c>
      <c r="H16" s="26">
        <f>IF(C16="","",IF(G16="","Pick a loan",IFERROR(IF(INDEX(Loans!$C$6:$C$305,MATCH(G16,Loans!$B$6:$B$305,0))="","Not a loan",INDEX(Loans!$C$6:$C$305,MATCH(G16,Loans!$B$6:$B$305,0))),"Not a loan")))</f>
        <v/>
      </c>
      <c r="I16" s="10">
        <f>IF(OR(G16="",H16="Not a loan"),"",IF(INDEX(Loans!$D$6:$D$305,MATCH(G16,Loans!$B$6:$B$305,0))="I borrowed","Out","In"))</f>
        <v/>
      </c>
      <c r="J16" s="1">
        <f>IF(NOT(ISNUMBER(B16)),"",YEAR(B16)*100+MONTH(B16))</f>
        <v/>
      </c>
      <c r="K16">
        <f>IF(OR(G16="",NOT(ISNUMBER(B16))),"",IF(G16=Statement!$H$2,B16*1000+ROW(),""))</f>
        <v/>
      </c>
    </row>
    <row r="17">
      <c r="A17" s="1" t="n"/>
      <c r="B17" s="18" t="n">
        <v>46174</v>
      </c>
      <c r="C17" s="16" t="inlineStr">
        <is>
          <t>4 Aunt Rosa</t>
        </is>
      </c>
      <c r="D17" s="19" t="n">
        <v>100</v>
      </c>
      <c r="E17" s="17" t="inlineStr">
        <is>
          <t>Bank transfer</t>
        </is>
      </c>
      <c r="F17" s="22" t="n"/>
      <c r="G17" s="14">
        <f>IF(C17="","",IFERROR(VALUE(LEFT(C17,FIND(" ",C17&amp;" ")-1)),""))</f>
        <v/>
      </c>
      <c r="H17" s="26">
        <f>IF(C17="","",IF(G17="","Pick a loan",IFERROR(IF(INDEX(Loans!$C$6:$C$305,MATCH(G17,Loans!$B$6:$B$305,0))="","Not a loan",INDEX(Loans!$C$6:$C$305,MATCH(G17,Loans!$B$6:$B$305,0))),"Not a loan")))</f>
        <v/>
      </c>
      <c r="I17" s="10">
        <f>IF(OR(G17="",H17="Not a loan"),"",IF(INDEX(Loans!$D$6:$D$305,MATCH(G17,Loans!$B$6:$B$305,0))="I borrowed","Out","In"))</f>
        <v/>
      </c>
      <c r="J17" s="1">
        <f>IF(NOT(ISNUMBER(B17)),"",YEAR(B17)*100+MONTH(B17))</f>
        <v/>
      </c>
      <c r="K17">
        <f>IF(OR(G17="",NOT(ISNUMBER(B17))),"",IF(G17=Statement!$H$2,B17*1000+ROW(),""))</f>
        <v/>
      </c>
    </row>
    <row r="18">
      <c r="A18" s="1" t="n"/>
      <c r="B18" s="18" t="n">
        <v>46175</v>
      </c>
      <c r="C18" s="16" t="inlineStr">
        <is>
          <t>1 Sam</t>
        </is>
      </c>
      <c r="D18" s="19" t="n">
        <v>50</v>
      </c>
      <c r="E18" s="17" t="inlineStr">
        <is>
          <t>Bank transfer</t>
        </is>
      </c>
      <c r="F18" s="22" t="n"/>
      <c r="G18" s="14">
        <f>IF(C18="","",IFERROR(VALUE(LEFT(C18,FIND(" ",C18&amp;" ")-1)),""))</f>
        <v/>
      </c>
      <c r="H18" s="26">
        <f>IF(C18="","",IF(G18="","Pick a loan",IFERROR(IF(INDEX(Loans!$C$6:$C$305,MATCH(G18,Loans!$B$6:$B$305,0))="","Not a loan",INDEX(Loans!$C$6:$C$305,MATCH(G18,Loans!$B$6:$B$305,0))),"Not a loan")))</f>
        <v/>
      </c>
      <c r="I18" s="10">
        <f>IF(OR(G18="",H18="Not a loan"),"",IF(INDEX(Loans!$D$6:$D$305,MATCH(G18,Loans!$B$6:$B$305,0))="I borrowed","Out","In"))</f>
        <v/>
      </c>
      <c r="J18" s="1">
        <f>IF(NOT(ISNUMBER(B18)),"",YEAR(B18)*100+MONTH(B18))</f>
        <v/>
      </c>
      <c r="K18">
        <f>IF(OR(G18="",NOT(ISNUMBER(B18))),"",IF(G18=Statement!$H$2,B18*1000+ROW(),""))</f>
        <v/>
      </c>
    </row>
    <row r="19">
      <c r="A19" s="1" t="n"/>
      <c r="B19" s="18" t="n">
        <v>46188</v>
      </c>
      <c r="C19" s="16" t="inlineStr">
        <is>
          <t>2 Priya</t>
        </is>
      </c>
      <c r="D19" s="19" t="n">
        <v>103</v>
      </c>
      <c r="E19" s="17" t="inlineStr">
        <is>
          <t>Bank transfer</t>
        </is>
      </c>
      <c r="F19" s="22" t="n"/>
      <c r="G19" s="14">
        <f>IF(C19="","",IFERROR(VALUE(LEFT(C19,FIND(" ",C19&amp;" ")-1)),""))</f>
        <v/>
      </c>
      <c r="H19" s="26">
        <f>IF(C19="","",IF(G19="","Pick a loan",IFERROR(IF(INDEX(Loans!$C$6:$C$305,MATCH(G19,Loans!$B$6:$B$305,0))="","Not a loan",INDEX(Loans!$C$6:$C$305,MATCH(G19,Loans!$B$6:$B$305,0))),"Not a loan")))</f>
        <v/>
      </c>
      <c r="I19" s="10">
        <f>IF(OR(G19="",H19="Not a loan"),"",IF(INDEX(Loans!$D$6:$D$305,MATCH(G19,Loans!$B$6:$B$305,0))="I borrowed","Out","In"))</f>
        <v/>
      </c>
      <c r="J19" s="1">
        <f>IF(NOT(ISNUMBER(B19)),"",YEAR(B19)*100+MONTH(B19))</f>
        <v/>
      </c>
      <c r="K19">
        <f>IF(OR(G19="",NOT(ISNUMBER(B19))),"",IF(G19=Statement!$H$2,B19*1000+ROW(),""))</f>
        <v/>
      </c>
    </row>
    <row r="20">
      <c r="A20" s="1" t="n"/>
      <c r="B20" s="18" t="n">
        <v>46204</v>
      </c>
      <c r="C20" s="16" t="inlineStr">
        <is>
          <t>4 Aunt Rosa</t>
        </is>
      </c>
      <c r="D20" s="19" t="n">
        <v>100</v>
      </c>
      <c r="E20" s="17" t="inlineStr">
        <is>
          <t>Bank transfer</t>
        </is>
      </c>
      <c r="F20" s="22" t="n"/>
      <c r="G20" s="14">
        <f>IF(C20="","",IFERROR(VALUE(LEFT(C20,FIND(" ",C20&amp;" ")-1)),""))</f>
        <v/>
      </c>
      <c r="H20" s="26">
        <f>IF(C20="","",IF(G20="","Pick a loan",IFERROR(IF(INDEX(Loans!$C$6:$C$305,MATCH(G20,Loans!$B$6:$B$305,0))="","Not a loan",INDEX(Loans!$C$6:$C$305,MATCH(G20,Loans!$B$6:$B$305,0))),"Not a loan")))</f>
        <v/>
      </c>
      <c r="I20" s="10">
        <f>IF(OR(G20="",H20="Not a loan"),"",IF(INDEX(Loans!$D$6:$D$305,MATCH(G20,Loans!$B$6:$B$305,0))="I borrowed","Out","In"))</f>
        <v/>
      </c>
      <c r="J20" s="1">
        <f>IF(NOT(ISNUMBER(B20)),"",YEAR(B20)*100+MONTH(B20))</f>
        <v/>
      </c>
      <c r="K20">
        <f>IF(OR(G20="",NOT(ISNUMBER(B20))),"",IF(G20=Statement!$H$2,B20*1000+ROW(),""))</f>
        <v/>
      </c>
    </row>
    <row r="21">
      <c r="A21" s="1" t="n"/>
      <c r="B21" s="18" t="n">
        <v>46205</v>
      </c>
      <c r="C21" s="16" t="inlineStr">
        <is>
          <t>1 Sam</t>
        </is>
      </c>
      <c r="D21" s="19" t="n">
        <v>50</v>
      </c>
      <c r="E21" s="17" t="inlineStr">
        <is>
          <t>Bank transfer</t>
        </is>
      </c>
      <c r="F21" s="22" t="n"/>
      <c r="G21" s="14">
        <f>IF(C21="","",IFERROR(VALUE(LEFT(C21,FIND(" ",C21&amp;" ")-1)),""))</f>
        <v/>
      </c>
      <c r="H21" s="26">
        <f>IF(C21="","",IF(G21="","Pick a loan",IFERROR(IF(INDEX(Loans!$C$6:$C$305,MATCH(G21,Loans!$B$6:$B$305,0))="","Not a loan",INDEX(Loans!$C$6:$C$305,MATCH(G21,Loans!$B$6:$B$305,0))),"Not a loan")))</f>
        <v/>
      </c>
      <c r="I21" s="10">
        <f>IF(OR(G21="",H21="Not a loan"),"",IF(INDEX(Loans!$D$6:$D$305,MATCH(G21,Loans!$B$6:$B$305,0))="I borrowed","Out","In"))</f>
        <v/>
      </c>
      <c r="J21" s="1">
        <f>IF(NOT(ISNUMBER(B21)),"",YEAR(B21)*100+MONTH(B21))</f>
        <v/>
      </c>
      <c r="K21">
        <f>IF(OR(G21="",NOT(ISNUMBER(B21))),"",IF(G21=Statement!$H$2,B21*1000+ROW(),""))</f>
        <v/>
      </c>
    </row>
    <row r="22">
      <c r="A22" s="1" t="n"/>
      <c r="B22" s="18" t="n">
        <v>46218</v>
      </c>
      <c r="C22" s="16" t="inlineStr">
        <is>
          <t>2 Priya</t>
        </is>
      </c>
      <c r="D22" s="19" t="n">
        <v>103</v>
      </c>
      <c r="E22" s="17" t="inlineStr">
        <is>
          <t>Bank transfer</t>
        </is>
      </c>
      <c r="F22" s="22" t="n"/>
      <c r="G22" s="14">
        <f>IF(C22="","",IFERROR(VALUE(LEFT(C22,FIND(" ",C22&amp;" ")-1)),""))</f>
        <v/>
      </c>
      <c r="H22" s="26">
        <f>IF(C22="","",IF(G22="","Pick a loan",IFERROR(IF(INDEX(Loans!$C$6:$C$305,MATCH(G22,Loans!$B$6:$B$305,0))="","Not a loan",INDEX(Loans!$C$6:$C$305,MATCH(G22,Loans!$B$6:$B$305,0))),"Not a loan")))</f>
        <v/>
      </c>
      <c r="I22" s="10">
        <f>IF(OR(G22="",H22="Not a loan"),"",IF(INDEX(Loans!$D$6:$D$305,MATCH(G22,Loans!$B$6:$B$305,0))="I borrowed","Out","In"))</f>
        <v/>
      </c>
      <c r="J22" s="1">
        <f>IF(NOT(ISNUMBER(B22)),"",YEAR(B22)*100+MONTH(B22))</f>
        <v/>
      </c>
      <c r="K22">
        <f>IF(OR(G22="",NOT(ISNUMBER(B22))),"",IF(G22=Statement!$H$2,B22*1000+ROW(),""))</f>
        <v/>
      </c>
    </row>
    <row r="23">
      <c r="A23" s="1" t="n"/>
      <c r="B23" s="18" t="n">
        <v>46223</v>
      </c>
      <c r="C23" s="16" t="inlineStr">
        <is>
          <t>7 Sam</t>
        </is>
      </c>
      <c r="D23" s="19" t="n">
        <v>40</v>
      </c>
      <c r="E23" s="17" t="inlineStr">
        <is>
          <t>Cash</t>
        </is>
      </c>
      <c r="F23" s="22" t="n"/>
      <c r="G23" s="14">
        <f>IF(C23="","",IFERROR(VALUE(LEFT(C23,FIND(" ",C23&amp;" ")-1)),""))</f>
        <v/>
      </c>
      <c r="H23" s="26">
        <f>IF(C23="","",IF(G23="","Pick a loan",IFERROR(IF(INDEX(Loans!$C$6:$C$305,MATCH(G23,Loans!$B$6:$B$305,0))="","Not a loan",INDEX(Loans!$C$6:$C$305,MATCH(G23,Loans!$B$6:$B$305,0))),"Not a loan")))</f>
        <v/>
      </c>
      <c r="I23" s="10">
        <f>IF(OR(G23="",H23="Not a loan"),"",IF(INDEX(Loans!$D$6:$D$305,MATCH(G23,Loans!$B$6:$B$305,0))="I borrowed","Out","In"))</f>
        <v/>
      </c>
      <c r="J23" s="1">
        <f>IF(NOT(ISNUMBER(B23)),"",YEAR(B23)*100+MONTH(B23))</f>
        <v/>
      </c>
      <c r="K23">
        <f>IF(OR(G23="",NOT(ISNUMBER(B23))),"",IF(G23=Statement!$H$2,B23*1000+ROW(),""))</f>
        <v/>
      </c>
    </row>
    <row r="24">
      <c r="A24" s="1" t="n"/>
      <c r="B24" s="18" t="n">
        <v>46235</v>
      </c>
      <c r="C24" s="16" t="inlineStr">
        <is>
          <t>4 Aunt Rosa</t>
        </is>
      </c>
      <c r="D24" s="19" t="n">
        <v>100</v>
      </c>
      <c r="E24" s="17" t="inlineStr">
        <is>
          <t>Bank transfer</t>
        </is>
      </c>
      <c r="F24" s="22" t="n"/>
      <c r="G24" s="14">
        <f>IF(C24="","",IFERROR(VALUE(LEFT(C24,FIND(" ",C24&amp;" ")-1)),""))</f>
        <v/>
      </c>
      <c r="H24" s="26">
        <f>IF(C24="","",IF(G24="","Pick a loan",IFERROR(IF(INDEX(Loans!$C$6:$C$305,MATCH(G24,Loans!$B$6:$B$305,0))="","Not a loan",INDEX(Loans!$C$6:$C$305,MATCH(G24,Loans!$B$6:$B$305,0))),"Not a loan")))</f>
        <v/>
      </c>
      <c r="I24" s="10">
        <f>IF(OR(G24="",H24="Not a loan"),"",IF(INDEX(Loans!$D$6:$D$305,MATCH(G24,Loans!$B$6:$B$305,0))="I borrowed","Out","In"))</f>
        <v/>
      </c>
      <c r="J24" s="1">
        <f>IF(NOT(ISNUMBER(B24)),"",YEAR(B24)*100+MONTH(B24))</f>
        <v/>
      </c>
      <c r="K24">
        <f>IF(OR(G24="",NOT(ISNUMBER(B24))),"",IF(G24=Statement!$H$2,B24*1000+ROW(),""))</f>
        <v/>
      </c>
    </row>
    <row r="25">
      <c r="A25" s="1" t="n"/>
      <c r="B25" s="18" t="n">
        <v>46247</v>
      </c>
      <c r="C25" s="16" t="inlineStr">
        <is>
          <t>5 Leo</t>
        </is>
      </c>
      <c r="D25" s="19" t="n">
        <v>50</v>
      </c>
      <c r="E25" s="17" t="inlineStr">
        <is>
          <t>App</t>
        </is>
      </c>
      <c r="F25" s="22" t="n"/>
      <c r="G25" s="14">
        <f>IF(C25="","",IFERROR(VALUE(LEFT(C25,FIND(" ",C25&amp;" ")-1)),""))</f>
        <v/>
      </c>
      <c r="H25" s="26">
        <f>IF(C25="","",IF(G25="","Pick a loan",IFERROR(IF(INDEX(Loans!$C$6:$C$305,MATCH(G25,Loans!$B$6:$B$305,0))="","Not a loan",INDEX(Loans!$C$6:$C$305,MATCH(G25,Loans!$B$6:$B$305,0))),"Not a loan")))</f>
        <v/>
      </c>
      <c r="I25" s="10">
        <f>IF(OR(G25="",H25="Not a loan"),"",IF(INDEX(Loans!$D$6:$D$305,MATCH(G25,Loans!$B$6:$B$305,0))="I borrowed","Out","In"))</f>
        <v/>
      </c>
      <c r="J25" s="1">
        <f>IF(NOT(ISNUMBER(B25)),"",YEAR(B25)*100+MONTH(B25))</f>
        <v/>
      </c>
      <c r="K25">
        <f>IF(OR(G25="",NOT(ISNUMBER(B25))),"",IF(G25=Statement!$H$2,B25*1000+ROW(),""))</f>
        <v/>
      </c>
    </row>
    <row r="26">
      <c r="A26" s="1" t="n"/>
      <c r="B26" s="18" t="n">
        <v>46249</v>
      </c>
      <c r="C26" s="16" t="inlineStr">
        <is>
          <t>2 Priya</t>
        </is>
      </c>
      <c r="D26" s="19" t="n">
        <v>103</v>
      </c>
      <c r="E26" s="17" t="inlineStr">
        <is>
          <t>Bank transfer</t>
        </is>
      </c>
      <c r="F26" s="22" t="n"/>
      <c r="G26" s="14">
        <f>IF(C26="","",IFERROR(VALUE(LEFT(C26,FIND(" ",C26&amp;" ")-1)),""))</f>
        <v/>
      </c>
      <c r="H26" s="26">
        <f>IF(C26="","",IF(G26="","Pick a loan",IFERROR(IF(INDEX(Loans!$C$6:$C$305,MATCH(G26,Loans!$B$6:$B$305,0))="","Not a loan",INDEX(Loans!$C$6:$C$305,MATCH(G26,Loans!$B$6:$B$305,0))),"Not a loan")))</f>
        <v/>
      </c>
      <c r="I26" s="10">
        <f>IF(OR(G26="",H26="Not a loan"),"",IF(INDEX(Loans!$D$6:$D$305,MATCH(G26,Loans!$B$6:$B$305,0))="I borrowed","Out","In"))</f>
        <v/>
      </c>
      <c r="J26" s="1">
        <f>IF(NOT(ISNUMBER(B26)),"",YEAR(B26)*100+MONTH(B26))</f>
        <v/>
      </c>
      <c r="K26">
        <f>IF(OR(G26="",NOT(ISNUMBER(B26))),"",IF(G26=Statement!$H$2,B26*1000+ROW(),""))</f>
        <v/>
      </c>
    </row>
    <row r="27">
      <c r="A27" s="1" t="n"/>
      <c r="B27" s="18" t="n">
        <v>46261</v>
      </c>
      <c r="C27" s="16" t="inlineStr">
        <is>
          <t>5 Leo</t>
        </is>
      </c>
      <c r="D27" s="19" t="n">
        <v>50</v>
      </c>
      <c r="E27" s="17" t="inlineStr">
        <is>
          <t>App</t>
        </is>
      </c>
      <c r="F27" s="22" t="n"/>
      <c r="G27" s="14">
        <f>IF(C27="","",IFERROR(VALUE(LEFT(C27,FIND(" ",C27&amp;" ")-1)),""))</f>
        <v/>
      </c>
      <c r="H27" s="26">
        <f>IF(C27="","",IF(G27="","Pick a loan",IFERROR(IF(INDEX(Loans!$C$6:$C$305,MATCH(G27,Loans!$B$6:$B$305,0))="","Not a loan",INDEX(Loans!$C$6:$C$305,MATCH(G27,Loans!$B$6:$B$305,0))),"Not a loan")))</f>
        <v/>
      </c>
      <c r="I27" s="10">
        <f>IF(OR(G27="",H27="Not a loan"),"",IF(INDEX(Loans!$D$6:$D$305,MATCH(G27,Loans!$B$6:$B$305,0))="I borrowed","Out","In"))</f>
        <v/>
      </c>
      <c r="J27" s="1">
        <f>IF(NOT(ISNUMBER(B27)),"",YEAR(B27)*100+MONTH(B27))</f>
        <v/>
      </c>
      <c r="K27">
        <f>IF(OR(G27="",NOT(ISNUMBER(B27))),"",IF(G27=Statement!$H$2,B27*1000+ROW(),""))</f>
        <v/>
      </c>
    </row>
    <row r="28">
      <c r="A28" s="1" t="n"/>
      <c r="B28" s="18" t="n">
        <v>46263</v>
      </c>
      <c r="C28" s="16" t="inlineStr">
        <is>
          <t>3 Jonah</t>
        </is>
      </c>
      <c r="D28" s="19" t="n">
        <v>30</v>
      </c>
      <c r="E28" s="17" t="inlineStr">
        <is>
          <t>Cash</t>
        </is>
      </c>
      <c r="F28" s="22" t="inlineStr">
        <is>
          <t>Paid part at the pub</t>
        </is>
      </c>
      <c r="G28" s="14">
        <f>IF(C28="","",IFERROR(VALUE(LEFT(C28,FIND(" ",C28&amp;" ")-1)),""))</f>
        <v/>
      </c>
      <c r="H28" s="26">
        <f>IF(C28="","",IF(G28="","Pick a loan",IFERROR(IF(INDEX(Loans!$C$6:$C$305,MATCH(G28,Loans!$B$6:$B$305,0))="","Not a loan",INDEX(Loans!$C$6:$C$305,MATCH(G28,Loans!$B$6:$B$305,0))),"Not a loan")))</f>
        <v/>
      </c>
      <c r="I28" s="10">
        <f>IF(OR(G28="",H28="Not a loan"),"",IF(INDEX(Loans!$D$6:$D$305,MATCH(G28,Loans!$B$6:$B$305,0))="I borrowed","Out","In"))</f>
        <v/>
      </c>
      <c r="J28" s="1">
        <f>IF(NOT(ISNUMBER(B28)),"",YEAR(B28)*100+MONTH(B28))</f>
        <v/>
      </c>
      <c r="K28">
        <f>IF(OR(G28="",NOT(ISNUMBER(B28))),"",IF(G28=Statement!$H$2,B28*1000+ROW(),""))</f>
        <v/>
      </c>
    </row>
    <row r="29">
      <c r="A29" s="1" t="n"/>
      <c r="B29" s="18" t="n">
        <v>46266</v>
      </c>
      <c r="C29" s="16" t="inlineStr">
        <is>
          <t>4 Aunt Rosa</t>
        </is>
      </c>
      <c r="D29" s="19" t="n">
        <v>100</v>
      </c>
      <c r="E29" s="17" t="inlineStr">
        <is>
          <t>Bank transfer</t>
        </is>
      </c>
      <c r="F29" s="22" t="n"/>
      <c r="G29" s="14">
        <f>IF(C29="","",IFERROR(VALUE(LEFT(C29,FIND(" ",C29&amp;" ")-1)),""))</f>
        <v/>
      </c>
      <c r="H29" s="26">
        <f>IF(C29="","",IF(G29="","Pick a loan",IFERROR(IF(INDEX(Loans!$C$6:$C$305,MATCH(G29,Loans!$B$6:$B$305,0))="","Not a loan",INDEX(Loans!$C$6:$C$305,MATCH(G29,Loans!$B$6:$B$305,0))),"Not a loan")))</f>
        <v/>
      </c>
      <c r="I29" s="10">
        <f>IF(OR(G29="",H29="Not a loan"),"",IF(INDEX(Loans!$D$6:$D$305,MATCH(G29,Loans!$B$6:$B$305,0))="I borrowed","Out","In"))</f>
        <v/>
      </c>
      <c r="J29" s="1">
        <f>IF(NOT(ISNUMBER(B29)),"",YEAR(B29)*100+MONTH(B29))</f>
        <v/>
      </c>
      <c r="K29">
        <f>IF(OR(G29="",NOT(ISNUMBER(B29))),"",IF(G29=Statement!$H$2,B29*1000+ROW(),""))</f>
        <v/>
      </c>
    </row>
    <row r="30">
      <c r="A30" s="1" t="n"/>
      <c r="B30" s="18" t="n">
        <v>46275</v>
      </c>
      <c r="C30" s="16" t="inlineStr">
        <is>
          <t>5 Leo</t>
        </is>
      </c>
      <c r="D30" s="19" t="n">
        <v>50</v>
      </c>
      <c r="E30" s="17" t="inlineStr">
        <is>
          <t>App</t>
        </is>
      </c>
      <c r="F30" s="22" t="n"/>
      <c r="G30" s="14">
        <f>IF(C30="","",IFERROR(VALUE(LEFT(C30,FIND(" ",C30&amp;" ")-1)),""))</f>
        <v/>
      </c>
      <c r="H30" s="26">
        <f>IF(C30="","",IF(G30="","Pick a loan",IFERROR(IF(INDEX(Loans!$C$6:$C$305,MATCH(G30,Loans!$B$6:$B$305,0))="","Not a loan",INDEX(Loans!$C$6:$C$305,MATCH(G30,Loans!$B$6:$B$305,0))),"Not a loan")))</f>
        <v/>
      </c>
      <c r="I30" s="10">
        <f>IF(OR(G30="",H30="Not a loan"),"",IF(INDEX(Loans!$D$6:$D$305,MATCH(G30,Loans!$B$6:$B$305,0))="I borrowed","Out","In"))</f>
        <v/>
      </c>
      <c r="J30" s="1">
        <f>IF(NOT(ISNUMBER(B30)),"",YEAR(B30)*100+MONTH(B30))</f>
        <v/>
      </c>
      <c r="K30">
        <f>IF(OR(G30="",NOT(ISNUMBER(B30))),"",IF(G30=Statement!$H$2,B30*1000+ROW(),""))</f>
        <v/>
      </c>
    </row>
    <row r="31">
      <c r="A31" s="1" t="n"/>
      <c r="B31" s="18" t="n">
        <v>46280</v>
      </c>
      <c r="C31" s="16" t="inlineStr">
        <is>
          <t>2 Priya</t>
        </is>
      </c>
      <c r="D31" s="19" t="n">
        <v>103</v>
      </c>
      <c r="E31" s="17" t="inlineStr">
        <is>
          <t>Bank transfer</t>
        </is>
      </c>
      <c r="F31" s="22" t="n"/>
      <c r="G31" s="14">
        <f>IF(C31="","",IFERROR(VALUE(LEFT(C31,FIND(" ",C31&amp;" ")-1)),""))</f>
        <v/>
      </c>
      <c r="H31" s="26">
        <f>IF(C31="","",IF(G31="","Pick a loan",IFERROR(IF(INDEX(Loans!$C$6:$C$305,MATCH(G31,Loans!$B$6:$B$305,0))="","Not a loan",INDEX(Loans!$C$6:$C$305,MATCH(G31,Loans!$B$6:$B$305,0))),"Not a loan")))</f>
        <v/>
      </c>
      <c r="I31" s="10">
        <f>IF(OR(G31="",H31="Not a loan"),"",IF(INDEX(Loans!$D$6:$D$305,MATCH(G31,Loans!$B$6:$B$305,0))="I borrowed","Out","In"))</f>
        <v/>
      </c>
      <c r="J31" s="1">
        <f>IF(NOT(ISNUMBER(B31)),"",YEAR(B31)*100+MONTH(B31))</f>
        <v/>
      </c>
      <c r="K31">
        <f>IF(OR(G31="",NOT(ISNUMBER(B31))),"",IF(G31=Statement!$H$2,B31*1000+ROW(),""))</f>
        <v/>
      </c>
    </row>
    <row r="32">
      <c r="A32" s="1" t="n"/>
      <c r="B32" s="18" t="n">
        <v>46280</v>
      </c>
      <c r="C32" s="16" t="inlineStr">
        <is>
          <t>8 Dev</t>
        </is>
      </c>
      <c r="D32" s="19" t="n">
        <v>30</v>
      </c>
      <c r="E32" s="17" t="inlineStr">
        <is>
          <t>App</t>
        </is>
      </c>
      <c r="F32" s="22" t="n"/>
      <c r="G32" s="14">
        <f>IF(C32="","",IFERROR(VALUE(LEFT(C32,FIND(" ",C32&amp;" ")-1)),""))</f>
        <v/>
      </c>
      <c r="H32" s="26">
        <f>IF(C32="","",IF(G32="","Pick a loan",IFERROR(IF(INDEX(Loans!$C$6:$C$305,MATCH(G32,Loans!$B$6:$B$305,0))="","Not a loan",INDEX(Loans!$C$6:$C$305,MATCH(G32,Loans!$B$6:$B$305,0))),"Not a loan")))</f>
        <v/>
      </c>
      <c r="I32" s="10">
        <f>IF(OR(G32="",H32="Not a loan"),"",IF(INDEX(Loans!$D$6:$D$305,MATCH(G32,Loans!$B$6:$B$305,0))="I borrowed","Out","In"))</f>
        <v/>
      </c>
      <c r="J32" s="1">
        <f>IF(NOT(ISNUMBER(B32)),"",YEAR(B32)*100+MONTH(B32))</f>
        <v/>
      </c>
      <c r="K32">
        <f>IF(OR(G32="",NOT(ISNUMBER(B32))),"",IF(G32=Statement!$H$2,B32*1000+ROW(),""))</f>
        <v/>
      </c>
    </row>
    <row r="33">
      <c r="A33" s="1" t="n"/>
      <c r="B33" s="18" t="n">
        <v>46287</v>
      </c>
      <c r="C33" s="16" t="inlineStr">
        <is>
          <t>8 Dev</t>
        </is>
      </c>
      <c r="D33" s="19" t="n">
        <v>30</v>
      </c>
      <c r="E33" s="17" t="inlineStr">
        <is>
          <t>App</t>
        </is>
      </c>
      <c r="F33" s="22" t="n"/>
      <c r="G33" s="14">
        <f>IF(C33="","",IFERROR(VALUE(LEFT(C33,FIND(" ",C33&amp;" ")-1)),""))</f>
        <v/>
      </c>
      <c r="H33" s="26">
        <f>IF(C33="","",IF(G33="","Pick a loan",IFERROR(IF(INDEX(Loans!$C$6:$C$305,MATCH(G33,Loans!$B$6:$B$305,0))="","Not a loan",INDEX(Loans!$C$6:$C$305,MATCH(G33,Loans!$B$6:$B$305,0))),"Not a loan")))</f>
        <v/>
      </c>
      <c r="I33" s="10">
        <f>IF(OR(G33="",H33="Not a loan"),"",IF(INDEX(Loans!$D$6:$D$305,MATCH(G33,Loans!$B$6:$B$305,0))="I borrowed","Out","In"))</f>
        <v/>
      </c>
      <c r="J33" s="1">
        <f>IF(NOT(ISNUMBER(B33)),"",YEAR(B33)*100+MONTH(B33))</f>
        <v/>
      </c>
      <c r="K33">
        <f>IF(OR(G33="",NOT(ISNUMBER(B33))),"",IF(G33=Statement!$H$2,B33*1000+ROW(),""))</f>
        <v/>
      </c>
    </row>
    <row r="34">
      <c r="A34" s="1" t="n"/>
      <c r="B34" s="18" t="n"/>
      <c r="C34" s="16" t="n"/>
      <c r="D34" s="19" t="n"/>
      <c r="E34" s="17" t="n"/>
      <c r="F34" s="22" t="n"/>
      <c r="G34" s="14">
        <f>IF(C34="","",IFERROR(VALUE(LEFT(C34,FIND(" ",C34&amp;" ")-1)),""))</f>
        <v/>
      </c>
      <c r="H34" s="26">
        <f>IF(C34="","",IF(G34="","Pick a loan",IFERROR(IF(INDEX(Loans!$C$6:$C$305,MATCH(G34,Loans!$B$6:$B$305,0))="","Not a loan",INDEX(Loans!$C$6:$C$305,MATCH(G34,Loans!$B$6:$B$305,0))),"Not a loan")))</f>
        <v/>
      </c>
      <c r="I34" s="10">
        <f>IF(OR(G34="",H34="Not a loan"),"",IF(INDEX(Loans!$D$6:$D$305,MATCH(G34,Loans!$B$6:$B$305,0))="I borrowed","Out","In"))</f>
        <v/>
      </c>
      <c r="J34" s="1">
        <f>IF(NOT(ISNUMBER(B34)),"",YEAR(B34)*100+MONTH(B34))</f>
        <v/>
      </c>
      <c r="K34">
        <f>IF(OR(G34="",NOT(ISNUMBER(B34))),"",IF(G34=Statement!$H$2,B34*1000+ROW(),""))</f>
        <v/>
      </c>
    </row>
    <row r="35">
      <c r="A35" s="1" t="n"/>
      <c r="B35" s="18" t="n"/>
      <c r="C35" s="16" t="n"/>
      <c r="D35" s="19" t="n"/>
      <c r="E35" s="17" t="n"/>
      <c r="F35" s="22" t="n"/>
      <c r="G35" s="14">
        <f>IF(C35="","",IFERROR(VALUE(LEFT(C35,FIND(" ",C35&amp;" ")-1)),""))</f>
        <v/>
      </c>
      <c r="H35" s="26">
        <f>IF(C35="","",IF(G35="","Pick a loan",IFERROR(IF(INDEX(Loans!$C$6:$C$305,MATCH(G35,Loans!$B$6:$B$305,0))="","Not a loan",INDEX(Loans!$C$6:$C$305,MATCH(G35,Loans!$B$6:$B$305,0))),"Not a loan")))</f>
        <v/>
      </c>
      <c r="I35" s="10">
        <f>IF(OR(G35="",H35="Not a loan"),"",IF(INDEX(Loans!$D$6:$D$305,MATCH(G35,Loans!$B$6:$B$305,0))="I borrowed","Out","In"))</f>
        <v/>
      </c>
      <c r="J35" s="1">
        <f>IF(NOT(ISNUMBER(B35)),"",YEAR(B35)*100+MONTH(B35))</f>
        <v/>
      </c>
      <c r="K35">
        <f>IF(OR(G35="",NOT(ISNUMBER(B35))),"",IF(G35=Statement!$H$2,B35*1000+ROW(),""))</f>
        <v/>
      </c>
    </row>
    <row r="36">
      <c r="A36" s="1" t="n"/>
      <c r="B36" s="18" t="n"/>
      <c r="C36" s="16" t="n"/>
      <c r="D36" s="19" t="n"/>
      <c r="E36" s="17" t="n"/>
      <c r="F36" s="22" t="n"/>
      <c r="G36" s="14">
        <f>IF(C36="","",IFERROR(VALUE(LEFT(C36,FIND(" ",C36&amp;" ")-1)),""))</f>
        <v/>
      </c>
      <c r="H36" s="26">
        <f>IF(C36="","",IF(G36="","Pick a loan",IFERROR(IF(INDEX(Loans!$C$6:$C$305,MATCH(G36,Loans!$B$6:$B$305,0))="","Not a loan",INDEX(Loans!$C$6:$C$305,MATCH(G36,Loans!$B$6:$B$305,0))),"Not a loan")))</f>
        <v/>
      </c>
      <c r="I36" s="10">
        <f>IF(OR(G36="",H36="Not a loan"),"",IF(INDEX(Loans!$D$6:$D$305,MATCH(G36,Loans!$B$6:$B$305,0))="I borrowed","Out","In"))</f>
        <v/>
      </c>
      <c r="J36" s="1">
        <f>IF(NOT(ISNUMBER(B36)),"",YEAR(B36)*100+MONTH(B36))</f>
        <v/>
      </c>
      <c r="K36">
        <f>IF(OR(G36="",NOT(ISNUMBER(B36))),"",IF(G36=Statement!$H$2,B36*1000+ROW(),""))</f>
        <v/>
      </c>
    </row>
    <row r="37">
      <c r="A37" s="1" t="n"/>
      <c r="B37" s="18" t="n"/>
      <c r="C37" s="16" t="n"/>
      <c r="D37" s="19" t="n"/>
      <c r="E37" s="17" t="n"/>
      <c r="F37" s="22" t="n"/>
      <c r="G37" s="14">
        <f>IF(C37="","",IFERROR(VALUE(LEFT(C37,FIND(" ",C37&amp;" ")-1)),""))</f>
        <v/>
      </c>
      <c r="H37" s="26">
        <f>IF(C37="","",IF(G37="","Pick a loan",IFERROR(IF(INDEX(Loans!$C$6:$C$305,MATCH(G37,Loans!$B$6:$B$305,0))="","Not a loan",INDEX(Loans!$C$6:$C$305,MATCH(G37,Loans!$B$6:$B$305,0))),"Not a loan")))</f>
        <v/>
      </c>
      <c r="I37" s="10">
        <f>IF(OR(G37="",H37="Not a loan"),"",IF(INDEX(Loans!$D$6:$D$305,MATCH(G37,Loans!$B$6:$B$305,0))="I borrowed","Out","In"))</f>
        <v/>
      </c>
      <c r="J37" s="1">
        <f>IF(NOT(ISNUMBER(B37)),"",YEAR(B37)*100+MONTH(B37))</f>
        <v/>
      </c>
      <c r="K37">
        <f>IF(OR(G37="",NOT(ISNUMBER(B37))),"",IF(G37=Statement!$H$2,B37*1000+ROW(),""))</f>
        <v/>
      </c>
    </row>
    <row r="38">
      <c r="A38" s="1" t="n"/>
      <c r="B38" s="18" t="n"/>
      <c r="C38" s="16" t="n"/>
      <c r="D38" s="19" t="n"/>
      <c r="E38" s="17" t="n"/>
      <c r="F38" s="22" t="n"/>
      <c r="G38" s="14">
        <f>IF(C38="","",IFERROR(VALUE(LEFT(C38,FIND(" ",C38&amp;" ")-1)),""))</f>
        <v/>
      </c>
      <c r="H38" s="26">
        <f>IF(C38="","",IF(G38="","Pick a loan",IFERROR(IF(INDEX(Loans!$C$6:$C$305,MATCH(G38,Loans!$B$6:$B$305,0))="","Not a loan",INDEX(Loans!$C$6:$C$305,MATCH(G38,Loans!$B$6:$B$305,0))),"Not a loan")))</f>
        <v/>
      </c>
      <c r="I38" s="10">
        <f>IF(OR(G38="",H38="Not a loan"),"",IF(INDEX(Loans!$D$6:$D$305,MATCH(G38,Loans!$B$6:$B$305,0))="I borrowed","Out","In"))</f>
        <v/>
      </c>
      <c r="J38" s="1">
        <f>IF(NOT(ISNUMBER(B38)),"",YEAR(B38)*100+MONTH(B38))</f>
        <v/>
      </c>
      <c r="K38">
        <f>IF(OR(G38="",NOT(ISNUMBER(B38))),"",IF(G38=Statement!$H$2,B38*1000+ROW(),""))</f>
        <v/>
      </c>
    </row>
    <row r="39">
      <c r="A39" s="1" t="n"/>
      <c r="B39" s="18" t="n"/>
      <c r="C39" s="16" t="n"/>
      <c r="D39" s="19" t="n"/>
      <c r="E39" s="17" t="n"/>
      <c r="F39" s="22" t="n"/>
      <c r="G39" s="14">
        <f>IF(C39="","",IFERROR(VALUE(LEFT(C39,FIND(" ",C39&amp;" ")-1)),""))</f>
        <v/>
      </c>
      <c r="H39" s="26">
        <f>IF(C39="","",IF(G39="","Pick a loan",IFERROR(IF(INDEX(Loans!$C$6:$C$305,MATCH(G39,Loans!$B$6:$B$305,0))="","Not a loan",INDEX(Loans!$C$6:$C$305,MATCH(G39,Loans!$B$6:$B$305,0))),"Not a loan")))</f>
        <v/>
      </c>
      <c r="I39" s="10">
        <f>IF(OR(G39="",H39="Not a loan"),"",IF(INDEX(Loans!$D$6:$D$305,MATCH(G39,Loans!$B$6:$B$305,0))="I borrowed","Out","In"))</f>
        <v/>
      </c>
      <c r="J39" s="1">
        <f>IF(NOT(ISNUMBER(B39)),"",YEAR(B39)*100+MONTH(B39))</f>
        <v/>
      </c>
      <c r="K39">
        <f>IF(OR(G39="",NOT(ISNUMBER(B39))),"",IF(G39=Statement!$H$2,B39*1000+ROW(),""))</f>
        <v/>
      </c>
    </row>
    <row r="40">
      <c r="A40" s="1" t="n"/>
      <c r="B40" s="18" t="n"/>
      <c r="C40" s="16" t="n"/>
      <c r="D40" s="19" t="n"/>
      <c r="E40" s="17" t="n"/>
      <c r="F40" s="22" t="n"/>
      <c r="G40" s="14">
        <f>IF(C40="","",IFERROR(VALUE(LEFT(C40,FIND(" ",C40&amp;" ")-1)),""))</f>
        <v/>
      </c>
      <c r="H40" s="26">
        <f>IF(C40="","",IF(G40="","Pick a loan",IFERROR(IF(INDEX(Loans!$C$6:$C$305,MATCH(G40,Loans!$B$6:$B$305,0))="","Not a loan",INDEX(Loans!$C$6:$C$305,MATCH(G40,Loans!$B$6:$B$305,0))),"Not a loan")))</f>
        <v/>
      </c>
      <c r="I40" s="10">
        <f>IF(OR(G40="",H40="Not a loan"),"",IF(INDEX(Loans!$D$6:$D$305,MATCH(G40,Loans!$B$6:$B$305,0))="I borrowed","Out","In"))</f>
        <v/>
      </c>
      <c r="J40" s="1">
        <f>IF(NOT(ISNUMBER(B40)),"",YEAR(B40)*100+MONTH(B40))</f>
        <v/>
      </c>
      <c r="K40">
        <f>IF(OR(G40="",NOT(ISNUMBER(B40))),"",IF(G40=Statement!$H$2,B40*1000+ROW(),""))</f>
        <v/>
      </c>
    </row>
    <row r="41">
      <c r="A41" s="1" t="n"/>
      <c r="B41" s="18" t="n"/>
      <c r="C41" s="16" t="n"/>
      <c r="D41" s="19" t="n"/>
      <c r="E41" s="17" t="n"/>
      <c r="F41" s="22" t="n"/>
      <c r="G41" s="14">
        <f>IF(C41="","",IFERROR(VALUE(LEFT(C41,FIND(" ",C41&amp;" ")-1)),""))</f>
        <v/>
      </c>
      <c r="H41" s="26">
        <f>IF(C41="","",IF(G41="","Pick a loan",IFERROR(IF(INDEX(Loans!$C$6:$C$305,MATCH(G41,Loans!$B$6:$B$305,0))="","Not a loan",INDEX(Loans!$C$6:$C$305,MATCH(G41,Loans!$B$6:$B$305,0))),"Not a loan")))</f>
        <v/>
      </c>
      <c r="I41" s="10">
        <f>IF(OR(G41="",H41="Not a loan"),"",IF(INDEX(Loans!$D$6:$D$305,MATCH(G41,Loans!$B$6:$B$305,0))="I borrowed","Out","In"))</f>
        <v/>
      </c>
      <c r="J41" s="1">
        <f>IF(NOT(ISNUMBER(B41)),"",YEAR(B41)*100+MONTH(B41))</f>
        <v/>
      </c>
      <c r="K41">
        <f>IF(OR(G41="",NOT(ISNUMBER(B41))),"",IF(G41=Statement!$H$2,B41*1000+ROW(),""))</f>
        <v/>
      </c>
    </row>
    <row r="42">
      <c r="A42" s="1" t="n"/>
      <c r="B42" s="18" t="n"/>
      <c r="C42" s="16" t="n"/>
      <c r="D42" s="19" t="n"/>
      <c r="E42" s="17" t="n"/>
      <c r="F42" s="22" t="n"/>
      <c r="G42" s="14">
        <f>IF(C42="","",IFERROR(VALUE(LEFT(C42,FIND(" ",C42&amp;" ")-1)),""))</f>
        <v/>
      </c>
      <c r="H42" s="26">
        <f>IF(C42="","",IF(G42="","Pick a loan",IFERROR(IF(INDEX(Loans!$C$6:$C$305,MATCH(G42,Loans!$B$6:$B$305,0))="","Not a loan",INDEX(Loans!$C$6:$C$305,MATCH(G42,Loans!$B$6:$B$305,0))),"Not a loan")))</f>
        <v/>
      </c>
      <c r="I42" s="10">
        <f>IF(OR(G42="",H42="Not a loan"),"",IF(INDEX(Loans!$D$6:$D$305,MATCH(G42,Loans!$B$6:$B$305,0))="I borrowed","Out","In"))</f>
        <v/>
      </c>
      <c r="J42" s="1">
        <f>IF(NOT(ISNUMBER(B42)),"",YEAR(B42)*100+MONTH(B42))</f>
        <v/>
      </c>
      <c r="K42">
        <f>IF(OR(G42="",NOT(ISNUMBER(B42))),"",IF(G42=Statement!$H$2,B42*1000+ROW(),""))</f>
        <v/>
      </c>
    </row>
    <row r="43">
      <c r="A43" s="1" t="n"/>
      <c r="B43" s="18" t="n"/>
      <c r="C43" s="16" t="n"/>
      <c r="D43" s="19" t="n"/>
      <c r="E43" s="17" t="n"/>
      <c r="F43" s="22" t="n"/>
      <c r="G43" s="14">
        <f>IF(C43="","",IFERROR(VALUE(LEFT(C43,FIND(" ",C43&amp;" ")-1)),""))</f>
        <v/>
      </c>
      <c r="H43" s="26">
        <f>IF(C43="","",IF(G43="","Pick a loan",IFERROR(IF(INDEX(Loans!$C$6:$C$305,MATCH(G43,Loans!$B$6:$B$305,0))="","Not a loan",INDEX(Loans!$C$6:$C$305,MATCH(G43,Loans!$B$6:$B$305,0))),"Not a loan")))</f>
        <v/>
      </c>
      <c r="I43" s="10">
        <f>IF(OR(G43="",H43="Not a loan"),"",IF(INDEX(Loans!$D$6:$D$305,MATCH(G43,Loans!$B$6:$B$305,0))="I borrowed","Out","In"))</f>
        <v/>
      </c>
      <c r="J43" s="1">
        <f>IF(NOT(ISNUMBER(B43)),"",YEAR(B43)*100+MONTH(B43))</f>
        <v/>
      </c>
      <c r="K43">
        <f>IF(OR(G43="",NOT(ISNUMBER(B43))),"",IF(G43=Statement!$H$2,B43*1000+ROW(),""))</f>
        <v/>
      </c>
    </row>
    <row r="44">
      <c r="A44" s="1" t="n"/>
      <c r="B44" s="18" t="n"/>
      <c r="C44" s="16" t="n"/>
      <c r="D44" s="19" t="n"/>
      <c r="E44" s="17" t="n"/>
      <c r="F44" s="22" t="n"/>
      <c r="G44" s="14">
        <f>IF(C44="","",IFERROR(VALUE(LEFT(C44,FIND(" ",C44&amp;" ")-1)),""))</f>
        <v/>
      </c>
      <c r="H44" s="26">
        <f>IF(C44="","",IF(G44="","Pick a loan",IFERROR(IF(INDEX(Loans!$C$6:$C$305,MATCH(G44,Loans!$B$6:$B$305,0))="","Not a loan",INDEX(Loans!$C$6:$C$305,MATCH(G44,Loans!$B$6:$B$305,0))),"Not a loan")))</f>
        <v/>
      </c>
      <c r="I44" s="10">
        <f>IF(OR(G44="",H44="Not a loan"),"",IF(INDEX(Loans!$D$6:$D$305,MATCH(G44,Loans!$B$6:$B$305,0))="I borrowed","Out","In"))</f>
        <v/>
      </c>
      <c r="J44" s="1">
        <f>IF(NOT(ISNUMBER(B44)),"",YEAR(B44)*100+MONTH(B44))</f>
        <v/>
      </c>
      <c r="K44">
        <f>IF(OR(G44="",NOT(ISNUMBER(B44))),"",IF(G44=Statement!$H$2,B44*1000+ROW(),""))</f>
        <v/>
      </c>
    </row>
    <row r="45">
      <c r="A45" s="1" t="n"/>
      <c r="B45" s="18" t="n"/>
      <c r="C45" s="16" t="n"/>
      <c r="D45" s="19" t="n"/>
      <c r="E45" s="17" t="n"/>
      <c r="F45" s="22" t="n"/>
      <c r="G45" s="14">
        <f>IF(C45="","",IFERROR(VALUE(LEFT(C45,FIND(" ",C45&amp;" ")-1)),""))</f>
        <v/>
      </c>
      <c r="H45" s="26">
        <f>IF(C45="","",IF(G45="","Pick a loan",IFERROR(IF(INDEX(Loans!$C$6:$C$305,MATCH(G45,Loans!$B$6:$B$305,0))="","Not a loan",INDEX(Loans!$C$6:$C$305,MATCH(G45,Loans!$B$6:$B$305,0))),"Not a loan")))</f>
        <v/>
      </c>
      <c r="I45" s="10">
        <f>IF(OR(G45="",H45="Not a loan"),"",IF(INDEX(Loans!$D$6:$D$305,MATCH(G45,Loans!$B$6:$B$305,0))="I borrowed","Out","In"))</f>
        <v/>
      </c>
      <c r="J45" s="1">
        <f>IF(NOT(ISNUMBER(B45)),"",YEAR(B45)*100+MONTH(B45))</f>
        <v/>
      </c>
      <c r="K45">
        <f>IF(OR(G45="",NOT(ISNUMBER(B45))),"",IF(G45=Statement!$H$2,B45*1000+ROW(),""))</f>
        <v/>
      </c>
    </row>
    <row r="46">
      <c r="A46" s="1" t="n"/>
      <c r="B46" s="18" t="n"/>
      <c r="C46" s="16" t="n"/>
      <c r="D46" s="19" t="n"/>
      <c r="E46" s="17" t="n"/>
      <c r="F46" s="22" t="n"/>
      <c r="G46" s="14">
        <f>IF(C46="","",IFERROR(VALUE(LEFT(C46,FIND(" ",C46&amp;" ")-1)),""))</f>
        <v/>
      </c>
      <c r="H46" s="26">
        <f>IF(C46="","",IF(G46="","Pick a loan",IFERROR(IF(INDEX(Loans!$C$6:$C$305,MATCH(G46,Loans!$B$6:$B$305,0))="","Not a loan",INDEX(Loans!$C$6:$C$305,MATCH(G46,Loans!$B$6:$B$305,0))),"Not a loan")))</f>
        <v/>
      </c>
      <c r="I46" s="10">
        <f>IF(OR(G46="",H46="Not a loan"),"",IF(INDEX(Loans!$D$6:$D$305,MATCH(G46,Loans!$B$6:$B$305,0))="I borrowed","Out","In"))</f>
        <v/>
      </c>
      <c r="J46" s="1">
        <f>IF(NOT(ISNUMBER(B46)),"",YEAR(B46)*100+MONTH(B46))</f>
        <v/>
      </c>
      <c r="K46">
        <f>IF(OR(G46="",NOT(ISNUMBER(B46))),"",IF(G46=Statement!$H$2,B46*1000+ROW(),""))</f>
        <v/>
      </c>
    </row>
    <row r="47">
      <c r="A47" s="1" t="n"/>
      <c r="B47" s="18" t="n"/>
      <c r="C47" s="16" t="n"/>
      <c r="D47" s="19" t="n"/>
      <c r="E47" s="17" t="n"/>
      <c r="F47" s="22" t="n"/>
      <c r="G47" s="14">
        <f>IF(C47="","",IFERROR(VALUE(LEFT(C47,FIND(" ",C47&amp;" ")-1)),""))</f>
        <v/>
      </c>
      <c r="H47" s="26">
        <f>IF(C47="","",IF(G47="","Pick a loan",IFERROR(IF(INDEX(Loans!$C$6:$C$305,MATCH(G47,Loans!$B$6:$B$305,0))="","Not a loan",INDEX(Loans!$C$6:$C$305,MATCH(G47,Loans!$B$6:$B$305,0))),"Not a loan")))</f>
        <v/>
      </c>
      <c r="I47" s="10">
        <f>IF(OR(G47="",H47="Not a loan"),"",IF(INDEX(Loans!$D$6:$D$305,MATCH(G47,Loans!$B$6:$B$305,0))="I borrowed","Out","In"))</f>
        <v/>
      </c>
      <c r="J47" s="1">
        <f>IF(NOT(ISNUMBER(B47)),"",YEAR(B47)*100+MONTH(B47))</f>
        <v/>
      </c>
      <c r="K47">
        <f>IF(OR(G47="",NOT(ISNUMBER(B47))),"",IF(G47=Statement!$H$2,B47*1000+ROW(),""))</f>
        <v/>
      </c>
    </row>
    <row r="48">
      <c r="A48" s="1" t="n"/>
      <c r="B48" s="18" t="n"/>
      <c r="C48" s="16" t="n"/>
      <c r="D48" s="19" t="n"/>
      <c r="E48" s="17" t="n"/>
      <c r="F48" s="22" t="n"/>
      <c r="G48" s="14">
        <f>IF(C48="","",IFERROR(VALUE(LEFT(C48,FIND(" ",C48&amp;" ")-1)),""))</f>
        <v/>
      </c>
      <c r="H48" s="26">
        <f>IF(C48="","",IF(G48="","Pick a loan",IFERROR(IF(INDEX(Loans!$C$6:$C$305,MATCH(G48,Loans!$B$6:$B$305,0))="","Not a loan",INDEX(Loans!$C$6:$C$305,MATCH(G48,Loans!$B$6:$B$305,0))),"Not a loan")))</f>
        <v/>
      </c>
      <c r="I48" s="10">
        <f>IF(OR(G48="",H48="Not a loan"),"",IF(INDEX(Loans!$D$6:$D$305,MATCH(G48,Loans!$B$6:$B$305,0))="I borrowed","Out","In"))</f>
        <v/>
      </c>
      <c r="J48" s="1">
        <f>IF(NOT(ISNUMBER(B48)),"",YEAR(B48)*100+MONTH(B48))</f>
        <v/>
      </c>
      <c r="K48">
        <f>IF(OR(G48="",NOT(ISNUMBER(B48))),"",IF(G48=Statement!$H$2,B48*1000+ROW(),""))</f>
        <v/>
      </c>
    </row>
    <row r="49">
      <c r="A49" s="1" t="n"/>
      <c r="B49" s="18" t="n"/>
      <c r="C49" s="16" t="n"/>
      <c r="D49" s="19" t="n"/>
      <c r="E49" s="17" t="n"/>
      <c r="F49" s="22" t="n"/>
      <c r="G49" s="14">
        <f>IF(C49="","",IFERROR(VALUE(LEFT(C49,FIND(" ",C49&amp;" ")-1)),""))</f>
        <v/>
      </c>
      <c r="H49" s="26">
        <f>IF(C49="","",IF(G49="","Pick a loan",IFERROR(IF(INDEX(Loans!$C$6:$C$305,MATCH(G49,Loans!$B$6:$B$305,0))="","Not a loan",INDEX(Loans!$C$6:$C$305,MATCH(G49,Loans!$B$6:$B$305,0))),"Not a loan")))</f>
        <v/>
      </c>
      <c r="I49" s="10">
        <f>IF(OR(G49="",H49="Not a loan"),"",IF(INDEX(Loans!$D$6:$D$305,MATCH(G49,Loans!$B$6:$B$305,0))="I borrowed","Out","In"))</f>
        <v/>
      </c>
      <c r="J49" s="1">
        <f>IF(NOT(ISNUMBER(B49)),"",YEAR(B49)*100+MONTH(B49))</f>
        <v/>
      </c>
      <c r="K49">
        <f>IF(OR(G49="",NOT(ISNUMBER(B49))),"",IF(G49=Statement!$H$2,B49*1000+ROW(),""))</f>
        <v/>
      </c>
    </row>
    <row r="50">
      <c r="A50" s="1" t="n"/>
      <c r="B50" s="18" t="n"/>
      <c r="C50" s="16" t="n"/>
      <c r="D50" s="19" t="n"/>
      <c r="E50" s="17" t="n"/>
      <c r="F50" s="22" t="n"/>
      <c r="G50" s="14">
        <f>IF(C50="","",IFERROR(VALUE(LEFT(C50,FIND(" ",C50&amp;" ")-1)),""))</f>
        <v/>
      </c>
      <c r="H50" s="26">
        <f>IF(C50="","",IF(G50="","Pick a loan",IFERROR(IF(INDEX(Loans!$C$6:$C$305,MATCH(G50,Loans!$B$6:$B$305,0))="","Not a loan",INDEX(Loans!$C$6:$C$305,MATCH(G50,Loans!$B$6:$B$305,0))),"Not a loan")))</f>
        <v/>
      </c>
      <c r="I50" s="10">
        <f>IF(OR(G50="",H50="Not a loan"),"",IF(INDEX(Loans!$D$6:$D$305,MATCH(G50,Loans!$B$6:$B$305,0))="I borrowed","Out","In"))</f>
        <v/>
      </c>
      <c r="J50" s="1">
        <f>IF(NOT(ISNUMBER(B50)),"",YEAR(B50)*100+MONTH(B50))</f>
        <v/>
      </c>
      <c r="K50">
        <f>IF(OR(G50="",NOT(ISNUMBER(B50))),"",IF(G50=Statement!$H$2,B50*1000+ROW(),""))</f>
        <v/>
      </c>
    </row>
    <row r="51">
      <c r="A51" s="1" t="n"/>
      <c r="B51" s="18" t="n"/>
      <c r="C51" s="16" t="n"/>
      <c r="D51" s="19" t="n"/>
      <c r="E51" s="17" t="n"/>
      <c r="F51" s="22" t="n"/>
      <c r="G51" s="14">
        <f>IF(C51="","",IFERROR(VALUE(LEFT(C51,FIND(" ",C51&amp;" ")-1)),""))</f>
        <v/>
      </c>
      <c r="H51" s="26">
        <f>IF(C51="","",IF(G51="","Pick a loan",IFERROR(IF(INDEX(Loans!$C$6:$C$305,MATCH(G51,Loans!$B$6:$B$305,0))="","Not a loan",INDEX(Loans!$C$6:$C$305,MATCH(G51,Loans!$B$6:$B$305,0))),"Not a loan")))</f>
        <v/>
      </c>
      <c r="I51" s="10">
        <f>IF(OR(G51="",H51="Not a loan"),"",IF(INDEX(Loans!$D$6:$D$305,MATCH(G51,Loans!$B$6:$B$305,0))="I borrowed","Out","In"))</f>
        <v/>
      </c>
      <c r="J51" s="1">
        <f>IF(NOT(ISNUMBER(B51)),"",YEAR(B51)*100+MONTH(B51))</f>
        <v/>
      </c>
      <c r="K51">
        <f>IF(OR(G51="",NOT(ISNUMBER(B51))),"",IF(G51=Statement!$H$2,B51*1000+ROW(),""))</f>
        <v/>
      </c>
    </row>
    <row r="52">
      <c r="A52" s="1" t="n"/>
      <c r="B52" s="18" t="n"/>
      <c r="C52" s="16" t="n"/>
      <c r="D52" s="19" t="n"/>
      <c r="E52" s="17" t="n"/>
      <c r="F52" s="22" t="n"/>
      <c r="G52" s="14">
        <f>IF(C52="","",IFERROR(VALUE(LEFT(C52,FIND(" ",C52&amp;" ")-1)),""))</f>
        <v/>
      </c>
      <c r="H52" s="26">
        <f>IF(C52="","",IF(G52="","Pick a loan",IFERROR(IF(INDEX(Loans!$C$6:$C$305,MATCH(G52,Loans!$B$6:$B$305,0))="","Not a loan",INDEX(Loans!$C$6:$C$305,MATCH(G52,Loans!$B$6:$B$305,0))),"Not a loan")))</f>
        <v/>
      </c>
      <c r="I52" s="10">
        <f>IF(OR(G52="",H52="Not a loan"),"",IF(INDEX(Loans!$D$6:$D$305,MATCH(G52,Loans!$B$6:$B$305,0))="I borrowed","Out","In"))</f>
        <v/>
      </c>
      <c r="J52" s="1">
        <f>IF(NOT(ISNUMBER(B52)),"",YEAR(B52)*100+MONTH(B52))</f>
        <v/>
      </c>
      <c r="K52">
        <f>IF(OR(G52="",NOT(ISNUMBER(B52))),"",IF(G52=Statement!$H$2,B52*1000+ROW(),""))</f>
        <v/>
      </c>
    </row>
    <row r="53">
      <c r="A53" s="1" t="n"/>
      <c r="B53" s="18" t="n"/>
      <c r="C53" s="16" t="n"/>
      <c r="D53" s="19" t="n"/>
      <c r="E53" s="17" t="n"/>
      <c r="F53" s="22" t="n"/>
      <c r="G53" s="14">
        <f>IF(C53="","",IFERROR(VALUE(LEFT(C53,FIND(" ",C53&amp;" ")-1)),""))</f>
        <v/>
      </c>
      <c r="H53" s="26">
        <f>IF(C53="","",IF(G53="","Pick a loan",IFERROR(IF(INDEX(Loans!$C$6:$C$305,MATCH(G53,Loans!$B$6:$B$305,0))="","Not a loan",INDEX(Loans!$C$6:$C$305,MATCH(G53,Loans!$B$6:$B$305,0))),"Not a loan")))</f>
        <v/>
      </c>
      <c r="I53" s="10">
        <f>IF(OR(G53="",H53="Not a loan"),"",IF(INDEX(Loans!$D$6:$D$305,MATCH(G53,Loans!$B$6:$B$305,0))="I borrowed","Out","In"))</f>
        <v/>
      </c>
      <c r="J53" s="1">
        <f>IF(NOT(ISNUMBER(B53)),"",YEAR(B53)*100+MONTH(B53))</f>
        <v/>
      </c>
      <c r="K53">
        <f>IF(OR(G53="",NOT(ISNUMBER(B53))),"",IF(G53=Statement!$H$2,B53*1000+ROW(),""))</f>
        <v/>
      </c>
    </row>
    <row r="54">
      <c r="A54" s="1" t="n"/>
      <c r="B54" s="18" t="n"/>
      <c r="C54" s="16" t="n"/>
      <c r="D54" s="19" t="n"/>
      <c r="E54" s="17" t="n"/>
      <c r="F54" s="22" t="n"/>
      <c r="G54" s="14">
        <f>IF(C54="","",IFERROR(VALUE(LEFT(C54,FIND(" ",C54&amp;" ")-1)),""))</f>
        <v/>
      </c>
      <c r="H54" s="26">
        <f>IF(C54="","",IF(G54="","Pick a loan",IFERROR(IF(INDEX(Loans!$C$6:$C$305,MATCH(G54,Loans!$B$6:$B$305,0))="","Not a loan",INDEX(Loans!$C$6:$C$305,MATCH(G54,Loans!$B$6:$B$305,0))),"Not a loan")))</f>
        <v/>
      </c>
      <c r="I54" s="10">
        <f>IF(OR(G54="",H54="Not a loan"),"",IF(INDEX(Loans!$D$6:$D$305,MATCH(G54,Loans!$B$6:$B$305,0))="I borrowed","Out","In"))</f>
        <v/>
      </c>
      <c r="J54" s="1">
        <f>IF(NOT(ISNUMBER(B54)),"",YEAR(B54)*100+MONTH(B54))</f>
        <v/>
      </c>
      <c r="K54">
        <f>IF(OR(G54="",NOT(ISNUMBER(B54))),"",IF(G54=Statement!$H$2,B54*1000+ROW(),""))</f>
        <v/>
      </c>
    </row>
    <row r="55">
      <c r="A55" s="1" t="n"/>
      <c r="B55" s="18" t="n"/>
      <c r="C55" s="16" t="n"/>
      <c r="D55" s="19" t="n"/>
      <c r="E55" s="17" t="n"/>
      <c r="F55" s="22" t="n"/>
      <c r="G55" s="14">
        <f>IF(C55="","",IFERROR(VALUE(LEFT(C55,FIND(" ",C55&amp;" ")-1)),""))</f>
        <v/>
      </c>
      <c r="H55" s="26">
        <f>IF(C55="","",IF(G55="","Pick a loan",IFERROR(IF(INDEX(Loans!$C$6:$C$305,MATCH(G55,Loans!$B$6:$B$305,0))="","Not a loan",INDEX(Loans!$C$6:$C$305,MATCH(G55,Loans!$B$6:$B$305,0))),"Not a loan")))</f>
        <v/>
      </c>
      <c r="I55" s="10">
        <f>IF(OR(G55="",H55="Not a loan"),"",IF(INDEX(Loans!$D$6:$D$305,MATCH(G55,Loans!$B$6:$B$305,0))="I borrowed","Out","In"))</f>
        <v/>
      </c>
      <c r="J55" s="1">
        <f>IF(NOT(ISNUMBER(B55)),"",YEAR(B55)*100+MONTH(B55))</f>
        <v/>
      </c>
      <c r="K55">
        <f>IF(OR(G55="",NOT(ISNUMBER(B55))),"",IF(G55=Statement!$H$2,B55*1000+ROW(),""))</f>
        <v/>
      </c>
    </row>
    <row r="56">
      <c r="A56" s="1" t="n"/>
      <c r="B56" s="18" t="n"/>
      <c r="C56" s="16" t="n"/>
      <c r="D56" s="19" t="n"/>
      <c r="E56" s="17" t="n"/>
      <c r="F56" s="22" t="n"/>
      <c r="G56" s="14">
        <f>IF(C56="","",IFERROR(VALUE(LEFT(C56,FIND(" ",C56&amp;" ")-1)),""))</f>
        <v/>
      </c>
      <c r="H56" s="26">
        <f>IF(C56="","",IF(G56="","Pick a loan",IFERROR(IF(INDEX(Loans!$C$6:$C$305,MATCH(G56,Loans!$B$6:$B$305,0))="","Not a loan",INDEX(Loans!$C$6:$C$305,MATCH(G56,Loans!$B$6:$B$305,0))),"Not a loan")))</f>
        <v/>
      </c>
      <c r="I56" s="10">
        <f>IF(OR(G56="",H56="Not a loan"),"",IF(INDEX(Loans!$D$6:$D$305,MATCH(G56,Loans!$B$6:$B$305,0))="I borrowed","Out","In"))</f>
        <v/>
      </c>
      <c r="J56" s="1">
        <f>IF(NOT(ISNUMBER(B56)),"",YEAR(B56)*100+MONTH(B56))</f>
        <v/>
      </c>
      <c r="K56">
        <f>IF(OR(G56="",NOT(ISNUMBER(B56))),"",IF(G56=Statement!$H$2,B56*1000+ROW(),""))</f>
        <v/>
      </c>
    </row>
    <row r="57">
      <c r="A57" s="1" t="n"/>
      <c r="B57" s="18" t="n"/>
      <c r="C57" s="16" t="n"/>
      <c r="D57" s="19" t="n"/>
      <c r="E57" s="17" t="n"/>
      <c r="F57" s="22" t="n"/>
      <c r="G57" s="14">
        <f>IF(C57="","",IFERROR(VALUE(LEFT(C57,FIND(" ",C57&amp;" ")-1)),""))</f>
        <v/>
      </c>
      <c r="H57" s="26">
        <f>IF(C57="","",IF(G57="","Pick a loan",IFERROR(IF(INDEX(Loans!$C$6:$C$305,MATCH(G57,Loans!$B$6:$B$305,0))="","Not a loan",INDEX(Loans!$C$6:$C$305,MATCH(G57,Loans!$B$6:$B$305,0))),"Not a loan")))</f>
        <v/>
      </c>
      <c r="I57" s="10">
        <f>IF(OR(G57="",H57="Not a loan"),"",IF(INDEX(Loans!$D$6:$D$305,MATCH(G57,Loans!$B$6:$B$305,0))="I borrowed","Out","In"))</f>
        <v/>
      </c>
      <c r="J57" s="1">
        <f>IF(NOT(ISNUMBER(B57)),"",YEAR(B57)*100+MONTH(B57))</f>
        <v/>
      </c>
      <c r="K57">
        <f>IF(OR(G57="",NOT(ISNUMBER(B57))),"",IF(G57=Statement!$H$2,B57*1000+ROW(),""))</f>
        <v/>
      </c>
    </row>
    <row r="58">
      <c r="A58" s="1" t="n"/>
      <c r="B58" s="18" t="n"/>
      <c r="C58" s="16" t="n"/>
      <c r="D58" s="19" t="n"/>
      <c r="E58" s="17" t="n"/>
      <c r="F58" s="22" t="n"/>
      <c r="G58" s="14">
        <f>IF(C58="","",IFERROR(VALUE(LEFT(C58,FIND(" ",C58&amp;" ")-1)),""))</f>
        <v/>
      </c>
      <c r="H58" s="26">
        <f>IF(C58="","",IF(G58="","Pick a loan",IFERROR(IF(INDEX(Loans!$C$6:$C$305,MATCH(G58,Loans!$B$6:$B$305,0))="","Not a loan",INDEX(Loans!$C$6:$C$305,MATCH(G58,Loans!$B$6:$B$305,0))),"Not a loan")))</f>
        <v/>
      </c>
      <c r="I58" s="10">
        <f>IF(OR(G58="",H58="Not a loan"),"",IF(INDEX(Loans!$D$6:$D$305,MATCH(G58,Loans!$B$6:$B$305,0))="I borrowed","Out","In"))</f>
        <v/>
      </c>
      <c r="J58" s="1">
        <f>IF(NOT(ISNUMBER(B58)),"",YEAR(B58)*100+MONTH(B58))</f>
        <v/>
      </c>
      <c r="K58">
        <f>IF(OR(G58="",NOT(ISNUMBER(B58))),"",IF(G58=Statement!$H$2,B58*1000+ROW(),""))</f>
        <v/>
      </c>
    </row>
    <row r="59">
      <c r="A59" s="1" t="n"/>
      <c r="B59" s="18" t="n"/>
      <c r="C59" s="16" t="n"/>
      <c r="D59" s="19" t="n"/>
      <c r="E59" s="17" t="n"/>
      <c r="F59" s="22" t="n"/>
      <c r="G59" s="14">
        <f>IF(C59="","",IFERROR(VALUE(LEFT(C59,FIND(" ",C59&amp;" ")-1)),""))</f>
        <v/>
      </c>
      <c r="H59" s="26">
        <f>IF(C59="","",IF(G59="","Pick a loan",IFERROR(IF(INDEX(Loans!$C$6:$C$305,MATCH(G59,Loans!$B$6:$B$305,0))="","Not a loan",INDEX(Loans!$C$6:$C$305,MATCH(G59,Loans!$B$6:$B$305,0))),"Not a loan")))</f>
        <v/>
      </c>
      <c r="I59" s="10">
        <f>IF(OR(G59="",H59="Not a loan"),"",IF(INDEX(Loans!$D$6:$D$305,MATCH(G59,Loans!$B$6:$B$305,0))="I borrowed","Out","In"))</f>
        <v/>
      </c>
      <c r="J59" s="1">
        <f>IF(NOT(ISNUMBER(B59)),"",YEAR(B59)*100+MONTH(B59))</f>
        <v/>
      </c>
      <c r="K59">
        <f>IF(OR(G59="",NOT(ISNUMBER(B59))),"",IF(G59=Statement!$H$2,B59*1000+ROW(),""))</f>
        <v/>
      </c>
    </row>
    <row r="60">
      <c r="A60" s="1" t="n"/>
      <c r="B60" s="18" t="n"/>
      <c r="C60" s="16" t="n"/>
      <c r="D60" s="19" t="n"/>
      <c r="E60" s="17" t="n"/>
      <c r="F60" s="22" t="n"/>
      <c r="G60" s="14">
        <f>IF(C60="","",IFERROR(VALUE(LEFT(C60,FIND(" ",C60&amp;" ")-1)),""))</f>
        <v/>
      </c>
      <c r="H60" s="26">
        <f>IF(C60="","",IF(G60="","Pick a loan",IFERROR(IF(INDEX(Loans!$C$6:$C$305,MATCH(G60,Loans!$B$6:$B$305,0))="","Not a loan",INDEX(Loans!$C$6:$C$305,MATCH(G60,Loans!$B$6:$B$305,0))),"Not a loan")))</f>
        <v/>
      </c>
      <c r="I60" s="10">
        <f>IF(OR(G60="",H60="Not a loan"),"",IF(INDEX(Loans!$D$6:$D$305,MATCH(G60,Loans!$B$6:$B$305,0))="I borrowed","Out","In"))</f>
        <v/>
      </c>
      <c r="J60" s="1">
        <f>IF(NOT(ISNUMBER(B60)),"",YEAR(B60)*100+MONTH(B60))</f>
        <v/>
      </c>
      <c r="K60">
        <f>IF(OR(G60="",NOT(ISNUMBER(B60))),"",IF(G60=Statement!$H$2,B60*1000+ROW(),""))</f>
        <v/>
      </c>
    </row>
    <row r="61">
      <c r="A61" s="1" t="n"/>
      <c r="B61" s="18" t="n"/>
      <c r="C61" s="16" t="n"/>
      <c r="D61" s="19" t="n"/>
      <c r="E61" s="17" t="n"/>
      <c r="F61" s="22" t="n"/>
      <c r="G61" s="14">
        <f>IF(C61="","",IFERROR(VALUE(LEFT(C61,FIND(" ",C61&amp;" ")-1)),""))</f>
        <v/>
      </c>
      <c r="H61" s="26">
        <f>IF(C61="","",IF(G61="","Pick a loan",IFERROR(IF(INDEX(Loans!$C$6:$C$305,MATCH(G61,Loans!$B$6:$B$305,0))="","Not a loan",INDEX(Loans!$C$6:$C$305,MATCH(G61,Loans!$B$6:$B$305,0))),"Not a loan")))</f>
        <v/>
      </c>
      <c r="I61" s="10">
        <f>IF(OR(G61="",H61="Not a loan"),"",IF(INDEX(Loans!$D$6:$D$305,MATCH(G61,Loans!$B$6:$B$305,0))="I borrowed","Out","In"))</f>
        <v/>
      </c>
      <c r="J61" s="1">
        <f>IF(NOT(ISNUMBER(B61)),"",YEAR(B61)*100+MONTH(B61))</f>
        <v/>
      </c>
      <c r="K61">
        <f>IF(OR(G61="",NOT(ISNUMBER(B61))),"",IF(G61=Statement!$H$2,B61*1000+ROW(),""))</f>
        <v/>
      </c>
    </row>
    <row r="62">
      <c r="A62" s="1" t="n"/>
      <c r="B62" s="18" t="n"/>
      <c r="C62" s="16" t="n"/>
      <c r="D62" s="19" t="n"/>
      <c r="E62" s="17" t="n"/>
      <c r="F62" s="22" t="n"/>
      <c r="G62" s="14">
        <f>IF(C62="","",IFERROR(VALUE(LEFT(C62,FIND(" ",C62&amp;" ")-1)),""))</f>
        <v/>
      </c>
      <c r="H62" s="26">
        <f>IF(C62="","",IF(G62="","Pick a loan",IFERROR(IF(INDEX(Loans!$C$6:$C$305,MATCH(G62,Loans!$B$6:$B$305,0))="","Not a loan",INDEX(Loans!$C$6:$C$305,MATCH(G62,Loans!$B$6:$B$305,0))),"Not a loan")))</f>
        <v/>
      </c>
      <c r="I62" s="10">
        <f>IF(OR(G62="",H62="Not a loan"),"",IF(INDEX(Loans!$D$6:$D$305,MATCH(G62,Loans!$B$6:$B$305,0))="I borrowed","Out","In"))</f>
        <v/>
      </c>
      <c r="J62" s="1">
        <f>IF(NOT(ISNUMBER(B62)),"",YEAR(B62)*100+MONTH(B62))</f>
        <v/>
      </c>
      <c r="K62">
        <f>IF(OR(G62="",NOT(ISNUMBER(B62))),"",IF(G62=Statement!$H$2,B62*1000+ROW(),""))</f>
        <v/>
      </c>
    </row>
    <row r="63">
      <c r="A63" s="1" t="n"/>
      <c r="B63" s="18" t="n"/>
      <c r="C63" s="16" t="n"/>
      <c r="D63" s="19" t="n"/>
      <c r="E63" s="17" t="n"/>
      <c r="F63" s="22" t="n"/>
      <c r="G63" s="14">
        <f>IF(C63="","",IFERROR(VALUE(LEFT(C63,FIND(" ",C63&amp;" ")-1)),""))</f>
        <v/>
      </c>
      <c r="H63" s="26">
        <f>IF(C63="","",IF(G63="","Pick a loan",IFERROR(IF(INDEX(Loans!$C$6:$C$305,MATCH(G63,Loans!$B$6:$B$305,0))="","Not a loan",INDEX(Loans!$C$6:$C$305,MATCH(G63,Loans!$B$6:$B$305,0))),"Not a loan")))</f>
        <v/>
      </c>
      <c r="I63" s="10">
        <f>IF(OR(G63="",H63="Not a loan"),"",IF(INDEX(Loans!$D$6:$D$305,MATCH(G63,Loans!$B$6:$B$305,0))="I borrowed","Out","In"))</f>
        <v/>
      </c>
      <c r="J63" s="1">
        <f>IF(NOT(ISNUMBER(B63)),"",YEAR(B63)*100+MONTH(B63))</f>
        <v/>
      </c>
      <c r="K63">
        <f>IF(OR(G63="",NOT(ISNUMBER(B63))),"",IF(G63=Statement!$H$2,B63*1000+ROW(),""))</f>
        <v/>
      </c>
    </row>
    <row r="64">
      <c r="A64" s="1" t="n"/>
      <c r="B64" s="18" t="n"/>
      <c r="C64" s="16" t="n"/>
      <c r="D64" s="19" t="n"/>
      <c r="E64" s="17" t="n"/>
      <c r="F64" s="22" t="n"/>
      <c r="G64" s="14">
        <f>IF(C64="","",IFERROR(VALUE(LEFT(C64,FIND(" ",C64&amp;" ")-1)),""))</f>
        <v/>
      </c>
      <c r="H64" s="26">
        <f>IF(C64="","",IF(G64="","Pick a loan",IFERROR(IF(INDEX(Loans!$C$6:$C$305,MATCH(G64,Loans!$B$6:$B$305,0))="","Not a loan",INDEX(Loans!$C$6:$C$305,MATCH(G64,Loans!$B$6:$B$305,0))),"Not a loan")))</f>
        <v/>
      </c>
      <c r="I64" s="10">
        <f>IF(OR(G64="",H64="Not a loan"),"",IF(INDEX(Loans!$D$6:$D$305,MATCH(G64,Loans!$B$6:$B$305,0))="I borrowed","Out","In"))</f>
        <v/>
      </c>
      <c r="J64" s="1">
        <f>IF(NOT(ISNUMBER(B64)),"",YEAR(B64)*100+MONTH(B64))</f>
        <v/>
      </c>
      <c r="K64">
        <f>IF(OR(G64="",NOT(ISNUMBER(B64))),"",IF(G64=Statement!$H$2,B64*1000+ROW(),""))</f>
        <v/>
      </c>
    </row>
    <row r="65">
      <c r="A65" s="1" t="n"/>
      <c r="B65" s="18" t="n"/>
      <c r="C65" s="16" t="n"/>
      <c r="D65" s="19" t="n"/>
      <c r="E65" s="17" t="n"/>
      <c r="F65" s="22" t="n"/>
      <c r="G65" s="14">
        <f>IF(C65="","",IFERROR(VALUE(LEFT(C65,FIND(" ",C65&amp;" ")-1)),""))</f>
        <v/>
      </c>
      <c r="H65" s="26">
        <f>IF(C65="","",IF(G65="","Pick a loan",IFERROR(IF(INDEX(Loans!$C$6:$C$305,MATCH(G65,Loans!$B$6:$B$305,0))="","Not a loan",INDEX(Loans!$C$6:$C$305,MATCH(G65,Loans!$B$6:$B$305,0))),"Not a loan")))</f>
        <v/>
      </c>
      <c r="I65" s="10">
        <f>IF(OR(G65="",H65="Not a loan"),"",IF(INDEX(Loans!$D$6:$D$305,MATCH(G65,Loans!$B$6:$B$305,0))="I borrowed","Out","In"))</f>
        <v/>
      </c>
      <c r="J65" s="1">
        <f>IF(NOT(ISNUMBER(B65)),"",YEAR(B65)*100+MONTH(B65))</f>
        <v/>
      </c>
      <c r="K65">
        <f>IF(OR(G65="",NOT(ISNUMBER(B65))),"",IF(G65=Statement!$H$2,B65*1000+ROW(),""))</f>
        <v/>
      </c>
    </row>
    <row r="66">
      <c r="A66" s="1" t="n"/>
      <c r="B66" s="18" t="n"/>
      <c r="C66" s="16" t="n"/>
      <c r="D66" s="19" t="n"/>
      <c r="E66" s="17" t="n"/>
      <c r="F66" s="22" t="n"/>
      <c r="G66" s="14">
        <f>IF(C66="","",IFERROR(VALUE(LEFT(C66,FIND(" ",C66&amp;" ")-1)),""))</f>
        <v/>
      </c>
      <c r="H66" s="26">
        <f>IF(C66="","",IF(G66="","Pick a loan",IFERROR(IF(INDEX(Loans!$C$6:$C$305,MATCH(G66,Loans!$B$6:$B$305,0))="","Not a loan",INDEX(Loans!$C$6:$C$305,MATCH(G66,Loans!$B$6:$B$305,0))),"Not a loan")))</f>
        <v/>
      </c>
      <c r="I66" s="10">
        <f>IF(OR(G66="",H66="Not a loan"),"",IF(INDEX(Loans!$D$6:$D$305,MATCH(G66,Loans!$B$6:$B$305,0))="I borrowed","Out","In"))</f>
        <v/>
      </c>
      <c r="J66" s="1">
        <f>IF(NOT(ISNUMBER(B66)),"",YEAR(B66)*100+MONTH(B66))</f>
        <v/>
      </c>
      <c r="K66">
        <f>IF(OR(G66="",NOT(ISNUMBER(B66))),"",IF(G66=Statement!$H$2,B66*1000+ROW(),""))</f>
        <v/>
      </c>
    </row>
    <row r="67">
      <c r="A67" s="1" t="n"/>
      <c r="B67" s="18" t="n"/>
      <c r="C67" s="16" t="n"/>
      <c r="D67" s="19" t="n"/>
      <c r="E67" s="17" t="n"/>
      <c r="F67" s="22" t="n"/>
      <c r="G67" s="14">
        <f>IF(C67="","",IFERROR(VALUE(LEFT(C67,FIND(" ",C67&amp;" ")-1)),""))</f>
        <v/>
      </c>
      <c r="H67" s="26">
        <f>IF(C67="","",IF(G67="","Pick a loan",IFERROR(IF(INDEX(Loans!$C$6:$C$305,MATCH(G67,Loans!$B$6:$B$305,0))="","Not a loan",INDEX(Loans!$C$6:$C$305,MATCH(G67,Loans!$B$6:$B$305,0))),"Not a loan")))</f>
        <v/>
      </c>
      <c r="I67" s="10">
        <f>IF(OR(G67="",H67="Not a loan"),"",IF(INDEX(Loans!$D$6:$D$305,MATCH(G67,Loans!$B$6:$B$305,0))="I borrowed","Out","In"))</f>
        <v/>
      </c>
      <c r="J67" s="1">
        <f>IF(NOT(ISNUMBER(B67)),"",YEAR(B67)*100+MONTH(B67))</f>
        <v/>
      </c>
      <c r="K67">
        <f>IF(OR(G67="",NOT(ISNUMBER(B67))),"",IF(G67=Statement!$H$2,B67*1000+ROW(),""))</f>
        <v/>
      </c>
    </row>
    <row r="68">
      <c r="A68" s="1" t="n"/>
      <c r="B68" s="18" t="n"/>
      <c r="C68" s="16" t="n"/>
      <c r="D68" s="19" t="n"/>
      <c r="E68" s="17" t="n"/>
      <c r="F68" s="22" t="n"/>
      <c r="G68" s="14">
        <f>IF(C68="","",IFERROR(VALUE(LEFT(C68,FIND(" ",C68&amp;" ")-1)),""))</f>
        <v/>
      </c>
      <c r="H68" s="26">
        <f>IF(C68="","",IF(G68="","Pick a loan",IFERROR(IF(INDEX(Loans!$C$6:$C$305,MATCH(G68,Loans!$B$6:$B$305,0))="","Not a loan",INDEX(Loans!$C$6:$C$305,MATCH(G68,Loans!$B$6:$B$305,0))),"Not a loan")))</f>
        <v/>
      </c>
      <c r="I68" s="10">
        <f>IF(OR(G68="",H68="Not a loan"),"",IF(INDEX(Loans!$D$6:$D$305,MATCH(G68,Loans!$B$6:$B$305,0))="I borrowed","Out","In"))</f>
        <v/>
      </c>
      <c r="J68" s="1">
        <f>IF(NOT(ISNUMBER(B68)),"",YEAR(B68)*100+MONTH(B68))</f>
        <v/>
      </c>
      <c r="K68">
        <f>IF(OR(G68="",NOT(ISNUMBER(B68))),"",IF(G68=Statement!$H$2,B68*1000+ROW(),""))</f>
        <v/>
      </c>
    </row>
    <row r="69">
      <c r="A69" s="1" t="n"/>
      <c r="B69" s="18" t="n"/>
      <c r="C69" s="16" t="n"/>
      <c r="D69" s="19" t="n"/>
      <c r="E69" s="17" t="n"/>
      <c r="F69" s="22" t="n"/>
      <c r="G69" s="14">
        <f>IF(C69="","",IFERROR(VALUE(LEFT(C69,FIND(" ",C69&amp;" ")-1)),""))</f>
        <v/>
      </c>
      <c r="H69" s="26">
        <f>IF(C69="","",IF(G69="","Pick a loan",IFERROR(IF(INDEX(Loans!$C$6:$C$305,MATCH(G69,Loans!$B$6:$B$305,0))="","Not a loan",INDEX(Loans!$C$6:$C$305,MATCH(G69,Loans!$B$6:$B$305,0))),"Not a loan")))</f>
        <v/>
      </c>
      <c r="I69" s="10">
        <f>IF(OR(G69="",H69="Not a loan"),"",IF(INDEX(Loans!$D$6:$D$305,MATCH(G69,Loans!$B$6:$B$305,0))="I borrowed","Out","In"))</f>
        <v/>
      </c>
      <c r="J69" s="1">
        <f>IF(NOT(ISNUMBER(B69)),"",YEAR(B69)*100+MONTH(B69))</f>
        <v/>
      </c>
      <c r="K69">
        <f>IF(OR(G69="",NOT(ISNUMBER(B69))),"",IF(G69=Statement!$H$2,B69*1000+ROW(),""))</f>
        <v/>
      </c>
    </row>
    <row r="70">
      <c r="A70" s="1" t="n"/>
      <c r="B70" s="18" t="n"/>
      <c r="C70" s="16" t="n"/>
      <c r="D70" s="19" t="n"/>
      <c r="E70" s="17" t="n"/>
      <c r="F70" s="22" t="n"/>
      <c r="G70" s="14">
        <f>IF(C70="","",IFERROR(VALUE(LEFT(C70,FIND(" ",C70&amp;" ")-1)),""))</f>
        <v/>
      </c>
      <c r="H70" s="26">
        <f>IF(C70="","",IF(G70="","Pick a loan",IFERROR(IF(INDEX(Loans!$C$6:$C$305,MATCH(G70,Loans!$B$6:$B$305,0))="","Not a loan",INDEX(Loans!$C$6:$C$305,MATCH(G70,Loans!$B$6:$B$305,0))),"Not a loan")))</f>
        <v/>
      </c>
      <c r="I70" s="10">
        <f>IF(OR(G70="",H70="Not a loan"),"",IF(INDEX(Loans!$D$6:$D$305,MATCH(G70,Loans!$B$6:$B$305,0))="I borrowed","Out","In"))</f>
        <v/>
      </c>
      <c r="J70" s="1">
        <f>IF(NOT(ISNUMBER(B70)),"",YEAR(B70)*100+MONTH(B70))</f>
        <v/>
      </c>
      <c r="K70">
        <f>IF(OR(G70="",NOT(ISNUMBER(B70))),"",IF(G70=Statement!$H$2,B70*1000+ROW(),""))</f>
        <v/>
      </c>
    </row>
    <row r="71">
      <c r="A71" s="1" t="n"/>
      <c r="B71" s="18" t="n"/>
      <c r="C71" s="16" t="n"/>
      <c r="D71" s="19" t="n"/>
      <c r="E71" s="17" t="n"/>
      <c r="F71" s="22" t="n"/>
      <c r="G71" s="14">
        <f>IF(C71="","",IFERROR(VALUE(LEFT(C71,FIND(" ",C71&amp;" ")-1)),""))</f>
        <v/>
      </c>
      <c r="H71" s="26">
        <f>IF(C71="","",IF(G71="","Pick a loan",IFERROR(IF(INDEX(Loans!$C$6:$C$305,MATCH(G71,Loans!$B$6:$B$305,0))="","Not a loan",INDEX(Loans!$C$6:$C$305,MATCH(G71,Loans!$B$6:$B$305,0))),"Not a loan")))</f>
        <v/>
      </c>
      <c r="I71" s="10">
        <f>IF(OR(G71="",H71="Not a loan"),"",IF(INDEX(Loans!$D$6:$D$305,MATCH(G71,Loans!$B$6:$B$305,0))="I borrowed","Out","In"))</f>
        <v/>
      </c>
      <c r="J71" s="1">
        <f>IF(NOT(ISNUMBER(B71)),"",YEAR(B71)*100+MONTH(B71))</f>
        <v/>
      </c>
      <c r="K71">
        <f>IF(OR(G71="",NOT(ISNUMBER(B71))),"",IF(G71=Statement!$H$2,B71*1000+ROW(),""))</f>
        <v/>
      </c>
    </row>
    <row r="72">
      <c r="A72" s="1" t="n"/>
      <c r="B72" s="18" t="n"/>
      <c r="C72" s="16" t="n"/>
      <c r="D72" s="19" t="n"/>
      <c r="E72" s="17" t="n"/>
      <c r="F72" s="22" t="n"/>
      <c r="G72" s="14">
        <f>IF(C72="","",IFERROR(VALUE(LEFT(C72,FIND(" ",C72&amp;" ")-1)),""))</f>
        <v/>
      </c>
      <c r="H72" s="26">
        <f>IF(C72="","",IF(G72="","Pick a loan",IFERROR(IF(INDEX(Loans!$C$6:$C$305,MATCH(G72,Loans!$B$6:$B$305,0))="","Not a loan",INDEX(Loans!$C$6:$C$305,MATCH(G72,Loans!$B$6:$B$305,0))),"Not a loan")))</f>
        <v/>
      </c>
      <c r="I72" s="10">
        <f>IF(OR(G72="",H72="Not a loan"),"",IF(INDEX(Loans!$D$6:$D$305,MATCH(G72,Loans!$B$6:$B$305,0))="I borrowed","Out","In"))</f>
        <v/>
      </c>
      <c r="J72" s="1">
        <f>IF(NOT(ISNUMBER(B72)),"",YEAR(B72)*100+MONTH(B72))</f>
        <v/>
      </c>
      <c r="K72">
        <f>IF(OR(G72="",NOT(ISNUMBER(B72))),"",IF(G72=Statement!$H$2,B72*1000+ROW(),""))</f>
        <v/>
      </c>
    </row>
    <row r="73">
      <c r="A73" s="1" t="n"/>
      <c r="B73" s="18" t="n"/>
      <c r="C73" s="16" t="n"/>
      <c r="D73" s="19" t="n"/>
      <c r="E73" s="17" t="n"/>
      <c r="F73" s="22" t="n"/>
      <c r="G73" s="14">
        <f>IF(C73="","",IFERROR(VALUE(LEFT(C73,FIND(" ",C73&amp;" ")-1)),""))</f>
        <v/>
      </c>
      <c r="H73" s="26">
        <f>IF(C73="","",IF(G73="","Pick a loan",IFERROR(IF(INDEX(Loans!$C$6:$C$305,MATCH(G73,Loans!$B$6:$B$305,0))="","Not a loan",INDEX(Loans!$C$6:$C$305,MATCH(G73,Loans!$B$6:$B$305,0))),"Not a loan")))</f>
        <v/>
      </c>
      <c r="I73" s="10">
        <f>IF(OR(G73="",H73="Not a loan"),"",IF(INDEX(Loans!$D$6:$D$305,MATCH(G73,Loans!$B$6:$B$305,0))="I borrowed","Out","In"))</f>
        <v/>
      </c>
      <c r="J73" s="1">
        <f>IF(NOT(ISNUMBER(B73)),"",YEAR(B73)*100+MONTH(B73))</f>
        <v/>
      </c>
      <c r="K73">
        <f>IF(OR(G73="",NOT(ISNUMBER(B73))),"",IF(G73=Statement!$H$2,B73*1000+ROW(),""))</f>
        <v/>
      </c>
    </row>
    <row r="74">
      <c r="A74" s="1" t="n"/>
      <c r="B74" s="18" t="n"/>
      <c r="C74" s="16" t="n"/>
      <c r="D74" s="19" t="n"/>
      <c r="E74" s="17" t="n"/>
      <c r="F74" s="22" t="n"/>
      <c r="G74" s="14">
        <f>IF(C74="","",IFERROR(VALUE(LEFT(C74,FIND(" ",C74&amp;" ")-1)),""))</f>
        <v/>
      </c>
      <c r="H74" s="26">
        <f>IF(C74="","",IF(G74="","Pick a loan",IFERROR(IF(INDEX(Loans!$C$6:$C$305,MATCH(G74,Loans!$B$6:$B$305,0))="","Not a loan",INDEX(Loans!$C$6:$C$305,MATCH(G74,Loans!$B$6:$B$305,0))),"Not a loan")))</f>
        <v/>
      </c>
      <c r="I74" s="10">
        <f>IF(OR(G74="",H74="Not a loan"),"",IF(INDEX(Loans!$D$6:$D$305,MATCH(G74,Loans!$B$6:$B$305,0))="I borrowed","Out","In"))</f>
        <v/>
      </c>
      <c r="J74" s="1">
        <f>IF(NOT(ISNUMBER(B74)),"",YEAR(B74)*100+MONTH(B74))</f>
        <v/>
      </c>
      <c r="K74">
        <f>IF(OR(G74="",NOT(ISNUMBER(B74))),"",IF(G74=Statement!$H$2,B74*1000+ROW(),""))</f>
        <v/>
      </c>
    </row>
    <row r="75">
      <c r="A75" s="1" t="n"/>
      <c r="B75" s="18" t="n"/>
      <c r="C75" s="16" t="n"/>
      <c r="D75" s="19" t="n"/>
      <c r="E75" s="17" t="n"/>
      <c r="F75" s="22" t="n"/>
      <c r="G75" s="14">
        <f>IF(C75="","",IFERROR(VALUE(LEFT(C75,FIND(" ",C75&amp;" ")-1)),""))</f>
        <v/>
      </c>
      <c r="H75" s="26">
        <f>IF(C75="","",IF(G75="","Pick a loan",IFERROR(IF(INDEX(Loans!$C$6:$C$305,MATCH(G75,Loans!$B$6:$B$305,0))="","Not a loan",INDEX(Loans!$C$6:$C$305,MATCH(G75,Loans!$B$6:$B$305,0))),"Not a loan")))</f>
        <v/>
      </c>
      <c r="I75" s="10">
        <f>IF(OR(G75="",H75="Not a loan"),"",IF(INDEX(Loans!$D$6:$D$305,MATCH(G75,Loans!$B$6:$B$305,0))="I borrowed","Out","In"))</f>
        <v/>
      </c>
      <c r="J75" s="1">
        <f>IF(NOT(ISNUMBER(B75)),"",YEAR(B75)*100+MONTH(B75))</f>
        <v/>
      </c>
      <c r="K75">
        <f>IF(OR(G75="",NOT(ISNUMBER(B75))),"",IF(G75=Statement!$H$2,B75*1000+ROW(),""))</f>
        <v/>
      </c>
    </row>
    <row r="76">
      <c r="A76" s="1" t="n"/>
      <c r="B76" s="18" t="n"/>
      <c r="C76" s="16" t="n"/>
      <c r="D76" s="19" t="n"/>
      <c r="E76" s="17" t="n"/>
      <c r="F76" s="22" t="n"/>
      <c r="G76" s="14">
        <f>IF(C76="","",IFERROR(VALUE(LEFT(C76,FIND(" ",C76&amp;" ")-1)),""))</f>
        <v/>
      </c>
      <c r="H76" s="26">
        <f>IF(C76="","",IF(G76="","Pick a loan",IFERROR(IF(INDEX(Loans!$C$6:$C$305,MATCH(G76,Loans!$B$6:$B$305,0))="","Not a loan",INDEX(Loans!$C$6:$C$305,MATCH(G76,Loans!$B$6:$B$305,0))),"Not a loan")))</f>
        <v/>
      </c>
      <c r="I76" s="10">
        <f>IF(OR(G76="",H76="Not a loan"),"",IF(INDEX(Loans!$D$6:$D$305,MATCH(G76,Loans!$B$6:$B$305,0))="I borrowed","Out","In"))</f>
        <v/>
      </c>
      <c r="J76" s="1">
        <f>IF(NOT(ISNUMBER(B76)),"",YEAR(B76)*100+MONTH(B76))</f>
        <v/>
      </c>
      <c r="K76">
        <f>IF(OR(G76="",NOT(ISNUMBER(B76))),"",IF(G76=Statement!$H$2,B76*1000+ROW(),""))</f>
        <v/>
      </c>
    </row>
    <row r="77">
      <c r="A77" s="1" t="n"/>
      <c r="B77" s="18" t="n"/>
      <c r="C77" s="16" t="n"/>
      <c r="D77" s="19" t="n"/>
      <c r="E77" s="17" t="n"/>
      <c r="F77" s="22" t="n"/>
      <c r="G77" s="14">
        <f>IF(C77="","",IFERROR(VALUE(LEFT(C77,FIND(" ",C77&amp;" ")-1)),""))</f>
        <v/>
      </c>
      <c r="H77" s="26">
        <f>IF(C77="","",IF(G77="","Pick a loan",IFERROR(IF(INDEX(Loans!$C$6:$C$305,MATCH(G77,Loans!$B$6:$B$305,0))="","Not a loan",INDEX(Loans!$C$6:$C$305,MATCH(G77,Loans!$B$6:$B$305,0))),"Not a loan")))</f>
        <v/>
      </c>
      <c r="I77" s="10">
        <f>IF(OR(G77="",H77="Not a loan"),"",IF(INDEX(Loans!$D$6:$D$305,MATCH(G77,Loans!$B$6:$B$305,0))="I borrowed","Out","In"))</f>
        <v/>
      </c>
      <c r="J77" s="1">
        <f>IF(NOT(ISNUMBER(B77)),"",YEAR(B77)*100+MONTH(B77))</f>
        <v/>
      </c>
      <c r="K77">
        <f>IF(OR(G77="",NOT(ISNUMBER(B77))),"",IF(G77=Statement!$H$2,B77*1000+ROW(),""))</f>
        <v/>
      </c>
    </row>
    <row r="78">
      <c r="A78" s="1" t="n"/>
      <c r="B78" s="18" t="n"/>
      <c r="C78" s="16" t="n"/>
      <c r="D78" s="19" t="n"/>
      <c r="E78" s="17" t="n"/>
      <c r="F78" s="22" t="n"/>
      <c r="G78" s="14">
        <f>IF(C78="","",IFERROR(VALUE(LEFT(C78,FIND(" ",C78&amp;" ")-1)),""))</f>
        <v/>
      </c>
      <c r="H78" s="26">
        <f>IF(C78="","",IF(G78="","Pick a loan",IFERROR(IF(INDEX(Loans!$C$6:$C$305,MATCH(G78,Loans!$B$6:$B$305,0))="","Not a loan",INDEX(Loans!$C$6:$C$305,MATCH(G78,Loans!$B$6:$B$305,0))),"Not a loan")))</f>
        <v/>
      </c>
      <c r="I78" s="10">
        <f>IF(OR(G78="",H78="Not a loan"),"",IF(INDEX(Loans!$D$6:$D$305,MATCH(G78,Loans!$B$6:$B$305,0))="I borrowed","Out","In"))</f>
        <v/>
      </c>
      <c r="J78" s="1">
        <f>IF(NOT(ISNUMBER(B78)),"",YEAR(B78)*100+MONTH(B78))</f>
        <v/>
      </c>
      <c r="K78">
        <f>IF(OR(G78="",NOT(ISNUMBER(B78))),"",IF(G78=Statement!$H$2,B78*1000+ROW(),""))</f>
        <v/>
      </c>
    </row>
    <row r="79">
      <c r="A79" s="1" t="n"/>
      <c r="B79" s="18" t="n"/>
      <c r="C79" s="16" t="n"/>
      <c r="D79" s="19" t="n"/>
      <c r="E79" s="17" t="n"/>
      <c r="F79" s="22" t="n"/>
      <c r="G79" s="14">
        <f>IF(C79="","",IFERROR(VALUE(LEFT(C79,FIND(" ",C79&amp;" ")-1)),""))</f>
        <v/>
      </c>
      <c r="H79" s="26">
        <f>IF(C79="","",IF(G79="","Pick a loan",IFERROR(IF(INDEX(Loans!$C$6:$C$305,MATCH(G79,Loans!$B$6:$B$305,0))="","Not a loan",INDEX(Loans!$C$6:$C$305,MATCH(G79,Loans!$B$6:$B$305,0))),"Not a loan")))</f>
        <v/>
      </c>
      <c r="I79" s="10">
        <f>IF(OR(G79="",H79="Not a loan"),"",IF(INDEX(Loans!$D$6:$D$305,MATCH(G79,Loans!$B$6:$B$305,0))="I borrowed","Out","In"))</f>
        <v/>
      </c>
      <c r="J79" s="1">
        <f>IF(NOT(ISNUMBER(B79)),"",YEAR(B79)*100+MONTH(B79))</f>
        <v/>
      </c>
      <c r="K79">
        <f>IF(OR(G79="",NOT(ISNUMBER(B79))),"",IF(G79=Statement!$H$2,B79*1000+ROW(),""))</f>
        <v/>
      </c>
    </row>
    <row r="80">
      <c r="A80" s="1" t="n"/>
      <c r="B80" s="18" t="n"/>
      <c r="C80" s="16" t="n"/>
      <c r="D80" s="19" t="n"/>
      <c r="E80" s="17" t="n"/>
      <c r="F80" s="22" t="n"/>
      <c r="G80" s="14">
        <f>IF(C80="","",IFERROR(VALUE(LEFT(C80,FIND(" ",C80&amp;" ")-1)),""))</f>
        <v/>
      </c>
      <c r="H80" s="26">
        <f>IF(C80="","",IF(G80="","Pick a loan",IFERROR(IF(INDEX(Loans!$C$6:$C$305,MATCH(G80,Loans!$B$6:$B$305,0))="","Not a loan",INDEX(Loans!$C$6:$C$305,MATCH(G80,Loans!$B$6:$B$305,0))),"Not a loan")))</f>
        <v/>
      </c>
      <c r="I80" s="10">
        <f>IF(OR(G80="",H80="Not a loan"),"",IF(INDEX(Loans!$D$6:$D$305,MATCH(G80,Loans!$B$6:$B$305,0))="I borrowed","Out","In"))</f>
        <v/>
      </c>
      <c r="J80" s="1">
        <f>IF(NOT(ISNUMBER(B80)),"",YEAR(B80)*100+MONTH(B80))</f>
        <v/>
      </c>
      <c r="K80">
        <f>IF(OR(G80="",NOT(ISNUMBER(B80))),"",IF(G80=Statement!$H$2,B80*1000+ROW(),""))</f>
        <v/>
      </c>
    </row>
    <row r="81">
      <c r="A81" s="1" t="n"/>
      <c r="B81" s="18" t="n"/>
      <c r="C81" s="16" t="n"/>
      <c r="D81" s="19" t="n"/>
      <c r="E81" s="17" t="n"/>
      <c r="F81" s="22" t="n"/>
      <c r="G81" s="14">
        <f>IF(C81="","",IFERROR(VALUE(LEFT(C81,FIND(" ",C81&amp;" ")-1)),""))</f>
        <v/>
      </c>
      <c r="H81" s="26">
        <f>IF(C81="","",IF(G81="","Pick a loan",IFERROR(IF(INDEX(Loans!$C$6:$C$305,MATCH(G81,Loans!$B$6:$B$305,0))="","Not a loan",INDEX(Loans!$C$6:$C$305,MATCH(G81,Loans!$B$6:$B$305,0))),"Not a loan")))</f>
        <v/>
      </c>
      <c r="I81" s="10">
        <f>IF(OR(G81="",H81="Not a loan"),"",IF(INDEX(Loans!$D$6:$D$305,MATCH(G81,Loans!$B$6:$B$305,0))="I borrowed","Out","In"))</f>
        <v/>
      </c>
      <c r="J81" s="1">
        <f>IF(NOT(ISNUMBER(B81)),"",YEAR(B81)*100+MONTH(B81))</f>
        <v/>
      </c>
      <c r="K81">
        <f>IF(OR(G81="",NOT(ISNUMBER(B81))),"",IF(G81=Statement!$H$2,B81*1000+ROW(),""))</f>
        <v/>
      </c>
    </row>
    <row r="82">
      <c r="A82" s="1" t="n"/>
      <c r="B82" s="18" t="n"/>
      <c r="C82" s="16" t="n"/>
      <c r="D82" s="19" t="n"/>
      <c r="E82" s="17" t="n"/>
      <c r="F82" s="22" t="n"/>
      <c r="G82" s="14">
        <f>IF(C82="","",IFERROR(VALUE(LEFT(C82,FIND(" ",C82&amp;" ")-1)),""))</f>
        <v/>
      </c>
      <c r="H82" s="26">
        <f>IF(C82="","",IF(G82="","Pick a loan",IFERROR(IF(INDEX(Loans!$C$6:$C$305,MATCH(G82,Loans!$B$6:$B$305,0))="","Not a loan",INDEX(Loans!$C$6:$C$305,MATCH(G82,Loans!$B$6:$B$305,0))),"Not a loan")))</f>
        <v/>
      </c>
      <c r="I82" s="10">
        <f>IF(OR(G82="",H82="Not a loan"),"",IF(INDEX(Loans!$D$6:$D$305,MATCH(G82,Loans!$B$6:$B$305,0))="I borrowed","Out","In"))</f>
        <v/>
      </c>
      <c r="J82" s="1">
        <f>IF(NOT(ISNUMBER(B82)),"",YEAR(B82)*100+MONTH(B82))</f>
        <v/>
      </c>
      <c r="K82">
        <f>IF(OR(G82="",NOT(ISNUMBER(B82))),"",IF(G82=Statement!$H$2,B82*1000+ROW(),""))</f>
        <v/>
      </c>
    </row>
    <row r="83">
      <c r="A83" s="1" t="n"/>
      <c r="B83" s="18" t="n"/>
      <c r="C83" s="16" t="n"/>
      <c r="D83" s="19" t="n"/>
      <c r="E83" s="17" t="n"/>
      <c r="F83" s="22" t="n"/>
      <c r="G83" s="14">
        <f>IF(C83="","",IFERROR(VALUE(LEFT(C83,FIND(" ",C83&amp;" ")-1)),""))</f>
        <v/>
      </c>
      <c r="H83" s="26">
        <f>IF(C83="","",IF(G83="","Pick a loan",IFERROR(IF(INDEX(Loans!$C$6:$C$305,MATCH(G83,Loans!$B$6:$B$305,0))="","Not a loan",INDEX(Loans!$C$6:$C$305,MATCH(G83,Loans!$B$6:$B$305,0))),"Not a loan")))</f>
        <v/>
      </c>
      <c r="I83" s="10">
        <f>IF(OR(G83="",H83="Not a loan"),"",IF(INDEX(Loans!$D$6:$D$305,MATCH(G83,Loans!$B$6:$B$305,0))="I borrowed","Out","In"))</f>
        <v/>
      </c>
      <c r="J83" s="1">
        <f>IF(NOT(ISNUMBER(B83)),"",YEAR(B83)*100+MONTH(B83))</f>
        <v/>
      </c>
      <c r="K83">
        <f>IF(OR(G83="",NOT(ISNUMBER(B83))),"",IF(G83=Statement!$H$2,B83*1000+ROW(),""))</f>
        <v/>
      </c>
    </row>
    <row r="84">
      <c r="A84" s="1" t="n"/>
      <c r="B84" s="18" t="n"/>
      <c r="C84" s="16" t="n"/>
      <c r="D84" s="19" t="n"/>
      <c r="E84" s="17" t="n"/>
      <c r="F84" s="22" t="n"/>
      <c r="G84" s="14">
        <f>IF(C84="","",IFERROR(VALUE(LEFT(C84,FIND(" ",C84&amp;" ")-1)),""))</f>
        <v/>
      </c>
      <c r="H84" s="26">
        <f>IF(C84="","",IF(G84="","Pick a loan",IFERROR(IF(INDEX(Loans!$C$6:$C$305,MATCH(G84,Loans!$B$6:$B$305,0))="","Not a loan",INDEX(Loans!$C$6:$C$305,MATCH(G84,Loans!$B$6:$B$305,0))),"Not a loan")))</f>
        <v/>
      </c>
      <c r="I84" s="10">
        <f>IF(OR(G84="",H84="Not a loan"),"",IF(INDEX(Loans!$D$6:$D$305,MATCH(G84,Loans!$B$6:$B$305,0))="I borrowed","Out","In"))</f>
        <v/>
      </c>
      <c r="J84" s="1">
        <f>IF(NOT(ISNUMBER(B84)),"",YEAR(B84)*100+MONTH(B84))</f>
        <v/>
      </c>
      <c r="K84">
        <f>IF(OR(G84="",NOT(ISNUMBER(B84))),"",IF(G84=Statement!$H$2,B84*1000+ROW(),""))</f>
        <v/>
      </c>
    </row>
    <row r="85">
      <c r="A85" s="1" t="n"/>
      <c r="B85" s="18" t="n"/>
      <c r="C85" s="16" t="n"/>
      <c r="D85" s="19" t="n"/>
      <c r="E85" s="17" t="n"/>
      <c r="F85" s="22" t="n"/>
      <c r="G85" s="14">
        <f>IF(C85="","",IFERROR(VALUE(LEFT(C85,FIND(" ",C85&amp;" ")-1)),""))</f>
        <v/>
      </c>
      <c r="H85" s="26">
        <f>IF(C85="","",IF(G85="","Pick a loan",IFERROR(IF(INDEX(Loans!$C$6:$C$305,MATCH(G85,Loans!$B$6:$B$305,0))="","Not a loan",INDEX(Loans!$C$6:$C$305,MATCH(G85,Loans!$B$6:$B$305,0))),"Not a loan")))</f>
        <v/>
      </c>
      <c r="I85" s="10">
        <f>IF(OR(G85="",H85="Not a loan"),"",IF(INDEX(Loans!$D$6:$D$305,MATCH(G85,Loans!$B$6:$B$305,0))="I borrowed","Out","In"))</f>
        <v/>
      </c>
      <c r="J85" s="1">
        <f>IF(NOT(ISNUMBER(B85)),"",YEAR(B85)*100+MONTH(B85))</f>
        <v/>
      </c>
      <c r="K85">
        <f>IF(OR(G85="",NOT(ISNUMBER(B85))),"",IF(G85=Statement!$H$2,B85*1000+ROW(),""))</f>
        <v/>
      </c>
    </row>
    <row r="86">
      <c r="A86" s="1" t="n"/>
      <c r="B86" s="18" t="n"/>
      <c r="C86" s="16" t="n"/>
      <c r="D86" s="19" t="n"/>
      <c r="E86" s="17" t="n"/>
      <c r="F86" s="22" t="n"/>
      <c r="G86" s="14">
        <f>IF(C86="","",IFERROR(VALUE(LEFT(C86,FIND(" ",C86&amp;" ")-1)),""))</f>
        <v/>
      </c>
      <c r="H86" s="26">
        <f>IF(C86="","",IF(G86="","Pick a loan",IFERROR(IF(INDEX(Loans!$C$6:$C$305,MATCH(G86,Loans!$B$6:$B$305,0))="","Not a loan",INDEX(Loans!$C$6:$C$305,MATCH(G86,Loans!$B$6:$B$305,0))),"Not a loan")))</f>
        <v/>
      </c>
      <c r="I86" s="10">
        <f>IF(OR(G86="",H86="Not a loan"),"",IF(INDEX(Loans!$D$6:$D$305,MATCH(G86,Loans!$B$6:$B$305,0))="I borrowed","Out","In"))</f>
        <v/>
      </c>
      <c r="J86" s="1">
        <f>IF(NOT(ISNUMBER(B86)),"",YEAR(B86)*100+MONTH(B86))</f>
        <v/>
      </c>
      <c r="K86">
        <f>IF(OR(G86="",NOT(ISNUMBER(B86))),"",IF(G86=Statement!$H$2,B86*1000+ROW(),""))</f>
        <v/>
      </c>
    </row>
    <row r="87">
      <c r="A87" s="1" t="n"/>
      <c r="B87" s="18" t="n"/>
      <c r="C87" s="16" t="n"/>
      <c r="D87" s="19" t="n"/>
      <c r="E87" s="17" t="n"/>
      <c r="F87" s="22" t="n"/>
      <c r="G87" s="14">
        <f>IF(C87="","",IFERROR(VALUE(LEFT(C87,FIND(" ",C87&amp;" ")-1)),""))</f>
        <v/>
      </c>
      <c r="H87" s="26">
        <f>IF(C87="","",IF(G87="","Pick a loan",IFERROR(IF(INDEX(Loans!$C$6:$C$305,MATCH(G87,Loans!$B$6:$B$305,0))="","Not a loan",INDEX(Loans!$C$6:$C$305,MATCH(G87,Loans!$B$6:$B$305,0))),"Not a loan")))</f>
        <v/>
      </c>
      <c r="I87" s="10">
        <f>IF(OR(G87="",H87="Not a loan"),"",IF(INDEX(Loans!$D$6:$D$305,MATCH(G87,Loans!$B$6:$B$305,0))="I borrowed","Out","In"))</f>
        <v/>
      </c>
      <c r="J87" s="1">
        <f>IF(NOT(ISNUMBER(B87)),"",YEAR(B87)*100+MONTH(B87))</f>
        <v/>
      </c>
      <c r="K87">
        <f>IF(OR(G87="",NOT(ISNUMBER(B87))),"",IF(G87=Statement!$H$2,B87*1000+ROW(),""))</f>
        <v/>
      </c>
    </row>
    <row r="88">
      <c r="A88" s="1" t="n"/>
      <c r="B88" s="18" t="n"/>
      <c r="C88" s="16" t="n"/>
      <c r="D88" s="19" t="n"/>
      <c r="E88" s="17" t="n"/>
      <c r="F88" s="22" t="n"/>
      <c r="G88" s="14">
        <f>IF(C88="","",IFERROR(VALUE(LEFT(C88,FIND(" ",C88&amp;" ")-1)),""))</f>
        <v/>
      </c>
      <c r="H88" s="26">
        <f>IF(C88="","",IF(G88="","Pick a loan",IFERROR(IF(INDEX(Loans!$C$6:$C$305,MATCH(G88,Loans!$B$6:$B$305,0))="","Not a loan",INDEX(Loans!$C$6:$C$305,MATCH(G88,Loans!$B$6:$B$305,0))),"Not a loan")))</f>
        <v/>
      </c>
      <c r="I88" s="10">
        <f>IF(OR(G88="",H88="Not a loan"),"",IF(INDEX(Loans!$D$6:$D$305,MATCH(G88,Loans!$B$6:$B$305,0))="I borrowed","Out","In"))</f>
        <v/>
      </c>
      <c r="J88" s="1">
        <f>IF(NOT(ISNUMBER(B88)),"",YEAR(B88)*100+MONTH(B88))</f>
        <v/>
      </c>
      <c r="K88">
        <f>IF(OR(G88="",NOT(ISNUMBER(B88))),"",IF(G88=Statement!$H$2,B88*1000+ROW(),""))</f>
        <v/>
      </c>
    </row>
    <row r="89">
      <c r="A89" s="1" t="n"/>
      <c r="B89" s="18" t="n"/>
      <c r="C89" s="16" t="n"/>
      <c r="D89" s="19" t="n"/>
      <c r="E89" s="17" t="n"/>
      <c r="F89" s="22" t="n"/>
      <c r="G89" s="14">
        <f>IF(C89="","",IFERROR(VALUE(LEFT(C89,FIND(" ",C89&amp;" ")-1)),""))</f>
        <v/>
      </c>
      <c r="H89" s="26">
        <f>IF(C89="","",IF(G89="","Pick a loan",IFERROR(IF(INDEX(Loans!$C$6:$C$305,MATCH(G89,Loans!$B$6:$B$305,0))="","Not a loan",INDEX(Loans!$C$6:$C$305,MATCH(G89,Loans!$B$6:$B$305,0))),"Not a loan")))</f>
        <v/>
      </c>
      <c r="I89" s="10">
        <f>IF(OR(G89="",H89="Not a loan"),"",IF(INDEX(Loans!$D$6:$D$305,MATCH(G89,Loans!$B$6:$B$305,0))="I borrowed","Out","In"))</f>
        <v/>
      </c>
      <c r="J89" s="1">
        <f>IF(NOT(ISNUMBER(B89)),"",YEAR(B89)*100+MONTH(B89))</f>
        <v/>
      </c>
      <c r="K89">
        <f>IF(OR(G89="",NOT(ISNUMBER(B89))),"",IF(G89=Statement!$H$2,B89*1000+ROW(),""))</f>
        <v/>
      </c>
    </row>
    <row r="90">
      <c r="A90" s="1" t="n"/>
      <c r="B90" s="18" t="n"/>
      <c r="C90" s="16" t="n"/>
      <c r="D90" s="19" t="n"/>
      <c r="E90" s="17" t="n"/>
      <c r="F90" s="22" t="n"/>
      <c r="G90" s="14">
        <f>IF(C90="","",IFERROR(VALUE(LEFT(C90,FIND(" ",C90&amp;" ")-1)),""))</f>
        <v/>
      </c>
      <c r="H90" s="26">
        <f>IF(C90="","",IF(G90="","Pick a loan",IFERROR(IF(INDEX(Loans!$C$6:$C$305,MATCH(G90,Loans!$B$6:$B$305,0))="","Not a loan",INDEX(Loans!$C$6:$C$305,MATCH(G90,Loans!$B$6:$B$305,0))),"Not a loan")))</f>
        <v/>
      </c>
      <c r="I90" s="10">
        <f>IF(OR(G90="",H90="Not a loan"),"",IF(INDEX(Loans!$D$6:$D$305,MATCH(G90,Loans!$B$6:$B$305,0))="I borrowed","Out","In"))</f>
        <v/>
      </c>
      <c r="J90" s="1">
        <f>IF(NOT(ISNUMBER(B90)),"",YEAR(B90)*100+MONTH(B90))</f>
        <v/>
      </c>
      <c r="K90">
        <f>IF(OR(G90="",NOT(ISNUMBER(B90))),"",IF(G90=Statement!$H$2,B90*1000+ROW(),""))</f>
        <v/>
      </c>
    </row>
    <row r="91">
      <c r="A91" s="1" t="n"/>
      <c r="B91" s="18" t="n"/>
      <c r="C91" s="16" t="n"/>
      <c r="D91" s="19" t="n"/>
      <c r="E91" s="17" t="n"/>
      <c r="F91" s="22" t="n"/>
      <c r="G91" s="14">
        <f>IF(C91="","",IFERROR(VALUE(LEFT(C91,FIND(" ",C91&amp;" ")-1)),""))</f>
        <v/>
      </c>
      <c r="H91" s="26">
        <f>IF(C91="","",IF(G91="","Pick a loan",IFERROR(IF(INDEX(Loans!$C$6:$C$305,MATCH(G91,Loans!$B$6:$B$305,0))="","Not a loan",INDEX(Loans!$C$6:$C$305,MATCH(G91,Loans!$B$6:$B$305,0))),"Not a loan")))</f>
        <v/>
      </c>
      <c r="I91" s="10">
        <f>IF(OR(G91="",H91="Not a loan"),"",IF(INDEX(Loans!$D$6:$D$305,MATCH(G91,Loans!$B$6:$B$305,0))="I borrowed","Out","In"))</f>
        <v/>
      </c>
      <c r="J91" s="1">
        <f>IF(NOT(ISNUMBER(B91)),"",YEAR(B91)*100+MONTH(B91))</f>
        <v/>
      </c>
      <c r="K91">
        <f>IF(OR(G91="",NOT(ISNUMBER(B91))),"",IF(G91=Statement!$H$2,B91*1000+ROW(),""))</f>
        <v/>
      </c>
    </row>
    <row r="92">
      <c r="A92" s="1" t="n"/>
      <c r="B92" s="18" t="n"/>
      <c r="C92" s="16" t="n"/>
      <c r="D92" s="19" t="n"/>
      <c r="E92" s="17" t="n"/>
      <c r="F92" s="22" t="n"/>
      <c r="G92" s="14">
        <f>IF(C92="","",IFERROR(VALUE(LEFT(C92,FIND(" ",C92&amp;" ")-1)),""))</f>
        <v/>
      </c>
      <c r="H92" s="26">
        <f>IF(C92="","",IF(G92="","Pick a loan",IFERROR(IF(INDEX(Loans!$C$6:$C$305,MATCH(G92,Loans!$B$6:$B$305,0))="","Not a loan",INDEX(Loans!$C$6:$C$305,MATCH(G92,Loans!$B$6:$B$305,0))),"Not a loan")))</f>
        <v/>
      </c>
      <c r="I92" s="10">
        <f>IF(OR(G92="",H92="Not a loan"),"",IF(INDEX(Loans!$D$6:$D$305,MATCH(G92,Loans!$B$6:$B$305,0))="I borrowed","Out","In"))</f>
        <v/>
      </c>
      <c r="J92" s="1">
        <f>IF(NOT(ISNUMBER(B92)),"",YEAR(B92)*100+MONTH(B92))</f>
        <v/>
      </c>
      <c r="K92">
        <f>IF(OR(G92="",NOT(ISNUMBER(B92))),"",IF(G92=Statement!$H$2,B92*1000+ROW(),""))</f>
        <v/>
      </c>
    </row>
    <row r="93">
      <c r="A93" s="1" t="n"/>
      <c r="B93" s="18" t="n"/>
      <c r="C93" s="16" t="n"/>
      <c r="D93" s="19" t="n"/>
      <c r="E93" s="17" t="n"/>
      <c r="F93" s="22" t="n"/>
      <c r="G93" s="14">
        <f>IF(C93="","",IFERROR(VALUE(LEFT(C93,FIND(" ",C93&amp;" ")-1)),""))</f>
        <v/>
      </c>
      <c r="H93" s="26">
        <f>IF(C93="","",IF(G93="","Pick a loan",IFERROR(IF(INDEX(Loans!$C$6:$C$305,MATCH(G93,Loans!$B$6:$B$305,0))="","Not a loan",INDEX(Loans!$C$6:$C$305,MATCH(G93,Loans!$B$6:$B$305,0))),"Not a loan")))</f>
        <v/>
      </c>
      <c r="I93" s="10">
        <f>IF(OR(G93="",H93="Not a loan"),"",IF(INDEX(Loans!$D$6:$D$305,MATCH(G93,Loans!$B$6:$B$305,0))="I borrowed","Out","In"))</f>
        <v/>
      </c>
      <c r="J93" s="1">
        <f>IF(NOT(ISNUMBER(B93)),"",YEAR(B93)*100+MONTH(B93))</f>
        <v/>
      </c>
      <c r="K93">
        <f>IF(OR(G93="",NOT(ISNUMBER(B93))),"",IF(G93=Statement!$H$2,B93*1000+ROW(),""))</f>
        <v/>
      </c>
    </row>
    <row r="94">
      <c r="A94" s="1" t="n"/>
      <c r="B94" s="18" t="n"/>
      <c r="C94" s="16" t="n"/>
      <c r="D94" s="19" t="n"/>
      <c r="E94" s="17" t="n"/>
      <c r="F94" s="22" t="n"/>
      <c r="G94" s="14">
        <f>IF(C94="","",IFERROR(VALUE(LEFT(C94,FIND(" ",C94&amp;" ")-1)),""))</f>
        <v/>
      </c>
      <c r="H94" s="26">
        <f>IF(C94="","",IF(G94="","Pick a loan",IFERROR(IF(INDEX(Loans!$C$6:$C$305,MATCH(G94,Loans!$B$6:$B$305,0))="","Not a loan",INDEX(Loans!$C$6:$C$305,MATCH(G94,Loans!$B$6:$B$305,0))),"Not a loan")))</f>
        <v/>
      </c>
      <c r="I94" s="10">
        <f>IF(OR(G94="",H94="Not a loan"),"",IF(INDEX(Loans!$D$6:$D$305,MATCH(G94,Loans!$B$6:$B$305,0))="I borrowed","Out","In"))</f>
        <v/>
      </c>
      <c r="J94" s="1">
        <f>IF(NOT(ISNUMBER(B94)),"",YEAR(B94)*100+MONTH(B94))</f>
        <v/>
      </c>
      <c r="K94">
        <f>IF(OR(G94="",NOT(ISNUMBER(B94))),"",IF(G94=Statement!$H$2,B94*1000+ROW(),""))</f>
        <v/>
      </c>
    </row>
    <row r="95">
      <c r="A95" s="1" t="n"/>
      <c r="B95" s="18" t="n"/>
      <c r="C95" s="16" t="n"/>
      <c r="D95" s="19" t="n"/>
      <c r="E95" s="17" t="n"/>
      <c r="F95" s="22" t="n"/>
      <c r="G95" s="14">
        <f>IF(C95="","",IFERROR(VALUE(LEFT(C95,FIND(" ",C95&amp;" ")-1)),""))</f>
        <v/>
      </c>
      <c r="H95" s="26">
        <f>IF(C95="","",IF(G95="","Pick a loan",IFERROR(IF(INDEX(Loans!$C$6:$C$305,MATCH(G95,Loans!$B$6:$B$305,0))="","Not a loan",INDEX(Loans!$C$6:$C$305,MATCH(G95,Loans!$B$6:$B$305,0))),"Not a loan")))</f>
        <v/>
      </c>
      <c r="I95" s="10">
        <f>IF(OR(G95="",H95="Not a loan"),"",IF(INDEX(Loans!$D$6:$D$305,MATCH(G95,Loans!$B$6:$B$305,0))="I borrowed","Out","In"))</f>
        <v/>
      </c>
      <c r="J95" s="1">
        <f>IF(NOT(ISNUMBER(B95)),"",YEAR(B95)*100+MONTH(B95))</f>
        <v/>
      </c>
      <c r="K95">
        <f>IF(OR(G95="",NOT(ISNUMBER(B95))),"",IF(G95=Statement!$H$2,B95*1000+ROW(),""))</f>
        <v/>
      </c>
    </row>
    <row r="96">
      <c r="A96" s="1" t="n"/>
      <c r="B96" s="18" t="n"/>
      <c r="C96" s="16" t="n"/>
      <c r="D96" s="19" t="n"/>
      <c r="E96" s="17" t="n"/>
      <c r="F96" s="22" t="n"/>
      <c r="G96" s="14">
        <f>IF(C96="","",IFERROR(VALUE(LEFT(C96,FIND(" ",C96&amp;" ")-1)),""))</f>
        <v/>
      </c>
      <c r="H96" s="26">
        <f>IF(C96="","",IF(G96="","Pick a loan",IFERROR(IF(INDEX(Loans!$C$6:$C$305,MATCH(G96,Loans!$B$6:$B$305,0))="","Not a loan",INDEX(Loans!$C$6:$C$305,MATCH(G96,Loans!$B$6:$B$305,0))),"Not a loan")))</f>
        <v/>
      </c>
      <c r="I96" s="10">
        <f>IF(OR(G96="",H96="Not a loan"),"",IF(INDEX(Loans!$D$6:$D$305,MATCH(G96,Loans!$B$6:$B$305,0))="I borrowed","Out","In"))</f>
        <v/>
      </c>
      <c r="J96" s="1">
        <f>IF(NOT(ISNUMBER(B96)),"",YEAR(B96)*100+MONTH(B96))</f>
        <v/>
      </c>
      <c r="K96">
        <f>IF(OR(G96="",NOT(ISNUMBER(B96))),"",IF(G96=Statement!$H$2,B96*1000+ROW(),""))</f>
        <v/>
      </c>
    </row>
    <row r="97">
      <c r="A97" s="1" t="n"/>
      <c r="B97" s="18" t="n"/>
      <c r="C97" s="16" t="n"/>
      <c r="D97" s="19" t="n"/>
      <c r="E97" s="17" t="n"/>
      <c r="F97" s="22" t="n"/>
      <c r="G97" s="14">
        <f>IF(C97="","",IFERROR(VALUE(LEFT(C97,FIND(" ",C97&amp;" ")-1)),""))</f>
        <v/>
      </c>
      <c r="H97" s="26">
        <f>IF(C97="","",IF(G97="","Pick a loan",IFERROR(IF(INDEX(Loans!$C$6:$C$305,MATCH(G97,Loans!$B$6:$B$305,0))="","Not a loan",INDEX(Loans!$C$6:$C$305,MATCH(G97,Loans!$B$6:$B$305,0))),"Not a loan")))</f>
        <v/>
      </c>
      <c r="I97" s="10">
        <f>IF(OR(G97="",H97="Not a loan"),"",IF(INDEX(Loans!$D$6:$D$305,MATCH(G97,Loans!$B$6:$B$305,0))="I borrowed","Out","In"))</f>
        <v/>
      </c>
      <c r="J97" s="1">
        <f>IF(NOT(ISNUMBER(B97)),"",YEAR(B97)*100+MONTH(B97))</f>
        <v/>
      </c>
      <c r="K97">
        <f>IF(OR(G97="",NOT(ISNUMBER(B97))),"",IF(G97=Statement!$H$2,B97*1000+ROW(),""))</f>
        <v/>
      </c>
    </row>
    <row r="98">
      <c r="A98" s="1" t="n"/>
      <c r="B98" s="18" t="n"/>
      <c r="C98" s="16" t="n"/>
      <c r="D98" s="19" t="n"/>
      <c r="E98" s="17" t="n"/>
      <c r="F98" s="22" t="n"/>
      <c r="G98" s="14">
        <f>IF(C98="","",IFERROR(VALUE(LEFT(C98,FIND(" ",C98&amp;" ")-1)),""))</f>
        <v/>
      </c>
      <c r="H98" s="26">
        <f>IF(C98="","",IF(G98="","Pick a loan",IFERROR(IF(INDEX(Loans!$C$6:$C$305,MATCH(G98,Loans!$B$6:$B$305,0))="","Not a loan",INDEX(Loans!$C$6:$C$305,MATCH(G98,Loans!$B$6:$B$305,0))),"Not a loan")))</f>
        <v/>
      </c>
      <c r="I98" s="10">
        <f>IF(OR(G98="",H98="Not a loan"),"",IF(INDEX(Loans!$D$6:$D$305,MATCH(G98,Loans!$B$6:$B$305,0))="I borrowed","Out","In"))</f>
        <v/>
      </c>
      <c r="J98" s="1">
        <f>IF(NOT(ISNUMBER(B98)),"",YEAR(B98)*100+MONTH(B98))</f>
        <v/>
      </c>
      <c r="K98">
        <f>IF(OR(G98="",NOT(ISNUMBER(B98))),"",IF(G98=Statement!$H$2,B98*1000+ROW(),""))</f>
        <v/>
      </c>
    </row>
    <row r="99">
      <c r="A99" s="1" t="n"/>
      <c r="B99" s="18" t="n"/>
      <c r="C99" s="16" t="n"/>
      <c r="D99" s="19" t="n"/>
      <c r="E99" s="17" t="n"/>
      <c r="F99" s="22" t="n"/>
      <c r="G99" s="14">
        <f>IF(C99="","",IFERROR(VALUE(LEFT(C99,FIND(" ",C99&amp;" ")-1)),""))</f>
        <v/>
      </c>
      <c r="H99" s="26">
        <f>IF(C99="","",IF(G99="","Pick a loan",IFERROR(IF(INDEX(Loans!$C$6:$C$305,MATCH(G99,Loans!$B$6:$B$305,0))="","Not a loan",INDEX(Loans!$C$6:$C$305,MATCH(G99,Loans!$B$6:$B$305,0))),"Not a loan")))</f>
        <v/>
      </c>
      <c r="I99" s="10">
        <f>IF(OR(G99="",H99="Not a loan"),"",IF(INDEX(Loans!$D$6:$D$305,MATCH(G99,Loans!$B$6:$B$305,0))="I borrowed","Out","In"))</f>
        <v/>
      </c>
      <c r="J99" s="1">
        <f>IF(NOT(ISNUMBER(B99)),"",YEAR(B99)*100+MONTH(B99))</f>
        <v/>
      </c>
      <c r="K99">
        <f>IF(OR(G99="",NOT(ISNUMBER(B99))),"",IF(G99=Statement!$H$2,B99*1000+ROW(),""))</f>
        <v/>
      </c>
    </row>
    <row r="100">
      <c r="A100" s="1" t="n"/>
      <c r="B100" s="18" t="n"/>
      <c r="C100" s="16" t="n"/>
      <c r="D100" s="19" t="n"/>
      <c r="E100" s="17" t="n"/>
      <c r="F100" s="22" t="n"/>
      <c r="G100" s="14">
        <f>IF(C100="","",IFERROR(VALUE(LEFT(C100,FIND(" ",C100&amp;" ")-1)),""))</f>
        <v/>
      </c>
      <c r="H100" s="26">
        <f>IF(C100="","",IF(G100="","Pick a loan",IFERROR(IF(INDEX(Loans!$C$6:$C$305,MATCH(G100,Loans!$B$6:$B$305,0))="","Not a loan",INDEX(Loans!$C$6:$C$305,MATCH(G100,Loans!$B$6:$B$305,0))),"Not a loan")))</f>
        <v/>
      </c>
      <c r="I100" s="10">
        <f>IF(OR(G100="",H100="Not a loan"),"",IF(INDEX(Loans!$D$6:$D$305,MATCH(G100,Loans!$B$6:$B$305,0))="I borrowed","Out","In"))</f>
        <v/>
      </c>
      <c r="J100" s="1">
        <f>IF(NOT(ISNUMBER(B100)),"",YEAR(B100)*100+MONTH(B100))</f>
        <v/>
      </c>
      <c r="K100">
        <f>IF(OR(G100="",NOT(ISNUMBER(B100))),"",IF(G100=Statement!$H$2,B100*1000+ROW(),""))</f>
        <v/>
      </c>
    </row>
    <row r="101">
      <c r="A101" s="1" t="n"/>
      <c r="B101" s="18" t="n"/>
      <c r="C101" s="16" t="n"/>
      <c r="D101" s="19" t="n"/>
      <c r="E101" s="17" t="n"/>
      <c r="F101" s="22" t="n"/>
      <c r="G101" s="14">
        <f>IF(C101="","",IFERROR(VALUE(LEFT(C101,FIND(" ",C101&amp;" ")-1)),""))</f>
        <v/>
      </c>
      <c r="H101" s="26">
        <f>IF(C101="","",IF(G101="","Pick a loan",IFERROR(IF(INDEX(Loans!$C$6:$C$305,MATCH(G101,Loans!$B$6:$B$305,0))="","Not a loan",INDEX(Loans!$C$6:$C$305,MATCH(G101,Loans!$B$6:$B$305,0))),"Not a loan")))</f>
        <v/>
      </c>
      <c r="I101" s="10">
        <f>IF(OR(G101="",H101="Not a loan"),"",IF(INDEX(Loans!$D$6:$D$305,MATCH(G101,Loans!$B$6:$B$305,0))="I borrowed","Out","In"))</f>
        <v/>
      </c>
      <c r="J101" s="1">
        <f>IF(NOT(ISNUMBER(B101)),"",YEAR(B101)*100+MONTH(B101))</f>
        <v/>
      </c>
      <c r="K101">
        <f>IF(OR(G101="",NOT(ISNUMBER(B101))),"",IF(G101=Statement!$H$2,B101*1000+ROW(),""))</f>
        <v/>
      </c>
    </row>
    <row r="102">
      <c r="A102" s="1" t="n"/>
      <c r="B102" s="18" t="n"/>
      <c r="C102" s="16" t="n"/>
      <c r="D102" s="19" t="n"/>
      <c r="E102" s="17" t="n"/>
      <c r="F102" s="22" t="n"/>
      <c r="G102" s="14">
        <f>IF(C102="","",IFERROR(VALUE(LEFT(C102,FIND(" ",C102&amp;" ")-1)),""))</f>
        <v/>
      </c>
      <c r="H102" s="26">
        <f>IF(C102="","",IF(G102="","Pick a loan",IFERROR(IF(INDEX(Loans!$C$6:$C$305,MATCH(G102,Loans!$B$6:$B$305,0))="","Not a loan",INDEX(Loans!$C$6:$C$305,MATCH(G102,Loans!$B$6:$B$305,0))),"Not a loan")))</f>
        <v/>
      </c>
      <c r="I102" s="10">
        <f>IF(OR(G102="",H102="Not a loan"),"",IF(INDEX(Loans!$D$6:$D$305,MATCH(G102,Loans!$B$6:$B$305,0))="I borrowed","Out","In"))</f>
        <v/>
      </c>
      <c r="J102" s="1">
        <f>IF(NOT(ISNUMBER(B102)),"",YEAR(B102)*100+MONTH(B102))</f>
        <v/>
      </c>
      <c r="K102">
        <f>IF(OR(G102="",NOT(ISNUMBER(B102))),"",IF(G102=Statement!$H$2,B102*1000+ROW(),""))</f>
        <v/>
      </c>
    </row>
    <row r="103">
      <c r="A103" s="1" t="n"/>
      <c r="B103" s="18" t="n"/>
      <c r="C103" s="16" t="n"/>
      <c r="D103" s="19" t="n"/>
      <c r="E103" s="17" t="n"/>
      <c r="F103" s="22" t="n"/>
      <c r="G103" s="14">
        <f>IF(C103="","",IFERROR(VALUE(LEFT(C103,FIND(" ",C103&amp;" ")-1)),""))</f>
        <v/>
      </c>
      <c r="H103" s="26">
        <f>IF(C103="","",IF(G103="","Pick a loan",IFERROR(IF(INDEX(Loans!$C$6:$C$305,MATCH(G103,Loans!$B$6:$B$305,0))="","Not a loan",INDEX(Loans!$C$6:$C$305,MATCH(G103,Loans!$B$6:$B$305,0))),"Not a loan")))</f>
        <v/>
      </c>
      <c r="I103" s="10">
        <f>IF(OR(G103="",H103="Not a loan"),"",IF(INDEX(Loans!$D$6:$D$305,MATCH(G103,Loans!$B$6:$B$305,0))="I borrowed","Out","In"))</f>
        <v/>
      </c>
      <c r="J103" s="1">
        <f>IF(NOT(ISNUMBER(B103)),"",YEAR(B103)*100+MONTH(B103))</f>
        <v/>
      </c>
      <c r="K103">
        <f>IF(OR(G103="",NOT(ISNUMBER(B103))),"",IF(G103=Statement!$H$2,B103*1000+ROW(),""))</f>
        <v/>
      </c>
    </row>
    <row r="104">
      <c r="A104" s="1" t="n"/>
      <c r="B104" s="18" t="n"/>
      <c r="C104" s="16" t="n"/>
      <c r="D104" s="19" t="n"/>
      <c r="E104" s="17" t="n"/>
      <c r="F104" s="22" t="n"/>
      <c r="G104" s="14">
        <f>IF(C104="","",IFERROR(VALUE(LEFT(C104,FIND(" ",C104&amp;" ")-1)),""))</f>
        <v/>
      </c>
      <c r="H104" s="26">
        <f>IF(C104="","",IF(G104="","Pick a loan",IFERROR(IF(INDEX(Loans!$C$6:$C$305,MATCH(G104,Loans!$B$6:$B$305,0))="","Not a loan",INDEX(Loans!$C$6:$C$305,MATCH(G104,Loans!$B$6:$B$305,0))),"Not a loan")))</f>
        <v/>
      </c>
      <c r="I104" s="10">
        <f>IF(OR(G104="",H104="Not a loan"),"",IF(INDEX(Loans!$D$6:$D$305,MATCH(G104,Loans!$B$6:$B$305,0))="I borrowed","Out","In"))</f>
        <v/>
      </c>
      <c r="J104" s="1">
        <f>IF(NOT(ISNUMBER(B104)),"",YEAR(B104)*100+MONTH(B104))</f>
        <v/>
      </c>
      <c r="K104">
        <f>IF(OR(G104="",NOT(ISNUMBER(B104))),"",IF(G104=Statement!$H$2,B104*1000+ROW(),""))</f>
        <v/>
      </c>
    </row>
    <row r="105">
      <c r="A105" s="1" t="n"/>
      <c r="B105" s="18" t="n"/>
      <c r="C105" s="16" t="n"/>
      <c r="D105" s="19" t="n"/>
      <c r="E105" s="17" t="n"/>
      <c r="F105" s="22" t="n"/>
      <c r="G105" s="14">
        <f>IF(C105="","",IFERROR(VALUE(LEFT(C105,FIND(" ",C105&amp;" ")-1)),""))</f>
        <v/>
      </c>
      <c r="H105" s="26">
        <f>IF(C105="","",IF(G105="","Pick a loan",IFERROR(IF(INDEX(Loans!$C$6:$C$305,MATCH(G105,Loans!$B$6:$B$305,0))="","Not a loan",INDEX(Loans!$C$6:$C$305,MATCH(G105,Loans!$B$6:$B$305,0))),"Not a loan")))</f>
        <v/>
      </c>
      <c r="I105" s="10">
        <f>IF(OR(G105="",H105="Not a loan"),"",IF(INDEX(Loans!$D$6:$D$305,MATCH(G105,Loans!$B$6:$B$305,0))="I borrowed","Out","In"))</f>
        <v/>
      </c>
      <c r="J105" s="1">
        <f>IF(NOT(ISNUMBER(B105)),"",YEAR(B105)*100+MONTH(B105))</f>
        <v/>
      </c>
      <c r="K105">
        <f>IF(OR(G105="",NOT(ISNUMBER(B105))),"",IF(G105=Statement!$H$2,B105*1000+ROW(),""))</f>
        <v/>
      </c>
    </row>
    <row r="106">
      <c r="A106" s="1" t="n"/>
      <c r="B106" s="18" t="n"/>
      <c r="C106" s="16" t="n"/>
      <c r="D106" s="19" t="n"/>
      <c r="E106" s="17" t="n"/>
      <c r="F106" s="22" t="n"/>
      <c r="G106" s="14">
        <f>IF(C106="","",IFERROR(VALUE(LEFT(C106,FIND(" ",C106&amp;" ")-1)),""))</f>
        <v/>
      </c>
      <c r="H106" s="26">
        <f>IF(C106="","",IF(G106="","Pick a loan",IFERROR(IF(INDEX(Loans!$C$6:$C$305,MATCH(G106,Loans!$B$6:$B$305,0))="","Not a loan",INDEX(Loans!$C$6:$C$305,MATCH(G106,Loans!$B$6:$B$305,0))),"Not a loan")))</f>
        <v/>
      </c>
      <c r="I106" s="10">
        <f>IF(OR(G106="",H106="Not a loan"),"",IF(INDEX(Loans!$D$6:$D$305,MATCH(G106,Loans!$B$6:$B$305,0))="I borrowed","Out","In"))</f>
        <v/>
      </c>
      <c r="J106" s="1">
        <f>IF(NOT(ISNUMBER(B106)),"",YEAR(B106)*100+MONTH(B106))</f>
        <v/>
      </c>
      <c r="K106">
        <f>IF(OR(G106="",NOT(ISNUMBER(B106))),"",IF(G106=Statement!$H$2,B106*1000+ROW(),""))</f>
        <v/>
      </c>
    </row>
    <row r="107">
      <c r="A107" s="1" t="n"/>
      <c r="B107" s="18" t="n"/>
      <c r="C107" s="16" t="n"/>
      <c r="D107" s="19" t="n"/>
      <c r="E107" s="17" t="n"/>
      <c r="F107" s="22" t="n"/>
      <c r="G107" s="14">
        <f>IF(C107="","",IFERROR(VALUE(LEFT(C107,FIND(" ",C107&amp;" ")-1)),""))</f>
        <v/>
      </c>
      <c r="H107" s="26">
        <f>IF(C107="","",IF(G107="","Pick a loan",IFERROR(IF(INDEX(Loans!$C$6:$C$305,MATCH(G107,Loans!$B$6:$B$305,0))="","Not a loan",INDEX(Loans!$C$6:$C$305,MATCH(G107,Loans!$B$6:$B$305,0))),"Not a loan")))</f>
        <v/>
      </c>
      <c r="I107" s="10">
        <f>IF(OR(G107="",H107="Not a loan"),"",IF(INDEX(Loans!$D$6:$D$305,MATCH(G107,Loans!$B$6:$B$305,0))="I borrowed","Out","In"))</f>
        <v/>
      </c>
      <c r="J107" s="1">
        <f>IF(NOT(ISNUMBER(B107)),"",YEAR(B107)*100+MONTH(B107))</f>
        <v/>
      </c>
      <c r="K107">
        <f>IF(OR(G107="",NOT(ISNUMBER(B107))),"",IF(G107=Statement!$H$2,B107*1000+ROW(),""))</f>
        <v/>
      </c>
    </row>
    <row r="108">
      <c r="A108" s="1" t="n"/>
      <c r="B108" s="18" t="n"/>
      <c r="C108" s="16" t="n"/>
      <c r="D108" s="19" t="n"/>
      <c r="E108" s="17" t="n"/>
      <c r="F108" s="22" t="n"/>
      <c r="G108" s="14">
        <f>IF(C108="","",IFERROR(VALUE(LEFT(C108,FIND(" ",C108&amp;" ")-1)),""))</f>
        <v/>
      </c>
      <c r="H108" s="26">
        <f>IF(C108="","",IF(G108="","Pick a loan",IFERROR(IF(INDEX(Loans!$C$6:$C$305,MATCH(G108,Loans!$B$6:$B$305,0))="","Not a loan",INDEX(Loans!$C$6:$C$305,MATCH(G108,Loans!$B$6:$B$305,0))),"Not a loan")))</f>
        <v/>
      </c>
      <c r="I108" s="10">
        <f>IF(OR(G108="",H108="Not a loan"),"",IF(INDEX(Loans!$D$6:$D$305,MATCH(G108,Loans!$B$6:$B$305,0))="I borrowed","Out","In"))</f>
        <v/>
      </c>
      <c r="J108" s="1">
        <f>IF(NOT(ISNUMBER(B108)),"",YEAR(B108)*100+MONTH(B108))</f>
        <v/>
      </c>
      <c r="K108">
        <f>IF(OR(G108="",NOT(ISNUMBER(B108))),"",IF(G108=Statement!$H$2,B108*1000+ROW(),""))</f>
        <v/>
      </c>
    </row>
    <row r="109">
      <c r="A109" s="1" t="n"/>
      <c r="B109" s="18" t="n"/>
      <c r="C109" s="16" t="n"/>
      <c r="D109" s="19" t="n"/>
      <c r="E109" s="17" t="n"/>
      <c r="F109" s="22" t="n"/>
      <c r="G109" s="14">
        <f>IF(C109="","",IFERROR(VALUE(LEFT(C109,FIND(" ",C109&amp;" ")-1)),""))</f>
        <v/>
      </c>
      <c r="H109" s="26">
        <f>IF(C109="","",IF(G109="","Pick a loan",IFERROR(IF(INDEX(Loans!$C$6:$C$305,MATCH(G109,Loans!$B$6:$B$305,0))="","Not a loan",INDEX(Loans!$C$6:$C$305,MATCH(G109,Loans!$B$6:$B$305,0))),"Not a loan")))</f>
        <v/>
      </c>
      <c r="I109" s="10">
        <f>IF(OR(G109="",H109="Not a loan"),"",IF(INDEX(Loans!$D$6:$D$305,MATCH(G109,Loans!$B$6:$B$305,0))="I borrowed","Out","In"))</f>
        <v/>
      </c>
      <c r="J109" s="1">
        <f>IF(NOT(ISNUMBER(B109)),"",YEAR(B109)*100+MONTH(B109))</f>
        <v/>
      </c>
      <c r="K109">
        <f>IF(OR(G109="",NOT(ISNUMBER(B109))),"",IF(G109=Statement!$H$2,B109*1000+ROW(),""))</f>
        <v/>
      </c>
    </row>
    <row r="110">
      <c r="A110" s="1" t="n"/>
      <c r="B110" s="18" t="n"/>
      <c r="C110" s="16" t="n"/>
      <c r="D110" s="19" t="n"/>
      <c r="E110" s="17" t="n"/>
      <c r="F110" s="22" t="n"/>
      <c r="G110" s="14">
        <f>IF(C110="","",IFERROR(VALUE(LEFT(C110,FIND(" ",C110&amp;" ")-1)),""))</f>
        <v/>
      </c>
      <c r="H110" s="26">
        <f>IF(C110="","",IF(G110="","Pick a loan",IFERROR(IF(INDEX(Loans!$C$6:$C$305,MATCH(G110,Loans!$B$6:$B$305,0))="","Not a loan",INDEX(Loans!$C$6:$C$305,MATCH(G110,Loans!$B$6:$B$305,0))),"Not a loan")))</f>
        <v/>
      </c>
      <c r="I110" s="10">
        <f>IF(OR(G110="",H110="Not a loan"),"",IF(INDEX(Loans!$D$6:$D$305,MATCH(G110,Loans!$B$6:$B$305,0))="I borrowed","Out","In"))</f>
        <v/>
      </c>
      <c r="J110" s="1">
        <f>IF(NOT(ISNUMBER(B110)),"",YEAR(B110)*100+MONTH(B110))</f>
        <v/>
      </c>
      <c r="K110">
        <f>IF(OR(G110="",NOT(ISNUMBER(B110))),"",IF(G110=Statement!$H$2,B110*1000+ROW(),""))</f>
        <v/>
      </c>
    </row>
    <row r="111">
      <c r="A111" s="1" t="n"/>
      <c r="B111" s="18" t="n"/>
      <c r="C111" s="16" t="n"/>
      <c r="D111" s="19" t="n"/>
      <c r="E111" s="17" t="n"/>
      <c r="F111" s="22" t="n"/>
      <c r="G111" s="14">
        <f>IF(C111="","",IFERROR(VALUE(LEFT(C111,FIND(" ",C111&amp;" ")-1)),""))</f>
        <v/>
      </c>
      <c r="H111" s="26">
        <f>IF(C111="","",IF(G111="","Pick a loan",IFERROR(IF(INDEX(Loans!$C$6:$C$305,MATCH(G111,Loans!$B$6:$B$305,0))="","Not a loan",INDEX(Loans!$C$6:$C$305,MATCH(G111,Loans!$B$6:$B$305,0))),"Not a loan")))</f>
        <v/>
      </c>
      <c r="I111" s="10">
        <f>IF(OR(G111="",H111="Not a loan"),"",IF(INDEX(Loans!$D$6:$D$305,MATCH(G111,Loans!$B$6:$B$305,0))="I borrowed","Out","In"))</f>
        <v/>
      </c>
      <c r="J111" s="1">
        <f>IF(NOT(ISNUMBER(B111)),"",YEAR(B111)*100+MONTH(B111))</f>
        <v/>
      </c>
      <c r="K111">
        <f>IF(OR(G111="",NOT(ISNUMBER(B111))),"",IF(G111=Statement!$H$2,B111*1000+ROW(),""))</f>
        <v/>
      </c>
    </row>
    <row r="112">
      <c r="A112" s="1" t="n"/>
      <c r="B112" s="18" t="n"/>
      <c r="C112" s="16" t="n"/>
      <c r="D112" s="19" t="n"/>
      <c r="E112" s="17" t="n"/>
      <c r="F112" s="22" t="n"/>
      <c r="G112" s="14">
        <f>IF(C112="","",IFERROR(VALUE(LEFT(C112,FIND(" ",C112&amp;" ")-1)),""))</f>
        <v/>
      </c>
      <c r="H112" s="26">
        <f>IF(C112="","",IF(G112="","Pick a loan",IFERROR(IF(INDEX(Loans!$C$6:$C$305,MATCH(G112,Loans!$B$6:$B$305,0))="","Not a loan",INDEX(Loans!$C$6:$C$305,MATCH(G112,Loans!$B$6:$B$305,0))),"Not a loan")))</f>
        <v/>
      </c>
      <c r="I112" s="10">
        <f>IF(OR(G112="",H112="Not a loan"),"",IF(INDEX(Loans!$D$6:$D$305,MATCH(G112,Loans!$B$6:$B$305,0))="I borrowed","Out","In"))</f>
        <v/>
      </c>
      <c r="J112" s="1">
        <f>IF(NOT(ISNUMBER(B112)),"",YEAR(B112)*100+MONTH(B112))</f>
        <v/>
      </c>
      <c r="K112">
        <f>IF(OR(G112="",NOT(ISNUMBER(B112))),"",IF(G112=Statement!$H$2,B112*1000+ROW(),""))</f>
        <v/>
      </c>
    </row>
    <row r="113">
      <c r="A113" s="1" t="n"/>
      <c r="B113" s="18" t="n"/>
      <c r="C113" s="16" t="n"/>
      <c r="D113" s="19" t="n"/>
      <c r="E113" s="17" t="n"/>
      <c r="F113" s="22" t="n"/>
      <c r="G113" s="14">
        <f>IF(C113="","",IFERROR(VALUE(LEFT(C113,FIND(" ",C113&amp;" ")-1)),""))</f>
        <v/>
      </c>
      <c r="H113" s="26">
        <f>IF(C113="","",IF(G113="","Pick a loan",IFERROR(IF(INDEX(Loans!$C$6:$C$305,MATCH(G113,Loans!$B$6:$B$305,0))="","Not a loan",INDEX(Loans!$C$6:$C$305,MATCH(G113,Loans!$B$6:$B$305,0))),"Not a loan")))</f>
        <v/>
      </c>
      <c r="I113" s="10">
        <f>IF(OR(G113="",H113="Not a loan"),"",IF(INDEX(Loans!$D$6:$D$305,MATCH(G113,Loans!$B$6:$B$305,0))="I borrowed","Out","In"))</f>
        <v/>
      </c>
      <c r="J113" s="1">
        <f>IF(NOT(ISNUMBER(B113)),"",YEAR(B113)*100+MONTH(B113))</f>
        <v/>
      </c>
      <c r="K113">
        <f>IF(OR(G113="",NOT(ISNUMBER(B113))),"",IF(G113=Statement!$H$2,B113*1000+ROW(),""))</f>
        <v/>
      </c>
    </row>
    <row r="114">
      <c r="A114" s="1" t="n"/>
      <c r="B114" s="18" t="n"/>
      <c r="C114" s="16" t="n"/>
      <c r="D114" s="19" t="n"/>
      <c r="E114" s="17" t="n"/>
      <c r="F114" s="22" t="n"/>
      <c r="G114" s="14">
        <f>IF(C114="","",IFERROR(VALUE(LEFT(C114,FIND(" ",C114&amp;" ")-1)),""))</f>
        <v/>
      </c>
      <c r="H114" s="26">
        <f>IF(C114="","",IF(G114="","Pick a loan",IFERROR(IF(INDEX(Loans!$C$6:$C$305,MATCH(G114,Loans!$B$6:$B$305,0))="","Not a loan",INDEX(Loans!$C$6:$C$305,MATCH(G114,Loans!$B$6:$B$305,0))),"Not a loan")))</f>
        <v/>
      </c>
      <c r="I114" s="10">
        <f>IF(OR(G114="",H114="Not a loan"),"",IF(INDEX(Loans!$D$6:$D$305,MATCH(G114,Loans!$B$6:$B$305,0))="I borrowed","Out","In"))</f>
        <v/>
      </c>
      <c r="J114" s="1">
        <f>IF(NOT(ISNUMBER(B114)),"",YEAR(B114)*100+MONTH(B114))</f>
        <v/>
      </c>
      <c r="K114">
        <f>IF(OR(G114="",NOT(ISNUMBER(B114))),"",IF(G114=Statement!$H$2,B114*1000+ROW(),""))</f>
        <v/>
      </c>
    </row>
    <row r="115">
      <c r="A115" s="1" t="n"/>
      <c r="B115" s="18" t="n"/>
      <c r="C115" s="16" t="n"/>
      <c r="D115" s="19" t="n"/>
      <c r="E115" s="17" t="n"/>
      <c r="F115" s="22" t="n"/>
      <c r="G115" s="14">
        <f>IF(C115="","",IFERROR(VALUE(LEFT(C115,FIND(" ",C115&amp;" ")-1)),""))</f>
        <v/>
      </c>
      <c r="H115" s="26">
        <f>IF(C115="","",IF(G115="","Pick a loan",IFERROR(IF(INDEX(Loans!$C$6:$C$305,MATCH(G115,Loans!$B$6:$B$305,0))="","Not a loan",INDEX(Loans!$C$6:$C$305,MATCH(G115,Loans!$B$6:$B$305,0))),"Not a loan")))</f>
        <v/>
      </c>
      <c r="I115" s="10">
        <f>IF(OR(G115="",H115="Not a loan"),"",IF(INDEX(Loans!$D$6:$D$305,MATCH(G115,Loans!$B$6:$B$305,0))="I borrowed","Out","In"))</f>
        <v/>
      </c>
      <c r="J115" s="1">
        <f>IF(NOT(ISNUMBER(B115)),"",YEAR(B115)*100+MONTH(B115))</f>
        <v/>
      </c>
      <c r="K115">
        <f>IF(OR(G115="",NOT(ISNUMBER(B115))),"",IF(G115=Statement!$H$2,B115*1000+ROW(),""))</f>
        <v/>
      </c>
    </row>
    <row r="116">
      <c r="A116" s="1" t="n"/>
      <c r="B116" s="18" t="n"/>
      <c r="C116" s="16" t="n"/>
      <c r="D116" s="19" t="n"/>
      <c r="E116" s="17" t="n"/>
      <c r="F116" s="22" t="n"/>
      <c r="G116" s="14">
        <f>IF(C116="","",IFERROR(VALUE(LEFT(C116,FIND(" ",C116&amp;" ")-1)),""))</f>
        <v/>
      </c>
      <c r="H116" s="26">
        <f>IF(C116="","",IF(G116="","Pick a loan",IFERROR(IF(INDEX(Loans!$C$6:$C$305,MATCH(G116,Loans!$B$6:$B$305,0))="","Not a loan",INDEX(Loans!$C$6:$C$305,MATCH(G116,Loans!$B$6:$B$305,0))),"Not a loan")))</f>
        <v/>
      </c>
      <c r="I116" s="10">
        <f>IF(OR(G116="",H116="Not a loan"),"",IF(INDEX(Loans!$D$6:$D$305,MATCH(G116,Loans!$B$6:$B$305,0))="I borrowed","Out","In"))</f>
        <v/>
      </c>
      <c r="J116" s="1">
        <f>IF(NOT(ISNUMBER(B116)),"",YEAR(B116)*100+MONTH(B116))</f>
        <v/>
      </c>
      <c r="K116">
        <f>IF(OR(G116="",NOT(ISNUMBER(B116))),"",IF(G116=Statement!$H$2,B116*1000+ROW(),""))</f>
        <v/>
      </c>
    </row>
    <row r="117">
      <c r="A117" s="1" t="n"/>
      <c r="B117" s="18" t="n"/>
      <c r="C117" s="16" t="n"/>
      <c r="D117" s="19" t="n"/>
      <c r="E117" s="17" t="n"/>
      <c r="F117" s="22" t="n"/>
      <c r="G117" s="14">
        <f>IF(C117="","",IFERROR(VALUE(LEFT(C117,FIND(" ",C117&amp;" ")-1)),""))</f>
        <v/>
      </c>
      <c r="H117" s="26">
        <f>IF(C117="","",IF(G117="","Pick a loan",IFERROR(IF(INDEX(Loans!$C$6:$C$305,MATCH(G117,Loans!$B$6:$B$305,0))="","Not a loan",INDEX(Loans!$C$6:$C$305,MATCH(G117,Loans!$B$6:$B$305,0))),"Not a loan")))</f>
        <v/>
      </c>
      <c r="I117" s="10">
        <f>IF(OR(G117="",H117="Not a loan"),"",IF(INDEX(Loans!$D$6:$D$305,MATCH(G117,Loans!$B$6:$B$305,0))="I borrowed","Out","In"))</f>
        <v/>
      </c>
      <c r="J117" s="1">
        <f>IF(NOT(ISNUMBER(B117)),"",YEAR(B117)*100+MONTH(B117))</f>
        <v/>
      </c>
      <c r="K117">
        <f>IF(OR(G117="",NOT(ISNUMBER(B117))),"",IF(G117=Statement!$H$2,B117*1000+ROW(),""))</f>
        <v/>
      </c>
    </row>
    <row r="118">
      <c r="A118" s="1" t="n"/>
      <c r="B118" s="18" t="n"/>
      <c r="C118" s="16" t="n"/>
      <c r="D118" s="19" t="n"/>
      <c r="E118" s="17" t="n"/>
      <c r="F118" s="22" t="n"/>
      <c r="G118" s="14">
        <f>IF(C118="","",IFERROR(VALUE(LEFT(C118,FIND(" ",C118&amp;" ")-1)),""))</f>
        <v/>
      </c>
      <c r="H118" s="26">
        <f>IF(C118="","",IF(G118="","Pick a loan",IFERROR(IF(INDEX(Loans!$C$6:$C$305,MATCH(G118,Loans!$B$6:$B$305,0))="","Not a loan",INDEX(Loans!$C$6:$C$305,MATCH(G118,Loans!$B$6:$B$305,0))),"Not a loan")))</f>
        <v/>
      </c>
      <c r="I118" s="10">
        <f>IF(OR(G118="",H118="Not a loan"),"",IF(INDEX(Loans!$D$6:$D$305,MATCH(G118,Loans!$B$6:$B$305,0))="I borrowed","Out","In"))</f>
        <v/>
      </c>
      <c r="J118" s="1">
        <f>IF(NOT(ISNUMBER(B118)),"",YEAR(B118)*100+MONTH(B118))</f>
        <v/>
      </c>
      <c r="K118">
        <f>IF(OR(G118="",NOT(ISNUMBER(B118))),"",IF(G118=Statement!$H$2,B118*1000+ROW(),""))</f>
        <v/>
      </c>
    </row>
    <row r="119">
      <c r="A119" s="1" t="n"/>
      <c r="B119" s="18" t="n"/>
      <c r="C119" s="16" t="n"/>
      <c r="D119" s="19" t="n"/>
      <c r="E119" s="17" t="n"/>
      <c r="F119" s="22" t="n"/>
      <c r="G119" s="14">
        <f>IF(C119="","",IFERROR(VALUE(LEFT(C119,FIND(" ",C119&amp;" ")-1)),""))</f>
        <v/>
      </c>
      <c r="H119" s="26">
        <f>IF(C119="","",IF(G119="","Pick a loan",IFERROR(IF(INDEX(Loans!$C$6:$C$305,MATCH(G119,Loans!$B$6:$B$305,0))="","Not a loan",INDEX(Loans!$C$6:$C$305,MATCH(G119,Loans!$B$6:$B$305,0))),"Not a loan")))</f>
        <v/>
      </c>
      <c r="I119" s="10">
        <f>IF(OR(G119="",H119="Not a loan"),"",IF(INDEX(Loans!$D$6:$D$305,MATCH(G119,Loans!$B$6:$B$305,0))="I borrowed","Out","In"))</f>
        <v/>
      </c>
      <c r="J119" s="1">
        <f>IF(NOT(ISNUMBER(B119)),"",YEAR(B119)*100+MONTH(B119))</f>
        <v/>
      </c>
      <c r="K119">
        <f>IF(OR(G119="",NOT(ISNUMBER(B119))),"",IF(G119=Statement!$H$2,B119*1000+ROW(),""))</f>
        <v/>
      </c>
    </row>
    <row r="120">
      <c r="A120" s="1" t="n"/>
      <c r="B120" s="18" t="n"/>
      <c r="C120" s="16" t="n"/>
      <c r="D120" s="19" t="n"/>
      <c r="E120" s="17" t="n"/>
      <c r="F120" s="22" t="n"/>
      <c r="G120" s="14">
        <f>IF(C120="","",IFERROR(VALUE(LEFT(C120,FIND(" ",C120&amp;" ")-1)),""))</f>
        <v/>
      </c>
      <c r="H120" s="26">
        <f>IF(C120="","",IF(G120="","Pick a loan",IFERROR(IF(INDEX(Loans!$C$6:$C$305,MATCH(G120,Loans!$B$6:$B$305,0))="","Not a loan",INDEX(Loans!$C$6:$C$305,MATCH(G120,Loans!$B$6:$B$305,0))),"Not a loan")))</f>
        <v/>
      </c>
      <c r="I120" s="10">
        <f>IF(OR(G120="",H120="Not a loan"),"",IF(INDEX(Loans!$D$6:$D$305,MATCH(G120,Loans!$B$6:$B$305,0))="I borrowed","Out","In"))</f>
        <v/>
      </c>
      <c r="J120" s="1">
        <f>IF(NOT(ISNUMBER(B120)),"",YEAR(B120)*100+MONTH(B120))</f>
        <v/>
      </c>
      <c r="K120">
        <f>IF(OR(G120="",NOT(ISNUMBER(B120))),"",IF(G120=Statement!$H$2,B120*1000+ROW(),""))</f>
        <v/>
      </c>
    </row>
    <row r="121">
      <c r="A121" s="1" t="n"/>
      <c r="B121" s="18" t="n"/>
      <c r="C121" s="16" t="n"/>
      <c r="D121" s="19" t="n"/>
      <c r="E121" s="17" t="n"/>
      <c r="F121" s="22" t="n"/>
      <c r="G121" s="14">
        <f>IF(C121="","",IFERROR(VALUE(LEFT(C121,FIND(" ",C121&amp;" ")-1)),""))</f>
        <v/>
      </c>
      <c r="H121" s="26">
        <f>IF(C121="","",IF(G121="","Pick a loan",IFERROR(IF(INDEX(Loans!$C$6:$C$305,MATCH(G121,Loans!$B$6:$B$305,0))="","Not a loan",INDEX(Loans!$C$6:$C$305,MATCH(G121,Loans!$B$6:$B$305,0))),"Not a loan")))</f>
        <v/>
      </c>
      <c r="I121" s="10">
        <f>IF(OR(G121="",H121="Not a loan"),"",IF(INDEX(Loans!$D$6:$D$305,MATCH(G121,Loans!$B$6:$B$305,0))="I borrowed","Out","In"))</f>
        <v/>
      </c>
      <c r="J121" s="1">
        <f>IF(NOT(ISNUMBER(B121)),"",YEAR(B121)*100+MONTH(B121))</f>
        <v/>
      </c>
      <c r="K121">
        <f>IF(OR(G121="",NOT(ISNUMBER(B121))),"",IF(G121=Statement!$H$2,B121*1000+ROW(),""))</f>
        <v/>
      </c>
    </row>
    <row r="122">
      <c r="A122" s="1" t="n"/>
      <c r="B122" s="18" t="n"/>
      <c r="C122" s="16" t="n"/>
      <c r="D122" s="19" t="n"/>
      <c r="E122" s="17" t="n"/>
      <c r="F122" s="22" t="n"/>
      <c r="G122" s="14">
        <f>IF(C122="","",IFERROR(VALUE(LEFT(C122,FIND(" ",C122&amp;" ")-1)),""))</f>
        <v/>
      </c>
      <c r="H122" s="26">
        <f>IF(C122="","",IF(G122="","Pick a loan",IFERROR(IF(INDEX(Loans!$C$6:$C$305,MATCH(G122,Loans!$B$6:$B$305,0))="","Not a loan",INDEX(Loans!$C$6:$C$305,MATCH(G122,Loans!$B$6:$B$305,0))),"Not a loan")))</f>
        <v/>
      </c>
      <c r="I122" s="10">
        <f>IF(OR(G122="",H122="Not a loan"),"",IF(INDEX(Loans!$D$6:$D$305,MATCH(G122,Loans!$B$6:$B$305,0))="I borrowed","Out","In"))</f>
        <v/>
      </c>
      <c r="J122" s="1">
        <f>IF(NOT(ISNUMBER(B122)),"",YEAR(B122)*100+MONTH(B122))</f>
        <v/>
      </c>
      <c r="K122">
        <f>IF(OR(G122="",NOT(ISNUMBER(B122))),"",IF(G122=Statement!$H$2,B122*1000+ROW(),""))</f>
        <v/>
      </c>
    </row>
    <row r="123">
      <c r="A123" s="1" t="n"/>
      <c r="B123" s="18" t="n"/>
      <c r="C123" s="16" t="n"/>
      <c r="D123" s="19" t="n"/>
      <c r="E123" s="17" t="n"/>
      <c r="F123" s="22" t="n"/>
      <c r="G123" s="14">
        <f>IF(C123="","",IFERROR(VALUE(LEFT(C123,FIND(" ",C123&amp;" ")-1)),""))</f>
        <v/>
      </c>
      <c r="H123" s="26">
        <f>IF(C123="","",IF(G123="","Pick a loan",IFERROR(IF(INDEX(Loans!$C$6:$C$305,MATCH(G123,Loans!$B$6:$B$305,0))="","Not a loan",INDEX(Loans!$C$6:$C$305,MATCH(G123,Loans!$B$6:$B$305,0))),"Not a loan")))</f>
        <v/>
      </c>
      <c r="I123" s="10">
        <f>IF(OR(G123="",H123="Not a loan"),"",IF(INDEX(Loans!$D$6:$D$305,MATCH(G123,Loans!$B$6:$B$305,0))="I borrowed","Out","In"))</f>
        <v/>
      </c>
      <c r="J123" s="1">
        <f>IF(NOT(ISNUMBER(B123)),"",YEAR(B123)*100+MONTH(B123))</f>
        <v/>
      </c>
      <c r="K123">
        <f>IF(OR(G123="",NOT(ISNUMBER(B123))),"",IF(G123=Statement!$H$2,B123*1000+ROW(),""))</f>
        <v/>
      </c>
    </row>
    <row r="124">
      <c r="A124" s="1" t="n"/>
      <c r="B124" s="18" t="n"/>
      <c r="C124" s="16" t="n"/>
      <c r="D124" s="19" t="n"/>
      <c r="E124" s="17" t="n"/>
      <c r="F124" s="22" t="n"/>
      <c r="G124" s="14">
        <f>IF(C124="","",IFERROR(VALUE(LEFT(C124,FIND(" ",C124&amp;" ")-1)),""))</f>
        <v/>
      </c>
      <c r="H124" s="26">
        <f>IF(C124="","",IF(G124="","Pick a loan",IFERROR(IF(INDEX(Loans!$C$6:$C$305,MATCH(G124,Loans!$B$6:$B$305,0))="","Not a loan",INDEX(Loans!$C$6:$C$305,MATCH(G124,Loans!$B$6:$B$305,0))),"Not a loan")))</f>
        <v/>
      </c>
      <c r="I124" s="10">
        <f>IF(OR(G124="",H124="Not a loan"),"",IF(INDEX(Loans!$D$6:$D$305,MATCH(G124,Loans!$B$6:$B$305,0))="I borrowed","Out","In"))</f>
        <v/>
      </c>
      <c r="J124" s="1">
        <f>IF(NOT(ISNUMBER(B124)),"",YEAR(B124)*100+MONTH(B124))</f>
        <v/>
      </c>
      <c r="K124">
        <f>IF(OR(G124="",NOT(ISNUMBER(B124))),"",IF(G124=Statement!$H$2,B124*1000+ROW(),""))</f>
        <v/>
      </c>
    </row>
    <row r="125">
      <c r="A125" s="1" t="n"/>
      <c r="B125" s="18" t="n"/>
      <c r="C125" s="16" t="n"/>
      <c r="D125" s="19" t="n"/>
      <c r="E125" s="17" t="n"/>
      <c r="F125" s="22" t="n"/>
      <c r="G125" s="14">
        <f>IF(C125="","",IFERROR(VALUE(LEFT(C125,FIND(" ",C125&amp;" ")-1)),""))</f>
        <v/>
      </c>
      <c r="H125" s="26">
        <f>IF(C125="","",IF(G125="","Pick a loan",IFERROR(IF(INDEX(Loans!$C$6:$C$305,MATCH(G125,Loans!$B$6:$B$305,0))="","Not a loan",INDEX(Loans!$C$6:$C$305,MATCH(G125,Loans!$B$6:$B$305,0))),"Not a loan")))</f>
        <v/>
      </c>
      <c r="I125" s="10">
        <f>IF(OR(G125="",H125="Not a loan"),"",IF(INDEX(Loans!$D$6:$D$305,MATCH(G125,Loans!$B$6:$B$305,0))="I borrowed","Out","In"))</f>
        <v/>
      </c>
      <c r="J125" s="1">
        <f>IF(NOT(ISNUMBER(B125)),"",YEAR(B125)*100+MONTH(B125))</f>
        <v/>
      </c>
      <c r="K125">
        <f>IF(OR(G125="",NOT(ISNUMBER(B125))),"",IF(G125=Statement!$H$2,B125*1000+ROW(),""))</f>
        <v/>
      </c>
    </row>
    <row r="126">
      <c r="A126" s="1" t="n"/>
      <c r="B126" s="18" t="n"/>
      <c r="C126" s="16" t="n"/>
      <c r="D126" s="19" t="n"/>
      <c r="E126" s="17" t="n"/>
      <c r="F126" s="22" t="n"/>
      <c r="G126" s="14">
        <f>IF(C126="","",IFERROR(VALUE(LEFT(C126,FIND(" ",C126&amp;" ")-1)),""))</f>
        <v/>
      </c>
      <c r="H126" s="26">
        <f>IF(C126="","",IF(G126="","Pick a loan",IFERROR(IF(INDEX(Loans!$C$6:$C$305,MATCH(G126,Loans!$B$6:$B$305,0))="","Not a loan",INDEX(Loans!$C$6:$C$305,MATCH(G126,Loans!$B$6:$B$305,0))),"Not a loan")))</f>
        <v/>
      </c>
      <c r="I126" s="10">
        <f>IF(OR(G126="",H126="Not a loan"),"",IF(INDEX(Loans!$D$6:$D$305,MATCH(G126,Loans!$B$6:$B$305,0))="I borrowed","Out","In"))</f>
        <v/>
      </c>
      <c r="J126" s="1">
        <f>IF(NOT(ISNUMBER(B126)),"",YEAR(B126)*100+MONTH(B126))</f>
        <v/>
      </c>
      <c r="K126">
        <f>IF(OR(G126="",NOT(ISNUMBER(B126))),"",IF(G126=Statement!$H$2,B126*1000+ROW(),""))</f>
        <v/>
      </c>
    </row>
    <row r="127">
      <c r="A127" s="1" t="n"/>
      <c r="B127" s="18" t="n"/>
      <c r="C127" s="16" t="n"/>
      <c r="D127" s="19" t="n"/>
      <c r="E127" s="17" t="n"/>
      <c r="F127" s="22" t="n"/>
      <c r="G127" s="14">
        <f>IF(C127="","",IFERROR(VALUE(LEFT(C127,FIND(" ",C127&amp;" ")-1)),""))</f>
        <v/>
      </c>
      <c r="H127" s="26">
        <f>IF(C127="","",IF(G127="","Pick a loan",IFERROR(IF(INDEX(Loans!$C$6:$C$305,MATCH(G127,Loans!$B$6:$B$305,0))="","Not a loan",INDEX(Loans!$C$6:$C$305,MATCH(G127,Loans!$B$6:$B$305,0))),"Not a loan")))</f>
        <v/>
      </c>
      <c r="I127" s="10">
        <f>IF(OR(G127="",H127="Not a loan"),"",IF(INDEX(Loans!$D$6:$D$305,MATCH(G127,Loans!$B$6:$B$305,0))="I borrowed","Out","In"))</f>
        <v/>
      </c>
      <c r="J127" s="1">
        <f>IF(NOT(ISNUMBER(B127)),"",YEAR(B127)*100+MONTH(B127))</f>
        <v/>
      </c>
      <c r="K127">
        <f>IF(OR(G127="",NOT(ISNUMBER(B127))),"",IF(G127=Statement!$H$2,B127*1000+ROW(),""))</f>
        <v/>
      </c>
    </row>
    <row r="128">
      <c r="A128" s="1" t="n"/>
      <c r="B128" s="18" t="n"/>
      <c r="C128" s="16" t="n"/>
      <c r="D128" s="19" t="n"/>
      <c r="E128" s="17" t="n"/>
      <c r="F128" s="22" t="n"/>
      <c r="G128" s="14">
        <f>IF(C128="","",IFERROR(VALUE(LEFT(C128,FIND(" ",C128&amp;" ")-1)),""))</f>
        <v/>
      </c>
      <c r="H128" s="26">
        <f>IF(C128="","",IF(G128="","Pick a loan",IFERROR(IF(INDEX(Loans!$C$6:$C$305,MATCH(G128,Loans!$B$6:$B$305,0))="","Not a loan",INDEX(Loans!$C$6:$C$305,MATCH(G128,Loans!$B$6:$B$305,0))),"Not a loan")))</f>
        <v/>
      </c>
      <c r="I128" s="10">
        <f>IF(OR(G128="",H128="Not a loan"),"",IF(INDEX(Loans!$D$6:$D$305,MATCH(G128,Loans!$B$6:$B$305,0))="I borrowed","Out","In"))</f>
        <v/>
      </c>
      <c r="J128" s="1">
        <f>IF(NOT(ISNUMBER(B128)),"",YEAR(B128)*100+MONTH(B128))</f>
        <v/>
      </c>
      <c r="K128">
        <f>IF(OR(G128="",NOT(ISNUMBER(B128))),"",IF(G128=Statement!$H$2,B128*1000+ROW(),""))</f>
        <v/>
      </c>
    </row>
    <row r="129">
      <c r="A129" s="1" t="n"/>
      <c r="B129" s="18" t="n"/>
      <c r="C129" s="16" t="n"/>
      <c r="D129" s="19" t="n"/>
      <c r="E129" s="17" t="n"/>
      <c r="F129" s="22" t="n"/>
      <c r="G129" s="14">
        <f>IF(C129="","",IFERROR(VALUE(LEFT(C129,FIND(" ",C129&amp;" ")-1)),""))</f>
        <v/>
      </c>
      <c r="H129" s="26">
        <f>IF(C129="","",IF(G129="","Pick a loan",IFERROR(IF(INDEX(Loans!$C$6:$C$305,MATCH(G129,Loans!$B$6:$B$305,0))="","Not a loan",INDEX(Loans!$C$6:$C$305,MATCH(G129,Loans!$B$6:$B$305,0))),"Not a loan")))</f>
        <v/>
      </c>
      <c r="I129" s="10">
        <f>IF(OR(G129="",H129="Not a loan"),"",IF(INDEX(Loans!$D$6:$D$305,MATCH(G129,Loans!$B$6:$B$305,0))="I borrowed","Out","In"))</f>
        <v/>
      </c>
      <c r="J129" s="1">
        <f>IF(NOT(ISNUMBER(B129)),"",YEAR(B129)*100+MONTH(B129))</f>
        <v/>
      </c>
      <c r="K129">
        <f>IF(OR(G129="",NOT(ISNUMBER(B129))),"",IF(G129=Statement!$H$2,B129*1000+ROW(),""))</f>
        <v/>
      </c>
    </row>
    <row r="130">
      <c r="A130" s="1" t="n"/>
      <c r="B130" s="18" t="n"/>
      <c r="C130" s="16" t="n"/>
      <c r="D130" s="19" t="n"/>
      <c r="E130" s="17" t="n"/>
      <c r="F130" s="22" t="n"/>
      <c r="G130" s="14">
        <f>IF(C130="","",IFERROR(VALUE(LEFT(C130,FIND(" ",C130&amp;" ")-1)),""))</f>
        <v/>
      </c>
      <c r="H130" s="26">
        <f>IF(C130="","",IF(G130="","Pick a loan",IFERROR(IF(INDEX(Loans!$C$6:$C$305,MATCH(G130,Loans!$B$6:$B$305,0))="","Not a loan",INDEX(Loans!$C$6:$C$305,MATCH(G130,Loans!$B$6:$B$305,0))),"Not a loan")))</f>
        <v/>
      </c>
      <c r="I130" s="10">
        <f>IF(OR(G130="",H130="Not a loan"),"",IF(INDEX(Loans!$D$6:$D$305,MATCH(G130,Loans!$B$6:$B$305,0))="I borrowed","Out","In"))</f>
        <v/>
      </c>
      <c r="J130" s="1">
        <f>IF(NOT(ISNUMBER(B130)),"",YEAR(B130)*100+MONTH(B130))</f>
        <v/>
      </c>
      <c r="K130">
        <f>IF(OR(G130="",NOT(ISNUMBER(B130))),"",IF(G130=Statement!$H$2,B130*1000+ROW(),""))</f>
        <v/>
      </c>
    </row>
    <row r="131">
      <c r="A131" s="1" t="n"/>
      <c r="B131" s="18" t="n"/>
      <c r="C131" s="16" t="n"/>
      <c r="D131" s="19" t="n"/>
      <c r="E131" s="17" t="n"/>
      <c r="F131" s="22" t="n"/>
      <c r="G131" s="14">
        <f>IF(C131="","",IFERROR(VALUE(LEFT(C131,FIND(" ",C131&amp;" ")-1)),""))</f>
        <v/>
      </c>
      <c r="H131" s="26">
        <f>IF(C131="","",IF(G131="","Pick a loan",IFERROR(IF(INDEX(Loans!$C$6:$C$305,MATCH(G131,Loans!$B$6:$B$305,0))="","Not a loan",INDEX(Loans!$C$6:$C$305,MATCH(G131,Loans!$B$6:$B$305,0))),"Not a loan")))</f>
        <v/>
      </c>
      <c r="I131" s="10">
        <f>IF(OR(G131="",H131="Not a loan"),"",IF(INDEX(Loans!$D$6:$D$305,MATCH(G131,Loans!$B$6:$B$305,0))="I borrowed","Out","In"))</f>
        <v/>
      </c>
      <c r="J131" s="1">
        <f>IF(NOT(ISNUMBER(B131)),"",YEAR(B131)*100+MONTH(B131))</f>
        <v/>
      </c>
      <c r="K131">
        <f>IF(OR(G131="",NOT(ISNUMBER(B131))),"",IF(G131=Statement!$H$2,B131*1000+ROW(),""))</f>
        <v/>
      </c>
    </row>
    <row r="132">
      <c r="A132" s="1" t="n"/>
      <c r="B132" s="18" t="n"/>
      <c r="C132" s="16" t="n"/>
      <c r="D132" s="19" t="n"/>
      <c r="E132" s="17" t="n"/>
      <c r="F132" s="22" t="n"/>
      <c r="G132" s="14">
        <f>IF(C132="","",IFERROR(VALUE(LEFT(C132,FIND(" ",C132&amp;" ")-1)),""))</f>
        <v/>
      </c>
      <c r="H132" s="26">
        <f>IF(C132="","",IF(G132="","Pick a loan",IFERROR(IF(INDEX(Loans!$C$6:$C$305,MATCH(G132,Loans!$B$6:$B$305,0))="","Not a loan",INDEX(Loans!$C$6:$C$305,MATCH(G132,Loans!$B$6:$B$305,0))),"Not a loan")))</f>
        <v/>
      </c>
      <c r="I132" s="10">
        <f>IF(OR(G132="",H132="Not a loan"),"",IF(INDEX(Loans!$D$6:$D$305,MATCH(G132,Loans!$B$6:$B$305,0))="I borrowed","Out","In"))</f>
        <v/>
      </c>
      <c r="J132" s="1">
        <f>IF(NOT(ISNUMBER(B132)),"",YEAR(B132)*100+MONTH(B132))</f>
        <v/>
      </c>
      <c r="K132">
        <f>IF(OR(G132="",NOT(ISNUMBER(B132))),"",IF(G132=Statement!$H$2,B132*1000+ROW(),""))</f>
        <v/>
      </c>
    </row>
    <row r="133">
      <c r="A133" s="1" t="n"/>
      <c r="B133" s="18" t="n"/>
      <c r="C133" s="16" t="n"/>
      <c r="D133" s="19" t="n"/>
      <c r="E133" s="17" t="n"/>
      <c r="F133" s="22" t="n"/>
      <c r="G133" s="14">
        <f>IF(C133="","",IFERROR(VALUE(LEFT(C133,FIND(" ",C133&amp;" ")-1)),""))</f>
        <v/>
      </c>
      <c r="H133" s="26">
        <f>IF(C133="","",IF(G133="","Pick a loan",IFERROR(IF(INDEX(Loans!$C$6:$C$305,MATCH(G133,Loans!$B$6:$B$305,0))="","Not a loan",INDEX(Loans!$C$6:$C$305,MATCH(G133,Loans!$B$6:$B$305,0))),"Not a loan")))</f>
        <v/>
      </c>
      <c r="I133" s="10">
        <f>IF(OR(G133="",H133="Not a loan"),"",IF(INDEX(Loans!$D$6:$D$305,MATCH(G133,Loans!$B$6:$B$305,0))="I borrowed","Out","In"))</f>
        <v/>
      </c>
      <c r="J133" s="1">
        <f>IF(NOT(ISNUMBER(B133)),"",YEAR(B133)*100+MONTH(B133))</f>
        <v/>
      </c>
      <c r="K133">
        <f>IF(OR(G133="",NOT(ISNUMBER(B133))),"",IF(G133=Statement!$H$2,B133*1000+ROW(),""))</f>
        <v/>
      </c>
    </row>
    <row r="134">
      <c r="A134" s="1" t="n"/>
      <c r="B134" s="18" t="n"/>
      <c r="C134" s="16" t="n"/>
      <c r="D134" s="19" t="n"/>
      <c r="E134" s="17" t="n"/>
      <c r="F134" s="22" t="n"/>
      <c r="G134" s="14">
        <f>IF(C134="","",IFERROR(VALUE(LEFT(C134,FIND(" ",C134&amp;" ")-1)),""))</f>
        <v/>
      </c>
      <c r="H134" s="26">
        <f>IF(C134="","",IF(G134="","Pick a loan",IFERROR(IF(INDEX(Loans!$C$6:$C$305,MATCH(G134,Loans!$B$6:$B$305,0))="","Not a loan",INDEX(Loans!$C$6:$C$305,MATCH(G134,Loans!$B$6:$B$305,0))),"Not a loan")))</f>
        <v/>
      </c>
      <c r="I134" s="10">
        <f>IF(OR(G134="",H134="Not a loan"),"",IF(INDEX(Loans!$D$6:$D$305,MATCH(G134,Loans!$B$6:$B$305,0))="I borrowed","Out","In"))</f>
        <v/>
      </c>
      <c r="J134" s="1">
        <f>IF(NOT(ISNUMBER(B134)),"",YEAR(B134)*100+MONTH(B134))</f>
        <v/>
      </c>
      <c r="K134">
        <f>IF(OR(G134="",NOT(ISNUMBER(B134))),"",IF(G134=Statement!$H$2,B134*1000+ROW(),""))</f>
        <v/>
      </c>
    </row>
    <row r="135">
      <c r="A135" s="1" t="n"/>
      <c r="B135" s="18" t="n"/>
      <c r="C135" s="16" t="n"/>
      <c r="D135" s="19" t="n"/>
      <c r="E135" s="17" t="n"/>
      <c r="F135" s="22" t="n"/>
      <c r="G135" s="14">
        <f>IF(C135="","",IFERROR(VALUE(LEFT(C135,FIND(" ",C135&amp;" ")-1)),""))</f>
        <v/>
      </c>
      <c r="H135" s="26">
        <f>IF(C135="","",IF(G135="","Pick a loan",IFERROR(IF(INDEX(Loans!$C$6:$C$305,MATCH(G135,Loans!$B$6:$B$305,0))="","Not a loan",INDEX(Loans!$C$6:$C$305,MATCH(G135,Loans!$B$6:$B$305,0))),"Not a loan")))</f>
        <v/>
      </c>
      <c r="I135" s="10">
        <f>IF(OR(G135="",H135="Not a loan"),"",IF(INDEX(Loans!$D$6:$D$305,MATCH(G135,Loans!$B$6:$B$305,0))="I borrowed","Out","In"))</f>
        <v/>
      </c>
      <c r="J135" s="1">
        <f>IF(NOT(ISNUMBER(B135)),"",YEAR(B135)*100+MONTH(B135))</f>
        <v/>
      </c>
      <c r="K135">
        <f>IF(OR(G135="",NOT(ISNUMBER(B135))),"",IF(G135=Statement!$H$2,B135*1000+ROW(),""))</f>
        <v/>
      </c>
    </row>
    <row r="136">
      <c r="A136" s="1" t="n"/>
      <c r="B136" s="18" t="n"/>
      <c r="C136" s="16" t="n"/>
      <c r="D136" s="19" t="n"/>
      <c r="E136" s="17" t="n"/>
      <c r="F136" s="22" t="n"/>
      <c r="G136" s="14">
        <f>IF(C136="","",IFERROR(VALUE(LEFT(C136,FIND(" ",C136&amp;" ")-1)),""))</f>
        <v/>
      </c>
      <c r="H136" s="26">
        <f>IF(C136="","",IF(G136="","Pick a loan",IFERROR(IF(INDEX(Loans!$C$6:$C$305,MATCH(G136,Loans!$B$6:$B$305,0))="","Not a loan",INDEX(Loans!$C$6:$C$305,MATCH(G136,Loans!$B$6:$B$305,0))),"Not a loan")))</f>
        <v/>
      </c>
      <c r="I136" s="10">
        <f>IF(OR(G136="",H136="Not a loan"),"",IF(INDEX(Loans!$D$6:$D$305,MATCH(G136,Loans!$B$6:$B$305,0))="I borrowed","Out","In"))</f>
        <v/>
      </c>
      <c r="J136" s="1">
        <f>IF(NOT(ISNUMBER(B136)),"",YEAR(B136)*100+MONTH(B136))</f>
        <v/>
      </c>
      <c r="K136">
        <f>IF(OR(G136="",NOT(ISNUMBER(B136))),"",IF(G136=Statement!$H$2,B136*1000+ROW(),""))</f>
        <v/>
      </c>
    </row>
    <row r="137">
      <c r="A137" s="1" t="n"/>
      <c r="B137" s="18" t="n"/>
      <c r="C137" s="16" t="n"/>
      <c r="D137" s="19" t="n"/>
      <c r="E137" s="17" t="n"/>
      <c r="F137" s="22" t="n"/>
      <c r="G137" s="14">
        <f>IF(C137="","",IFERROR(VALUE(LEFT(C137,FIND(" ",C137&amp;" ")-1)),""))</f>
        <v/>
      </c>
      <c r="H137" s="26">
        <f>IF(C137="","",IF(G137="","Pick a loan",IFERROR(IF(INDEX(Loans!$C$6:$C$305,MATCH(G137,Loans!$B$6:$B$305,0))="","Not a loan",INDEX(Loans!$C$6:$C$305,MATCH(G137,Loans!$B$6:$B$305,0))),"Not a loan")))</f>
        <v/>
      </c>
      <c r="I137" s="10">
        <f>IF(OR(G137="",H137="Not a loan"),"",IF(INDEX(Loans!$D$6:$D$305,MATCH(G137,Loans!$B$6:$B$305,0))="I borrowed","Out","In"))</f>
        <v/>
      </c>
      <c r="J137" s="1">
        <f>IF(NOT(ISNUMBER(B137)),"",YEAR(B137)*100+MONTH(B137))</f>
        <v/>
      </c>
      <c r="K137">
        <f>IF(OR(G137="",NOT(ISNUMBER(B137))),"",IF(G137=Statement!$H$2,B137*1000+ROW(),""))</f>
        <v/>
      </c>
    </row>
    <row r="138">
      <c r="A138" s="1" t="n"/>
      <c r="B138" s="18" t="n"/>
      <c r="C138" s="16" t="n"/>
      <c r="D138" s="19" t="n"/>
      <c r="E138" s="17" t="n"/>
      <c r="F138" s="22" t="n"/>
      <c r="G138" s="14">
        <f>IF(C138="","",IFERROR(VALUE(LEFT(C138,FIND(" ",C138&amp;" ")-1)),""))</f>
        <v/>
      </c>
      <c r="H138" s="26">
        <f>IF(C138="","",IF(G138="","Pick a loan",IFERROR(IF(INDEX(Loans!$C$6:$C$305,MATCH(G138,Loans!$B$6:$B$305,0))="","Not a loan",INDEX(Loans!$C$6:$C$305,MATCH(G138,Loans!$B$6:$B$305,0))),"Not a loan")))</f>
        <v/>
      </c>
      <c r="I138" s="10">
        <f>IF(OR(G138="",H138="Not a loan"),"",IF(INDEX(Loans!$D$6:$D$305,MATCH(G138,Loans!$B$6:$B$305,0))="I borrowed","Out","In"))</f>
        <v/>
      </c>
      <c r="J138" s="1">
        <f>IF(NOT(ISNUMBER(B138)),"",YEAR(B138)*100+MONTH(B138))</f>
        <v/>
      </c>
      <c r="K138">
        <f>IF(OR(G138="",NOT(ISNUMBER(B138))),"",IF(G138=Statement!$H$2,B138*1000+ROW(),""))</f>
        <v/>
      </c>
    </row>
    <row r="139">
      <c r="A139" s="1" t="n"/>
      <c r="B139" s="18" t="n"/>
      <c r="C139" s="16" t="n"/>
      <c r="D139" s="19" t="n"/>
      <c r="E139" s="17" t="n"/>
      <c r="F139" s="22" t="n"/>
      <c r="G139" s="14">
        <f>IF(C139="","",IFERROR(VALUE(LEFT(C139,FIND(" ",C139&amp;" ")-1)),""))</f>
        <v/>
      </c>
      <c r="H139" s="26">
        <f>IF(C139="","",IF(G139="","Pick a loan",IFERROR(IF(INDEX(Loans!$C$6:$C$305,MATCH(G139,Loans!$B$6:$B$305,0))="","Not a loan",INDEX(Loans!$C$6:$C$305,MATCH(G139,Loans!$B$6:$B$305,0))),"Not a loan")))</f>
        <v/>
      </c>
      <c r="I139" s="10">
        <f>IF(OR(G139="",H139="Not a loan"),"",IF(INDEX(Loans!$D$6:$D$305,MATCH(G139,Loans!$B$6:$B$305,0))="I borrowed","Out","In"))</f>
        <v/>
      </c>
      <c r="J139" s="1">
        <f>IF(NOT(ISNUMBER(B139)),"",YEAR(B139)*100+MONTH(B139))</f>
        <v/>
      </c>
      <c r="K139">
        <f>IF(OR(G139="",NOT(ISNUMBER(B139))),"",IF(G139=Statement!$H$2,B139*1000+ROW(),""))</f>
        <v/>
      </c>
    </row>
    <row r="140">
      <c r="A140" s="1" t="n"/>
      <c r="B140" s="18" t="n"/>
      <c r="C140" s="16" t="n"/>
      <c r="D140" s="19" t="n"/>
      <c r="E140" s="17" t="n"/>
      <c r="F140" s="22" t="n"/>
      <c r="G140" s="14">
        <f>IF(C140="","",IFERROR(VALUE(LEFT(C140,FIND(" ",C140&amp;" ")-1)),""))</f>
        <v/>
      </c>
      <c r="H140" s="26">
        <f>IF(C140="","",IF(G140="","Pick a loan",IFERROR(IF(INDEX(Loans!$C$6:$C$305,MATCH(G140,Loans!$B$6:$B$305,0))="","Not a loan",INDEX(Loans!$C$6:$C$305,MATCH(G140,Loans!$B$6:$B$305,0))),"Not a loan")))</f>
        <v/>
      </c>
      <c r="I140" s="10">
        <f>IF(OR(G140="",H140="Not a loan"),"",IF(INDEX(Loans!$D$6:$D$305,MATCH(G140,Loans!$B$6:$B$305,0))="I borrowed","Out","In"))</f>
        <v/>
      </c>
      <c r="J140" s="1">
        <f>IF(NOT(ISNUMBER(B140)),"",YEAR(B140)*100+MONTH(B140))</f>
        <v/>
      </c>
      <c r="K140">
        <f>IF(OR(G140="",NOT(ISNUMBER(B140))),"",IF(G140=Statement!$H$2,B140*1000+ROW(),""))</f>
        <v/>
      </c>
    </row>
    <row r="141">
      <c r="A141" s="1" t="n"/>
      <c r="B141" s="18" t="n"/>
      <c r="C141" s="16" t="n"/>
      <c r="D141" s="19" t="n"/>
      <c r="E141" s="17" t="n"/>
      <c r="F141" s="22" t="n"/>
      <c r="G141" s="14">
        <f>IF(C141="","",IFERROR(VALUE(LEFT(C141,FIND(" ",C141&amp;" ")-1)),""))</f>
        <v/>
      </c>
      <c r="H141" s="26">
        <f>IF(C141="","",IF(G141="","Pick a loan",IFERROR(IF(INDEX(Loans!$C$6:$C$305,MATCH(G141,Loans!$B$6:$B$305,0))="","Not a loan",INDEX(Loans!$C$6:$C$305,MATCH(G141,Loans!$B$6:$B$305,0))),"Not a loan")))</f>
        <v/>
      </c>
      <c r="I141" s="10">
        <f>IF(OR(G141="",H141="Not a loan"),"",IF(INDEX(Loans!$D$6:$D$305,MATCH(G141,Loans!$B$6:$B$305,0))="I borrowed","Out","In"))</f>
        <v/>
      </c>
      <c r="J141" s="1">
        <f>IF(NOT(ISNUMBER(B141)),"",YEAR(B141)*100+MONTH(B141))</f>
        <v/>
      </c>
      <c r="K141">
        <f>IF(OR(G141="",NOT(ISNUMBER(B141))),"",IF(G141=Statement!$H$2,B141*1000+ROW(),""))</f>
        <v/>
      </c>
    </row>
    <row r="142">
      <c r="A142" s="1" t="n"/>
      <c r="B142" s="18" t="n"/>
      <c r="C142" s="16" t="n"/>
      <c r="D142" s="19" t="n"/>
      <c r="E142" s="17" t="n"/>
      <c r="F142" s="22" t="n"/>
      <c r="G142" s="14">
        <f>IF(C142="","",IFERROR(VALUE(LEFT(C142,FIND(" ",C142&amp;" ")-1)),""))</f>
        <v/>
      </c>
      <c r="H142" s="26">
        <f>IF(C142="","",IF(G142="","Pick a loan",IFERROR(IF(INDEX(Loans!$C$6:$C$305,MATCH(G142,Loans!$B$6:$B$305,0))="","Not a loan",INDEX(Loans!$C$6:$C$305,MATCH(G142,Loans!$B$6:$B$305,0))),"Not a loan")))</f>
        <v/>
      </c>
      <c r="I142" s="10">
        <f>IF(OR(G142="",H142="Not a loan"),"",IF(INDEX(Loans!$D$6:$D$305,MATCH(G142,Loans!$B$6:$B$305,0))="I borrowed","Out","In"))</f>
        <v/>
      </c>
      <c r="J142" s="1">
        <f>IF(NOT(ISNUMBER(B142)),"",YEAR(B142)*100+MONTH(B142))</f>
        <v/>
      </c>
      <c r="K142">
        <f>IF(OR(G142="",NOT(ISNUMBER(B142))),"",IF(G142=Statement!$H$2,B142*1000+ROW(),""))</f>
        <v/>
      </c>
    </row>
    <row r="143">
      <c r="A143" s="1" t="n"/>
      <c r="B143" s="18" t="n"/>
      <c r="C143" s="16" t="n"/>
      <c r="D143" s="19" t="n"/>
      <c r="E143" s="17" t="n"/>
      <c r="F143" s="22" t="n"/>
      <c r="G143" s="14">
        <f>IF(C143="","",IFERROR(VALUE(LEFT(C143,FIND(" ",C143&amp;" ")-1)),""))</f>
        <v/>
      </c>
      <c r="H143" s="26">
        <f>IF(C143="","",IF(G143="","Pick a loan",IFERROR(IF(INDEX(Loans!$C$6:$C$305,MATCH(G143,Loans!$B$6:$B$305,0))="","Not a loan",INDEX(Loans!$C$6:$C$305,MATCH(G143,Loans!$B$6:$B$305,0))),"Not a loan")))</f>
        <v/>
      </c>
      <c r="I143" s="10">
        <f>IF(OR(G143="",H143="Not a loan"),"",IF(INDEX(Loans!$D$6:$D$305,MATCH(G143,Loans!$B$6:$B$305,0))="I borrowed","Out","In"))</f>
        <v/>
      </c>
      <c r="J143" s="1">
        <f>IF(NOT(ISNUMBER(B143)),"",YEAR(B143)*100+MONTH(B143))</f>
        <v/>
      </c>
      <c r="K143">
        <f>IF(OR(G143="",NOT(ISNUMBER(B143))),"",IF(G143=Statement!$H$2,B143*1000+ROW(),""))</f>
        <v/>
      </c>
    </row>
    <row r="144">
      <c r="A144" s="1" t="n"/>
      <c r="B144" s="18" t="n"/>
      <c r="C144" s="16" t="n"/>
      <c r="D144" s="19" t="n"/>
      <c r="E144" s="17" t="n"/>
      <c r="F144" s="22" t="n"/>
      <c r="G144" s="14">
        <f>IF(C144="","",IFERROR(VALUE(LEFT(C144,FIND(" ",C144&amp;" ")-1)),""))</f>
        <v/>
      </c>
      <c r="H144" s="26">
        <f>IF(C144="","",IF(G144="","Pick a loan",IFERROR(IF(INDEX(Loans!$C$6:$C$305,MATCH(G144,Loans!$B$6:$B$305,0))="","Not a loan",INDEX(Loans!$C$6:$C$305,MATCH(G144,Loans!$B$6:$B$305,0))),"Not a loan")))</f>
        <v/>
      </c>
      <c r="I144" s="10">
        <f>IF(OR(G144="",H144="Not a loan"),"",IF(INDEX(Loans!$D$6:$D$305,MATCH(G144,Loans!$B$6:$B$305,0))="I borrowed","Out","In"))</f>
        <v/>
      </c>
      <c r="J144" s="1">
        <f>IF(NOT(ISNUMBER(B144)),"",YEAR(B144)*100+MONTH(B144))</f>
        <v/>
      </c>
      <c r="K144">
        <f>IF(OR(G144="",NOT(ISNUMBER(B144))),"",IF(G144=Statement!$H$2,B144*1000+ROW(),""))</f>
        <v/>
      </c>
    </row>
    <row r="145">
      <c r="A145" s="1" t="n"/>
      <c r="B145" s="18" t="n"/>
      <c r="C145" s="16" t="n"/>
      <c r="D145" s="19" t="n"/>
      <c r="E145" s="17" t="n"/>
      <c r="F145" s="22" t="n"/>
      <c r="G145" s="14">
        <f>IF(C145="","",IFERROR(VALUE(LEFT(C145,FIND(" ",C145&amp;" ")-1)),""))</f>
        <v/>
      </c>
      <c r="H145" s="26">
        <f>IF(C145="","",IF(G145="","Pick a loan",IFERROR(IF(INDEX(Loans!$C$6:$C$305,MATCH(G145,Loans!$B$6:$B$305,0))="","Not a loan",INDEX(Loans!$C$6:$C$305,MATCH(G145,Loans!$B$6:$B$305,0))),"Not a loan")))</f>
        <v/>
      </c>
      <c r="I145" s="10">
        <f>IF(OR(G145="",H145="Not a loan"),"",IF(INDEX(Loans!$D$6:$D$305,MATCH(G145,Loans!$B$6:$B$305,0))="I borrowed","Out","In"))</f>
        <v/>
      </c>
      <c r="J145" s="1">
        <f>IF(NOT(ISNUMBER(B145)),"",YEAR(B145)*100+MONTH(B145))</f>
        <v/>
      </c>
      <c r="K145">
        <f>IF(OR(G145="",NOT(ISNUMBER(B145))),"",IF(G145=Statement!$H$2,B145*1000+ROW(),""))</f>
        <v/>
      </c>
    </row>
    <row r="146">
      <c r="A146" s="1" t="n"/>
      <c r="B146" s="18" t="n"/>
      <c r="C146" s="16" t="n"/>
      <c r="D146" s="19" t="n"/>
      <c r="E146" s="17" t="n"/>
      <c r="F146" s="22" t="n"/>
      <c r="G146" s="14">
        <f>IF(C146="","",IFERROR(VALUE(LEFT(C146,FIND(" ",C146&amp;" ")-1)),""))</f>
        <v/>
      </c>
      <c r="H146" s="26">
        <f>IF(C146="","",IF(G146="","Pick a loan",IFERROR(IF(INDEX(Loans!$C$6:$C$305,MATCH(G146,Loans!$B$6:$B$305,0))="","Not a loan",INDEX(Loans!$C$6:$C$305,MATCH(G146,Loans!$B$6:$B$305,0))),"Not a loan")))</f>
        <v/>
      </c>
      <c r="I146" s="10">
        <f>IF(OR(G146="",H146="Not a loan"),"",IF(INDEX(Loans!$D$6:$D$305,MATCH(G146,Loans!$B$6:$B$305,0))="I borrowed","Out","In"))</f>
        <v/>
      </c>
      <c r="J146" s="1">
        <f>IF(NOT(ISNUMBER(B146)),"",YEAR(B146)*100+MONTH(B146))</f>
        <v/>
      </c>
      <c r="K146">
        <f>IF(OR(G146="",NOT(ISNUMBER(B146))),"",IF(G146=Statement!$H$2,B146*1000+ROW(),""))</f>
        <v/>
      </c>
    </row>
    <row r="147">
      <c r="A147" s="1" t="n"/>
      <c r="B147" s="18" t="n"/>
      <c r="C147" s="16" t="n"/>
      <c r="D147" s="19" t="n"/>
      <c r="E147" s="17" t="n"/>
      <c r="F147" s="22" t="n"/>
      <c r="G147" s="14">
        <f>IF(C147="","",IFERROR(VALUE(LEFT(C147,FIND(" ",C147&amp;" ")-1)),""))</f>
        <v/>
      </c>
      <c r="H147" s="26">
        <f>IF(C147="","",IF(G147="","Pick a loan",IFERROR(IF(INDEX(Loans!$C$6:$C$305,MATCH(G147,Loans!$B$6:$B$305,0))="","Not a loan",INDEX(Loans!$C$6:$C$305,MATCH(G147,Loans!$B$6:$B$305,0))),"Not a loan")))</f>
        <v/>
      </c>
      <c r="I147" s="10">
        <f>IF(OR(G147="",H147="Not a loan"),"",IF(INDEX(Loans!$D$6:$D$305,MATCH(G147,Loans!$B$6:$B$305,0))="I borrowed","Out","In"))</f>
        <v/>
      </c>
      <c r="J147" s="1">
        <f>IF(NOT(ISNUMBER(B147)),"",YEAR(B147)*100+MONTH(B147))</f>
        <v/>
      </c>
      <c r="K147">
        <f>IF(OR(G147="",NOT(ISNUMBER(B147))),"",IF(G147=Statement!$H$2,B147*1000+ROW(),""))</f>
        <v/>
      </c>
    </row>
    <row r="148">
      <c r="A148" s="1" t="n"/>
      <c r="B148" s="18" t="n"/>
      <c r="C148" s="16" t="n"/>
      <c r="D148" s="19" t="n"/>
      <c r="E148" s="17" t="n"/>
      <c r="F148" s="22" t="n"/>
      <c r="G148" s="14">
        <f>IF(C148="","",IFERROR(VALUE(LEFT(C148,FIND(" ",C148&amp;" ")-1)),""))</f>
        <v/>
      </c>
      <c r="H148" s="26">
        <f>IF(C148="","",IF(G148="","Pick a loan",IFERROR(IF(INDEX(Loans!$C$6:$C$305,MATCH(G148,Loans!$B$6:$B$305,0))="","Not a loan",INDEX(Loans!$C$6:$C$305,MATCH(G148,Loans!$B$6:$B$305,0))),"Not a loan")))</f>
        <v/>
      </c>
      <c r="I148" s="10">
        <f>IF(OR(G148="",H148="Not a loan"),"",IF(INDEX(Loans!$D$6:$D$305,MATCH(G148,Loans!$B$6:$B$305,0))="I borrowed","Out","In"))</f>
        <v/>
      </c>
      <c r="J148" s="1">
        <f>IF(NOT(ISNUMBER(B148)),"",YEAR(B148)*100+MONTH(B148))</f>
        <v/>
      </c>
      <c r="K148">
        <f>IF(OR(G148="",NOT(ISNUMBER(B148))),"",IF(G148=Statement!$H$2,B148*1000+ROW(),""))</f>
        <v/>
      </c>
    </row>
    <row r="149">
      <c r="A149" s="1" t="n"/>
      <c r="B149" s="18" t="n"/>
      <c r="C149" s="16" t="n"/>
      <c r="D149" s="19" t="n"/>
      <c r="E149" s="17" t="n"/>
      <c r="F149" s="22" t="n"/>
      <c r="G149" s="14">
        <f>IF(C149="","",IFERROR(VALUE(LEFT(C149,FIND(" ",C149&amp;" ")-1)),""))</f>
        <v/>
      </c>
      <c r="H149" s="26">
        <f>IF(C149="","",IF(G149="","Pick a loan",IFERROR(IF(INDEX(Loans!$C$6:$C$305,MATCH(G149,Loans!$B$6:$B$305,0))="","Not a loan",INDEX(Loans!$C$6:$C$305,MATCH(G149,Loans!$B$6:$B$305,0))),"Not a loan")))</f>
        <v/>
      </c>
      <c r="I149" s="10">
        <f>IF(OR(G149="",H149="Not a loan"),"",IF(INDEX(Loans!$D$6:$D$305,MATCH(G149,Loans!$B$6:$B$305,0))="I borrowed","Out","In"))</f>
        <v/>
      </c>
      <c r="J149" s="1">
        <f>IF(NOT(ISNUMBER(B149)),"",YEAR(B149)*100+MONTH(B149))</f>
        <v/>
      </c>
      <c r="K149">
        <f>IF(OR(G149="",NOT(ISNUMBER(B149))),"",IF(G149=Statement!$H$2,B149*1000+ROW(),""))</f>
        <v/>
      </c>
    </row>
    <row r="150">
      <c r="A150" s="1" t="n"/>
      <c r="B150" s="18" t="n"/>
      <c r="C150" s="16" t="n"/>
      <c r="D150" s="19" t="n"/>
      <c r="E150" s="17" t="n"/>
      <c r="F150" s="22" t="n"/>
      <c r="G150" s="14">
        <f>IF(C150="","",IFERROR(VALUE(LEFT(C150,FIND(" ",C150&amp;" ")-1)),""))</f>
        <v/>
      </c>
      <c r="H150" s="26">
        <f>IF(C150="","",IF(G150="","Pick a loan",IFERROR(IF(INDEX(Loans!$C$6:$C$305,MATCH(G150,Loans!$B$6:$B$305,0))="","Not a loan",INDEX(Loans!$C$6:$C$305,MATCH(G150,Loans!$B$6:$B$305,0))),"Not a loan")))</f>
        <v/>
      </c>
      <c r="I150" s="10">
        <f>IF(OR(G150="",H150="Not a loan"),"",IF(INDEX(Loans!$D$6:$D$305,MATCH(G150,Loans!$B$6:$B$305,0))="I borrowed","Out","In"))</f>
        <v/>
      </c>
      <c r="J150" s="1">
        <f>IF(NOT(ISNUMBER(B150)),"",YEAR(B150)*100+MONTH(B150))</f>
        <v/>
      </c>
      <c r="K150">
        <f>IF(OR(G150="",NOT(ISNUMBER(B150))),"",IF(G150=Statement!$H$2,B150*1000+ROW(),""))</f>
        <v/>
      </c>
    </row>
    <row r="151">
      <c r="A151" s="1" t="n"/>
      <c r="B151" s="18" t="n"/>
      <c r="C151" s="16" t="n"/>
      <c r="D151" s="19" t="n"/>
      <c r="E151" s="17" t="n"/>
      <c r="F151" s="22" t="n"/>
      <c r="G151" s="14">
        <f>IF(C151="","",IFERROR(VALUE(LEFT(C151,FIND(" ",C151&amp;" ")-1)),""))</f>
        <v/>
      </c>
      <c r="H151" s="26">
        <f>IF(C151="","",IF(G151="","Pick a loan",IFERROR(IF(INDEX(Loans!$C$6:$C$305,MATCH(G151,Loans!$B$6:$B$305,0))="","Not a loan",INDEX(Loans!$C$6:$C$305,MATCH(G151,Loans!$B$6:$B$305,0))),"Not a loan")))</f>
        <v/>
      </c>
      <c r="I151" s="10">
        <f>IF(OR(G151="",H151="Not a loan"),"",IF(INDEX(Loans!$D$6:$D$305,MATCH(G151,Loans!$B$6:$B$305,0))="I borrowed","Out","In"))</f>
        <v/>
      </c>
      <c r="J151" s="1">
        <f>IF(NOT(ISNUMBER(B151)),"",YEAR(B151)*100+MONTH(B151))</f>
        <v/>
      </c>
      <c r="K151">
        <f>IF(OR(G151="",NOT(ISNUMBER(B151))),"",IF(G151=Statement!$H$2,B151*1000+ROW(),""))</f>
        <v/>
      </c>
    </row>
    <row r="152">
      <c r="A152" s="1" t="n"/>
      <c r="B152" s="18" t="n"/>
      <c r="C152" s="16" t="n"/>
      <c r="D152" s="19" t="n"/>
      <c r="E152" s="17" t="n"/>
      <c r="F152" s="22" t="n"/>
      <c r="G152" s="14">
        <f>IF(C152="","",IFERROR(VALUE(LEFT(C152,FIND(" ",C152&amp;" ")-1)),""))</f>
        <v/>
      </c>
      <c r="H152" s="26">
        <f>IF(C152="","",IF(G152="","Pick a loan",IFERROR(IF(INDEX(Loans!$C$6:$C$305,MATCH(G152,Loans!$B$6:$B$305,0))="","Not a loan",INDEX(Loans!$C$6:$C$305,MATCH(G152,Loans!$B$6:$B$305,0))),"Not a loan")))</f>
        <v/>
      </c>
      <c r="I152" s="10">
        <f>IF(OR(G152="",H152="Not a loan"),"",IF(INDEX(Loans!$D$6:$D$305,MATCH(G152,Loans!$B$6:$B$305,0))="I borrowed","Out","In"))</f>
        <v/>
      </c>
      <c r="J152" s="1">
        <f>IF(NOT(ISNUMBER(B152)),"",YEAR(B152)*100+MONTH(B152))</f>
        <v/>
      </c>
      <c r="K152">
        <f>IF(OR(G152="",NOT(ISNUMBER(B152))),"",IF(G152=Statement!$H$2,B152*1000+ROW(),""))</f>
        <v/>
      </c>
    </row>
    <row r="153">
      <c r="A153" s="1" t="n"/>
      <c r="B153" s="18" t="n"/>
      <c r="C153" s="16" t="n"/>
      <c r="D153" s="19" t="n"/>
      <c r="E153" s="17" t="n"/>
      <c r="F153" s="22" t="n"/>
      <c r="G153" s="14">
        <f>IF(C153="","",IFERROR(VALUE(LEFT(C153,FIND(" ",C153&amp;" ")-1)),""))</f>
        <v/>
      </c>
      <c r="H153" s="26">
        <f>IF(C153="","",IF(G153="","Pick a loan",IFERROR(IF(INDEX(Loans!$C$6:$C$305,MATCH(G153,Loans!$B$6:$B$305,0))="","Not a loan",INDEX(Loans!$C$6:$C$305,MATCH(G153,Loans!$B$6:$B$305,0))),"Not a loan")))</f>
        <v/>
      </c>
      <c r="I153" s="10">
        <f>IF(OR(G153="",H153="Not a loan"),"",IF(INDEX(Loans!$D$6:$D$305,MATCH(G153,Loans!$B$6:$B$305,0))="I borrowed","Out","In"))</f>
        <v/>
      </c>
      <c r="J153" s="1">
        <f>IF(NOT(ISNUMBER(B153)),"",YEAR(B153)*100+MONTH(B153))</f>
        <v/>
      </c>
      <c r="K153">
        <f>IF(OR(G153="",NOT(ISNUMBER(B153))),"",IF(G153=Statement!$H$2,B153*1000+ROW(),""))</f>
        <v/>
      </c>
    </row>
    <row r="154">
      <c r="A154" s="1" t="n"/>
      <c r="B154" s="18" t="n"/>
      <c r="C154" s="16" t="n"/>
      <c r="D154" s="19" t="n"/>
      <c r="E154" s="17" t="n"/>
      <c r="F154" s="22" t="n"/>
      <c r="G154" s="14">
        <f>IF(C154="","",IFERROR(VALUE(LEFT(C154,FIND(" ",C154&amp;" ")-1)),""))</f>
        <v/>
      </c>
      <c r="H154" s="26">
        <f>IF(C154="","",IF(G154="","Pick a loan",IFERROR(IF(INDEX(Loans!$C$6:$C$305,MATCH(G154,Loans!$B$6:$B$305,0))="","Not a loan",INDEX(Loans!$C$6:$C$305,MATCH(G154,Loans!$B$6:$B$305,0))),"Not a loan")))</f>
        <v/>
      </c>
      <c r="I154" s="10">
        <f>IF(OR(G154="",H154="Not a loan"),"",IF(INDEX(Loans!$D$6:$D$305,MATCH(G154,Loans!$B$6:$B$305,0))="I borrowed","Out","In"))</f>
        <v/>
      </c>
      <c r="J154" s="1">
        <f>IF(NOT(ISNUMBER(B154)),"",YEAR(B154)*100+MONTH(B154))</f>
        <v/>
      </c>
      <c r="K154">
        <f>IF(OR(G154="",NOT(ISNUMBER(B154))),"",IF(G154=Statement!$H$2,B154*1000+ROW(),""))</f>
        <v/>
      </c>
    </row>
    <row r="155">
      <c r="A155" s="1" t="n"/>
      <c r="B155" s="18" t="n"/>
      <c r="C155" s="16" t="n"/>
      <c r="D155" s="19" t="n"/>
      <c r="E155" s="17" t="n"/>
      <c r="F155" s="22" t="n"/>
      <c r="G155" s="14">
        <f>IF(C155="","",IFERROR(VALUE(LEFT(C155,FIND(" ",C155&amp;" ")-1)),""))</f>
        <v/>
      </c>
      <c r="H155" s="26">
        <f>IF(C155="","",IF(G155="","Pick a loan",IFERROR(IF(INDEX(Loans!$C$6:$C$305,MATCH(G155,Loans!$B$6:$B$305,0))="","Not a loan",INDEX(Loans!$C$6:$C$305,MATCH(G155,Loans!$B$6:$B$305,0))),"Not a loan")))</f>
        <v/>
      </c>
      <c r="I155" s="10">
        <f>IF(OR(G155="",H155="Not a loan"),"",IF(INDEX(Loans!$D$6:$D$305,MATCH(G155,Loans!$B$6:$B$305,0))="I borrowed","Out","In"))</f>
        <v/>
      </c>
      <c r="J155" s="1">
        <f>IF(NOT(ISNUMBER(B155)),"",YEAR(B155)*100+MONTH(B155))</f>
        <v/>
      </c>
      <c r="K155">
        <f>IF(OR(G155="",NOT(ISNUMBER(B155))),"",IF(G155=Statement!$H$2,B155*1000+ROW(),""))</f>
        <v/>
      </c>
    </row>
    <row r="156">
      <c r="A156" s="1" t="n"/>
      <c r="B156" s="18" t="n"/>
      <c r="C156" s="16" t="n"/>
      <c r="D156" s="19" t="n"/>
      <c r="E156" s="17" t="n"/>
      <c r="F156" s="22" t="n"/>
      <c r="G156" s="14">
        <f>IF(C156="","",IFERROR(VALUE(LEFT(C156,FIND(" ",C156&amp;" ")-1)),""))</f>
        <v/>
      </c>
      <c r="H156" s="26">
        <f>IF(C156="","",IF(G156="","Pick a loan",IFERROR(IF(INDEX(Loans!$C$6:$C$305,MATCH(G156,Loans!$B$6:$B$305,0))="","Not a loan",INDEX(Loans!$C$6:$C$305,MATCH(G156,Loans!$B$6:$B$305,0))),"Not a loan")))</f>
        <v/>
      </c>
      <c r="I156" s="10">
        <f>IF(OR(G156="",H156="Not a loan"),"",IF(INDEX(Loans!$D$6:$D$305,MATCH(G156,Loans!$B$6:$B$305,0))="I borrowed","Out","In"))</f>
        <v/>
      </c>
      <c r="J156" s="1">
        <f>IF(NOT(ISNUMBER(B156)),"",YEAR(B156)*100+MONTH(B156))</f>
        <v/>
      </c>
      <c r="K156">
        <f>IF(OR(G156="",NOT(ISNUMBER(B156))),"",IF(G156=Statement!$H$2,B156*1000+ROW(),""))</f>
        <v/>
      </c>
    </row>
    <row r="157">
      <c r="A157" s="1" t="n"/>
      <c r="B157" s="18" t="n"/>
      <c r="C157" s="16" t="n"/>
      <c r="D157" s="19" t="n"/>
      <c r="E157" s="17" t="n"/>
      <c r="F157" s="22" t="n"/>
      <c r="G157" s="14">
        <f>IF(C157="","",IFERROR(VALUE(LEFT(C157,FIND(" ",C157&amp;" ")-1)),""))</f>
        <v/>
      </c>
      <c r="H157" s="26">
        <f>IF(C157="","",IF(G157="","Pick a loan",IFERROR(IF(INDEX(Loans!$C$6:$C$305,MATCH(G157,Loans!$B$6:$B$305,0))="","Not a loan",INDEX(Loans!$C$6:$C$305,MATCH(G157,Loans!$B$6:$B$305,0))),"Not a loan")))</f>
        <v/>
      </c>
      <c r="I157" s="10">
        <f>IF(OR(G157="",H157="Not a loan"),"",IF(INDEX(Loans!$D$6:$D$305,MATCH(G157,Loans!$B$6:$B$305,0))="I borrowed","Out","In"))</f>
        <v/>
      </c>
      <c r="J157" s="1">
        <f>IF(NOT(ISNUMBER(B157)),"",YEAR(B157)*100+MONTH(B157))</f>
        <v/>
      </c>
      <c r="K157">
        <f>IF(OR(G157="",NOT(ISNUMBER(B157))),"",IF(G157=Statement!$H$2,B157*1000+ROW(),""))</f>
        <v/>
      </c>
    </row>
    <row r="158">
      <c r="A158" s="1" t="n"/>
      <c r="B158" s="18" t="n"/>
      <c r="C158" s="16" t="n"/>
      <c r="D158" s="19" t="n"/>
      <c r="E158" s="17" t="n"/>
      <c r="F158" s="22" t="n"/>
      <c r="G158" s="14">
        <f>IF(C158="","",IFERROR(VALUE(LEFT(C158,FIND(" ",C158&amp;" ")-1)),""))</f>
        <v/>
      </c>
      <c r="H158" s="26">
        <f>IF(C158="","",IF(G158="","Pick a loan",IFERROR(IF(INDEX(Loans!$C$6:$C$305,MATCH(G158,Loans!$B$6:$B$305,0))="","Not a loan",INDEX(Loans!$C$6:$C$305,MATCH(G158,Loans!$B$6:$B$305,0))),"Not a loan")))</f>
        <v/>
      </c>
      <c r="I158" s="10">
        <f>IF(OR(G158="",H158="Not a loan"),"",IF(INDEX(Loans!$D$6:$D$305,MATCH(G158,Loans!$B$6:$B$305,0))="I borrowed","Out","In"))</f>
        <v/>
      </c>
      <c r="J158" s="1">
        <f>IF(NOT(ISNUMBER(B158)),"",YEAR(B158)*100+MONTH(B158))</f>
        <v/>
      </c>
      <c r="K158">
        <f>IF(OR(G158="",NOT(ISNUMBER(B158))),"",IF(G158=Statement!$H$2,B158*1000+ROW(),""))</f>
        <v/>
      </c>
    </row>
    <row r="159">
      <c r="A159" s="1" t="n"/>
      <c r="B159" s="18" t="n"/>
      <c r="C159" s="16" t="n"/>
      <c r="D159" s="19" t="n"/>
      <c r="E159" s="17" t="n"/>
      <c r="F159" s="22" t="n"/>
      <c r="G159" s="14">
        <f>IF(C159="","",IFERROR(VALUE(LEFT(C159,FIND(" ",C159&amp;" ")-1)),""))</f>
        <v/>
      </c>
      <c r="H159" s="26">
        <f>IF(C159="","",IF(G159="","Pick a loan",IFERROR(IF(INDEX(Loans!$C$6:$C$305,MATCH(G159,Loans!$B$6:$B$305,0))="","Not a loan",INDEX(Loans!$C$6:$C$305,MATCH(G159,Loans!$B$6:$B$305,0))),"Not a loan")))</f>
        <v/>
      </c>
      <c r="I159" s="10">
        <f>IF(OR(G159="",H159="Not a loan"),"",IF(INDEX(Loans!$D$6:$D$305,MATCH(G159,Loans!$B$6:$B$305,0))="I borrowed","Out","In"))</f>
        <v/>
      </c>
      <c r="J159" s="1">
        <f>IF(NOT(ISNUMBER(B159)),"",YEAR(B159)*100+MONTH(B159))</f>
        <v/>
      </c>
      <c r="K159">
        <f>IF(OR(G159="",NOT(ISNUMBER(B159))),"",IF(G159=Statement!$H$2,B159*1000+ROW(),""))</f>
        <v/>
      </c>
    </row>
    <row r="160">
      <c r="A160" s="1" t="n"/>
      <c r="B160" s="18" t="n"/>
      <c r="C160" s="16" t="n"/>
      <c r="D160" s="19" t="n"/>
      <c r="E160" s="17" t="n"/>
      <c r="F160" s="22" t="n"/>
      <c r="G160" s="14">
        <f>IF(C160="","",IFERROR(VALUE(LEFT(C160,FIND(" ",C160&amp;" ")-1)),""))</f>
        <v/>
      </c>
      <c r="H160" s="26">
        <f>IF(C160="","",IF(G160="","Pick a loan",IFERROR(IF(INDEX(Loans!$C$6:$C$305,MATCH(G160,Loans!$B$6:$B$305,0))="","Not a loan",INDEX(Loans!$C$6:$C$305,MATCH(G160,Loans!$B$6:$B$305,0))),"Not a loan")))</f>
        <v/>
      </c>
      <c r="I160" s="10">
        <f>IF(OR(G160="",H160="Not a loan"),"",IF(INDEX(Loans!$D$6:$D$305,MATCH(G160,Loans!$B$6:$B$305,0))="I borrowed","Out","In"))</f>
        <v/>
      </c>
      <c r="J160" s="1">
        <f>IF(NOT(ISNUMBER(B160)),"",YEAR(B160)*100+MONTH(B160))</f>
        <v/>
      </c>
      <c r="K160">
        <f>IF(OR(G160="",NOT(ISNUMBER(B160))),"",IF(G160=Statement!$H$2,B160*1000+ROW(),""))</f>
        <v/>
      </c>
    </row>
    <row r="161">
      <c r="A161" s="1" t="n"/>
      <c r="B161" s="18" t="n"/>
      <c r="C161" s="16" t="n"/>
      <c r="D161" s="19" t="n"/>
      <c r="E161" s="17" t="n"/>
      <c r="F161" s="22" t="n"/>
      <c r="G161" s="14">
        <f>IF(C161="","",IFERROR(VALUE(LEFT(C161,FIND(" ",C161&amp;" ")-1)),""))</f>
        <v/>
      </c>
      <c r="H161" s="26">
        <f>IF(C161="","",IF(G161="","Pick a loan",IFERROR(IF(INDEX(Loans!$C$6:$C$305,MATCH(G161,Loans!$B$6:$B$305,0))="","Not a loan",INDEX(Loans!$C$6:$C$305,MATCH(G161,Loans!$B$6:$B$305,0))),"Not a loan")))</f>
        <v/>
      </c>
      <c r="I161" s="10">
        <f>IF(OR(G161="",H161="Not a loan"),"",IF(INDEX(Loans!$D$6:$D$305,MATCH(G161,Loans!$B$6:$B$305,0))="I borrowed","Out","In"))</f>
        <v/>
      </c>
      <c r="J161" s="1">
        <f>IF(NOT(ISNUMBER(B161)),"",YEAR(B161)*100+MONTH(B161))</f>
        <v/>
      </c>
      <c r="K161">
        <f>IF(OR(G161="",NOT(ISNUMBER(B161))),"",IF(G161=Statement!$H$2,B161*1000+ROW(),""))</f>
        <v/>
      </c>
    </row>
    <row r="162">
      <c r="A162" s="1" t="n"/>
      <c r="B162" s="18" t="n"/>
      <c r="C162" s="16" t="n"/>
      <c r="D162" s="19" t="n"/>
      <c r="E162" s="17" t="n"/>
      <c r="F162" s="22" t="n"/>
      <c r="G162" s="14">
        <f>IF(C162="","",IFERROR(VALUE(LEFT(C162,FIND(" ",C162&amp;" ")-1)),""))</f>
        <v/>
      </c>
      <c r="H162" s="26">
        <f>IF(C162="","",IF(G162="","Pick a loan",IFERROR(IF(INDEX(Loans!$C$6:$C$305,MATCH(G162,Loans!$B$6:$B$305,0))="","Not a loan",INDEX(Loans!$C$6:$C$305,MATCH(G162,Loans!$B$6:$B$305,0))),"Not a loan")))</f>
        <v/>
      </c>
      <c r="I162" s="10">
        <f>IF(OR(G162="",H162="Not a loan"),"",IF(INDEX(Loans!$D$6:$D$305,MATCH(G162,Loans!$B$6:$B$305,0))="I borrowed","Out","In"))</f>
        <v/>
      </c>
      <c r="J162" s="1">
        <f>IF(NOT(ISNUMBER(B162)),"",YEAR(B162)*100+MONTH(B162))</f>
        <v/>
      </c>
      <c r="K162">
        <f>IF(OR(G162="",NOT(ISNUMBER(B162))),"",IF(G162=Statement!$H$2,B162*1000+ROW(),""))</f>
        <v/>
      </c>
    </row>
    <row r="163">
      <c r="A163" s="1" t="n"/>
      <c r="B163" s="18" t="n"/>
      <c r="C163" s="16" t="n"/>
      <c r="D163" s="19" t="n"/>
      <c r="E163" s="17" t="n"/>
      <c r="F163" s="22" t="n"/>
      <c r="G163" s="14">
        <f>IF(C163="","",IFERROR(VALUE(LEFT(C163,FIND(" ",C163&amp;" ")-1)),""))</f>
        <v/>
      </c>
      <c r="H163" s="26">
        <f>IF(C163="","",IF(G163="","Pick a loan",IFERROR(IF(INDEX(Loans!$C$6:$C$305,MATCH(G163,Loans!$B$6:$B$305,0))="","Not a loan",INDEX(Loans!$C$6:$C$305,MATCH(G163,Loans!$B$6:$B$305,0))),"Not a loan")))</f>
        <v/>
      </c>
      <c r="I163" s="10">
        <f>IF(OR(G163="",H163="Not a loan"),"",IF(INDEX(Loans!$D$6:$D$305,MATCH(G163,Loans!$B$6:$B$305,0))="I borrowed","Out","In"))</f>
        <v/>
      </c>
      <c r="J163" s="1">
        <f>IF(NOT(ISNUMBER(B163)),"",YEAR(B163)*100+MONTH(B163))</f>
        <v/>
      </c>
      <c r="K163">
        <f>IF(OR(G163="",NOT(ISNUMBER(B163))),"",IF(G163=Statement!$H$2,B163*1000+ROW(),""))</f>
        <v/>
      </c>
    </row>
    <row r="164">
      <c r="A164" s="1" t="n"/>
      <c r="B164" s="18" t="n"/>
      <c r="C164" s="16" t="n"/>
      <c r="D164" s="19" t="n"/>
      <c r="E164" s="17" t="n"/>
      <c r="F164" s="22" t="n"/>
      <c r="G164" s="14">
        <f>IF(C164="","",IFERROR(VALUE(LEFT(C164,FIND(" ",C164&amp;" ")-1)),""))</f>
        <v/>
      </c>
      <c r="H164" s="26">
        <f>IF(C164="","",IF(G164="","Pick a loan",IFERROR(IF(INDEX(Loans!$C$6:$C$305,MATCH(G164,Loans!$B$6:$B$305,0))="","Not a loan",INDEX(Loans!$C$6:$C$305,MATCH(G164,Loans!$B$6:$B$305,0))),"Not a loan")))</f>
        <v/>
      </c>
      <c r="I164" s="10">
        <f>IF(OR(G164="",H164="Not a loan"),"",IF(INDEX(Loans!$D$6:$D$305,MATCH(G164,Loans!$B$6:$B$305,0))="I borrowed","Out","In"))</f>
        <v/>
      </c>
      <c r="J164" s="1">
        <f>IF(NOT(ISNUMBER(B164)),"",YEAR(B164)*100+MONTH(B164))</f>
        <v/>
      </c>
      <c r="K164">
        <f>IF(OR(G164="",NOT(ISNUMBER(B164))),"",IF(G164=Statement!$H$2,B164*1000+ROW(),""))</f>
        <v/>
      </c>
    </row>
    <row r="165">
      <c r="A165" s="1" t="n"/>
      <c r="B165" s="18" t="n"/>
      <c r="C165" s="16" t="n"/>
      <c r="D165" s="19" t="n"/>
      <c r="E165" s="17" t="n"/>
      <c r="F165" s="22" t="n"/>
      <c r="G165" s="14">
        <f>IF(C165="","",IFERROR(VALUE(LEFT(C165,FIND(" ",C165&amp;" ")-1)),""))</f>
        <v/>
      </c>
      <c r="H165" s="26">
        <f>IF(C165="","",IF(G165="","Pick a loan",IFERROR(IF(INDEX(Loans!$C$6:$C$305,MATCH(G165,Loans!$B$6:$B$305,0))="","Not a loan",INDEX(Loans!$C$6:$C$305,MATCH(G165,Loans!$B$6:$B$305,0))),"Not a loan")))</f>
        <v/>
      </c>
      <c r="I165" s="10">
        <f>IF(OR(G165="",H165="Not a loan"),"",IF(INDEX(Loans!$D$6:$D$305,MATCH(G165,Loans!$B$6:$B$305,0))="I borrowed","Out","In"))</f>
        <v/>
      </c>
      <c r="J165" s="1">
        <f>IF(NOT(ISNUMBER(B165)),"",YEAR(B165)*100+MONTH(B165))</f>
        <v/>
      </c>
      <c r="K165">
        <f>IF(OR(G165="",NOT(ISNUMBER(B165))),"",IF(G165=Statement!$H$2,B165*1000+ROW(),""))</f>
        <v/>
      </c>
    </row>
    <row r="166">
      <c r="A166" s="1" t="n"/>
      <c r="B166" s="18" t="n"/>
      <c r="C166" s="16" t="n"/>
      <c r="D166" s="19" t="n"/>
      <c r="E166" s="17" t="n"/>
      <c r="F166" s="22" t="n"/>
      <c r="G166" s="14">
        <f>IF(C166="","",IFERROR(VALUE(LEFT(C166,FIND(" ",C166&amp;" ")-1)),""))</f>
        <v/>
      </c>
      <c r="H166" s="26">
        <f>IF(C166="","",IF(G166="","Pick a loan",IFERROR(IF(INDEX(Loans!$C$6:$C$305,MATCH(G166,Loans!$B$6:$B$305,0))="","Not a loan",INDEX(Loans!$C$6:$C$305,MATCH(G166,Loans!$B$6:$B$305,0))),"Not a loan")))</f>
        <v/>
      </c>
      <c r="I166" s="10">
        <f>IF(OR(G166="",H166="Not a loan"),"",IF(INDEX(Loans!$D$6:$D$305,MATCH(G166,Loans!$B$6:$B$305,0))="I borrowed","Out","In"))</f>
        <v/>
      </c>
      <c r="J166" s="1">
        <f>IF(NOT(ISNUMBER(B166)),"",YEAR(B166)*100+MONTH(B166))</f>
        <v/>
      </c>
      <c r="K166">
        <f>IF(OR(G166="",NOT(ISNUMBER(B166))),"",IF(G166=Statement!$H$2,B166*1000+ROW(),""))</f>
        <v/>
      </c>
    </row>
    <row r="167">
      <c r="A167" s="1" t="n"/>
      <c r="B167" s="18" t="n"/>
      <c r="C167" s="16" t="n"/>
      <c r="D167" s="19" t="n"/>
      <c r="E167" s="17" t="n"/>
      <c r="F167" s="22" t="n"/>
      <c r="G167" s="14">
        <f>IF(C167="","",IFERROR(VALUE(LEFT(C167,FIND(" ",C167&amp;" ")-1)),""))</f>
        <v/>
      </c>
      <c r="H167" s="26">
        <f>IF(C167="","",IF(G167="","Pick a loan",IFERROR(IF(INDEX(Loans!$C$6:$C$305,MATCH(G167,Loans!$B$6:$B$305,0))="","Not a loan",INDEX(Loans!$C$6:$C$305,MATCH(G167,Loans!$B$6:$B$305,0))),"Not a loan")))</f>
        <v/>
      </c>
      <c r="I167" s="10">
        <f>IF(OR(G167="",H167="Not a loan"),"",IF(INDEX(Loans!$D$6:$D$305,MATCH(G167,Loans!$B$6:$B$305,0))="I borrowed","Out","In"))</f>
        <v/>
      </c>
      <c r="J167" s="1">
        <f>IF(NOT(ISNUMBER(B167)),"",YEAR(B167)*100+MONTH(B167))</f>
        <v/>
      </c>
      <c r="K167">
        <f>IF(OR(G167="",NOT(ISNUMBER(B167))),"",IF(G167=Statement!$H$2,B167*1000+ROW(),""))</f>
        <v/>
      </c>
    </row>
    <row r="168">
      <c r="A168" s="1" t="n"/>
      <c r="B168" s="18" t="n"/>
      <c r="C168" s="16" t="n"/>
      <c r="D168" s="19" t="n"/>
      <c r="E168" s="17" t="n"/>
      <c r="F168" s="22" t="n"/>
      <c r="G168" s="14">
        <f>IF(C168="","",IFERROR(VALUE(LEFT(C168,FIND(" ",C168&amp;" ")-1)),""))</f>
        <v/>
      </c>
      <c r="H168" s="26">
        <f>IF(C168="","",IF(G168="","Pick a loan",IFERROR(IF(INDEX(Loans!$C$6:$C$305,MATCH(G168,Loans!$B$6:$B$305,0))="","Not a loan",INDEX(Loans!$C$6:$C$305,MATCH(G168,Loans!$B$6:$B$305,0))),"Not a loan")))</f>
        <v/>
      </c>
      <c r="I168" s="10">
        <f>IF(OR(G168="",H168="Not a loan"),"",IF(INDEX(Loans!$D$6:$D$305,MATCH(G168,Loans!$B$6:$B$305,0))="I borrowed","Out","In"))</f>
        <v/>
      </c>
      <c r="J168" s="1">
        <f>IF(NOT(ISNUMBER(B168)),"",YEAR(B168)*100+MONTH(B168))</f>
        <v/>
      </c>
      <c r="K168">
        <f>IF(OR(G168="",NOT(ISNUMBER(B168))),"",IF(G168=Statement!$H$2,B168*1000+ROW(),""))</f>
        <v/>
      </c>
    </row>
    <row r="169">
      <c r="A169" s="1" t="n"/>
      <c r="B169" s="18" t="n"/>
      <c r="C169" s="16" t="n"/>
      <c r="D169" s="19" t="n"/>
      <c r="E169" s="17" t="n"/>
      <c r="F169" s="22" t="n"/>
      <c r="G169" s="14">
        <f>IF(C169="","",IFERROR(VALUE(LEFT(C169,FIND(" ",C169&amp;" ")-1)),""))</f>
        <v/>
      </c>
      <c r="H169" s="26">
        <f>IF(C169="","",IF(G169="","Pick a loan",IFERROR(IF(INDEX(Loans!$C$6:$C$305,MATCH(G169,Loans!$B$6:$B$305,0))="","Not a loan",INDEX(Loans!$C$6:$C$305,MATCH(G169,Loans!$B$6:$B$305,0))),"Not a loan")))</f>
        <v/>
      </c>
      <c r="I169" s="10">
        <f>IF(OR(G169="",H169="Not a loan"),"",IF(INDEX(Loans!$D$6:$D$305,MATCH(G169,Loans!$B$6:$B$305,0))="I borrowed","Out","In"))</f>
        <v/>
      </c>
      <c r="J169" s="1">
        <f>IF(NOT(ISNUMBER(B169)),"",YEAR(B169)*100+MONTH(B169))</f>
        <v/>
      </c>
      <c r="K169">
        <f>IF(OR(G169="",NOT(ISNUMBER(B169))),"",IF(G169=Statement!$H$2,B169*1000+ROW(),""))</f>
        <v/>
      </c>
    </row>
    <row r="170">
      <c r="A170" s="1" t="n"/>
      <c r="B170" s="18" t="n"/>
      <c r="C170" s="16" t="n"/>
      <c r="D170" s="19" t="n"/>
      <c r="E170" s="17" t="n"/>
      <c r="F170" s="22" t="n"/>
      <c r="G170" s="14">
        <f>IF(C170="","",IFERROR(VALUE(LEFT(C170,FIND(" ",C170&amp;" ")-1)),""))</f>
        <v/>
      </c>
      <c r="H170" s="26">
        <f>IF(C170="","",IF(G170="","Pick a loan",IFERROR(IF(INDEX(Loans!$C$6:$C$305,MATCH(G170,Loans!$B$6:$B$305,0))="","Not a loan",INDEX(Loans!$C$6:$C$305,MATCH(G170,Loans!$B$6:$B$305,0))),"Not a loan")))</f>
        <v/>
      </c>
      <c r="I170" s="10">
        <f>IF(OR(G170="",H170="Not a loan"),"",IF(INDEX(Loans!$D$6:$D$305,MATCH(G170,Loans!$B$6:$B$305,0))="I borrowed","Out","In"))</f>
        <v/>
      </c>
      <c r="J170" s="1">
        <f>IF(NOT(ISNUMBER(B170)),"",YEAR(B170)*100+MONTH(B170))</f>
        <v/>
      </c>
      <c r="K170">
        <f>IF(OR(G170="",NOT(ISNUMBER(B170))),"",IF(G170=Statement!$H$2,B170*1000+ROW(),""))</f>
        <v/>
      </c>
    </row>
    <row r="171">
      <c r="A171" s="1" t="n"/>
      <c r="B171" s="18" t="n"/>
      <c r="C171" s="16" t="n"/>
      <c r="D171" s="19" t="n"/>
      <c r="E171" s="17" t="n"/>
      <c r="F171" s="22" t="n"/>
      <c r="G171" s="14">
        <f>IF(C171="","",IFERROR(VALUE(LEFT(C171,FIND(" ",C171&amp;" ")-1)),""))</f>
        <v/>
      </c>
      <c r="H171" s="26">
        <f>IF(C171="","",IF(G171="","Pick a loan",IFERROR(IF(INDEX(Loans!$C$6:$C$305,MATCH(G171,Loans!$B$6:$B$305,0))="","Not a loan",INDEX(Loans!$C$6:$C$305,MATCH(G171,Loans!$B$6:$B$305,0))),"Not a loan")))</f>
        <v/>
      </c>
      <c r="I171" s="10">
        <f>IF(OR(G171="",H171="Not a loan"),"",IF(INDEX(Loans!$D$6:$D$305,MATCH(G171,Loans!$B$6:$B$305,0))="I borrowed","Out","In"))</f>
        <v/>
      </c>
      <c r="J171" s="1">
        <f>IF(NOT(ISNUMBER(B171)),"",YEAR(B171)*100+MONTH(B171))</f>
        <v/>
      </c>
      <c r="K171">
        <f>IF(OR(G171="",NOT(ISNUMBER(B171))),"",IF(G171=Statement!$H$2,B171*1000+ROW(),""))</f>
        <v/>
      </c>
    </row>
    <row r="172">
      <c r="A172" s="1" t="n"/>
      <c r="B172" s="18" t="n"/>
      <c r="C172" s="16" t="n"/>
      <c r="D172" s="19" t="n"/>
      <c r="E172" s="17" t="n"/>
      <c r="F172" s="22" t="n"/>
      <c r="G172" s="14">
        <f>IF(C172="","",IFERROR(VALUE(LEFT(C172,FIND(" ",C172&amp;" ")-1)),""))</f>
        <v/>
      </c>
      <c r="H172" s="26">
        <f>IF(C172="","",IF(G172="","Pick a loan",IFERROR(IF(INDEX(Loans!$C$6:$C$305,MATCH(G172,Loans!$B$6:$B$305,0))="","Not a loan",INDEX(Loans!$C$6:$C$305,MATCH(G172,Loans!$B$6:$B$305,0))),"Not a loan")))</f>
        <v/>
      </c>
      <c r="I172" s="10">
        <f>IF(OR(G172="",H172="Not a loan"),"",IF(INDEX(Loans!$D$6:$D$305,MATCH(G172,Loans!$B$6:$B$305,0))="I borrowed","Out","In"))</f>
        <v/>
      </c>
      <c r="J172" s="1">
        <f>IF(NOT(ISNUMBER(B172)),"",YEAR(B172)*100+MONTH(B172))</f>
        <v/>
      </c>
      <c r="K172">
        <f>IF(OR(G172="",NOT(ISNUMBER(B172))),"",IF(G172=Statement!$H$2,B172*1000+ROW(),""))</f>
        <v/>
      </c>
    </row>
    <row r="173">
      <c r="A173" s="1" t="n"/>
      <c r="B173" s="18" t="n"/>
      <c r="C173" s="16" t="n"/>
      <c r="D173" s="19" t="n"/>
      <c r="E173" s="17" t="n"/>
      <c r="F173" s="22" t="n"/>
      <c r="G173" s="14">
        <f>IF(C173="","",IFERROR(VALUE(LEFT(C173,FIND(" ",C173&amp;" ")-1)),""))</f>
        <v/>
      </c>
      <c r="H173" s="26">
        <f>IF(C173="","",IF(G173="","Pick a loan",IFERROR(IF(INDEX(Loans!$C$6:$C$305,MATCH(G173,Loans!$B$6:$B$305,0))="","Not a loan",INDEX(Loans!$C$6:$C$305,MATCH(G173,Loans!$B$6:$B$305,0))),"Not a loan")))</f>
        <v/>
      </c>
      <c r="I173" s="10">
        <f>IF(OR(G173="",H173="Not a loan"),"",IF(INDEX(Loans!$D$6:$D$305,MATCH(G173,Loans!$B$6:$B$305,0))="I borrowed","Out","In"))</f>
        <v/>
      </c>
      <c r="J173" s="1">
        <f>IF(NOT(ISNUMBER(B173)),"",YEAR(B173)*100+MONTH(B173))</f>
        <v/>
      </c>
      <c r="K173">
        <f>IF(OR(G173="",NOT(ISNUMBER(B173))),"",IF(G173=Statement!$H$2,B173*1000+ROW(),""))</f>
        <v/>
      </c>
    </row>
    <row r="174">
      <c r="A174" s="1" t="n"/>
      <c r="B174" s="18" t="n"/>
      <c r="C174" s="16" t="n"/>
      <c r="D174" s="19" t="n"/>
      <c r="E174" s="17" t="n"/>
      <c r="F174" s="22" t="n"/>
      <c r="G174" s="14">
        <f>IF(C174="","",IFERROR(VALUE(LEFT(C174,FIND(" ",C174&amp;" ")-1)),""))</f>
        <v/>
      </c>
      <c r="H174" s="26">
        <f>IF(C174="","",IF(G174="","Pick a loan",IFERROR(IF(INDEX(Loans!$C$6:$C$305,MATCH(G174,Loans!$B$6:$B$305,0))="","Not a loan",INDEX(Loans!$C$6:$C$305,MATCH(G174,Loans!$B$6:$B$305,0))),"Not a loan")))</f>
        <v/>
      </c>
      <c r="I174" s="10">
        <f>IF(OR(G174="",H174="Not a loan"),"",IF(INDEX(Loans!$D$6:$D$305,MATCH(G174,Loans!$B$6:$B$305,0))="I borrowed","Out","In"))</f>
        <v/>
      </c>
      <c r="J174" s="1">
        <f>IF(NOT(ISNUMBER(B174)),"",YEAR(B174)*100+MONTH(B174))</f>
        <v/>
      </c>
      <c r="K174">
        <f>IF(OR(G174="",NOT(ISNUMBER(B174))),"",IF(G174=Statement!$H$2,B174*1000+ROW(),""))</f>
        <v/>
      </c>
    </row>
    <row r="175">
      <c r="A175" s="1" t="n"/>
      <c r="B175" s="18" t="n"/>
      <c r="C175" s="16" t="n"/>
      <c r="D175" s="19" t="n"/>
      <c r="E175" s="17" t="n"/>
      <c r="F175" s="22" t="n"/>
      <c r="G175" s="14">
        <f>IF(C175="","",IFERROR(VALUE(LEFT(C175,FIND(" ",C175&amp;" ")-1)),""))</f>
        <v/>
      </c>
      <c r="H175" s="26">
        <f>IF(C175="","",IF(G175="","Pick a loan",IFERROR(IF(INDEX(Loans!$C$6:$C$305,MATCH(G175,Loans!$B$6:$B$305,0))="","Not a loan",INDEX(Loans!$C$6:$C$305,MATCH(G175,Loans!$B$6:$B$305,0))),"Not a loan")))</f>
        <v/>
      </c>
      <c r="I175" s="10">
        <f>IF(OR(G175="",H175="Not a loan"),"",IF(INDEX(Loans!$D$6:$D$305,MATCH(G175,Loans!$B$6:$B$305,0))="I borrowed","Out","In"))</f>
        <v/>
      </c>
      <c r="J175" s="1">
        <f>IF(NOT(ISNUMBER(B175)),"",YEAR(B175)*100+MONTH(B175))</f>
        <v/>
      </c>
      <c r="K175">
        <f>IF(OR(G175="",NOT(ISNUMBER(B175))),"",IF(G175=Statement!$H$2,B175*1000+ROW(),""))</f>
        <v/>
      </c>
    </row>
    <row r="176">
      <c r="A176" s="1" t="n"/>
      <c r="B176" s="18" t="n"/>
      <c r="C176" s="16" t="n"/>
      <c r="D176" s="19" t="n"/>
      <c r="E176" s="17" t="n"/>
      <c r="F176" s="22" t="n"/>
      <c r="G176" s="14">
        <f>IF(C176="","",IFERROR(VALUE(LEFT(C176,FIND(" ",C176&amp;" ")-1)),""))</f>
        <v/>
      </c>
      <c r="H176" s="26">
        <f>IF(C176="","",IF(G176="","Pick a loan",IFERROR(IF(INDEX(Loans!$C$6:$C$305,MATCH(G176,Loans!$B$6:$B$305,0))="","Not a loan",INDEX(Loans!$C$6:$C$305,MATCH(G176,Loans!$B$6:$B$305,0))),"Not a loan")))</f>
        <v/>
      </c>
      <c r="I176" s="10">
        <f>IF(OR(G176="",H176="Not a loan"),"",IF(INDEX(Loans!$D$6:$D$305,MATCH(G176,Loans!$B$6:$B$305,0))="I borrowed","Out","In"))</f>
        <v/>
      </c>
      <c r="J176" s="1">
        <f>IF(NOT(ISNUMBER(B176)),"",YEAR(B176)*100+MONTH(B176))</f>
        <v/>
      </c>
      <c r="K176">
        <f>IF(OR(G176="",NOT(ISNUMBER(B176))),"",IF(G176=Statement!$H$2,B176*1000+ROW(),""))</f>
        <v/>
      </c>
    </row>
    <row r="177">
      <c r="A177" s="1" t="n"/>
      <c r="B177" s="18" t="n"/>
      <c r="C177" s="16" t="n"/>
      <c r="D177" s="19" t="n"/>
      <c r="E177" s="17" t="n"/>
      <c r="F177" s="22" t="n"/>
      <c r="G177" s="14">
        <f>IF(C177="","",IFERROR(VALUE(LEFT(C177,FIND(" ",C177&amp;" ")-1)),""))</f>
        <v/>
      </c>
      <c r="H177" s="26">
        <f>IF(C177="","",IF(G177="","Pick a loan",IFERROR(IF(INDEX(Loans!$C$6:$C$305,MATCH(G177,Loans!$B$6:$B$305,0))="","Not a loan",INDEX(Loans!$C$6:$C$305,MATCH(G177,Loans!$B$6:$B$305,0))),"Not a loan")))</f>
        <v/>
      </c>
      <c r="I177" s="10">
        <f>IF(OR(G177="",H177="Not a loan"),"",IF(INDEX(Loans!$D$6:$D$305,MATCH(G177,Loans!$B$6:$B$305,0))="I borrowed","Out","In"))</f>
        <v/>
      </c>
      <c r="J177" s="1">
        <f>IF(NOT(ISNUMBER(B177)),"",YEAR(B177)*100+MONTH(B177))</f>
        <v/>
      </c>
      <c r="K177">
        <f>IF(OR(G177="",NOT(ISNUMBER(B177))),"",IF(G177=Statement!$H$2,B177*1000+ROW(),""))</f>
        <v/>
      </c>
    </row>
    <row r="178">
      <c r="A178" s="1" t="n"/>
      <c r="B178" s="18" t="n"/>
      <c r="C178" s="16" t="n"/>
      <c r="D178" s="19" t="n"/>
      <c r="E178" s="17" t="n"/>
      <c r="F178" s="22" t="n"/>
      <c r="G178" s="14">
        <f>IF(C178="","",IFERROR(VALUE(LEFT(C178,FIND(" ",C178&amp;" ")-1)),""))</f>
        <v/>
      </c>
      <c r="H178" s="26">
        <f>IF(C178="","",IF(G178="","Pick a loan",IFERROR(IF(INDEX(Loans!$C$6:$C$305,MATCH(G178,Loans!$B$6:$B$305,0))="","Not a loan",INDEX(Loans!$C$6:$C$305,MATCH(G178,Loans!$B$6:$B$305,0))),"Not a loan")))</f>
        <v/>
      </c>
      <c r="I178" s="10">
        <f>IF(OR(G178="",H178="Not a loan"),"",IF(INDEX(Loans!$D$6:$D$305,MATCH(G178,Loans!$B$6:$B$305,0))="I borrowed","Out","In"))</f>
        <v/>
      </c>
      <c r="J178" s="1">
        <f>IF(NOT(ISNUMBER(B178)),"",YEAR(B178)*100+MONTH(B178))</f>
        <v/>
      </c>
      <c r="K178">
        <f>IF(OR(G178="",NOT(ISNUMBER(B178))),"",IF(G178=Statement!$H$2,B178*1000+ROW(),""))</f>
        <v/>
      </c>
    </row>
    <row r="179">
      <c r="A179" s="1" t="n"/>
      <c r="B179" s="18" t="n"/>
      <c r="C179" s="16" t="n"/>
      <c r="D179" s="19" t="n"/>
      <c r="E179" s="17" t="n"/>
      <c r="F179" s="22" t="n"/>
      <c r="G179" s="14">
        <f>IF(C179="","",IFERROR(VALUE(LEFT(C179,FIND(" ",C179&amp;" ")-1)),""))</f>
        <v/>
      </c>
      <c r="H179" s="26">
        <f>IF(C179="","",IF(G179="","Pick a loan",IFERROR(IF(INDEX(Loans!$C$6:$C$305,MATCH(G179,Loans!$B$6:$B$305,0))="","Not a loan",INDEX(Loans!$C$6:$C$305,MATCH(G179,Loans!$B$6:$B$305,0))),"Not a loan")))</f>
        <v/>
      </c>
      <c r="I179" s="10">
        <f>IF(OR(G179="",H179="Not a loan"),"",IF(INDEX(Loans!$D$6:$D$305,MATCH(G179,Loans!$B$6:$B$305,0))="I borrowed","Out","In"))</f>
        <v/>
      </c>
      <c r="J179" s="1">
        <f>IF(NOT(ISNUMBER(B179)),"",YEAR(B179)*100+MONTH(B179))</f>
        <v/>
      </c>
      <c r="K179">
        <f>IF(OR(G179="",NOT(ISNUMBER(B179))),"",IF(G179=Statement!$H$2,B179*1000+ROW(),""))</f>
        <v/>
      </c>
    </row>
    <row r="180">
      <c r="A180" s="1" t="n"/>
      <c r="B180" s="18" t="n"/>
      <c r="C180" s="16" t="n"/>
      <c r="D180" s="19" t="n"/>
      <c r="E180" s="17" t="n"/>
      <c r="F180" s="22" t="n"/>
      <c r="G180" s="14">
        <f>IF(C180="","",IFERROR(VALUE(LEFT(C180,FIND(" ",C180&amp;" ")-1)),""))</f>
        <v/>
      </c>
      <c r="H180" s="26">
        <f>IF(C180="","",IF(G180="","Pick a loan",IFERROR(IF(INDEX(Loans!$C$6:$C$305,MATCH(G180,Loans!$B$6:$B$305,0))="","Not a loan",INDEX(Loans!$C$6:$C$305,MATCH(G180,Loans!$B$6:$B$305,0))),"Not a loan")))</f>
        <v/>
      </c>
      <c r="I180" s="10">
        <f>IF(OR(G180="",H180="Not a loan"),"",IF(INDEX(Loans!$D$6:$D$305,MATCH(G180,Loans!$B$6:$B$305,0))="I borrowed","Out","In"))</f>
        <v/>
      </c>
      <c r="J180" s="1">
        <f>IF(NOT(ISNUMBER(B180)),"",YEAR(B180)*100+MONTH(B180))</f>
        <v/>
      </c>
      <c r="K180">
        <f>IF(OR(G180="",NOT(ISNUMBER(B180))),"",IF(G180=Statement!$H$2,B180*1000+ROW(),""))</f>
        <v/>
      </c>
    </row>
    <row r="181">
      <c r="A181" s="1" t="n"/>
      <c r="B181" s="18" t="n"/>
      <c r="C181" s="16" t="n"/>
      <c r="D181" s="19" t="n"/>
      <c r="E181" s="17" t="n"/>
      <c r="F181" s="22" t="n"/>
      <c r="G181" s="14">
        <f>IF(C181="","",IFERROR(VALUE(LEFT(C181,FIND(" ",C181&amp;" ")-1)),""))</f>
        <v/>
      </c>
      <c r="H181" s="26">
        <f>IF(C181="","",IF(G181="","Pick a loan",IFERROR(IF(INDEX(Loans!$C$6:$C$305,MATCH(G181,Loans!$B$6:$B$305,0))="","Not a loan",INDEX(Loans!$C$6:$C$305,MATCH(G181,Loans!$B$6:$B$305,0))),"Not a loan")))</f>
        <v/>
      </c>
      <c r="I181" s="10">
        <f>IF(OR(G181="",H181="Not a loan"),"",IF(INDEX(Loans!$D$6:$D$305,MATCH(G181,Loans!$B$6:$B$305,0))="I borrowed","Out","In"))</f>
        <v/>
      </c>
      <c r="J181" s="1">
        <f>IF(NOT(ISNUMBER(B181)),"",YEAR(B181)*100+MONTH(B181))</f>
        <v/>
      </c>
      <c r="K181">
        <f>IF(OR(G181="",NOT(ISNUMBER(B181))),"",IF(G181=Statement!$H$2,B181*1000+ROW(),""))</f>
        <v/>
      </c>
    </row>
    <row r="182">
      <c r="A182" s="1" t="n"/>
      <c r="B182" s="18" t="n"/>
      <c r="C182" s="16" t="n"/>
      <c r="D182" s="19" t="n"/>
      <c r="E182" s="17" t="n"/>
      <c r="F182" s="22" t="n"/>
      <c r="G182" s="14">
        <f>IF(C182="","",IFERROR(VALUE(LEFT(C182,FIND(" ",C182&amp;" ")-1)),""))</f>
        <v/>
      </c>
      <c r="H182" s="26">
        <f>IF(C182="","",IF(G182="","Pick a loan",IFERROR(IF(INDEX(Loans!$C$6:$C$305,MATCH(G182,Loans!$B$6:$B$305,0))="","Not a loan",INDEX(Loans!$C$6:$C$305,MATCH(G182,Loans!$B$6:$B$305,0))),"Not a loan")))</f>
        <v/>
      </c>
      <c r="I182" s="10">
        <f>IF(OR(G182="",H182="Not a loan"),"",IF(INDEX(Loans!$D$6:$D$305,MATCH(G182,Loans!$B$6:$B$305,0))="I borrowed","Out","In"))</f>
        <v/>
      </c>
      <c r="J182" s="1">
        <f>IF(NOT(ISNUMBER(B182)),"",YEAR(B182)*100+MONTH(B182))</f>
        <v/>
      </c>
      <c r="K182">
        <f>IF(OR(G182="",NOT(ISNUMBER(B182))),"",IF(G182=Statement!$H$2,B182*1000+ROW(),""))</f>
        <v/>
      </c>
    </row>
    <row r="183">
      <c r="A183" s="1" t="n"/>
      <c r="B183" s="18" t="n"/>
      <c r="C183" s="16" t="n"/>
      <c r="D183" s="19" t="n"/>
      <c r="E183" s="17" t="n"/>
      <c r="F183" s="22" t="n"/>
      <c r="G183" s="14">
        <f>IF(C183="","",IFERROR(VALUE(LEFT(C183,FIND(" ",C183&amp;" ")-1)),""))</f>
        <v/>
      </c>
      <c r="H183" s="26">
        <f>IF(C183="","",IF(G183="","Pick a loan",IFERROR(IF(INDEX(Loans!$C$6:$C$305,MATCH(G183,Loans!$B$6:$B$305,0))="","Not a loan",INDEX(Loans!$C$6:$C$305,MATCH(G183,Loans!$B$6:$B$305,0))),"Not a loan")))</f>
        <v/>
      </c>
      <c r="I183" s="10">
        <f>IF(OR(G183="",H183="Not a loan"),"",IF(INDEX(Loans!$D$6:$D$305,MATCH(G183,Loans!$B$6:$B$305,0))="I borrowed","Out","In"))</f>
        <v/>
      </c>
      <c r="J183" s="1">
        <f>IF(NOT(ISNUMBER(B183)),"",YEAR(B183)*100+MONTH(B183))</f>
        <v/>
      </c>
      <c r="K183">
        <f>IF(OR(G183="",NOT(ISNUMBER(B183))),"",IF(G183=Statement!$H$2,B183*1000+ROW(),""))</f>
        <v/>
      </c>
    </row>
    <row r="184">
      <c r="A184" s="1" t="n"/>
      <c r="B184" s="18" t="n"/>
      <c r="C184" s="16" t="n"/>
      <c r="D184" s="19" t="n"/>
      <c r="E184" s="17" t="n"/>
      <c r="F184" s="22" t="n"/>
      <c r="G184" s="14">
        <f>IF(C184="","",IFERROR(VALUE(LEFT(C184,FIND(" ",C184&amp;" ")-1)),""))</f>
        <v/>
      </c>
      <c r="H184" s="26">
        <f>IF(C184="","",IF(G184="","Pick a loan",IFERROR(IF(INDEX(Loans!$C$6:$C$305,MATCH(G184,Loans!$B$6:$B$305,0))="","Not a loan",INDEX(Loans!$C$6:$C$305,MATCH(G184,Loans!$B$6:$B$305,0))),"Not a loan")))</f>
        <v/>
      </c>
      <c r="I184" s="10">
        <f>IF(OR(G184="",H184="Not a loan"),"",IF(INDEX(Loans!$D$6:$D$305,MATCH(G184,Loans!$B$6:$B$305,0))="I borrowed","Out","In"))</f>
        <v/>
      </c>
      <c r="J184" s="1">
        <f>IF(NOT(ISNUMBER(B184)),"",YEAR(B184)*100+MONTH(B184))</f>
        <v/>
      </c>
      <c r="K184">
        <f>IF(OR(G184="",NOT(ISNUMBER(B184))),"",IF(G184=Statement!$H$2,B184*1000+ROW(),""))</f>
        <v/>
      </c>
    </row>
    <row r="185">
      <c r="A185" s="1" t="n"/>
      <c r="B185" s="18" t="n"/>
      <c r="C185" s="16" t="n"/>
      <c r="D185" s="19" t="n"/>
      <c r="E185" s="17" t="n"/>
      <c r="F185" s="22" t="n"/>
      <c r="G185" s="14">
        <f>IF(C185="","",IFERROR(VALUE(LEFT(C185,FIND(" ",C185&amp;" ")-1)),""))</f>
        <v/>
      </c>
      <c r="H185" s="26">
        <f>IF(C185="","",IF(G185="","Pick a loan",IFERROR(IF(INDEX(Loans!$C$6:$C$305,MATCH(G185,Loans!$B$6:$B$305,0))="","Not a loan",INDEX(Loans!$C$6:$C$305,MATCH(G185,Loans!$B$6:$B$305,0))),"Not a loan")))</f>
        <v/>
      </c>
      <c r="I185" s="10">
        <f>IF(OR(G185="",H185="Not a loan"),"",IF(INDEX(Loans!$D$6:$D$305,MATCH(G185,Loans!$B$6:$B$305,0))="I borrowed","Out","In"))</f>
        <v/>
      </c>
      <c r="J185" s="1">
        <f>IF(NOT(ISNUMBER(B185)),"",YEAR(B185)*100+MONTH(B185))</f>
        <v/>
      </c>
      <c r="K185">
        <f>IF(OR(G185="",NOT(ISNUMBER(B185))),"",IF(G185=Statement!$H$2,B185*1000+ROW(),""))</f>
        <v/>
      </c>
    </row>
    <row r="186">
      <c r="A186" s="1" t="n"/>
      <c r="B186" s="18" t="n"/>
      <c r="C186" s="16" t="n"/>
      <c r="D186" s="19" t="n"/>
      <c r="E186" s="17" t="n"/>
      <c r="F186" s="22" t="n"/>
      <c r="G186" s="14">
        <f>IF(C186="","",IFERROR(VALUE(LEFT(C186,FIND(" ",C186&amp;" ")-1)),""))</f>
        <v/>
      </c>
      <c r="H186" s="26">
        <f>IF(C186="","",IF(G186="","Pick a loan",IFERROR(IF(INDEX(Loans!$C$6:$C$305,MATCH(G186,Loans!$B$6:$B$305,0))="","Not a loan",INDEX(Loans!$C$6:$C$305,MATCH(G186,Loans!$B$6:$B$305,0))),"Not a loan")))</f>
        <v/>
      </c>
      <c r="I186" s="10">
        <f>IF(OR(G186="",H186="Not a loan"),"",IF(INDEX(Loans!$D$6:$D$305,MATCH(G186,Loans!$B$6:$B$305,0))="I borrowed","Out","In"))</f>
        <v/>
      </c>
      <c r="J186" s="1">
        <f>IF(NOT(ISNUMBER(B186)),"",YEAR(B186)*100+MONTH(B186))</f>
        <v/>
      </c>
      <c r="K186">
        <f>IF(OR(G186="",NOT(ISNUMBER(B186))),"",IF(G186=Statement!$H$2,B186*1000+ROW(),""))</f>
        <v/>
      </c>
    </row>
    <row r="187">
      <c r="A187" s="1" t="n"/>
      <c r="B187" s="18" t="n"/>
      <c r="C187" s="16" t="n"/>
      <c r="D187" s="19" t="n"/>
      <c r="E187" s="17" t="n"/>
      <c r="F187" s="22" t="n"/>
      <c r="G187" s="14">
        <f>IF(C187="","",IFERROR(VALUE(LEFT(C187,FIND(" ",C187&amp;" ")-1)),""))</f>
        <v/>
      </c>
      <c r="H187" s="26">
        <f>IF(C187="","",IF(G187="","Pick a loan",IFERROR(IF(INDEX(Loans!$C$6:$C$305,MATCH(G187,Loans!$B$6:$B$305,0))="","Not a loan",INDEX(Loans!$C$6:$C$305,MATCH(G187,Loans!$B$6:$B$305,0))),"Not a loan")))</f>
        <v/>
      </c>
      <c r="I187" s="10">
        <f>IF(OR(G187="",H187="Not a loan"),"",IF(INDEX(Loans!$D$6:$D$305,MATCH(G187,Loans!$B$6:$B$305,0))="I borrowed","Out","In"))</f>
        <v/>
      </c>
      <c r="J187" s="1">
        <f>IF(NOT(ISNUMBER(B187)),"",YEAR(B187)*100+MONTH(B187))</f>
        <v/>
      </c>
      <c r="K187">
        <f>IF(OR(G187="",NOT(ISNUMBER(B187))),"",IF(G187=Statement!$H$2,B187*1000+ROW(),""))</f>
        <v/>
      </c>
    </row>
    <row r="188">
      <c r="A188" s="1" t="n"/>
      <c r="B188" s="18" t="n"/>
      <c r="C188" s="16" t="n"/>
      <c r="D188" s="19" t="n"/>
      <c r="E188" s="17" t="n"/>
      <c r="F188" s="22" t="n"/>
      <c r="G188" s="14">
        <f>IF(C188="","",IFERROR(VALUE(LEFT(C188,FIND(" ",C188&amp;" ")-1)),""))</f>
        <v/>
      </c>
      <c r="H188" s="26">
        <f>IF(C188="","",IF(G188="","Pick a loan",IFERROR(IF(INDEX(Loans!$C$6:$C$305,MATCH(G188,Loans!$B$6:$B$305,0))="","Not a loan",INDEX(Loans!$C$6:$C$305,MATCH(G188,Loans!$B$6:$B$305,0))),"Not a loan")))</f>
        <v/>
      </c>
      <c r="I188" s="10">
        <f>IF(OR(G188="",H188="Not a loan"),"",IF(INDEX(Loans!$D$6:$D$305,MATCH(G188,Loans!$B$6:$B$305,0))="I borrowed","Out","In"))</f>
        <v/>
      </c>
      <c r="J188" s="1">
        <f>IF(NOT(ISNUMBER(B188)),"",YEAR(B188)*100+MONTH(B188))</f>
        <v/>
      </c>
      <c r="K188">
        <f>IF(OR(G188="",NOT(ISNUMBER(B188))),"",IF(G188=Statement!$H$2,B188*1000+ROW(),""))</f>
        <v/>
      </c>
    </row>
    <row r="189">
      <c r="A189" s="1" t="n"/>
      <c r="B189" s="18" t="n"/>
      <c r="C189" s="16" t="n"/>
      <c r="D189" s="19" t="n"/>
      <c r="E189" s="17" t="n"/>
      <c r="F189" s="22" t="n"/>
      <c r="G189" s="14">
        <f>IF(C189="","",IFERROR(VALUE(LEFT(C189,FIND(" ",C189&amp;" ")-1)),""))</f>
        <v/>
      </c>
      <c r="H189" s="26">
        <f>IF(C189="","",IF(G189="","Pick a loan",IFERROR(IF(INDEX(Loans!$C$6:$C$305,MATCH(G189,Loans!$B$6:$B$305,0))="","Not a loan",INDEX(Loans!$C$6:$C$305,MATCH(G189,Loans!$B$6:$B$305,0))),"Not a loan")))</f>
        <v/>
      </c>
      <c r="I189" s="10">
        <f>IF(OR(G189="",H189="Not a loan"),"",IF(INDEX(Loans!$D$6:$D$305,MATCH(G189,Loans!$B$6:$B$305,0))="I borrowed","Out","In"))</f>
        <v/>
      </c>
      <c r="J189" s="1">
        <f>IF(NOT(ISNUMBER(B189)),"",YEAR(B189)*100+MONTH(B189))</f>
        <v/>
      </c>
      <c r="K189">
        <f>IF(OR(G189="",NOT(ISNUMBER(B189))),"",IF(G189=Statement!$H$2,B189*1000+ROW(),""))</f>
        <v/>
      </c>
    </row>
    <row r="190">
      <c r="A190" s="1" t="n"/>
      <c r="B190" s="18" t="n"/>
      <c r="C190" s="16" t="n"/>
      <c r="D190" s="19" t="n"/>
      <c r="E190" s="17" t="n"/>
      <c r="F190" s="22" t="n"/>
      <c r="G190" s="14">
        <f>IF(C190="","",IFERROR(VALUE(LEFT(C190,FIND(" ",C190&amp;" ")-1)),""))</f>
        <v/>
      </c>
      <c r="H190" s="26">
        <f>IF(C190="","",IF(G190="","Pick a loan",IFERROR(IF(INDEX(Loans!$C$6:$C$305,MATCH(G190,Loans!$B$6:$B$305,0))="","Not a loan",INDEX(Loans!$C$6:$C$305,MATCH(G190,Loans!$B$6:$B$305,0))),"Not a loan")))</f>
        <v/>
      </c>
      <c r="I190" s="10">
        <f>IF(OR(G190="",H190="Not a loan"),"",IF(INDEX(Loans!$D$6:$D$305,MATCH(G190,Loans!$B$6:$B$305,0))="I borrowed","Out","In"))</f>
        <v/>
      </c>
      <c r="J190" s="1">
        <f>IF(NOT(ISNUMBER(B190)),"",YEAR(B190)*100+MONTH(B190))</f>
        <v/>
      </c>
      <c r="K190">
        <f>IF(OR(G190="",NOT(ISNUMBER(B190))),"",IF(G190=Statement!$H$2,B190*1000+ROW(),""))</f>
        <v/>
      </c>
    </row>
    <row r="191">
      <c r="A191" s="1" t="n"/>
      <c r="B191" s="18" t="n"/>
      <c r="C191" s="16" t="n"/>
      <c r="D191" s="19" t="n"/>
      <c r="E191" s="17" t="n"/>
      <c r="F191" s="22" t="n"/>
      <c r="G191" s="14">
        <f>IF(C191="","",IFERROR(VALUE(LEFT(C191,FIND(" ",C191&amp;" ")-1)),""))</f>
        <v/>
      </c>
      <c r="H191" s="26">
        <f>IF(C191="","",IF(G191="","Pick a loan",IFERROR(IF(INDEX(Loans!$C$6:$C$305,MATCH(G191,Loans!$B$6:$B$305,0))="","Not a loan",INDEX(Loans!$C$6:$C$305,MATCH(G191,Loans!$B$6:$B$305,0))),"Not a loan")))</f>
        <v/>
      </c>
      <c r="I191" s="10">
        <f>IF(OR(G191="",H191="Not a loan"),"",IF(INDEX(Loans!$D$6:$D$305,MATCH(G191,Loans!$B$6:$B$305,0))="I borrowed","Out","In"))</f>
        <v/>
      </c>
      <c r="J191" s="1">
        <f>IF(NOT(ISNUMBER(B191)),"",YEAR(B191)*100+MONTH(B191))</f>
        <v/>
      </c>
      <c r="K191">
        <f>IF(OR(G191="",NOT(ISNUMBER(B191))),"",IF(G191=Statement!$H$2,B191*1000+ROW(),""))</f>
        <v/>
      </c>
    </row>
    <row r="192">
      <c r="A192" s="1" t="n"/>
      <c r="B192" s="18" t="n"/>
      <c r="C192" s="16" t="n"/>
      <c r="D192" s="19" t="n"/>
      <c r="E192" s="17" t="n"/>
      <c r="F192" s="22" t="n"/>
      <c r="G192" s="14">
        <f>IF(C192="","",IFERROR(VALUE(LEFT(C192,FIND(" ",C192&amp;" ")-1)),""))</f>
        <v/>
      </c>
      <c r="H192" s="26">
        <f>IF(C192="","",IF(G192="","Pick a loan",IFERROR(IF(INDEX(Loans!$C$6:$C$305,MATCH(G192,Loans!$B$6:$B$305,0))="","Not a loan",INDEX(Loans!$C$6:$C$305,MATCH(G192,Loans!$B$6:$B$305,0))),"Not a loan")))</f>
        <v/>
      </c>
      <c r="I192" s="10">
        <f>IF(OR(G192="",H192="Not a loan"),"",IF(INDEX(Loans!$D$6:$D$305,MATCH(G192,Loans!$B$6:$B$305,0))="I borrowed","Out","In"))</f>
        <v/>
      </c>
      <c r="J192" s="1">
        <f>IF(NOT(ISNUMBER(B192)),"",YEAR(B192)*100+MONTH(B192))</f>
        <v/>
      </c>
      <c r="K192">
        <f>IF(OR(G192="",NOT(ISNUMBER(B192))),"",IF(G192=Statement!$H$2,B192*1000+ROW(),""))</f>
        <v/>
      </c>
    </row>
    <row r="193">
      <c r="A193" s="1" t="n"/>
      <c r="B193" s="18" t="n"/>
      <c r="C193" s="16" t="n"/>
      <c r="D193" s="19" t="n"/>
      <c r="E193" s="17" t="n"/>
      <c r="F193" s="22" t="n"/>
      <c r="G193" s="14">
        <f>IF(C193="","",IFERROR(VALUE(LEFT(C193,FIND(" ",C193&amp;" ")-1)),""))</f>
        <v/>
      </c>
      <c r="H193" s="26">
        <f>IF(C193="","",IF(G193="","Pick a loan",IFERROR(IF(INDEX(Loans!$C$6:$C$305,MATCH(G193,Loans!$B$6:$B$305,0))="","Not a loan",INDEX(Loans!$C$6:$C$305,MATCH(G193,Loans!$B$6:$B$305,0))),"Not a loan")))</f>
        <v/>
      </c>
      <c r="I193" s="10">
        <f>IF(OR(G193="",H193="Not a loan"),"",IF(INDEX(Loans!$D$6:$D$305,MATCH(G193,Loans!$B$6:$B$305,0))="I borrowed","Out","In"))</f>
        <v/>
      </c>
      <c r="J193" s="1">
        <f>IF(NOT(ISNUMBER(B193)),"",YEAR(B193)*100+MONTH(B193))</f>
        <v/>
      </c>
      <c r="K193">
        <f>IF(OR(G193="",NOT(ISNUMBER(B193))),"",IF(G193=Statement!$H$2,B193*1000+ROW(),""))</f>
        <v/>
      </c>
    </row>
    <row r="194">
      <c r="A194" s="1" t="n"/>
      <c r="B194" s="18" t="n"/>
      <c r="C194" s="16" t="n"/>
      <c r="D194" s="19" t="n"/>
      <c r="E194" s="17" t="n"/>
      <c r="F194" s="22" t="n"/>
      <c r="G194" s="14">
        <f>IF(C194="","",IFERROR(VALUE(LEFT(C194,FIND(" ",C194&amp;" ")-1)),""))</f>
        <v/>
      </c>
      <c r="H194" s="26">
        <f>IF(C194="","",IF(G194="","Pick a loan",IFERROR(IF(INDEX(Loans!$C$6:$C$305,MATCH(G194,Loans!$B$6:$B$305,0))="","Not a loan",INDEX(Loans!$C$6:$C$305,MATCH(G194,Loans!$B$6:$B$305,0))),"Not a loan")))</f>
        <v/>
      </c>
      <c r="I194" s="10">
        <f>IF(OR(G194="",H194="Not a loan"),"",IF(INDEX(Loans!$D$6:$D$305,MATCH(G194,Loans!$B$6:$B$305,0))="I borrowed","Out","In"))</f>
        <v/>
      </c>
      <c r="J194" s="1">
        <f>IF(NOT(ISNUMBER(B194)),"",YEAR(B194)*100+MONTH(B194))</f>
        <v/>
      </c>
      <c r="K194">
        <f>IF(OR(G194="",NOT(ISNUMBER(B194))),"",IF(G194=Statement!$H$2,B194*1000+ROW(),""))</f>
        <v/>
      </c>
    </row>
    <row r="195">
      <c r="A195" s="1" t="n"/>
      <c r="B195" s="18" t="n"/>
      <c r="C195" s="16" t="n"/>
      <c r="D195" s="19" t="n"/>
      <c r="E195" s="17" t="n"/>
      <c r="F195" s="22" t="n"/>
      <c r="G195" s="14">
        <f>IF(C195="","",IFERROR(VALUE(LEFT(C195,FIND(" ",C195&amp;" ")-1)),""))</f>
        <v/>
      </c>
      <c r="H195" s="26">
        <f>IF(C195="","",IF(G195="","Pick a loan",IFERROR(IF(INDEX(Loans!$C$6:$C$305,MATCH(G195,Loans!$B$6:$B$305,0))="","Not a loan",INDEX(Loans!$C$6:$C$305,MATCH(G195,Loans!$B$6:$B$305,0))),"Not a loan")))</f>
        <v/>
      </c>
      <c r="I195" s="10">
        <f>IF(OR(G195="",H195="Not a loan"),"",IF(INDEX(Loans!$D$6:$D$305,MATCH(G195,Loans!$B$6:$B$305,0))="I borrowed","Out","In"))</f>
        <v/>
      </c>
      <c r="J195" s="1">
        <f>IF(NOT(ISNUMBER(B195)),"",YEAR(B195)*100+MONTH(B195))</f>
        <v/>
      </c>
      <c r="K195">
        <f>IF(OR(G195="",NOT(ISNUMBER(B195))),"",IF(G195=Statement!$H$2,B195*1000+ROW(),""))</f>
        <v/>
      </c>
    </row>
    <row r="196">
      <c r="A196" s="1" t="n"/>
      <c r="B196" s="18" t="n"/>
      <c r="C196" s="16" t="n"/>
      <c r="D196" s="19" t="n"/>
      <c r="E196" s="17" t="n"/>
      <c r="F196" s="22" t="n"/>
      <c r="G196" s="14">
        <f>IF(C196="","",IFERROR(VALUE(LEFT(C196,FIND(" ",C196&amp;" ")-1)),""))</f>
        <v/>
      </c>
      <c r="H196" s="26">
        <f>IF(C196="","",IF(G196="","Pick a loan",IFERROR(IF(INDEX(Loans!$C$6:$C$305,MATCH(G196,Loans!$B$6:$B$305,0))="","Not a loan",INDEX(Loans!$C$6:$C$305,MATCH(G196,Loans!$B$6:$B$305,0))),"Not a loan")))</f>
        <v/>
      </c>
      <c r="I196" s="10">
        <f>IF(OR(G196="",H196="Not a loan"),"",IF(INDEX(Loans!$D$6:$D$305,MATCH(G196,Loans!$B$6:$B$305,0))="I borrowed","Out","In"))</f>
        <v/>
      </c>
      <c r="J196" s="1">
        <f>IF(NOT(ISNUMBER(B196)),"",YEAR(B196)*100+MONTH(B196))</f>
        <v/>
      </c>
      <c r="K196">
        <f>IF(OR(G196="",NOT(ISNUMBER(B196))),"",IF(G196=Statement!$H$2,B196*1000+ROW(),""))</f>
        <v/>
      </c>
    </row>
    <row r="197">
      <c r="A197" s="1" t="n"/>
      <c r="B197" s="18" t="n"/>
      <c r="C197" s="16" t="n"/>
      <c r="D197" s="19" t="n"/>
      <c r="E197" s="17" t="n"/>
      <c r="F197" s="22" t="n"/>
      <c r="G197" s="14">
        <f>IF(C197="","",IFERROR(VALUE(LEFT(C197,FIND(" ",C197&amp;" ")-1)),""))</f>
        <v/>
      </c>
      <c r="H197" s="26">
        <f>IF(C197="","",IF(G197="","Pick a loan",IFERROR(IF(INDEX(Loans!$C$6:$C$305,MATCH(G197,Loans!$B$6:$B$305,0))="","Not a loan",INDEX(Loans!$C$6:$C$305,MATCH(G197,Loans!$B$6:$B$305,0))),"Not a loan")))</f>
        <v/>
      </c>
      <c r="I197" s="10">
        <f>IF(OR(G197="",H197="Not a loan"),"",IF(INDEX(Loans!$D$6:$D$305,MATCH(G197,Loans!$B$6:$B$305,0))="I borrowed","Out","In"))</f>
        <v/>
      </c>
      <c r="J197" s="1">
        <f>IF(NOT(ISNUMBER(B197)),"",YEAR(B197)*100+MONTH(B197))</f>
        <v/>
      </c>
      <c r="K197">
        <f>IF(OR(G197="",NOT(ISNUMBER(B197))),"",IF(G197=Statement!$H$2,B197*1000+ROW(),""))</f>
        <v/>
      </c>
    </row>
    <row r="198">
      <c r="A198" s="1" t="n"/>
      <c r="B198" s="18" t="n"/>
      <c r="C198" s="16" t="n"/>
      <c r="D198" s="19" t="n"/>
      <c r="E198" s="17" t="n"/>
      <c r="F198" s="22" t="n"/>
      <c r="G198" s="14">
        <f>IF(C198="","",IFERROR(VALUE(LEFT(C198,FIND(" ",C198&amp;" ")-1)),""))</f>
        <v/>
      </c>
      <c r="H198" s="26">
        <f>IF(C198="","",IF(G198="","Pick a loan",IFERROR(IF(INDEX(Loans!$C$6:$C$305,MATCH(G198,Loans!$B$6:$B$305,0))="","Not a loan",INDEX(Loans!$C$6:$C$305,MATCH(G198,Loans!$B$6:$B$305,0))),"Not a loan")))</f>
        <v/>
      </c>
      <c r="I198" s="10">
        <f>IF(OR(G198="",H198="Not a loan"),"",IF(INDEX(Loans!$D$6:$D$305,MATCH(G198,Loans!$B$6:$B$305,0))="I borrowed","Out","In"))</f>
        <v/>
      </c>
      <c r="J198" s="1">
        <f>IF(NOT(ISNUMBER(B198)),"",YEAR(B198)*100+MONTH(B198))</f>
        <v/>
      </c>
      <c r="K198">
        <f>IF(OR(G198="",NOT(ISNUMBER(B198))),"",IF(G198=Statement!$H$2,B198*1000+ROW(),""))</f>
        <v/>
      </c>
    </row>
    <row r="199">
      <c r="A199" s="1" t="n"/>
      <c r="B199" s="18" t="n"/>
      <c r="C199" s="16" t="n"/>
      <c r="D199" s="19" t="n"/>
      <c r="E199" s="17" t="n"/>
      <c r="F199" s="22" t="n"/>
      <c r="G199" s="14">
        <f>IF(C199="","",IFERROR(VALUE(LEFT(C199,FIND(" ",C199&amp;" ")-1)),""))</f>
        <v/>
      </c>
      <c r="H199" s="26">
        <f>IF(C199="","",IF(G199="","Pick a loan",IFERROR(IF(INDEX(Loans!$C$6:$C$305,MATCH(G199,Loans!$B$6:$B$305,0))="","Not a loan",INDEX(Loans!$C$6:$C$305,MATCH(G199,Loans!$B$6:$B$305,0))),"Not a loan")))</f>
        <v/>
      </c>
      <c r="I199" s="10">
        <f>IF(OR(G199="",H199="Not a loan"),"",IF(INDEX(Loans!$D$6:$D$305,MATCH(G199,Loans!$B$6:$B$305,0))="I borrowed","Out","In"))</f>
        <v/>
      </c>
      <c r="J199" s="1">
        <f>IF(NOT(ISNUMBER(B199)),"",YEAR(B199)*100+MONTH(B199))</f>
        <v/>
      </c>
      <c r="K199">
        <f>IF(OR(G199="",NOT(ISNUMBER(B199))),"",IF(G199=Statement!$H$2,B199*1000+ROW(),""))</f>
        <v/>
      </c>
    </row>
    <row r="200">
      <c r="A200" s="1" t="n"/>
      <c r="B200" s="18" t="n"/>
      <c r="C200" s="16" t="n"/>
      <c r="D200" s="19" t="n"/>
      <c r="E200" s="17" t="n"/>
      <c r="F200" s="22" t="n"/>
      <c r="G200" s="14">
        <f>IF(C200="","",IFERROR(VALUE(LEFT(C200,FIND(" ",C200&amp;" ")-1)),""))</f>
        <v/>
      </c>
      <c r="H200" s="26">
        <f>IF(C200="","",IF(G200="","Pick a loan",IFERROR(IF(INDEX(Loans!$C$6:$C$305,MATCH(G200,Loans!$B$6:$B$305,0))="","Not a loan",INDEX(Loans!$C$6:$C$305,MATCH(G200,Loans!$B$6:$B$305,0))),"Not a loan")))</f>
        <v/>
      </c>
      <c r="I200" s="10">
        <f>IF(OR(G200="",H200="Not a loan"),"",IF(INDEX(Loans!$D$6:$D$305,MATCH(G200,Loans!$B$6:$B$305,0))="I borrowed","Out","In"))</f>
        <v/>
      </c>
      <c r="J200" s="1">
        <f>IF(NOT(ISNUMBER(B200)),"",YEAR(B200)*100+MONTH(B200))</f>
        <v/>
      </c>
      <c r="K200">
        <f>IF(OR(G200="",NOT(ISNUMBER(B200))),"",IF(G200=Statement!$H$2,B200*1000+ROW(),""))</f>
        <v/>
      </c>
    </row>
    <row r="201">
      <c r="A201" s="1" t="n"/>
      <c r="B201" s="18" t="n"/>
      <c r="C201" s="16" t="n"/>
      <c r="D201" s="19" t="n"/>
      <c r="E201" s="17" t="n"/>
      <c r="F201" s="22" t="n"/>
      <c r="G201" s="14">
        <f>IF(C201="","",IFERROR(VALUE(LEFT(C201,FIND(" ",C201&amp;" ")-1)),""))</f>
        <v/>
      </c>
      <c r="H201" s="26">
        <f>IF(C201="","",IF(G201="","Pick a loan",IFERROR(IF(INDEX(Loans!$C$6:$C$305,MATCH(G201,Loans!$B$6:$B$305,0))="","Not a loan",INDEX(Loans!$C$6:$C$305,MATCH(G201,Loans!$B$6:$B$305,0))),"Not a loan")))</f>
        <v/>
      </c>
      <c r="I201" s="10">
        <f>IF(OR(G201="",H201="Not a loan"),"",IF(INDEX(Loans!$D$6:$D$305,MATCH(G201,Loans!$B$6:$B$305,0))="I borrowed","Out","In"))</f>
        <v/>
      </c>
      <c r="J201" s="1">
        <f>IF(NOT(ISNUMBER(B201)),"",YEAR(B201)*100+MONTH(B201))</f>
        <v/>
      </c>
      <c r="K201">
        <f>IF(OR(G201="",NOT(ISNUMBER(B201))),"",IF(G201=Statement!$H$2,B201*1000+ROW(),""))</f>
        <v/>
      </c>
    </row>
    <row r="202">
      <c r="A202" s="1" t="n"/>
      <c r="B202" s="18" t="n"/>
      <c r="C202" s="16" t="n"/>
      <c r="D202" s="19" t="n"/>
      <c r="E202" s="17" t="n"/>
      <c r="F202" s="22" t="n"/>
      <c r="G202" s="14">
        <f>IF(C202="","",IFERROR(VALUE(LEFT(C202,FIND(" ",C202&amp;" ")-1)),""))</f>
        <v/>
      </c>
      <c r="H202" s="26">
        <f>IF(C202="","",IF(G202="","Pick a loan",IFERROR(IF(INDEX(Loans!$C$6:$C$305,MATCH(G202,Loans!$B$6:$B$305,0))="","Not a loan",INDEX(Loans!$C$6:$C$305,MATCH(G202,Loans!$B$6:$B$305,0))),"Not a loan")))</f>
        <v/>
      </c>
      <c r="I202" s="10">
        <f>IF(OR(G202="",H202="Not a loan"),"",IF(INDEX(Loans!$D$6:$D$305,MATCH(G202,Loans!$B$6:$B$305,0))="I borrowed","Out","In"))</f>
        <v/>
      </c>
      <c r="J202" s="1">
        <f>IF(NOT(ISNUMBER(B202)),"",YEAR(B202)*100+MONTH(B202))</f>
        <v/>
      </c>
      <c r="K202">
        <f>IF(OR(G202="",NOT(ISNUMBER(B202))),"",IF(G202=Statement!$H$2,B202*1000+ROW(),""))</f>
        <v/>
      </c>
    </row>
    <row r="203">
      <c r="A203" s="1" t="n"/>
      <c r="B203" s="18" t="n"/>
      <c r="C203" s="16" t="n"/>
      <c r="D203" s="19" t="n"/>
      <c r="E203" s="17" t="n"/>
      <c r="F203" s="22" t="n"/>
      <c r="G203" s="14">
        <f>IF(C203="","",IFERROR(VALUE(LEFT(C203,FIND(" ",C203&amp;" ")-1)),""))</f>
        <v/>
      </c>
      <c r="H203" s="26">
        <f>IF(C203="","",IF(G203="","Pick a loan",IFERROR(IF(INDEX(Loans!$C$6:$C$305,MATCH(G203,Loans!$B$6:$B$305,0))="","Not a loan",INDEX(Loans!$C$6:$C$305,MATCH(G203,Loans!$B$6:$B$305,0))),"Not a loan")))</f>
        <v/>
      </c>
      <c r="I203" s="10">
        <f>IF(OR(G203="",H203="Not a loan"),"",IF(INDEX(Loans!$D$6:$D$305,MATCH(G203,Loans!$B$6:$B$305,0))="I borrowed","Out","In"))</f>
        <v/>
      </c>
      <c r="J203" s="1">
        <f>IF(NOT(ISNUMBER(B203)),"",YEAR(B203)*100+MONTH(B203))</f>
        <v/>
      </c>
      <c r="K203">
        <f>IF(OR(G203="",NOT(ISNUMBER(B203))),"",IF(G203=Statement!$H$2,B203*1000+ROW(),""))</f>
        <v/>
      </c>
    </row>
    <row r="204">
      <c r="A204" s="1" t="n"/>
      <c r="B204" s="18" t="n"/>
      <c r="C204" s="16" t="n"/>
      <c r="D204" s="19" t="n"/>
      <c r="E204" s="17" t="n"/>
      <c r="F204" s="22" t="n"/>
      <c r="G204" s="14">
        <f>IF(C204="","",IFERROR(VALUE(LEFT(C204,FIND(" ",C204&amp;" ")-1)),""))</f>
        <v/>
      </c>
      <c r="H204" s="26">
        <f>IF(C204="","",IF(G204="","Pick a loan",IFERROR(IF(INDEX(Loans!$C$6:$C$305,MATCH(G204,Loans!$B$6:$B$305,0))="","Not a loan",INDEX(Loans!$C$6:$C$305,MATCH(G204,Loans!$B$6:$B$305,0))),"Not a loan")))</f>
        <v/>
      </c>
      <c r="I204" s="10">
        <f>IF(OR(G204="",H204="Not a loan"),"",IF(INDEX(Loans!$D$6:$D$305,MATCH(G204,Loans!$B$6:$B$305,0))="I borrowed","Out","In"))</f>
        <v/>
      </c>
      <c r="J204" s="1">
        <f>IF(NOT(ISNUMBER(B204)),"",YEAR(B204)*100+MONTH(B204))</f>
        <v/>
      </c>
      <c r="K204">
        <f>IF(OR(G204="",NOT(ISNUMBER(B204))),"",IF(G204=Statement!$H$2,B204*1000+ROW(),""))</f>
        <v/>
      </c>
    </row>
    <row r="205">
      <c r="A205" s="1" t="n"/>
      <c r="B205" s="18" t="n"/>
      <c r="C205" s="16" t="n"/>
      <c r="D205" s="19" t="n"/>
      <c r="E205" s="17" t="n"/>
      <c r="F205" s="22" t="n"/>
      <c r="G205" s="14">
        <f>IF(C205="","",IFERROR(VALUE(LEFT(C205,FIND(" ",C205&amp;" ")-1)),""))</f>
        <v/>
      </c>
      <c r="H205" s="26">
        <f>IF(C205="","",IF(G205="","Pick a loan",IFERROR(IF(INDEX(Loans!$C$6:$C$305,MATCH(G205,Loans!$B$6:$B$305,0))="","Not a loan",INDEX(Loans!$C$6:$C$305,MATCH(G205,Loans!$B$6:$B$305,0))),"Not a loan")))</f>
        <v/>
      </c>
      <c r="I205" s="10">
        <f>IF(OR(G205="",H205="Not a loan"),"",IF(INDEX(Loans!$D$6:$D$305,MATCH(G205,Loans!$B$6:$B$305,0))="I borrowed","Out","In"))</f>
        <v/>
      </c>
      <c r="J205" s="1">
        <f>IF(NOT(ISNUMBER(B205)),"",YEAR(B205)*100+MONTH(B205))</f>
        <v/>
      </c>
      <c r="K205">
        <f>IF(OR(G205="",NOT(ISNUMBER(B205))),"",IF(G205=Statement!$H$2,B205*1000+ROW(),""))</f>
        <v/>
      </c>
    </row>
    <row r="206">
      <c r="A206" s="1" t="n"/>
      <c r="B206" s="18" t="n"/>
      <c r="C206" s="16" t="n"/>
      <c r="D206" s="19" t="n"/>
      <c r="E206" s="17" t="n"/>
      <c r="F206" s="22" t="n"/>
      <c r="G206" s="14">
        <f>IF(C206="","",IFERROR(VALUE(LEFT(C206,FIND(" ",C206&amp;" ")-1)),""))</f>
        <v/>
      </c>
      <c r="H206" s="26">
        <f>IF(C206="","",IF(G206="","Pick a loan",IFERROR(IF(INDEX(Loans!$C$6:$C$305,MATCH(G206,Loans!$B$6:$B$305,0))="","Not a loan",INDEX(Loans!$C$6:$C$305,MATCH(G206,Loans!$B$6:$B$305,0))),"Not a loan")))</f>
        <v/>
      </c>
      <c r="I206" s="10">
        <f>IF(OR(G206="",H206="Not a loan"),"",IF(INDEX(Loans!$D$6:$D$305,MATCH(G206,Loans!$B$6:$B$305,0))="I borrowed","Out","In"))</f>
        <v/>
      </c>
      <c r="J206" s="1">
        <f>IF(NOT(ISNUMBER(B206)),"",YEAR(B206)*100+MONTH(B206))</f>
        <v/>
      </c>
      <c r="K206">
        <f>IF(OR(G206="",NOT(ISNUMBER(B206))),"",IF(G206=Statement!$H$2,B206*1000+ROW(),""))</f>
        <v/>
      </c>
    </row>
    <row r="207">
      <c r="A207" s="1" t="n"/>
      <c r="B207" s="18" t="n"/>
      <c r="C207" s="16" t="n"/>
      <c r="D207" s="19" t="n"/>
      <c r="E207" s="17" t="n"/>
      <c r="F207" s="22" t="n"/>
      <c r="G207" s="14">
        <f>IF(C207="","",IFERROR(VALUE(LEFT(C207,FIND(" ",C207&amp;" ")-1)),""))</f>
        <v/>
      </c>
      <c r="H207" s="26">
        <f>IF(C207="","",IF(G207="","Pick a loan",IFERROR(IF(INDEX(Loans!$C$6:$C$305,MATCH(G207,Loans!$B$6:$B$305,0))="","Not a loan",INDEX(Loans!$C$6:$C$305,MATCH(G207,Loans!$B$6:$B$305,0))),"Not a loan")))</f>
        <v/>
      </c>
      <c r="I207" s="10">
        <f>IF(OR(G207="",H207="Not a loan"),"",IF(INDEX(Loans!$D$6:$D$305,MATCH(G207,Loans!$B$6:$B$305,0))="I borrowed","Out","In"))</f>
        <v/>
      </c>
      <c r="J207" s="1">
        <f>IF(NOT(ISNUMBER(B207)),"",YEAR(B207)*100+MONTH(B207))</f>
        <v/>
      </c>
      <c r="K207">
        <f>IF(OR(G207="",NOT(ISNUMBER(B207))),"",IF(G207=Statement!$H$2,B207*1000+ROW(),""))</f>
        <v/>
      </c>
    </row>
    <row r="208">
      <c r="A208" s="1" t="n"/>
      <c r="B208" s="18" t="n"/>
      <c r="C208" s="16" t="n"/>
      <c r="D208" s="19" t="n"/>
      <c r="E208" s="17" t="n"/>
      <c r="F208" s="22" t="n"/>
      <c r="G208" s="14">
        <f>IF(C208="","",IFERROR(VALUE(LEFT(C208,FIND(" ",C208&amp;" ")-1)),""))</f>
        <v/>
      </c>
      <c r="H208" s="26">
        <f>IF(C208="","",IF(G208="","Pick a loan",IFERROR(IF(INDEX(Loans!$C$6:$C$305,MATCH(G208,Loans!$B$6:$B$305,0))="","Not a loan",INDEX(Loans!$C$6:$C$305,MATCH(G208,Loans!$B$6:$B$305,0))),"Not a loan")))</f>
        <v/>
      </c>
      <c r="I208" s="10">
        <f>IF(OR(G208="",H208="Not a loan"),"",IF(INDEX(Loans!$D$6:$D$305,MATCH(G208,Loans!$B$6:$B$305,0))="I borrowed","Out","In"))</f>
        <v/>
      </c>
      <c r="J208" s="1">
        <f>IF(NOT(ISNUMBER(B208)),"",YEAR(B208)*100+MONTH(B208))</f>
        <v/>
      </c>
      <c r="K208">
        <f>IF(OR(G208="",NOT(ISNUMBER(B208))),"",IF(G208=Statement!$H$2,B208*1000+ROW(),""))</f>
        <v/>
      </c>
    </row>
    <row r="209">
      <c r="A209" s="1" t="n"/>
      <c r="B209" s="18" t="n"/>
      <c r="C209" s="16" t="n"/>
      <c r="D209" s="19" t="n"/>
      <c r="E209" s="17" t="n"/>
      <c r="F209" s="22" t="n"/>
      <c r="G209" s="14">
        <f>IF(C209="","",IFERROR(VALUE(LEFT(C209,FIND(" ",C209&amp;" ")-1)),""))</f>
        <v/>
      </c>
      <c r="H209" s="26">
        <f>IF(C209="","",IF(G209="","Pick a loan",IFERROR(IF(INDEX(Loans!$C$6:$C$305,MATCH(G209,Loans!$B$6:$B$305,0))="","Not a loan",INDEX(Loans!$C$6:$C$305,MATCH(G209,Loans!$B$6:$B$305,0))),"Not a loan")))</f>
        <v/>
      </c>
      <c r="I209" s="10">
        <f>IF(OR(G209="",H209="Not a loan"),"",IF(INDEX(Loans!$D$6:$D$305,MATCH(G209,Loans!$B$6:$B$305,0))="I borrowed","Out","In"))</f>
        <v/>
      </c>
      <c r="J209" s="1">
        <f>IF(NOT(ISNUMBER(B209)),"",YEAR(B209)*100+MONTH(B209))</f>
        <v/>
      </c>
      <c r="K209">
        <f>IF(OR(G209="",NOT(ISNUMBER(B209))),"",IF(G209=Statement!$H$2,B209*1000+ROW(),""))</f>
        <v/>
      </c>
    </row>
    <row r="210">
      <c r="A210" s="1" t="n"/>
      <c r="B210" s="18" t="n"/>
      <c r="C210" s="16" t="n"/>
      <c r="D210" s="19" t="n"/>
      <c r="E210" s="17" t="n"/>
      <c r="F210" s="22" t="n"/>
      <c r="G210" s="14">
        <f>IF(C210="","",IFERROR(VALUE(LEFT(C210,FIND(" ",C210&amp;" ")-1)),""))</f>
        <v/>
      </c>
      <c r="H210" s="26">
        <f>IF(C210="","",IF(G210="","Pick a loan",IFERROR(IF(INDEX(Loans!$C$6:$C$305,MATCH(G210,Loans!$B$6:$B$305,0))="","Not a loan",INDEX(Loans!$C$6:$C$305,MATCH(G210,Loans!$B$6:$B$305,0))),"Not a loan")))</f>
        <v/>
      </c>
      <c r="I210" s="10">
        <f>IF(OR(G210="",H210="Not a loan"),"",IF(INDEX(Loans!$D$6:$D$305,MATCH(G210,Loans!$B$6:$B$305,0))="I borrowed","Out","In"))</f>
        <v/>
      </c>
      <c r="J210" s="1">
        <f>IF(NOT(ISNUMBER(B210)),"",YEAR(B210)*100+MONTH(B210))</f>
        <v/>
      </c>
      <c r="K210">
        <f>IF(OR(G210="",NOT(ISNUMBER(B210))),"",IF(G210=Statement!$H$2,B210*1000+ROW(),""))</f>
        <v/>
      </c>
    </row>
    <row r="211">
      <c r="A211" s="1" t="n"/>
      <c r="B211" s="18" t="n"/>
      <c r="C211" s="16" t="n"/>
      <c r="D211" s="19" t="n"/>
      <c r="E211" s="17" t="n"/>
      <c r="F211" s="22" t="n"/>
      <c r="G211" s="14">
        <f>IF(C211="","",IFERROR(VALUE(LEFT(C211,FIND(" ",C211&amp;" ")-1)),""))</f>
        <v/>
      </c>
      <c r="H211" s="26">
        <f>IF(C211="","",IF(G211="","Pick a loan",IFERROR(IF(INDEX(Loans!$C$6:$C$305,MATCH(G211,Loans!$B$6:$B$305,0))="","Not a loan",INDEX(Loans!$C$6:$C$305,MATCH(G211,Loans!$B$6:$B$305,0))),"Not a loan")))</f>
        <v/>
      </c>
      <c r="I211" s="10">
        <f>IF(OR(G211="",H211="Not a loan"),"",IF(INDEX(Loans!$D$6:$D$305,MATCH(G211,Loans!$B$6:$B$305,0))="I borrowed","Out","In"))</f>
        <v/>
      </c>
      <c r="J211" s="1">
        <f>IF(NOT(ISNUMBER(B211)),"",YEAR(B211)*100+MONTH(B211))</f>
        <v/>
      </c>
      <c r="K211">
        <f>IF(OR(G211="",NOT(ISNUMBER(B211))),"",IF(G211=Statement!$H$2,B211*1000+ROW(),""))</f>
        <v/>
      </c>
    </row>
    <row r="212">
      <c r="A212" s="1" t="n"/>
      <c r="B212" s="18" t="n"/>
      <c r="C212" s="16" t="n"/>
      <c r="D212" s="19" t="n"/>
      <c r="E212" s="17" t="n"/>
      <c r="F212" s="22" t="n"/>
      <c r="G212" s="14">
        <f>IF(C212="","",IFERROR(VALUE(LEFT(C212,FIND(" ",C212&amp;" ")-1)),""))</f>
        <v/>
      </c>
      <c r="H212" s="26">
        <f>IF(C212="","",IF(G212="","Pick a loan",IFERROR(IF(INDEX(Loans!$C$6:$C$305,MATCH(G212,Loans!$B$6:$B$305,0))="","Not a loan",INDEX(Loans!$C$6:$C$305,MATCH(G212,Loans!$B$6:$B$305,0))),"Not a loan")))</f>
        <v/>
      </c>
      <c r="I212" s="10">
        <f>IF(OR(G212="",H212="Not a loan"),"",IF(INDEX(Loans!$D$6:$D$305,MATCH(G212,Loans!$B$6:$B$305,0))="I borrowed","Out","In"))</f>
        <v/>
      </c>
      <c r="J212" s="1">
        <f>IF(NOT(ISNUMBER(B212)),"",YEAR(B212)*100+MONTH(B212))</f>
        <v/>
      </c>
      <c r="K212">
        <f>IF(OR(G212="",NOT(ISNUMBER(B212))),"",IF(G212=Statement!$H$2,B212*1000+ROW(),""))</f>
        <v/>
      </c>
    </row>
    <row r="213">
      <c r="A213" s="1" t="n"/>
      <c r="B213" s="18" t="n"/>
      <c r="C213" s="16" t="n"/>
      <c r="D213" s="19" t="n"/>
      <c r="E213" s="17" t="n"/>
      <c r="F213" s="22" t="n"/>
      <c r="G213" s="14">
        <f>IF(C213="","",IFERROR(VALUE(LEFT(C213,FIND(" ",C213&amp;" ")-1)),""))</f>
        <v/>
      </c>
      <c r="H213" s="26">
        <f>IF(C213="","",IF(G213="","Pick a loan",IFERROR(IF(INDEX(Loans!$C$6:$C$305,MATCH(G213,Loans!$B$6:$B$305,0))="","Not a loan",INDEX(Loans!$C$6:$C$305,MATCH(G213,Loans!$B$6:$B$305,0))),"Not a loan")))</f>
        <v/>
      </c>
      <c r="I213" s="10">
        <f>IF(OR(G213="",H213="Not a loan"),"",IF(INDEX(Loans!$D$6:$D$305,MATCH(G213,Loans!$B$6:$B$305,0))="I borrowed","Out","In"))</f>
        <v/>
      </c>
      <c r="J213" s="1">
        <f>IF(NOT(ISNUMBER(B213)),"",YEAR(B213)*100+MONTH(B213))</f>
        <v/>
      </c>
      <c r="K213">
        <f>IF(OR(G213="",NOT(ISNUMBER(B213))),"",IF(G213=Statement!$H$2,B213*1000+ROW(),""))</f>
        <v/>
      </c>
    </row>
    <row r="214">
      <c r="A214" s="1" t="n"/>
      <c r="B214" s="18" t="n"/>
      <c r="C214" s="16" t="n"/>
      <c r="D214" s="19" t="n"/>
      <c r="E214" s="17" t="n"/>
      <c r="F214" s="22" t="n"/>
      <c r="G214" s="14">
        <f>IF(C214="","",IFERROR(VALUE(LEFT(C214,FIND(" ",C214&amp;" ")-1)),""))</f>
        <v/>
      </c>
      <c r="H214" s="26">
        <f>IF(C214="","",IF(G214="","Pick a loan",IFERROR(IF(INDEX(Loans!$C$6:$C$305,MATCH(G214,Loans!$B$6:$B$305,0))="","Not a loan",INDEX(Loans!$C$6:$C$305,MATCH(G214,Loans!$B$6:$B$305,0))),"Not a loan")))</f>
        <v/>
      </c>
      <c r="I214" s="10">
        <f>IF(OR(G214="",H214="Not a loan"),"",IF(INDEX(Loans!$D$6:$D$305,MATCH(G214,Loans!$B$6:$B$305,0))="I borrowed","Out","In"))</f>
        <v/>
      </c>
      <c r="J214" s="1">
        <f>IF(NOT(ISNUMBER(B214)),"",YEAR(B214)*100+MONTH(B214))</f>
        <v/>
      </c>
      <c r="K214">
        <f>IF(OR(G214="",NOT(ISNUMBER(B214))),"",IF(G214=Statement!$H$2,B214*1000+ROW(),""))</f>
        <v/>
      </c>
    </row>
    <row r="215">
      <c r="A215" s="1" t="n"/>
      <c r="B215" s="18" t="n"/>
      <c r="C215" s="16" t="n"/>
      <c r="D215" s="19" t="n"/>
      <c r="E215" s="17" t="n"/>
      <c r="F215" s="22" t="n"/>
      <c r="G215" s="14">
        <f>IF(C215="","",IFERROR(VALUE(LEFT(C215,FIND(" ",C215&amp;" ")-1)),""))</f>
        <v/>
      </c>
      <c r="H215" s="26">
        <f>IF(C215="","",IF(G215="","Pick a loan",IFERROR(IF(INDEX(Loans!$C$6:$C$305,MATCH(G215,Loans!$B$6:$B$305,0))="","Not a loan",INDEX(Loans!$C$6:$C$305,MATCH(G215,Loans!$B$6:$B$305,0))),"Not a loan")))</f>
        <v/>
      </c>
      <c r="I215" s="10">
        <f>IF(OR(G215="",H215="Not a loan"),"",IF(INDEX(Loans!$D$6:$D$305,MATCH(G215,Loans!$B$6:$B$305,0))="I borrowed","Out","In"))</f>
        <v/>
      </c>
      <c r="J215" s="1">
        <f>IF(NOT(ISNUMBER(B215)),"",YEAR(B215)*100+MONTH(B215))</f>
        <v/>
      </c>
      <c r="K215">
        <f>IF(OR(G215="",NOT(ISNUMBER(B215))),"",IF(G215=Statement!$H$2,B215*1000+ROW(),""))</f>
        <v/>
      </c>
    </row>
    <row r="216">
      <c r="A216" s="1" t="n"/>
      <c r="B216" s="18" t="n"/>
      <c r="C216" s="16" t="n"/>
      <c r="D216" s="19" t="n"/>
      <c r="E216" s="17" t="n"/>
      <c r="F216" s="22" t="n"/>
      <c r="G216" s="14">
        <f>IF(C216="","",IFERROR(VALUE(LEFT(C216,FIND(" ",C216&amp;" ")-1)),""))</f>
        <v/>
      </c>
      <c r="H216" s="26">
        <f>IF(C216="","",IF(G216="","Pick a loan",IFERROR(IF(INDEX(Loans!$C$6:$C$305,MATCH(G216,Loans!$B$6:$B$305,0))="","Not a loan",INDEX(Loans!$C$6:$C$305,MATCH(G216,Loans!$B$6:$B$305,0))),"Not a loan")))</f>
        <v/>
      </c>
      <c r="I216" s="10">
        <f>IF(OR(G216="",H216="Not a loan"),"",IF(INDEX(Loans!$D$6:$D$305,MATCH(G216,Loans!$B$6:$B$305,0))="I borrowed","Out","In"))</f>
        <v/>
      </c>
      <c r="J216" s="1">
        <f>IF(NOT(ISNUMBER(B216)),"",YEAR(B216)*100+MONTH(B216))</f>
        <v/>
      </c>
      <c r="K216">
        <f>IF(OR(G216="",NOT(ISNUMBER(B216))),"",IF(G216=Statement!$H$2,B216*1000+ROW(),""))</f>
        <v/>
      </c>
    </row>
    <row r="217">
      <c r="A217" s="1" t="n"/>
      <c r="B217" s="18" t="n"/>
      <c r="C217" s="16" t="n"/>
      <c r="D217" s="19" t="n"/>
      <c r="E217" s="17" t="n"/>
      <c r="F217" s="22" t="n"/>
      <c r="G217" s="14">
        <f>IF(C217="","",IFERROR(VALUE(LEFT(C217,FIND(" ",C217&amp;" ")-1)),""))</f>
        <v/>
      </c>
      <c r="H217" s="26">
        <f>IF(C217="","",IF(G217="","Pick a loan",IFERROR(IF(INDEX(Loans!$C$6:$C$305,MATCH(G217,Loans!$B$6:$B$305,0))="","Not a loan",INDEX(Loans!$C$6:$C$305,MATCH(G217,Loans!$B$6:$B$305,0))),"Not a loan")))</f>
        <v/>
      </c>
      <c r="I217" s="10">
        <f>IF(OR(G217="",H217="Not a loan"),"",IF(INDEX(Loans!$D$6:$D$305,MATCH(G217,Loans!$B$6:$B$305,0))="I borrowed","Out","In"))</f>
        <v/>
      </c>
      <c r="J217" s="1">
        <f>IF(NOT(ISNUMBER(B217)),"",YEAR(B217)*100+MONTH(B217))</f>
        <v/>
      </c>
      <c r="K217">
        <f>IF(OR(G217="",NOT(ISNUMBER(B217))),"",IF(G217=Statement!$H$2,B217*1000+ROW(),""))</f>
        <v/>
      </c>
    </row>
    <row r="218">
      <c r="A218" s="1" t="n"/>
      <c r="B218" s="18" t="n"/>
      <c r="C218" s="16" t="n"/>
      <c r="D218" s="19" t="n"/>
      <c r="E218" s="17" t="n"/>
      <c r="F218" s="22" t="n"/>
      <c r="G218" s="14">
        <f>IF(C218="","",IFERROR(VALUE(LEFT(C218,FIND(" ",C218&amp;" ")-1)),""))</f>
        <v/>
      </c>
      <c r="H218" s="26">
        <f>IF(C218="","",IF(G218="","Pick a loan",IFERROR(IF(INDEX(Loans!$C$6:$C$305,MATCH(G218,Loans!$B$6:$B$305,0))="","Not a loan",INDEX(Loans!$C$6:$C$305,MATCH(G218,Loans!$B$6:$B$305,0))),"Not a loan")))</f>
        <v/>
      </c>
      <c r="I218" s="10">
        <f>IF(OR(G218="",H218="Not a loan"),"",IF(INDEX(Loans!$D$6:$D$305,MATCH(G218,Loans!$B$6:$B$305,0))="I borrowed","Out","In"))</f>
        <v/>
      </c>
      <c r="J218" s="1">
        <f>IF(NOT(ISNUMBER(B218)),"",YEAR(B218)*100+MONTH(B218))</f>
        <v/>
      </c>
      <c r="K218">
        <f>IF(OR(G218="",NOT(ISNUMBER(B218))),"",IF(G218=Statement!$H$2,B218*1000+ROW(),""))</f>
        <v/>
      </c>
    </row>
    <row r="219">
      <c r="A219" s="1" t="n"/>
      <c r="B219" s="18" t="n"/>
      <c r="C219" s="16" t="n"/>
      <c r="D219" s="19" t="n"/>
      <c r="E219" s="17" t="n"/>
      <c r="F219" s="22" t="n"/>
      <c r="G219" s="14">
        <f>IF(C219="","",IFERROR(VALUE(LEFT(C219,FIND(" ",C219&amp;" ")-1)),""))</f>
        <v/>
      </c>
      <c r="H219" s="26">
        <f>IF(C219="","",IF(G219="","Pick a loan",IFERROR(IF(INDEX(Loans!$C$6:$C$305,MATCH(G219,Loans!$B$6:$B$305,0))="","Not a loan",INDEX(Loans!$C$6:$C$305,MATCH(G219,Loans!$B$6:$B$305,0))),"Not a loan")))</f>
        <v/>
      </c>
      <c r="I219" s="10">
        <f>IF(OR(G219="",H219="Not a loan"),"",IF(INDEX(Loans!$D$6:$D$305,MATCH(G219,Loans!$B$6:$B$305,0))="I borrowed","Out","In"))</f>
        <v/>
      </c>
      <c r="J219" s="1">
        <f>IF(NOT(ISNUMBER(B219)),"",YEAR(B219)*100+MONTH(B219))</f>
        <v/>
      </c>
      <c r="K219">
        <f>IF(OR(G219="",NOT(ISNUMBER(B219))),"",IF(G219=Statement!$H$2,B219*1000+ROW(),""))</f>
        <v/>
      </c>
    </row>
    <row r="220">
      <c r="A220" s="1" t="n"/>
      <c r="B220" s="18" t="n"/>
      <c r="C220" s="16" t="n"/>
      <c r="D220" s="19" t="n"/>
      <c r="E220" s="17" t="n"/>
      <c r="F220" s="22" t="n"/>
      <c r="G220" s="14">
        <f>IF(C220="","",IFERROR(VALUE(LEFT(C220,FIND(" ",C220&amp;" ")-1)),""))</f>
        <v/>
      </c>
      <c r="H220" s="26">
        <f>IF(C220="","",IF(G220="","Pick a loan",IFERROR(IF(INDEX(Loans!$C$6:$C$305,MATCH(G220,Loans!$B$6:$B$305,0))="","Not a loan",INDEX(Loans!$C$6:$C$305,MATCH(G220,Loans!$B$6:$B$305,0))),"Not a loan")))</f>
        <v/>
      </c>
      <c r="I220" s="10">
        <f>IF(OR(G220="",H220="Not a loan"),"",IF(INDEX(Loans!$D$6:$D$305,MATCH(G220,Loans!$B$6:$B$305,0))="I borrowed","Out","In"))</f>
        <v/>
      </c>
      <c r="J220" s="1">
        <f>IF(NOT(ISNUMBER(B220)),"",YEAR(B220)*100+MONTH(B220))</f>
        <v/>
      </c>
      <c r="K220">
        <f>IF(OR(G220="",NOT(ISNUMBER(B220))),"",IF(G220=Statement!$H$2,B220*1000+ROW(),""))</f>
        <v/>
      </c>
    </row>
    <row r="221">
      <c r="A221" s="1" t="n"/>
      <c r="B221" s="18" t="n"/>
      <c r="C221" s="16" t="n"/>
      <c r="D221" s="19" t="n"/>
      <c r="E221" s="17" t="n"/>
      <c r="F221" s="22" t="n"/>
      <c r="G221" s="14">
        <f>IF(C221="","",IFERROR(VALUE(LEFT(C221,FIND(" ",C221&amp;" ")-1)),""))</f>
        <v/>
      </c>
      <c r="H221" s="26">
        <f>IF(C221="","",IF(G221="","Pick a loan",IFERROR(IF(INDEX(Loans!$C$6:$C$305,MATCH(G221,Loans!$B$6:$B$305,0))="","Not a loan",INDEX(Loans!$C$6:$C$305,MATCH(G221,Loans!$B$6:$B$305,0))),"Not a loan")))</f>
        <v/>
      </c>
      <c r="I221" s="10">
        <f>IF(OR(G221="",H221="Not a loan"),"",IF(INDEX(Loans!$D$6:$D$305,MATCH(G221,Loans!$B$6:$B$305,0))="I borrowed","Out","In"))</f>
        <v/>
      </c>
      <c r="J221" s="1">
        <f>IF(NOT(ISNUMBER(B221)),"",YEAR(B221)*100+MONTH(B221))</f>
        <v/>
      </c>
      <c r="K221">
        <f>IF(OR(G221="",NOT(ISNUMBER(B221))),"",IF(G221=Statement!$H$2,B221*1000+ROW(),""))</f>
        <v/>
      </c>
    </row>
    <row r="222">
      <c r="A222" s="1" t="n"/>
      <c r="B222" s="18" t="n"/>
      <c r="C222" s="16" t="n"/>
      <c r="D222" s="19" t="n"/>
      <c r="E222" s="17" t="n"/>
      <c r="F222" s="22" t="n"/>
      <c r="G222" s="14">
        <f>IF(C222="","",IFERROR(VALUE(LEFT(C222,FIND(" ",C222&amp;" ")-1)),""))</f>
        <v/>
      </c>
      <c r="H222" s="26">
        <f>IF(C222="","",IF(G222="","Pick a loan",IFERROR(IF(INDEX(Loans!$C$6:$C$305,MATCH(G222,Loans!$B$6:$B$305,0))="","Not a loan",INDEX(Loans!$C$6:$C$305,MATCH(G222,Loans!$B$6:$B$305,0))),"Not a loan")))</f>
        <v/>
      </c>
      <c r="I222" s="10">
        <f>IF(OR(G222="",H222="Not a loan"),"",IF(INDEX(Loans!$D$6:$D$305,MATCH(G222,Loans!$B$6:$B$305,0))="I borrowed","Out","In"))</f>
        <v/>
      </c>
      <c r="J222" s="1">
        <f>IF(NOT(ISNUMBER(B222)),"",YEAR(B222)*100+MONTH(B222))</f>
        <v/>
      </c>
      <c r="K222">
        <f>IF(OR(G222="",NOT(ISNUMBER(B222))),"",IF(G222=Statement!$H$2,B222*1000+ROW(),""))</f>
        <v/>
      </c>
    </row>
    <row r="223">
      <c r="A223" s="1" t="n"/>
      <c r="B223" s="18" t="n"/>
      <c r="C223" s="16" t="n"/>
      <c r="D223" s="19" t="n"/>
      <c r="E223" s="17" t="n"/>
      <c r="F223" s="22" t="n"/>
      <c r="G223" s="14">
        <f>IF(C223="","",IFERROR(VALUE(LEFT(C223,FIND(" ",C223&amp;" ")-1)),""))</f>
        <v/>
      </c>
      <c r="H223" s="26">
        <f>IF(C223="","",IF(G223="","Pick a loan",IFERROR(IF(INDEX(Loans!$C$6:$C$305,MATCH(G223,Loans!$B$6:$B$305,0))="","Not a loan",INDEX(Loans!$C$6:$C$305,MATCH(G223,Loans!$B$6:$B$305,0))),"Not a loan")))</f>
        <v/>
      </c>
      <c r="I223" s="10">
        <f>IF(OR(G223="",H223="Not a loan"),"",IF(INDEX(Loans!$D$6:$D$305,MATCH(G223,Loans!$B$6:$B$305,0))="I borrowed","Out","In"))</f>
        <v/>
      </c>
      <c r="J223" s="1">
        <f>IF(NOT(ISNUMBER(B223)),"",YEAR(B223)*100+MONTH(B223))</f>
        <v/>
      </c>
      <c r="K223">
        <f>IF(OR(G223="",NOT(ISNUMBER(B223))),"",IF(G223=Statement!$H$2,B223*1000+ROW(),""))</f>
        <v/>
      </c>
    </row>
    <row r="224">
      <c r="A224" s="1" t="n"/>
      <c r="B224" s="18" t="n"/>
      <c r="C224" s="16" t="n"/>
      <c r="D224" s="19" t="n"/>
      <c r="E224" s="17" t="n"/>
      <c r="F224" s="22" t="n"/>
      <c r="G224" s="14">
        <f>IF(C224="","",IFERROR(VALUE(LEFT(C224,FIND(" ",C224&amp;" ")-1)),""))</f>
        <v/>
      </c>
      <c r="H224" s="26">
        <f>IF(C224="","",IF(G224="","Pick a loan",IFERROR(IF(INDEX(Loans!$C$6:$C$305,MATCH(G224,Loans!$B$6:$B$305,0))="","Not a loan",INDEX(Loans!$C$6:$C$305,MATCH(G224,Loans!$B$6:$B$305,0))),"Not a loan")))</f>
        <v/>
      </c>
      <c r="I224" s="10">
        <f>IF(OR(G224="",H224="Not a loan"),"",IF(INDEX(Loans!$D$6:$D$305,MATCH(G224,Loans!$B$6:$B$305,0))="I borrowed","Out","In"))</f>
        <v/>
      </c>
      <c r="J224" s="1">
        <f>IF(NOT(ISNUMBER(B224)),"",YEAR(B224)*100+MONTH(B224))</f>
        <v/>
      </c>
      <c r="K224">
        <f>IF(OR(G224="",NOT(ISNUMBER(B224))),"",IF(G224=Statement!$H$2,B224*1000+ROW(),""))</f>
        <v/>
      </c>
    </row>
    <row r="225">
      <c r="A225" s="1" t="n"/>
      <c r="B225" s="18" t="n"/>
      <c r="C225" s="16" t="n"/>
      <c r="D225" s="19" t="n"/>
      <c r="E225" s="17" t="n"/>
      <c r="F225" s="22" t="n"/>
      <c r="G225" s="14">
        <f>IF(C225="","",IFERROR(VALUE(LEFT(C225,FIND(" ",C225&amp;" ")-1)),""))</f>
        <v/>
      </c>
      <c r="H225" s="26">
        <f>IF(C225="","",IF(G225="","Pick a loan",IFERROR(IF(INDEX(Loans!$C$6:$C$305,MATCH(G225,Loans!$B$6:$B$305,0))="","Not a loan",INDEX(Loans!$C$6:$C$305,MATCH(G225,Loans!$B$6:$B$305,0))),"Not a loan")))</f>
        <v/>
      </c>
      <c r="I225" s="10">
        <f>IF(OR(G225="",H225="Not a loan"),"",IF(INDEX(Loans!$D$6:$D$305,MATCH(G225,Loans!$B$6:$B$305,0))="I borrowed","Out","In"))</f>
        <v/>
      </c>
      <c r="J225" s="1">
        <f>IF(NOT(ISNUMBER(B225)),"",YEAR(B225)*100+MONTH(B225))</f>
        <v/>
      </c>
      <c r="K225">
        <f>IF(OR(G225="",NOT(ISNUMBER(B225))),"",IF(G225=Statement!$H$2,B225*1000+ROW(),""))</f>
        <v/>
      </c>
    </row>
    <row r="226">
      <c r="A226" s="1" t="n"/>
      <c r="B226" s="18" t="n"/>
      <c r="C226" s="16" t="n"/>
      <c r="D226" s="19" t="n"/>
      <c r="E226" s="17" t="n"/>
      <c r="F226" s="22" t="n"/>
      <c r="G226" s="14">
        <f>IF(C226="","",IFERROR(VALUE(LEFT(C226,FIND(" ",C226&amp;" ")-1)),""))</f>
        <v/>
      </c>
      <c r="H226" s="26">
        <f>IF(C226="","",IF(G226="","Pick a loan",IFERROR(IF(INDEX(Loans!$C$6:$C$305,MATCH(G226,Loans!$B$6:$B$305,0))="","Not a loan",INDEX(Loans!$C$6:$C$305,MATCH(G226,Loans!$B$6:$B$305,0))),"Not a loan")))</f>
        <v/>
      </c>
      <c r="I226" s="10">
        <f>IF(OR(G226="",H226="Not a loan"),"",IF(INDEX(Loans!$D$6:$D$305,MATCH(G226,Loans!$B$6:$B$305,0))="I borrowed","Out","In"))</f>
        <v/>
      </c>
      <c r="J226" s="1">
        <f>IF(NOT(ISNUMBER(B226)),"",YEAR(B226)*100+MONTH(B226))</f>
        <v/>
      </c>
      <c r="K226">
        <f>IF(OR(G226="",NOT(ISNUMBER(B226))),"",IF(G226=Statement!$H$2,B226*1000+ROW(),""))</f>
        <v/>
      </c>
    </row>
    <row r="227">
      <c r="A227" s="1" t="n"/>
      <c r="B227" s="18" t="n"/>
      <c r="C227" s="16" t="n"/>
      <c r="D227" s="19" t="n"/>
      <c r="E227" s="17" t="n"/>
      <c r="F227" s="22" t="n"/>
      <c r="G227" s="14">
        <f>IF(C227="","",IFERROR(VALUE(LEFT(C227,FIND(" ",C227&amp;" ")-1)),""))</f>
        <v/>
      </c>
      <c r="H227" s="26">
        <f>IF(C227="","",IF(G227="","Pick a loan",IFERROR(IF(INDEX(Loans!$C$6:$C$305,MATCH(G227,Loans!$B$6:$B$305,0))="","Not a loan",INDEX(Loans!$C$6:$C$305,MATCH(G227,Loans!$B$6:$B$305,0))),"Not a loan")))</f>
        <v/>
      </c>
      <c r="I227" s="10">
        <f>IF(OR(G227="",H227="Not a loan"),"",IF(INDEX(Loans!$D$6:$D$305,MATCH(G227,Loans!$B$6:$B$305,0))="I borrowed","Out","In"))</f>
        <v/>
      </c>
      <c r="J227" s="1">
        <f>IF(NOT(ISNUMBER(B227)),"",YEAR(B227)*100+MONTH(B227))</f>
        <v/>
      </c>
      <c r="K227">
        <f>IF(OR(G227="",NOT(ISNUMBER(B227))),"",IF(G227=Statement!$H$2,B227*1000+ROW(),""))</f>
        <v/>
      </c>
    </row>
    <row r="228">
      <c r="A228" s="1" t="n"/>
      <c r="B228" s="18" t="n"/>
      <c r="C228" s="16" t="n"/>
      <c r="D228" s="19" t="n"/>
      <c r="E228" s="17" t="n"/>
      <c r="F228" s="22" t="n"/>
      <c r="G228" s="14">
        <f>IF(C228="","",IFERROR(VALUE(LEFT(C228,FIND(" ",C228&amp;" ")-1)),""))</f>
        <v/>
      </c>
      <c r="H228" s="26">
        <f>IF(C228="","",IF(G228="","Pick a loan",IFERROR(IF(INDEX(Loans!$C$6:$C$305,MATCH(G228,Loans!$B$6:$B$305,0))="","Not a loan",INDEX(Loans!$C$6:$C$305,MATCH(G228,Loans!$B$6:$B$305,0))),"Not a loan")))</f>
        <v/>
      </c>
      <c r="I228" s="10">
        <f>IF(OR(G228="",H228="Not a loan"),"",IF(INDEX(Loans!$D$6:$D$305,MATCH(G228,Loans!$B$6:$B$305,0))="I borrowed","Out","In"))</f>
        <v/>
      </c>
      <c r="J228" s="1">
        <f>IF(NOT(ISNUMBER(B228)),"",YEAR(B228)*100+MONTH(B228))</f>
        <v/>
      </c>
      <c r="K228">
        <f>IF(OR(G228="",NOT(ISNUMBER(B228))),"",IF(G228=Statement!$H$2,B228*1000+ROW(),""))</f>
        <v/>
      </c>
    </row>
    <row r="229">
      <c r="A229" s="1" t="n"/>
      <c r="B229" s="18" t="n"/>
      <c r="C229" s="16" t="n"/>
      <c r="D229" s="19" t="n"/>
      <c r="E229" s="17" t="n"/>
      <c r="F229" s="22" t="n"/>
      <c r="G229" s="14">
        <f>IF(C229="","",IFERROR(VALUE(LEFT(C229,FIND(" ",C229&amp;" ")-1)),""))</f>
        <v/>
      </c>
      <c r="H229" s="26">
        <f>IF(C229="","",IF(G229="","Pick a loan",IFERROR(IF(INDEX(Loans!$C$6:$C$305,MATCH(G229,Loans!$B$6:$B$305,0))="","Not a loan",INDEX(Loans!$C$6:$C$305,MATCH(G229,Loans!$B$6:$B$305,0))),"Not a loan")))</f>
        <v/>
      </c>
      <c r="I229" s="10">
        <f>IF(OR(G229="",H229="Not a loan"),"",IF(INDEX(Loans!$D$6:$D$305,MATCH(G229,Loans!$B$6:$B$305,0))="I borrowed","Out","In"))</f>
        <v/>
      </c>
      <c r="J229" s="1">
        <f>IF(NOT(ISNUMBER(B229)),"",YEAR(B229)*100+MONTH(B229))</f>
        <v/>
      </c>
      <c r="K229">
        <f>IF(OR(G229="",NOT(ISNUMBER(B229))),"",IF(G229=Statement!$H$2,B229*1000+ROW(),""))</f>
        <v/>
      </c>
    </row>
    <row r="230">
      <c r="A230" s="1" t="n"/>
      <c r="B230" s="18" t="n"/>
      <c r="C230" s="16" t="n"/>
      <c r="D230" s="19" t="n"/>
      <c r="E230" s="17" t="n"/>
      <c r="F230" s="22" t="n"/>
      <c r="G230" s="14">
        <f>IF(C230="","",IFERROR(VALUE(LEFT(C230,FIND(" ",C230&amp;" ")-1)),""))</f>
        <v/>
      </c>
      <c r="H230" s="26">
        <f>IF(C230="","",IF(G230="","Pick a loan",IFERROR(IF(INDEX(Loans!$C$6:$C$305,MATCH(G230,Loans!$B$6:$B$305,0))="","Not a loan",INDEX(Loans!$C$6:$C$305,MATCH(G230,Loans!$B$6:$B$305,0))),"Not a loan")))</f>
        <v/>
      </c>
      <c r="I230" s="10">
        <f>IF(OR(G230="",H230="Not a loan"),"",IF(INDEX(Loans!$D$6:$D$305,MATCH(G230,Loans!$B$6:$B$305,0))="I borrowed","Out","In"))</f>
        <v/>
      </c>
      <c r="J230" s="1">
        <f>IF(NOT(ISNUMBER(B230)),"",YEAR(B230)*100+MONTH(B230))</f>
        <v/>
      </c>
      <c r="K230">
        <f>IF(OR(G230="",NOT(ISNUMBER(B230))),"",IF(G230=Statement!$H$2,B230*1000+ROW(),""))</f>
        <v/>
      </c>
    </row>
    <row r="231">
      <c r="A231" s="1" t="n"/>
      <c r="B231" s="18" t="n"/>
      <c r="C231" s="16" t="n"/>
      <c r="D231" s="19" t="n"/>
      <c r="E231" s="17" t="n"/>
      <c r="F231" s="22" t="n"/>
      <c r="G231" s="14">
        <f>IF(C231="","",IFERROR(VALUE(LEFT(C231,FIND(" ",C231&amp;" ")-1)),""))</f>
        <v/>
      </c>
      <c r="H231" s="26">
        <f>IF(C231="","",IF(G231="","Pick a loan",IFERROR(IF(INDEX(Loans!$C$6:$C$305,MATCH(G231,Loans!$B$6:$B$305,0))="","Not a loan",INDEX(Loans!$C$6:$C$305,MATCH(G231,Loans!$B$6:$B$305,0))),"Not a loan")))</f>
        <v/>
      </c>
      <c r="I231" s="10">
        <f>IF(OR(G231="",H231="Not a loan"),"",IF(INDEX(Loans!$D$6:$D$305,MATCH(G231,Loans!$B$6:$B$305,0))="I borrowed","Out","In"))</f>
        <v/>
      </c>
      <c r="J231" s="1">
        <f>IF(NOT(ISNUMBER(B231)),"",YEAR(B231)*100+MONTH(B231))</f>
        <v/>
      </c>
      <c r="K231">
        <f>IF(OR(G231="",NOT(ISNUMBER(B231))),"",IF(G231=Statement!$H$2,B231*1000+ROW(),""))</f>
        <v/>
      </c>
    </row>
    <row r="232">
      <c r="A232" s="1" t="n"/>
      <c r="B232" s="18" t="n"/>
      <c r="C232" s="16" t="n"/>
      <c r="D232" s="19" t="n"/>
      <c r="E232" s="17" t="n"/>
      <c r="F232" s="22" t="n"/>
      <c r="G232" s="14">
        <f>IF(C232="","",IFERROR(VALUE(LEFT(C232,FIND(" ",C232&amp;" ")-1)),""))</f>
        <v/>
      </c>
      <c r="H232" s="26">
        <f>IF(C232="","",IF(G232="","Pick a loan",IFERROR(IF(INDEX(Loans!$C$6:$C$305,MATCH(G232,Loans!$B$6:$B$305,0))="","Not a loan",INDEX(Loans!$C$6:$C$305,MATCH(G232,Loans!$B$6:$B$305,0))),"Not a loan")))</f>
        <v/>
      </c>
      <c r="I232" s="10">
        <f>IF(OR(G232="",H232="Not a loan"),"",IF(INDEX(Loans!$D$6:$D$305,MATCH(G232,Loans!$B$6:$B$305,0))="I borrowed","Out","In"))</f>
        <v/>
      </c>
      <c r="J232" s="1">
        <f>IF(NOT(ISNUMBER(B232)),"",YEAR(B232)*100+MONTH(B232))</f>
        <v/>
      </c>
      <c r="K232">
        <f>IF(OR(G232="",NOT(ISNUMBER(B232))),"",IF(G232=Statement!$H$2,B232*1000+ROW(),""))</f>
        <v/>
      </c>
    </row>
    <row r="233">
      <c r="A233" s="1" t="n"/>
      <c r="B233" s="18" t="n"/>
      <c r="C233" s="16" t="n"/>
      <c r="D233" s="19" t="n"/>
      <c r="E233" s="17" t="n"/>
      <c r="F233" s="22" t="n"/>
      <c r="G233" s="14">
        <f>IF(C233="","",IFERROR(VALUE(LEFT(C233,FIND(" ",C233&amp;" ")-1)),""))</f>
        <v/>
      </c>
      <c r="H233" s="26">
        <f>IF(C233="","",IF(G233="","Pick a loan",IFERROR(IF(INDEX(Loans!$C$6:$C$305,MATCH(G233,Loans!$B$6:$B$305,0))="","Not a loan",INDEX(Loans!$C$6:$C$305,MATCH(G233,Loans!$B$6:$B$305,0))),"Not a loan")))</f>
        <v/>
      </c>
      <c r="I233" s="10">
        <f>IF(OR(G233="",H233="Not a loan"),"",IF(INDEX(Loans!$D$6:$D$305,MATCH(G233,Loans!$B$6:$B$305,0))="I borrowed","Out","In"))</f>
        <v/>
      </c>
      <c r="J233" s="1">
        <f>IF(NOT(ISNUMBER(B233)),"",YEAR(B233)*100+MONTH(B233))</f>
        <v/>
      </c>
      <c r="K233">
        <f>IF(OR(G233="",NOT(ISNUMBER(B233))),"",IF(G233=Statement!$H$2,B233*1000+ROW(),""))</f>
        <v/>
      </c>
    </row>
    <row r="234">
      <c r="A234" s="1" t="n"/>
      <c r="B234" s="18" t="n"/>
      <c r="C234" s="16" t="n"/>
      <c r="D234" s="19" t="n"/>
      <c r="E234" s="17" t="n"/>
      <c r="F234" s="22" t="n"/>
      <c r="G234" s="14">
        <f>IF(C234="","",IFERROR(VALUE(LEFT(C234,FIND(" ",C234&amp;" ")-1)),""))</f>
        <v/>
      </c>
      <c r="H234" s="26">
        <f>IF(C234="","",IF(G234="","Pick a loan",IFERROR(IF(INDEX(Loans!$C$6:$C$305,MATCH(G234,Loans!$B$6:$B$305,0))="","Not a loan",INDEX(Loans!$C$6:$C$305,MATCH(G234,Loans!$B$6:$B$305,0))),"Not a loan")))</f>
        <v/>
      </c>
      <c r="I234" s="10">
        <f>IF(OR(G234="",H234="Not a loan"),"",IF(INDEX(Loans!$D$6:$D$305,MATCH(G234,Loans!$B$6:$B$305,0))="I borrowed","Out","In"))</f>
        <v/>
      </c>
      <c r="J234" s="1">
        <f>IF(NOT(ISNUMBER(B234)),"",YEAR(B234)*100+MONTH(B234))</f>
        <v/>
      </c>
      <c r="K234">
        <f>IF(OR(G234="",NOT(ISNUMBER(B234))),"",IF(G234=Statement!$H$2,B234*1000+ROW(),""))</f>
        <v/>
      </c>
    </row>
    <row r="235">
      <c r="A235" s="1" t="n"/>
      <c r="B235" s="18" t="n"/>
      <c r="C235" s="16" t="n"/>
      <c r="D235" s="19" t="n"/>
      <c r="E235" s="17" t="n"/>
      <c r="F235" s="22" t="n"/>
      <c r="G235" s="14">
        <f>IF(C235="","",IFERROR(VALUE(LEFT(C235,FIND(" ",C235&amp;" ")-1)),""))</f>
        <v/>
      </c>
      <c r="H235" s="26">
        <f>IF(C235="","",IF(G235="","Pick a loan",IFERROR(IF(INDEX(Loans!$C$6:$C$305,MATCH(G235,Loans!$B$6:$B$305,0))="","Not a loan",INDEX(Loans!$C$6:$C$305,MATCH(G235,Loans!$B$6:$B$305,0))),"Not a loan")))</f>
        <v/>
      </c>
      <c r="I235" s="10">
        <f>IF(OR(G235="",H235="Not a loan"),"",IF(INDEX(Loans!$D$6:$D$305,MATCH(G235,Loans!$B$6:$B$305,0))="I borrowed","Out","In"))</f>
        <v/>
      </c>
      <c r="J235" s="1">
        <f>IF(NOT(ISNUMBER(B235)),"",YEAR(B235)*100+MONTH(B235))</f>
        <v/>
      </c>
      <c r="K235">
        <f>IF(OR(G235="",NOT(ISNUMBER(B235))),"",IF(G235=Statement!$H$2,B235*1000+ROW(),""))</f>
        <v/>
      </c>
    </row>
    <row r="236">
      <c r="A236" s="1" t="n"/>
      <c r="B236" s="18" t="n"/>
      <c r="C236" s="16" t="n"/>
      <c r="D236" s="19" t="n"/>
      <c r="E236" s="17" t="n"/>
      <c r="F236" s="22" t="n"/>
      <c r="G236" s="14">
        <f>IF(C236="","",IFERROR(VALUE(LEFT(C236,FIND(" ",C236&amp;" ")-1)),""))</f>
        <v/>
      </c>
      <c r="H236" s="26">
        <f>IF(C236="","",IF(G236="","Pick a loan",IFERROR(IF(INDEX(Loans!$C$6:$C$305,MATCH(G236,Loans!$B$6:$B$305,0))="","Not a loan",INDEX(Loans!$C$6:$C$305,MATCH(G236,Loans!$B$6:$B$305,0))),"Not a loan")))</f>
        <v/>
      </c>
      <c r="I236" s="10">
        <f>IF(OR(G236="",H236="Not a loan"),"",IF(INDEX(Loans!$D$6:$D$305,MATCH(G236,Loans!$B$6:$B$305,0))="I borrowed","Out","In"))</f>
        <v/>
      </c>
      <c r="J236" s="1">
        <f>IF(NOT(ISNUMBER(B236)),"",YEAR(B236)*100+MONTH(B236))</f>
        <v/>
      </c>
      <c r="K236">
        <f>IF(OR(G236="",NOT(ISNUMBER(B236))),"",IF(G236=Statement!$H$2,B236*1000+ROW(),""))</f>
        <v/>
      </c>
    </row>
    <row r="237">
      <c r="A237" s="1" t="n"/>
      <c r="B237" s="18" t="n"/>
      <c r="C237" s="16" t="n"/>
      <c r="D237" s="19" t="n"/>
      <c r="E237" s="17" t="n"/>
      <c r="F237" s="22" t="n"/>
      <c r="G237" s="14">
        <f>IF(C237="","",IFERROR(VALUE(LEFT(C237,FIND(" ",C237&amp;" ")-1)),""))</f>
        <v/>
      </c>
      <c r="H237" s="26">
        <f>IF(C237="","",IF(G237="","Pick a loan",IFERROR(IF(INDEX(Loans!$C$6:$C$305,MATCH(G237,Loans!$B$6:$B$305,0))="","Not a loan",INDEX(Loans!$C$6:$C$305,MATCH(G237,Loans!$B$6:$B$305,0))),"Not a loan")))</f>
        <v/>
      </c>
      <c r="I237" s="10">
        <f>IF(OR(G237="",H237="Not a loan"),"",IF(INDEX(Loans!$D$6:$D$305,MATCH(G237,Loans!$B$6:$B$305,0))="I borrowed","Out","In"))</f>
        <v/>
      </c>
      <c r="J237" s="1">
        <f>IF(NOT(ISNUMBER(B237)),"",YEAR(B237)*100+MONTH(B237))</f>
        <v/>
      </c>
      <c r="K237">
        <f>IF(OR(G237="",NOT(ISNUMBER(B237))),"",IF(G237=Statement!$H$2,B237*1000+ROW(),""))</f>
        <v/>
      </c>
    </row>
    <row r="238">
      <c r="A238" s="1" t="n"/>
      <c r="B238" s="18" t="n"/>
      <c r="C238" s="16" t="n"/>
      <c r="D238" s="19" t="n"/>
      <c r="E238" s="17" t="n"/>
      <c r="F238" s="22" t="n"/>
      <c r="G238" s="14">
        <f>IF(C238="","",IFERROR(VALUE(LEFT(C238,FIND(" ",C238&amp;" ")-1)),""))</f>
        <v/>
      </c>
      <c r="H238" s="26">
        <f>IF(C238="","",IF(G238="","Pick a loan",IFERROR(IF(INDEX(Loans!$C$6:$C$305,MATCH(G238,Loans!$B$6:$B$305,0))="","Not a loan",INDEX(Loans!$C$6:$C$305,MATCH(G238,Loans!$B$6:$B$305,0))),"Not a loan")))</f>
        <v/>
      </c>
      <c r="I238" s="10">
        <f>IF(OR(G238="",H238="Not a loan"),"",IF(INDEX(Loans!$D$6:$D$305,MATCH(G238,Loans!$B$6:$B$305,0))="I borrowed","Out","In"))</f>
        <v/>
      </c>
      <c r="J238" s="1">
        <f>IF(NOT(ISNUMBER(B238)),"",YEAR(B238)*100+MONTH(B238))</f>
        <v/>
      </c>
      <c r="K238">
        <f>IF(OR(G238="",NOT(ISNUMBER(B238))),"",IF(G238=Statement!$H$2,B238*1000+ROW(),""))</f>
        <v/>
      </c>
    </row>
    <row r="239">
      <c r="A239" s="1" t="n"/>
      <c r="B239" s="18" t="n"/>
      <c r="C239" s="16" t="n"/>
      <c r="D239" s="19" t="n"/>
      <c r="E239" s="17" t="n"/>
      <c r="F239" s="22" t="n"/>
      <c r="G239" s="14">
        <f>IF(C239="","",IFERROR(VALUE(LEFT(C239,FIND(" ",C239&amp;" ")-1)),""))</f>
        <v/>
      </c>
      <c r="H239" s="26">
        <f>IF(C239="","",IF(G239="","Pick a loan",IFERROR(IF(INDEX(Loans!$C$6:$C$305,MATCH(G239,Loans!$B$6:$B$305,0))="","Not a loan",INDEX(Loans!$C$6:$C$305,MATCH(G239,Loans!$B$6:$B$305,0))),"Not a loan")))</f>
        <v/>
      </c>
      <c r="I239" s="10">
        <f>IF(OR(G239="",H239="Not a loan"),"",IF(INDEX(Loans!$D$6:$D$305,MATCH(G239,Loans!$B$6:$B$305,0))="I borrowed","Out","In"))</f>
        <v/>
      </c>
      <c r="J239" s="1">
        <f>IF(NOT(ISNUMBER(B239)),"",YEAR(B239)*100+MONTH(B239))</f>
        <v/>
      </c>
      <c r="K239">
        <f>IF(OR(G239="",NOT(ISNUMBER(B239))),"",IF(G239=Statement!$H$2,B239*1000+ROW(),""))</f>
        <v/>
      </c>
    </row>
    <row r="240">
      <c r="A240" s="1" t="n"/>
      <c r="B240" s="18" t="n"/>
      <c r="C240" s="16" t="n"/>
      <c r="D240" s="19" t="n"/>
      <c r="E240" s="17" t="n"/>
      <c r="F240" s="22" t="n"/>
      <c r="G240" s="14">
        <f>IF(C240="","",IFERROR(VALUE(LEFT(C240,FIND(" ",C240&amp;" ")-1)),""))</f>
        <v/>
      </c>
      <c r="H240" s="26">
        <f>IF(C240="","",IF(G240="","Pick a loan",IFERROR(IF(INDEX(Loans!$C$6:$C$305,MATCH(G240,Loans!$B$6:$B$305,0))="","Not a loan",INDEX(Loans!$C$6:$C$305,MATCH(G240,Loans!$B$6:$B$305,0))),"Not a loan")))</f>
        <v/>
      </c>
      <c r="I240" s="10">
        <f>IF(OR(G240="",H240="Not a loan"),"",IF(INDEX(Loans!$D$6:$D$305,MATCH(G240,Loans!$B$6:$B$305,0))="I borrowed","Out","In"))</f>
        <v/>
      </c>
      <c r="J240" s="1">
        <f>IF(NOT(ISNUMBER(B240)),"",YEAR(B240)*100+MONTH(B240))</f>
        <v/>
      </c>
      <c r="K240">
        <f>IF(OR(G240="",NOT(ISNUMBER(B240))),"",IF(G240=Statement!$H$2,B240*1000+ROW(),""))</f>
        <v/>
      </c>
    </row>
    <row r="241">
      <c r="A241" s="1" t="n"/>
      <c r="B241" s="18" t="n"/>
      <c r="C241" s="16" t="n"/>
      <c r="D241" s="19" t="n"/>
      <c r="E241" s="17" t="n"/>
      <c r="F241" s="22" t="n"/>
      <c r="G241" s="14">
        <f>IF(C241="","",IFERROR(VALUE(LEFT(C241,FIND(" ",C241&amp;" ")-1)),""))</f>
        <v/>
      </c>
      <c r="H241" s="26">
        <f>IF(C241="","",IF(G241="","Pick a loan",IFERROR(IF(INDEX(Loans!$C$6:$C$305,MATCH(G241,Loans!$B$6:$B$305,0))="","Not a loan",INDEX(Loans!$C$6:$C$305,MATCH(G241,Loans!$B$6:$B$305,0))),"Not a loan")))</f>
        <v/>
      </c>
      <c r="I241" s="10">
        <f>IF(OR(G241="",H241="Not a loan"),"",IF(INDEX(Loans!$D$6:$D$305,MATCH(G241,Loans!$B$6:$B$305,0))="I borrowed","Out","In"))</f>
        <v/>
      </c>
      <c r="J241" s="1">
        <f>IF(NOT(ISNUMBER(B241)),"",YEAR(B241)*100+MONTH(B241))</f>
        <v/>
      </c>
      <c r="K241">
        <f>IF(OR(G241="",NOT(ISNUMBER(B241))),"",IF(G241=Statement!$H$2,B241*1000+ROW(),""))</f>
        <v/>
      </c>
    </row>
    <row r="242">
      <c r="A242" s="1" t="n"/>
      <c r="B242" s="18" t="n"/>
      <c r="C242" s="16" t="n"/>
      <c r="D242" s="19" t="n"/>
      <c r="E242" s="17" t="n"/>
      <c r="F242" s="22" t="n"/>
      <c r="G242" s="14">
        <f>IF(C242="","",IFERROR(VALUE(LEFT(C242,FIND(" ",C242&amp;" ")-1)),""))</f>
        <v/>
      </c>
      <c r="H242" s="26">
        <f>IF(C242="","",IF(G242="","Pick a loan",IFERROR(IF(INDEX(Loans!$C$6:$C$305,MATCH(G242,Loans!$B$6:$B$305,0))="","Not a loan",INDEX(Loans!$C$6:$C$305,MATCH(G242,Loans!$B$6:$B$305,0))),"Not a loan")))</f>
        <v/>
      </c>
      <c r="I242" s="10">
        <f>IF(OR(G242="",H242="Not a loan"),"",IF(INDEX(Loans!$D$6:$D$305,MATCH(G242,Loans!$B$6:$B$305,0))="I borrowed","Out","In"))</f>
        <v/>
      </c>
      <c r="J242" s="1">
        <f>IF(NOT(ISNUMBER(B242)),"",YEAR(B242)*100+MONTH(B242))</f>
        <v/>
      </c>
      <c r="K242">
        <f>IF(OR(G242="",NOT(ISNUMBER(B242))),"",IF(G242=Statement!$H$2,B242*1000+ROW(),""))</f>
        <v/>
      </c>
    </row>
    <row r="243">
      <c r="A243" s="1" t="n"/>
      <c r="B243" s="18" t="n"/>
      <c r="C243" s="16" t="n"/>
      <c r="D243" s="19" t="n"/>
      <c r="E243" s="17" t="n"/>
      <c r="F243" s="22" t="n"/>
      <c r="G243" s="14">
        <f>IF(C243="","",IFERROR(VALUE(LEFT(C243,FIND(" ",C243&amp;" ")-1)),""))</f>
        <v/>
      </c>
      <c r="H243" s="26">
        <f>IF(C243="","",IF(G243="","Pick a loan",IFERROR(IF(INDEX(Loans!$C$6:$C$305,MATCH(G243,Loans!$B$6:$B$305,0))="","Not a loan",INDEX(Loans!$C$6:$C$305,MATCH(G243,Loans!$B$6:$B$305,0))),"Not a loan")))</f>
        <v/>
      </c>
      <c r="I243" s="10">
        <f>IF(OR(G243="",H243="Not a loan"),"",IF(INDEX(Loans!$D$6:$D$305,MATCH(G243,Loans!$B$6:$B$305,0))="I borrowed","Out","In"))</f>
        <v/>
      </c>
      <c r="J243" s="1">
        <f>IF(NOT(ISNUMBER(B243)),"",YEAR(B243)*100+MONTH(B243))</f>
        <v/>
      </c>
      <c r="K243">
        <f>IF(OR(G243="",NOT(ISNUMBER(B243))),"",IF(G243=Statement!$H$2,B243*1000+ROW(),""))</f>
        <v/>
      </c>
    </row>
    <row r="244">
      <c r="A244" s="1" t="n"/>
      <c r="B244" s="18" t="n"/>
      <c r="C244" s="16" t="n"/>
      <c r="D244" s="19" t="n"/>
      <c r="E244" s="17" t="n"/>
      <c r="F244" s="22" t="n"/>
      <c r="G244" s="14">
        <f>IF(C244="","",IFERROR(VALUE(LEFT(C244,FIND(" ",C244&amp;" ")-1)),""))</f>
        <v/>
      </c>
      <c r="H244" s="26">
        <f>IF(C244="","",IF(G244="","Pick a loan",IFERROR(IF(INDEX(Loans!$C$6:$C$305,MATCH(G244,Loans!$B$6:$B$305,0))="","Not a loan",INDEX(Loans!$C$6:$C$305,MATCH(G244,Loans!$B$6:$B$305,0))),"Not a loan")))</f>
        <v/>
      </c>
      <c r="I244" s="10">
        <f>IF(OR(G244="",H244="Not a loan"),"",IF(INDEX(Loans!$D$6:$D$305,MATCH(G244,Loans!$B$6:$B$305,0))="I borrowed","Out","In"))</f>
        <v/>
      </c>
      <c r="J244" s="1">
        <f>IF(NOT(ISNUMBER(B244)),"",YEAR(B244)*100+MONTH(B244))</f>
        <v/>
      </c>
      <c r="K244">
        <f>IF(OR(G244="",NOT(ISNUMBER(B244))),"",IF(G244=Statement!$H$2,B244*1000+ROW(),""))</f>
        <v/>
      </c>
    </row>
    <row r="245">
      <c r="A245" s="1" t="n"/>
      <c r="B245" s="18" t="n"/>
      <c r="C245" s="16" t="n"/>
      <c r="D245" s="19" t="n"/>
      <c r="E245" s="17" t="n"/>
      <c r="F245" s="22" t="n"/>
      <c r="G245" s="14">
        <f>IF(C245="","",IFERROR(VALUE(LEFT(C245,FIND(" ",C245&amp;" ")-1)),""))</f>
        <v/>
      </c>
      <c r="H245" s="26">
        <f>IF(C245="","",IF(G245="","Pick a loan",IFERROR(IF(INDEX(Loans!$C$6:$C$305,MATCH(G245,Loans!$B$6:$B$305,0))="","Not a loan",INDEX(Loans!$C$6:$C$305,MATCH(G245,Loans!$B$6:$B$305,0))),"Not a loan")))</f>
        <v/>
      </c>
      <c r="I245" s="10">
        <f>IF(OR(G245="",H245="Not a loan"),"",IF(INDEX(Loans!$D$6:$D$305,MATCH(G245,Loans!$B$6:$B$305,0))="I borrowed","Out","In"))</f>
        <v/>
      </c>
      <c r="J245" s="1">
        <f>IF(NOT(ISNUMBER(B245)),"",YEAR(B245)*100+MONTH(B245))</f>
        <v/>
      </c>
      <c r="K245">
        <f>IF(OR(G245="",NOT(ISNUMBER(B245))),"",IF(G245=Statement!$H$2,B245*1000+ROW(),""))</f>
        <v/>
      </c>
    </row>
    <row r="246">
      <c r="A246" s="1" t="n"/>
      <c r="B246" s="18" t="n"/>
      <c r="C246" s="16" t="n"/>
      <c r="D246" s="19" t="n"/>
      <c r="E246" s="17" t="n"/>
      <c r="F246" s="22" t="n"/>
      <c r="G246" s="14">
        <f>IF(C246="","",IFERROR(VALUE(LEFT(C246,FIND(" ",C246&amp;" ")-1)),""))</f>
        <v/>
      </c>
      <c r="H246" s="26">
        <f>IF(C246="","",IF(G246="","Pick a loan",IFERROR(IF(INDEX(Loans!$C$6:$C$305,MATCH(G246,Loans!$B$6:$B$305,0))="","Not a loan",INDEX(Loans!$C$6:$C$305,MATCH(G246,Loans!$B$6:$B$305,0))),"Not a loan")))</f>
        <v/>
      </c>
      <c r="I246" s="10">
        <f>IF(OR(G246="",H246="Not a loan"),"",IF(INDEX(Loans!$D$6:$D$305,MATCH(G246,Loans!$B$6:$B$305,0))="I borrowed","Out","In"))</f>
        <v/>
      </c>
      <c r="J246" s="1">
        <f>IF(NOT(ISNUMBER(B246)),"",YEAR(B246)*100+MONTH(B246))</f>
        <v/>
      </c>
      <c r="K246">
        <f>IF(OR(G246="",NOT(ISNUMBER(B246))),"",IF(G246=Statement!$H$2,B246*1000+ROW(),""))</f>
        <v/>
      </c>
    </row>
    <row r="247">
      <c r="A247" s="1" t="n"/>
      <c r="B247" s="18" t="n"/>
      <c r="C247" s="16" t="n"/>
      <c r="D247" s="19" t="n"/>
      <c r="E247" s="17" t="n"/>
      <c r="F247" s="22" t="n"/>
      <c r="G247" s="14">
        <f>IF(C247="","",IFERROR(VALUE(LEFT(C247,FIND(" ",C247&amp;" ")-1)),""))</f>
        <v/>
      </c>
      <c r="H247" s="26">
        <f>IF(C247="","",IF(G247="","Pick a loan",IFERROR(IF(INDEX(Loans!$C$6:$C$305,MATCH(G247,Loans!$B$6:$B$305,0))="","Not a loan",INDEX(Loans!$C$6:$C$305,MATCH(G247,Loans!$B$6:$B$305,0))),"Not a loan")))</f>
        <v/>
      </c>
      <c r="I247" s="10">
        <f>IF(OR(G247="",H247="Not a loan"),"",IF(INDEX(Loans!$D$6:$D$305,MATCH(G247,Loans!$B$6:$B$305,0))="I borrowed","Out","In"))</f>
        <v/>
      </c>
      <c r="J247" s="1">
        <f>IF(NOT(ISNUMBER(B247)),"",YEAR(B247)*100+MONTH(B247))</f>
        <v/>
      </c>
      <c r="K247">
        <f>IF(OR(G247="",NOT(ISNUMBER(B247))),"",IF(G247=Statement!$H$2,B247*1000+ROW(),""))</f>
        <v/>
      </c>
    </row>
    <row r="248">
      <c r="A248" s="1" t="n"/>
      <c r="B248" s="18" t="n"/>
      <c r="C248" s="16" t="n"/>
      <c r="D248" s="19" t="n"/>
      <c r="E248" s="17" t="n"/>
      <c r="F248" s="22" t="n"/>
      <c r="G248" s="14">
        <f>IF(C248="","",IFERROR(VALUE(LEFT(C248,FIND(" ",C248&amp;" ")-1)),""))</f>
        <v/>
      </c>
      <c r="H248" s="26">
        <f>IF(C248="","",IF(G248="","Pick a loan",IFERROR(IF(INDEX(Loans!$C$6:$C$305,MATCH(G248,Loans!$B$6:$B$305,0))="","Not a loan",INDEX(Loans!$C$6:$C$305,MATCH(G248,Loans!$B$6:$B$305,0))),"Not a loan")))</f>
        <v/>
      </c>
      <c r="I248" s="10">
        <f>IF(OR(G248="",H248="Not a loan"),"",IF(INDEX(Loans!$D$6:$D$305,MATCH(G248,Loans!$B$6:$B$305,0))="I borrowed","Out","In"))</f>
        <v/>
      </c>
      <c r="J248" s="1">
        <f>IF(NOT(ISNUMBER(B248)),"",YEAR(B248)*100+MONTH(B248))</f>
        <v/>
      </c>
      <c r="K248">
        <f>IF(OR(G248="",NOT(ISNUMBER(B248))),"",IF(G248=Statement!$H$2,B248*1000+ROW(),""))</f>
        <v/>
      </c>
    </row>
    <row r="249">
      <c r="A249" s="1" t="n"/>
      <c r="B249" s="18" t="n"/>
      <c r="C249" s="16" t="n"/>
      <c r="D249" s="19" t="n"/>
      <c r="E249" s="17" t="n"/>
      <c r="F249" s="22" t="n"/>
      <c r="G249" s="14">
        <f>IF(C249="","",IFERROR(VALUE(LEFT(C249,FIND(" ",C249&amp;" ")-1)),""))</f>
        <v/>
      </c>
      <c r="H249" s="26">
        <f>IF(C249="","",IF(G249="","Pick a loan",IFERROR(IF(INDEX(Loans!$C$6:$C$305,MATCH(G249,Loans!$B$6:$B$305,0))="","Not a loan",INDEX(Loans!$C$6:$C$305,MATCH(G249,Loans!$B$6:$B$305,0))),"Not a loan")))</f>
        <v/>
      </c>
      <c r="I249" s="10">
        <f>IF(OR(G249="",H249="Not a loan"),"",IF(INDEX(Loans!$D$6:$D$305,MATCH(G249,Loans!$B$6:$B$305,0))="I borrowed","Out","In"))</f>
        <v/>
      </c>
      <c r="J249" s="1">
        <f>IF(NOT(ISNUMBER(B249)),"",YEAR(B249)*100+MONTH(B249))</f>
        <v/>
      </c>
      <c r="K249">
        <f>IF(OR(G249="",NOT(ISNUMBER(B249))),"",IF(G249=Statement!$H$2,B249*1000+ROW(),""))</f>
        <v/>
      </c>
    </row>
    <row r="250">
      <c r="A250" s="1" t="n"/>
      <c r="B250" s="18" t="n"/>
      <c r="C250" s="16" t="n"/>
      <c r="D250" s="19" t="n"/>
      <c r="E250" s="17" t="n"/>
      <c r="F250" s="22" t="n"/>
      <c r="G250" s="14">
        <f>IF(C250="","",IFERROR(VALUE(LEFT(C250,FIND(" ",C250&amp;" ")-1)),""))</f>
        <v/>
      </c>
      <c r="H250" s="26">
        <f>IF(C250="","",IF(G250="","Pick a loan",IFERROR(IF(INDEX(Loans!$C$6:$C$305,MATCH(G250,Loans!$B$6:$B$305,0))="","Not a loan",INDEX(Loans!$C$6:$C$305,MATCH(G250,Loans!$B$6:$B$305,0))),"Not a loan")))</f>
        <v/>
      </c>
      <c r="I250" s="10">
        <f>IF(OR(G250="",H250="Not a loan"),"",IF(INDEX(Loans!$D$6:$D$305,MATCH(G250,Loans!$B$6:$B$305,0))="I borrowed","Out","In"))</f>
        <v/>
      </c>
      <c r="J250" s="1">
        <f>IF(NOT(ISNUMBER(B250)),"",YEAR(B250)*100+MONTH(B250))</f>
        <v/>
      </c>
      <c r="K250">
        <f>IF(OR(G250="",NOT(ISNUMBER(B250))),"",IF(G250=Statement!$H$2,B250*1000+ROW(),""))</f>
        <v/>
      </c>
    </row>
    <row r="251">
      <c r="A251" s="1" t="n"/>
      <c r="B251" s="18" t="n"/>
      <c r="C251" s="16" t="n"/>
      <c r="D251" s="19" t="n"/>
      <c r="E251" s="17" t="n"/>
      <c r="F251" s="22" t="n"/>
      <c r="G251" s="14">
        <f>IF(C251="","",IFERROR(VALUE(LEFT(C251,FIND(" ",C251&amp;" ")-1)),""))</f>
        <v/>
      </c>
      <c r="H251" s="26">
        <f>IF(C251="","",IF(G251="","Pick a loan",IFERROR(IF(INDEX(Loans!$C$6:$C$305,MATCH(G251,Loans!$B$6:$B$305,0))="","Not a loan",INDEX(Loans!$C$6:$C$305,MATCH(G251,Loans!$B$6:$B$305,0))),"Not a loan")))</f>
        <v/>
      </c>
      <c r="I251" s="10">
        <f>IF(OR(G251="",H251="Not a loan"),"",IF(INDEX(Loans!$D$6:$D$305,MATCH(G251,Loans!$B$6:$B$305,0))="I borrowed","Out","In"))</f>
        <v/>
      </c>
      <c r="J251" s="1">
        <f>IF(NOT(ISNUMBER(B251)),"",YEAR(B251)*100+MONTH(B251))</f>
        <v/>
      </c>
      <c r="K251">
        <f>IF(OR(G251="",NOT(ISNUMBER(B251))),"",IF(G251=Statement!$H$2,B251*1000+ROW(),""))</f>
        <v/>
      </c>
    </row>
    <row r="252">
      <c r="A252" s="1" t="n"/>
      <c r="B252" s="18" t="n"/>
      <c r="C252" s="16" t="n"/>
      <c r="D252" s="19" t="n"/>
      <c r="E252" s="17" t="n"/>
      <c r="F252" s="22" t="n"/>
      <c r="G252" s="14">
        <f>IF(C252="","",IFERROR(VALUE(LEFT(C252,FIND(" ",C252&amp;" ")-1)),""))</f>
        <v/>
      </c>
      <c r="H252" s="26">
        <f>IF(C252="","",IF(G252="","Pick a loan",IFERROR(IF(INDEX(Loans!$C$6:$C$305,MATCH(G252,Loans!$B$6:$B$305,0))="","Not a loan",INDEX(Loans!$C$6:$C$305,MATCH(G252,Loans!$B$6:$B$305,0))),"Not a loan")))</f>
        <v/>
      </c>
      <c r="I252" s="10">
        <f>IF(OR(G252="",H252="Not a loan"),"",IF(INDEX(Loans!$D$6:$D$305,MATCH(G252,Loans!$B$6:$B$305,0))="I borrowed","Out","In"))</f>
        <v/>
      </c>
      <c r="J252" s="1">
        <f>IF(NOT(ISNUMBER(B252)),"",YEAR(B252)*100+MONTH(B252))</f>
        <v/>
      </c>
      <c r="K252">
        <f>IF(OR(G252="",NOT(ISNUMBER(B252))),"",IF(G252=Statement!$H$2,B252*1000+ROW(),""))</f>
        <v/>
      </c>
    </row>
    <row r="253">
      <c r="A253" s="1" t="n"/>
      <c r="B253" s="18" t="n"/>
      <c r="C253" s="16" t="n"/>
      <c r="D253" s="19" t="n"/>
      <c r="E253" s="17" t="n"/>
      <c r="F253" s="22" t="n"/>
      <c r="G253" s="14">
        <f>IF(C253="","",IFERROR(VALUE(LEFT(C253,FIND(" ",C253&amp;" ")-1)),""))</f>
        <v/>
      </c>
      <c r="H253" s="26">
        <f>IF(C253="","",IF(G253="","Pick a loan",IFERROR(IF(INDEX(Loans!$C$6:$C$305,MATCH(G253,Loans!$B$6:$B$305,0))="","Not a loan",INDEX(Loans!$C$6:$C$305,MATCH(G253,Loans!$B$6:$B$305,0))),"Not a loan")))</f>
        <v/>
      </c>
      <c r="I253" s="10">
        <f>IF(OR(G253="",H253="Not a loan"),"",IF(INDEX(Loans!$D$6:$D$305,MATCH(G253,Loans!$B$6:$B$305,0))="I borrowed","Out","In"))</f>
        <v/>
      </c>
      <c r="J253" s="1">
        <f>IF(NOT(ISNUMBER(B253)),"",YEAR(B253)*100+MONTH(B253))</f>
        <v/>
      </c>
      <c r="K253">
        <f>IF(OR(G253="",NOT(ISNUMBER(B253))),"",IF(G253=Statement!$H$2,B253*1000+ROW(),""))</f>
        <v/>
      </c>
    </row>
    <row r="254">
      <c r="A254" s="1" t="n"/>
      <c r="B254" s="18" t="n"/>
      <c r="C254" s="16" t="n"/>
      <c r="D254" s="19" t="n"/>
      <c r="E254" s="17" t="n"/>
      <c r="F254" s="22" t="n"/>
      <c r="G254" s="14">
        <f>IF(C254="","",IFERROR(VALUE(LEFT(C254,FIND(" ",C254&amp;" ")-1)),""))</f>
        <v/>
      </c>
      <c r="H254" s="26">
        <f>IF(C254="","",IF(G254="","Pick a loan",IFERROR(IF(INDEX(Loans!$C$6:$C$305,MATCH(G254,Loans!$B$6:$B$305,0))="","Not a loan",INDEX(Loans!$C$6:$C$305,MATCH(G254,Loans!$B$6:$B$305,0))),"Not a loan")))</f>
        <v/>
      </c>
      <c r="I254" s="10">
        <f>IF(OR(G254="",H254="Not a loan"),"",IF(INDEX(Loans!$D$6:$D$305,MATCH(G254,Loans!$B$6:$B$305,0))="I borrowed","Out","In"))</f>
        <v/>
      </c>
      <c r="J254" s="1">
        <f>IF(NOT(ISNUMBER(B254)),"",YEAR(B254)*100+MONTH(B254))</f>
        <v/>
      </c>
      <c r="K254">
        <f>IF(OR(G254="",NOT(ISNUMBER(B254))),"",IF(G254=Statement!$H$2,B254*1000+ROW(),""))</f>
        <v/>
      </c>
    </row>
    <row r="255">
      <c r="A255" s="1" t="n"/>
      <c r="B255" s="18" t="n"/>
      <c r="C255" s="16" t="n"/>
      <c r="D255" s="19" t="n"/>
      <c r="E255" s="17" t="n"/>
      <c r="F255" s="22" t="n"/>
      <c r="G255" s="14">
        <f>IF(C255="","",IFERROR(VALUE(LEFT(C255,FIND(" ",C255&amp;" ")-1)),""))</f>
        <v/>
      </c>
      <c r="H255" s="26">
        <f>IF(C255="","",IF(G255="","Pick a loan",IFERROR(IF(INDEX(Loans!$C$6:$C$305,MATCH(G255,Loans!$B$6:$B$305,0))="","Not a loan",INDEX(Loans!$C$6:$C$305,MATCH(G255,Loans!$B$6:$B$305,0))),"Not a loan")))</f>
        <v/>
      </c>
      <c r="I255" s="10">
        <f>IF(OR(G255="",H255="Not a loan"),"",IF(INDEX(Loans!$D$6:$D$305,MATCH(G255,Loans!$B$6:$B$305,0))="I borrowed","Out","In"))</f>
        <v/>
      </c>
      <c r="J255" s="1">
        <f>IF(NOT(ISNUMBER(B255)),"",YEAR(B255)*100+MONTH(B255))</f>
        <v/>
      </c>
      <c r="K255">
        <f>IF(OR(G255="",NOT(ISNUMBER(B255))),"",IF(G255=Statement!$H$2,B255*1000+ROW(),""))</f>
        <v/>
      </c>
    </row>
    <row r="256">
      <c r="A256" s="1" t="n"/>
      <c r="B256" s="18" t="n"/>
      <c r="C256" s="16" t="n"/>
      <c r="D256" s="19" t="n"/>
      <c r="E256" s="17" t="n"/>
      <c r="F256" s="22" t="n"/>
      <c r="G256" s="14">
        <f>IF(C256="","",IFERROR(VALUE(LEFT(C256,FIND(" ",C256&amp;" ")-1)),""))</f>
        <v/>
      </c>
      <c r="H256" s="26">
        <f>IF(C256="","",IF(G256="","Pick a loan",IFERROR(IF(INDEX(Loans!$C$6:$C$305,MATCH(G256,Loans!$B$6:$B$305,0))="","Not a loan",INDEX(Loans!$C$6:$C$305,MATCH(G256,Loans!$B$6:$B$305,0))),"Not a loan")))</f>
        <v/>
      </c>
      <c r="I256" s="10">
        <f>IF(OR(G256="",H256="Not a loan"),"",IF(INDEX(Loans!$D$6:$D$305,MATCH(G256,Loans!$B$6:$B$305,0))="I borrowed","Out","In"))</f>
        <v/>
      </c>
      <c r="J256" s="1">
        <f>IF(NOT(ISNUMBER(B256)),"",YEAR(B256)*100+MONTH(B256))</f>
        <v/>
      </c>
      <c r="K256">
        <f>IF(OR(G256="",NOT(ISNUMBER(B256))),"",IF(G256=Statement!$H$2,B256*1000+ROW(),""))</f>
        <v/>
      </c>
    </row>
    <row r="257">
      <c r="A257" s="1" t="n"/>
      <c r="B257" s="18" t="n"/>
      <c r="C257" s="16" t="n"/>
      <c r="D257" s="19" t="n"/>
      <c r="E257" s="17" t="n"/>
      <c r="F257" s="22" t="n"/>
      <c r="G257" s="14">
        <f>IF(C257="","",IFERROR(VALUE(LEFT(C257,FIND(" ",C257&amp;" ")-1)),""))</f>
        <v/>
      </c>
      <c r="H257" s="26">
        <f>IF(C257="","",IF(G257="","Pick a loan",IFERROR(IF(INDEX(Loans!$C$6:$C$305,MATCH(G257,Loans!$B$6:$B$305,0))="","Not a loan",INDEX(Loans!$C$6:$C$305,MATCH(G257,Loans!$B$6:$B$305,0))),"Not a loan")))</f>
        <v/>
      </c>
      <c r="I257" s="10">
        <f>IF(OR(G257="",H257="Not a loan"),"",IF(INDEX(Loans!$D$6:$D$305,MATCH(G257,Loans!$B$6:$B$305,0))="I borrowed","Out","In"))</f>
        <v/>
      </c>
      <c r="J257" s="1">
        <f>IF(NOT(ISNUMBER(B257)),"",YEAR(B257)*100+MONTH(B257))</f>
        <v/>
      </c>
      <c r="K257">
        <f>IF(OR(G257="",NOT(ISNUMBER(B257))),"",IF(G257=Statement!$H$2,B257*1000+ROW(),""))</f>
        <v/>
      </c>
    </row>
    <row r="258">
      <c r="A258" s="1" t="n"/>
      <c r="B258" s="18" t="n"/>
      <c r="C258" s="16" t="n"/>
      <c r="D258" s="19" t="n"/>
      <c r="E258" s="17" t="n"/>
      <c r="F258" s="22" t="n"/>
      <c r="G258" s="14">
        <f>IF(C258="","",IFERROR(VALUE(LEFT(C258,FIND(" ",C258&amp;" ")-1)),""))</f>
        <v/>
      </c>
      <c r="H258" s="26">
        <f>IF(C258="","",IF(G258="","Pick a loan",IFERROR(IF(INDEX(Loans!$C$6:$C$305,MATCH(G258,Loans!$B$6:$B$305,0))="","Not a loan",INDEX(Loans!$C$6:$C$305,MATCH(G258,Loans!$B$6:$B$305,0))),"Not a loan")))</f>
        <v/>
      </c>
      <c r="I258" s="10">
        <f>IF(OR(G258="",H258="Not a loan"),"",IF(INDEX(Loans!$D$6:$D$305,MATCH(G258,Loans!$B$6:$B$305,0))="I borrowed","Out","In"))</f>
        <v/>
      </c>
      <c r="J258" s="1">
        <f>IF(NOT(ISNUMBER(B258)),"",YEAR(B258)*100+MONTH(B258))</f>
        <v/>
      </c>
      <c r="K258">
        <f>IF(OR(G258="",NOT(ISNUMBER(B258))),"",IF(G258=Statement!$H$2,B258*1000+ROW(),""))</f>
        <v/>
      </c>
    </row>
    <row r="259">
      <c r="A259" s="1" t="n"/>
      <c r="B259" s="18" t="n"/>
      <c r="C259" s="16" t="n"/>
      <c r="D259" s="19" t="n"/>
      <c r="E259" s="17" t="n"/>
      <c r="F259" s="22" t="n"/>
      <c r="G259" s="14">
        <f>IF(C259="","",IFERROR(VALUE(LEFT(C259,FIND(" ",C259&amp;" ")-1)),""))</f>
        <v/>
      </c>
      <c r="H259" s="26">
        <f>IF(C259="","",IF(G259="","Pick a loan",IFERROR(IF(INDEX(Loans!$C$6:$C$305,MATCH(G259,Loans!$B$6:$B$305,0))="","Not a loan",INDEX(Loans!$C$6:$C$305,MATCH(G259,Loans!$B$6:$B$305,0))),"Not a loan")))</f>
        <v/>
      </c>
      <c r="I259" s="10">
        <f>IF(OR(G259="",H259="Not a loan"),"",IF(INDEX(Loans!$D$6:$D$305,MATCH(G259,Loans!$B$6:$B$305,0))="I borrowed","Out","In"))</f>
        <v/>
      </c>
      <c r="J259" s="1">
        <f>IF(NOT(ISNUMBER(B259)),"",YEAR(B259)*100+MONTH(B259))</f>
        <v/>
      </c>
      <c r="K259">
        <f>IF(OR(G259="",NOT(ISNUMBER(B259))),"",IF(G259=Statement!$H$2,B259*1000+ROW(),""))</f>
        <v/>
      </c>
    </row>
    <row r="260">
      <c r="A260" s="1" t="n"/>
      <c r="B260" s="18" t="n"/>
      <c r="C260" s="16" t="n"/>
      <c r="D260" s="19" t="n"/>
      <c r="E260" s="17" t="n"/>
      <c r="F260" s="22" t="n"/>
      <c r="G260" s="14">
        <f>IF(C260="","",IFERROR(VALUE(LEFT(C260,FIND(" ",C260&amp;" ")-1)),""))</f>
        <v/>
      </c>
      <c r="H260" s="26">
        <f>IF(C260="","",IF(G260="","Pick a loan",IFERROR(IF(INDEX(Loans!$C$6:$C$305,MATCH(G260,Loans!$B$6:$B$305,0))="","Not a loan",INDEX(Loans!$C$6:$C$305,MATCH(G260,Loans!$B$6:$B$305,0))),"Not a loan")))</f>
        <v/>
      </c>
      <c r="I260" s="10">
        <f>IF(OR(G260="",H260="Not a loan"),"",IF(INDEX(Loans!$D$6:$D$305,MATCH(G260,Loans!$B$6:$B$305,0))="I borrowed","Out","In"))</f>
        <v/>
      </c>
      <c r="J260" s="1">
        <f>IF(NOT(ISNUMBER(B260)),"",YEAR(B260)*100+MONTH(B260))</f>
        <v/>
      </c>
      <c r="K260">
        <f>IF(OR(G260="",NOT(ISNUMBER(B260))),"",IF(G260=Statement!$H$2,B260*1000+ROW(),""))</f>
        <v/>
      </c>
    </row>
    <row r="261">
      <c r="A261" s="1" t="n"/>
      <c r="B261" s="18" t="n"/>
      <c r="C261" s="16" t="n"/>
      <c r="D261" s="19" t="n"/>
      <c r="E261" s="17" t="n"/>
      <c r="F261" s="22" t="n"/>
      <c r="G261" s="14">
        <f>IF(C261="","",IFERROR(VALUE(LEFT(C261,FIND(" ",C261&amp;" ")-1)),""))</f>
        <v/>
      </c>
      <c r="H261" s="26">
        <f>IF(C261="","",IF(G261="","Pick a loan",IFERROR(IF(INDEX(Loans!$C$6:$C$305,MATCH(G261,Loans!$B$6:$B$305,0))="","Not a loan",INDEX(Loans!$C$6:$C$305,MATCH(G261,Loans!$B$6:$B$305,0))),"Not a loan")))</f>
        <v/>
      </c>
      <c r="I261" s="10">
        <f>IF(OR(G261="",H261="Not a loan"),"",IF(INDEX(Loans!$D$6:$D$305,MATCH(G261,Loans!$B$6:$B$305,0))="I borrowed","Out","In"))</f>
        <v/>
      </c>
      <c r="J261" s="1">
        <f>IF(NOT(ISNUMBER(B261)),"",YEAR(B261)*100+MONTH(B261))</f>
        <v/>
      </c>
      <c r="K261">
        <f>IF(OR(G261="",NOT(ISNUMBER(B261))),"",IF(G261=Statement!$H$2,B261*1000+ROW(),""))</f>
        <v/>
      </c>
    </row>
    <row r="262">
      <c r="A262" s="1" t="n"/>
      <c r="B262" s="18" t="n"/>
      <c r="C262" s="16" t="n"/>
      <c r="D262" s="19" t="n"/>
      <c r="E262" s="17" t="n"/>
      <c r="F262" s="22" t="n"/>
      <c r="G262" s="14">
        <f>IF(C262="","",IFERROR(VALUE(LEFT(C262,FIND(" ",C262&amp;" ")-1)),""))</f>
        <v/>
      </c>
      <c r="H262" s="26">
        <f>IF(C262="","",IF(G262="","Pick a loan",IFERROR(IF(INDEX(Loans!$C$6:$C$305,MATCH(G262,Loans!$B$6:$B$305,0))="","Not a loan",INDEX(Loans!$C$6:$C$305,MATCH(G262,Loans!$B$6:$B$305,0))),"Not a loan")))</f>
        <v/>
      </c>
      <c r="I262" s="10">
        <f>IF(OR(G262="",H262="Not a loan"),"",IF(INDEX(Loans!$D$6:$D$305,MATCH(G262,Loans!$B$6:$B$305,0))="I borrowed","Out","In"))</f>
        <v/>
      </c>
      <c r="J262" s="1">
        <f>IF(NOT(ISNUMBER(B262)),"",YEAR(B262)*100+MONTH(B262))</f>
        <v/>
      </c>
      <c r="K262">
        <f>IF(OR(G262="",NOT(ISNUMBER(B262))),"",IF(G262=Statement!$H$2,B262*1000+ROW(),""))</f>
        <v/>
      </c>
    </row>
    <row r="263">
      <c r="A263" s="1" t="n"/>
      <c r="B263" s="18" t="n"/>
      <c r="C263" s="16" t="n"/>
      <c r="D263" s="19" t="n"/>
      <c r="E263" s="17" t="n"/>
      <c r="F263" s="22" t="n"/>
      <c r="G263" s="14">
        <f>IF(C263="","",IFERROR(VALUE(LEFT(C263,FIND(" ",C263&amp;" ")-1)),""))</f>
        <v/>
      </c>
      <c r="H263" s="26">
        <f>IF(C263="","",IF(G263="","Pick a loan",IFERROR(IF(INDEX(Loans!$C$6:$C$305,MATCH(G263,Loans!$B$6:$B$305,0))="","Not a loan",INDEX(Loans!$C$6:$C$305,MATCH(G263,Loans!$B$6:$B$305,0))),"Not a loan")))</f>
        <v/>
      </c>
      <c r="I263" s="10">
        <f>IF(OR(G263="",H263="Not a loan"),"",IF(INDEX(Loans!$D$6:$D$305,MATCH(G263,Loans!$B$6:$B$305,0))="I borrowed","Out","In"))</f>
        <v/>
      </c>
      <c r="J263" s="1">
        <f>IF(NOT(ISNUMBER(B263)),"",YEAR(B263)*100+MONTH(B263))</f>
        <v/>
      </c>
      <c r="K263">
        <f>IF(OR(G263="",NOT(ISNUMBER(B263))),"",IF(G263=Statement!$H$2,B263*1000+ROW(),""))</f>
        <v/>
      </c>
    </row>
    <row r="264">
      <c r="A264" s="1" t="n"/>
      <c r="B264" s="18" t="n"/>
      <c r="C264" s="16" t="n"/>
      <c r="D264" s="19" t="n"/>
      <c r="E264" s="17" t="n"/>
      <c r="F264" s="22" t="n"/>
      <c r="G264" s="14">
        <f>IF(C264="","",IFERROR(VALUE(LEFT(C264,FIND(" ",C264&amp;" ")-1)),""))</f>
        <v/>
      </c>
      <c r="H264" s="26">
        <f>IF(C264="","",IF(G264="","Pick a loan",IFERROR(IF(INDEX(Loans!$C$6:$C$305,MATCH(G264,Loans!$B$6:$B$305,0))="","Not a loan",INDEX(Loans!$C$6:$C$305,MATCH(G264,Loans!$B$6:$B$305,0))),"Not a loan")))</f>
        <v/>
      </c>
      <c r="I264" s="10">
        <f>IF(OR(G264="",H264="Not a loan"),"",IF(INDEX(Loans!$D$6:$D$305,MATCH(G264,Loans!$B$6:$B$305,0))="I borrowed","Out","In"))</f>
        <v/>
      </c>
      <c r="J264" s="1">
        <f>IF(NOT(ISNUMBER(B264)),"",YEAR(B264)*100+MONTH(B264))</f>
        <v/>
      </c>
      <c r="K264">
        <f>IF(OR(G264="",NOT(ISNUMBER(B264))),"",IF(G264=Statement!$H$2,B264*1000+ROW(),""))</f>
        <v/>
      </c>
    </row>
    <row r="265">
      <c r="A265" s="1" t="n"/>
      <c r="B265" s="18" t="n"/>
      <c r="C265" s="16" t="n"/>
      <c r="D265" s="19" t="n"/>
      <c r="E265" s="17" t="n"/>
      <c r="F265" s="22" t="n"/>
      <c r="G265" s="14">
        <f>IF(C265="","",IFERROR(VALUE(LEFT(C265,FIND(" ",C265&amp;" ")-1)),""))</f>
        <v/>
      </c>
      <c r="H265" s="26">
        <f>IF(C265="","",IF(G265="","Pick a loan",IFERROR(IF(INDEX(Loans!$C$6:$C$305,MATCH(G265,Loans!$B$6:$B$305,0))="","Not a loan",INDEX(Loans!$C$6:$C$305,MATCH(G265,Loans!$B$6:$B$305,0))),"Not a loan")))</f>
        <v/>
      </c>
      <c r="I265" s="10">
        <f>IF(OR(G265="",H265="Not a loan"),"",IF(INDEX(Loans!$D$6:$D$305,MATCH(G265,Loans!$B$6:$B$305,0))="I borrowed","Out","In"))</f>
        <v/>
      </c>
      <c r="J265" s="1">
        <f>IF(NOT(ISNUMBER(B265)),"",YEAR(B265)*100+MONTH(B265))</f>
        <v/>
      </c>
      <c r="K265">
        <f>IF(OR(G265="",NOT(ISNUMBER(B265))),"",IF(G265=Statement!$H$2,B265*1000+ROW(),""))</f>
        <v/>
      </c>
    </row>
    <row r="266">
      <c r="A266" s="1" t="n"/>
      <c r="B266" s="18" t="n"/>
      <c r="C266" s="16" t="n"/>
      <c r="D266" s="19" t="n"/>
      <c r="E266" s="17" t="n"/>
      <c r="F266" s="22" t="n"/>
      <c r="G266" s="14">
        <f>IF(C266="","",IFERROR(VALUE(LEFT(C266,FIND(" ",C266&amp;" ")-1)),""))</f>
        <v/>
      </c>
      <c r="H266" s="26">
        <f>IF(C266="","",IF(G266="","Pick a loan",IFERROR(IF(INDEX(Loans!$C$6:$C$305,MATCH(G266,Loans!$B$6:$B$305,0))="","Not a loan",INDEX(Loans!$C$6:$C$305,MATCH(G266,Loans!$B$6:$B$305,0))),"Not a loan")))</f>
        <v/>
      </c>
      <c r="I266" s="10">
        <f>IF(OR(G266="",H266="Not a loan"),"",IF(INDEX(Loans!$D$6:$D$305,MATCH(G266,Loans!$B$6:$B$305,0))="I borrowed","Out","In"))</f>
        <v/>
      </c>
      <c r="J266" s="1">
        <f>IF(NOT(ISNUMBER(B266)),"",YEAR(B266)*100+MONTH(B266))</f>
        <v/>
      </c>
      <c r="K266">
        <f>IF(OR(G266="",NOT(ISNUMBER(B266))),"",IF(G266=Statement!$H$2,B266*1000+ROW(),""))</f>
        <v/>
      </c>
    </row>
    <row r="267">
      <c r="A267" s="1" t="n"/>
      <c r="B267" s="18" t="n"/>
      <c r="C267" s="16" t="n"/>
      <c r="D267" s="19" t="n"/>
      <c r="E267" s="17" t="n"/>
      <c r="F267" s="22" t="n"/>
      <c r="G267" s="14">
        <f>IF(C267="","",IFERROR(VALUE(LEFT(C267,FIND(" ",C267&amp;" ")-1)),""))</f>
        <v/>
      </c>
      <c r="H267" s="26">
        <f>IF(C267="","",IF(G267="","Pick a loan",IFERROR(IF(INDEX(Loans!$C$6:$C$305,MATCH(G267,Loans!$B$6:$B$305,0))="","Not a loan",INDEX(Loans!$C$6:$C$305,MATCH(G267,Loans!$B$6:$B$305,0))),"Not a loan")))</f>
        <v/>
      </c>
      <c r="I267" s="10">
        <f>IF(OR(G267="",H267="Not a loan"),"",IF(INDEX(Loans!$D$6:$D$305,MATCH(G267,Loans!$B$6:$B$305,0))="I borrowed","Out","In"))</f>
        <v/>
      </c>
      <c r="J267" s="1">
        <f>IF(NOT(ISNUMBER(B267)),"",YEAR(B267)*100+MONTH(B267))</f>
        <v/>
      </c>
      <c r="K267">
        <f>IF(OR(G267="",NOT(ISNUMBER(B267))),"",IF(G267=Statement!$H$2,B267*1000+ROW(),""))</f>
        <v/>
      </c>
    </row>
    <row r="268">
      <c r="A268" s="1" t="n"/>
      <c r="B268" s="18" t="n"/>
      <c r="C268" s="16" t="n"/>
      <c r="D268" s="19" t="n"/>
      <c r="E268" s="17" t="n"/>
      <c r="F268" s="22" t="n"/>
      <c r="G268" s="14">
        <f>IF(C268="","",IFERROR(VALUE(LEFT(C268,FIND(" ",C268&amp;" ")-1)),""))</f>
        <v/>
      </c>
      <c r="H268" s="26">
        <f>IF(C268="","",IF(G268="","Pick a loan",IFERROR(IF(INDEX(Loans!$C$6:$C$305,MATCH(G268,Loans!$B$6:$B$305,0))="","Not a loan",INDEX(Loans!$C$6:$C$305,MATCH(G268,Loans!$B$6:$B$305,0))),"Not a loan")))</f>
        <v/>
      </c>
      <c r="I268" s="10">
        <f>IF(OR(G268="",H268="Not a loan"),"",IF(INDEX(Loans!$D$6:$D$305,MATCH(G268,Loans!$B$6:$B$305,0))="I borrowed","Out","In"))</f>
        <v/>
      </c>
      <c r="J268" s="1">
        <f>IF(NOT(ISNUMBER(B268)),"",YEAR(B268)*100+MONTH(B268))</f>
        <v/>
      </c>
      <c r="K268">
        <f>IF(OR(G268="",NOT(ISNUMBER(B268))),"",IF(G268=Statement!$H$2,B268*1000+ROW(),""))</f>
        <v/>
      </c>
    </row>
    <row r="269">
      <c r="A269" s="1" t="n"/>
      <c r="B269" s="18" t="n"/>
      <c r="C269" s="16" t="n"/>
      <c r="D269" s="19" t="n"/>
      <c r="E269" s="17" t="n"/>
      <c r="F269" s="22" t="n"/>
      <c r="G269" s="14">
        <f>IF(C269="","",IFERROR(VALUE(LEFT(C269,FIND(" ",C269&amp;" ")-1)),""))</f>
        <v/>
      </c>
      <c r="H269" s="26">
        <f>IF(C269="","",IF(G269="","Pick a loan",IFERROR(IF(INDEX(Loans!$C$6:$C$305,MATCH(G269,Loans!$B$6:$B$305,0))="","Not a loan",INDEX(Loans!$C$6:$C$305,MATCH(G269,Loans!$B$6:$B$305,0))),"Not a loan")))</f>
        <v/>
      </c>
      <c r="I269" s="10">
        <f>IF(OR(G269="",H269="Not a loan"),"",IF(INDEX(Loans!$D$6:$D$305,MATCH(G269,Loans!$B$6:$B$305,0))="I borrowed","Out","In"))</f>
        <v/>
      </c>
      <c r="J269" s="1">
        <f>IF(NOT(ISNUMBER(B269)),"",YEAR(B269)*100+MONTH(B269))</f>
        <v/>
      </c>
      <c r="K269">
        <f>IF(OR(G269="",NOT(ISNUMBER(B269))),"",IF(G269=Statement!$H$2,B269*1000+ROW(),""))</f>
        <v/>
      </c>
    </row>
    <row r="270">
      <c r="A270" s="1" t="n"/>
      <c r="B270" s="18" t="n"/>
      <c r="C270" s="16" t="n"/>
      <c r="D270" s="19" t="n"/>
      <c r="E270" s="17" t="n"/>
      <c r="F270" s="22" t="n"/>
      <c r="G270" s="14">
        <f>IF(C270="","",IFERROR(VALUE(LEFT(C270,FIND(" ",C270&amp;" ")-1)),""))</f>
        <v/>
      </c>
      <c r="H270" s="26">
        <f>IF(C270="","",IF(G270="","Pick a loan",IFERROR(IF(INDEX(Loans!$C$6:$C$305,MATCH(G270,Loans!$B$6:$B$305,0))="","Not a loan",INDEX(Loans!$C$6:$C$305,MATCH(G270,Loans!$B$6:$B$305,0))),"Not a loan")))</f>
        <v/>
      </c>
      <c r="I270" s="10">
        <f>IF(OR(G270="",H270="Not a loan"),"",IF(INDEX(Loans!$D$6:$D$305,MATCH(G270,Loans!$B$6:$B$305,0))="I borrowed","Out","In"))</f>
        <v/>
      </c>
      <c r="J270" s="1">
        <f>IF(NOT(ISNUMBER(B270)),"",YEAR(B270)*100+MONTH(B270))</f>
        <v/>
      </c>
      <c r="K270">
        <f>IF(OR(G270="",NOT(ISNUMBER(B270))),"",IF(G270=Statement!$H$2,B270*1000+ROW(),""))</f>
        <v/>
      </c>
    </row>
    <row r="271">
      <c r="A271" s="1" t="n"/>
      <c r="B271" s="18" t="n"/>
      <c r="C271" s="16" t="n"/>
      <c r="D271" s="19" t="n"/>
      <c r="E271" s="17" t="n"/>
      <c r="F271" s="22" t="n"/>
      <c r="G271" s="14">
        <f>IF(C271="","",IFERROR(VALUE(LEFT(C271,FIND(" ",C271&amp;" ")-1)),""))</f>
        <v/>
      </c>
      <c r="H271" s="26">
        <f>IF(C271="","",IF(G271="","Pick a loan",IFERROR(IF(INDEX(Loans!$C$6:$C$305,MATCH(G271,Loans!$B$6:$B$305,0))="","Not a loan",INDEX(Loans!$C$6:$C$305,MATCH(G271,Loans!$B$6:$B$305,0))),"Not a loan")))</f>
        <v/>
      </c>
      <c r="I271" s="10">
        <f>IF(OR(G271="",H271="Not a loan"),"",IF(INDEX(Loans!$D$6:$D$305,MATCH(G271,Loans!$B$6:$B$305,0))="I borrowed","Out","In"))</f>
        <v/>
      </c>
      <c r="J271" s="1">
        <f>IF(NOT(ISNUMBER(B271)),"",YEAR(B271)*100+MONTH(B271))</f>
        <v/>
      </c>
      <c r="K271">
        <f>IF(OR(G271="",NOT(ISNUMBER(B271))),"",IF(G271=Statement!$H$2,B271*1000+ROW(),""))</f>
        <v/>
      </c>
    </row>
    <row r="272">
      <c r="A272" s="1" t="n"/>
      <c r="B272" s="18" t="n"/>
      <c r="C272" s="16" t="n"/>
      <c r="D272" s="19" t="n"/>
      <c r="E272" s="17" t="n"/>
      <c r="F272" s="22" t="n"/>
      <c r="G272" s="14">
        <f>IF(C272="","",IFERROR(VALUE(LEFT(C272,FIND(" ",C272&amp;" ")-1)),""))</f>
        <v/>
      </c>
      <c r="H272" s="26">
        <f>IF(C272="","",IF(G272="","Pick a loan",IFERROR(IF(INDEX(Loans!$C$6:$C$305,MATCH(G272,Loans!$B$6:$B$305,0))="","Not a loan",INDEX(Loans!$C$6:$C$305,MATCH(G272,Loans!$B$6:$B$305,0))),"Not a loan")))</f>
        <v/>
      </c>
      <c r="I272" s="10">
        <f>IF(OR(G272="",H272="Not a loan"),"",IF(INDEX(Loans!$D$6:$D$305,MATCH(G272,Loans!$B$6:$B$305,0))="I borrowed","Out","In"))</f>
        <v/>
      </c>
      <c r="J272" s="1">
        <f>IF(NOT(ISNUMBER(B272)),"",YEAR(B272)*100+MONTH(B272))</f>
        <v/>
      </c>
      <c r="K272">
        <f>IF(OR(G272="",NOT(ISNUMBER(B272))),"",IF(G272=Statement!$H$2,B272*1000+ROW(),""))</f>
        <v/>
      </c>
    </row>
    <row r="273">
      <c r="A273" s="1" t="n"/>
      <c r="B273" s="18" t="n"/>
      <c r="C273" s="16" t="n"/>
      <c r="D273" s="19" t="n"/>
      <c r="E273" s="17" t="n"/>
      <c r="F273" s="22" t="n"/>
      <c r="G273" s="14">
        <f>IF(C273="","",IFERROR(VALUE(LEFT(C273,FIND(" ",C273&amp;" ")-1)),""))</f>
        <v/>
      </c>
      <c r="H273" s="26">
        <f>IF(C273="","",IF(G273="","Pick a loan",IFERROR(IF(INDEX(Loans!$C$6:$C$305,MATCH(G273,Loans!$B$6:$B$305,0))="","Not a loan",INDEX(Loans!$C$6:$C$305,MATCH(G273,Loans!$B$6:$B$305,0))),"Not a loan")))</f>
        <v/>
      </c>
      <c r="I273" s="10">
        <f>IF(OR(G273="",H273="Not a loan"),"",IF(INDEX(Loans!$D$6:$D$305,MATCH(G273,Loans!$B$6:$B$305,0))="I borrowed","Out","In"))</f>
        <v/>
      </c>
      <c r="J273" s="1">
        <f>IF(NOT(ISNUMBER(B273)),"",YEAR(B273)*100+MONTH(B273))</f>
        <v/>
      </c>
      <c r="K273">
        <f>IF(OR(G273="",NOT(ISNUMBER(B273))),"",IF(G273=Statement!$H$2,B273*1000+ROW(),""))</f>
        <v/>
      </c>
    </row>
    <row r="274">
      <c r="A274" s="1" t="n"/>
      <c r="B274" s="18" t="n"/>
      <c r="C274" s="16" t="n"/>
      <c r="D274" s="19" t="n"/>
      <c r="E274" s="17" t="n"/>
      <c r="F274" s="22" t="n"/>
      <c r="G274" s="14">
        <f>IF(C274="","",IFERROR(VALUE(LEFT(C274,FIND(" ",C274&amp;" ")-1)),""))</f>
        <v/>
      </c>
      <c r="H274" s="26">
        <f>IF(C274="","",IF(G274="","Pick a loan",IFERROR(IF(INDEX(Loans!$C$6:$C$305,MATCH(G274,Loans!$B$6:$B$305,0))="","Not a loan",INDEX(Loans!$C$6:$C$305,MATCH(G274,Loans!$B$6:$B$305,0))),"Not a loan")))</f>
        <v/>
      </c>
      <c r="I274" s="10">
        <f>IF(OR(G274="",H274="Not a loan"),"",IF(INDEX(Loans!$D$6:$D$305,MATCH(G274,Loans!$B$6:$B$305,0))="I borrowed","Out","In"))</f>
        <v/>
      </c>
      <c r="J274" s="1">
        <f>IF(NOT(ISNUMBER(B274)),"",YEAR(B274)*100+MONTH(B274))</f>
        <v/>
      </c>
      <c r="K274">
        <f>IF(OR(G274="",NOT(ISNUMBER(B274))),"",IF(G274=Statement!$H$2,B274*1000+ROW(),""))</f>
        <v/>
      </c>
    </row>
    <row r="275">
      <c r="A275" s="1" t="n"/>
      <c r="B275" s="18" t="n"/>
      <c r="C275" s="16" t="n"/>
      <c r="D275" s="19" t="n"/>
      <c r="E275" s="17" t="n"/>
      <c r="F275" s="22" t="n"/>
      <c r="G275" s="14">
        <f>IF(C275="","",IFERROR(VALUE(LEFT(C275,FIND(" ",C275&amp;" ")-1)),""))</f>
        <v/>
      </c>
      <c r="H275" s="26">
        <f>IF(C275="","",IF(G275="","Pick a loan",IFERROR(IF(INDEX(Loans!$C$6:$C$305,MATCH(G275,Loans!$B$6:$B$305,0))="","Not a loan",INDEX(Loans!$C$6:$C$305,MATCH(G275,Loans!$B$6:$B$305,0))),"Not a loan")))</f>
        <v/>
      </c>
      <c r="I275" s="10">
        <f>IF(OR(G275="",H275="Not a loan"),"",IF(INDEX(Loans!$D$6:$D$305,MATCH(G275,Loans!$B$6:$B$305,0))="I borrowed","Out","In"))</f>
        <v/>
      </c>
      <c r="J275" s="1">
        <f>IF(NOT(ISNUMBER(B275)),"",YEAR(B275)*100+MONTH(B275))</f>
        <v/>
      </c>
      <c r="K275">
        <f>IF(OR(G275="",NOT(ISNUMBER(B275))),"",IF(G275=Statement!$H$2,B275*1000+ROW(),""))</f>
        <v/>
      </c>
    </row>
    <row r="276">
      <c r="A276" s="1" t="n"/>
      <c r="B276" s="18" t="n"/>
      <c r="C276" s="16" t="n"/>
      <c r="D276" s="19" t="n"/>
      <c r="E276" s="17" t="n"/>
      <c r="F276" s="22" t="n"/>
      <c r="G276" s="14">
        <f>IF(C276="","",IFERROR(VALUE(LEFT(C276,FIND(" ",C276&amp;" ")-1)),""))</f>
        <v/>
      </c>
      <c r="H276" s="26">
        <f>IF(C276="","",IF(G276="","Pick a loan",IFERROR(IF(INDEX(Loans!$C$6:$C$305,MATCH(G276,Loans!$B$6:$B$305,0))="","Not a loan",INDEX(Loans!$C$6:$C$305,MATCH(G276,Loans!$B$6:$B$305,0))),"Not a loan")))</f>
        <v/>
      </c>
      <c r="I276" s="10">
        <f>IF(OR(G276="",H276="Not a loan"),"",IF(INDEX(Loans!$D$6:$D$305,MATCH(G276,Loans!$B$6:$B$305,0))="I borrowed","Out","In"))</f>
        <v/>
      </c>
      <c r="J276" s="1">
        <f>IF(NOT(ISNUMBER(B276)),"",YEAR(B276)*100+MONTH(B276))</f>
        <v/>
      </c>
      <c r="K276">
        <f>IF(OR(G276="",NOT(ISNUMBER(B276))),"",IF(G276=Statement!$H$2,B276*1000+ROW(),""))</f>
        <v/>
      </c>
    </row>
    <row r="277">
      <c r="A277" s="1" t="n"/>
      <c r="B277" s="18" t="n"/>
      <c r="C277" s="16" t="n"/>
      <c r="D277" s="19" t="n"/>
      <c r="E277" s="17" t="n"/>
      <c r="F277" s="22" t="n"/>
      <c r="G277" s="14">
        <f>IF(C277="","",IFERROR(VALUE(LEFT(C277,FIND(" ",C277&amp;" ")-1)),""))</f>
        <v/>
      </c>
      <c r="H277" s="26">
        <f>IF(C277="","",IF(G277="","Pick a loan",IFERROR(IF(INDEX(Loans!$C$6:$C$305,MATCH(G277,Loans!$B$6:$B$305,0))="","Not a loan",INDEX(Loans!$C$6:$C$305,MATCH(G277,Loans!$B$6:$B$305,0))),"Not a loan")))</f>
        <v/>
      </c>
      <c r="I277" s="10">
        <f>IF(OR(G277="",H277="Not a loan"),"",IF(INDEX(Loans!$D$6:$D$305,MATCH(G277,Loans!$B$6:$B$305,0))="I borrowed","Out","In"))</f>
        <v/>
      </c>
      <c r="J277" s="1">
        <f>IF(NOT(ISNUMBER(B277)),"",YEAR(B277)*100+MONTH(B277))</f>
        <v/>
      </c>
      <c r="K277">
        <f>IF(OR(G277="",NOT(ISNUMBER(B277))),"",IF(G277=Statement!$H$2,B277*1000+ROW(),""))</f>
        <v/>
      </c>
    </row>
    <row r="278">
      <c r="A278" s="1" t="n"/>
      <c r="B278" s="18" t="n"/>
      <c r="C278" s="16" t="n"/>
      <c r="D278" s="19" t="n"/>
      <c r="E278" s="17" t="n"/>
      <c r="F278" s="22" t="n"/>
      <c r="G278" s="14">
        <f>IF(C278="","",IFERROR(VALUE(LEFT(C278,FIND(" ",C278&amp;" ")-1)),""))</f>
        <v/>
      </c>
      <c r="H278" s="26">
        <f>IF(C278="","",IF(G278="","Pick a loan",IFERROR(IF(INDEX(Loans!$C$6:$C$305,MATCH(G278,Loans!$B$6:$B$305,0))="","Not a loan",INDEX(Loans!$C$6:$C$305,MATCH(G278,Loans!$B$6:$B$305,0))),"Not a loan")))</f>
        <v/>
      </c>
      <c r="I278" s="10">
        <f>IF(OR(G278="",H278="Not a loan"),"",IF(INDEX(Loans!$D$6:$D$305,MATCH(G278,Loans!$B$6:$B$305,0))="I borrowed","Out","In"))</f>
        <v/>
      </c>
      <c r="J278" s="1">
        <f>IF(NOT(ISNUMBER(B278)),"",YEAR(B278)*100+MONTH(B278))</f>
        <v/>
      </c>
      <c r="K278">
        <f>IF(OR(G278="",NOT(ISNUMBER(B278))),"",IF(G278=Statement!$H$2,B278*1000+ROW(),""))</f>
        <v/>
      </c>
    </row>
    <row r="279">
      <c r="A279" s="1" t="n"/>
      <c r="B279" s="18" t="n"/>
      <c r="C279" s="16" t="n"/>
      <c r="D279" s="19" t="n"/>
      <c r="E279" s="17" t="n"/>
      <c r="F279" s="22" t="n"/>
      <c r="G279" s="14">
        <f>IF(C279="","",IFERROR(VALUE(LEFT(C279,FIND(" ",C279&amp;" ")-1)),""))</f>
        <v/>
      </c>
      <c r="H279" s="26">
        <f>IF(C279="","",IF(G279="","Pick a loan",IFERROR(IF(INDEX(Loans!$C$6:$C$305,MATCH(G279,Loans!$B$6:$B$305,0))="","Not a loan",INDEX(Loans!$C$6:$C$305,MATCH(G279,Loans!$B$6:$B$305,0))),"Not a loan")))</f>
        <v/>
      </c>
      <c r="I279" s="10">
        <f>IF(OR(G279="",H279="Not a loan"),"",IF(INDEX(Loans!$D$6:$D$305,MATCH(G279,Loans!$B$6:$B$305,0))="I borrowed","Out","In"))</f>
        <v/>
      </c>
      <c r="J279" s="1">
        <f>IF(NOT(ISNUMBER(B279)),"",YEAR(B279)*100+MONTH(B279))</f>
        <v/>
      </c>
      <c r="K279">
        <f>IF(OR(G279="",NOT(ISNUMBER(B279))),"",IF(G279=Statement!$H$2,B279*1000+ROW(),""))</f>
        <v/>
      </c>
    </row>
    <row r="280">
      <c r="A280" s="1" t="n"/>
      <c r="B280" s="18" t="n"/>
      <c r="C280" s="16" t="n"/>
      <c r="D280" s="19" t="n"/>
      <c r="E280" s="17" t="n"/>
      <c r="F280" s="22" t="n"/>
      <c r="G280" s="14">
        <f>IF(C280="","",IFERROR(VALUE(LEFT(C280,FIND(" ",C280&amp;" ")-1)),""))</f>
        <v/>
      </c>
      <c r="H280" s="26">
        <f>IF(C280="","",IF(G280="","Pick a loan",IFERROR(IF(INDEX(Loans!$C$6:$C$305,MATCH(G280,Loans!$B$6:$B$305,0))="","Not a loan",INDEX(Loans!$C$6:$C$305,MATCH(G280,Loans!$B$6:$B$305,0))),"Not a loan")))</f>
        <v/>
      </c>
      <c r="I280" s="10">
        <f>IF(OR(G280="",H280="Not a loan"),"",IF(INDEX(Loans!$D$6:$D$305,MATCH(G280,Loans!$B$6:$B$305,0))="I borrowed","Out","In"))</f>
        <v/>
      </c>
      <c r="J280" s="1">
        <f>IF(NOT(ISNUMBER(B280)),"",YEAR(B280)*100+MONTH(B280))</f>
        <v/>
      </c>
      <c r="K280">
        <f>IF(OR(G280="",NOT(ISNUMBER(B280))),"",IF(G280=Statement!$H$2,B280*1000+ROW(),""))</f>
        <v/>
      </c>
    </row>
    <row r="281">
      <c r="A281" s="1" t="n"/>
      <c r="B281" s="18" t="n"/>
      <c r="C281" s="16" t="n"/>
      <c r="D281" s="19" t="n"/>
      <c r="E281" s="17" t="n"/>
      <c r="F281" s="22" t="n"/>
      <c r="G281" s="14">
        <f>IF(C281="","",IFERROR(VALUE(LEFT(C281,FIND(" ",C281&amp;" ")-1)),""))</f>
        <v/>
      </c>
      <c r="H281" s="26">
        <f>IF(C281="","",IF(G281="","Pick a loan",IFERROR(IF(INDEX(Loans!$C$6:$C$305,MATCH(G281,Loans!$B$6:$B$305,0))="","Not a loan",INDEX(Loans!$C$6:$C$305,MATCH(G281,Loans!$B$6:$B$305,0))),"Not a loan")))</f>
        <v/>
      </c>
      <c r="I281" s="10">
        <f>IF(OR(G281="",H281="Not a loan"),"",IF(INDEX(Loans!$D$6:$D$305,MATCH(G281,Loans!$B$6:$B$305,0))="I borrowed","Out","In"))</f>
        <v/>
      </c>
      <c r="J281" s="1">
        <f>IF(NOT(ISNUMBER(B281)),"",YEAR(B281)*100+MONTH(B281))</f>
        <v/>
      </c>
      <c r="K281">
        <f>IF(OR(G281="",NOT(ISNUMBER(B281))),"",IF(G281=Statement!$H$2,B281*1000+ROW(),""))</f>
        <v/>
      </c>
    </row>
    <row r="282">
      <c r="A282" s="1" t="n"/>
      <c r="B282" s="18" t="n"/>
      <c r="C282" s="16" t="n"/>
      <c r="D282" s="19" t="n"/>
      <c r="E282" s="17" t="n"/>
      <c r="F282" s="22" t="n"/>
      <c r="G282" s="14">
        <f>IF(C282="","",IFERROR(VALUE(LEFT(C282,FIND(" ",C282&amp;" ")-1)),""))</f>
        <v/>
      </c>
      <c r="H282" s="26">
        <f>IF(C282="","",IF(G282="","Pick a loan",IFERROR(IF(INDEX(Loans!$C$6:$C$305,MATCH(G282,Loans!$B$6:$B$305,0))="","Not a loan",INDEX(Loans!$C$6:$C$305,MATCH(G282,Loans!$B$6:$B$305,0))),"Not a loan")))</f>
        <v/>
      </c>
      <c r="I282" s="10">
        <f>IF(OR(G282="",H282="Not a loan"),"",IF(INDEX(Loans!$D$6:$D$305,MATCH(G282,Loans!$B$6:$B$305,0))="I borrowed","Out","In"))</f>
        <v/>
      </c>
      <c r="J282" s="1">
        <f>IF(NOT(ISNUMBER(B282)),"",YEAR(B282)*100+MONTH(B282))</f>
        <v/>
      </c>
      <c r="K282">
        <f>IF(OR(G282="",NOT(ISNUMBER(B282))),"",IF(G282=Statement!$H$2,B282*1000+ROW(),""))</f>
        <v/>
      </c>
    </row>
    <row r="283">
      <c r="A283" s="1" t="n"/>
      <c r="B283" s="18" t="n"/>
      <c r="C283" s="16" t="n"/>
      <c r="D283" s="19" t="n"/>
      <c r="E283" s="17" t="n"/>
      <c r="F283" s="22" t="n"/>
      <c r="G283" s="14">
        <f>IF(C283="","",IFERROR(VALUE(LEFT(C283,FIND(" ",C283&amp;" ")-1)),""))</f>
        <v/>
      </c>
      <c r="H283" s="26">
        <f>IF(C283="","",IF(G283="","Pick a loan",IFERROR(IF(INDEX(Loans!$C$6:$C$305,MATCH(G283,Loans!$B$6:$B$305,0))="","Not a loan",INDEX(Loans!$C$6:$C$305,MATCH(G283,Loans!$B$6:$B$305,0))),"Not a loan")))</f>
        <v/>
      </c>
      <c r="I283" s="10">
        <f>IF(OR(G283="",H283="Not a loan"),"",IF(INDEX(Loans!$D$6:$D$305,MATCH(G283,Loans!$B$6:$B$305,0))="I borrowed","Out","In"))</f>
        <v/>
      </c>
      <c r="J283" s="1">
        <f>IF(NOT(ISNUMBER(B283)),"",YEAR(B283)*100+MONTH(B283))</f>
        <v/>
      </c>
      <c r="K283">
        <f>IF(OR(G283="",NOT(ISNUMBER(B283))),"",IF(G283=Statement!$H$2,B283*1000+ROW(),""))</f>
        <v/>
      </c>
    </row>
    <row r="284">
      <c r="A284" s="1" t="n"/>
      <c r="B284" s="18" t="n"/>
      <c r="C284" s="16" t="n"/>
      <c r="D284" s="19" t="n"/>
      <c r="E284" s="17" t="n"/>
      <c r="F284" s="22" t="n"/>
      <c r="G284" s="14">
        <f>IF(C284="","",IFERROR(VALUE(LEFT(C284,FIND(" ",C284&amp;" ")-1)),""))</f>
        <v/>
      </c>
      <c r="H284" s="26">
        <f>IF(C284="","",IF(G284="","Pick a loan",IFERROR(IF(INDEX(Loans!$C$6:$C$305,MATCH(G284,Loans!$B$6:$B$305,0))="","Not a loan",INDEX(Loans!$C$6:$C$305,MATCH(G284,Loans!$B$6:$B$305,0))),"Not a loan")))</f>
        <v/>
      </c>
      <c r="I284" s="10">
        <f>IF(OR(G284="",H284="Not a loan"),"",IF(INDEX(Loans!$D$6:$D$305,MATCH(G284,Loans!$B$6:$B$305,0))="I borrowed","Out","In"))</f>
        <v/>
      </c>
      <c r="J284" s="1">
        <f>IF(NOT(ISNUMBER(B284)),"",YEAR(B284)*100+MONTH(B284))</f>
        <v/>
      </c>
      <c r="K284">
        <f>IF(OR(G284="",NOT(ISNUMBER(B284))),"",IF(G284=Statement!$H$2,B284*1000+ROW(),""))</f>
        <v/>
      </c>
    </row>
    <row r="285">
      <c r="A285" s="1" t="n"/>
      <c r="B285" s="18" t="n"/>
      <c r="C285" s="16" t="n"/>
      <c r="D285" s="19" t="n"/>
      <c r="E285" s="17" t="n"/>
      <c r="F285" s="22" t="n"/>
      <c r="G285" s="14">
        <f>IF(C285="","",IFERROR(VALUE(LEFT(C285,FIND(" ",C285&amp;" ")-1)),""))</f>
        <v/>
      </c>
      <c r="H285" s="26">
        <f>IF(C285="","",IF(G285="","Pick a loan",IFERROR(IF(INDEX(Loans!$C$6:$C$305,MATCH(G285,Loans!$B$6:$B$305,0))="","Not a loan",INDEX(Loans!$C$6:$C$305,MATCH(G285,Loans!$B$6:$B$305,0))),"Not a loan")))</f>
        <v/>
      </c>
      <c r="I285" s="10">
        <f>IF(OR(G285="",H285="Not a loan"),"",IF(INDEX(Loans!$D$6:$D$305,MATCH(G285,Loans!$B$6:$B$305,0))="I borrowed","Out","In"))</f>
        <v/>
      </c>
      <c r="J285" s="1">
        <f>IF(NOT(ISNUMBER(B285)),"",YEAR(B285)*100+MONTH(B285))</f>
        <v/>
      </c>
      <c r="K285">
        <f>IF(OR(G285="",NOT(ISNUMBER(B285))),"",IF(G285=Statement!$H$2,B285*1000+ROW(),""))</f>
        <v/>
      </c>
    </row>
    <row r="286">
      <c r="A286" s="1" t="n"/>
      <c r="B286" s="18" t="n"/>
      <c r="C286" s="16" t="n"/>
      <c r="D286" s="19" t="n"/>
      <c r="E286" s="17" t="n"/>
      <c r="F286" s="22" t="n"/>
      <c r="G286" s="14">
        <f>IF(C286="","",IFERROR(VALUE(LEFT(C286,FIND(" ",C286&amp;" ")-1)),""))</f>
        <v/>
      </c>
      <c r="H286" s="26">
        <f>IF(C286="","",IF(G286="","Pick a loan",IFERROR(IF(INDEX(Loans!$C$6:$C$305,MATCH(G286,Loans!$B$6:$B$305,0))="","Not a loan",INDEX(Loans!$C$6:$C$305,MATCH(G286,Loans!$B$6:$B$305,0))),"Not a loan")))</f>
        <v/>
      </c>
      <c r="I286" s="10">
        <f>IF(OR(G286="",H286="Not a loan"),"",IF(INDEX(Loans!$D$6:$D$305,MATCH(G286,Loans!$B$6:$B$305,0))="I borrowed","Out","In"))</f>
        <v/>
      </c>
      <c r="J286" s="1">
        <f>IF(NOT(ISNUMBER(B286)),"",YEAR(B286)*100+MONTH(B286))</f>
        <v/>
      </c>
      <c r="K286">
        <f>IF(OR(G286="",NOT(ISNUMBER(B286))),"",IF(G286=Statement!$H$2,B286*1000+ROW(),""))</f>
        <v/>
      </c>
    </row>
    <row r="287">
      <c r="A287" s="1" t="n"/>
      <c r="B287" s="18" t="n"/>
      <c r="C287" s="16" t="n"/>
      <c r="D287" s="19" t="n"/>
      <c r="E287" s="17" t="n"/>
      <c r="F287" s="22" t="n"/>
      <c r="G287" s="14">
        <f>IF(C287="","",IFERROR(VALUE(LEFT(C287,FIND(" ",C287&amp;" ")-1)),""))</f>
        <v/>
      </c>
      <c r="H287" s="26">
        <f>IF(C287="","",IF(G287="","Pick a loan",IFERROR(IF(INDEX(Loans!$C$6:$C$305,MATCH(G287,Loans!$B$6:$B$305,0))="","Not a loan",INDEX(Loans!$C$6:$C$305,MATCH(G287,Loans!$B$6:$B$305,0))),"Not a loan")))</f>
        <v/>
      </c>
      <c r="I287" s="10">
        <f>IF(OR(G287="",H287="Not a loan"),"",IF(INDEX(Loans!$D$6:$D$305,MATCH(G287,Loans!$B$6:$B$305,0))="I borrowed","Out","In"))</f>
        <v/>
      </c>
      <c r="J287" s="1">
        <f>IF(NOT(ISNUMBER(B287)),"",YEAR(B287)*100+MONTH(B287))</f>
        <v/>
      </c>
      <c r="K287">
        <f>IF(OR(G287="",NOT(ISNUMBER(B287))),"",IF(G287=Statement!$H$2,B287*1000+ROW(),""))</f>
        <v/>
      </c>
    </row>
    <row r="288">
      <c r="A288" s="1" t="n"/>
      <c r="B288" s="18" t="n"/>
      <c r="C288" s="16" t="n"/>
      <c r="D288" s="19" t="n"/>
      <c r="E288" s="17" t="n"/>
      <c r="F288" s="22" t="n"/>
      <c r="G288" s="14">
        <f>IF(C288="","",IFERROR(VALUE(LEFT(C288,FIND(" ",C288&amp;" ")-1)),""))</f>
        <v/>
      </c>
      <c r="H288" s="26">
        <f>IF(C288="","",IF(G288="","Pick a loan",IFERROR(IF(INDEX(Loans!$C$6:$C$305,MATCH(G288,Loans!$B$6:$B$305,0))="","Not a loan",INDEX(Loans!$C$6:$C$305,MATCH(G288,Loans!$B$6:$B$305,0))),"Not a loan")))</f>
        <v/>
      </c>
      <c r="I288" s="10">
        <f>IF(OR(G288="",H288="Not a loan"),"",IF(INDEX(Loans!$D$6:$D$305,MATCH(G288,Loans!$B$6:$B$305,0))="I borrowed","Out","In"))</f>
        <v/>
      </c>
      <c r="J288" s="1">
        <f>IF(NOT(ISNUMBER(B288)),"",YEAR(B288)*100+MONTH(B288))</f>
        <v/>
      </c>
      <c r="K288">
        <f>IF(OR(G288="",NOT(ISNUMBER(B288))),"",IF(G288=Statement!$H$2,B288*1000+ROW(),""))</f>
        <v/>
      </c>
    </row>
    <row r="289">
      <c r="A289" s="1" t="n"/>
      <c r="B289" s="18" t="n"/>
      <c r="C289" s="16" t="n"/>
      <c r="D289" s="19" t="n"/>
      <c r="E289" s="17" t="n"/>
      <c r="F289" s="22" t="n"/>
      <c r="G289" s="14">
        <f>IF(C289="","",IFERROR(VALUE(LEFT(C289,FIND(" ",C289&amp;" ")-1)),""))</f>
        <v/>
      </c>
      <c r="H289" s="26">
        <f>IF(C289="","",IF(G289="","Pick a loan",IFERROR(IF(INDEX(Loans!$C$6:$C$305,MATCH(G289,Loans!$B$6:$B$305,0))="","Not a loan",INDEX(Loans!$C$6:$C$305,MATCH(G289,Loans!$B$6:$B$305,0))),"Not a loan")))</f>
        <v/>
      </c>
      <c r="I289" s="10">
        <f>IF(OR(G289="",H289="Not a loan"),"",IF(INDEX(Loans!$D$6:$D$305,MATCH(G289,Loans!$B$6:$B$305,0))="I borrowed","Out","In"))</f>
        <v/>
      </c>
      <c r="J289" s="1">
        <f>IF(NOT(ISNUMBER(B289)),"",YEAR(B289)*100+MONTH(B289))</f>
        <v/>
      </c>
      <c r="K289">
        <f>IF(OR(G289="",NOT(ISNUMBER(B289))),"",IF(G289=Statement!$H$2,B289*1000+ROW(),""))</f>
        <v/>
      </c>
    </row>
    <row r="290">
      <c r="A290" s="1" t="n"/>
      <c r="B290" s="18" t="n"/>
      <c r="C290" s="16" t="n"/>
      <c r="D290" s="19" t="n"/>
      <c r="E290" s="17" t="n"/>
      <c r="F290" s="22" t="n"/>
      <c r="G290" s="14">
        <f>IF(C290="","",IFERROR(VALUE(LEFT(C290,FIND(" ",C290&amp;" ")-1)),""))</f>
        <v/>
      </c>
      <c r="H290" s="26">
        <f>IF(C290="","",IF(G290="","Pick a loan",IFERROR(IF(INDEX(Loans!$C$6:$C$305,MATCH(G290,Loans!$B$6:$B$305,0))="","Not a loan",INDEX(Loans!$C$6:$C$305,MATCH(G290,Loans!$B$6:$B$305,0))),"Not a loan")))</f>
        <v/>
      </c>
      <c r="I290" s="10">
        <f>IF(OR(G290="",H290="Not a loan"),"",IF(INDEX(Loans!$D$6:$D$305,MATCH(G290,Loans!$B$6:$B$305,0))="I borrowed","Out","In"))</f>
        <v/>
      </c>
      <c r="J290" s="1">
        <f>IF(NOT(ISNUMBER(B290)),"",YEAR(B290)*100+MONTH(B290))</f>
        <v/>
      </c>
      <c r="K290">
        <f>IF(OR(G290="",NOT(ISNUMBER(B290))),"",IF(G290=Statement!$H$2,B290*1000+ROW(),""))</f>
        <v/>
      </c>
    </row>
    <row r="291">
      <c r="A291" s="1" t="n"/>
      <c r="B291" s="18" t="n"/>
      <c r="C291" s="16" t="n"/>
      <c r="D291" s="19" t="n"/>
      <c r="E291" s="17" t="n"/>
      <c r="F291" s="22" t="n"/>
      <c r="G291" s="14">
        <f>IF(C291="","",IFERROR(VALUE(LEFT(C291,FIND(" ",C291&amp;" ")-1)),""))</f>
        <v/>
      </c>
      <c r="H291" s="26">
        <f>IF(C291="","",IF(G291="","Pick a loan",IFERROR(IF(INDEX(Loans!$C$6:$C$305,MATCH(G291,Loans!$B$6:$B$305,0))="","Not a loan",INDEX(Loans!$C$6:$C$305,MATCH(G291,Loans!$B$6:$B$305,0))),"Not a loan")))</f>
        <v/>
      </c>
      <c r="I291" s="10">
        <f>IF(OR(G291="",H291="Not a loan"),"",IF(INDEX(Loans!$D$6:$D$305,MATCH(G291,Loans!$B$6:$B$305,0))="I borrowed","Out","In"))</f>
        <v/>
      </c>
      <c r="J291" s="1">
        <f>IF(NOT(ISNUMBER(B291)),"",YEAR(B291)*100+MONTH(B291))</f>
        <v/>
      </c>
      <c r="K291">
        <f>IF(OR(G291="",NOT(ISNUMBER(B291))),"",IF(G291=Statement!$H$2,B291*1000+ROW(),""))</f>
        <v/>
      </c>
    </row>
    <row r="292">
      <c r="A292" s="1" t="n"/>
      <c r="B292" s="18" t="n"/>
      <c r="C292" s="16" t="n"/>
      <c r="D292" s="19" t="n"/>
      <c r="E292" s="17" t="n"/>
      <c r="F292" s="22" t="n"/>
      <c r="G292" s="14">
        <f>IF(C292="","",IFERROR(VALUE(LEFT(C292,FIND(" ",C292&amp;" ")-1)),""))</f>
        <v/>
      </c>
      <c r="H292" s="26">
        <f>IF(C292="","",IF(G292="","Pick a loan",IFERROR(IF(INDEX(Loans!$C$6:$C$305,MATCH(G292,Loans!$B$6:$B$305,0))="","Not a loan",INDEX(Loans!$C$6:$C$305,MATCH(G292,Loans!$B$6:$B$305,0))),"Not a loan")))</f>
        <v/>
      </c>
      <c r="I292" s="10">
        <f>IF(OR(G292="",H292="Not a loan"),"",IF(INDEX(Loans!$D$6:$D$305,MATCH(G292,Loans!$B$6:$B$305,0))="I borrowed","Out","In"))</f>
        <v/>
      </c>
      <c r="J292" s="1">
        <f>IF(NOT(ISNUMBER(B292)),"",YEAR(B292)*100+MONTH(B292))</f>
        <v/>
      </c>
      <c r="K292">
        <f>IF(OR(G292="",NOT(ISNUMBER(B292))),"",IF(G292=Statement!$H$2,B292*1000+ROW(),""))</f>
        <v/>
      </c>
    </row>
    <row r="293">
      <c r="A293" s="1" t="n"/>
      <c r="B293" s="18" t="n"/>
      <c r="C293" s="16" t="n"/>
      <c r="D293" s="19" t="n"/>
      <c r="E293" s="17" t="n"/>
      <c r="F293" s="22" t="n"/>
      <c r="G293" s="14">
        <f>IF(C293="","",IFERROR(VALUE(LEFT(C293,FIND(" ",C293&amp;" ")-1)),""))</f>
        <v/>
      </c>
      <c r="H293" s="26">
        <f>IF(C293="","",IF(G293="","Pick a loan",IFERROR(IF(INDEX(Loans!$C$6:$C$305,MATCH(G293,Loans!$B$6:$B$305,0))="","Not a loan",INDEX(Loans!$C$6:$C$305,MATCH(G293,Loans!$B$6:$B$305,0))),"Not a loan")))</f>
        <v/>
      </c>
      <c r="I293" s="10">
        <f>IF(OR(G293="",H293="Not a loan"),"",IF(INDEX(Loans!$D$6:$D$305,MATCH(G293,Loans!$B$6:$B$305,0))="I borrowed","Out","In"))</f>
        <v/>
      </c>
      <c r="J293" s="1">
        <f>IF(NOT(ISNUMBER(B293)),"",YEAR(B293)*100+MONTH(B293))</f>
        <v/>
      </c>
      <c r="K293">
        <f>IF(OR(G293="",NOT(ISNUMBER(B293))),"",IF(G293=Statement!$H$2,B293*1000+ROW(),""))</f>
        <v/>
      </c>
    </row>
    <row r="294">
      <c r="A294" s="1" t="n"/>
      <c r="B294" s="18" t="n"/>
      <c r="C294" s="16" t="n"/>
      <c r="D294" s="19" t="n"/>
      <c r="E294" s="17" t="n"/>
      <c r="F294" s="22" t="n"/>
      <c r="G294" s="14">
        <f>IF(C294="","",IFERROR(VALUE(LEFT(C294,FIND(" ",C294&amp;" ")-1)),""))</f>
        <v/>
      </c>
      <c r="H294" s="26">
        <f>IF(C294="","",IF(G294="","Pick a loan",IFERROR(IF(INDEX(Loans!$C$6:$C$305,MATCH(G294,Loans!$B$6:$B$305,0))="","Not a loan",INDEX(Loans!$C$6:$C$305,MATCH(G294,Loans!$B$6:$B$305,0))),"Not a loan")))</f>
        <v/>
      </c>
      <c r="I294" s="10">
        <f>IF(OR(G294="",H294="Not a loan"),"",IF(INDEX(Loans!$D$6:$D$305,MATCH(G294,Loans!$B$6:$B$305,0))="I borrowed","Out","In"))</f>
        <v/>
      </c>
      <c r="J294" s="1">
        <f>IF(NOT(ISNUMBER(B294)),"",YEAR(B294)*100+MONTH(B294))</f>
        <v/>
      </c>
      <c r="K294">
        <f>IF(OR(G294="",NOT(ISNUMBER(B294))),"",IF(G294=Statement!$H$2,B294*1000+ROW(),""))</f>
        <v/>
      </c>
    </row>
    <row r="295">
      <c r="A295" s="1" t="n"/>
      <c r="B295" s="18" t="n"/>
      <c r="C295" s="16" t="n"/>
      <c r="D295" s="19" t="n"/>
      <c r="E295" s="17" t="n"/>
      <c r="F295" s="22" t="n"/>
      <c r="G295" s="14">
        <f>IF(C295="","",IFERROR(VALUE(LEFT(C295,FIND(" ",C295&amp;" ")-1)),""))</f>
        <v/>
      </c>
      <c r="H295" s="26">
        <f>IF(C295="","",IF(G295="","Pick a loan",IFERROR(IF(INDEX(Loans!$C$6:$C$305,MATCH(G295,Loans!$B$6:$B$305,0))="","Not a loan",INDEX(Loans!$C$6:$C$305,MATCH(G295,Loans!$B$6:$B$305,0))),"Not a loan")))</f>
        <v/>
      </c>
      <c r="I295" s="10">
        <f>IF(OR(G295="",H295="Not a loan"),"",IF(INDEX(Loans!$D$6:$D$305,MATCH(G295,Loans!$B$6:$B$305,0))="I borrowed","Out","In"))</f>
        <v/>
      </c>
      <c r="J295" s="1">
        <f>IF(NOT(ISNUMBER(B295)),"",YEAR(B295)*100+MONTH(B295))</f>
        <v/>
      </c>
      <c r="K295">
        <f>IF(OR(G295="",NOT(ISNUMBER(B295))),"",IF(G295=Statement!$H$2,B295*1000+ROW(),""))</f>
        <v/>
      </c>
    </row>
    <row r="296">
      <c r="A296" s="1" t="n"/>
      <c r="B296" s="18" t="n"/>
      <c r="C296" s="16" t="n"/>
      <c r="D296" s="19" t="n"/>
      <c r="E296" s="17" t="n"/>
      <c r="F296" s="22" t="n"/>
      <c r="G296" s="14">
        <f>IF(C296="","",IFERROR(VALUE(LEFT(C296,FIND(" ",C296&amp;" ")-1)),""))</f>
        <v/>
      </c>
      <c r="H296" s="26">
        <f>IF(C296="","",IF(G296="","Pick a loan",IFERROR(IF(INDEX(Loans!$C$6:$C$305,MATCH(G296,Loans!$B$6:$B$305,0))="","Not a loan",INDEX(Loans!$C$6:$C$305,MATCH(G296,Loans!$B$6:$B$305,0))),"Not a loan")))</f>
        <v/>
      </c>
      <c r="I296" s="10">
        <f>IF(OR(G296="",H296="Not a loan"),"",IF(INDEX(Loans!$D$6:$D$305,MATCH(G296,Loans!$B$6:$B$305,0))="I borrowed","Out","In"))</f>
        <v/>
      </c>
      <c r="J296" s="1">
        <f>IF(NOT(ISNUMBER(B296)),"",YEAR(B296)*100+MONTH(B296))</f>
        <v/>
      </c>
      <c r="K296">
        <f>IF(OR(G296="",NOT(ISNUMBER(B296))),"",IF(G296=Statement!$H$2,B296*1000+ROW(),""))</f>
        <v/>
      </c>
    </row>
    <row r="297">
      <c r="A297" s="1" t="n"/>
      <c r="B297" s="18" t="n"/>
      <c r="C297" s="16" t="n"/>
      <c r="D297" s="19" t="n"/>
      <c r="E297" s="17" t="n"/>
      <c r="F297" s="22" t="n"/>
      <c r="G297" s="14">
        <f>IF(C297="","",IFERROR(VALUE(LEFT(C297,FIND(" ",C297&amp;" ")-1)),""))</f>
        <v/>
      </c>
      <c r="H297" s="26">
        <f>IF(C297="","",IF(G297="","Pick a loan",IFERROR(IF(INDEX(Loans!$C$6:$C$305,MATCH(G297,Loans!$B$6:$B$305,0))="","Not a loan",INDEX(Loans!$C$6:$C$305,MATCH(G297,Loans!$B$6:$B$305,0))),"Not a loan")))</f>
        <v/>
      </c>
      <c r="I297" s="10">
        <f>IF(OR(G297="",H297="Not a loan"),"",IF(INDEX(Loans!$D$6:$D$305,MATCH(G297,Loans!$B$6:$B$305,0))="I borrowed","Out","In"))</f>
        <v/>
      </c>
      <c r="J297" s="1">
        <f>IF(NOT(ISNUMBER(B297)),"",YEAR(B297)*100+MONTH(B297))</f>
        <v/>
      </c>
      <c r="K297">
        <f>IF(OR(G297="",NOT(ISNUMBER(B297))),"",IF(G297=Statement!$H$2,B297*1000+ROW(),""))</f>
        <v/>
      </c>
    </row>
    <row r="298">
      <c r="A298" s="1" t="n"/>
      <c r="B298" s="18" t="n"/>
      <c r="C298" s="16" t="n"/>
      <c r="D298" s="19" t="n"/>
      <c r="E298" s="17" t="n"/>
      <c r="F298" s="22" t="n"/>
      <c r="G298" s="14">
        <f>IF(C298="","",IFERROR(VALUE(LEFT(C298,FIND(" ",C298&amp;" ")-1)),""))</f>
        <v/>
      </c>
      <c r="H298" s="26">
        <f>IF(C298="","",IF(G298="","Pick a loan",IFERROR(IF(INDEX(Loans!$C$6:$C$305,MATCH(G298,Loans!$B$6:$B$305,0))="","Not a loan",INDEX(Loans!$C$6:$C$305,MATCH(G298,Loans!$B$6:$B$305,0))),"Not a loan")))</f>
        <v/>
      </c>
      <c r="I298" s="10">
        <f>IF(OR(G298="",H298="Not a loan"),"",IF(INDEX(Loans!$D$6:$D$305,MATCH(G298,Loans!$B$6:$B$305,0))="I borrowed","Out","In"))</f>
        <v/>
      </c>
      <c r="J298" s="1">
        <f>IF(NOT(ISNUMBER(B298)),"",YEAR(B298)*100+MONTH(B298))</f>
        <v/>
      </c>
      <c r="K298">
        <f>IF(OR(G298="",NOT(ISNUMBER(B298))),"",IF(G298=Statement!$H$2,B298*1000+ROW(),""))</f>
        <v/>
      </c>
    </row>
    <row r="299">
      <c r="A299" s="1" t="n"/>
      <c r="B299" s="18" t="n"/>
      <c r="C299" s="16" t="n"/>
      <c r="D299" s="19" t="n"/>
      <c r="E299" s="17" t="n"/>
      <c r="F299" s="22" t="n"/>
      <c r="G299" s="14">
        <f>IF(C299="","",IFERROR(VALUE(LEFT(C299,FIND(" ",C299&amp;" ")-1)),""))</f>
        <v/>
      </c>
      <c r="H299" s="26">
        <f>IF(C299="","",IF(G299="","Pick a loan",IFERROR(IF(INDEX(Loans!$C$6:$C$305,MATCH(G299,Loans!$B$6:$B$305,0))="","Not a loan",INDEX(Loans!$C$6:$C$305,MATCH(G299,Loans!$B$6:$B$305,0))),"Not a loan")))</f>
        <v/>
      </c>
      <c r="I299" s="10">
        <f>IF(OR(G299="",H299="Not a loan"),"",IF(INDEX(Loans!$D$6:$D$305,MATCH(G299,Loans!$B$6:$B$305,0))="I borrowed","Out","In"))</f>
        <v/>
      </c>
      <c r="J299" s="1">
        <f>IF(NOT(ISNUMBER(B299)),"",YEAR(B299)*100+MONTH(B299))</f>
        <v/>
      </c>
      <c r="K299">
        <f>IF(OR(G299="",NOT(ISNUMBER(B299))),"",IF(G299=Statement!$H$2,B299*1000+ROW(),""))</f>
        <v/>
      </c>
    </row>
    <row r="300">
      <c r="A300" s="1" t="n"/>
      <c r="B300" s="18" t="n"/>
      <c r="C300" s="16" t="n"/>
      <c r="D300" s="19" t="n"/>
      <c r="E300" s="17" t="n"/>
      <c r="F300" s="22" t="n"/>
      <c r="G300" s="14">
        <f>IF(C300="","",IFERROR(VALUE(LEFT(C300,FIND(" ",C300&amp;" ")-1)),""))</f>
        <v/>
      </c>
      <c r="H300" s="26">
        <f>IF(C300="","",IF(G300="","Pick a loan",IFERROR(IF(INDEX(Loans!$C$6:$C$305,MATCH(G300,Loans!$B$6:$B$305,0))="","Not a loan",INDEX(Loans!$C$6:$C$305,MATCH(G300,Loans!$B$6:$B$305,0))),"Not a loan")))</f>
        <v/>
      </c>
      <c r="I300" s="10">
        <f>IF(OR(G300="",H300="Not a loan"),"",IF(INDEX(Loans!$D$6:$D$305,MATCH(G300,Loans!$B$6:$B$305,0))="I borrowed","Out","In"))</f>
        <v/>
      </c>
      <c r="J300" s="1">
        <f>IF(NOT(ISNUMBER(B300)),"",YEAR(B300)*100+MONTH(B300))</f>
        <v/>
      </c>
      <c r="K300">
        <f>IF(OR(G300="",NOT(ISNUMBER(B300))),"",IF(G300=Statement!$H$2,B300*1000+ROW(),""))</f>
        <v/>
      </c>
    </row>
    <row r="301">
      <c r="A301" s="1" t="n"/>
      <c r="B301" s="18" t="n"/>
      <c r="C301" s="16" t="n"/>
      <c r="D301" s="19" t="n"/>
      <c r="E301" s="17" t="n"/>
      <c r="F301" s="22" t="n"/>
      <c r="G301" s="14">
        <f>IF(C301="","",IFERROR(VALUE(LEFT(C301,FIND(" ",C301&amp;" ")-1)),""))</f>
        <v/>
      </c>
      <c r="H301" s="26">
        <f>IF(C301="","",IF(G301="","Pick a loan",IFERROR(IF(INDEX(Loans!$C$6:$C$305,MATCH(G301,Loans!$B$6:$B$305,0))="","Not a loan",INDEX(Loans!$C$6:$C$305,MATCH(G301,Loans!$B$6:$B$305,0))),"Not a loan")))</f>
        <v/>
      </c>
      <c r="I301" s="10">
        <f>IF(OR(G301="",H301="Not a loan"),"",IF(INDEX(Loans!$D$6:$D$305,MATCH(G301,Loans!$B$6:$B$305,0))="I borrowed","Out","In"))</f>
        <v/>
      </c>
      <c r="J301" s="1">
        <f>IF(NOT(ISNUMBER(B301)),"",YEAR(B301)*100+MONTH(B301))</f>
        <v/>
      </c>
      <c r="K301">
        <f>IF(OR(G301="",NOT(ISNUMBER(B301))),"",IF(G301=Statement!$H$2,B301*1000+ROW(),""))</f>
        <v/>
      </c>
    </row>
    <row r="302">
      <c r="A302" s="1" t="n"/>
      <c r="B302" s="18" t="n"/>
      <c r="C302" s="16" t="n"/>
      <c r="D302" s="19" t="n"/>
      <c r="E302" s="17" t="n"/>
      <c r="F302" s="22" t="n"/>
      <c r="G302" s="14">
        <f>IF(C302="","",IFERROR(VALUE(LEFT(C302,FIND(" ",C302&amp;" ")-1)),""))</f>
        <v/>
      </c>
      <c r="H302" s="26">
        <f>IF(C302="","",IF(G302="","Pick a loan",IFERROR(IF(INDEX(Loans!$C$6:$C$305,MATCH(G302,Loans!$B$6:$B$305,0))="","Not a loan",INDEX(Loans!$C$6:$C$305,MATCH(G302,Loans!$B$6:$B$305,0))),"Not a loan")))</f>
        <v/>
      </c>
      <c r="I302" s="10">
        <f>IF(OR(G302="",H302="Not a loan"),"",IF(INDEX(Loans!$D$6:$D$305,MATCH(G302,Loans!$B$6:$B$305,0))="I borrowed","Out","In"))</f>
        <v/>
      </c>
      <c r="J302" s="1">
        <f>IF(NOT(ISNUMBER(B302)),"",YEAR(B302)*100+MONTH(B302))</f>
        <v/>
      </c>
      <c r="K302">
        <f>IF(OR(G302="",NOT(ISNUMBER(B302))),"",IF(G302=Statement!$H$2,B302*1000+ROW(),""))</f>
        <v/>
      </c>
    </row>
    <row r="303">
      <c r="A303" s="1" t="n"/>
      <c r="B303" s="18" t="n"/>
      <c r="C303" s="16" t="n"/>
      <c r="D303" s="19" t="n"/>
      <c r="E303" s="17" t="n"/>
      <c r="F303" s="22" t="n"/>
      <c r="G303" s="14">
        <f>IF(C303="","",IFERROR(VALUE(LEFT(C303,FIND(" ",C303&amp;" ")-1)),""))</f>
        <v/>
      </c>
      <c r="H303" s="26">
        <f>IF(C303="","",IF(G303="","Pick a loan",IFERROR(IF(INDEX(Loans!$C$6:$C$305,MATCH(G303,Loans!$B$6:$B$305,0))="","Not a loan",INDEX(Loans!$C$6:$C$305,MATCH(G303,Loans!$B$6:$B$305,0))),"Not a loan")))</f>
        <v/>
      </c>
      <c r="I303" s="10">
        <f>IF(OR(G303="",H303="Not a loan"),"",IF(INDEX(Loans!$D$6:$D$305,MATCH(G303,Loans!$B$6:$B$305,0))="I borrowed","Out","In"))</f>
        <v/>
      </c>
      <c r="J303" s="1">
        <f>IF(NOT(ISNUMBER(B303)),"",YEAR(B303)*100+MONTH(B303))</f>
        <v/>
      </c>
      <c r="K303">
        <f>IF(OR(G303="",NOT(ISNUMBER(B303))),"",IF(G303=Statement!$H$2,B303*1000+ROW(),""))</f>
        <v/>
      </c>
    </row>
    <row r="304">
      <c r="A304" s="1" t="n"/>
      <c r="B304" s="18" t="n"/>
      <c r="C304" s="16" t="n"/>
      <c r="D304" s="19" t="n"/>
      <c r="E304" s="17" t="n"/>
      <c r="F304" s="22" t="n"/>
      <c r="G304" s="14">
        <f>IF(C304="","",IFERROR(VALUE(LEFT(C304,FIND(" ",C304&amp;" ")-1)),""))</f>
        <v/>
      </c>
      <c r="H304" s="26">
        <f>IF(C304="","",IF(G304="","Pick a loan",IFERROR(IF(INDEX(Loans!$C$6:$C$305,MATCH(G304,Loans!$B$6:$B$305,0))="","Not a loan",INDEX(Loans!$C$6:$C$305,MATCH(G304,Loans!$B$6:$B$305,0))),"Not a loan")))</f>
        <v/>
      </c>
      <c r="I304" s="10">
        <f>IF(OR(G304="",H304="Not a loan"),"",IF(INDEX(Loans!$D$6:$D$305,MATCH(G304,Loans!$B$6:$B$305,0))="I borrowed","Out","In"))</f>
        <v/>
      </c>
      <c r="J304" s="1">
        <f>IF(NOT(ISNUMBER(B304)),"",YEAR(B304)*100+MONTH(B304))</f>
        <v/>
      </c>
      <c r="K304">
        <f>IF(OR(G304="",NOT(ISNUMBER(B304))),"",IF(G304=Statement!$H$2,B304*1000+ROW(),""))</f>
        <v/>
      </c>
    </row>
    <row r="305">
      <c r="A305" s="1" t="n"/>
      <c r="B305" s="18" t="n"/>
      <c r="C305" s="16" t="n"/>
      <c r="D305" s="19" t="n"/>
      <c r="E305" s="17" t="n"/>
      <c r="F305" s="22" t="n"/>
      <c r="G305" s="14">
        <f>IF(C305="","",IFERROR(VALUE(LEFT(C305,FIND(" ",C305&amp;" ")-1)),""))</f>
        <v/>
      </c>
      <c r="H305" s="26">
        <f>IF(C305="","",IF(G305="","Pick a loan",IFERROR(IF(INDEX(Loans!$C$6:$C$305,MATCH(G305,Loans!$B$6:$B$305,0))="","Not a loan",INDEX(Loans!$C$6:$C$305,MATCH(G305,Loans!$B$6:$B$305,0))),"Not a loan")))</f>
        <v/>
      </c>
      <c r="I305" s="10">
        <f>IF(OR(G305="",H305="Not a loan"),"",IF(INDEX(Loans!$D$6:$D$305,MATCH(G305,Loans!$B$6:$B$305,0))="I borrowed","Out","In"))</f>
        <v/>
      </c>
      <c r="J305" s="1">
        <f>IF(NOT(ISNUMBER(B305)),"",YEAR(B305)*100+MONTH(B305))</f>
        <v/>
      </c>
      <c r="K305">
        <f>IF(OR(G305="",NOT(ISNUMBER(B305))),"",IF(G305=Statement!$H$2,B305*1000+ROW(),""))</f>
        <v/>
      </c>
    </row>
    <row r="306">
      <c r="A306" s="1" t="n"/>
      <c r="B306" s="18" t="n"/>
      <c r="C306" s="16" t="n"/>
      <c r="D306" s="19" t="n"/>
      <c r="E306" s="17" t="n"/>
      <c r="F306" s="22" t="n"/>
      <c r="G306" s="14">
        <f>IF(C306="","",IFERROR(VALUE(LEFT(C306,FIND(" ",C306&amp;" ")-1)),""))</f>
        <v/>
      </c>
      <c r="H306" s="26">
        <f>IF(C306="","",IF(G306="","Pick a loan",IFERROR(IF(INDEX(Loans!$C$6:$C$305,MATCH(G306,Loans!$B$6:$B$305,0))="","Not a loan",INDEX(Loans!$C$6:$C$305,MATCH(G306,Loans!$B$6:$B$305,0))),"Not a loan")))</f>
        <v/>
      </c>
      <c r="I306" s="10">
        <f>IF(OR(G306="",H306="Not a loan"),"",IF(INDEX(Loans!$D$6:$D$305,MATCH(G306,Loans!$B$6:$B$305,0))="I borrowed","Out","In"))</f>
        <v/>
      </c>
      <c r="J306" s="1">
        <f>IF(NOT(ISNUMBER(B306)),"",YEAR(B306)*100+MONTH(B306))</f>
        <v/>
      </c>
      <c r="K306">
        <f>IF(OR(G306="",NOT(ISNUMBER(B306))),"",IF(G306=Statement!$H$2,B306*1000+ROW(),""))</f>
        <v/>
      </c>
    </row>
    <row r="307">
      <c r="A307" s="1" t="n"/>
      <c r="B307" s="18" t="n"/>
      <c r="C307" s="16" t="n"/>
      <c r="D307" s="19" t="n"/>
      <c r="E307" s="17" t="n"/>
      <c r="F307" s="22" t="n"/>
      <c r="G307" s="14">
        <f>IF(C307="","",IFERROR(VALUE(LEFT(C307,FIND(" ",C307&amp;" ")-1)),""))</f>
        <v/>
      </c>
      <c r="H307" s="26">
        <f>IF(C307="","",IF(G307="","Pick a loan",IFERROR(IF(INDEX(Loans!$C$6:$C$305,MATCH(G307,Loans!$B$6:$B$305,0))="","Not a loan",INDEX(Loans!$C$6:$C$305,MATCH(G307,Loans!$B$6:$B$305,0))),"Not a loan")))</f>
        <v/>
      </c>
      <c r="I307" s="10">
        <f>IF(OR(G307="",H307="Not a loan"),"",IF(INDEX(Loans!$D$6:$D$305,MATCH(G307,Loans!$B$6:$B$305,0))="I borrowed","Out","In"))</f>
        <v/>
      </c>
      <c r="J307" s="1">
        <f>IF(NOT(ISNUMBER(B307)),"",YEAR(B307)*100+MONTH(B307))</f>
        <v/>
      </c>
      <c r="K307">
        <f>IF(OR(G307="",NOT(ISNUMBER(B307))),"",IF(G307=Statement!$H$2,B307*1000+ROW(),""))</f>
        <v/>
      </c>
    </row>
    <row r="308">
      <c r="A308" s="1" t="n"/>
      <c r="B308" s="18" t="n"/>
      <c r="C308" s="16" t="n"/>
      <c r="D308" s="19" t="n"/>
      <c r="E308" s="17" t="n"/>
      <c r="F308" s="22" t="n"/>
      <c r="G308" s="14">
        <f>IF(C308="","",IFERROR(VALUE(LEFT(C308,FIND(" ",C308&amp;" ")-1)),""))</f>
        <v/>
      </c>
      <c r="H308" s="26">
        <f>IF(C308="","",IF(G308="","Pick a loan",IFERROR(IF(INDEX(Loans!$C$6:$C$305,MATCH(G308,Loans!$B$6:$B$305,0))="","Not a loan",INDEX(Loans!$C$6:$C$305,MATCH(G308,Loans!$B$6:$B$305,0))),"Not a loan")))</f>
        <v/>
      </c>
      <c r="I308" s="10">
        <f>IF(OR(G308="",H308="Not a loan"),"",IF(INDEX(Loans!$D$6:$D$305,MATCH(G308,Loans!$B$6:$B$305,0))="I borrowed","Out","In"))</f>
        <v/>
      </c>
      <c r="J308" s="1">
        <f>IF(NOT(ISNUMBER(B308)),"",YEAR(B308)*100+MONTH(B308))</f>
        <v/>
      </c>
      <c r="K308">
        <f>IF(OR(G308="",NOT(ISNUMBER(B308))),"",IF(G308=Statement!$H$2,B308*1000+ROW(),""))</f>
        <v/>
      </c>
    </row>
    <row r="309">
      <c r="A309" s="1" t="n"/>
      <c r="B309" s="18" t="n"/>
      <c r="C309" s="16" t="n"/>
      <c r="D309" s="19" t="n"/>
      <c r="E309" s="17" t="n"/>
      <c r="F309" s="22" t="n"/>
      <c r="G309" s="14">
        <f>IF(C309="","",IFERROR(VALUE(LEFT(C309,FIND(" ",C309&amp;" ")-1)),""))</f>
        <v/>
      </c>
      <c r="H309" s="26">
        <f>IF(C309="","",IF(G309="","Pick a loan",IFERROR(IF(INDEX(Loans!$C$6:$C$305,MATCH(G309,Loans!$B$6:$B$305,0))="","Not a loan",INDEX(Loans!$C$6:$C$305,MATCH(G309,Loans!$B$6:$B$305,0))),"Not a loan")))</f>
        <v/>
      </c>
      <c r="I309" s="10">
        <f>IF(OR(G309="",H309="Not a loan"),"",IF(INDEX(Loans!$D$6:$D$305,MATCH(G309,Loans!$B$6:$B$305,0))="I borrowed","Out","In"))</f>
        <v/>
      </c>
      <c r="J309" s="1">
        <f>IF(NOT(ISNUMBER(B309)),"",YEAR(B309)*100+MONTH(B309))</f>
        <v/>
      </c>
      <c r="K309">
        <f>IF(OR(G309="",NOT(ISNUMBER(B309))),"",IF(G309=Statement!$H$2,B309*1000+ROW(),""))</f>
        <v/>
      </c>
    </row>
    <row r="310">
      <c r="A310" s="1" t="n"/>
      <c r="B310" s="18" t="n"/>
      <c r="C310" s="16" t="n"/>
      <c r="D310" s="19" t="n"/>
      <c r="E310" s="17" t="n"/>
      <c r="F310" s="22" t="n"/>
      <c r="G310" s="14">
        <f>IF(C310="","",IFERROR(VALUE(LEFT(C310,FIND(" ",C310&amp;" ")-1)),""))</f>
        <v/>
      </c>
      <c r="H310" s="26">
        <f>IF(C310="","",IF(G310="","Pick a loan",IFERROR(IF(INDEX(Loans!$C$6:$C$305,MATCH(G310,Loans!$B$6:$B$305,0))="","Not a loan",INDEX(Loans!$C$6:$C$305,MATCH(G310,Loans!$B$6:$B$305,0))),"Not a loan")))</f>
        <v/>
      </c>
      <c r="I310" s="10">
        <f>IF(OR(G310="",H310="Not a loan"),"",IF(INDEX(Loans!$D$6:$D$305,MATCH(G310,Loans!$B$6:$B$305,0))="I borrowed","Out","In"))</f>
        <v/>
      </c>
      <c r="J310" s="1">
        <f>IF(NOT(ISNUMBER(B310)),"",YEAR(B310)*100+MONTH(B310))</f>
        <v/>
      </c>
      <c r="K310">
        <f>IF(OR(G310="",NOT(ISNUMBER(B310))),"",IF(G310=Statement!$H$2,B310*1000+ROW(),""))</f>
        <v/>
      </c>
    </row>
    <row r="311">
      <c r="A311" s="1" t="n"/>
      <c r="B311" s="18" t="n"/>
      <c r="C311" s="16" t="n"/>
      <c r="D311" s="19" t="n"/>
      <c r="E311" s="17" t="n"/>
      <c r="F311" s="22" t="n"/>
      <c r="G311" s="14">
        <f>IF(C311="","",IFERROR(VALUE(LEFT(C311,FIND(" ",C311&amp;" ")-1)),""))</f>
        <v/>
      </c>
      <c r="H311" s="26">
        <f>IF(C311="","",IF(G311="","Pick a loan",IFERROR(IF(INDEX(Loans!$C$6:$C$305,MATCH(G311,Loans!$B$6:$B$305,0))="","Not a loan",INDEX(Loans!$C$6:$C$305,MATCH(G311,Loans!$B$6:$B$305,0))),"Not a loan")))</f>
        <v/>
      </c>
      <c r="I311" s="10">
        <f>IF(OR(G311="",H311="Not a loan"),"",IF(INDEX(Loans!$D$6:$D$305,MATCH(G311,Loans!$B$6:$B$305,0))="I borrowed","Out","In"))</f>
        <v/>
      </c>
      <c r="J311" s="1">
        <f>IF(NOT(ISNUMBER(B311)),"",YEAR(B311)*100+MONTH(B311))</f>
        <v/>
      </c>
      <c r="K311">
        <f>IF(OR(G311="",NOT(ISNUMBER(B311))),"",IF(G311=Statement!$H$2,B311*1000+ROW(),""))</f>
        <v/>
      </c>
    </row>
    <row r="312">
      <c r="A312" s="1" t="n"/>
      <c r="B312" s="18" t="n"/>
      <c r="C312" s="16" t="n"/>
      <c r="D312" s="19" t="n"/>
      <c r="E312" s="17" t="n"/>
      <c r="F312" s="22" t="n"/>
      <c r="G312" s="14">
        <f>IF(C312="","",IFERROR(VALUE(LEFT(C312,FIND(" ",C312&amp;" ")-1)),""))</f>
        <v/>
      </c>
      <c r="H312" s="26">
        <f>IF(C312="","",IF(G312="","Pick a loan",IFERROR(IF(INDEX(Loans!$C$6:$C$305,MATCH(G312,Loans!$B$6:$B$305,0))="","Not a loan",INDEX(Loans!$C$6:$C$305,MATCH(G312,Loans!$B$6:$B$305,0))),"Not a loan")))</f>
        <v/>
      </c>
      <c r="I312" s="10">
        <f>IF(OR(G312="",H312="Not a loan"),"",IF(INDEX(Loans!$D$6:$D$305,MATCH(G312,Loans!$B$6:$B$305,0))="I borrowed","Out","In"))</f>
        <v/>
      </c>
      <c r="J312" s="1">
        <f>IF(NOT(ISNUMBER(B312)),"",YEAR(B312)*100+MONTH(B312))</f>
        <v/>
      </c>
      <c r="K312">
        <f>IF(OR(G312="",NOT(ISNUMBER(B312))),"",IF(G312=Statement!$H$2,B312*1000+ROW(),""))</f>
        <v/>
      </c>
    </row>
    <row r="313">
      <c r="A313" s="1" t="n"/>
      <c r="B313" s="18" t="n"/>
      <c r="C313" s="16" t="n"/>
      <c r="D313" s="19" t="n"/>
      <c r="E313" s="17" t="n"/>
      <c r="F313" s="22" t="n"/>
      <c r="G313" s="14">
        <f>IF(C313="","",IFERROR(VALUE(LEFT(C313,FIND(" ",C313&amp;" ")-1)),""))</f>
        <v/>
      </c>
      <c r="H313" s="26">
        <f>IF(C313="","",IF(G313="","Pick a loan",IFERROR(IF(INDEX(Loans!$C$6:$C$305,MATCH(G313,Loans!$B$6:$B$305,0))="","Not a loan",INDEX(Loans!$C$6:$C$305,MATCH(G313,Loans!$B$6:$B$305,0))),"Not a loan")))</f>
        <v/>
      </c>
      <c r="I313" s="10">
        <f>IF(OR(G313="",H313="Not a loan"),"",IF(INDEX(Loans!$D$6:$D$305,MATCH(G313,Loans!$B$6:$B$305,0))="I borrowed","Out","In"))</f>
        <v/>
      </c>
      <c r="J313" s="1">
        <f>IF(NOT(ISNUMBER(B313)),"",YEAR(B313)*100+MONTH(B313))</f>
        <v/>
      </c>
      <c r="K313">
        <f>IF(OR(G313="",NOT(ISNUMBER(B313))),"",IF(G313=Statement!$H$2,B313*1000+ROW(),""))</f>
        <v/>
      </c>
    </row>
    <row r="314">
      <c r="A314" s="1" t="n"/>
      <c r="B314" s="18" t="n"/>
      <c r="C314" s="16" t="n"/>
      <c r="D314" s="19" t="n"/>
      <c r="E314" s="17" t="n"/>
      <c r="F314" s="22" t="n"/>
      <c r="G314" s="14">
        <f>IF(C314="","",IFERROR(VALUE(LEFT(C314,FIND(" ",C314&amp;" ")-1)),""))</f>
        <v/>
      </c>
      <c r="H314" s="26">
        <f>IF(C314="","",IF(G314="","Pick a loan",IFERROR(IF(INDEX(Loans!$C$6:$C$305,MATCH(G314,Loans!$B$6:$B$305,0))="","Not a loan",INDEX(Loans!$C$6:$C$305,MATCH(G314,Loans!$B$6:$B$305,0))),"Not a loan")))</f>
        <v/>
      </c>
      <c r="I314" s="10">
        <f>IF(OR(G314="",H314="Not a loan"),"",IF(INDEX(Loans!$D$6:$D$305,MATCH(G314,Loans!$B$6:$B$305,0))="I borrowed","Out","In"))</f>
        <v/>
      </c>
      <c r="J314" s="1">
        <f>IF(NOT(ISNUMBER(B314)),"",YEAR(B314)*100+MONTH(B314))</f>
        <v/>
      </c>
      <c r="K314">
        <f>IF(OR(G314="",NOT(ISNUMBER(B314))),"",IF(G314=Statement!$H$2,B314*1000+ROW(),""))</f>
        <v/>
      </c>
    </row>
    <row r="315">
      <c r="A315" s="1" t="n"/>
      <c r="B315" s="18" t="n"/>
      <c r="C315" s="16" t="n"/>
      <c r="D315" s="19" t="n"/>
      <c r="E315" s="17" t="n"/>
      <c r="F315" s="22" t="n"/>
      <c r="G315" s="14">
        <f>IF(C315="","",IFERROR(VALUE(LEFT(C315,FIND(" ",C315&amp;" ")-1)),""))</f>
        <v/>
      </c>
      <c r="H315" s="26">
        <f>IF(C315="","",IF(G315="","Pick a loan",IFERROR(IF(INDEX(Loans!$C$6:$C$305,MATCH(G315,Loans!$B$6:$B$305,0))="","Not a loan",INDEX(Loans!$C$6:$C$305,MATCH(G315,Loans!$B$6:$B$305,0))),"Not a loan")))</f>
        <v/>
      </c>
      <c r="I315" s="10">
        <f>IF(OR(G315="",H315="Not a loan"),"",IF(INDEX(Loans!$D$6:$D$305,MATCH(G315,Loans!$B$6:$B$305,0))="I borrowed","Out","In"))</f>
        <v/>
      </c>
      <c r="J315" s="1">
        <f>IF(NOT(ISNUMBER(B315)),"",YEAR(B315)*100+MONTH(B315))</f>
        <v/>
      </c>
      <c r="K315">
        <f>IF(OR(G315="",NOT(ISNUMBER(B315))),"",IF(G315=Statement!$H$2,B315*1000+ROW(),""))</f>
        <v/>
      </c>
    </row>
    <row r="316">
      <c r="A316" s="1" t="n"/>
      <c r="B316" s="18" t="n"/>
      <c r="C316" s="16" t="n"/>
      <c r="D316" s="19" t="n"/>
      <c r="E316" s="17" t="n"/>
      <c r="F316" s="22" t="n"/>
      <c r="G316" s="14">
        <f>IF(C316="","",IFERROR(VALUE(LEFT(C316,FIND(" ",C316&amp;" ")-1)),""))</f>
        <v/>
      </c>
      <c r="H316" s="26">
        <f>IF(C316="","",IF(G316="","Pick a loan",IFERROR(IF(INDEX(Loans!$C$6:$C$305,MATCH(G316,Loans!$B$6:$B$305,0))="","Not a loan",INDEX(Loans!$C$6:$C$305,MATCH(G316,Loans!$B$6:$B$305,0))),"Not a loan")))</f>
        <v/>
      </c>
      <c r="I316" s="10">
        <f>IF(OR(G316="",H316="Not a loan"),"",IF(INDEX(Loans!$D$6:$D$305,MATCH(G316,Loans!$B$6:$B$305,0))="I borrowed","Out","In"))</f>
        <v/>
      </c>
      <c r="J316" s="1">
        <f>IF(NOT(ISNUMBER(B316)),"",YEAR(B316)*100+MONTH(B316))</f>
        <v/>
      </c>
      <c r="K316">
        <f>IF(OR(G316="",NOT(ISNUMBER(B316))),"",IF(G316=Statement!$H$2,B316*1000+ROW(),""))</f>
        <v/>
      </c>
    </row>
    <row r="317">
      <c r="A317" s="1" t="n"/>
      <c r="B317" s="18" t="n"/>
      <c r="C317" s="16" t="n"/>
      <c r="D317" s="19" t="n"/>
      <c r="E317" s="17" t="n"/>
      <c r="F317" s="22" t="n"/>
      <c r="G317" s="14">
        <f>IF(C317="","",IFERROR(VALUE(LEFT(C317,FIND(" ",C317&amp;" ")-1)),""))</f>
        <v/>
      </c>
      <c r="H317" s="26">
        <f>IF(C317="","",IF(G317="","Pick a loan",IFERROR(IF(INDEX(Loans!$C$6:$C$305,MATCH(G317,Loans!$B$6:$B$305,0))="","Not a loan",INDEX(Loans!$C$6:$C$305,MATCH(G317,Loans!$B$6:$B$305,0))),"Not a loan")))</f>
        <v/>
      </c>
      <c r="I317" s="10">
        <f>IF(OR(G317="",H317="Not a loan"),"",IF(INDEX(Loans!$D$6:$D$305,MATCH(G317,Loans!$B$6:$B$305,0))="I borrowed","Out","In"))</f>
        <v/>
      </c>
      <c r="J317" s="1">
        <f>IF(NOT(ISNUMBER(B317)),"",YEAR(B317)*100+MONTH(B317))</f>
        <v/>
      </c>
      <c r="K317">
        <f>IF(OR(G317="",NOT(ISNUMBER(B317))),"",IF(G317=Statement!$H$2,B317*1000+ROW(),""))</f>
        <v/>
      </c>
    </row>
    <row r="318">
      <c r="A318" s="1" t="n"/>
      <c r="B318" s="18" t="n"/>
      <c r="C318" s="16" t="n"/>
      <c r="D318" s="19" t="n"/>
      <c r="E318" s="17" t="n"/>
      <c r="F318" s="22" t="n"/>
      <c r="G318" s="14">
        <f>IF(C318="","",IFERROR(VALUE(LEFT(C318,FIND(" ",C318&amp;" ")-1)),""))</f>
        <v/>
      </c>
      <c r="H318" s="26">
        <f>IF(C318="","",IF(G318="","Pick a loan",IFERROR(IF(INDEX(Loans!$C$6:$C$305,MATCH(G318,Loans!$B$6:$B$305,0))="","Not a loan",INDEX(Loans!$C$6:$C$305,MATCH(G318,Loans!$B$6:$B$305,0))),"Not a loan")))</f>
        <v/>
      </c>
      <c r="I318" s="10">
        <f>IF(OR(G318="",H318="Not a loan"),"",IF(INDEX(Loans!$D$6:$D$305,MATCH(G318,Loans!$B$6:$B$305,0))="I borrowed","Out","In"))</f>
        <v/>
      </c>
      <c r="J318" s="1">
        <f>IF(NOT(ISNUMBER(B318)),"",YEAR(B318)*100+MONTH(B318))</f>
        <v/>
      </c>
      <c r="K318">
        <f>IF(OR(G318="",NOT(ISNUMBER(B318))),"",IF(G318=Statement!$H$2,B318*1000+ROW(),""))</f>
        <v/>
      </c>
    </row>
    <row r="319">
      <c r="A319" s="1" t="n"/>
      <c r="B319" s="18" t="n"/>
      <c r="C319" s="16" t="n"/>
      <c r="D319" s="19" t="n"/>
      <c r="E319" s="17" t="n"/>
      <c r="F319" s="22" t="n"/>
      <c r="G319" s="14">
        <f>IF(C319="","",IFERROR(VALUE(LEFT(C319,FIND(" ",C319&amp;" ")-1)),""))</f>
        <v/>
      </c>
      <c r="H319" s="26">
        <f>IF(C319="","",IF(G319="","Pick a loan",IFERROR(IF(INDEX(Loans!$C$6:$C$305,MATCH(G319,Loans!$B$6:$B$305,0))="","Not a loan",INDEX(Loans!$C$6:$C$305,MATCH(G319,Loans!$B$6:$B$305,0))),"Not a loan")))</f>
        <v/>
      </c>
      <c r="I319" s="10">
        <f>IF(OR(G319="",H319="Not a loan"),"",IF(INDEX(Loans!$D$6:$D$305,MATCH(G319,Loans!$B$6:$B$305,0))="I borrowed","Out","In"))</f>
        <v/>
      </c>
      <c r="J319" s="1">
        <f>IF(NOT(ISNUMBER(B319)),"",YEAR(B319)*100+MONTH(B319))</f>
        <v/>
      </c>
      <c r="K319">
        <f>IF(OR(G319="",NOT(ISNUMBER(B319))),"",IF(G319=Statement!$H$2,B319*1000+ROW(),""))</f>
        <v/>
      </c>
    </row>
    <row r="320">
      <c r="A320" s="1" t="n"/>
      <c r="B320" s="18" t="n"/>
      <c r="C320" s="16" t="n"/>
      <c r="D320" s="19" t="n"/>
      <c r="E320" s="17" t="n"/>
      <c r="F320" s="22" t="n"/>
      <c r="G320" s="14">
        <f>IF(C320="","",IFERROR(VALUE(LEFT(C320,FIND(" ",C320&amp;" ")-1)),""))</f>
        <v/>
      </c>
      <c r="H320" s="26">
        <f>IF(C320="","",IF(G320="","Pick a loan",IFERROR(IF(INDEX(Loans!$C$6:$C$305,MATCH(G320,Loans!$B$6:$B$305,0))="","Not a loan",INDEX(Loans!$C$6:$C$305,MATCH(G320,Loans!$B$6:$B$305,0))),"Not a loan")))</f>
        <v/>
      </c>
      <c r="I320" s="10">
        <f>IF(OR(G320="",H320="Not a loan"),"",IF(INDEX(Loans!$D$6:$D$305,MATCH(G320,Loans!$B$6:$B$305,0))="I borrowed","Out","In"))</f>
        <v/>
      </c>
      <c r="J320" s="1">
        <f>IF(NOT(ISNUMBER(B320)),"",YEAR(B320)*100+MONTH(B320))</f>
        <v/>
      </c>
      <c r="K320">
        <f>IF(OR(G320="",NOT(ISNUMBER(B320))),"",IF(G320=Statement!$H$2,B320*1000+ROW(),""))</f>
        <v/>
      </c>
    </row>
    <row r="321">
      <c r="A321" s="1" t="n"/>
      <c r="B321" s="18" t="n"/>
      <c r="C321" s="16" t="n"/>
      <c r="D321" s="19" t="n"/>
      <c r="E321" s="17" t="n"/>
      <c r="F321" s="22" t="n"/>
      <c r="G321" s="14">
        <f>IF(C321="","",IFERROR(VALUE(LEFT(C321,FIND(" ",C321&amp;" ")-1)),""))</f>
        <v/>
      </c>
      <c r="H321" s="26">
        <f>IF(C321="","",IF(G321="","Pick a loan",IFERROR(IF(INDEX(Loans!$C$6:$C$305,MATCH(G321,Loans!$B$6:$B$305,0))="","Not a loan",INDEX(Loans!$C$6:$C$305,MATCH(G321,Loans!$B$6:$B$305,0))),"Not a loan")))</f>
        <v/>
      </c>
      <c r="I321" s="10">
        <f>IF(OR(G321="",H321="Not a loan"),"",IF(INDEX(Loans!$D$6:$D$305,MATCH(G321,Loans!$B$6:$B$305,0))="I borrowed","Out","In"))</f>
        <v/>
      </c>
      <c r="J321" s="1">
        <f>IF(NOT(ISNUMBER(B321)),"",YEAR(B321)*100+MONTH(B321))</f>
        <v/>
      </c>
      <c r="K321">
        <f>IF(OR(G321="",NOT(ISNUMBER(B321))),"",IF(G321=Statement!$H$2,B321*1000+ROW(),""))</f>
        <v/>
      </c>
    </row>
    <row r="322">
      <c r="A322" s="1" t="n"/>
      <c r="B322" s="18" t="n"/>
      <c r="C322" s="16" t="n"/>
      <c r="D322" s="19" t="n"/>
      <c r="E322" s="17" t="n"/>
      <c r="F322" s="22" t="n"/>
      <c r="G322" s="14">
        <f>IF(C322="","",IFERROR(VALUE(LEFT(C322,FIND(" ",C322&amp;" ")-1)),""))</f>
        <v/>
      </c>
      <c r="H322" s="26">
        <f>IF(C322="","",IF(G322="","Pick a loan",IFERROR(IF(INDEX(Loans!$C$6:$C$305,MATCH(G322,Loans!$B$6:$B$305,0))="","Not a loan",INDEX(Loans!$C$6:$C$305,MATCH(G322,Loans!$B$6:$B$305,0))),"Not a loan")))</f>
        <v/>
      </c>
      <c r="I322" s="10">
        <f>IF(OR(G322="",H322="Not a loan"),"",IF(INDEX(Loans!$D$6:$D$305,MATCH(G322,Loans!$B$6:$B$305,0))="I borrowed","Out","In"))</f>
        <v/>
      </c>
      <c r="J322" s="1">
        <f>IF(NOT(ISNUMBER(B322)),"",YEAR(B322)*100+MONTH(B322))</f>
        <v/>
      </c>
      <c r="K322">
        <f>IF(OR(G322="",NOT(ISNUMBER(B322))),"",IF(G322=Statement!$H$2,B322*1000+ROW(),""))</f>
        <v/>
      </c>
    </row>
    <row r="323">
      <c r="A323" s="1" t="n"/>
      <c r="B323" s="18" t="n"/>
      <c r="C323" s="16" t="n"/>
      <c r="D323" s="19" t="n"/>
      <c r="E323" s="17" t="n"/>
      <c r="F323" s="22" t="n"/>
      <c r="G323" s="14">
        <f>IF(C323="","",IFERROR(VALUE(LEFT(C323,FIND(" ",C323&amp;" ")-1)),""))</f>
        <v/>
      </c>
      <c r="H323" s="26">
        <f>IF(C323="","",IF(G323="","Pick a loan",IFERROR(IF(INDEX(Loans!$C$6:$C$305,MATCH(G323,Loans!$B$6:$B$305,0))="","Not a loan",INDEX(Loans!$C$6:$C$305,MATCH(G323,Loans!$B$6:$B$305,0))),"Not a loan")))</f>
        <v/>
      </c>
      <c r="I323" s="10">
        <f>IF(OR(G323="",H323="Not a loan"),"",IF(INDEX(Loans!$D$6:$D$305,MATCH(G323,Loans!$B$6:$B$305,0))="I borrowed","Out","In"))</f>
        <v/>
      </c>
      <c r="J323" s="1">
        <f>IF(NOT(ISNUMBER(B323)),"",YEAR(B323)*100+MONTH(B323))</f>
        <v/>
      </c>
      <c r="K323">
        <f>IF(OR(G323="",NOT(ISNUMBER(B323))),"",IF(G323=Statement!$H$2,B323*1000+ROW(),""))</f>
        <v/>
      </c>
    </row>
    <row r="324">
      <c r="A324" s="1" t="n"/>
      <c r="B324" s="18" t="n"/>
      <c r="C324" s="16" t="n"/>
      <c r="D324" s="19" t="n"/>
      <c r="E324" s="17" t="n"/>
      <c r="F324" s="22" t="n"/>
      <c r="G324" s="14">
        <f>IF(C324="","",IFERROR(VALUE(LEFT(C324,FIND(" ",C324&amp;" ")-1)),""))</f>
        <v/>
      </c>
      <c r="H324" s="26">
        <f>IF(C324="","",IF(G324="","Pick a loan",IFERROR(IF(INDEX(Loans!$C$6:$C$305,MATCH(G324,Loans!$B$6:$B$305,0))="","Not a loan",INDEX(Loans!$C$6:$C$305,MATCH(G324,Loans!$B$6:$B$305,0))),"Not a loan")))</f>
        <v/>
      </c>
      <c r="I324" s="10">
        <f>IF(OR(G324="",H324="Not a loan"),"",IF(INDEX(Loans!$D$6:$D$305,MATCH(G324,Loans!$B$6:$B$305,0))="I borrowed","Out","In"))</f>
        <v/>
      </c>
      <c r="J324" s="1">
        <f>IF(NOT(ISNUMBER(B324)),"",YEAR(B324)*100+MONTH(B324))</f>
        <v/>
      </c>
      <c r="K324">
        <f>IF(OR(G324="",NOT(ISNUMBER(B324))),"",IF(G324=Statement!$H$2,B324*1000+ROW(),""))</f>
        <v/>
      </c>
    </row>
    <row r="325">
      <c r="A325" s="1" t="n"/>
      <c r="B325" s="18" t="n"/>
      <c r="C325" s="16" t="n"/>
      <c r="D325" s="19" t="n"/>
      <c r="E325" s="17" t="n"/>
      <c r="F325" s="22" t="n"/>
      <c r="G325" s="14">
        <f>IF(C325="","",IFERROR(VALUE(LEFT(C325,FIND(" ",C325&amp;" ")-1)),""))</f>
        <v/>
      </c>
      <c r="H325" s="26">
        <f>IF(C325="","",IF(G325="","Pick a loan",IFERROR(IF(INDEX(Loans!$C$6:$C$305,MATCH(G325,Loans!$B$6:$B$305,0))="","Not a loan",INDEX(Loans!$C$6:$C$305,MATCH(G325,Loans!$B$6:$B$305,0))),"Not a loan")))</f>
        <v/>
      </c>
      <c r="I325" s="10">
        <f>IF(OR(G325="",H325="Not a loan"),"",IF(INDEX(Loans!$D$6:$D$305,MATCH(G325,Loans!$B$6:$B$305,0))="I borrowed","Out","In"))</f>
        <v/>
      </c>
      <c r="J325" s="1">
        <f>IF(NOT(ISNUMBER(B325)),"",YEAR(B325)*100+MONTH(B325))</f>
        <v/>
      </c>
      <c r="K325">
        <f>IF(OR(G325="",NOT(ISNUMBER(B325))),"",IF(G325=Statement!$H$2,B325*1000+ROW(),""))</f>
        <v/>
      </c>
    </row>
    <row r="326">
      <c r="A326" s="1" t="n"/>
      <c r="B326" s="18" t="n"/>
      <c r="C326" s="16" t="n"/>
      <c r="D326" s="19" t="n"/>
      <c r="E326" s="17" t="n"/>
      <c r="F326" s="22" t="n"/>
      <c r="G326" s="14">
        <f>IF(C326="","",IFERROR(VALUE(LEFT(C326,FIND(" ",C326&amp;" ")-1)),""))</f>
        <v/>
      </c>
      <c r="H326" s="26">
        <f>IF(C326="","",IF(G326="","Pick a loan",IFERROR(IF(INDEX(Loans!$C$6:$C$305,MATCH(G326,Loans!$B$6:$B$305,0))="","Not a loan",INDEX(Loans!$C$6:$C$305,MATCH(G326,Loans!$B$6:$B$305,0))),"Not a loan")))</f>
        <v/>
      </c>
      <c r="I326" s="10">
        <f>IF(OR(G326="",H326="Not a loan"),"",IF(INDEX(Loans!$D$6:$D$305,MATCH(G326,Loans!$B$6:$B$305,0))="I borrowed","Out","In"))</f>
        <v/>
      </c>
      <c r="J326" s="1">
        <f>IF(NOT(ISNUMBER(B326)),"",YEAR(B326)*100+MONTH(B326))</f>
        <v/>
      </c>
      <c r="K326">
        <f>IF(OR(G326="",NOT(ISNUMBER(B326))),"",IF(G326=Statement!$H$2,B326*1000+ROW(),""))</f>
        <v/>
      </c>
    </row>
    <row r="327">
      <c r="A327" s="1" t="n"/>
      <c r="B327" s="18" t="n"/>
      <c r="C327" s="16" t="n"/>
      <c r="D327" s="19" t="n"/>
      <c r="E327" s="17" t="n"/>
      <c r="F327" s="22" t="n"/>
      <c r="G327" s="14">
        <f>IF(C327="","",IFERROR(VALUE(LEFT(C327,FIND(" ",C327&amp;" ")-1)),""))</f>
        <v/>
      </c>
      <c r="H327" s="26">
        <f>IF(C327="","",IF(G327="","Pick a loan",IFERROR(IF(INDEX(Loans!$C$6:$C$305,MATCH(G327,Loans!$B$6:$B$305,0))="","Not a loan",INDEX(Loans!$C$6:$C$305,MATCH(G327,Loans!$B$6:$B$305,0))),"Not a loan")))</f>
        <v/>
      </c>
      <c r="I327" s="10">
        <f>IF(OR(G327="",H327="Not a loan"),"",IF(INDEX(Loans!$D$6:$D$305,MATCH(G327,Loans!$B$6:$B$305,0))="I borrowed","Out","In"))</f>
        <v/>
      </c>
      <c r="J327" s="1">
        <f>IF(NOT(ISNUMBER(B327)),"",YEAR(B327)*100+MONTH(B327))</f>
        <v/>
      </c>
      <c r="K327">
        <f>IF(OR(G327="",NOT(ISNUMBER(B327))),"",IF(G327=Statement!$H$2,B327*1000+ROW(),""))</f>
        <v/>
      </c>
    </row>
    <row r="328">
      <c r="A328" s="1" t="n"/>
      <c r="B328" s="18" t="n"/>
      <c r="C328" s="16" t="n"/>
      <c r="D328" s="19" t="n"/>
      <c r="E328" s="17" t="n"/>
      <c r="F328" s="22" t="n"/>
      <c r="G328" s="14">
        <f>IF(C328="","",IFERROR(VALUE(LEFT(C328,FIND(" ",C328&amp;" ")-1)),""))</f>
        <v/>
      </c>
      <c r="H328" s="26">
        <f>IF(C328="","",IF(G328="","Pick a loan",IFERROR(IF(INDEX(Loans!$C$6:$C$305,MATCH(G328,Loans!$B$6:$B$305,0))="","Not a loan",INDEX(Loans!$C$6:$C$305,MATCH(G328,Loans!$B$6:$B$305,0))),"Not a loan")))</f>
        <v/>
      </c>
      <c r="I328" s="10">
        <f>IF(OR(G328="",H328="Not a loan"),"",IF(INDEX(Loans!$D$6:$D$305,MATCH(G328,Loans!$B$6:$B$305,0))="I borrowed","Out","In"))</f>
        <v/>
      </c>
      <c r="J328" s="1">
        <f>IF(NOT(ISNUMBER(B328)),"",YEAR(B328)*100+MONTH(B328))</f>
        <v/>
      </c>
      <c r="K328">
        <f>IF(OR(G328="",NOT(ISNUMBER(B328))),"",IF(G328=Statement!$H$2,B328*1000+ROW(),""))</f>
        <v/>
      </c>
    </row>
    <row r="329">
      <c r="A329" s="1" t="n"/>
      <c r="B329" s="18" t="n"/>
      <c r="C329" s="16" t="n"/>
      <c r="D329" s="19" t="n"/>
      <c r="E329" s="17" t="n"/>
      <c r="F329" s="22" t="n"/>
      <c r="G329" s="14">
        <f>IF(C329="","",IFERROR(VALUE(LEFT(C329,FIND(" ",C329&amp;" ")-1)),""))</f>
        <v/>
      </c>
      <c r="H329" s="26">
        <f>IF(C329="","",IF(G329="","Pick a loan",IFERROR(IF(INDEX(Loans!$C$6:$C$305,MATCH(G329,Loans!$B$6:$B$305,0))="","Not a loan",INDEX(Loans!$C$6:$C$305,MATCH(G329,Loans!$B$6:$B$305,0))),"Not a loan")))</f>
        <v/>
      </c>
      <c r="I329" s="10">
        <f>IF(OR(G329="",H329="Not a loan"),"",IF(INDEX(Loans!$D$6:$D$305,MATCH(G329,Loans!$B$6:$B$305,0))="I borrowed","Out","In"))</f>
        <v/>
      </c>
      <c r="J329" s="1">
        <f>IF(NOT(ISNUMBER(B329)),"",YEAR(B329)*100+MONTH(B329))</f>
        <v/>
      </c>
      <c r="K329">
        <f>IF(OR(G329="",NOT(ISNUMBER(B329))),"",IF(G329=Statement!$H$2,B329*1000+ROW(),""))</f>
        <v/>
      </c>
    </row>
    <row r="330">
      <c r="A330" s="1" t="n"/>
      <c r="B330" s="18" t="n"/>
      <c r="C330" s="16" t="n"/>
      <c r="D330" s="19" t="n"/>
      <c r="E330" s="17" t="n"/>
      <c r="F330" s="22" t="n"/>
      <c r="G330" s="14">
        <f>IF(C330="","",IFERROR(VALUE(LEFT(C330,FIND(" ",C330&amp;" ")-1)),""))</f>
        <v/>
      </c>
      <c r="H330" s="26">
        <f>IF(C330="","",IF(G330="","Pick a loan",IFERROR(IF(INDEX(Loans!$C$6:$C$305,MATCH(G330,Loans!$B$6:$B$305,0))="","Not a loan",INDEX(Loans!$C$6:$C$305,MATCH(G330,Loans!$B$6:$B$305,0))),"Not a loan")))</f>
        <v/>
      </c>
      <c r="I330" s="10">
        <f>IF(OR(G330="",H330="Not a loan"),"",IF(INDEX(Loans!$D$6:$D$305,MATCH(G330,Loans!$B$6:$B$305,0))="I borrowed","Out","In"))</f>
        <v/>
      </c>
      <c r="J330" s="1">
        <f>IF(NOT(ISNUMBER(B330)),"",YEAR(B330)*100+MONTH(B330))</f>
        <v/>
      </c>
      <c r="K330">
        <f>IF(OR(G330="",NOT(ISNUMBER(B330))),"",IF(G330=Statement!$H$2,B330*1000+ROW(),""))</f>
        <v/>
      </c>
    </row>
    <row r="331">
      <c r="A331" s="1" t="n"/>
      <c r="B331" s="18" t="n"/>
      <c r="C331" s="16" t="n"/>
      <c r="D331" s="19" t="n"/>
      <c r="E331" s="17" t="n"/>
      <c r="F331" s="22" t="n"/>
      <c r="G331" s="14">
        <f>IF(C331="","",IFERROR(VALUE(LEFT(C331,FIND(" ",C331&amp;" ")-1)),""))</f>
        <v/>
      </c>
      <c r="H331" s="26">
        <f>IF(C331="","",IF(G331="","Pick a loan",IFERROR(IF(INDEX(Loans!$C$6:$C$305,MATCH(G331,Loans!$B$6:$B$305,0))="","Not a loan",INDEX(Loans!$C$6:$C$305,MATCH(G331,Loans!$B$6:$B$305,0))),"Not a loan")))</f>
        <v/>
      </c>
      <c r="I331" s="10">
        <f>IF(OR(G331="",H331="Not a loan"),"",IF(INDEX(Loans!$D$6:$D$305,MATCH(G331,Loans!$B$6:$B$305,0))="I borrowed","Out","In"))</f>
        <v/>
      </c>
      <c r="J331" s="1">
        <f>IF(NOT(ISNUMBER(B331)),"",YEAR(B331)*100+MONTH(B331))</f>
        <v/>
      </c>
      <c r="K331">
        <f>IF(OR(G331="",NOT(ISNUMBER(B331))),"",IF(G331=Statement!$H$2,B331*1000+ROW(),""))</f>
        <v/>
      </c>
    </row>
    <row r="332">
      <c r="A332" s="1" t="n"/>
      <c r="B332" s="18" t="n"/>
      <c r="C332" s="16" t="n"/>
      <c r="D332" s="19" t="n"/>
      <c r="E332" s="17" t="n"/>
      <c r="F332" s="22" t="n"/>
      <c r="G332" s="14">
        <f>IF(C332="","",IFERROR(VALUE(LEFT(C332,FIND(" ",C332&amp;" ")-1)),""))</f>
        <v/>
      </c>
      <c r="H332" s="26">
        <f>IF(C332="","",IF(G332="","Pick a loan",IFERROR(IF(INDEX(Loans!$C$6:$C$305,MATCH(G332,Loans!$B$6:$B$305,0))="","Not a loan",INDEX(Loans!$C$6:$C$305,MATCH(G332,Loans!$B$6:$B$305,0))),"Not a loan")))</f>
        <v/>
      </c>
      <c r="I332" s="10">
        <f>IF(OR(G332="",H332="Not a loan"),"",IF(INDEX(Loans!$D$6:$D$305,MATCH(G332,Loans!$B$6:$B$305,0))="I borrowed","Out","In"))</f>
        <v/>
      </c>
      <c r="J332" s="1">
        <f>IF(NOT(ISNUMBER(B332)),"",YEAR(B332)*100+MONTH(B332))</f>
        <v/>
      </c>
      <c r="K332">
        <f>IF(OR(G332="",NOT(ISNUMBER(B332))),"",IF(G332=Statement!$H$2,B332*1000+ROW(),""))</f>
        <v/>
      </c>
    </row>
    <row r="333">
      <c r="A333" s="1" t="n"/>
      <c r="B333" s="18" t="n"/>
      <c r="C333" s="16" t="n"/>
      <c r="D333" s="19" t="n"/>
      <c r="E333" s="17" t="n"/>
      <c r="F333" s="22" t="n"/>
      <c r="G333" s="14">
        <f>IF(C333="","",IFERROR(VALUE(LEFT(C333,FIND(" ",C333&amp;" ")-1)),""))</f>
        <v/>
      </c>
      <c r="H333" s="26">
        <f>IF(C333="","",IF(G333="","Pick a loan",IFERROR(IF(INDEX(Loans!$C$6:$C$305,MATCH(G333,Loans!$B$6:$B$305,0))="","Not a loan",INDEX(Loans!$C$6:$C$305,MATCH(G333,Loans!$B$6:$B$305,0))),"Not a loan")))</f>
        <v/>
      </c>
      <c r="I333" s="10">
        <f>IF(OR(G333="",H333="Not a loan"),"",IF(INDEX(Loans!$D$6:$D$305,MATCH(G333,Loans!$B$6:$B$305,0))="I borrowed","Out","In"))</f>
        <v/>
      </c>
      <c r="J333" s="1">
        <f>IF(NOT(ISNUMBER(B333)),"",YEAR(B333)*100+MONTH(B333))</f>
        <v/>
      </c>
      <c r="K333">
        <f>IF(OR(G333="",NOT(ISNUMBER(B333))),"",IF(G333=Statement!$H$2,B333*1000+ROW(),""))</f>
        <v/>
      </c>
    </row>
    <row r="334">
      <c r="A334" s="1" t="n"/>
      <c r="B334" s="18" t="n"/>
      <c r="C334" s="16" t="n"/>
      <c r="D334" s="19" t="n"/>
      <c r="E334" s="17" t="n"/>
      <c r="F334" s="22" t="n"/>
      <c r="G334" s="14">
        <f>IF(C334="","",IFERROR(VALUE(LEFT(C334,FIND(" ",C334&amp;" ")-1)),""))</f>
        <v/>
      </c>
      <c r="H334" s="26">
        <f>IF(C334="","",IF(G334="","Pick a loan",IFERROR(IF(INDEX(Loans!$C$6:$C$305,MATCH(G334,Loans!$B$6:$B$305,0))="","Not a loan",INDEX(Loans!$C$6:$C$305,MATCH(G334,Loans!$B$6:$B$305,0))),"Not a loan")))</f>
        <v/>
      </c>
      <c r="I334" s="10">
        <f>IF(OR(G334="",H334="Not a loan"),"",IF(INDEX(Loans!$D$6:$D$305,MATCH(G334,Loans!$B$6:$B$305,0))="I borrowed","Out","In"))</f>
        <v/>
      </c>
      <c r="J334" s="1">
        <f>IF(NOT(ISNUMBER(B334)),"",YEAR(B334)*100+MONTH(B334))</f>
        <v/>
      </c>
      <c r="K334">
        <f>IF(OR(G334="",NOT(ISNUMBER(B334))),"",IF(G334=Statement!$H$2,B334*1000+ROW(),""))</f>
        <v/>
      </c>
    </row>
    <row r="335">
      <c r="A335" s="1" t="n"/>
      <c r="B335" s="18" t="n"/>
      <c r="C335" s="16" t="n"/>
      <c r="D335" s="19" t="n"/>
      <c r="E335" s="17" t="n"/>
      <c r="F335" s="22" t="n"/>
      <c r="G335" s="14">
        <f>IF(C335="","",IFERROR(VALUE(LEFT(C335,FIND(" ",C335&amp;" ")-1)),""))</f>
        <v/>
      </c>
      <c r="H335" s="26">
        <f>IF(C335="","",IF(G335="","Pick a loan",IFERROR(IF(INDEX(Loans!$C$6:$C$305,MATCH(G335,Loans!$B$6:$B$305,0))="","Not a loan",INDEX(Loans!$C$6:$C$305,MATCH(G335,Loans!$B$6:$B$305,0))),"Not a loan")))</f>
        <v/>
      </c>
      <c r="I335" s="10">
        <f>IF(OR(G335="",H335="Not a loan"),"",IF(INDEX(Loans!$D$6:$D$305,MATCH(G335,Loans!$B$6:$B$305,0))="I borrowed","Out","In"))</f>
        <v/>
      </c>
      <c r="J335" s="1">
        <f>IF(NOT(ISNUMBER(B335)),"",YEAR(B335)*100+MONTH(B335))</f>
        <v/>
      </c>
      <c r="K335">
        <f>IF(OR(G335="",NOT(ISNUMBER(B335))),"",IF(G335=Statement!$H$2,B335*1000+ROW(),""))</f>
        <v/>
      </c>
    </row>
    <row r="336">
      <c r="A336" s="1" t="n"/>
      <c r="B336" s="18" t="n"/>
      <c r="C336" s="16" t="n"/>
      <c r="D336" s="19" t="n"/>
      <c r="E336" s="17" t="n"/>
      <c r="F336" s="22" t="n"/>
      <c r="G336" s="14">
        <f>IF(C336="","",IFERROR(VALUE(LEFT(C336,FIND(" ",C336&amp;" ")-1)),""))</f>
        <v/>
      </c>
      <c r="H336" s="26">
        <f>IF(C336="","",IF(G336="","Pick a loan",IFERROR(IF(INDEX(Loans!$C$6:$C$305,MATCH(G336,Loans!$B$6:$B$305,0))="","Not a loan",INDEX(Loans!$C$6:$C$305,MATCH(G336,Loans!$B$6:$B$305,0))),"Not a loan")))</f>
        <v/>
      </c>
      <c r="I336" s="10">
        <f>IF(OR(G336="",H336="Not a loan"),"",IF(INDEX(Loans!$D$6:$D$305,MATCH(G336,Loans!$B$6:$B$305,0))="I borrowed","Out","In"))</f>
        <v/>
      </c>
      <c r="J336" s="1">
        <f>IF(NOT(ISNUMBER(B336)),"",YEAR(B336)*100+MONTH(B336))</f>
        <v/>
      </c>
      <c r="K336">
        <f>IF(OR(G336="",NOT(ISNUMBER(B336))),"",IF(G336=Statement!$H$2,B336*1000+ROW(),""))</f>
        <v/>
      </c>
    </row>
    <row r="337">
      <c r="A337" s="1" t="n"/>
      <c r="B337" s="18" t="n"/>
      <c r="C337" s="16" t="n"/>
      <c r="D337" s="19" t="n"/>
      <c r="E337" s="17" t="n"/>
      <c r="F337" s="22" t="n"/>
      <c r="G337" s="14">
        <f>IF(C337="","",IFERROR(VALUE(LEFT(C337,FIND(" ",C337&amp;" ")-1)),""))</f>
        <v/>
      </c>
      <c r="H337" s="26">
        <f>IF(C337="","",IF(G337="","Pick a loan",IFERROR(IF(INDEX(Loans!$C$6:$C$305,MATCH(G337,Loans!$B$6:$B$305,0))="","Not a loan",INDEX(Loans!$C$6:$C$305,MATCH(G337,Loans!$B$6:$B$305,0))),"Not a loan")))</f>
        <v/>
      </c>
      <c r="I337" s="10">
        <f>IF(OR(G337="",H337="Not a loan"),"",IF(INDEX(Loans!$D$6:$D$305,MATCH(G337,Loans!$B$6:$B$305,0))="I borrowed","Out","In"))</f>
        <v/>
      </c>
      <c r="J337" s="1">
        <f>IF(NOT(ISNUMBER(B337)),"",YEAR(B337)*100+MONTH(B337))</f>
        <v/>
      </c>
      <c r="K337">
        <f>IF(OR(G337="",NOT(ISNUMBER(B337))),"",IF(G337=Statement!$H$2,B337*1000+ROW(),""))</f>
        <v/>
      </c>
    </row>
    <row r="338">
      <c r="A338" s="1" t="n"/>
      <c r="B338" s="18" t="n"/>
      <c r="C338" s="16" t="n"/>
      <c r="D338" s="19" t="n"/>
      <c r="E338" s="17" t="n"/>
      <c r="F338" s="22" t="n"/>
      <c r="G338" s="14">
        <f>IF(C338="","",IFERROR(VALUE(LEFT(C338,FIND(" ",C338&amp;" ")-1)),""))</f>
        <v/>
      </c>
      <c r="H338" s="26">
        <f>IF(C338="","",IF(G338="","Pick a loan",IFERROR(IF(INDEX(Loans!$C$6:$C$305,MATCH(G338,Loans!$B$6:$B$305,0))="","Not a loan",INDEX(Loans!$C$6:$C$305,MATCH(G338,Loans!$B$6:$B$305,0))),"Not a loan")))</f>
        <v/>
      </c>
      <c r="I338" s="10">
        <f>IF(OR(G338="",H338="Not a loan"),"",IF(INDEX(Loans!$D$6:$D$305,MATCH(G338,Loans!$B$6:$B$305,0))="I borrowed","Out","In"))</f>
        <v/>
      </c>
      <c r="J338" s="1">
        <f>IF(NOT(ISNUMBER(B338)),"",YEAR(B338)*100+MONTH(B338))</f>
        <v/>
      </c>
      <c r="K338">
        <f>IF(OR(G338="",NOT(ISNUMBER(B338))),"",IF(G338=Statement!$H$2,B338*1000+ROW(),""))</f>
        <v/>
      </c>
    </row>
    <row r="339">
      <c r="A339" s="1" t="n"/>
      <c r="B339" s="18" t="n"/>
      <c r="C339" s="16" t="n"/>
      <c r="D339" s="19" t="n"/>
      <c r="E339" s="17" t="n"/>
      <c r="F339" s="22" t="n"/>
      <c r="G339" s="14">
        <f>IF(C339="","",IFERROR(VALUE(LEFT(C339,FIND(" ",C339&amp;" ")-1)),""))</f>
        <v/>
      </c>
      <c r="H339" s="26">
        <f>IF(C339="","",IF(G339="","Pick a loan",IFERROR(IF(INDEX(Loans!$C$6:$C$305,MATCH(G339,Loans!$B$6:$B$305,0))="","Not a loan",INDEX(Loans!$C$6:$C$305,MATCH(G339,Loans!$B$6:$B$305,0))),"Not a loan")))</f>
        <v/>
      </c>
      <c r="I339" s="10">
        <f>IF(OR(G339="",H339="Not a loan"),"",IF(INDEX(Loans!$D$6:$D$305,MATCH(G339,Loans!$B$6:$B$305,0))="I borrowed","Out","In"))</f>
        <v/>
      </c>
      <c r="J339" s="1">
        <f>IF(NOT(ISNUMBER(B339)),"",YEAR(B339)*100+MONTH(B339))</f>
        <v/>
      </c>
      <c r="K339">
        <f>IF(OR(G339="",NOT(ISNUMBER(B339))),"",IF(G339=Statement!$H$2,B339*1000+ROW(),""))</f>
        <v/>
      </c>
    </row>
    <row r="340">
      <c r="A340" s="1" t="n"/>
      <c r="B340" s="18" t="n"/>
      <c r="C340" s="16" t="n"/>
      <c r="D340" s="19" t="n"/>
      <c r="E340" s="17" t="n"/>
      <c r="F340" s="22" t="n"/>
      <c r="G340" s="14">
        <f>IF(C340="","",IFERROR(VALUE(LEFT(C340,FIND(" ",C340&amp;" ")-1)),""))</f>
        <v/>
      </c>
      <c r="H340" s="26">
        <f>IF(C340="","",IF(G340="","Pick a loan",IFERROR(IF(INDEX(Loans!$C$6:$C$305,MATCH(G340,Loans!$B$6:$B$305,0))="","Not a loan",INDEX(Loans!$C$6:$C$305,MATCH(G340,Loans!$B$6:$B$305,0))),"Not a loan")))</f>
        <v/>
      </c>
      <c r="I340" s="10">
        <f>IF(OR(G340="",H340="Not a loan"),"",IF(INDEX(Loans!$D$6:$D$305,MATCH(G340,Loans!$B$6:$B$305,0))="I borrowed","Out","In"))</f>
        <v/>
      </c>
      <c r="J340" s="1">
        <f>IF(NOT(ISNUMBER(B340)),"",YEAR(B340)*100+MONTH(B340))</f>
        <v/>
      </c>
      <c r="K340">
        <f>IF(OR(G340="",NOT(ISNUMBER(B340))),"",IF(G340=Statement!$H$2,B340*1000+ROW(),""))</f>
        <v/>
      </c>
    </row>
    <row r="341">
      <c r="A341" s="1" t="n"/>
      <c r="B341" s="18" t="n"/>
      <c r="C341" s="16" t="n"/>
      <c r="D341" s="19" t="n"/>
      <c r="E341" s="17" t="n"/>
      <c r="F341" s="22" t="n"/>
      <c r="G341" s="14">
        <f>IF(C341="","",IFERROR(VALUE(LEFT(C341,FIND(" ",C341&amp;" ")-1)),""))</f>
        <v/>
      </c>
      <c r="H341" s="26">
        <f>IF(C341="","",IF(G341="","Pick a loan",IFERROR(IF(INDEX(Loans!$C$6:$C$305,MATCH(G341,Loans!$B$6:$B$305,0))="","Not a loan",INDEX(Loans!$C$6:$C$305,MATCH(G341,Loans!$B$6:$B$305,0))),"Not a loan")))</f>
        <v/>
      </c>
      <c r="I341" s="10">
        <f>IF(OR(G341="",H341="Not a loan"),"",IF(INDEX(Loans!$D$6:$D$305,MATCH(G341,Loans!$B$6:$B$305,0))="I borrowed","Out","In"))</f>
        <v/>
      </c>
      <c r="J341" s="1">
        <f>IF(NOT(ISNUMBER(B341)),"",YEAR(B341)*100+MONTH(B341))</f>
        <v/>
      </c>
      <c r="K341">
        <f>IF(OR(G341="",NOT(ISNUMBER(B341))),"",IF(G341=Statement!$H$2,B341*1000+ROW(),""))</f>
        <v/>
      </c>
    </row>
    <row r="342">
      <c r="A342" s="1" t="n"/>
      <c r="B342" s="18" t="n"/>
      <c r="C342" s="16" t="n"/>
      <c r="D342" s="19" t="n"/>
      <c r="E342" s="17" t="n"/>
      <c r="F342" s="22" t="n"/>
      <c r="G342" s="14">
        <f>IF(C342="","",IFERROR(VALUE(LEFT(C342,FIND(" ",C342&amp;" ")-1)),""))</f>
        <v/>
      </c>
      <c r="H342" s="26">
        <f>IF(C342="","",IF(G342="","Pick a loan",IFERROR(IF(INDEX(Loans!$C$6:$C$305,MATCH(G342,Loans!$B$6:$B$305,0))="","Not a loan",INDEX(Loans!$C$6:$C$305,MATCH(G342,Loans!$B$6:$B$305,0))),"Not a loan")))</f>
        <v/>
      </c>
      <c r="I342" s="10">
        <f>IF(OR(G342="",H342="Not a loan"),"",IF(INDEX(Loans!$D$6:$D$305,MATCH(G342,Loans!$B$6:$B$305,0))="I borrowed","Out","In"))</f>
        <v/>
      </c>
      <c r="J342" s="1">
        <f>IF(NOT(ISNUMBER(B342)),"",YEAR(B342)*100+MONTH(B342))</f>
        <v/>
      </c>
      <c r="K342">
        <f>IF(OR(G342="",NOT(ISNUMBER(B342))),"",IF(G342=Statement!$H$2,B342*1000+ROW(),""))</f>
        <v/>
      </c>
    </row>
    <row r="343">
      <c r="A343" s="1" t="n"/>
      <c r="B343" s="18" t="n"/>
      <c r="C343" s="16" t="n"/>
      <c r="D343" s="19" t="n"/>
      <c r="E343" s="17" t="n"/>
      <c r="F343" s="22" t="n"/>
      <c r="G343" s="14">
        <f>IF(C343="","",IFERROR(VALUE(LEFT(C343,FIND(" ",C343&amp;" ")-1)),""))</f>
        <v/>
      </c>
      <c r="H343" s="26">
        <f>IF(C343="","",IF(G343="","Pick a loan",IFERROR(IF(INDEX(Loans!$C$6:$C$305,MATCH(G343,Loans!$B$6:$B$305,0))="","Not a loan",INDEX(Loans!$C$6:$C$305,MATCH(G343,Loans!$B$6:$B$305,0))),"Not a loan")))</f>
        <v/>
      </c>
      <c r="I343" s="10">
        <f>IF(OR(G343="",H343="Not a loan"),"",IF(INDEX(Loans!$D$6:$D$305,MATCH(G343,Loans!$B$6:$B$305,0))="I borrowed","Out","In"))</f>
        <v/>
      </c>
      <c r="J343" s="1">
        <f>IF(NOT(ISNUMBER(B343)),"",YEAR(B343)*100+MONTH(B343))</f>
        <v/>
      </c>
      <c r="K343">
        <f>IF(OR(G343="",NOT(ISNUMBER(B343))),"",IF(G343=Statement!$H$2,B343*1000+ROW(),""))</f>
        <v/>
      </c>
    </row>
    <row r="344">
      <c r="A344" s="1" t="n"/>
      <c r="B344" s="18" t="n"/>
      <c r="C344" s="16" t="n"/>
      <c r="D344" s="19" t="n"/>
      <c r="E344" s="17" t="n"/>
      <c r="F344" s="22" t="n"/>
      <c r="G344" s="14">
        <f>IF(C344="","",IFERROR(VALUE(LEFT(C344,FIND(" ",C344&amp;" ")-1)),""))</f>
        <v/>
      </c>
      <c r="H344" s="26">
        <f>IF(C344="","",IF(G344="","Pick a loan",IFERROR(IF(INDEX(Loans!$C$6:$C$305,MATCH(G344,Loans!$B$6:$B$305,0))="","Not a loan",INDEX(Loans!$C$6:$C$305,MATCH(G344,Loans!$B$6:$B$305,0))),"Not a loan")))</f>
        <v/>
      </c>
      <c r="I344" s="10">
        <f>IF(OR(G344="",H344="Not a loan"),"",IF(INDEX(Loans!$D$6:$D$305,MATCH(G344,Loans!$B$6:$B$305,0))="I borrowed","Out","In"))</f>
        <v/>
      </c>
      <c r="J344" s="1">
        <f>IF(NOT(ISNUMBER(B344)),"",YEAR(B344)*100+MONTH(B344))</f>
        <v/>
      </c>
      <c r="K344">
        <f>IF(OR(G344="",NOT(ISNUMBER(B344))),"",IF(G344=Statement!$H$2,B344*1000+ROW(),""))</f>
        <v/>
      </c>
    </row>
    <row r="345">
      <c r="A345" s="1" t="n"/>
      <c r="B345" s="18" t="n"/>
      <c r="C345" s="16" t="n"/>
      <c r="D345" s="19" t="n"/>
      <c r="E345" s="17" t="n"/>
      <c r="F345" s="22" t="n"/>
      <c r="G345" s="14">
        <f>IF(C345="","",IFERROR(VALUE(LEFT(C345,FIND(" ",C345&amp;" ")-1)),""))</f>
        <v/>
      </c>
      <c r="H345" s="26">
        <f>IF(C345="","",IF(G345="","Pick a loan",IFERROR(IF(INDEX(Loans!$C$6:$C$305,MATCH(G345,Loans!$B$6:$B$305,0))="","Not a loan",INDEX(Loans!$C$6:$C$305,MATCH(G345,Loans!$B$6:$B$305,0))),"Not a loan")))</f>
        <v/>
      </c>
      <c r="I345" s="10">
        <f>IF(OR(G345="",H345="Not a loan"),"",IF(INDEX(Loans!$D$6:$D$305,MATCH(G345,Loans!$B$6:$B$305,0))="I borrowed","Out","In"))</f>
        <v/>
      </c>
      <c r="J345" s="1">
        <f>IF(NOT(ISNUMBER(B345)),"",YEAR(B345)*100+MONTH(B345))</f>
        <v/>
      </c>
      <c r="K345">
        <f>IF(OR(G345="",NOT(ISNUMBER(B345))),"",IF(G345=Statement!$H$2,B345*1000+ROW(),""))</f>
        <v/>
      </c>
    </row>
    <row r="346">
      <c r="A346" s="1" t="n"/>
      <c r="B346" s="18" t="n"/>
      <c r="C346" s="16" t="n"/>
      <c r="D346" s="19" t="n"/>
      <c r="E346" s="17" t="n"/>
      <c r="F346" s="22" t="n"/>
      <c r="G346" s="14">
        <f>IF(C346="","",IFERROR(VALUE(LEFT(C346,FIND(" ",C346&amp;" ")-1)),""))</f>
        <v/>
      </c>
      <c r="H346" s="26">
        <f>IF(C346="","",IF(G346="","Pick a loan",IFERROR(IF(INDEX(Loans!$C$6:$C$305,MATCH(G346,Loans!$B$6:$B$305,0))="","Not a loan",INDEX(Loans!$C$6:$C$305,MATCH(G346,Loans!$B$6:$B$305,0))),"Not a loan")))</f>
        <v/>
      </c>
      <c r="I346" s="10">
        <f>IF(OR(G346="",H346="Not a loan"),"",IF(INDEX(Loans!$D$6:$D$305,MATCH(G346,Loans!$B$6:$B$305,0))="I borrowed","Out","In"))</f>
        <v/>
      </c>
      <c r="J346" s="1">
        <f>IF(NOT(ISNUMBER(B346)),"",YEAR(B346)*100+MONTH(B346))</f>
        <v/>
      </c>
      <c r="K346">
        <f>IF(OR(G346="",NOT(ISNUMBER(B346))),"",IF(G346=Statement!$H$2,B346*1000+ROW(),""))</f>
        <v/>
      </c>
    </row>
    <row r="347">
      <c r="A347" s="1" t="n"/>
      <c r="B347" s="18" t="n"/>
      <c r="C347" s="16" t="n"/>
      <c r="D347" s="19" t="n"/>
      <c r="E347" s="17" t="n"/>
      <c r="F347" s="22" t="n"/>
      <c r="G347" s="14">
        <f>IF(C347="","",IFERROR(VALUE(LEFT(C347,FIND(" ",C347&amp;" ")-1)),""))</f>
        <v/>
      </c>
      <c r="H347" s="26">
        <f>IF(C347="","",IF(G347="","Pick a loan",IFERROR(IF(INDEX(Loans!$C$6:$C$305,MATCH(G347,Loans!$B$6:$B$305,0))="","Not a loan",INDEX(Loans!$C$6:$C$305,MATCH(G347,Loans!$B$6:$B$305,0))),"Not a loan")))</f>
        <v/>
      </c>
      <c r="I347" s="10">
        <f>IF(OR(G347="",H347="Not a loan"),"",IF(INDEX(Loans!$D$6:$D$305,MATCH(G347,Loans!$B$6:$B$305,0))="I borrowed","Out","In"))</f>
        <v/>
      </c>
      <c r="J347" s="1">
        <f>IF(NOT(ISNUMBER(B347)),"",YEAR(B347)*100+MONTH(B347))</f>
        <v/>
      </c>
      <c r="K347">
        <f>IF(OR(G347="",NOT(ISNUMBER(B347))),"",IF(G347=Statement!$H$2,B347*1000+ROW(),""))</f>
        <v/>
      </c>
    </row>
    <row r="348">
      <c r="A348" s="1" t="n"/>
      <c r="B348" s="18" t="n"/>
      <c r="C348" s="16" t="n"/>
      <c r="D348" s="19" t="n"/>
      <c r="E348" s="17" t="n"/>
      <c r="F348" s="22" t="n"/>
      <c r="G348" s="14">
        <f>IF(C348="","",IFERROR(VALUE(LEFT(C348,FIND(" ",C348&amp;" ")-1)),""))</f>
        <v/>
      </c>
      <c r="H348" s="26">
        <f>IF(C348="","",IF(G348="","Pick a loan",IFERROR(IF(INDEX(Loans!$C$6:$C$305,MATCH(G348,Loans!$B$6:$B$305,0))="","Not a loan",INDEX(Loans!$C$6:$C$305,MATCH(G348,Loans!$B$6:$B$305,0))),"Not a loan")))</f>
        <v/>
      </c>
      <c r="I348" s="10">
        <f>IF(OR(G348="",H348="Not a loan"),"",IF(INDEX(Loans!$D$6:$D$305,MATCH(G348,Loans!$B$6:$B$305,0))="I borrowed","Out","In"))</f>
        <v/>
      </c>
      <c r="J348" s="1">
        <f>IF(NOT(ISNUMBER(B348)),"",YEAR(B348)*100+MONTH(B348))</f>
        <v/>
      </c>
      <c r="K348">
        <f>IF(OR(G348="",NOT(ISNUMBER(B348))),"",IF(G348=Statement!$H$2,B348*1000+ROW(),""))</f>
        <v/>
      </c>
    </row>
    <row r="349">
      <c r="A349" s="1" t="n"/>
      <c r="B349" s="18" t="n"/>
      <c r="C349" s="16" t="n"/>
      <c r="D349" s="19" t="n"/>
      <c r="E349" s="17" t="n"/>
      <c r="F349" s="22" t="n"/>
      <c r="G349" s="14">
        <f>IF(C349="","",IFERROR(VALUE(LEFT(C349,FIND(" ",C349&amp;" ")-1)),""))</f>
        <v/>
      </c>
      <c r="H349" s="26">
        <f>IF(C349="","",IF(G349="","Pick a loan",IFERROR(IF(INDEX(Loans!$C$6:$C$305,MATCH(G349,Loans!$B$6:$B$305,0))="","Not a loan",INDEX(Loans!$C$6:$C$305,MATCH(G349,Loans!$B$6:$B$305,0))),"Not a loan")))</f>
        <v/>
      </c>
      <c r="I349" s="10">
        <f>IF(OR(G349="",H349="Not a loan"),"",IF(INDEX(Loans!$D$6:$D$305,MATCH(G349,Loans!$B$6:$B$305,0))="I borrowed","Out","In"))</f>
        <v/>
      </c>
      <c r="J349" s="1">
        <f>IF(NOT(ISNUMBER(B349)),"",YEAR(B349)*100+MONTH(B349))</f>
        <v/>
      </c>
      <c r="K349">
        <f>IF(OR(G349="",NOT(ISNUMBER(B349))),"",IF(G349=Statement!$H$2,B349*1000+ROW(),""))</f>
        <v/>
      </c>
    </row>
    <row r="350">
      <c r="A350" s="1" t="n"/>
      <c r="B350" s="18" t="n"/>
      <c r="C350" s="16" t="n"/>
      <c r="D350" s="19" t="n"/>
      <c r="E350" s="17" t="n"/>
      <c r="F350" s="22" t="n"/>
      <c r="G350" s="14">
        <f>IF(C350="","",IFERROR(VALUE(LEFT(C350,FIND(" ",C350&amp;" ")-1)),""))</f>
        <v/>
      </c>
      <c r="H350" s="26">
        <f>IF(C350="","",IF(G350="","Pick a loan",IFERROR(IF(INDEX(Loans!$C$6:$C$305,MATCH(G350,Loans!$B$6:$B$305,0))="","Not a loan",INDEX(Loans!$C$6:$C$305,MATCH(G350,Loans!$B$6:$B$305,0))),"Not a loan")))</f>
        <v/>
      </c>
      <c r="I350" s="10">
        <f>IF(OR(G350="",H350="Not a loan"),"",IF(INDEX(Loans!$D$6:$D$305,MATCH(G350,Loans!$B$6:$B$305,0))="I borrowed","Out","In"))</f>
        <v/>
      </c>
      <c r="J350" s="1">
        <f>IF(NOT(ISNUMBER(B350)),"",YEAR(B350)*100+MONTH(B350))</f>
        <v/>
      </c>
      <c r="K350">
        <f>IF(OR(G350="",NOT(ISNUMBER(B350))),"",IF(G350=Statement!$H$2,B350*1000+ROW(),""))</f>
        <v/>
      </c>
    </row>
    <row r="351">
      <c r="A351" s="1" t="n"/>
      <c r="B351" s="18" t="n"/>
      <c r="C351" s="16" t="n"/>
      <c r="D351" s="19" t="n"/>
      <c r="E351" s="17" t="n"/>
      <c r="F351" s="22" t="n"/>
      <c r="G351" s="14">
        <f>IF(C351="","",IFERROR(VALUE(LEFT(C351,FIND(" ",C351&amp;" ")-1)),""))</f>
        <v/>
      </c>
      <c r="H351" s="26">
        <f>IF(C351="","",IF(G351="","Pick a loan",IFERROR(IF(INDEX(Loans!$C$6:$C$305,MATCH(G351,Loans!$B$6:$B$305,0))="","Not a loan",INDEX(Loans!$C$6:$C$305,MATCH(G351,Loans!$B$6:$B$305,0))),"Not a loan")))</f>
        <v/>
      </c>
      <c r="I351" s="10">
        <f>IF(OR(G351="",H351="Not a loan"),"",IF(INDEX(Loans!$D$6:$D$305,MATCH(G351,Loans!$B$6:$B$305,0))="I borrowed","Out","In"))</f>
        <v/>
      </c>
      <c r="J351" s="1">
        <f>IF(NOT(ISNUMBER(B351)),"",YEAR(B351)*100+MONTH(B351))</f>
        <v/>
      </c>
      <c r="K351">
        <f>IF(OR(G351="",NOT(ISNUMBER(B351))),"",IF(G351=Statement!$H$2,B351*1000+ROW(),""))</f>
        <v/>
      </c>
    </row>
    <row r="352">
      <c r="A352" s="1" t="n"/>
      <c r="B352" s="18" t="n"/>
      <c r="C352" s="16" t="n"/>
      <c r="D352" s="19" t="n"/>
      <c r="E352" s="17" t="n"/>
      <c r="F352" s="22" t="n"/>
      <c r="G352" s="14">
        <f>IF(C352="","",IFERROR(VALUE(LEFT(C352,FIND(" ",C352&amp;" ")-1)),""))</f>
        <v/>
      </c>
      <c r="H352" s="26">
        <f>IF(C352="","",IF(G352="","Pick a loan",IFERROR(IF(INDEX(Loans!$C$6:$C$305,MATCH(G352,Loans!$B$6:$B$305,0))="","Not a loan",INDEX(Loans!$C$6:$C$305,MATCH(G352,Loans!$B$6:$B$305,0))),"Not a loan")))</f>
        <v/>
      </c>
      <c r="I352" s="10">
        <f>IF(OR(G352="",H352="Not a loan"),"",IF(INDEX(Loans!$D$6:$D$305,MATCH(G352,Loans!$B$6:$B$305,0))="I borrowed","Out","In"))</f>
        <v/>
      </c>
      <c r="J352" s="1">
        <f>IF(NOT(ISNUMBER(B352)),"",YEAR(B352)*100+MONTH(B352))</f>
        <v/>
      </c>
      <c r="K352">
        <f>IF(OR(G352="",NOT(ISNUMBER(B352))),"",IF(G352=Statement!$H$2,B352*1000+ROW(),""))</f>
        <v/>
      </c>
    </row>
    <row r="353">
      <c r="A353" s="1" t="n"/>
      <c r="B353" s="18" t="n"/>
      <c r="C353" s="16" t="n"/>
      <c r="D353" s="19" t="n"/>
      <c r="E353" s="17" t="n"/>
      <c r="F353" s="22" t="n"/>
      <c r="G353" s="14">
        <f>IF(C353="","",IFERROR(VALUE(LEFT(C353,FIND(" ",C353&amp;" ")-1)),""))</f>
        <v/>
      </c>
      <c r="H353" s="26">
        <f>IF(C353="","",IF(G353="","Pick a loan",IFERROR(IF(INDEX(Loans!$C$6:$C$305,MATCH(G353,Loans!$B$6:$B$305,0))="","Not a loan",INDEX(Loans!$C$6:$C$305,MATCH(G353,Loans!$B$6:$B$305,0))),"Not a loan")))</f>
        <v/>
      </c>
      <c r="I353" s="10">
        <f>IF(OR(G353="",H353="Not a loan"),"",IF(INDEX(Loans!$D$6:$D$305,MATCH(G353,Loans!$B$6:$B$305,0))="I borrowed","Out","In"))</f>
        <v/>
      </c>
      <c r="J353" s="1">
        <f>IF(NOT(ISNUMBER(B353)),"",YEAR(B353)*100+MONTH(B353))</f>
        <v/>
      </c>
      <c r="K353">
        <f>IF(OR(G353="",NOT(ISNUMBER(B353))),"",IF(G353=Statement!$H$2,B353*1000+ROW(),""))</f>
        <v/>
      </c>
    </row>
    <row r="354">
      <c r="A354" s="1" t="n"/>
      <c r="B354" s="18" t="n"/>
      <c r="C354" s="16" t="n"/>
      <c r="D354" s="19" t="n"/>
      <c r="E354" s="17" t="n"/>
      <c r="F354" s="22" t="n"/>
      <c r="G354" s="14">
        <f>IF(C354="","",IFERROR(VALUE(LEFT(C354,FIND(" ",C354&amp;" ")-1)),""))</f>
        <v/>
      </c>
      <c r="H354" s="26">
        <f>IF(C354="","",IF(G354="","Pick a loan",IFERROR(IF(INDEX(Loans!$C$6:$C$305,MATCH(G354,Loans!$B$6:$B$305,0))="","Not a loan",INDEX(Loans!$C$6:$C$305,MATCH(G354,Loans!$B$6:$B$305,0))),"Not a loan")))</f>
        <v/>
      </c>
      <c r="I354" s="10">
        <f>IF(OR(G354="",H354="Not a loan"),"",IF(INDEX(Loans!$D$6:$D$305,MATCH(G354,Loans!$B$6:$B$305,0))="I borrowed","Out","In"))</f>
        <v/>
      </c>
      <c r="J354" s="1">
        <f>IF(NOT(ISNUMBER(B354)),"",YEAR(B354)*100+MONTH(B354))</f>
        <v/>
      </c>
      <c r="K354">
        <f>IF(OR(G354="",NOT(ISNUMBER(B354))),"",IF(G354=Statement!$H$2,B354*1000+ROW(),""))</f>
        <v/>
      </c>
    </row>
    <row r="355">
      <c r="A355" s="1" t="n"/>
      <c r="B355" s="18" t="n"/>
      <c r="C355" s="16" t="n"/>
      <c r="D355" s="19" t="n"/>
      <c r="E355" s="17" t="n"/>
      <c r="F355" s="22" t="n"/>
      <c r="G355" s="14">
        <f>IF(C355="","",IFERROR(VALUE(LEFT(C355,FIND(" ",C355&amp;" ")-1)),""))</f>
        <v/>
      </c>
      <c r="H355" s="26">
        <f>IF(C355="","",IF(G355="","Pick a loan",IFERROR(IF(INDEX(Loans!$C$6:$C$305,MATCH(G355,Loans!$B$6:$B$305,0))="","Not a loan",INDEX(Loans!$C$6:$C$305,MATCH(G355,Loans!$B$6:$B$305,0))),"Not a loan")))</f>
        <v/>
      </c>
      <c r="I355" s="10">
        <f>IF(OR(G355="",H355="Not a loan"),"",IF(INDEX(Loans!$D$6:$D$305,MATCH(G355,Loans!$B$6:$B$305,0))="I borrowed","Out","In"))</f>
        <v/>
      </c>
      <c r="J355" s="1">
        <f>IF(NOT(ISNUMBER(B355)),"",YEAR(B355)*100+MONTH(B355))</f>
        <v/>
      </c>
      <c r="K355">
        <f>IF(OR(G355="",NOT(ISNUMBER(B355))),"",IF(G355=Statement!$H$2,B355*1000+ROW(),""))</f>
        <v/>
      </c>
    </row>
    <row r="356">
      <c r="A356" s="1" t="n"/>
      <c r="B356" s="18" t="n"/>
      <c r="C356" s="16" t="n"/>
      <c r="D356" s="19" t="n"/>
      <c r="E356" s="17" t="n"/>
      <c r="F356" s="22" t="n"/>
      <c r="G356" s="14">
        <f>IF(C356="","",IFERROR(VALUE(LEFT(C356,FIND(" ",C356&amp;" ")-1)),""))</f>
        <v/>
      </c>
      <c r="H356" s="26">
        <f>IF(C356="","",IF(G356="","Pick a loan",IFERROR(IF(INDEX(Loans!$C$6:$C$305,MATCH(G356,Loans!$B$6:$B$305,0))="","Not a loan",INDEX(Loans!$C$6:$C$305,MATCH(G356,Loans!$B$6:$B$305,0))),"Not a loan")))</f>
        <v/>
      </c>
      <c r="I356" s="10">
        <f>IF(OR(G356="",H356="Not a loan"),"",IF(INDEX(Loans!$D$6:$D$305,MATCH(G356,Loans!$B$6:$B$305,0))="I borrowed","Out","In"))</f>
        <v/>
      </c>
      <c r="J356" s="1">
        <f>IF(NOT(ISNUMBER(B356)),"",YEAR(B356)*100+MONTH(B356))</f>
        <v/>
      </c>
      <c r="K356">
        <f>IF(OR(G356="",NOT(ISNUMBER(B356))),"",IF(G356=Statement!$H$2,B356*1000+ROW(),""))</f>
        <v/>
      </c>
    </row>
    <row r="357">
      <c r="A357" s="1" t="n"/>
      <c r="B357" s="18" t="n"/>
      <c r="C357" s="16" t="n"/>
      <c r="D357" s="19" t="n"/>
      <c r="E357" s="17" t="n"/>
      <c r="F357" s="22" t="n"/>
      <c r="G357" s="14">
        <f>IF(C357="","",IFERROR(VALUE(LEFT(C357,FIND(" ",C357&amp;" ")-1)),""))</f>
        <v/>
      </c>
      <c r="H357" s="26">
        <f>IF(C357="","",IF(G357="","Pick a loan",IFERROR(IF(INDEX(Loans!$C$6:$C$305,MATCH(G357,Loans!$B$6:$B$305,0))="","Not a loan",INDEX(Loans!$C$6:$C$305,MATCH(G357,Loans!$B$6:$B$305,0))),"Not a loan")))</f>
        <v/>
      </c>
      <c r="I357" s="10">
        <f>IF(OR(G357="",H357="Not a loan"),"",IF(INDEX(Loans!$D$6:$D$305,MATCH(G357,Loans!$B$6:$B$305,0))="I borrowed","Out","In"))</f>
        <v/>
      </c>
      <c r="J357" s="1">
        <f>IF(NOT(ISNUMBER(B357)),"",YEAR(B357)*100+MONTH(B357))</f>
        <v/>
      </c>
      <c r="K357">
        <f>IF(OR(G357="",NOT(ISNUMBER(B357))),"",IF(G357=Statement!$H$2,B357*1000+ROW(),""))</f>
        <v/>
      </c>
    </row>
    <row r="358">
      <c r="A358" s="1" t="n"/>
      <c r="B358" s="18" t="n"/>
      <c r="C358" s="16" t="n"/>
      <c r="D358" s="19" t="n"/>
      <c r="E358" s="17" t="n"/>
      <c r="F358" s="22" t="n"/>
      <c r="G358" s="14">
        <f>IF(C358="","",IFERROR(VALUE(LEFT(C358,FIND(" ",C358&amp;" ")-1)),""))</f>
        <v/>
      </c>
      <c r="H358" s="26">
        <f>IF(C358="","",IF(G358="","Pick a loan",IFERROR(IF(INDEX(Loans!$C$6:$C$305,MATCH(G358,Loans!$B$6:$B$305,0))="","Not a loan",INDEX(Loans!$C$6:$C$305,MATCH(G358,Loans!$B$6:$B$305,0))),"Not a loan")))</f>
        <v/>
      </c>
      <c r="I358" s="10">
        <f>IF(OR(G358="",H358="Not a loan"),"",IF(INDEX(Loans!$D$6:$D$305,MATCH(G358,Loans!$B$6:$B$305,0))="I borrowed","Out","In"))</f>
        <v/>
      </c>
      <c r="J358" s="1">
        <f>IF(NOT(ISNUMBER(B358)),"",YEAR(B358)*100+MONTH(B358))</f>
        <v/>
      </c>
      <c r="K358">
        <f>IF(OR(G358="",NOT(ISNUMBER(B358))),"",IF(G358=Statement!$H$2,B358*1000+ROW(),""))</f>
        <v/>
      </c>
    </row>
    <row r="359">
      <c r="A359" s="1" t="n"/>
      <c r="B359" s="18" t="n"/>
      <c r="C359" s="16" t="n"/>
      <c r="D359" s="19" t="n"/>
      <c r="E359" s="17" t="n"/>
      <c r="F359" s="22" t="n"/>
      <c r="G359" s="14">
        <f>IF(C359="","",IFERROR(VALUE(LEFT(C359,FIND(" ",C359&amp;" ")-1)),""))</f>
        <v/>
      </c>
      <c r="H359" s="26">
        <f>IF(C359="","",IF(G359="","Pick a loan",IFERROR(IF(INDEX(Loans!$C$6:$C$305,MATCH(G359,Loans!$B$6:$B$305,0))="","Not a loan",INDEX(Loans!$C$6:$C$305,MATCH(G359,Loans!$B$6:$B$305,0))),"Not a loan")))</f>
        <v/>
      </c>
      <c r="I359" s="10">
        <f>IF(OR(G359="",H359="Not a loan"),"",IF(INDEX(Loans!$D$6:$D$305,MATCH(G359,Loans!$B$6:$B$305,0))="I borrowed","Out","In"))</f>
        <v/>
      </c>
      <c r="J359" s="1">
        <f>IF(NOT(ISNUMBER(B359)),"",YEAR(B359)*100+MONTH(B359))</f>
        <v/>
      </c>
      <c r="K359">
        <f>IF(OR(G359="",NOT(ISNUMBER(B359))),"",IF(G359=Statement!$H$2,B359*1000+ROW(),""))</f>
        <v/>
      </c>
    </row>
    <row r="360">
      <c r="A360" s="1" t="n"/>
      <c r="B360" s="18" t="n"/>
      <c r="C360" s="16" t="n"/>
      <c r="D360" s="19" t="n"/>
      <c r="E360" s="17" t="n"/>
      <c r="F360" s="22" t="n"/>
      <c r="G360" s="14">
        <f>IF(C360="","",IFERROR(VALUE(LEFT(C360,FIND(" ",C360&amp;" ")-1)),""))</f>
        <v/>
      </c>
      <c r="H360" s="26">
        <f>IF(C360="","",IF(G360="","Pick a loan",IFERROR(IF(INDEX(Loans!$C$6:$C$305,MATCH(G360,Loans!$B$6:$B$305,0))="","Not a loan",INDEX(Loans!$C$6:$C$305,MATCH(G360,Loans!$B$6:$B$305,0))),"Not a loan")))</f>
        <v/>
      </c>
      <c r="I360" s="10">
        <f>IF(OR(G360="",H360="Not a loan"),"",IF(INDEX(Loans!$D$6:$D$305,MATCH(G360,Loans!$B$6:$B$305,0))="I borrowed","Out","In"))</f>
        <v/>
      </c>
      <c r="J360" s="1">
        <f>IF(NOT(ISNUMBER(B360)),"",YEAR(B360)*100+MONTH(B360))</f>
        <v/>
      </c>
      <c r="K360">
        <f>IF(OR(G360="",NOT(ISNUMBER(B360))),"",IF(G360=Statement!$H$2,B360*1000+ROW(),""))</f>
        <v/>
      </c>
    </row>
    <row r="361">
      <c r="A361" s="1" t="n"/>
      <c r="B361" s="18" t="n"/>
      <c r="C361" s="16" t="n"/>
      <c r="D361" s="19" t="n"/>
      <c r="E361" s="17" t="n"/>
      <c r="F361" s="22" t="n"/>
      <c r="G361" s="14">
        <f>IF(C361="","",IFERROR(VALUE(LEFT(C361,FIND(" ",C361&amp;" ")-1)),""))</f>
        <v/>
      </c>
      <c r="H361" s="26">
        <f>IF(C361="","",IF(G361="","Pick a loan",IFERROR(IF(INDEX(Loans!$C$6:$C$305,MATCH(G361,Loans!$B$6:$B$305,0))="","Not a loan",INDEX(Loans!$C$6:$C$305,MATCH(G361,Loans!$B$6:$B$305,0))),"Not a loan")))</f>
        <v/>
      </c>
      <c r="I361" s="10">
        <f>IF(OR(G361="",H361="Not a loan"),"",IF(INDEX(Loans!$D$6:$D$305,MATCH(G361,Loans!$B$6:$B$305,0))="I borrowed","Out","In"))</f>
        <v/>
      </c>
      <c r="J361" s="1">
        <f>IF(NOT(ISNUMBER(B361)),"",YEAR(B361)*100+MONTH(B361))</f>
        <v/>
      </c>
      <c r="K361">
        <f>IF(OR(G361="",NOT(ISNUMBER(B361))),"",IF(G361=Statement!$H$2,B361*1000+ROW(),""))</f>
        <v/>
      </c>
    </row>
    <row r="362">
      <c r="A362" s="1" t="n"/>
      <c r="B362" s="18" t="n"/>
      <c r="C362" s="16" t="n"/>
      <c r="D362" s="19" t="n"/>
      <c r="E362" s="17" t="n"/>
      <c r="F362" s="22" t="n"/>
      <c r="G362" s="14">
        <f>IF(C362="","",IFERROR(VALUE(LEFT(C362,FIND(" ",C362&amp;" ")-1)),""))</f>
        <v/>
      </c>
      <c r="H362" s="26">
        <f>IF(C362="","",IF(G362="","Pick a loan",IFERROR(IF(INDEX(Loans!$C$6:$C$305,MATCH(G362,Loans!$B$6:$B$305,0))="","Not a loan",INDEX(Loans!$C$6:$C$305,MATCH(G362,Loans!$B$6:$B$305,0))),"Not a loan")))</f>
        <v/>
      </c>
      <c r="I362" s="10">
        <f>IF(OR(G362="",H362="Not a loan"),"",IF(INDEX(Loans!$D$6:$D$305,MATCH(G362,Loans!$B$6:$B$305,0))="I borrowed","Out","In"))</f>
        <v/>
      </c>
      <c r="J362" s="1">
        <f>IF(NOT(ISNUMBER(B362)),"",YEAR(B362)*100+MONTH(B362))</f>
        <v/>
      </c>
      <c r="K362">
        <f>IF(OR(G362="",NOT(ISNUMBER(B362))),"",IF(G362=Statement!$H$2,B362*1000+ROW(),""))</f>
        <v/>
      </c>
    </row>
    <row r="363">
      <c r="A363" s="1" t="n"/>
      <c r="B363" s="18" t="n"/>
      <c r="C363" s="16" t="n"/>
      <c r="D363" s="19" t="n"/>
      <c r="E363" s="17" t="n"/>
      <c r="F363" s="22" t="n"/>
      <c r="G363" s="14">
        <f>IF(C363="","",IFERROR(VALUE(LEFT(C363,FIND(" ",C363&amp;" ")-1)),""))</f>
        <v/>
      </c>
      <c r="H363" s="26">
        <f>IF(C363="","",IF(G363="","Pick a loan",IFERROR(IF(INDEX(Loans!$C$6:$C$305,MATCH(G363,Loans!$B$6:$B$305,0))="","Not a loan",INDEX(Loans!$C$6:$C$305,MATCH(G363,Loans!$B$6:$B$305,0))),"Not a loan")))</f>
        <v/>
      </c>
      <c r="I363" s="10">
        <f>IF(OR(G363="",H363="Not a loan"),"",IF(INDEX(Loans!$D$6:$D$305,MATCH(G363,Loans!$B$6:$B$305,0))="I borrowed","Out","In"))</f>
        <v/>
      </c>
      <c r="J363" s="1">
        <f>IF(NOT(ISNUMBER(B363)),"",YEAR(B363)*100+MONTH(B363))</f>
        <v/>
      </c>
      <c r="K363">
        <f>IF(OR(G363="",NOT(ISNUMBER(B363))),"",IF(G363=Statement!$H$2,B363*1000+ROW(),""))</f>
        <v/>
      </c>
    </row>
    <row r="364">
      <c r="A364" s="1" t="n"/>
      <c r="B364" s="18" t="n"/>
      <c r="C364" s="16" t="n"/>
      <c r="D364" s="19" t="n"/>
      <c r="E364" s="17" t="n"/>
      <c r="F364" s="22" t="n"/>
      <c r="G364" s="14">
        <f>IF(C364="","",IFERROR(VALUE(LEFT(C364,FIND(" ",C364&amp;" ")-1)),""))</f>
        <v/>
      </c>
      <c r="H364" s="26">
        <f>IF(C364="","",IF(G364="","Pick a loan",IFERROR(IF(INDEX(Loans!$C$6:$C$305,MATCH(G364,Loans!$B$6:$B$305,0))="","Not a loan",INDEX(Loans!$C$6:$C$305,MATCH(G364,Loans!$B$6:$B$305,0))),"Not a loan")))</f>
        <v/>
      </c>
      <c r="I364" s="10">
        <f>IF(OR(G364="",H364="Not a loan"),"",IF(INDEX(Loans!$D$6:$D$305,MATCH(G364,Loans!$B$6:$B$305,0))="I borrowed","Out","In"))</f>
        <v/>
      </c>
      <c r="J364" s="1">
        <f>IF(NOT(ISNUMBER(B364)),"",YEAR(B364)*100+MONTH(B364))</f>
        <v/>
      </c>
      <c r="K364">
        <f>IF(OR(G364="",NOT(ISNUMBER(B364))),"",IF(G364=Statement!$H$2,B364*1000+ROW(),""))</f>
        <v/>
      </c>
    </row>
    <row r="365">
      <c r="A365" s="1" t="n"/>
      <c r="B365" s="18" t="n"/>
      <c r="C365" s="16" t="n"/>
      <c r="D365" s="19" t="n"/>
      <c r="E365" s="17" t="n"/>
      <c r="F365" s="22" t="n"/>
      <c r="G365" s="14">
        <f>IF(C365="","",IFERROR(VALUE(LEFT(C365,FIND(" ",C365&amp;" ")-1)),""))</f>
        <v/>
      </c>
      <c r="H365" s="26">
        <f>IF(C365="","",IF(G365="","Pick a loan",IFERROR(IF(INDEX(Loans!$C$6:$C$305,MATCH(G365,Loans!$B$6:$B$305,0))="","Not a loan",INDEX(Loans!$C$6:$C$305,MATCH(G365,Loans!$B$6:$B$305,0))),"Not a loan")))</f>
        <v/>
      </c>
      <c r="I365" s="10">
        <f>IF(OR(G365="",H365="Not a loan"),"",IF(INDEX(Loans!$D$6:$D$305,MATCH(G365,Loans!$B$6:$B$305,0))="I borrowed","Out","In"))</f>
        <v/>
      </c>
      <c r="J365" s="1">
        <f>IF(NOT(ISNUMBER(B365)),"",YEAR(B365)*100+MONTH(B365))</f>
        <v/>
      </c>
      <c r="K365">
        <f>IF(OR(G365="",NOT(ISNUMBER(B365))),"",IF(G365=Statement!$H$2,B365*1000+ROW(),""))</f>
        <v/>
      </c>
    </row>
    <row r="366">
      <c r="A366" s="1" t="n"/>
      <c r="B366" s="18" t="n"/>
      <c r="C366" s="16" t="n"/>
      <c r="D366" s="19" t="n"/>
      <c r="E366" s="17" t="n"/>
      <c r="F366" s="22" t="n"/>
      <c r="G366" s="14">
        <f>IF(C366="","",IFERROR(VALUE(LEFT(C366,FIND(" ",C366&amp;" ")-1)),""))</f>
        <v/>
      </c>
      <c r="H366" s="26">
        <f>IF(C366="","",IF(G366="","Pick a loan",IFERROR(IF(INDEX(Loans!$C$6:$C$305,MATCH(G366,Loans!$B$6:$B$305,0))="","Not a loan",INDEX(Loans!$C$6:$C$305,MATCH(G366,Loans!$B$6:$B$305,0))),"Not a loan")))</f>
        <v/>
      </c>
      <c r="I366" s="10">
        <f>IF(OR(G366="",H366="Not a loan"),"",IF(INDEX(Loans!$D$6:$D$305,MATCH(G366,Loans!$B$6:$B$305,0))="I borrowed","Out","In"))</f>
        <v/>
      </c>
      <c r="J366" s="1">
        <f>IF(NOT(ISNUMBER(B366)),"",YEAR(B366)*100+MONTH(B366))</f>
        <v/>
      </c>
      <c r="K366">
        <f>IF(OR(G366="",NOT(ISNUMBER(B366))),"",IF(G366=Statement!$H$2,B366*1000+ROW(),""))</f>
        <v/>
      </c>
    </row>
    <row r="367">
      <c r="A367" s="1" t="n"/>
      <c r="B367" s="18" t="n"/>
      <c r="C367" s="16" t="n"/>
      <c r="D367" s="19" t="n"/>
      <c r="E367" s="17" t="n"/>
      <c r="F367" s="22" t="n"/>
      <c r="G367" s="14">
        <f>IF(C367="","",IFERROR(VALUE(LEFT(C367,FIND(" ",C367&amp;" ")-1)),""))</f>
        <v/>
      </c>
      <c r="H367" s="26">
        <f>IF(C367="","",IF(G367="","Pick a loan",IFERROR(IF(INDEX(Loans!$C$6:$C$305,MATCH(G367,Loans!$B$6:$B$305,0))="","Not a loan",INDEX(Loans!$C$6:$C$305,MATCH(G367,Loans!$B$6:$B$305,0))),"Not a loan")))</f>
        <v/>
      </c>
      <c r="I367" s="10">
        <f>IF(OR(G367="",H367="Not a loan"),"",IF(INDEX(Loans!$D$6:$D$305,MATCH(G367,Loans!$B$6:$B$305,0))="I borrowed","Out","In"))</f>
        <v/>
      </c>
      <c r="J367" s="1">
        <f>IF(NOT(ISNUMBER(B367)),"",YEAR(B367)*100+MONTH(B367))</f>
        <v/>
      </c>
      <c r="K367">
        <f>IF(OR(G367="",NOT(ISNUMBER(B367))),"",IF(G367=Statement!$H$2,B367*1000+ROW(),""))</f>
        <v/>
      </c>
    </row>
    <row r="368">
      <c r="A368" s="1" t="n"/>
      <c r="B368" s="18" t="n"/>
      <c r="C368" s="16" t="n"/>
      <c r="D368" s="19" t="n"/>
      <c r="E368" s="17" t="n"/>
      <c r="F368" s="22" t="n"/>
      <c r="G368" s="14">
        <f>IF(C368="","",IFERROR(VALUE(LEFT(C368,FIND(" ",C368&amp;" ")-1)),""))</f>
        <v/>
      </c>
      <c r="H368" s="26">
        <f>IF(C368="","",IF(G368="","Pick a loan",IFERROR(IF(INDEX(Loans!$C$6:$C$305,MATCH(G368,Loans!$B$6:$B$305,0))="","Not a loan",INDEX(Loans!$C$6:$C$305,MATCH(G368,Loans!$B$6:$B$305,0))),"Not a loan")))</f>
        <v/>
      </c>
      <c r="I368" s="10">
        <f>IF(OR(G368="",H368="Not a loan"),"",IF(INDEX(Loans!$D$6:$D$305,MATCH(G368,Loans!$B$6:$B$305,0))="I borrowed","Out","In"))</f>
        <v/>
      </c>
      <c r="J368" s="1">
        <f>IF(NOT(ISNUMBER(B368)),"",YEAR(B368)*100+MONTH(B368))</f>
        <v/>
      </c>
      <c r="K368">
        <f>IF(OR(G368="",NOT(ISNUMBER(B368))),"",IF(G368=Statement!$H$2,B368*1000+ROW(),""))</f>
        <v/>
      </c>
    </row>
    <row r="369">
      <c r="A369" s="1" t="n"/>
      <c r="B369" s="18" t="n"/>
      <c r="C369" s="16" t="n"/>
      <c r="D369" s="19" t="n"/>
      <c r="E369" s="17" t="n"/>
      <c r="F369" s="22" t="n"/>
      <c r="G369" s="14">
        <f>IF(C369="","",IFERROR(VALUE(LEFT(C369,FIND(" ",C369&amp;" ")-1)),""))</f>
        <v/>
      </c>
      <c r="H369" s="26">
        <f>IF(C369="","",IF(G369="","Pick a loan",IFERROR(IF(INDEX(Loans!$C$6:$C$305,MATCH(G369,Loans!$B$6:$B$305,0))="","Not a loan",INDEX(Loans!$C$6:$C$305,MATCH(G369,Loans!$B$6:$B$305,0))),"Not a loan")))</f>
        <v/>
      </c>
      <c r="I369" s="10">
        <f>IF(OR(G369="",H369="Not a loan"),"",IF(INDEX(Loans!$D$6:$D$305,MATCH(G369,Loans!$B$6:$B$305,0))="I borrowed","Out","In"))</f>
        <v/>
      </c>
      <c r="J369" s="1">
        <f>IF(NOT(ISNUMBER(B369)),"",YEAR(B369)*100+MONTH(B369))</f>
        <v/>
      </c>
      <c r="K369">
        <f>IF(OR(G369="",NOT(ISNUMBER(B369))),"",IF(G369=Statement!$H$2,B369*1000+ROW(),""))</f>
        <v/>
      </c>
    </row>
    <row r="370">
      <c r="A370" s="1" t="n"/>
      <c r="B370" s="18" t="n"/>
      <c r="C370" s="16" t="n"/>
      <c r="D370" s="19" t="n"/>
      <c r="E370" s="17" t="n"/>
      <c r="F370" s="22" t="n"/>
      <c r="G370" s="14">
        <f>IF(C370="","",IFERROR(VALUE(LEFT(C370,FIND(" ",C370&amp;" ")-1)),""))</f>
        <v/>
      </c>
      <c r="H370" s="26">
        <f>IF(C370="","",IF(G370="","Pick a loan",IFERROR(IF(INDEX(Loans!$C$6:$C$305,MATCH(G370,Loans!$B$6:$B$305,0))="","Not a loan",INDEX(Loans!$C$6:$C$305,MATCH(G370,Loans!$B$6:$B$305,0))),"Not a loan")))</f>
        <v/>
      </c>
      <c r="I370" s="10">
        <f>IF(OR(G370="",H370="Not a loan"),"",IF(INDEX(Loans!$D$6:$D$305,MATCH(G370,Loans!$B$6:$B$305,0))="I borrowed","Out","In"))</f>
        <v/>
      </c>
      <c r="J370" s="1">
        <f>IF(NOT(ISNUMBER(B370)),"",YEAR(B370)*100+MONTH(B370))</f>
        <v/>
      </c>
      <c r="K370">
        <f>IF(OR(G370="",NOT(ISNUMBER(B370))),"",IF(G370=Statement!$H$2,B370*1000+ROW(),""))</f>
        <v/>
      </c>
    </row>
    <row r="371">
      <c r="A371" s="1" t="n"/>
      <c r="B371" s="18" t="n"/>
      <c r="C371" s="16" t="n"/>
      <c r="D371" s="19" t="n"/>
      <c r="E371" s="17" t="n"/>
      <c r="F371" s="22" t="n"/>
      <c r="G371" s="14">
        <f>IF(C371="","",IFERROR(VALUE(LEFT(C371,FIND(" ",C371&amp;" ")-1)),""))</f>
        <v/>
      </c>
      <c r="H371" s="26">
        <f>IF(C371="","",IF(G371="","Pick a loan",IFERROR(IF(INDEX(Loans!$C$6:$C$305,MATCH(G371,Loans!$B$6:$B$305,0))="","Not a loan",INDEX(Loans!$C$6:$C$305,MATCH(G371,Loans!$B$6:$B$305,0))),"Not a loan")))</f>
        <v/>
      </c>
      <c r="I371" s="10">
        <f>IF(OR(G371="",H371="Not a loan"),"",IF(INDEX(Loans!$D$6:$D$305,MATCH(G371,Loans!$B$6:$B$305,0))="I borrowed","Out","In"))</f>
        <v/>
      </c>
      <c r="J371" s="1">
        <f>IF(NOT(ISNUMBER(B371)),"",YEAR(B371)*100+MONTH(B371))</f>
        <v/>
      </c>
      <c r="K371">
        <f>IF(OR(G371="",NOT(ISNUMBER(B371))),"",IF(G371=Statement!$H$2,B371*1000+ROW(),""))</f>
        <v/>
      </c>
    </row>
    <row r="372">
      <c r="A372" s="1" t="n"/>
      <c r="B372" s="18" t="n"/>
      <c r="C372" s="16" t="n"/>
      <c r="D372" s="19" t="n"/>
      <c r="E372" s="17" t="n"/>
      <c r="F372" s="22" t="n"/>
      <c r="G372" s="14">
        <f>IF(C372="","",IFERROR(VALUE(LEFT(C372,FIND(" ",C372&amp;" ")-1)),""))</f>
        <v/>
      </c>
      <c r="H372" s="26">
        <f>IF(C372="","",IF(G372="","Pick a loan",IFERROR(IF(INDEX(Loans!$C$6:$C$305,MATCH(G372,Loans!$B$6:$B$305,0))="","Not a loan",INDEX(Loans!$C$6:$C$305,MATCH(G372,Loans!$B$6:$B$305,0))),"Not a loan")))</f>
        <v/>
      </c>
      <c r="I372" s="10">
        <f>IF(OR(G372="",H372="Not a loan"),"",IF(INDEX(Loans!$D$6:$D$305,MATCH(G372,Loans!$B$6:$B$305,0))="I borrowed","Out","In"))</f>
        <v/>
      </c>
      <c r="J372" s="1">
        <f>IF(NOT(ISNUMBER(B372)),"",YEAR(B372)*100+MONTH(B372))</f>
        <v/>
      </c>
      <c r="K372">
        <f>IF(OR(G372="",NOT(ISNUMBER(B372))),"",IF(G372=Statement!$H$2,B372*1000+ROW(),""))</f>
        <v/>
      </c>
    </row>
    <row r="373">
      <c r="A373" s="1" t="n"/>
      <c r="B373" s="18" t="n"/>
      <c r="C373" s="16" t="n"/>
      <c r="D373" s="19" t="n"/>
      <c r="E373" s="17" t="n"/>
      <c r="F373" s="22" t="n"/>
      <c r="G373" s="14">
        <f>IF(C373="","",IFERROR(VALUE(LEFT(C373,FIND(" ",C373&amp;" ")-1)),""))</f>
        <v/>
      </c>
      <c r="H373" s="26">
        <f>IF(C373="","",IF(G373="","Pick a loan",IFERROR(IF(INDEX(Loans!$C$6:$C$305,MATCH(G373,Loans!$B$6:$B$305,0))="","Not a loan",INDEX(Loans!$C$6:$C$305,MATCH(G373,Loans!$B$6:$B$305,0))),"Not a loan")))</f>
        <v/>
      </c>
      <c r="I373" s="10">
        <f>IF(OR(G373="",H373="Not a loan"),"",IF(INDEX(Loans!$D$6:$D$305,MATCH(G373,Loans!$B$6:$B$305,0))="I borrowed","Out","In"))</f>
        <v/>
      </c>
      <c r="J373" s="1">
        <f>IF(NOT(ISNUMBER(B373)),"",YEAR(B373)*100+MONTH(B373))</f>
        <v/>
      </c>
      <c r="K373">
        <f>IF(OR(G373="",NOT(ISNUMBER(B373))),"",IF(G373=Statement!$H$2,B373*1000+ROW(),""))</f>
        <v/>
      </c>
    </row>
    <row r="374">
      <c r="A374" s="1" t="n"/>
      <c r="B374" s="18" t="n"/>
      <c r="C374" s="16" t="n"/>
      <c r="D374" s="19" t="n"/>
      <c r="E374" s="17" t="n"/>
      <c r="F374" s="22" t="n"/>
      <c r="G374" s="14">
        <f>IF(C374="","",IFERROR(VALUE(LEFT(C374,FIND(" ",C374&amp;" ")-1)),""))</f>
        <v/>
      </c>
      <c r="H374" s="26">
        <f>IF(C374="","",IF(G374="","Pick a loan",IFERROR(IF(INDEX(Loans!$C$6:$C$305,MATCH(G374,Loans!$B$6:$B$305,0))="","Not a loan",INDEX(Loans!$C$6:$C$305,MATCH(G374,Loans!$B$6:$B$305,0))),"Not a loan")))</f>
        <v/>
      </c>
      <c r="I374" s="10">
        <f>IF(OR(G374="",H374="Not a loan"),"",IF(INDEX(Loans!$D$6:$D$305,MATCH(G374,Loans!$B$6:$B$305,0))="I borrowed","Out","In"))</f>
        <v/>
      </c>
      <c r="J374" s="1">
        <f>IF(NOT(ISNUMBER(B374)),"",YEAR(B374)*100+MONTH(B374))</f>
        <v/>
      </c>
      <c r="K374">
        <f>IF(OR(G374="",NOT(ISNUMBER(B374))),"",IF(G374=Statement!$H$2,B374*1000+ROW(),""))</f>
        <v/>
      </c>
    </row>
    <row r="375">
      <c r="A375" s="1" t="n"/>
      <c r="B375" s="18" t="n"/>
      <c r="C375" s="16" t="n"/>
      <c r="D375" s="19" t="n"/>
      <c r="E375" s="17" t="n"/>
      <c r="F375" s="22" t="n"/>
      <c r="G375" s="14">
        <f>IF(C375="","",IFERROR(VALUE(LEFT(C375,FIND(" ",C375&amp;" ")-1)),""))</f>
        <v/>
      </c>
      <c r="H375" s="26">
        <f>IF(C375="","",IF(G375="","Pick a loan",IFERROR(IF(INDEX(Loans!$C$6:$C$305,MATCH(G375,Loans!$B$6:$B$305,0))="","Not a loan",INDEX(Loans!$C$6:$C$305,MATCH(G375,Loans!$B$6:$B$305,0))),"Not a loan")))</f>
        <v/>
      </c>
      <c r="I375" s="10">
        <f>IF(OR(G375="",H375="Not a loan"),"",IF(INDEX(Loans!$D$6:$D$305,MATCH(G375,Loans!$B$6:$B$305,0))="I borrowed","Out","In"))</f>
        <v/>
      </c>
      <c r="J375" s="1">
        <f>IF(NOT(ISNUMBER(B375)),"",YEAR(B375)*100+MONTH(B375))</f>
        <v/>
      </c>
      <c r="K375">
        <f>IF(OR(G375="",NOT(ISNUMBER(B375))),"",IF(G375=Statement!$H$2,B375*1000+ROW(),""))</f>
        <v/>
      </c>
    </row>
    <row r="376">
      <c r="A376" s="1" t="n"/>
      <c r="B376" s="18" t="n"/>
      <c r="C376" s="16" t="n"/>
      <c r="D376" s="19" t="n"/>
      <c r="E376" s="17" t="n"/>
      <c r="F376" s="22" t="n"/>
      <c r="G376" s="14">
        <f>IF(C376="","",IFERROR(VALUE(LEFT(C376,FIND(" ",C376&amp;" ")-1)),""))</f>
        <v/>
      </c>
      <c r="H376" s="26">
        <f>IF(C376="","",IF(G376="","Pick a loan",IFERROR(IF(INDEX(Loans!$C$6:$C$305,MATCH(G376,Loans!$B$6:$B$305,0))="","Not a loan",INDEX(Loans!$C$6:$C$305,MATCH(G376,Loans!$B$6:$B$305,0))),"Not a loan")))</f>
        <v/>
      </c>
      <c r="I376" s="10">
        <f>IF(OR(G376="",H376="Not a loan"),"",IF(INDEX(Loans!$D$6:$D$305,MATCH(G376,Loans!$B$6:$B$305,0))="I borrowed","Out","In"))</f>
        <v/>
      </c>
      <c r="J376" s="1">
        <f>IF(NOT(ISNUMBER(B376)),"",YEAR(B376)*100+MONTH(B376))</f>
        <v/>
      </c>
      <c r="K376">
        <f>IF(OR(G376="",NOT(ISNUMBER(B376))),"",IF(G376=Statement!$H$2,B376*1000+ROW(),""))</f>
        <v/>
      </c>
    </row>
    <row r="377">
      <c r="A377" s="1" t="n"/>
      <c r="B377" s="18" t="n"/>
      <c r="C377" s="16" t="n"/>
      <c r="D377" s="19" t="n"/>
      <c r="E377" s="17" t="n"/>
      <c r="F377" s="22" t="n"/>
      <c r="G377" s="14">
        <f>IF(C377="","",IFERROR(VALUE(LEFT(C377,FIND(" ",C377&amp;" ")-1)),""))</f>
        <v/>
      </c>
      <c r="H377" s="26">
        <f>IF(C377="","",IF(G377="","Pick a loan",IFERROR(IF(INDEX(Loans!$C$6:$C$305,MATCH(G377,Loans!$B$6:$B$305,0))="","Not a loan",INDEX(Loans!$C$6:$C$305,MATCH(G377,Loans!$B$6:$B$305,0))),"Not a loan")))</f>
        <v/>
      </c>
      <c r="I377" s="10">
        <f>IF(OR(G377="",H377="Not a loan"),"",IF(INDEX(Loans!$D$6:$D$305,MATCH(G377,Loans!$B$6:$B$305,0))="I borrowed","Out","In"))</f>
        <v/>
      </c>
      <c r="J377" s="1">
        <f>IF(NOT(ISNUMBER(B377)),"",YEAR(B377)*100+MONTH(B377))</f>
        <v/>
      </c>
      <c r="K377">
        <f>IF(OR(G377="",NOT(ISNUMBER(B377))),"",IF(G377=Statement!$H$2,B377*1000+ROW(),""))</f>
        <v/>
      </c>
    </row>
    <row r="378">
      <c r="A378" s="1" t="n"/>
      <c r="B378" s="18" t="n"/>
      <c r="C378" s="16" t="n"/>
      <c r="D378" s="19" t="n"/>
      <c r="E378" s="17" t="n"/>
      <c r="F378" s="22" t="n"/>
      <c r="G378" s="14">
        <f>IF(C378="","",IFERROR(VALUE(LEFT(C378,FIND(" ",C378&amp;" ")-1)),""))</f>
        <v/>
      </c>
      <c r="H378" s="26">
        <f>IF(C378="","",IF(G378="","Pick a loan",IFERROR(IF(INDEX(Loans!$C$6:$C$305,MATCH(G378,Loans!$B$6:$B$305,0))="","Not a loan",INDEX(Loans!$C$6:$C$305,MATCH(G378,Loans!$B$6:$B$305,0))),"Not a loan")))</f>
        <v/>
      </c>
      <c r="I378" s="10">
        <f>IF(OR(G378="",H378="Not a loan"),"",IF(INDEX(Loans!$D$6:$D$305,MATCH(G378,Loans!$B$6:$B$305,0))="I borrowed","Out","In"))</f>
        <v/>
      </c>
      <c r="J378" s="1">
        <f>IF(NOT(ISNUMBER(B378)),"",YEAR(B378)*100+MONTH(B378))</f>
        <v/>
      </c>
      <c r="K378">
        <f>IF(OR(G378="",NOT(ISNUMBER(B378))),"",IF(G378=Statement!$H$2,B378*1000+ROW(),""))</f>
        <v/>
      </c>
    </row>
    <row r="379">
      <c r="A379" s="1" t="n"/>
      <c r="B379" s="18" t="n"/>
      <c r="C379" s="16" t="n"/>
      <c r="D379" s="19" t="n"/>
      <c r="E379" s="17" t="n"/>
      <c r="F379" s="22" t="n"/>
      <c r="G379" s="14">
        <f>IF(C379="","",IFERROR(VALUE(LEFT(C379,FIND(" ",C379&amp;" ")-1)),""))</f>
        <v/>
      </c>
      <c r="H379" s="26">
        <f>IF(C379="","",IF(G379="","Pick a loan",IFERROR(IF(INDEX(Loans!$C$6:$C$305,MATCH(G379,Loans!$B$6:$B$305,0))="","Not a loan",INDEX(Loans!$C$6:$C$305,MATCH(G379,Loans!$B$6:$B$305,0))),"Not a loan")))</f>
        <v/>
      </c>
      <c r="I379" s="10">
        <f>IF(OR(G379="",H379="Not a loan"),"",IF(INDEX(Loans!$D$6:$D$305,MATCH(G379,Loans!$B$6:$B$305,0))="I borrowed","Out","In"))</f>
        <v/>
      </c>
      <c r="J379" s="1">
        <f>IF(NOT(ISNUMBER(B379)),"",YEAR(B379)*100+MONTH(B379))</f>
        <v/>
      </c>
      <c r="K379">
        <f>IF(OR(G379="",NOT(ISNUMBER(B379))),"",IF(G379=Statement!$H$2,B379*1000+ROW(),""))</f>
        <v/>
      </c>
    </row>
    <row r="380">
      <c r="A380" s="1" t="n"/>
      <c r="B380" s="18" t="n"/>
      <c r="C380" s="16" t="n"/>
      <c r="D380" s="19" t="n"/>
      <c r="E380" s="17" t="n"/>
      <c r="F380" s="22" t="n"/>
      <c r="G380" s="14">
        <f>IF(C380="","",IFERROR(VALUE(LEFT(C380,FIND(" ",C380&amp;" ")-1)),""))</f>
        <v/>
      </c>
      <c r="H380" s="26">
        <f>IF(C380="","",IF(G380="","Pick a loan",IFERROR(IF(INDEX(Loans!$C$6:$C$305,MATCH(G380,Loans!$B$6:$B$305,0))="","Not a loan",INDEX(Loans!$C$6:$C$305,MATCH(G380,Loans!$B$6:$B$305,0))),"Not a loan")))</f>
        <v/>
      </c>
      <c r="I380" s="10">
        <f>IF(OR(G380="",H380="Not a loan"),"",IF(INDEX(Loans!$D$6:$D$305,MATCH(G380,Loans!$B$6:$B$305,0))="I borrowed","Out","In"))</f>
        <v/>
      </c>
      <c r="J380" s="1">
        <f>IF(NOT(ISNUMBER(B380)),"",YEAR(B380)*100+MONTH(B380))</f>
        <v/>
      </c>
      <c r="K380">
        <f>IF(OR(G380="",NOT(ISNUMBER(B380))),"",IF(G380=Statement!$H$2,B380*1000+ROW(),""))</f>
        <v/>
      </c>
    </row>
    <row r="381">
      <c r="A381" s="1" t="n"/>
      <c r="B381" s="18" t="n"/>
      <c r="C381" s="16" t="n"/>
      <c r="D381" s="19" t="n"/>
      <c r="E381" s="17" t="n"/>
      <c r="F381" s="22" t="n"/>
      <c r="G381" s="14">
        <f>IF(C381="","",IFERROR(VALUE(LEFT(C381,FIND(" ",C381&amp;" ")-1)),""))</f>
        <v/>
      </c>
      <c r="H381" s="26">
        <f>IF(C381="","",IF(G381="","Pick a loan",IFERROR(IF(INDEX(Loans!$C$6:$C$305,MATCH(G381,Loans!$B$6:$B$305,0))="","Not a loan",INDEX(Loans!$C$6:$C$305,MATCH(G381,Loans!$B$6:$B$305,0))),"Not a loan")))</f>
        <v/>
      </c>
      <c r="I381" s="10">
        <f>IF(OR(G381="",H381="Not a loan"),"",IF(INDEX(Loans!$D$6:$D$305,MATCH(G381,Loans!$B$6:$B$305,0))="I borrowed","Out","In"))</f>
        <v/>
      </c>
      <c r="J381" s="1">
        <f>IF(NOT(ISNUMBER(B381)),"",YEAR(B381)*100+MONTH(B381))</f>
        <v/>
      </c>
      <c r="K381">
        <f>IF(OR(G381="",NOT(ISNUMBER(B381))),"",IF(G381=Statement!$H$2,B381*1000+ROW(),""))</f>
        <v/>
      </c>
    </row>
    <row r="382">
      <c r="A382" s="1" t="n"/>
      <c r="B382" s="18" t="n"/>
      <c r="C382" s="16" t="n"/>
      <c r="D382" s="19" t="n"/>
      <c r="E382" s="17" t="n"/>
      <c r="F382" s="22" t="n"/>
      <c r="G382" s="14">
        <f>IF(C382="","",IFERROR(VALUE(LEFT(C382,FIND(" ",C382&amp;" ")-1)),""))</f>
        <v/>
      </c>
      <c r="H382" s="26">
        <f>IF(C382="","",IF(G382="","Pick a loan",IFERROR(IF(INDEX(Loans!$C$6:$C$305,MATCH(G382,Loans!$B$6:$B$305,0))="","Not a loan",INDEX(Loans!$C$6:$C$305,MATCH(G382,Loans!$B$6:$B$305,0))),"Not a loan")))</f>
        <v/>
      </c>
      <c r="I382" s="10">
        <f>IF(OR(G382="",H382="Not a loan"),"",IF(INDEX(Loans!$D$6:$D$305,MATCH(G382,Loans!$B$6:$B$305,0))="I borrowed","Out","In"))</f>
        <v/>
      </c>
      <c r="J382" s="1">
        <f>IF(NOT(ISNUMBER(B382)),"",YEAR(B382)*100+MONTH(B382))</f>
        <v/>
      </c>
      <c r="K382">
        <f>IF(OR(G382="",NOT(ISNUMBER(B382))),"",IF(G382=Statement!$H$2,B382*1000+ROW(),""))</f>
        <v/>
      </c>
    </row>
    <row r="383">
      <c r="A383" s="1" t="n"/>
      <c r="B383" s="18" t="n"/>
      <c r="C383" s="16" t="n"/>
      <c r="D383" s="19" t="n"/>
      <c r="E383" s="17" t="n"/>
      <c r="F383" s="22" t="n"/>
      <c r="G383" s="14">
        <f>IF(C383="","",IFERROR(VALUE(LEFT(C383,FIND(" ",C383&amp;" ")-1)),""))</f>
        <v/>
      </c>
      <c r="H383" s="26">
        <f>IF(C383="","",IF(G383="","Pick a loan",IFERROR(IF(INDEX(Loans!$C$6:$C$305,MATCH(G383,Loans!$B$6:$B$305,0))="","Not a loan",INDEX(Loans!$C$6:$C$305,MATCH(G383,Loans!$B$6:$B$305,0))),"Not a loan")))</f>
        <v/>
      </c>
      <c r="I383" s="10">
        <f>IF(OR(G383="",H383="Not a loan"),"",IF(INDEX(Loans!$D$6:$D$305,MATCH(G383,Loans!$B$6:$B$305,0))="I borrowed","Out","In"))</f>
        <v/>
      </c>
      <c r="J383" s="1">
        <f>IF(NOT(ISNUMBER(B383)),"",YEAR(B383)*100+MONTH(B383))</f>
        <v/>
      </c>
      <c r="K383">
        <f>IF(OR(G383="",NOT(ISNUMBER(B383))),"",IF(G383=Statement!$H$2,B383*1000+ROW(),""))</f>
        <v/>
      </c>
    </row>
    <row r="384">
      <c r="A384" s="1" t="n"/>
      <c r="B384" s="18" t="n"/>
      <c r="C384" s="16" t="n"/>
      <c r="D384" s="19" t="n"/>
      <c r="E384" s="17" t="n"/>
      <c r="F384" s="22" t="n"/>
      <c r="G384" s="14">
        <f>IF(C384="","",IFERROR(VALUE(LEFT(C384,FIND(" ",C384&amp;" ")-1)),""))</f>
        <v/>
      </c>
      <c r="H384" s="26">
        <f>IF(C384="","",IF(G384="","Pick a loan",IFERROR(IF(INDEX(Loans!$C$6:$C$305,MATCH(G384,Loans!$B$6:$B$305,0))="","Not a loan",INDEX(Loans!$C$6:$C$305,MATCH(G384,Loans!$B$6:$B$305,0))),"Not a loan")))</f>
        <v/>
      </c>
      <c r="I384" s="10">
        <f>IF(OR(G384="",H384="Not a loan"),"",IF(INDEX(Loans!$D$6:$D$305,MATCH(G384,Loans!$B$6:$B$305,0))="I borrowed","Out","In"))</f>
        <v/>
      </c>
      <c r="J384" s="1">
        <f>IF(NOT(ISNUMBER(B384)),"",YEAR(B384)*100+MONTH(B384))</f>
        <v/>
      </c>
      <c r="K384">
        <f>IF(OR(G384="",NOT(ISNUMBER(B384))),"",IF(G384=Statement!$H$2,B384*1000+ROW(),""))</f>
        <v/>
      </c>
    </row>
    <row r="385">
      <c r="A385" s="1" t="n"/>
      <c r="B385" s="18" t="n"/>
      <c r="C385" s="16" t="n"/>
      <c r="D385" s="19" t="n"/>
      <c r="E385" s="17" t="n"/>
      <c r="F385" s="22" t="n"/>
      <c r="G385" s="14">
        <f>IF(C385="","",IFERROR(VALUE(LEFT(C385,FIND(" ",C385&amp;" ")-1)),""))</f>
        <v/>
      </c>
      <c r="H385" s="26">
        <f>IF(C385="","",IF(G385="","Pick a loan",IFERROR(IF(INDEX(Loans!$C$6:$C$305,MATCH(G385,Loans!$B$6:$B$305,0))="","Not a loan",INDEX(Loans!$C$6:$C$305,MATCH(G385,Loans!$B$6:$B$305,0))),"Not a loan")))</f>
        <v/>
      </c>
      <c r="I385" s="10">
        <f>IF(OR(G385="",H385="Not a loan"),"",IF(INDEX(Loans!$D$6:$D$305,MATCH(G385,Loans!$B$6:$B$305,0))="I borrowed","Out","In"))</f>
        <v/>
      </c>
      <c r="J385" s="1">
        <f>IF(NOT(ISNUMBER(B385)),"",YEAR(B385)*100+MONTH(B385))</f>
        <v/>
      </c>
      <c r="K385">
        <f>IF(OR(G385="",NOT(ISNUMBER(B385))),"",IF(G385=Statement!$H$2,B385*1000+ROW(),""))</f>
        <v/>
      </c>
    </row>
    <row r="386">
      <c r="A386" s="1" t="n"/>
      <c r="B386" s="18" t="n"/>
      <c r="C386" s="16" t="n"/>
      <c r="D386" s="19" t="n"/>
      <c r="E386" s="17" t="n"/>
      <c r="F386" s="22" t="n"/>
      <c r="G386" s="14">
        <f>IF(C386="","",IFERROR(VALUE(LEFT(C386,FIND(" ",C386&amp;" ")-1)),""))</f>
        <v/>
      </c>
      <c r="H386" s="26">
        <f>IF(C386="","",IF(G386="","Pick a loan",IFERROR(IF(INDEX(Loans!$C$6:$C$305,MATCH(G386,Loans!$B$6:$B$305,0))="","Not a loan",INDEX(Loans!$C$6:$C$305,MATCH(G386,Loans!$B$6:$B$305,0))),"Not a loan")))</f>
        <v/>
      </c>
      <c r="I386" s="10">
        <f>IF(OR(G386="",H386="Not a loan"),"",IF(INDEX(Loans!$D$6:$D$305,MATCH(G386,Loans!$B$6:$B$305,0))="I borrowed","Out","In"))</f>
        <v/>
      </c>
      <c r="J386" s="1">
        <f>IF(NOT(ISNUMBER(B386)),"",YEAR(B386)*100+MONTH(B386))</f>
        <v/>
      </c>
      <c r="K386">
        <f>IF(OR(G386="",NOT(ISNUMBER(B386))),"",IF(G386=Statement!$H$2,B386*1000+ROW(),""))</f>
        <v/>
      </c>
    </row>
    <row r="387">
      <c r="A387" s="1" t="n"/>
      <c r="B387" s="18" t="n"/>
      <c r="C387" s="16" t="n"/>
      <c r="D387" s="19" t="n"/>
      <c r="E387" s="17" t="n"/>
      <c r="F387" s="22" t="n"/>
      <c r="G387" s="14">
        <f>IF(C387="","",IFERROR(VALUE(LEFT(C387,FIND(" ",C387&amp;" ")-1)),""))</f>
        <v/>
      </c>
      <c r="H387" s="26">
        <f>IF(C387="","",IF(G387="","Pick a loan",IFERROR(IF(INDEX(Loans!$C$6:$C$305,MATCH(G387,Loans!$B$6:$B$305,0))="","Not a loan",INDEX(Loans!$C$6:$C$305,MATCH(G387,Loans!$B$6:$B$305,0))),"Not a loan")))</f>
        <v/>
      </c>
      <c r="I387" s="10">
        <f>IF(OR(G387="",H387="Not a loan"),"",IF(INDEX(Loans!$D$6:$D$305,MATCH(G387,Loans!$B$6:$B$305,0))="I borrowed","Out","In"))</f>
        <v/>
      </c>
      <c r="J387" s="1">
        <f>IF(NOT(ISNUMBER(B387)),"",YEAR(B387)*100+MONTH(B387))</f>
        <v/>
      </c>
      <c r="K387">
        <f>IF(OR(G387="",NOT(ISNUMBER(B387))),"",IF(G387=Statement!$H$2,B387*1000+ROW(),""))</f>
        <v/>
      </c>
    </row>
    <row r="388">
      <c r="A388" s="1" t="n"/>
      <c r="B388" s="18" t="n"/>
      <c r="C388" s="16" t="n"/>
      <c r="D388" s="19" t="n"/>
      <c r="E388" s="17" t="n"/>
      <c r="F388" s="22" t="n"/>
      <c r="G388" s="14">
        <f>IF(C388="","",IFERROR(VALUE(LEFT(C388,FIND(" ",C388&amp;" ")-1)),""))</f>
        <v/>
      </c>
      <c r="H388" s="26">
        <f>IF(C388="","",IF(G388="","Pick a loan",IFERROR(IF(INDEX(Loans!$C$6:$C$305,MATCH(G388,Loans!$B$6:$B$305,0))="","Not a loan",INDEX(Loans!$C$6:$C$305,MATCH(G388,Loans!$B$6:$B$305,0))),"Not a loan")))</f>
        <v/>
      </c>
      <c r="I388" s="10">
        <f>IF(OR(G388="",H388="Not a loan"),"",IF(INDEX(Loans!$D$6:$D$305,MATCH(G388,Loans!$B$6:$B$305,0))="I borrowed","Out","In"))</f>
        <v/>
      </c>
      <c r="J388" s="1">
        <f>IF(NOT(ISNUMBER(B388)),"",YEAR(B388)*100+MONTH(B388))</f>
        <v/>
      </c>
      <c r="K388">
        <f>IF(OR(G388="",NOT(ISNUMBER(B388))),"",IF(G388=Statement!$H$2,B388*1000+ROW(),""))</f>
        <v/>
      </c>
    </row>
    <row r="389">
      <c r="A389" s="1" t="n"/>
      <c r="B389" s="18" t="n"/>
      <c r="C389" s="16" t="n"/>
      <c r="D389" s="19" t="n"/>
      <c r="E389" s="17" t="n"/>
      <c r="F389" s="22" t="n"/>
      <c r="G389" s="14">
        <f>IF(C389="","",IFERROR(VALUE(LEFT(C389,FIND(" ",C389&amp;" ")-1)),""))</f>
        <v/>
      </c>
      <c r="H389" s="26">
        <f>IF(C389="","",IF(G389="","Pick a loan",IFERROR(IF(INDEX(Loans!$C$6:$C$305,MATCH(G389,Loans!$B$6:$B$305,0))="","Not a loan",INDEX(Loans!$C$6:$C$305,MATCH(G389,Loans!$B$6:$B$305,0))),"Not a loan")))</f>
        <v/>
      </c>
      <c r="I389" s="10">
        <f>IF(OR(G389="",H389="Not a loan"),"",IF(INDEX(Loans!$D$6:$D$305,MATCH(G389,Loans!$B$6:$B$305,0))="I borrowed","Out","In"))</f>
        <v/>
      </c>
      <c r="J389" s="1">
        <f>IF(NOT(ISNUMBER(B389)),"",YEAR(B389)*100+MONTH(B389))</f>
        <v/>
      </c>
      <c r="K389">
        <f>IF(OR(G389="",NOT(ISNUMBER(B389))),"",IF(G389=Statement!$H$2,B389*1000+ROW(),""))</f>
        <v/>
      </c>
    </row>
    <row r="390">
      <c r="A390" s="1" t="n"/>
      <c r="B390" s="18" t="n"/>
      <c r="C390" s="16" t="n"/>
      <c r="D390" s="19" t="n"/>
      <c r="E390" s="17" t="n"/>
      <c r="F390" s="22" t="n"/>
      <c r="G390" s="14">
        <f>IF(C390="","",IFERROR(VALUE(LEFT(C390,FIND(" ",C390&amp;" ")-1)),""))</f>
        <v/>
      </c>
      <c r="H390" s="26">
        <f>IF(C390="","",IF(G390="","Pick a loan",IFERROR(IF(INDEX(Loans!$C$6:$C$305,MATCH(G390,Loans!$B$6:$B$305,0))="","Not a loan",INDEX(Loans!$C$6:$C$305,MATCH(G390,Loans!$B$6:$B$305,0))),"Not a loan")))</f>
        <v/>
      </c>
      <c r="I390" s="10">
        <f>IF(OR(G390="",H390="Not a loan"),"",IF(INDEX(Loans!$D$6:$D$305,MATCH(G390,Loans!$B$6:$B$305,0))="I borrowed","Out","In"))</f>
        <v/>
      </c>
      <c r="J390" s="1">
        <f>IF(NOT(ISNUMBER(B390)),"",YEAR(B390)*100+MONTH(B390))</f>
        <v/>
      </c>
      <c r="K390">
        <f>IF(OR(G390="",NOT(ISNUMBER(B390))),"",IF(G390=Statement!$H$2,B390*1000+ROW(),""))</f>
        <v/>
      </c>
    </row>
    <row r="391">
      <c r="A391" s="1" t="n"/>
      <c r="B391" s="18" t="n"/>
      <c r="C391" s="16" t="n"/>
      <c r="D391" s="19" t="n"/>
      <c r="E391" s="17" t="n"/>
      <c r="F391" s="22" t="n"/>
      <c r="G391" s="14">
        <f>IF(C391="","",IFERROR(VALUE(LEFT(C391,FIND(" ",C391&amp;" ")-1)),""))</f>
        <v/>
      </c>
      <c r="H391" s="26">
        <f>IF(C391="","",IF(G391="","Pick a loan",IFERROR(IF(INDEX(Loans!$C$6:$C$305,MATCH(G391,Loans!$B$6:$B$305,0))="","Not a loan",INDEX(Loans!$C$6:$C$305,MATCH(G391,Loans!$B$6:$B$305,0))),"Not a loan")))</f>
        <v/>
      </c>
      <c r="I391" s="10">
        <f>IF(OR(G391="",H391="Not a loan"),"",IF(INDEX(Loans!$D$6:$D$305,MATCH(G391,Loans!$B$6:$B$305,0))="I borrowed","Out","In"))</f>
        <v/>
      </c>
      <c r="J391" s="1">
        <f>IF(NOT(ISNUMBER(B391)),"",YEAR(B391)*100+MONTH(B391))</f>
        <v/>
      </c>
      <c r="K391">
        <f>IF(OR(G391="",NOT(ISNUMBER(B391))),"",IF(G391=Statement!$H$2,B391*1000+ROW(),""))</f>
        <v/>
      </c>
    </row>
    <row r="392">
      <c r="A392" s="1" t="n"/>
      <c r="B392" s="18" t="n"/>
      <c r="C392" s="16" t="n"/>
      <c r="D392" s="19" t="n"/>
      <c r="E392" s="17" t="n"/>
      <c r="F392" s="22" t="n"/>
      <c r="G392" s="14">
        <f>IF(C392="","",IFERROR(VALUE(LEFT(C392,FIND(" ",C392&amp;" ")-1)),""))</f>
        <v/>
      </c>
      <c r="H392" s="26">
        <f>IF(C392="","",IF(G392="","Pick a loan",IFERROR(IF(INDEX(Loans!$C$6:$C$305,MATCH(G392,Loans!$B$6:$B$305,0))="","Not a loan",INDEX(Loans!$C$6:$C$305,MATCH(G392,Loans!$B$6:$B$305,0))),"Not a loan")))</f>
        <v/>
      </c>
      <c r="I392" s="10">
        <f>IF(OR(G392="",H392="Not a loan"),"",IF(INDEX(Loans!$D$6:$D$305,MATCH(G392,Loans!$B$6:$B$305,0))="I borrowed","Out","In"))</f>
        <v/>
      </c>
      <c r="J392" s="1">
        <f>IF(NOT(ISNUMBER(B392)),"",YEAR(B392)*100+MONTH(B392))</f>
        <v/>
      </c>
      <c r="K392">
        <f>IF(OR(G392="",NOT(ISNUMBER(B392))),"",IF(G392=Statement!$H$2,B392*1000+ROW(),""))</f>
        <v/>
      </c>
    </row>
    <row r="393">
      <c r="A393" s="1" t="n"/>
      <c r="B393" s="18" t="n"/>
      <c r="C393" s="16" t="n"/>
      <c r="D393" s="19" t="n"/>
      <c r="E393" s="17" t="n"/>
      <c r="F393" s="22" t="n"/>
      <c r="G393" s="14">
        <f>IF(C393="","",IFERROR(VALUE(LEFT(C393,FIND(" ",C393&amp;" ")-1)),""))</f>
        <v/>
      </c>
      <c r="H393" s="26">
        <f>IF(C393="","",IF(G393="","Pick a loan",IFERROR(IF(INDEX(Loans!$C$6:$C$305,MATCH(G393,Loans!$B$6:$B$305,0))="","Not a loan",INDEX(Loans!$C$6:$C$305,MATCH(G393,Loans!$B$6:$B$305,0))),"Not a loan")))</f>
        <v/>
      </c>
      <c r="I393" s="10">
        <f>IF(OR(G393="",H393="Not a loan"),"",IF(INDEX(Loans!$D$6:$D$305,MATCH(G393,Loans!$B$6:$B$305,0))="I borrowed","Out","In"))</f>
        <v/>
      </c>
      <c r="J393" s="1">
        <f>IF(NOT(ISNUMBER(B393)),"",YEAR(B393)*100+MONTH(B393))</f>
        <v/>
      </c>
      <c r="K393">
        <f>IF(OR(G393="",NOT(ISNUMBER(B393))),"",IF(G393=Statement!$H$2,B393*1000+ROW(),""))</f>
        <v/>
      </c>
    </row>
    <row r="394">
      <c r="A394" s="1" t="n"/>
      <c r="B394" s="18" t="n"/>
      <c r="C394" s="16" t="n"/>
      <c r="D394" s="19" t="n"/>
      <c r="E394" s="17" t="n"/>
      <c r="F394" s="22" t="n"/>
      <c r="G394" s="14">
        <f>IF(C394="","",IFERROR(VALUE(LEFT(C394,FIND(" ",C394&amp;" ")-1)),""))</f>
        <v/>
      </c>
      <c r="H394" s="26">
        <f>IF(C394="","",IF(G394="","Pick a loan",IFERROR(IF(INDEX(Loans!$C$6:$C$305,MATCH(G394,Loans!$B$6:$B$305,0))="","Not a loan",INDEX(Loans!$C$6:$C$305,MATCH(G394,Loans!$B$6:$B$305,0))),"Not a loan")))</f>
        <v/>
      </c>
      <c r="I394" s="10">
        <f>IF(OR(G394="",H394="Not a loan"),"",IF(INDEX(Loans!$D$6:$D$305,MATCH(G394,Loans!$B$6:$B$305,0))="I borrowed","Out","In"))</f>
        <v/>
      </c>
      <c r="J394" s="1">
        <f>IF(NOT(ISNUMBER(B394)),"",YEAR(B394)*100+MONTH(B394))</f>
        <v/>
      </c>
      <c r="K394">
        <f>IF(OR(G394="",NOT(ISNUMBER(B394))),"",IF(G394=Statement!$H$2,B394*1000+ROW(),""))</f>
        <v/>
      </c>
    </row>
    <row r="395">
      <c r="A395" s="1" t="n"/>
      <c r="B395" s="18" t="n"/>
      <c r="C395" s="16" t="n"/>
      <c r="D395" s="19" t="n"/>
      <c r="E395" s="17" t="n"/>
      <c r="F395" s="22" t="n"/>
      <c r="G395" s="14">
        <f>IF(C395="","",IFERROR(VALUE(LEFT(C395,FIND(" ",C395&amp;" ")-1)),""))</f>
        <v/>
      </c>
      <c r="H395" s="26">
        <f>IF(C395="","",IF(G395="","Pick a loan",IFERROR(IF(INDEX(Loans!$C$6:$C$305,MATCH(G395,Loans!$B$6:$B$305,0))="","Not a loan",INDEX(Loans!$C$6:$C$305,MATCH(G395,Loans!$B$6:$B$305,0))),"Not a loan")))</f>
        <v/>
      </c>
      <c r="I395" s="10">
        <f>IF(OR(G395="",H395="Not a loan"),"",IF(INDEX(Loans!$D$6:$D$305,MATCH(G395,Loans!$B$6:$B$305,0))="I borrowed","Out","In"))</f>
        <v/>
      </c>
      <c r="J395" s="1">
        <f>IF(NOT(ISNUMBER(B395)),"",YEAR(B395)*100+MONTH(B395))</f>
        <v/>
      </c>
      <c r="K395">
        <f>IF(OR(G395="",NOT(ISNUMBER(B395))),"",IF(G395=Statement!$H$2,B395*1000+ROW(),""))</f>
        <v/>
      </c>
    </row>
    <row r="396">
      <c r="A396" s="1" t="n"/>
      <c r="B396" s="18" t="n"/>
      <c r="C396" s="16" t="n"/>
      <c r="D396" s="19" t="n"/>
      <c r="E396" s="17" t="n"/>
      <c r="F396" s="22" t="n"/>
      <c r="G396" s="14">
        <f>IF(C396="","",IFERROR(VALUE(LEFT(C396,FIND(" ",C396&amp;" ")-1)),""))</f>
        <v/>
      </c>
      <c r="H396" s="26">
        <f>IF(C396="","",IF(G396="","Pick a loan",IFERROR(IF(INDEX(Loans!$C$6:$C$305,MATCH(G396,Loans!$B$6:$B$305,0))="","Not a loan",INDEX(Loans!$C$6:$C$305,MATCH(G396,Loans!$B$6:$B$305,0))),"Not a loan")))</f>
        <v/>
      </c>
      <c r="I396" s="10">
        <f>IF(OR(G396="",H396="Not a loan"),"",IF(INDEX(Loans!$D$6:$D$305,MATCH(G396,Loans!$B$6:$B$305,0))="I borrowed","Out","In"))</f>
        <v/>
      </c>
      <c r="J396" s="1">
        <f>IF(NOT(ISNUMBER(B396)),"",YEAR(B396)*100+MONTH(B396))</f>
        <v/>
      </c>
      <c r="K396">
        <f>IF(OR(G396="",NOT(ISNUMBER(B396))),"",IF(G396=Statement!$H$2,B396*1000+ROW(),""))</f>
        <v/>
      </c>
    </row>
    <row r="397">
      <c r="A397" s="1" t="n"/>
      <c r="B397" s="18" t="n"/>
      <c r="C397" s="16" t="n"/>
      <c r="D397" s="19" t="n"/>
      <c r="E397" s="17" t="n"/>
      <c r="F397" s="22" t="n"/>
      <c r="G397" s="14">
        <f>IF(C397="","",IFERROR(VALUE(LEFT(C397,FIND(" ",C397&amp;" ")-1)),""))</f>
        <v/>
      </c>
      <c r="H397" s="26">
        <f>IF(C397="","",IF(G397="","Pick a loan",IFERROR(IF(INDEX(Loans!$C$6:$C$305,MATCH(G397,Loans!$B$6:$B$305,0))="","Not a loan",INDEX(Loans!$C$6:$C$305,MATCH(G397,Loans!$B$6:$B$305,0))),"Not a loan")))</f>
        <v/>
      </c>
      <c r="I397" s="10">
        <f>IF(OR(G397="",H397="Not a loan"),"",IF(INDEX(Loans!$D$6:$D$305,MATCH(G397,Loans!$B$6:$B$305,0))="I borrowed","Out","In"))</f>
        <v/>
      </c>
      <c r="J397" s="1">
        <f>IF(NOT(ISNUMBER(B397)),"",YEAR(B397)*100+MONTH(B397))</f>
        <v/>
      </c>
      <c r="K397">
        <f>IF(OR(G397="",NOT(ISNUMBER(B397))),"",IF(G397=Statement!$H$2,B397*1000+ROW(),""))</f>
        <v/>
      </c>
    </row>
    <row r="398">
      <c r="A398" s="1" t="n"/>
      <c r="B398" s="18" t="n"/>
      <c r="C398" s="16" t="n"/>
      <c r="D398" s="19" t="n"/>
      <c r="E398" s="17" t="n"/>
      <c r="F398" s="22" t="n"/>
      <c r="G398" s="14">
        <f>IF(C398="","",IFERROR(VALUE(LEFT(C398,FIND(" ",C398&amp;" ")-1)),""))</f>
        <v/>
      </c>
      <c r="H398" s="26">
        <f>IF(C398="","",IF(G398="","Pick a loan",IFERROR(IF(INDEX(Loans!$C$6:$C$305,MATCH(G398,Loans!$B$6:$B$305,0))="","Not a loan",INDEX(Loans!$C$6:$C$305,MATCH(G398,Loans!$B$6:$B$305,0))),"Not a loan")))</f>
        <v/>
      </c>
      <c r="I398" s="10">
        <f>IF(OR(G398="",H398="Not a loan"),"",IF(INDEX(Loans!$D$6:$D$305,MATCH(G398,Loans!$B$6:$B$305,0))="I borrowed","Out","In"))</f>
        <v/>
      </c>
      <c r="J398" s="1">
        <f>IF(NOT(ISNUMBER(B398)),"",YEAR(B398)*100+MONTH(B398))</f>
        <v/>
      </c>
      <c r="K398">
        <f>IF(OR(G398="",NOT(ISNUMBER(B398))),"",IF(G398=Statement!$H$2,B398*1000+ROW(),""))</f>
        <v/>
      </c>
    </row>
    <row r="399">
      <c r="A399" s="1" t="n"/>
      <c r="B399" s="18" t="n"/>
      <c r="C399" s="16" t="n"/>
      <c r="D399" s="19" t="n"/>
      <c r="E399" s="17" t="n"/>
      <c r="F399" s="22" t="n"/>
      <c r="G399" s="14">
        <f>IF(C399="","",IFERROR(VALUE(LEFT(C399,FIND(" ",C399&amp;" ")-1)),""))</f>
        <v/>
      </c>
      <c r="H399" s="26">
        <f>IF(C399="","",IF(G399="","Pick a loan",IFERROR(IF(INDEX(Loans!$C$6:$C$305,MATCH(G399,Loans!$B$6:$B$305,0))="","Not a loan",INDEX(Loans!$C$6:$C$305,MATCH(G399,Loans!$B$6:$B$305,0))),"Not a loan")))</f>
        <v/>
      </c>
      <c r="I399" s="10">
        <f>IF(OR(G399="",H399="Not a loan"),"",IF(INDEX(Loans!$D$6:$D$305,MATCH(G399,Loans!$B$6:$B$305,0))="I borrowed","Out","In"))</f>
        <v/>
      </c>
      <c r="J399" s="1">
        <f>IF(NOT(ISNUMBER(B399)),"",YEAR(B399)*100+MONTH(B399))</f>
        <v/>
      </c>
      <c r="K399">
        <f>IF(OR(G399="",NOT(ISNUMBER(B399))),"",IF(G399=Statement!$H$2,B399*1000+ROW(),""))</f>
        <v/>
      </c>
    </row>
    <row r="400">
      <c r="A400" s="1" t="n"/>
      <c r="B400" s="18" t="n"/>
      <c r="C400" s="16" t="n"/>
      <c r="D400" s="19" t="n"/>
      <c r="E400" s="17" t="n"/>
      <c r="F400" s="22" t="n"/>
      <c r="G400" s="14">
        <f>IF(C400="","",IFERROR(VALUE(LEFT(C400,FIND(" ",C400&amp;" ")-1)),""))</f>
        <v/>
      </c>
      <c r="H400" s="26">
        <f>IF(C400="","",IF(G400="","Pick a loan",IFERROR(IF(INDEX(Loans!$C$6:$C$305,MATCH(G400,Loans!$B$6:$B$305,0))="","Not a loan",INDEX(Loans!$C$6:$C$305,MATCH(G400,Loans!$B$6:$B$305,0))),"Not a loan")))</f>
        <v/>
      </c>
      <c r="I400" s="10">
        <f>IF(OR(G400="",H400="Not a loan"),"",IF(INDEX(Loans!$D$6:$D$305,MATCH(G400,Loans!$B$6:$B$305,0))="I borrowed","Out","In"))</f>
        <v/>
      </c>
      <c r="J400" s="1">
        <f>IF(NOT(ISNUMBER(B400)),"",YEAR(B400)*100+MONTH(B400))</f>
        <v/>
      </c>
      <c r="K400">
        <f>IF(OR(G400="",NOT(ISNUMBER(B400))),"",IF(G400=Statement!$H$2,B400*1000+ROW(),""))</f>
        <v/>
      </c>
    </row>
    <row r="401">
      <c r="A401" s="1" t="n"/>
      <c r="B401" s="18" t="n"/>
      <c r="C401" s="16" t="n"/>
      <c r="D401" s="19" t="n"/>
      <c r="E401" s="17" t="n"/>
      <c r="F401" s="22" t="n"/>
      <c r="G401" s="14">
        <f>IF(C401="","",IFERROR(VALUE(LEFT(C401,FIND(" ",C401&amp;" ")-1)),""))</f>
        <v/>
      </c>
      <c r="H401" s="26">
        <f>IF(C401="","",IF(G401="","Pick a loan",IFERROR(IF(INDEX(Loans!$C$6:$C$305,MATCH(G401,Loans!$B$6:$B$305,0))="","Not a loan",INDEX(Loans!$C$6:$C$305,MATCH(G401,Loans!$B$6:$B$305,0))),"Not a loan")))</f>
        <v/>
      </c>
      <c r="I401" s="10">
        <f>IF(OR(G401="",H401="Not a loan"),"",IF(INDEX(Loans!$D$6:$D$305,MATCH(G401,Loans!$B$6:$B$305,0))="I borrowed","Out","In"))</f>
        <v/>
      </c>
      <c r="J401" s="1">
        <f>IF(NOT(ISNUMBER(B401)),"",YEAR(B401)*100+MONTH(B401))</f>
        <v/>
      </c>
      <c r="K401">
        <f>IF(OR(G401="",NOT(ISNUMBER(B401))),"",IF(G401=Statement!$H$2,B401*1000+ROW(),""))</f>
        <v/>
      </c>
    </row>
    <row r="402">
      <c r="A402" s="1" t="n"/>
      <c r="B402" s="18" t="n"/>
      <c r="C402" s="16" t="n"/>
      <c r="D402" s="19" t="n"/>
      <c r="E402" s="17" t="n"/>
      <c r="F402" s="22" t="n"/>
      <c r="G402" s="14">
        <f>IF(C402="","",IFERROR(VALUE(LEFT(C402,FIND(" ",C402&amp;" ")-1)),""))</f>
        <v/>
      </c>
      <c r="H402" s="26">
        <f>IF(C402="","",IF(G402="","Pick a loan",IFERROR(IF(INDEX(Loans!$C$6:$C$305,MATCH(G402,Loans!$B$6:$B$305,0))="","Not a loan",INDEX(Loans!$C$6:$C$305,MATCH(G402,Loans!$B$6:$B$305,0))),"Not a loan")))</f>
        <v/>
      </c>
      <c r="I402" s="10">
        <f>IF(OR(G402="",H402="Not a loan"),"",IF(INDEX(Loans!$D$6:$D$305,MATCH(G402,Loans!$B$6:$B$305,0))="I borrowed","Out","In"))</f>
        <v/>
      </c>
      <c r="J402" s="1">
        <f>IF(NOT(ISNUMBER(B402)),"",YEAR(B402)*100+MONTH(B402))</f>
        <v/>
      </c>
      <c r="K402">
        <f>IF(OR(G402="",NOT(ISNUMBER(B402))),"",IF(G402=Statement!$H$2,B402*1000+ROW(),""))</f>
        <v/>
      </c>
    </row>
    <row r="403">
      <c r="A403" s="1" t="n"/>
      <c r="B403" s="18" t="n"/>
      <c r="C403" s="16" t="n"/>
      <c r="D403" s="19" t="n"/>
      <c r="E403" s="17" t="n"/>
      <c r="F403" s="22" t="n"/>
      <c r="G403" s="14">
        <f>IF(C403="","",IFERROR(VALUE(LEFT(C403,FIND(" ",C403&amp;" ")-1)),""))</f>
        <v/>
      </c>
      <c r="H403" s="26">
        <f>IF(C403="","",IF(G403="","Pick a loan",IFERROR(IF(INDEX(Loans!$C$6:$C$305,MATCH(G403,Loans!$B$6:$B$305,0))="","Not a loan",INDEX(Loans!$C$6:$C$305,MATCH(G403,Loans!$B$6:$B$305,0))),"Not a loan")))</f>
        <v/>
      </c>
      <c r="I403" s="10">
        <f>IF(OR(G403="",H403="Not a loan"),"",IF(INDEX(Loans!$D$6:$D$305,MATCH(G403,Loans!$B$6:$B$305,0))="I borrowed","Out","In"))</f>
        <v/>
      </c>
      <c r="J403" s="1">
        <f>IF(NOT(ISNUMBER(B403)),"",YEAR(B403)*100+MONTH(B403))</f>
        <v/>
      </c>
      <c r="K403">
        <f>IF(OR(G403="",NOT(ISNUMBER(B403))),"",IF(G403=Statement!$H$2,B403*1000+ROW(),""))</f>
        <v/>
      </c>
    </row>
    <row r="404">
      <c r="A404" s="1" t="n"/>
      <c r="B404" s="18" t="n"/>
      <c r="C404" s="16" t="n"/>
      <c r="D404" s="19" t="n"/>
      <c r="E404" s="17" t="n"/>
      <c r="F404" s="22" t="n"/>
      <c r="G404" s="14">
        <f>IF(C404="","",IFERROR(VALUE(LEFT(C404,FIND(" ",C404&amp;" ")-1)),""))</f>
        <v/>
      </c>
      <c r="H404" s="26">
        <f>IF(C404="","",IF(G404="","Pick a loan",IFERROR(IF(INDEX(Loans!$C$6:$C$305,MATCH(G404,Loans!$B$6:$B$305,0))="","Not a loan",INDEX(Loans!$C$6:$C$305,MATCH(G404,Loans!$B$6:$B$305,0))),"Not a loan")))</f>
        <v/>
      </c>
      <c r="I404" s="10">
        <f>IF(OR(G404="",H404="Not a loan"),"",IF(INDEX(Loans!$D$6:$D$305,MATCH(G404,Loans!$B$6:$B$305,0))="I borrowed","Out","In"))</f>
        <v/>
      </c>
      <c r="J404" s="1">
        <f>IF(NOT(ISNUMBER(B404)),"",YEAR(B404)*100+MONTH(B404))</f>
        <v/>
      </c>
      <c r="K404">
        <f>IF(OR(G404="",NOT(ISNUMBER(B404))),"",IF(G404=Statement!$H$2,B404*1000+ROW(),""))</f>
        <v/>
      </c>
    </row>
    <row r="405">
      <c r="A405" s="1" t="n"/>
      <c r="B405" s="18" t="n"/>
      <c r="C405" s="16" t="n"/>
      <c r="D405" s="19" t="n"/>
      <c r="E405" s="17" t="n"/>
      <c r="F405" s="22" t="n"/>
      <c r="G405" s="14">
        <f>IF(C405="","",IFERROR(VALUE(LEFT(C405,FIND(" ",C405&amp;" ")-1)),""))</f>
        <v/>
      </c>
      <c r="H405" s="26">
        <f>IF(C405="","",IF(G405="","Pick a loan",IFERROR(IF(INDEX(Loans!$C$6:$C$305,MATCH(G405,Loans!$B$6:$B$305,0))="","Not a loan",INDEX(Loans!$C$6:$C$305,MATCH(G405,Loans!$B$6:$B$305,0))),"Not a loan")))</f>
        <v/>
      </c>
      <c r="I405" s="10">
        <f>IF(OR(G405="",H405="Not a loan"),"",IF(INDEX(Loans!$D$6:$D$305,MATCH(G405,Loans!$B$6:$B$305,0))="I borrowed","Out","In"))</f>
        <v/>
      </c>
      <c r="J405" s="1">
        <f>IF(NOT(ISNUMBER(B405)),"",YEAR(B405)*100+MONTH(B405))</f>
        <v/>
      </c>
      <c r="K405">
        <f>IF(OR(G405="",NOT(ISNUMBER(B405))),"",IF(G405=Statement!$H$2,B405*1000+ROW(),""))</f>
        <v/>
      </c>
    </row>
    <row r="406">
      <c r="A406" s="1" t="n"/>
      <c r="B406" s="18" t="n"/>
      <c r="C406" s="16" t="n"/>
      <c r="D406" s="19" t="n"/>
      <c r="E406" s="17" t="n"/>
      <c r="F406" s="22" t="n"/>
      <c r="G406" s="14">
        <f>IF(C406="","",IFERROR(VALUE(LEFT(C406,FIND(" ",C406&amp;" ")-1)),""))</f>
        <v/>
      </c>
      <c r="H406" s="26">
        <f>IF(C406="","",IF(G406="","Pick a loan",IFERROR(IF(INDEX(Loans!$C$6:$C$305,MATCH(G406,Loans!$B$6:$B$305,0))="","Not a loan",INDEX(Loans!$C$6:$C$305,MATCH(G406,Loans!$B$6:$B$305,0))),"Not a loan")))</f>
        <v/>
      </c>
      <c r="I406" s="10">
        <f>IF(OR(G406="",H406="Not a loan"),"",IF(INDEX(Loans!$D$6:$D$305,MATCH(G406,Loans!$B$6:$B$305,0))="I borrowed","Out","In"))</f>
        <v/>
      </c>
      <c r="J406" s="1">
        <f>IF(NOT(ISNUMBER(B406)),"",YEAR(B406)*100+MONTH(B406))</f>
        <v/>
      </c>
      <c r="K406">
        <f>IF(OR(G406="",NOT(ISNUMBER(B406))),"",IF(G406=Statement!$H$2,B406*1000+ROW(),""))</f>
        <v/>
      </c>
    </row>
    <row r="407">
      <c r="A407" s="1" t="n"/>
      <c r="B407" s="18" t="n"/>
      <c r="C407" s="16" t="n"/>
      <c r="D407" s="19" t="n"/>
      <c r="E407" s="17" t="n"/>
      <c r="F407" s="22" t="n"/>
      <c r="G407" s="14">
        <f>IF(C407="","",IFERROR(VALUE(LEFT(C407,FIND(" ",C407&amp;" ")-1)),""))</f>
        <v/>
      </c>
      <c r="H407" s="26">
        <f>IF(C407="","",IF(G407="","Pick a loan",IFERROR(IF(INDEX(Loans!$C$6:$C$305,MATCH(G407,Loans!$B$6:$B$305,0))="","Not a loan",INDEX(Loans!$C$6:$C$305,MATCH(G407,Loans!$B$6:$B$305,0))),"Not a loan")))</f>
        <v/>
      </c>
      <c r="I407" s="10">
        <f>IF(OR(G407="",H407="Not a loan"),"",IF(INDEX(Loans!$D$6:$D$305,MATCH(G407,Loans!$B$6:$B$305,0))="I borrowed","Out","In"))</f>
        <v/>
      </c>
      <c r="J407" s="1">
        <f>IF(NOT(ISNUMBER(B407)),"",YEAR(B407)*100+MONTH(B407))</f>
        <v/>
      </c>
      <c r="K407">
        <f>IF(OR(G407="",NOT(ISNUMBER(B407))),"",IF(G407=Statement!$H$2,B407*1000+ROW(),""))</f>
        <v/>
      </c>
    </row>
    <row r="408">
      <c r="A408" s="1" t="n"/>
      <c r="B408" s="18" t="n"/>
      <c r="C408" s="16" t="n"/>
      <c r="D408" s="19" t="n"/>
      <c r="E408" s="17" t="n"/>
      <c r="F408" s="22" t="n"/>
      <c r="G408" s="14">
        <f>IF(C408="","",IFERROR(VALUE(LEFT(C408,FIND(" ",C408&amp;" ")-1)),""))</f>
        <v/>
      </c>
      <c r="H408" s="26">
        <f>IF(C408="","",IF(G408="","Pick a loan",IFERROR(IF(INDEX(Loans!$C$6:$C$305,MATCH(G408,Loans!$B$6:$B$305,0))="","Not a loan",INDEX(Loans!$C$6:$C$305,MATCH(G408,Loans!$B$6:$B$305,0))),"Not a loan")))</f>
        <v/>
      </c>
      <c r="I408" s="10">
        <f>IF(OR(G408="",H408="Not a loan"),"",IF(INDEX(Loans!$D$6:$D$305,MATCH(G408,Loans!$B$6:$B$305,0))="I borrowed","Out","In"))</f>
        <v/>
      </c>
      <c r="J408" s="1">
        <f>IF(NOT(ISNUMBER(B408)),"",YEAR(B408)*100+MONTH(B408))</f>
        <v/>
      </c>
      <c r="K408">
        <f>IF(OR(G408="",NOT(ISNUMBER(B408))),"",IF(G408=Statement!$H$2,B408*1000+ROW(),""))</f>
        <v/>
      </c>
    </row>
    <row r="409">
      <c r="A409" s="1" t="n"/>
      <c r="B409" s="18" t="n"/>
      <c r="C409" s="16" t="n"/>
      <c r="D409" s="19" t="n"/>
      <c r="E409" s="17" t="n"/>
      <c r="F409" s="22" t="n"/>
      <c r="G409" s="14">
        <f>IF(C409="","",IFERROR(VALUE(LEFT(C409,FIND(" ",C409&amp;" ")-1)),""))</f>
        <v/>
      </c>
      <c r="H409" s="26">
        <f>IF(C409="","",IF(G409="","Pick a loan",IFERROR(IF(INDEX(Loans!$C$6:$C$305,MATCH(G409,Loans!$B$6:$B$305,0))="","Not a loan",INDEX(Loans!$C$6:$C$305,MATCH(G409,Loans!$B$6:$B$305,0))),"Not a loan")))</f>
        <v/>
      </c>
      <c r="I409" s="10">
        <f>IF(OR(G409="",H409="Not a loan"),"",IF(INDEX(Loans!$D$6:$D$305,MATCH(G409,Loans!$B$6:$B$305,0))="I borrowed","Out","In"))</f>
        <v/>
      </c>
      <c r="J409" s="1">
        <f>IF(NOT(ISNUMBER(B409)),"",YEAR(B409)*100+MONTH(B409))</f>
        <v/>
      </c>
      <c r="K409">
        <f>IF(OR(G409="",NOT(ISNUMBER(B409))),"",IF(G409=Statement!$H$2,B409*1000+ROW(),""))</f>
        <v/>
      </c>
    </row>
    <row r="410">
      <c r="A410" s="1" t="n"/>
      <c r="B410" s="18" t="n"/>
      <c r="C410" s="16" t="n"/>
      <c r="D410" s="19" t="n"/>
      <c r="E410" s="17" t="n"/>
      <c r="F410" s="22" t="n"/>
      <c r="G410" s="14">
        <f>IF(C410="","",IFERROR(VALUE(LEFT(C410,FIND(" ",C410&amp;" ")-1)),""))</f>
        <v/>
      </c>
      <c r="H410" s="26">
        <f>IF(C410="","",IF(G410="","Pick a loan",IFERROR(IF(INDEX(Loans!$C$6:$C$305,MATCH(G410,Loans!$B$6:$B$305,0))="","Not a loan",INDEX(Loans!$C$6:$C$305,MATCH(G410,Loans!$B$6:$B$305,0))),"Not a loan")))</f>
        <v/>
      </c>
      <c r="I410" s="10">
        <f>IF(OR(G410="",H410="Not a loan"),"",IF(INDEX(Loans!$D$6:$D$305,MATCH(G410,Loans!$B$6:$B$305,0))="I borrowed","Out","In"))</f>
        <v/>
      </c>
      <c r="J410" s="1">
        <f>IF(NOT(ISNUMBER(B410)),"",YEAR(B410)*100+MONTH(B410))</f>
        <v/>
      </c>
      <c r="K410">
        <f>IF(OR(G410="",NOT(ISNUMBER(B410))),"",IF(G410=Statement!$H$2,B410*1000+ROW(),""))</f>
        <v/>
      </c>
    </row>
    <row r="411">
      <c r="A411" s="1" t="n"/>
      <c r="B411" s="18" t="n"/>
      <c r="C411" s="16" t="n"/>
      <c r="D411" s="19" t="n"/>
      <c r="E411" s="17" t="n"/>
      <c r="F411" s="22" t="n"/>
      <c r="G411" s="14">
        <f>IF(C411="","",IFERROR(VALUE(LEFT(C411,FIND(" ",C411&amp;" ")-1)),""))</f>
        <v/>
      </c>
      <c r="H411" s="26">
        <f>IF(C411="","",IF(G411="","Pick a loan",IFERROR(IF(INDEX(Loans!$C$6:$C$305,MATCH(G411,Loans!$B$6:$B$305,0))="","Not a loan",INDEX(Loans!$C$6:$C$305,MATCH(G411,Loans!$B$6:$B$305,0))),"Not a loan")))</f>
        <v/>
      </c>
      <c r="I411" s="10">
        <f>IF(OR(G411="",H411="Not a loan"),"",IF(INDEX(Loans!$D$6:$D$305,MATCH(G411,Loans!$B$6:$B$305,0))="I borrowed","Out","In"))</f>
        <v/>
      </c>
      <c r="J411" s="1">
        <f>IF(NOT(ISNUMBER(B411)),"",YEAR(B411)*100+MONTH(B411))</f>
        <v/>
      </c>
      <c r="K411">
        <f>IF(OR(G411="",NOT(ISNUMBER(B411))),"",IF(G411=Statement!$H$2,B411*1000+ROW(),""))</f>
        <v/>
      </c>
    </row>
    <row r="412">
      <c r="A412" s="1" t="n"/>
      <c r="B412" s="18" t="n"/>
      <c r="C412" s="16" t="n"/>
      <c r="D412" s="19" t="n"/>
      <c r="E412" s="17" t="n"/>
      <c r="F412" s="22" t="n"/>
      <c r="G412" s="14">
        <f>IF(C412="","",IFERROR(VALUE(LEFT(C412,FIND(" ",C412&amp;" ")-1)),""))</f>
        <v/>
      </c>
      <c r="H412" s="26">
        <f>IF(C412="","",IF(G412="","Pick a loan",IFERROR(IF(INDEX(Loans!$C$6:$C$305,MATCH(G412,Loans!$B$6:$B$305,0))="","Not a loan",INDEX(Loans!$C$6:$C$305,MATCH(G412,Loans!$B$6:$B$305,0))),"Not a loan")))</f>
        <v/>
      </c>
      <c r="I412" s="10">
        <f>IF(OR(G412="",H412="Not a loan"),"",IF(INDEX(Loans!$D$6:$D$305,MATCH(G412,Loans!$B$6:$B$305,0))="I borrowed","Out","In"))</f>
        <v/>
      </c>
      <c r="J412" s="1">
        <f>IF(NOT(ISNUMBER(B412)),"",YEAR(B412)*100+MONTH(B412))</f>
        <v/>
      </c>
      <c r="K412">
        <f>IF(OR(G412="",NOT(ISNUMBER(B412))),"",IF(G412=Statement!$H$2,B412*1000+ROW(),""))</f>
        <v/>
      </c>
    </row>
    <row r="413">
      <c r="A413" s="1" t="n"/>
      <c r="B413" s="18" t="n"/>
      <c r="C413" s="16" t="n"/>
      <c r="D413" s="19" t="n"/>
      <c r="E413" s="17" t="n"/>
      <c r="F413" s="22" t="n"/>
      <c r="G413" s="14">
        <f>IF(C413="","",IFERROR(VALUE(LEFT(C413,FIND(" ",C413&amp;" ")-1)),""))</f>
        <v/>
      </c>
      <c r="H413" s="26">
        <f>IF(C413="","",IF(G413="","Pick a loan",IFERROR(IF(INDEX(Loans!$C$6:$C$305,MATCH(G413,Loans!$B$6:$B$305,0))="","Not a loan",INDEX(Loans!$C$6:$C$305,MATCH(G413,Loans!$B$6:$B$305,0))),"Not a loan")))</f>
        <v/>
      </c>
      <c r="I413" s="10">
        <f>IF(OR(G413="",H413="Not a loan"),"",IF(INDEX(Loans!$D$6:$D$305,MATCH(G413,Loans!$B$6:$B$305,0))="I borrowed","Out","In"))</f>
        <v/>
      </c>
      <c r="J413" s="1">
        <f>IF(NOT(ISNUMBER(B413)),"",YEAR(B413)*100+MONTH(B413))</f>
        <v/>
      </c>
      <c r="K413">
        <f>IF(OR(G413="",NOT(ISNUMBER(B413))),"",IF(G413=Statement!$H$2,B413*1000+ROW(),""))</f>
        <v/>
      </c>
    </row>
    <row r="414">
      <c r="A414" s="1" t="n"/>
      <c r="B414" s="18" t="n"/>
      <c r="C414" s="16" t="n"/>
      <c r="D414" s="19" t="n"/>
      <c r="E414" s="17" t="n"/>
      <c r="F414" s="22" t="n"/>
      <c r="G414" s="14">
        <f>IF(C414="","",IFERROR(VALUE(LEFT(C414,FIND(" ",C414&amp;" ")-1)),""))</f>
        <v/>
      </c>
      <c r="H414" s="26">
        <f>IF(C414="","",IF(G414="","Pick a loan",IFERROR(IF(INDEX(Loans!$C$6:$C$305,MATCH(G414,Loans!$B$6:$B$305,0))="","Not a loan",INDEX(Loans!$C$6:$C$305,MATCH(G414,Loans!$B$6:$B$305,0))),"Not a loan")))</f>
        <v/>
      </c>
      <c r="I414" s="10">
        <f>IF(OR(G414="",H414="Not a loan"),"",IF(INDEX(Loans!$D$6:$D$305,MATCH(G414,Loans!$B$6:$B$305,0))="I borrowed","Out","In"))</f>
        <v/>
      </c>
      <c r="J414" s="1">
        <f>IF(NOT(ISNUMBER(B414)),"",YEAR(B414)*100+MONTH(B414))</f>
        <v/>
      </c>
      <c r="K414">
        <f>IF(OR(G414="",NOT(ISNUMBER(B414))),"",IF(G414=Statement!$H$2,B414*1000+ROW(),""))</f>
        <v/>
      </c>
    </row>
    <row r="415">
      <c r="A415" s="1" t="n"/>
      <c r="B415" s="18" t="n"/>
      <c r="C415" s="16" t="n"/>
      <c r="D415" s="19" t="n"/>
      <c r="E415" s="17" t="n"/>
      <c r="F415" s="22" t="n"/>
      <c r="G415" s="14">
        <f>IF(C415="","",IFERROR(VALUE(LEFT(C415,FIND(" ",C415&amp;" ")-1)),""))</f>
        <v/>
      </c>
      <c r="H415" s="26">
        <f>IF(C415="","",IF(G415="","Pick a loan",IFERROR(IF(INDEX(Loans!$C$6:$C$305,MATCH(G415,Loans!$B$6:$B$305,0))="","Not a loan",INDEX(Loans!$C$6:$C$305,MATCH(G415,Loans!$B$6:$B$305,0))),"Not a loan")))</f>
        <v/>
      </c>
      <c r="I415" s="10">
        <f>IF(OR(G415="",H415="Not a loan"),"",IF(INDEX(Loans!$D$6:$D$305,MATCH(G415,Loans!$B$6:$B$305,0))="I borrowed","Out","In"))</f>
        <v/>
      </c>
      <c r="J415" s="1">
        <f>IF(NOT(ISNUMBER(B415)),"",YEAR(B415)*100+MONTH(B415))</f>
        <v/>
      </c>
      <c r="K415">
        <f>IF(OR(G415="",NOT(ISNUMBER(B415))),"",IF(G415=Statement!$H$2,B415*1000+ROW(),""))</f>
        <v/>
      </c>
    </row>
    <row r="416">
      <c r="A416" s="1" t="n"/>
      <c r="B416" s="18" t="n"/>
      <c r="C416" s="16" t="n"/>
      <c r="D416" s="19" t="n"/>
      <c r="E416" s="17" t="n"/>
      <c r="F416" s="22" t="n"/>
      <c r="G416" s="14">
        <f>IF(C416="","",IFERROR(VALUE(LEFT(C416,FIND(" ",C416&amp;" ")-1)),""))</f>
        <v/>
      </c>
      <c r="H416" s="26">
        <f>IF(C416="","",IF(G416="","Pick a loan",IFERROR(IF(INDEX(Loans!$C$6:$C$305,MATCH(G416,Loans!$B$6:$B$305,0))="","Not a loan",INDEX(Loans!$C$6:$C$305,MATCH(G416,Loans!$B$6:$B$305,0))),"Not a loan")))</f>
        <v/>
      </c>
      <c r="I416" s="10">
        <f>IF(OR(G416="",H416="Not a loan"),"",IF(INDEX(Loans!$D$6:$D$305,MATCH(G416,Loans!$B$6:$B$305,0))="I borrowed","Out","In"))</f>
        <v/>
      </c>
      <c r="J416" s="1">
        <f>IF(NOT(ISNUMBER(B416)),"",YEAR(B416)*100+MONTH(B416))</f>
        <v/>
      </c>
      <c r="K416">
        <f>IF(OR(G416="",NOT(ISNUMBER(B416))),"",IF(G416=Statement!$H$2,B416*1000+ROW(),""))</f>
        <v/>
      </c>
    </row>
    <row r="417">
      <c r="A417" s="1" t="n"/>
      <c r="B417" s="18" t="n"/>
      <c r="C417" s="16" t="n"/>
      <c r="D417" s="19" t="n"/>
      <c r="E417" s="17" t="n"/>
      <c r="F417" s="22" t="n"/>
      <c r="G417" s="14">
        <f>IF(C417="","",IFERROR(VALUE(LEFT(C417,FIND(" ",C417&amp;" ")-1)),""))</f>
        <v/>
      </c>
      <c r="H417" s="26">
        <f>IF(C417="","",IF(G417="","Pick a loan",IFERROR(IF(INDEX(Loans!$C$6:$C$305,MATCH(G417,Loans!$B$6:$B$305,0))="","Not a loan",INDEX(Loans!$C$6:$C$305,MATCH(G417,Loans!$B$6:$B$305,0))),"Not a loan")))</f>
        <v/>
      </c>
      <c r="I417" s="10">
        <f>IF(OR(G417="",H417="Not a loan"),"",IF(INDEX(Loans!$D$6:$D$305,MATCH(G417,Loans!$B$6:$B$305,0))="I borrowed","Out","In"))</f>
        <v/>
      </c>
      <c r="J417" s="1">
        <f>IF(NOT(ISNUMBER(B417)),"",YEAR(B417)*100+MONTH(B417))</f>
        <v/>
      </c>
      <c r="K417">
        <f>IF(OR(G417="",NOT(ISNUMBER(B417))),"",IF(G417=Statement!$H$2,B417*1000+ROW(),""))</f>
        <v/>
      </c>
    </row>
    <row r="418">
      <c r="A418" s="1" t="n"/>
      <c r="B418" s="18" t="n"/>
      <c r="C418" s="16" t="n"/>
      <c r="D418" s="19" t="n"/>
      <c r="E418" s="17" t="n"/>
      <c r="F418" s="22" t="n"/>
      <c r="G418" s="14">
        <f>IF(C418="","",IFERROR(VALUE(LEFT(C418,FIND(" ",C418&amp;" ")-1)),""))</f>
        <v/>
      </c>
      <c r="H418" s="26">
        <f>IF(C418="","",IF(G418="","Pick a loan",IFERROR(IF(INDEX(Loans!$C$6:$C$305,MATCH(G418,Loans!$B$6:$B$305,0))="","Not a loan",INDEX(Loans!$C$6:$C$305,MATCH(G418,Loans!$B$6:$B$305,0))),"Not a loan")))</f>
        <v/>
      </c>
      <c r="I418" s="10">
        <f>IF(OR(G418="",H418="Not a loan"),"",IF(INDEX(Loans!$D$6:$D$305,MATCH(G418,Loans!$B$6:$B$305,0))="I borrowed","Out","In"))</f>
        <v/>
      </c>
      <c r="J418" s="1">
        <f>IF(NOT(ISNUMBER(B418)),"",YEAR(B418)*100+MONTH(B418))</f>
        <v/>
      </c>
      <c r="K418">
        <f>IF(OR(G418="",NOT(ISNUMBER(B418))),"",IF(G418=Statement!$H$2,B418*1000+ROW(),""))</f>
        <v/>
      </c>
    </row>
    <row r="419">
      <c r="A419" s="1" t="n"/>
      <c r="B419" s="18" t="n"/>
      <c r="C419" s="16" t="n"/>
      <c r="D419" s="19" t="n"/>
      <c r="E419" s="17" t="n"/>
      <c r="F419" s="22" t="n"/>
      <c r="G419" s="14">
        <f>IF(C419="","",IFERROR(VALUE(LEFT(C419,FIND(" ",C419&amp;" ")-1)),""))</f>
        <v/>
      </c>
      <c r="H419" s="26">
        <f>IF(C419="","",IF(G419="","Pick a loan",IFERROR(IF(INDEX(Loans!$C$6:$C$305,MATCH(G419,Loans!$B$6:$B$305,0))="","Not a loan",INDEX(Loans!$C$6:$C$305,MATCH(G419,Loans!$B$6:$B$305,0))),"Not a loan")))</f>
        <v/>
      </c>
      <c r="I419" s="10">
        <f>IF(OR(G419="",H419="Not a loan"),"",IF(INDEX(Loans!$D$6:$D$305,MATCH(G419,Loans!$B$6:$B$305,0))="I borrowed","Out","In"))</f>
        <v/>
      </c>
      <c r="J419" s="1">
        <f>IF(NOT(ISNUMBER(B419)),"",YEAR(B419)*100+MONTH(B419))</f>
        <v/>
      </c>
      <c r="K419">
        <f>IF(OR(G419="",NOT(ISNUMBER(B419))),"",IF(G419=Statement!$H$2,B419*1000+ROW(),""))</f>
        <v/>
      </c>
    </row>
    <row r="420">
      <c r="A420" s="1" t="n"/>
      <c r="B420" s="18" t="n"/>
      <c r="C420" s="16" t="n"/>
      <c r="D420" s="19" t="n"/>
      <c r="E420" s="17" t="n"/>
      <c r="F420" s="22" t="n"/>
      <c r="G420" s="14">
        <f>IF(C420="","",IFERROR(VALUE(LEFT(C420,FIND(" ",C420&amp;" ")-1)),""))</f>
        <v/>
      </c>
      <c r="H420" s="26">
        <f>IF(C420="","",IF(G420="","Pick a loan",IFERROR(IF(INDEX(Loans!$C$6:$C$305,MATCH(G420,Loans!$B$6:$B$305,0))="","Not a loan",INDEX(Loans!$C$6:$C$305,MATCH(G420,Loans!$B$6:$B$305,0))),"Not a loan")))</f>
        <v/>
      </c>
      <c r="I420" s="10">
        <f>IF(OR(G420="",H420="Not a loan"),"",IF(INDEX(Loans!$D$6:$D$305,MATCH(G420,Loans!$B$6:$B$305,0))="I borrowed","Out","In"))</f>
        <v/>
      </c>
      <c r="J420" s="1">
        <f>IF(NOT(ISNUMBER(B420)),"",YEAR(B420)*100+MONTH(B420))</f>
        <v/>
      </c>
      <c r="K420">
        <f>IF(OR(G420="",NOT(ISNUMBER(B420))),"",IF(G420=Statement!$H$2,B420*1000+ROW(),""))</f>
        <v/>
      </c>
    </row>
    <row r="421">
      <c r="A421" s="1" t="n"/>
      <c r="B421" s="18" t="n"/>
      <c r="C421" s="16" t="n"/>
      <c r="D421" s="19" t="n"/>
      <c r="E421" s="17" t="n"/>
      <c r="F421" s="22" t="n"/>
      <c r="G421" s="14">
        <f>IF(C421="","",IFERROR(VALUE(LEFT(C421,FIND(" ",C421&amp;" ")-1)),""))</f>
        <v/>
      </c>
      <c r="H421" s="26">
        <f>IF(C421="","",IF(G421="","Pick a loan",IFERROR(IF(INDEX(Loans!$C$6:$C$305,MATCH(G421,Loans!$B$6:$B$305,0))="","Not a loan",INDEX(Loans!$C$6:$C$305,MATCH(G421,Loans!$B$6:$B$305,0))),"Not a loan")))</f>
        <v/>
      </c>
      <c r="I421" s="10">
        <f>IF(OR(G421="",H421="Not a loan"),"",IF(INDEX(Loans!$D$6:$D$305,MATCH(G421,Loans!$B$6:$B$305,0))="I borrowed","Out","In"))</f>
        <v/>
      </c>
      <c r="J421" s="1">
        <f>IF(NOT(ISNUMBER(B421)),"",YEAR(B421)*100+MONTH(B421))</f>
        <v/>
      </c>
      <c r="K421">
        <f>IF(OR(G421="",NOT(ISNUMBER(B421))),"",IF(G421=Statement!$H$2,B421*1000+ROW(),""))</f>
        <v/>
      </c>
    </row>
    <row r="422">
      <c r="A422" s="1" t="n"/>
      <c r="B422" s="18" t="n"/>
      <c r="C422" s="16" t="n"/>
      <c r="D422" s="19" t="n"/>
      <c r="E422" s="17" t="n"/>
      <c r="F422" s="22" t="n"/>
      <c r="G422" s="14">
        <f>IF(C422="","",IFERROR(VALUE(LEFT(C422,FIND(" ",C422&amp;" ")-1)),""))</f>
        <v/>
      </c>
      <c r="H422" s="26">
        <f>IF(C422="","",IF(G422="","Pick a loan",IFERROR(IF(INDEX(Loans!$C$6:$C$305,MATCH(G422,Loans!$B$6:$B$305,0))="","Not a loan",INDEX(Loans!$C$6:$C$305,MATCH(G422,Loans!$B$6:$B$305,0))),"Not a loan")))</f>
        <v/>
      </c>
      <c r="I422" s="10">
        <f>IF(OR(G422="",H422="Not a loan"),"",IF(INDEX(Loans!$D$6:$D$305,MATCH(G422,Loans!$B$6:$B$305,0))="I borrowed","Out","In"))</f>
        <v/>
      </c>
      <c r="J422" s="1">
        <f>IF(NOT(ISNUMBER(B422)),"",YEAR(B422)*100+MONTH(B422))</f>
        <v/>
      </c>
      <c r="K422">
        <f>IF(OR(G422="",NOT(ISNUMBER(B422))),"",IF(G422=Statement!$H$2,B422*1000+ROW(),""))</f>
        <v/>
      </c>
    </row>
    <row r="423">
      <c r="A423" s="1" t="n"/>
      <c r="B423" s="18" t="n"/>
      <c r="C423" s="16" t="n"/>
      <c r="D423" s="19" t="n"/>
      <c r="E423" s="17" t="n"/>
      <c r="F423" s="22" t="n"/>
      <c r="G423" s="14">
        <f>IF(C423="","",IFERROR(VALUE(LEFT(C423,FIND(" ",C423&amp;" ")-1)),""))</f>
        <v/>
      </c>
      <c r="H423" s="26">
        <f>IF(C423="","",IF(G423="","Pick a loan",IFERROR(IF(INDEX(Loans!$C$6:$C$305,MATCH(G423,Loans!$B$6:$B$305,0))="","Not a loan",INDEX(Loans!$C$6:$C$305,MATCH(G423,Loans!$B$6:$B$305,0))),"Not a loan")))</f>
        <v/>
      </c>
      <c r="I423" s="10">
        <f>IF(OR(G423="",H423="Not a loan"),"",IF(INDEX(Loans!$D$6:$D$305,MATCH(G423,Loans!$B$6:$B$305,0))="I borrowed","Out","In"))</f>
        <v/>
      </c>
      <c r="J423" s="1">
        <f>IF(NOT(ISNUMBER(B423)),"",YEAR(B423)*100+MONTH(B423))</f>
        <v/>
      </c>
      <c r="K423">
        <f>IF(OR(G423="",NOT(ISNUMBER(B423))),"",IF(G423=Statement!$H$2,B423*1000+ROW(),""))</f>
        <v/>
      </c>
    </row>
    <row r="424">
      <c r="A424" s="1" t="n"/>
      <c r="B424" s="18" t="n"/>
      <c r="C424" s="16" t="n"/>
      <c r="D424" s="19" t="n"/>
      <c r="E424" s="17" t="n"/>
      <c r="F424" s="22" t="n"/>
      <c r="G424" s="14">
        <f>IF(C424="","",IFERROR(VALUE(LEFT(C424,FIND(" ",C424&amp;" ")-1)),""))</f>
        <v/>
      </c>
      <c r="H424" s="26">
        <f>IF(C424="","",IF(G424="","Pick a loan",IFERROR(IF(INDEX(Loans!$C$6:$C$305,MATCH(G424,Loans!$B$6:$B$305,0))="","Not a loan",INDEX(Loans!$C$6:$C$305,MATCH(G424,Loans!$B$6:$B$305,0))),"Not a loan")))</f>
        <v/>
      </c>
      <c r="I424" s="10">
        <f>IF(OR(G424="",H424="Not a loan"),"",IF(INDEX(Loans!$D$6:$D$305,MATCH(G424,Loans!$B$6:$B$305,0))="I borrowed","Out","In"))</f>
        <v/>
      </c>
      <c r="J424" s="1">
        <f>IF(NOT(ISNUMBER(B424)),"",YEAR(B424)*100+MONTH(B424))</f>
        <v/>
      </c>
      <c r="K424">
        <f>IF(OR(G424="",NOT(ISNUMBER(B424))),"",IF(G424=Statement!$H$2,B424*1000+ROW(),""))</f>
        <v/>
      </c>
    </row>
    <row r="425">
      <c r="A425" s="1" t="n"/>
      <c r="B425" s="18" t="n"/>
      <c r="C425" s="16" t="n"/>
      <c r="D425" s="19" t="n"/>
      <c r="E425" s="17" t="n"/>
      <c r="F425" s="22" t="n"/>
      <c r="G425" s="14">
        <f>IF(C425="","",IFERROR(VALUE(LEFT(C425,FIND(" ",C425&amp;" ")-1)),""))</f>
        <v/>
      </c>
      <c r="H425" s="26">
        <f>IF(C425="","",IF(G425="","Pick a loan",IFERROR(IF(INDEX(Loans!$C$6:$C$305,MATCH(G425,Loans!$B$6:$B$305,0))="","Not a loan",INDEX(Loans!$C$6:$C$305,MATCH(G425,Loans!$B$6:$B$305,0))),"Not a loan")))</f>
        <v/>
      </c>
      <c r="I425" s="10">
        <f>IF(OR(G425="",H425="Not a loan"),"",IF(INDEX(Loans!$D$6:$D$305,MATCH(G425,Loans!$B$6:$B$305,0))="I borrowed","Out","In"))</f>
        <v/>
      </c>
      <c r="J425" s="1">
        <f>IF(NOT(ISNUMBER(B425)),"",YEAR(B425)*100+MONTH(B425))</f>
        <v/>
      </c>
      <c r="K425">
        <f>IF(OR(G425="",NOT(ISNUMBER(B425))),"",IF(G425=Statement!$H$2,B425*1000+ROW(),""))</f>
        <v/>
      </c>
    </row>
    <row r="426">
      <c r="A426" s="1" t="n"/>
      <c r="B426" s="18" t="n"/>
      <c r="C426" s="16" t="n"/>
      <c r="D426" s="19" t="n"/>
      <c r="E426" s="17" t="n"/>
      <c r="F426" s="22" t="n"/>
      <c r="G426" s="14">
        <f>IF(C426="","",IFERROR(VALUE(LEFT(C426,FIND(" ",C426&amp;" ")-1)),""))</f>
        <v/>
      </c>
      <c r="H426" s="26">
        <f>IF(C426="","",IF(G426="","Pick a loan",IFERROR(IF(INDEX(Loans!$C$6:$C$305,MATCH(G426,Loans!$B$6:$B$305,0))="","Not a loan",INDEX(Loans!$C$6:$C$305,MATCH(G426,Loans!$B$6:$B$305,0))),"Not a loan")))</f>
        <v/>
      </c>
      <c r="I426" s="10">
        <f>IF(OR(G426="",H426="Not a loan"),"",IF(INDEX(Loans!$D$6:$D$305,MATCH(G426,Loans!$B$6:$B$305,0))="I borrowed","Out","In"))</f>
        <v/>
      </c>
      <c r="J426" s="1">
        <f>IF(NOT(ISNUMBER(B426)),"",YEAR(B426)*100+MONTH(B426))</f>
        <v/>
      </c>
      <c r="K426">
        <f>IF(OR(G426="",NOT(ISNUMBER(B426))),"",IF(G426=Statement!$H$2,B426*1000+ROW(),""))</f>
        <v/>
      </c>
    </row>
    <row r="427">
      <c r="A427" s="1" t="n"/>
      <c r="B427" s="18" t="n"/>
      <c r="C427" s="16" t="n"/>
      <c r="D427" s="19" t="n"/>
      <c r="E427" s="17" t="n"/>
      <c r="F427" s="22" t="n"/>
      <c r="G427" s="14">
        <f>IF(C427="","",IFERROR(VALUE(LEFT(C427,FIND(" ",C427&amp;" ")-1)),""))</f>
        <v/>
      </c>
      <c r="H427" s="26">
        <f>IF(C427="","",IF(G427="","Pick a loan",IFERROR(IF(INDEX(Loans!$C$6:$C$305,MATCH(G427,Loans!$B$6:$B$305,0))="","Not a loan",INDEX(Loans!$C$6:$C$305,MATCH(G427,Loans!$B$6:$B$305,0))),"Not a loan")))</f>
        <v/>
      </c>
      <c r="I427" s="10">
        <f>IF(OR(G427="",H427="Not a loan"),"",IF(INDEX(Loans!$D$6:$D$305,MATCH(G427,Loans!$B$6:$B$305,0))="I borrowed","Out","In"))</f>
        <v/>
      </c>
      <c r="J427" s="1">
        <f>IF(NOT(ISNUMBER(B427)),"",YEAR(B427)*100+MONTH(B427))</f>
        <v/>
      </c>
      <c r="K427">
        <f>IF(OR(G427="",NOT(ISNUMBER(B427))),"",IF(G427=Statement!$H$2,B427*1000+ROW(),""))</f>
        <v/>
      </c>
    </row>
    <row r="428">
      <c r="A428" s="1" t="n"/>
      <c r="B428" s="18" t="n"/>
      <c r="C428" s="16" t="n"/>
      <c r="D428" s="19" t="n"/>
      <c r="E428" s="17" t="n"/>
      <c r="F428" s="22" t="n"/>
      <c r="G428" s="14">
        <f>IF(C428="","",IFERROR(VALUE(LEFT(C428,FIND(" ",C428&amp;" ")-1)),""))</f>
        <v/>
      </c>
      <c r="H428" s="26">
        <f>IF(C428="","",IF(G428="","Pick a loan",IFERROR(IF(INDEX(Loans!$C$6:$C$305,MATCH(G428,Loans!$B$6:$B$305,0))="","Not a loan",INDEX(Loans!$C$6:$C$305,MATCH(G428,Loans!$B$6:$B$305,0))),"Not a loan")))</f>
        <v/>
      </c>
      <c r="I428" s="10">
        <f>IF(OR(G428="",H428="Not a loan"),"",IF(INDEX(Loans!$D$6:$D$305,MATCH(G428,Loans!$B$6:$B$305,0))="I borrowed","Out","In"))</f>
        <v/>
      </c>
      <c r="J428" s="1">
        <f>IF(NOT(ISNUMBER(B428)),"",YEAR(B428)*100+MONTH(B428))</f>
        <v/>
      </c>
      <c r="K428">
        <f>IF(OR(G428="",NOT(ISNUMBER(B428))),"",IF(G428=Statement!$H$2,B428*1000+ROW(),""))</f>
        <v/>
      </c>
    </row>
    <row r="429">
      <c r="A429" s="1" t="n"/>
      <c r="B429" s="18" t="n"/>
      <c r="C429" s="16" t="n"/>
      <c r="D429" s="19" t="n"/>
      <c r="E429" s="17" t="n"/>
      <c r="F429" s="22" t="n"/>
      <c r="G429" s="14">
        <f>IF(C429="","",IFERROR(VALUE(LEFT(C429,FIND(" ",C429&amp;" ")-1)),""))</f>
        <v/>
      </c>
      <c r="H429" s="26">
        <f>IF(C429="","",IF(G429="","Pick a loan",IFERROR(IF(INDEX(Loans!$C$6:$C$305,MATCH(G429,Loans!$B$6:$B$305,0))="","Not a loan",INDEX(Loans!$C$6:$C$305,MATCH(G429,Loans!$B$6:$B$305,0))),"Not a loan")))</f>
        <v/>
      </c>
      <c r="I429" s="10">
        <f>IF(OR(G429="",H429="Not a loan"),"",IF(INDEX(Loans!$D$6:$D$305,MATCH(G429,Loans!$B$6:$B$305,0))="I borrowed","Out","In"))</f>
        <v/>
      </c>
      <c r="J429" s="1">
        <f>IF(NOT(ISNUMBER(B429)),"",YEAR(B429)*100+MONTH(B429))</f>
        <v/>
      </c>
      <c r="K429">
        <f>IF(OR(G429="",NOT(ISNUMBER(B429))),"",IF(G429=Statement!$H$2,B429*1000+ROW(),""))</f>
        <v/>
      </c>
    </row>
    <row r="430">
      <c r="A430" s="1" t="n"/>
      <c r="B430" s="18" t="n"/>
      <c r="C430" s="16" t="n"/>
      <c r="D430" s="19" t="n"/>
      <c r="E430" s="17" t="n"/>
      <c r="F430" s="22" t="n"/>
      <c r="G430" s="14">
        <f>IF(C430="","",IFERROR(VALUE(LEFT(C430,FIND(" ",C430&amp;" ")-1)),""))</f>
        <v/>
      </c>
      <c r="H430" s="26">
        <f>IF(C430="","",IF(G430="","Pick a loan",IFERROR(IF(INDEX(Loans!$C$6:$C$305,MATCH(G430,Loans!$B$6:$B$305,0))="","Not a loan",INDEX(Loans!$C$6:$C$305,MATCH(G430,Loans!$B$6:$B$305,0))),"Not a loan")))</f>
        <v/>
      </c>
      <c r="I430" s="10">
        <f>IF(OR(G430="",H430="Not a loan"),"",IF(INDEX(Loans!$D$6:$D$305,MATCH(G430,Loans!$B$6:$B$305,0))="I borrowed","Out","In"))</f>
        <v/>
      </c>
      <c r="J430" s="1">
        <f>IF(NOT(ISNUMBER(B430)),"",YEAR(B430)*100+MONTH(B430))</f>
        <v/>
      </c>
      <c r="K430">
        <f>IF(OR(G430="",NOT(ISNUMBER(B430))),"",IF(G430=Statement!$H$2,B430*1000+ROW(),""))</f>
        <v/>
      </c>
    </row>
    <row r="431">
      <c r="A431" s="1" t="n"/>
      <c r="B431" s="18" t="n"/>
      <c r="C431" s="16" t="n"/>
      <c r="D431" s="19" t="n"/>
      <c r="E431" s="17" t="n"/>
      <c r="F431" s="22" t="n"/>
      <c r="G431" s="14">
        <f>IF(C431="","",IFERROR(VALUE(LEFT(C431,FIND(" ",C431&amp;" ")-1)),""))</f>
        <v/>
      </c>
      <c r="H431" s="26">
        <f>IF(C431="","",IF(G431="","Pick a loan",IFERROR(IF(INDEX(Loans!$C$6:$C$305,MATCH(G431,Loans!$B$6:$B$305,0))="","Not a loan",INDEX(Loans!$C$6:$C$305,MATCH(G431,Loans!$B$6:$B$305,0))),"Not a loan")))</f>
        <v/>
      </c>
      <c r="I431" s="10">
        <f>IF(OR(G431="",H431="Not a loan"),"",IF(INDEX(Loans!$D$6:$D$305,MATCH(G431,Loans!$B$6:$B$305,0))="I borrowed","Out","In"))</f>
        <v/>
      </c>
      <c r="J431" s="1">
        <f>IF(NOT(ISNUMBER(B431)),"",YEAR(B431)*100+MONTH(B431))</f>
        <v/>
      </c>
      <c r="K431">
        <f>IF(OR(G431="",NOT(ISNUMBER(B431))),"",IF(G431=Statement!$H$2,B431*1000+ROW(),""))</f>
        <v/>
      </c>
    </row>
    <row r="432">
      <c r="A432" s="1" t="n"/>
      <c r="B432" s="18" t="n"/>
      <c r="C432" s="16" t="n"/>
      <c r="D432" s="19" t="n"/>
      <c r="E432" s="17" t="n"/>
      <c r="F432" s="22" t="n"/>
      <c r="G432" s="14">
        <f>IF(C432="","",IFERROR(VALUE(LEFT(C432,FIND(" ",C432&amp;" ")-1)),""))</f>
        <v/>
      </c>
      <c r="H432" s="26">
        <f>IF(C432="","",IF(G432="","Pick a loan",IFERROR(IF(INDEX(Loans!$C$6:$C$305,MATCH(G432,Loans!$B$6:$B$305,0))="","Not a loan",INDEX(Loans!$C$6:$C$305,MATCH(G432,Loans!$B$6:$B$305,0))),"Not a loan")))</f>
        <v/>
      </c>
      <c r="I432" s="10">
        <f>IF(OR(G432="",H432="Not a loan"),"",IF(INDEX(Loans!$D$6:$D$305,MATCH(G432,Loans!$B$6:$B$305,0))="I borrowed","Out","In"))</f>
        <v/>
      </c>
      <c r="J432" s="1">
        <f>IF(NOT(ISNUMBER(B432)),"",YEAR(B432)*100+MONTH(B432))</f>
        <v/>
      </c>
      <c r="K432">
        <f>IF(OR(G432="",NOT(ISNUMBER(B432))),"",IF(G432=Statement!$H$2,B432*1000+ROW(),""))</f>
        <v/>
      </c>
    </row>
    <row r="433">
      <c r="A433" s="1" t="n"/>
      <c r="B433" s="18" t="n"/>
      <c r="C433" s="16" t="n"/>
      <c r="D433" s="19" t="n"/>
      <c r="E433" s="17" t="n"/>
      <c r="F433" s="22" t="n"/>
      <c r="G433" s="14">
        <f>IF(C433="","",IFERROR(VALUE(LEFT(C433,FIND(" ",C433&amp;" ")-1)),""))</f>
        <v/>
      </c>
      <c r="H433" s="26">
        <f>IF(C433="","",IF(G433="","Pick a loan",IFERROR(IF(INDEX(Loans!$C$6:$C$305,MATCH(G433,Loans!$B$6:$B$305,0))="","Not a loan",INDEX(Loans!$C$6:$C$305,MATCH(G433,Loans!$B$6:$B$305,0))),"Not a loan")))</f>
        <v/>
      </c>
      <c r="I433" s="10">
        <f>IF(OR(G433="",H433="Not a loan"),"",IF(INDEX(Loans!$D$6:$D$305,MATCH(G433,Loans!$B$6:$B$305,0))="I borrowed","Out","In"))</f>
        <v/>
      </c>
      <c r="J433" s="1">
        <f>IF(NOT(ISNUMBER(B433)),"",YEAR(B433)*100+MONTH(B433))</f>
        <v/>
      </c>
      <c r="K433">
        <f>IF(OR(G433="",NOT(ISNUMBER(B433))),"",IF(G433=Statement!$H$2,B433*1000+ROW(),""))</f>
        <v/>
      </c>
    </row>
    <row r="434">
      <c r="A434" s="1" t="n"/>
      <c r="B434" s="18" t="n"/>
      <c r="C434" s="16" t="n"/>
      <c r="D434" s="19" t="n"/>
      <c r="E434" s="17" t="n"/>
      <c r="F434" s="22" t="n"/>
      <c r="G434" s="14">
        <f>IF(C434="","",IFERROR(VALUE(LEFT(C434,FIND(" ",C434&amp;" ")-1)),""))</f>
        <v/>
      </c>
      <c r="H434" s="26">
        <f>IF(C434="","",IF(G434="","Pick a loan",IFERROR(IF(INDEX(Loans!$C$6:$C$305,MATCH(G434,Loans!$B$6:$B$305,0))="","Not a loan",INDEX(Loans!$C$6:$C$305,MATCH(G434,Loans!$B$6:$B$305,0))),"Not a loan")))</f>
        <v/>
      </c>
      <c r="I434" s="10">
        <f>IF(OR(G434="",H434="Not a loan"),"",IF(INDEX(Loans!$D$6:$D$305,MATCH(G434,Loans!$B$6:$B$305,0))="I borrowed","Out","In"))</f>
        <v/>
      </c>
      <c r="J434" s="1">
        <f>IF(NOT(ISNUMBER(B434)),"",YEAR(B434)*100+MONTH(B434))</f>
        <v/>
      </c>
      <c r="K434">
        <f>IF(OR(G434="",NOT(ISNUMBER(B434))),"",IF(G434=Statement!$H$2,B434*1000+ROW(),""))</f>
        <v/>
      </c>
    </row>
    <row r="435">
      <c r="A435" s="1" t="n"/>
      <c r="B435" s="18" t="n"/>
      <c r="C435" s="16" t="n"/>
      <c r="D435" s="19" t="n"/>
      <c r="E435" s="17" t="n"/>
      <c r="F435" s="22" t="n"/>
      <c r="G435" s="14">
        <f>IF(C435="","",IFERROR(VALUE(LEFT(C435,FIND(" ",C435&amp;" ")-1)),""))</f>
        <v/>
      </c>
      <c r="H435" s="26">
        <f>IF(C435="","",IF(G435="","Pick a loan",IFERROR(IF(INDEX(Loans!$C$6:$C$305,MATCH(G435,Loans!$B$6:$B$305,0))="","Not a loan",INDEX(Loans!$C$6:$C$305,MATCH(G435,Loans!$B$6:$B$305,0))),"Not a loan")))</f>
        <v/>
      </c>
      <c r="I435" s="10">
        <f>IF(OR(G435="",H435="Not a loan"),"",IF(INDEX(Loans!$D$6:$D$305,MATCH(G435,Loans!$B$6:$B$305,0))="I borrowed","Out","In"))</f>
        <v/>
      </c>
      <c r="J435" s="1">
        <f>IF(NOT(ISNUMBER(B435)),"",YEAR(B435)*100+MONTH(B435))</f>
        <v/>
      </c>
      <c r="K435">
        <f>IF(OR(G435="",NOT(ISNUMBER(B435))),"",IF(G435=Statement!$H$2,B435*1000+ROW(),""))</f>
        <v/>
      </c>
    </row>
    <row r="436">
      <c r="A436" s="1" t="n"/>
      <c r="B436" s="18" t="n"/>
      <c r="C436" s="16" t="n"/>
      <c r="D436" s="19" t="n"/>
      <c r="E436" s="17" t="n"/>
      <c r="F436" s="22" t="n"/>
      <c r="G436" s="14">
        <f>IF(C436="","",IFERROR(VALUE(LEFT(C436,FIND(" ",C436&amp;" ")-1)),""))</f>
        <v/>
      </c>
      <c r="H436" s="26">
        <f>IF(C436="","",IF(G436="","Pick a loan",IFERROR(IF(INDEX(Loans!$C$6:$C$305,MATCH(G436,Loans!$B$6:$B$305,0))="","Not a loan",INDEX(Loans!$C$6:$C$305,MATCH(G436,Loans!$B$6:$B$305,0))),"Not a loan")))</f>
        <v/>
      </c>
      <c r="I436" s="10">
        <f>IF(OR(G436="",H436="Not a loan"),"",IF(INDEX(Loans!$D$6:$D$305,MATCH(G436,Loans!$B$6:$B$305,0))="I borrowed","Out","In"))</f>
        <v/>
      </c>
      <c r="J436" s="1">
        <f>IF(NOT(ISNUMBER(B436)),"",YEAR(B436)*100+MONTH(B436))</f>
        <v/>
      </c>
      <c r="K436">
        <f>IF(OR(G436="",NOT(ISNUMBER(B436))),"",IF(G436=Statement!$H$2,B436*1000+ROW(),""))</f>
        <v/>
      </c>
    </row>
    <row r="437">
      <c r="A437" s="1" t="n"/>
      <c r="B437" s="18" t="n"/>
      <c r="C437" s="16" t="n"/>
      <c r="D437" s="19" t="n"/>
      <c r="E437" s="17" t="n"/>
      <c r="F437" s="22" t="n"/>
      <c r="G437" s="14">
        <f>IF(C437="","",IFERROR(VALUE(LEFT(C437,FIND(" ",C437&amp;" ")-1)),""))</f>
        <v/>
      </c>
      <c r="H437" s="26">
        <f>IF(C437="","",IF(G437="","Pick a loan",IFERROR(IF(INDEX(Loans!$C$6:$C$305,MATCH(G437,Loans!$B$6:$B$305,0))="","Not a loan",INDEX(Loans!$C$6:$C$305,MATCH(G437,Loans!$B$6:$B$305,0))),"Not a loan")))</f>
        <v/>
      </c>
      <c r="I437" s="10">
        <f>IF(OR(G437="",H437="Not a loan"),"",IF(INDEX(Loans!$D$6:$D$305,MATCH(G437,Loans!$B$6:$B$305,0))="I borrowed","Out","In"))</f>
        <v/>
      </c>
      <c r="J437" s="1">
        <f>IF(NOT(ISNUMBER(B437)),"",YEAR(B437)*100+MONTH(B437))</f>
        <v/>
      </c>
      <c r="K437">
        <f>IF(OR(G437="",NOT(ISNUMBER(B437))),"",IF(G437=Statement!$H$2,B437*1000+ROW(),""))</f>
        <v/>
      </c>
    </row>
    <row r="438">
      <c r="A438" s="1" t="n"/>
      <c r="B438" s="18" t="n"/>
      <c r="C438" s="16" t="n"/>
      <c r="D438" s="19" t="n"/>
      <c r="E438" s="17" t="n"/>
      <c r="F438" s="22" t="n"/>
      <c r="G438" s="14">
        <f>IF(C438="","",IFERROR(VALUE(LEFT(C438,FIND(" ",C438&amp;" ")-1)),""))</f>
        <v/>
      </c>
      <c r="H438" s="26">
        <f>IF(C438="","",IF(G438="","Pick a loan",IFERROR(IF(INDEX(Loans!$C$6:$C$305,MATCH(G438,Loans!$B$6:$B$305,0))="","Not a loan",INDEX(Loans!$C$6:$C$305,MATCH(G438,Loans!$B$6:$B$305,0))),"Not a loan")))</f>
        <v/>
      </c>
      <c r="I438" s="10">
        <f>IF(OR(G438="",H438="Not a loan"),"",IF(INDEX(Loans!$D$6:$D$305,MATCH(G438,Loans!$B$6:$B$305,0))="I borrowed","Out","In"))</f>
        <v/>
      </c>
      <c r="J438" s="1">
        <f>IF(NOT(ISNUMBER(B438)),"",YEAR(B438)*100+MONTH(B438))</f>
        <v/>
      </c>
      <c r="K438">
        <f>IF(OR(G438="",NOT(ISNUMBER(B438))),"",IF(G438=Statement!$H$2,B438*1000+ROW(),""))</f>
        <v/>
      </c>
    </row>
    <row r="439">
      <c r="A439" s="1" t="n"/>
      <c r="B439" s="18" t="n"/>
      <c r="C439" s="16" t="n"/>
      <c r="D439" s="19" t="n"/>
      <c r="E439" s="17" t="n"/>
      <c r="F439" s="22" t="n"/>
      <c r="G439" s="14">
        <f>IF(C439="","",IFERROR(VALUE(LEFT(C439,FIND(" ",C439&amp;" ")-1)),""))</f>
        <v/>
      </c>
      <c r="H439" s="26">
        <f>IF(C439="","",IF(G439="","Pick a loan",IFERROR(IF(INDEX(Loans!$C$6:$C$305,MATCH(G439,Loans!$B$6:$B$305,0))="","Not a loan",INDEX(Loans!$C$6:$C$305,MATCH(G439,Loans!$B$6:$B$305,0))),"Not a loan")))</f>
        <v/>
      </c>
      <c r="I439" s="10">
        <f>IF(OR(G439="",H439="Not a loan"),"",IF(INDEX(Loans!$D$6:$D$305,MATCH(G439,Loans!$B$6:$B$305,0))="I borrowed","Out","In"))</f>
        <v/>
      </c>
      <c r="J439" s="1">
        <f>IF(NOT(ISNUMBER(B439)),"",YEAR(B439)*100+MONTH(B439))</f>
        <v/>
      </c>
      <c r="K439">
        <f>IF(OR(G439="",NOT(ISNUMBER(B439))),"",IF(G439=Statement!$H$2,B439*1000+ROW(),""))</f>
        <v/>
      </c>
    </row>
    <row r="440">
      <c r="A440" s="1" t="n"/>
      <c r="B440" s="18" t="n"/>
      <c r="C440" s="16" t="n"/>
      <c r="D440" s="19" t="n"/>
      <c r="E440" s="17" t="n"/>
      <c r="F440" s="22" t="n"/>
      <c r="G440" s="14">
        <f>IF(C440="","",IFERROR(VALUE(LEFT(C440,FIND(" ",C440&amp;" ")-1)),""))</f>
        <v/>
      </c>
      <c r="H440" s="26">
        <f>IF(C440="","",IF(G440="","Pick a loan",IFERROR(IF(INDEX(Loans!$C$6:$C$305,MATCH(G440,Loans!$B$6:$B$305,0))="","Not a loan",INDEX(Loans!$C$6:$C$305,MATCH(G440,Loans!$B$6:$B$305,0))),"Not a loan")))</f>
        <v/>
      </c>
      <c r="I440" s="10">
        <f>IF(OR(G440="",H440="Not a loan"),"",IF(INDEX(Loans!$D$6:$D$305,MATCH(G440,Loans!$B$6:$B$305,0))="I borrowed","Out","In"))</f>
        <v/>
      </c>
      <c r="J440" s="1">
        <f>IF(NOT(ISNUMBER(B440)),"",YEAR(B440)*100+MONTH(B440))</f>
        <v/>
      </c>
      <c r="K440">
        <f>IF(OR(G440="",NOT(ISNUMBER(B440))),"",IF(G440=Statement!$H$2,B440*1000+ROW(),""))</f>
        <v/>
      </c>
    </row>
    <row r="441">
      <c r="A441" s="1" t="n"/>
      <c r="B441" s="18" t="n"/>
      <c r="C441" s="16" t="n"/>
      <c r="D441" s="19" t="n"/>
      <c r="E441" s="17" t="n"/>
      <c r="F441" s="22" t="n"/>
      <c r="G441" s="14">
        <f>IF(C441="","",IFERROR(VALUE(LEFT(C441,FIND(" ",C441&amp;" ")-1)),""))</f>
        <v/>
      </c>
      <c r="H441" s="26">
        <f>IF(C441="","",IF(G441="","Pick a loan",IFERROR(IF(INDEX(Loans!$C$6:$C$305,MATCH(G441,Loans!$B$6:$B$305,0))="","Not a loan",INDEX(Loans!$C$6:$C$305,MATCH(G441,Loans!$B$6:$B$305,0))),"Not a loan")))</f>
        <v/>
      </c>
      <c r="I441" s="10">
        <f>IF(OR(G441="",H441="Not a loan"),"",IF(INDEX(Loans!$D$6:$D$305,MATCH(G441,Loans!$B$6:$B$305,0))="I borrowed","Out","In"))</f>
        <v/>
      </c>
      <c r="J441" s="1">
        <f>IF(NOT(ISNUMBER(B441)),"",YEAR(B441)*100+MONTH(B441))</f>
        <v/>
      </c>
      <c r="K441">
        <f>IF(OR(G441="",NOT(ISNUMBER(B441))),"",IF(G441=Statement!$H$2,B441*1000+ROW(),""))</f>
        <v/>
      </c>
    </row>
    <row r="442">
      <c r="A442" s="1" t="n"/>
      <c r="B442" s="18" t="n"/>
      <c r="C442" s="16" t="n"/>
      <c r="D442" s="19" t="n"/>
      <c r="E442" s="17" t="n"/>
      <c r="F442" s="22" t="n"/>
      <c r="G442" s="14">
        <f>IF(C442="","",IFERROR(VALUE(LEFT(C442,FIND(" ",C442&amp;" ")-1)),""))</f>
        <v/>
      </c>
      <c r="H442" s="26">
        <f>IF(C442="","",IF(G442="","Pick a loan",IFERROR(IF(INDEX(Loans!$C$6:$C$305,MATCH(G442,Loans!$B$6:$B$305,0))="","Not a loan",INDEX(Loans!$C$6:$C$305,MATCH(G442,Loans!$B$6:$B$305,0))),"Not a loan")))</f>
        <v/>
      </c>
      <c r="I442" s="10">
        <f>IF(OR(G442="",H442="Not a loan"),"",IF(INDEX(Loans!$D$6:$D$305,MATCH(G442,Loans!$B$6:$B$305,0))="I borrowed","Out","In"))</f>
        <v/>
      </c>
      <c r="J442" s="1">
        <f>IF(NOT(ISNUMBER(B442)),"",YEAR(B442)*100+MONTH(B442))</f>
        <v/>
      </c>
      <c r="K442">
        <f>IF(OR(G442="",NOT(ISNUMBER(B442))),"",IF(G442=Statement!$H$2,B442*1000+ROW(),""))</f>
        <v/>
      </c>
    </row>
    <row r="443">
      <c r="A443" s="1" t="n"/>
      <c r="B443" s="18" t="n"/>
      <c r="C443" s="16" t="n"/>
      <c r="D443" s="19" t="n"/>
      <c r="E443" s="17" t="n"/>
      <c r="F443" s="22" t="n"/>
      <c r="G443" s="14">
        <f>IF(C443="","",IFERROR(VALUE(LEFT(C443,FIND(" ",C443&amp;" ")-1)),""))</f>
        <v/>
      </c>
      <c r="H443" s="26">
        <f>IF(C443="","",IF(G443="","Pick a loan",IFERROR(IF(INDEX(Loans!$C$6:$C$305,MATCH(G443,Loans!$B$6:$B$305,0))="","Not a loan",INDEX(Loans!$C$6:$C$305,MATCH(G443,Loans!$B$6:$B$305,0))),"Not a loan")))</f>
        <v/>
      </c>
      <c r="I443" s="10">
        <f>IF(OR(G443="",H443="Not a loan"),"",IF(INDEX(Loans!$D$6:$D$305,MATCH(G443,Loans!$B$6:$B$305,0))="I borrowed","Out","In"))</f>
        <v/>
      </c>
      <c r="J443" s="1">
        <f>IF(NOT(ISNUMBER(B443)),"",YEAR(B443)*100+MONTH(B443))</f>
        <v/>
      </c>
      <c r="K443">
        <f>IF(OR(G443="",NOT(ISNUMBER(B443))),"",IF(G443=Statement!$H$2,B443*1000+ROW(),""))</f>
        <v/>
      </c>
    </row>
    <row r="444">
      <c r="A444" s="1" t="n"/>
      <c r="B444" s="18" t="n"/>
      <c r="C444" s="16" t="n"/>
      <c r="D444" s="19" t="n"/>
      <c r="E444" s="17" t="n"/>
      <c r="F444" s="22" t="n"/>
      <c r="G444" s="14">
        <f>IF(C444="","",IFERROR(VALUE(LEFT(C444,FIND(" ",C444&amp;" ")-1)),""))</f>
        <v/>
      </c>
      <c r="H444" s="26">
        <f>IF(C444="","",IF(G444="","Pick a loan",IFERROR(IF(INDEX(Loans!$C$6:$C$305,MATCH(G444,Loans!$B$6:$B$305,0))="","Not a loan",INDEX(Loans!$C$6:$C$305,MATCH(G444,Loans!$B$6:$B$305,0))),"Not a loan")))</f>
        <v/>
      </c>
      <c r="I444" s="10">
        <f>IF(OR(G444="",H444="Not a loan"),"",IF(INDEX(Loans!$D$6:$D$305,MATCH(G444,Loans!$B$6:$B$305,0))="I borrowed","Out","In"))</f>
        <v/>
      </c>
      <c r="J444" s="1">
        <f>IF(NOT(ISNUMBER(B444)),"",YEAR(B444)*100+MONTH(B444))</f>
        <v/>
      </c>
      <c r="K444">
        <f>IF(OR(G444="",NOT(ISNUMBER(B444))),"",IF(G444=Statement!$H$2,B444*1000+ROW(),""))</f>
        <v/>
      </c>
    </row>
    <row r="445">
      <c r="A445" s="1" t="n"/>
      <c r="B445" s="18" t="n"/>
      <c r="C445" s="16" t="n"/>
      <c r="D445" s="19" t="n"/>
      <c r="E445" s="17" t="n"/>
      <c r="F445" s="22" t="n"/>
      <c r="G445" s="14">
        <f>IF(C445="","",IFERROR(VALUE(LEFT(C445,FIND(" ",C445&amp;" ")-1)),""))</f>
        <v/>
      </c>
      <c r="H445" s="26">
        <f>IF(C445="","",IF(G445="","Pick a loan",IFERROR(IF(INDEX(Loans!$C$6:$C$305,MATCH(G445,Loans!$B$6:$B$305,0))="","Not a loan",INDEX(Loans!$C$6:$C$305,MATCH(G445,Loans!$B$6:$B$305,0))),"Not a loan")))</f>
        <v/>
      </c>
      <c r="I445" s="10">
        <f>IF(OR(G445="",H445="Not a loan"),"",IF(INDEX(Loans!$D$6:$D$305,MATCH(G445,Loans!$B$6:$B$305,0))="I borrowed","Out","In"))</f>
        <v/>
      </c>
      <c r="J445" s="1">
        <f>IF(NOT(ISNUMBER(B445)),"",YEAR(B445)*100+MONTH(B445))</f>
        <v/>
      </c>
      <c r="K445">
        <f>IF(OR(G445="",NOT(ISNUMBER(B445))),"",IF(G445=Statement!$H$2,B445*1000+ROW(),""))</f>
        <v/>
      </c>
    </row>
    <row r="446">
      <c r="A446" s="1" t="n"/>
      <c r="B446" s="18" t="n"/>
      <c r="C446" s="16" t="n"/>
      <c r="D446" s="19" t="n"/>
      <c r="E446" s="17" t="n"/>
      <c r="F446" s="22" t="n"/>
      <c r="G446" s="14">
        <f>IF(C446="","",IFERROR(VALUE(LEFT(C446,FIND(" ",C446&amp;" ")-1)),""))</f>
        <v/>
      </c>
      <c r="H446" s="26">
        <f>IF(C446="","",IF(G446="","Pick a loan",IFERROR(IF(INDEX(Loans!$C$6:$C$305,MATCH(G446,Loans!$B$6:$B$305,0))="","Not a loan",INDEX(Loans!$C$6:$C$305,MATCH(G446,Loans!$B$6:$B$305,0))),"Not a loan")))</f>
        <v/>
      </c>
      <c r="I446" s="10">
        <f>IF(OR(G446="",H446="Not a loan"),"",IF(INDEX(Loans!$D$6:$D$305,MATCH(G446,Loans!$B$6:$B$305,0))="I borrowed","Out","In"))</f>
        <v/>
      </c>
      <c r="J446" s="1">
        <f>IF(NOT(ISNUMBER(B446)),"",YEAR(B446)*100+MONTH(B446))</f>
        <v/>
      </c>
      <c r="K446">
        <f>IF(OR(G446="",NOT(ISNUMBER(B446))),"",IF(G446=Statement!$H$2,B446*1000+ROW(),""))</f>
        <v/>
      </c>
    </row>
    <row r="447">
      <c r="A447" s="1" t="n"/>
      <c r="B447" s="18" t="n"/>
      <c r="C447" s="16" t="n"/>
      <c r="D447" s="19" t="n"/>
      <c r="E447" s="17" t="n"/>
      <c r="F447" s="22" t="n"/>
      <c r="G447" s="14">
        <f>IF(C447="","",IFERROR(VALUE(LEFT(C447,FIND(" ",C447&amp;" ")-1)),""))</f>
        <v/>
      </c>
      <c r="H447" s="26">
        <f>IF(C447="","",IF(G447="","Pick a loan",IFERROR(IF(INDEX(Loans!$C$6:$C$305,MATCH(G447,Loans!$B$6:$B$305,0))="","Not a loan",INDEX(Loans!$C$6:$C$305,MATCH(G447,Loans!$B$6:$B$305,0))),"Not a loan")))</f>
        <v/>
      </c>
      <c r="I447" s="10">
        <f>IF(OR(G447="",H447="Not a loan"),"",IF(INDEX(Loans!$D$6:$D$305,MATCH(G447,Loans!$B$6:$B$305,0))="I borrowed","Out","In"))</f>
        <v/>
      </c>
      <c r="J447" s="1">
        <f>IF(NOT(ISNUMBER(B447)),"",YEAR(B447)*100+MONTH(B447))</f>
        <v/>
      </c>
      <c r="K447">
        <f>IF(OR(G447="",NOT(ISNUMBER(B447))),"",IF(G447=Statement!$H$2,B447*1000+ROW(),""))</f>
        <v/>
      </c>
    </row>
    <row r="448">
      <c r="A448" s="1" t="n"/>
      <c r="B448" s="18" t="n"/>
      <c r="C448" s="16" t="n"/>
      <c r="D448" s="19" t="n"/>
      <c r="E448" s="17" t="n"/>
      <c r="F448" s="22" t="n"/>
      <c r="G448" s="14">
        <f>IF(C448="","",IFERROR(VALUE(LEFT(C448,FIND(" ",C448&amp;" ")-1)),""))</f>
        <v/>
      </c>
      <c r="H448" s="26">
        <f>IF(C448="","",IF(G448="","Pick a loan",IFERROR(IF(INDEX(Loans!$C$6:$C$305,MATCH(G448,Loans!$B$6:$B$305,0))="","Not a loan",INDEX(Loans!$C$6:$C$305,MATCH(G448,Loans!$B$6:$B$305,0))),"Not a loan")))</f>
        <v/>
      </c>
      <c r="I448" s="10">
        <f>IF(OR(G448="",H448="Not a loan"),"",IF(INDEX(Loans!$D$6:$D$305,MATCH(G448,Loans!$B$6:$B$305,0))="I borrowed","Out","In"))</f>
        <v/>
      </c>
      <c r="J448" s="1">
        <f>IF(NOT(ISNUMBER(B448)),"",YEAR(B448)*100+MONTH(B448))</f>
        <v/>
      </c>
      <c r="K448">
        <f>IF(OR(G448="",NOT(ISNUMBER(B448))),"",IF(G448=Statement!$H$2,B448*1000+ROW(),""))</f>
        <v/>
      </c>
    </row>
    <row r="449">
      <c r="A449" s="1" t="n"/>
      <c r="B449" s="18" t="n"/>
      <c r="C449" s="16" t="n"/>
      <c r="D449" s="19" t="n"/>
      <c r="E449" s="17" t="n"/>
      <c r="F449" s="22" t="n"/>
      <c r="G449" s="14">
        <f>IF(C449="","",IFERROR(VALUE(LEFT(C449,FIND(" ",C449&amp;" ")-1)),""))</f>
        <v/>
      </c>
      <c r="H449" s="26">
        <f>IF(C449="","",IF(G449="","Pick a loan",IFERROR(IF(INDEX(Loans!$C$6:$C$305,MATCH(G449,Loans!$B$6:$B$305,0))="","Not a loan",INDEX(Loans!$C$6:$C$305,MATCH(G449,Loans!$B$6:$B$305,0))),"Not a loan")))</f>
        <v/>
      </c>
      <c r="I449" s="10">
        <f>IF(OR(G449="",H449="Not a loan"),"",IF(INDEX(Loans!$D$6:$D$305,MATCH(G449,Loans!$B$6:$B$305,0))="I borrowed","Out","In"))</f>
        <v/>
      </c>
      <c r="J449" s="1">
        <f>IF(NOT(ISNUMBER(B449)),"",YEAR(B449)*100+MONTH(B449))</f>
        <v/>
      </c>
      <c r="K449">
        <f>IF(OR(G449="",NOT(ISNUMBER(B449))),"",IF(G449=Statement!$H$2,B449*1000+ROW(),""))</f>
        <v/>
      </c>
    </row>
    <row r="450">
      <c r="A450" s="1" t="n"/>
      <c r="B450" s="18" t="n"/>
      <c r="C450" s="16" t="n"/>
      <c r="D450" s="19" t="n"/>
      <c r="E450" s="17" t="n"/>
      <c r="F450" s="22" t="n"/>
      <c r="G450" s="14">
        <f>IF(C450="","",IFERROR(VALUE(LEFT(C450,FIND(" ",C450&amp;" ")-1)),""))</f>
        <v/>
      </c>
      <c r="H450" s="26">
        <f>IF(C450="","",IF(G450="","Pick a loan",IFERROR(IF(INDEX(Loans!$C$6:$C$305,MATCH(G450,Loans!$B$6:$B$305,0))="","Not a loan",INDEX(Loans!$C$6:$C$305,MATCH(G450,Loans!$B$6:$B$305,0))),"Not a loan")))</f>
        <v/>
      </c>
      <c r="I450" s="10">
        <f>IF(OR(G450="",H450="Not a loan"),"",IF(INDEX(Loans!$D$6:$D$305,MATCH(G450,Loans!$B$6:$B$305,0))="I borrowed","Out","In"))</f>
        <v/>
      </c>
      <c r="J450" s="1">
        <f>IF(NOT(ISNUMBER(B450)),"",YEAR(B450)*100+MONTH(B450))</f>
        <v/>
      </c>
      <c r="K450">
        <f>IF(OR(G450="",NOT(ISNUMBER(B450))),"",IF(G450=Statement!$H$2,B450*1000+ROW(),""))</f>
        <v/>
      </c>
    </row>
    <row r="451">
      <c r="A451" s="1" t="n"/>
      <c r="B451" s="18" t="n"/>
      <c r="C451" s="16" t="n"/>
      <c r="D451" s="19" t="n"/>
      <c r="E451" s="17" t="n"/>
      <c r="F451" s="22" t="n"/>
      <c r="G451" s="14">
        <f>IF(C451="","",IFERROR(VALUE(LEFT(C451,FIND(" ",C451&amp;" ")-1)),""))</f>
        <v/>
      </c>
      <c r="H451" s="26">
        <f>IF(C451="","",IF(G451="","Pick a loan",IFERROR(IF(INDEX(Loans!$C$6:$C$305,MATCH(G451,Loans!$B$6:$B$305,0))="","Not a loan",INDEX(Loans!$C$6:$C$305,MATCH(G451,Loans!$B$6:$B$305,0))),"Not a loan")))</f>
        <v/>
      </c>
      <c r="I451" s="10">
        <f>IF(OR(G451="",H451="Not a loan"),"",IF(INDEX(Loans!$D$6:$D$305,MATCH(G451,Loans!$B$6:$B$305,0))="I borrowed","Out","In"))</f>
        <v/>
      </c>
      <c r="J451" s="1">
        <f>IF(NOT(ISNUMBER(B451)),"",YEAR(B451)*100+MONTH(B451))</f>
        <v/>
      </c>
      <c r="K451">
        <f>IF(OR(G451="",NOT(ISNUMBER(B451))),"",IF(G451=Statement!$H$2,B451*1000+ROW(),""))</f>
        <v/>
      </c>
    </row>
    <row r="452">
      <c r="A452" s="1" t="n"/>
      <c r="B452" s="18" t="n"/>
      <c r="C452" s="16" t="n"/>
      <c r="D452" s="19" t="n"/>
      <c r="E452" s="17" t="n"/>
      <c r="F452" s="22" t="n"/>
      <c r="G452" s="14">
        <f>IF(C452="","",IFERROR(VALUE(LEFT(C452,FIND(" ",C452&amp;" ")-1)),""))</f>
        <v/>
      </c>
      <c r="H452" s="26">
        <f>IF(C452="","",IF(G452="","Pick a loan",IFERROR(IF(INDEX(Loans!$C$6:$C$305,MATCH(G452,Loans!$B$6:$B$305,0))="","Not a loan",INDEX(Loans!$C$6:$C$305,MATCH(G452,Loans!$B$6:$B$305,0))),"Not a loan")))</f>
        <v/>
      </c>
      <c r="I452" s="10">
        <f>IF(OR(G452="",H452="Not a loan"),"",IF(INDEX(Loans!$D$6:$D$305,MATCH(G452,Loans!$B$6:$B$305,0))="I borrowed","Out","In"))</f>
        <v/>
      </c>
      <c r="J452" s="1">
        <f>IF(NOT(ISNUMBER(B452)),"",YEAR(B452)*100+MONTH(B452))</f>
        <v/>
      </c>
      <c r="K452">
        <f>IF(OR(G452="",NOT(ISNUMBER(B452))),"",IF(G452=Statement!$H$2,B452*1000+ROW(),""))</f>
        <v/>
      </c>
    </row>
    <row r="453">
      <c r="A453" s="1" t="n"/>
      <c r="B453" s="18" t="n"/>
      <c r="C453" s="16" t="n"/>
      <c r="D453" s="19" t="n"/>
      <c r="E453" s="17" t="n"/>
      <c r="F453" s="22" t="n"/>
      <c r="G453" s="14">
        <f>IF(C453="","",IFERROR(VALUE(LEFT(C453,FIND(" ",C453&amp;" ")-1)),""))</f>
        <v/>
      </c>
      <c r="H453" s="26">
        <f>IF(C453="","",IF(G453="","Pick a loan",IFERROR(IF(INDEX(Loans!$C$6:$C$305,MATCH(G453,Loans!$B$6:$B$305,0))="","Not a loan",INDEX(Loans!$C$6:$C$305,MATCH(G453,Loans!$B$6:$B$305,0))),"Not a loan")))</f>
        <v/>
      </c>
      <c r="I453" s="10">
        <f>IF(OR(G453="",H453="Not a loan"),"",IF(INDEX(Loans!$D$6:$D$305,MATCH(G453,Loans!$B$6:$B$305,0))="I borrowed","Out","In"))</f>
        <v/>
      </c>
      <c r="J453" s="1">
        <f>IF(NOT(ISNUMBER(B453)),"",YEAR(B453)*100+MONTH(B453))</f>
        <v/>
      </c>
      <c r="K453">
        <f>IF(OR(G453="",NOT(ISNUMBER(B453))),"",IF(G453=Statement!$H$2,B453*1000+ROW(),""))</f>
        <v/>
      </c>
    </row>
    <row r="454">
      <c r="A454" s="1" t="n"/>
      <c r="B454" s="18" t="n"/>
      <c r="C454" s="16" t="n"/>
      <c r="D454" s="19" t="n"/>
      <c r="E454" s="17" t="n"/>
      <c r="F454" s="22" t="n"/>
      <c r="G454" s="14">
        <f>IF(C454="","",IFERROR(VALUE(LEFT(C454,FIND(" ",C454&amp;" ")-1)),""))</f>
        <v/>
      </c>
      <c r="H454" s="26">
        <f>IF(C454="","",IF(G454="","Pick a loan",IFERROR(IF(INDEX(Loans!$C$6:$C$305,MATCH(G454,Loans!$B$6:$B$305,0))="","Not a loan",INDEX(Loans!$C$6:$C$305,MATCH(G454,Loans!$B$6:$B$305,0))),"Not a loan")))</f>
        <v/>
      </c>
      <c r="I454" s="10">
        <f>IF(OR(G454="",H454="Not a loan"),"",IF(INDEX(Loans!$D$6:$D$305,MATCH(G454,Loans!$B$6:$B$305,0))="I borrowed","Out","In"))</f>
        <v/>
      </c>
      <c r="J454" s="1">
        <f>IF(NOT(ISNUMBER(B454)),"",YEAR(B454)*100+MONTH(B454))</f>
        <v/>
      </c>
      <c r="K454">
        <f>IF(OR(G454="",NOT(ISNUMBER(B454))),"",IF(G454=Statement!$H$2,B454*1000+ROW(),""))</f>
        <v/>
      </c>
    </row>
    <row r="455">
      <c r="A455" s="1" t="n"/>
      <c r="B455" s="18" t="n"/>
      <c r="C455" s="16" t="n"/>
      <c r="D455" s="19" t="n"/>
      <c r="E455" s="17" t="n"/>
      <c r="F455" s="22" t="n"/>
      <c r="G455" s="14">
        <f>IF(C455="","",IFERROR(VALUE(LEFT(C455,FIND(" ",C455&amp;" ")-1)),""))</f>
        <v/>
      </c>
      <c r="H455" s="26">
        <f>IF(C455="","",IF(G455="","Pick a loan",IFERROR(IF(INDEX(Loans!$C$6:$C$305,MATCH(G455,Loans!$B$6:$B$305,0))="","Not a loan",INDEX(Loans!$C$6:$C$305,MATCH(G455,Loans!$B$6:$B$305,0))),"Not a loan")))</f>
        <v/>
      </c>
      <c r="I455" s="10">
        <f>IF(OR(G455="",H455="Not a loan"),"",IF(INDEX(Loans!$D$6:$D$305,MATCH(G455,Loans!$B$6:$B$305,0))="I borrowed","Out","In"))</f>
        <v/>
      </c>
      <c r="J455" s="1">
        <f>IF(NOT(ISNUMBER(B455)),"",YEAR(B455)*100+MONTH(B455))</f>
        <v/>
      </c>
      <c r="K455">
        <f>IF(OR(G455="",NOT(ISNUMBER(B455))),"",IF(G455=Statement!$H$2,B455*1000+ROW(),""))</f>
        <v/>
      </c>
    </row>
    <row r="456">
      <c r="A456" s="1" t="n"/>
      <c r="B456" s="18" t="n"/>
      <c r="C456" s="16" t="n"/>
      <c r="D456" s="19" t="n"/>
      <c r="E456" s="17" t="n"/>
      <c r="F456" s="22" t="n"/>
      <c r="G456" s="14">
        <f>IF(C456="","",IFERROR(VALUE(LEFT(C456,FIND(" ",C456&amp;" ")-1)),""))</f>
        <v/>
      </c>
      <c r="H456" s="26">
        <f>IF(C456="","",IF(G456="","Pick a loan",IFERROR(IF(INDEX(Loans!$C$6:$C$305,MATCH(G456,Loans!$B$6:$B$305,0))="","Not a loan",INDEX(Loans!$C$6:$C$305,MATCH(G456,Loans!$B$6:$B$305,0))),"Not a loan")))</f>
        <v/>
      </c>
      <c r="I456" s="10">
        <f>IF(OR(G456="",H456="Not a loan"),"",IF(INDEX(Loans!$D$6:$D$305,MATCH(G456,Loans!$B$6:$B$305,0))="I borrowed","Out","In"))</f>
        <v/>
      </c>
      <c r="J456" s="1">
        <f>IF(NOT(ISNUMBER(B456)),"",YEAR(B456)*100+MONTH(B456))</f>
        <v/>
      </c>
      <c r="K456">
        <f>IF(OR(G456="",NOT(ISNUMBER(B456))),"",IF(G456=Statement!$H$2,B456*1000+ROW(),""))</f>
        <v/>
      </c>
    </row>
    <row r="457">
      <c r="A457" s="1" t="n"/>
      <c r="B457" s="18" t="n"/>
      <c r="C457" s="16" t="n"/>
      <c r="D457" s="19" t="n"/>
      <c r="E457" s="17" t="n"/>
      <c r="F457" s="22" t="n"/>
      <c r="G457" s="14">
        <f>IF(C457="","",IFERROR(VALUE(LEFT(C457,FIND(" ",C457&amp;" ")-1)),""))</f>
        <v/>
      </c>
      <c r="H457" s="26">
        <f>IF(C457="","",IF(G457="","Pick a loan",IFERROR(IF(INDEX(Loans!$C$6:$C$305,MATCH(G457,Loans!$B$6:$B$305,0))="","Not a loan",INDEX(Loans!$C$6:$C$305,MATCH(G457,Loans!$B$6:$B$305,0))),"Not a loan")))</f>
        <v/>
      </c>
      <c r="I457" s="10">
        <f>IF(OR(G457="",H457="Not a loan"),"",IF(INDEX(Loans!$D$6:$D$305,MATCH(G457,Loans!$B$6:$B$305,0))="I borrowed","Out","In"))</f>
        <v/>
      </c>
      <c r="J457" s="1">
        <f>IF(NOT(ISNUMBER(B457)),"",YEAR(B457)*100+MONTH(B457))</f>
        <v/>
      </c>
      <c r="K457">
        <f>IF(OR(G457="",NOT(ISNUMBER(B457))),"",IF(G457=Statement!$H$2,B457*1000+ROW(),""))</f>
        <v/>
      </c>
    </row>
    <row r="458">
      <c r="A458" s="1" t="n"/>
      <c r="B458" s="18" t="n"/>
      <c r="C458" s="16" t="n"/>
      <c r="D458" s="19" t="n"/>
      <c r="E458" s="17" t="n"/>
      <c r="F458" s="22" t="n"/>
      <c r="G458" s="14">
        <f>IF(C458="","",IFERROR(VALUE(LEFT(C458,FIND(" ",C458&amp;" ")-1)),""))</f>
        <v/>
      </c>
      <c r="H458" s="26">
        <f>IF(C458="","",IF(G458="","Pick a loan",IFERROR(IF(INDEX(Loans!$C$6:$C$305,MATCH(G458,Loans!$B$6:$B$305,0))="","Not a loan",INDEX(Loans!$C$6:$C$305,MATCH(G458,Loans!$B$6:$B$305,0))),"Not a loan")))</f>
        <v/>
      </c>
      <c r="I458" s="10">
        <f>IF(OR(G458="",H458="Not a loan"),"",IF(INDEX(Loans!$D$6:$D$305,MATCH(G458,Loans!$B$6:$B$305,0))="I borrowed","Out","In"))</f>
        <v/>
      </c>
      <c r="J458" s="1">
        <f>IF(NOT(ISNUMBER(B458)),"",YEAR(B458)*100+MONTH(B458))</f>
        <v/>
      </c>
      <c r="K458">
        <f>IF(OR(G458="",NOT(ISNUMBER(B458))),"",IF(G458=Statement!$H$2,B458*1000+ROW(),""))</f>
        <v/>
      </c>
    </row>
    <row r="459">
      <c r="A459" s="1" t="n"/>
      <c r="B459" s="18" t="n"/>
      <c r="C459" s="16" t="n"/>
      <c r="D459" s="19" t="n"/>
      <c r="E459" s="17" t="n"/>
      <c r="F459" s="22" t="n"/>
      <c r="G459" s="14">
        <f>IF(C459="","",IFERROR(VALUE(LEFT(C459,FIND(" ",C459&amp;" ")-1)),""))</f>
        <v/>
      </c>
      <c r="H459" s="26">
        <f>IF(C459="","",IF(G459="","Pick a loan",IFERROR(IF(INDEX(Loans!$C$6:$C$305,MATCH(G459,Loans!$B$6:$B$305,0))="","Not a loan",INDEX(Loans!$C$6:$C$305,MATCH(G459,Loans!$B$6:$B$305,0))),"Not a loan")))</f>
        <v/>
      </c>
      <c r="I459" s="10">
        <f>IF(OR(G459="",H459="Not a loan"),"",IF(INDEX(Loans!$D$6:$D$305,MATCH(G459,Loans!$B$6:$B$305,0))="I borrowed","Out","In"))</f>
        <v/>
      </c>
      <c r="J459" s="1">
        <f>IF(NOT(ISNUMBER(B459)),"",YEAR(B459)*100+MONTH(B459))</f>
        <v/>
      </c>
      <c r="K459">
        <f>IF(OR(G459="",NOT(ISNUMBER(B459))),"",IF(G459=Statement!$H$2,B459*1000+ROW(),""))</f>
        <v/>
      </c>
    </row>
    <row r="460">
      <c r="A460" s="1" t="n"/>
      <c r="B460" s="18" t="n"/>
      <c r="C460" s="16" t="n"/>
      <c r="D460" s="19" t="n"/>
      <c r="E460" s="17" t="n"/>
      <c r="F460" s="22" t="n"/>
      <c r="G460" s="14">
        <f>IF(C460="","",IFERROR(VALUE(LEFT(C460,FIND(" ",C460&amp;" ")-1)),""))</f>
        <v/>
      </c>
      <c r="H460" s="26">
        <f>IF(C460="","",IF(G460="","Pick a loan",IFERROR(IF(INDEX(Loans!$C$6:$C$305,MATCH(G460,Loans!$B$6:$B$305,0))="","Not a loan",INDEX(Loans!$C$6:$C$305,MATCH(G460,Loans!$B$6:$B$305,0))),"Not a loan")))</f>
        <v/>
      </c>
      <c r="I460" s="10">
        <f>IF(OR(G460="",H460="Not a loan"),"",IF(INDEX(Loans!$D$6:$D$305,MATCH(G460,Loans!$B$6:$B$305,0))="I borrowed","Out","In"))</f>
        <v/>
      </c>
      <c r="J460" s="1">
        <f>IF(NOT(ISNUMBER(B460)),"",YEAR(B460)*100+MONTH(B460))</f>
        <v/>
      </c>
      <c r="K460">
        <f>IF(OR(G460="",NOT(ISNUMBER(B460))),"",IF(G460=Statement!$H$2,B460*1000+ROW(),""))</f>
        <v/>
      </c>
    </row>
    <row r="461">
      <c r="A461" s="1" t="n"/>
      <c r="B461" s="18" t="n"/>
      <c r="C461" s="16" t="n"/>
      <c r="D461" s="19" t="n"/>
      <c r="E461" s="17" t="n"/>
      <c r="F461" s="22" t="n"/>
      <c r="G461" s="14">
        <f>IF(C461="","",IFERROR(VALUE(LEFT(C461,FIND(" ",C461&amp;" ")-1)),""))</f>
        <v/>
      </c>
      <c r="H461" s="26">
        <f>IF(C461="","",IF(G461="","Pick a loan",IFERROR(IF(INDEX(Loans!$C$6:$C$305,MATCH(G461,Loans!$B$6:$B$305,0))="","Not a loan",INDEX(Loans!$C$6:$C$305,MATCH(G461,Loans!$B$6:$B$305,0))),"Not a loan")))</f>
        <v/>
      </c>
      <c r="I461" s="10">
        <f>IF(OR(G461="",H461="Not a loan"),"",IF(INDEX(Loans!$D$6:$D$305,MATCH(G461,Loans!$B$6:$B$305,0))="I borrowed","Out","In"))</f>
        <v/>
      </c>
      <c r="J461" s="1">
        <f>IF(NOT(ISNUMBER(B461)),"",YEAR(B461)*100+MONTH(B461))</f>
        <v/>
      </c>
      <c r="K461">
        <f>IF(OR(G461="",NOT(ISNUMBER(B461))),"",IF(G461=Statement!$H$2,B461*1000+ROW(),""))</f>
        <v/>
      </c>
    </row>
    <row r="462">
      <c r="A462" s="1" t="n"/>
      <c r="B462" s="18" t="n"/>
      <c r="C462" s="16" t="n"/>
      <c r="D462" s="19" t="n"/>
      <c r="E462" s="17" t="n"/>
      <c r="F462" s="22" t="n"/>
      <c r="G462" s="14">
        <f>IF(C462="","",IFERROR(VALUE(LEFT(C462,FIND(" ",C462&amp;" ")-1)),""))</f>
        <v/>
      </c>
      <c r="H462" s="26">
        <f>IF(C462="","",IF(G462="","Pick a loan",IFERROR(IF(INDEX(Loans!$C$6:$C$305,MATCH(G462,Loans!$B$6:$B$305,0))="","Not a loan",INDEX(Loans!$C$6:$C$305,MATCH(G462,Loans!$B$6:$B$305,0))),"Not a loan")))</f>
        <v/>
      </c>
      <c r="I462" s="10">
        <f>IF(OR(G462="",H462="Not a loan"),"",IF(INDEX(Loans!$D$6:$D$305,MATCH(G462,Loans!$B$6:$B$305,0))="I borrowed","Out","In"))</f>
        <v/>
      </c>
      <c r="J462" s="1">
        <f>IF(NOT(ISNUMBER(B462)),"",YEAR(B462)*100+MONTH(B462))</f>
        <v/>
      </c>
      <c r="K462">
        <f>IF(OR(G462="",NOT(ISNUMBER(B462))),"",IF(G462=Statement!$H$2,B462*1000+ROW(),""))</f>
        <v/>
      </c>
    </row>
    <row r="463">
      <c r="A463" s="1" t="n"/>
      <c r="B463" s="18" t="n"/>
      <c r="C463" s="16" t="n"/>
      <c r="D463" s="19" t="n"/>
      <c r="E463" s="17" t="n"/>
      <c r="F463" s="22" t="n"/>
      <c r="G463" s="14">
        <f>IF(C463="","",IFERROR(VALUE(LEFT(C463,FIND(" ",C463&amp;" ")-1)),""))</f>
        <v/>
      </c>
      <c r="H463" s="26">
        <f>IF(C463="","",IF(G463="","Pick a loan",IFERROR(IF(INDEX(Loans!$C$6:$C$305,MATCH(G463,Loans!$B$6:$B$305,0))="","Not a loan",INDEX(Loans!$C$6:$C$305,MATCH(G463,Loans!$B$6:$B$305,0))),"Not a loan")))</f>
        <v/>
      </c>
      <c r="I463" s="10">
        <f>IF(OR(G463="",H463="Not a loan"),"",IF(INDEX(Loans!$D$6:$D$305,MATCH(G463,Loans!$B$6:$B$305,0))="I borrowed","Out","In"))</f>
        <v/>
      </c>
      <c r="J463" s="1">
        <f>IF(NOT(ISNUMBER(B463)),"",YEAR(B463)*100+MONTH(B463))</f>
        <v/>
      </c>
      <c r="K463">
        <f>IF(OR(G463="",NOT(ISNUMBER(B463))),"",IF(G463=Statement!$H$2,B463*1000+ROW(),""))</f>
        <v/>
      </c>
    </row>
    <row r="464">
      <c r="A464" s="1" t="n"/>
      <c r="B464" s="18" t="n"/>
      <c r="C464" s="16" t="n"/>
      <c r="D464" s="19" t="n"/>
      <c r="E464" s="17" t="n"/>
      <c r="F464" s="22" t="n"/>
      <c r="G464" s="14">
        <f>IF(C464="","",IFERROR(VALUE(LEFT(C464,FIND(" ",C464&amp;" ")-1)),""))</f>
        <v/>
      </c>
      <c r="H464" s="26">
        <f>IF(C464="","",IF(G464="","Pick a loan",IFERROR(IF(INDEX(Loans!$C$6:$C$305,MATCH(G464,Loans!$B$6:$B$305,0))="","Not a loan",INDEX(Loans!$C$6:$C$305,MATCH(G464,Loans!$B$6:$B$305,0))),"Not a loan")))</f>
        <v/>
      </c>
      <c r="I464" s="10">
        <f>IF(OR(G464="",H464="Not a loan"),"",IF(INDEX(Loans!$D$6:$D$305,MATCH(G464,Loans!$B$6:$B$305,0))="I borrowed","Out","In"))</f>
        <v/>
      </c>
      <c r="J464" s="1">
        <f>IF(NOT(ISNUMBER(B464)),"",YEAR(B464)*100+MONTH(B464))</f>
        <v/>
      </c>
      <c r="K464">
        <f>IF(OR(G464="",NOT(ISNUMBER(B464))),"",IF(G464=Statement!$H$2,B464*1000+ROW(),""))</f>
        <v/>
      </c>
    </row>
    <row r="465">
      <c r="A465" s="1" t="n"/>
      <c r="B465" s="18" t="n"/>
      <c r="C465" s="16" t="n"/>
      <c r="D465" s="19" t="n"/>
      <c r="E465" s="17" t="n"/>
      <c r="F465" s="22" t="n"/>
      <c r="G465" s="14">
        <f>IF(C465="","",IFERROR(VALUE(LEFT(C465,FIND(" ",C465&amp;" ")-1)),""))</f>
        <v/>
      </c>
      <c r="H465" s="26">
        <f>IF(C465="","",IF(G465="","Pick a loan",IFERROR(IF(INDEX(Loans!$C$6:$C$305,MATCH(G465,Loans!$B$6:$B$305,0))="","Not a loan",INDEX(Loans!$C$6:$C$305,MATCH(G465,Loans!$B$6:$B$305,0))),"Not a loan")))</f>
        <v/>
      </c>
      <c r="I465" s="10">
        <f>IF(OR(G465="",H465="Not a loan"),"",IF(INDEX(Loans!$D$6:$D$305,MATCH(G465,Loans!$B$6:$B$305,0))="I borrowed","Out","In"))</f>
        <v/>
      </c>
      <c r="J465" s="1">
        <f>IF(NOT(ISNUMBER(B465)),"",YEAR(B465)*100+MONTH(B465))</f>
        <v/>
      </c>
      <c r="K465">
        <f>IF(OR(G465="",NOT(ISNUMBER(B465))),"",IF(G465=Statement!$H$2,B465*1000+ROW(),""))</f>
        <v/>
      </c>
    </row>
    <row r="466">
      <c r="A466" s="1" t="n"/>
      <c r="B466" s="18" t="n"/>
      <c r="C466" s="16" t="n"/>
      <c r="D466" s="19" t="n"/>
      <c r="E466" s="17" t="n"/>
      <c r="F466" s="22" t="n"/>
      <c r="G466" s="14">
        <f>IF(C466="","",IFERROR(VALUE(LEFT(C466,FIND(" ",C466&amp;" ")-1)),""))</f>
        <v/>
      </c>
      <c r="H466" s="26">
        <f>IF(C466="","",IF(G466="","Pick a loan",IFERROR(IF(INDEX(Loans!$C$6:$C$305,MATCH(G466,Loans!$B$6:$B$305,0))="","Not a loan",INDEX(Loans!$C$6:$C$305,MATCH(G466,Loans!$B$6:$B$305,0))),"Not a loan")))</f>
        <v/>
      </c>
      <c r="I466" s="10">
        <f>IF(OR(G466="",H466="Not a loan"),"",IF(INDEX(Loans!$D$6:$D$305,MATCH(G466,Loans!$B$6:$B$305,0))="I borrowed","Out","In"))</f>
        <v/>
      </c>
      <c r="J466" s="1">
        <f>IF(NOT(ISNUMBER(B466)),"",YEAR(B466)*100+MONTH(B466))</f>
        <v/>
      </c>
      <c r="K466">
        <f>IF(OR(G466="",NOT(ISNUMBER(B466))),"",IF(G466=Statement!$H$2,B466*1000+ROW(),""))</f>
        <v/>
      </c>
    </row>
    <row r="467">
      <c r="A467" s="1" t="n"/>
      <c r="B467" s="18" t="n"/>
      <c r="C467" s="16" t="n"/>
      <c r="D467" s="19" t="n"/>
      <c r="E467" s="17" t="n"/>
      <c r="F467" s="22" t="n"/>
      <c r="G467" s="14">
        <f>IF(C467="","",IFERROR(VALUE(LEFT(C467,FIND(" ",C467&amp;" ")-1)),""))</f>
        <v/>
      </c>
      <c r="H467" s="26">
        <f>IF(C467="","",IF(G467="","Pick a loan",IFERROR(IF(INDEX(Loans!$C$6:$C$305,MATCH(G467,Loans!$B$6:$B$305,0))="","Not a loan",INDEX(Loans!$C$6:$C$305,MATCH(G467,Loans!$B$6:$B$305,0))),"Not a loan")))</f>
        <v/>
      </c>
      <c r="I467" s="10">
        <f>IF(OR(G467="",H467="Not a loan"),"",IF(INDEX(Loans!$D$6:$D$305,MATCH(G467,Loans!$B$6:$B$305,0))="I borrowed","Out","In"))</f>
        <v/>
      </c>
      <c r="J467" s="1">
        <f>IF(NOT(ISNUMBER(B467)),"",YEAR(B467)*100+MONTH(B467))</f>
        <v/>
      </c>
      <c r="K467">
        <f>IF(OR(G467="",NOT(ISNUMBER(B467))),"",IF(G467=Statement!$H$2,B467*1000+ROW(),""))</f>
        <v/>
      </c>
    </row>
    <row r="468">
      <c r="A468" s="1" t="n"/>
      <c r="B468" s="18" t="n"/>
      <c r="C468" s="16" t="n"/>
      <c r="D468" s="19" t="n"/>
      <c r="E468" s="17" t="n"/>
      <c r="F468" s="22" t="n"/>
      <c r="G468" s="14">
        <f>IF(C468="","",IFERROR(VALUE(LEFT(C468,FIND(" ",C468&amp;" ")-1)),""))</f>
        <v/>
      </c>
      <c r="H468" s="26">
        <f>IF(C468="","",IF(G468="","Pick a loan",IFERROR(IF(INDEX(Loans!$C$6:$C$305,MATCH(G468,Loans!$B$6:$B$305,0))="","Not a loan",INDEX(Loans!$C$6:$C$305,MATCH(G468,Loans!$B$6:$B$305,0))),"Not a loan")))</f>
        <v/>
      </c>
      <c r="I468" s="10">
        <f>IF(OR(G468="",H468="Not a loan"),"",IF(INDEX(Loans!$D$6:$D$305,MATCH(G468,Loans!$B$6:$B$305,0))="I borrowed","Out","In"))</f>
        <v/>
      </c>
      <c r="J468" s="1">
        <f>IF(NOT(ISNUMBER(B468)),"",YEAR(B468)*100+MONTH(B468))</f>
        <v/>
      </c>
      <c r="K468">
        <f>IF(OR(G468="",NOT(ISNUMBER(B468))),"",IF(G468=Statement!$H$2,B468*1000+ROW(),""))</f>
        <v/>
      </c>
    </row>
    <row r="469">
      <c r="A469" s="1" t="n"/>
      <c r="B469" s="18" t="n"/>
      <c r="C469" s="16" t="n"/>
      <c r="D469" s="19" t="n"/>
      <c r="E469" s="17" t="n"/>
      <c r="F469" s="22" t="n"/>
      <c r="G469" s="14">
        <f>IF(C469="","",IFERROR(VALUE(LEFT(C469,FIND(" ",C469&amp;" ")-1)),""))</f>
        <v/>
      </c>
      <c r="H469" s="26">
        <f>IF(C469="","",IF(G469="","Pick a loan",IFERROR(IF(INDEX(Loans!$C$6:$C$305,MATCH(G469,Loans!$B$6:$B$305,0))="","Not a loan",INDEX(Loans!$C$6:$C$305,MATCH(G469,Loans!$B$6:$B$305,0))),"Not a loan")))</f>
        <v/>
      </c>
      <c r="I469" s="10">
        <f>IF(OR(G469="",H469="Not a loan"),"",IF(INDEX(Loans!$D$6:$D$305,MATCH(G469,Loans!$B$6:$B$305,0))="I borrowed","Out","In"))</f>
        <v/>
      </c>
      <c r="J469" s="1">
        <f>IF(NOT(ISNUMBER(B469)),"",YEAR(B469)*100+MONTH(B469))</f>
        <v/>
      </c>
      <c r="K469">
        <f>IF(OR(G469="",NOT(ISNUMBER(B469))),"",IF(G469=Statement!$H$2,B469*1000+ROW(),""))</f>
        <v/>
      </c>
    </row>
    <row r="470">
      <c r="A470" s="1" t="n"/>
      <c r="B470" s="18" t="n"/>
      <c r="C470" s="16" t="n"/>
      <c r="D470" s="19" t="n"/>
      <c r="E470" s="17" t="n"/>
      <c r="F470" s="22" t="n"/>
      <c r="G470" s="14">
        <f>IF(C470="","",IFERROR(VALUE(LEFT(C470,FIND(" ",C470&amp;" ")-1)),""))</f>
        <v/>
      </c>
      <c r="H470" s="26">
        <f>IF(C470="","",IF(G470="","Pick a loan",IFERROR(IF(INDEX(Loans!$C$6:$C$305,MATCH(G470,Loans!$B$6:$B$305,0))="","Not a loan",INDEX(Loans!$C$6:$C$305,MATCH(G470,Loans!$B$6:$B$305,0))),"Not a loan")))</f>
        <v/>
      </c>
      <c r="I470" s="10">
        <f>IF(OR(G470="",H470="Not a loan"),"",IF(INDEX(Loans!$D$6:$D$305,MATCH(G470,Loans!$B$6:$B$305,0))="I borrowed","Out","In"))</f>
        <v/>
      </c>
      <c r="J470" s="1">
        <f>IF(NOT(ISNUMBER(B470)),"",YEAR(B470)*100+MONTH(B470))</f>
        <v/>
      </c>
      <c r="K470">
        <f>IF(OR(G470="",NOT(ISNUMBER(B470))),"",IF(G470=Statement!$H$2,B470*1000+ROW(),""))</f>
        <v/>
      </c>
    </row>
    <row r="471">
      <c r="A471" s="1" t="n"/>
      <c r="B471" s="18" t="n"/>
      <c r="C471" s="16" t="n"/>
      <c r="D471" s="19" t="n"/>
      <c r="E471" s="17" t="n"/>
      <c r="F471" s="22" t="n"/>
      <c r="G471" s="14">
        <f>IF(C471="","",IFERROR(VALUE(LEFT(C471,FIND(" ",C471&amp;" ")-1)),""))</f>
        <v/>
      </c>
      <c r="H471" s="26">
        <f>IF(C471="","",IF(G471="","Pick a loan",IFERROR(IF(INDEX(Loans!$C$6:$C$305,MATCH(G471,Loans!$B$6:$B$305,0))="","Not a loan",INDEX(Loans!$C$6:$C$305,MATCH(G471,Loans!$B$6:$B$305,0))),"Not a loan")))</f>
        <v/>
      </c>
      <c r="I471" s="10">
        <f>IF(OR(G471="",H471="Not a loan"),"",IF(INDEX(Loans!$D$6:$D$305,MATCH(G471,Loans!$B$6:$B$305,0))="I borrowed","Out","In"))</f>
        <v/>
      </c>
      <c r="J471" s="1">
        <f>IF(NOT(ISNUMBER(B471)),"",YEAR(B471)*100+MONTH(B471))</f>
        <v/>
      </c>
      <c r="K471">
        <f>IF(OR(G471="",NOT(ISNUMBER(B471))),"",IF(G471=Statement!$H$2,B471*1000+ROW(),""))</f>
        <v/>
      </c>
    </row>
    <row r="472">
      <c r="A472" s="1" t="n"/>
      <c r="B472" s="18" t="n"/>
      <c r="C472" s="16" t="n"/>
      <c r="D472" s="19" t="n"/>
      <c r="E472" s="17" t="n"/>
      <c r="F472" s="22" t="n"/>
      <c r="G472" s="14">
        <f>IF(C472="","",IFERROR(VALUE(LEFT(C472,FIND(" ",C472&amp;" ")-1)),""))</f>
        <v/>
      </c>
      <c r="H472" s="26">
        <f>IF(C472="","",IF(G472="","Pick a loan",IFERROR(IF(INDEX(Loans!$C$6:$C$305,MATCH(G472,Loans!$B$6:$B$305,0))="","Not a loan",INDEX(Loans!$C$6:$C$305,MATCH(G472,Loans!$B$6:$B$305,0))),"Not a loan")))</f>
        <v/>
      </c>
      <c r="I472" s="10">
        <f>IF(OR(G472="",H472="Not a loan"),"",IF(INDEX(Loans!$D$6:$D$305,MATCH(G472,Loans!$B$6:$B$305,0))="I borrowed","Out","In"))</f>
        <v/>
      </c>
      <c r="J472" s="1">
        <f>IF(NOT(ISNUMBER(B472)),"",YEAR(B472)*100+MONTH(B472))</f>
        <v/>
      </c>
      <c r="K472">
        <f>IF(OR(G472="",NOT(ISNUMBER(B472))),"",IF(G472=Statement!$H$2,B472*1000+ROW(),""))</f>
        <v/>
      </c>
    </row>
    <row r="473">
      <c r="A473" s="1" t="n"/>
      <c r="B473" s="18" t="n"/>
      <c r="C473" s="16" t="n"/>
      <c r="D473" s="19" t="n"/>
      <c r="E473" s="17" t="n"/>
      <c r="F473" s="22" t="n"/>
      <c r="G473" s="14">
        <f>IF(C473="","",IFERROR(VALUE(LEFT(C473,FIND(" ",C473&amp;" ")-1)),""))</f>
        <v/>
      </c>
      <c r="H473" s="26">
        <f>IF(C473="","",IF(G473="","Pick a loan",IFERROR(IF(INDEX(Loans!$C$6:$C$305,MATCH(G473,Loans!$B$6:$B$305,0))="","Not a loan",INDEX(Loans!$C$6:$C$305,MATCH(G473,Loans!$B$6:$B$305,0))),"Not a loan")))</f>
        <v/>
      </c>
      <c r="I473" s="10">
        <f>IF(OR(G473="",H473="Not a loan"),"",IF(INDEX(Loans!$D$6:$D$305,MATCH(G473,Loans!$B$6:$B$305,0))="I borrowed","Out","In"))</f>
        <v/>
      </c>
      <c r="J473" s="1">
        <f>IF(NOT(ISNUMBER(B473)),"",YEAR(B473)*100+MONTH(B473))</f>
        <v/>
      </c>
      <c r="K473">
        <f>IF(OR(G473="",NOT(ISNUMBER(B473))),"",IF(G473=Statement!$H$2,B473*1000+ROW(),""))</f>
        <v/>
      </c>
    </row>
    <row r="474">
      <c r="A474" s="1" t="n"/>
      <c r="B474" s="18" t="n"/>
      <c r="C474" s="16" t="n"/>
      <c r="D474" s="19" t="n"/>
      <c r="E474" s="17" t="n"/>
      <c r="F474" s="22" t="n"/>
      <c r="G474" s="14">
        <f>IF(C474="","",IFERROR(VALUE(LEFT(C474,FIND(" ",C474&amp;" ")-1)),""))</f>
        <v/>
      </c>
      <c r="H474" s="26">
        <f>IF(C474="","",IF(G474="","Pick a loan",IFERROR(IF(INDEX(Loans!$C$6:$C$305,MATCH(G474,Loans!$B$6:$B$305,0))="","Not a loan",INDEX(Loans!$C$6:$C$305,MATCH(G474,Loans!$B$6:$B$305,0))),"Not a loan")))</f>
        <v/>
      </c>
      <c r="I474" s="10">
        <f>IF(OR(G474="",H474="Not a loan"),"",IF(INDEX(Loans!$D$6:$D$305,MATCH(G474,Loans!$B$6:$B$305,0))="I borrowed","Out","In"))</f>
        <v/>
      </c>
      <c r="J474" s="1">
        <f>IF(NOT(ISNUMBER(B474)),"",YEAR(B474)*100+MONTH(B474))</f>
        <v/>
      </c>
      <c r="K474">
        <f>IF(OR(G474="",NOT(ISNUMBER(B474))),"",IF(G474=Statement!$H$2,B474*1000+ROW(),""))</f>
        <v/>
      </c>
    </row>
    <row r="475">
      <c r="A475" s="1" t="n"/>
      <c r="B475" s="18" t="n"/>
      <c r="C475" s="16" t="n"/>
      <c r="D475" s="19" t="n"/>
      <c r="E475" s="17" t="n"/>
      <c r="F475" s="22" t="n"/>
      <c r="G475" s="14">
        <f>IF(C475="","",IFERROR(VALUE(LEFT(C475,FIND(" ",C475&amp;" ")-1)),""))</f>
        <v/>
      </c>
      <c r="H475" s="26">
        <f>IF(C475="","",IF(G475="","Pick a loan",IFERROR(IF(INDEX(Loans!$C$6:$C$305,MATCH(G475,Loans!$B$6:$B$305,0))="","Not a loan",INDEX(Loans!$C$6:$C$305,MATCH(G475,Loans!$B$6:$B$305,0))),"Not a loan")))</f>
        <v/>
      </c>
      <c r="I475" s="10">
        <f>IF(OR(G475="",H475="Not a loan"),"",IF(INDEX(Loans!$D$6:$D$305,MATCH(G475,Loans!$B$6:$B$305,0))="I borrowed","Out","In"))</f>
        <v/>
      </c>
      <c r="J475" s="1">
        <f>IF(NOT(ISNUMBER(B475)),"",YEAR(B475)*100+MONTH(B475))</f>
        <v/>
      </c>
      <c r="K475">
        <f>IF(OR(G475="",NOT(ISNUMBER(B475))),"",IF(G475=Statement!$H$2,B475*1000+ROW(),""))</f>
        <v/>
      </c>
    </row>
    <row r="476">
      <c r="A476" s="1" t="n"/>
      <c r="B476" s="18" t="n"/>
      <c r="C476" s="16" t="n"/>
      <c r="D476" s="19" t="n"/>
      <c r="E476" s="17" t="n"/>
      <c r="F476" s="22" t="n"/>
      <c r="G476" s="14">
        <f>IF(C476="","",IFERROR(VALUE(LEFT(C476,FIND(" ",C476&amp;" ")-1)),""))</f>
        <v/>
      </c>
      <c r="H476" s="26">
        <f>IF(C476="","",IF(G476="","Pick a loan",IFERROR(IF(INDEX(Loans!$C$6:$C$305,MATCH(G476,Loans!$B$6:$B$305,0))="","Not a loan",INDEX(Loans!$C$6:$C$305,MATCH(G476,Loans!$B$6:$B$305,0))),"Not a loan")))</f>
        <v/>
      </c>
      <c r="I476" s="10">
        <f>IF(OR(G476="",H476="Not a loan"),"",IF(INDEX(Loans!$D$6:$D$305,MATCH(G476,Loans!$B$6:$B$305,0))="I borrowed","Out","In"))</f>
        <v/>
      </c>
      <c r="J476" s="1">
        <f>IF(NOT(ISNUMBER(B476)),"",YEAR(B476)*100+MONTH(B476))</f>
        <v/>
      </c>
      <c r="K476">
        <f>IF(OR(G476="",NOT(ISNUMBER(B476))),"",IF(G476=Statement!$H$2,B476*1000+ROW(),""))</f>
        <v/>
      </c>
    </row>
    <row r="477">
      <c r="A477" s="1" t="n"/>
      <c r="B477" s="18" t="n"/>
      <c r="C477" s="16" t="n"/>
      <c r="D477" s="19" t="n"/>
      <c r="E477" s="17" t="n"/>
      <c r="F477" s="22" t="n"/>
      <c r="G477" s="14">
        <f>IF(C477="","",IFERROR(VALUE(LEFT(C477,FIND(" ",C477&amp;" ")-1)),""))</f>
        <v/>
      </c>
      <c r="H477" s="26">
        <f>IF(C477="","",IF(G477="","Pick a loan",IFERROR(IF(INDEX(Loans!$C$6:$C$305,MATCH(G477,Loans!$B$6:$B$305,0))="","Not a loan",INDEX(Loans!$C$6:$C$305,MATCH(G477,Loans!$B$6:$B$305,0))),"Not a loan")))</f>
        <v/>
      </c>
      <c r="I477" s="10">
        <f>IF(OR(G477="",H477="Not a loan"),"",IF(INDEX(Loans!$D$6:$D$305,MATCH(G477,Loans!$B$6:$B$305,0))="I borrowed","Out","In"))</f>
        <v/>
      </c>
      <c r="J477" s="1">
        <f>IF(NOT(ISNUMBER(B477)),"",YEAR(B477)*100+MONTH(B477))</f>
        <v/>
      </c>
      <c r="K477">
        <f>IF(OR(G477="",NOT(ISNUMBER(B477))),"",IF(G477=Statement!$H$2,B477*1000+ROW(),""))</f>
        <v/>
      </c>
    </row>
    <row r="478">
      <c r="A478" s="1" t="n"/>
      <c r="B478" s="18" t="n"/>
      <c r="C478" s="16" t="n"/>
      <c r="D478" s="19" t="n"/>
      <c r="E478" s="17" t="n"/>
      <c r="F478" s="22" t="n"/>
      <c r="G478" s="14">
        <f>IF(C478="","",IFERROR(VALUE(LEFT(C478,FIND(" ",C478&amp;" ")-1)),""))</f>
        <v/>
      </c>
      <c r="H478" s="26">
        <f>IF(C478="","",IF(G478="","Pick a loan",IFERROR(IF(INDEX(Loans!$C$6:$C$305,MATCH(G478,Loans!$B$6:$B$305,0))="","Not a loan",INDEX(Loans!$C$6:$C$305,MATCH(G478,Loans!$B$6:$B$305,0))),"Not a loan")))</f>
        <v/>
      </c>
      <c r="I478" s="10">
        <f>IF(OR(G478="",H478="Not a loan"),"",IF(INDEX(Loans!$D$6:$D$305,MATCH(G478,Loans!$B$6:$B$305,0))="I borrowed","Out","In"))</f>
        <v/>
      </c>
      <c r="J478" s="1">
        <f>IF(NOT(ISNUMBER(B478)),"",YEAR(B478)*100+MONTH(B478))</f>
        <v/>
      </c>
      <c r="K478">
        <f>IF(OR(G478="",NOT(ISNUMBER(B478))),"",IF(G478=Statement!$H$2,B478*1000+ROW(),""))</f>
        <v/>
      </c>
    </row>
    <row r="479">
      <c r="A479" s="1" t="n"/>
      <c r="B479" s="18" t="n"/>
      <c r="C479" s="16" t="n"/>
      <c r="D479" s="19" t="n"/>
      <c r="E479" s="17" t="n"/>
      <c r="F479" s="22" t="n"/>
      <c r="G479" s="14">
        <f>IF(C479="","",IFERROR(VALUE(LEFT(C479,FIND(" ",C479&amp;" ")-1)),""))</f>
        <v/>
      </c>
      <c r="H479" s="26">
        <f>IF(C479="","",IF(G479="","Pick a loan",IFERROR(IF(INDEX(Loans!$C$6:$C$305,MATCH(G479,Loans!$B$6:$B$305,0))="","Not a loan",INDEX(Loans!$C$6:$C$305,MATCH(G479,Loans!$B$6:$B$305,0))),"Not a loan")))</f>
        <v/>
      </c>
      <c r="I479" s="10">
        <f>IF(OR(G479="",H479="Not a loan"),"",IF(INDEX(Loans!$D$6:$D$305,MATCH(G479,Loans!$B$6:$B$305,0))="I borrowed","Out","In"))</f>
        <v/>
      </c>
      <c r="J479" s="1">
        <f>IF(NOT(ISNUMBER(B479)),"",YEAR(B479)*100+MONTH(B479))</f>
        <v/>
      </c>
      <c r="K479">
        <f>IF(OR(G479="",NOT(ISNUMBER(B479))),"",IF(G479=Statement!$H$2,B479*1000+ROW(),""))</f>
        <v/>
      </c>
    </row>
    <row r="480">
      <c r="A480" s="1" t="n"/>
      <c r="B480" s="18" t="n"/>
      <c r="C480" s="16" t="n"/>
      <c r="D480" s="19" t="n"/>
      <c r="E480" s="17" t="n"/>
      <c r="F480" s="22" t="n"/>
      <c r="G480" s="14">
        <f>IF(C480="","",IFERROR(VALUE(LEFT(C480,FIND(" ",C480&amp;" ")-1)),""))</f>
        <v/>
      </c>
      <c r="H480" s="26">
        <f>IF(C480="","",IF(G480="","Pick a loan",IFERROR(IF(INDEX(Loans!$C$6:$C$305,MATCH(G480,Loans!$B$6:$B$305,0))="","Not a loan",INDEX(Loans!$C$6:$C$305,MATCH(G480,Loans!$B$6:$B$305,0))),"Not a loan")))</f>
        <v/>
      </c>
      <c r="I480" s="10">
        <f>IF(OR(G480="",H480="Not a loan"),"",IF(INDEX(Loans!$D$6:$D$305,MATCH(G480,Loans!$B$6:$B$305,0))="I borrowed","Out","In"))</f>
        <v/>
      </c>
      <c r="J480" s="1">
        <f>IF(NOT(ISNUMBER(B480)),"",YEAR(B480)*100+MONTH(B480))</f>
        <v/>
      </c>
      <c r="K480">
        <f>IF(OR(G480="",NOT(ISNUMBER(B480))),"",IF(G480=Statement!$H$2,B480*1000+ROW(),""))</f>
        <v/>
      </c>
    </row>
    <row r="481">
      <c r="A481" s="1" t="n"/>
      <c r="B481" s="18" t="n"/>
      <c r="C481" s="16" t="n"/>
      <c r="D481" s="19" t="n"/>
      <c r="E481" s="17" t="n"/>
      <c r="F481" s="22" t="n"/>
      <c r="G481" s="14">
        <f>IF(C481="","",IFERROR(VALUE(LEFT(C481,FIND(" ",C481&amp;" ")-1)),""))</f>
        <v/>
      </c>
      <c r="H481" s="26">
        <f>IF(C481="","",IF(G481="","Pick a loan",IFERROR(IF(INDEX(Loans!$C$6:$C$305,MATCH(G481,Loans!$B$6:$B$305,0))="","Not a loan",INDEX(Loans!$C$6:$C$305,MATCH(G481,Loans!$B$6:$B$305,0))),"Not a loan")))</f>
        <v/>
      </c>
      <c r="I481" s="10">
        <f>IF(OR(G481="",H481="Not a loan"),"",IF(INDEX(Loans!$D$6:$D$305,MATCH(G481,Loans!$B$6:$B$305,0))="I borrowed","Out","In"))</f>
        <v/>
      </c>
      <c r="J481" s="1">
        <f>IF(NOT(ISNUMBER(B481)),"",YEAR(B481)*100+MONTH(B481))</f>
        <v/>
      </c>
      <c r="K481">
        <f>IF(OR(G481="",NOT(ISNUMBER(B481))),"",IF(G481=Statement!$H$2,B481*1000+ROW(),""))</f>
        <v/>
      </c>
    </row>
    <row r="482">
      <c r="A482" s="1" t="n"/>
      <c r="B482" s="18" t="n"/>
      <c r="C482" s="16" t="n"/>
      <c r="D482" s="19" t="n"/>
      <c r="E482" s="17" t="n"/>
      <c r="F482" s="22" t="n"/>
      <c r="G482" s="14">
        <f>IF(C482="","",IFERROR(VALUE(LEFT(C482,FIND(" ",C482&amp;" ")-1)),""))</f>
        <v/>
      </c>
      <c r="H482" s="26">
        <f>IF(C482="","",IF(G482="","Pick a loan",IFERROR(IF(INDEX(Loans!$C$6:$C$305,MATCH(G482,Loans!$B$6:$B$305,0))="","Not a loan",INDEX(Loans!$C$6:$C$305,MATCH(G482,Loans!$B$6:$B$305,0))),"Not a loan")))</f>
        <v/>
      </c>
      <c r="I482" s="10">
        <f>IF(OR(G482="",H482="Not a loan"),"",IF(INDEX(Loans!$D$6:$D$305,MATCH(G482,Loans!$B$6:$B$305,0))="I borrowed","Out","In"))</f>
        <v/>
      </c>
      <c r="J482" s="1">
        <f>IF(NOT(ISNUMBER(B482)),"",YEAR(B482)*100+MONTH(B482))</f>
        <v/>
      </c>
      <c r="K482">
        <f>IF(OR(G482="",NOT(ISNUMBER(B482))),"",IF(G482=Statement!$H$2,B482*1000+ROW(),""))</f>
        <v/>
      </c>
    </row>
    <row r="483">
      <c r="A483" s="1" t="n"/>
      <c r="B483" s="18" t="n"/>
      <c r="C483" s="16" t="n"/>
      <c r="D483" s="19" t="n"/>
      <c r="E483" s="17" t="n"/>
      <c r="F483" s="22" t="n"/>
      <c r="G483" s="14">
        <f>IF(C483="","",IFERROR(VALUE(LEFT(C483,FIND(" ",C483&amp;" ")-1)),""))</f>
        <v/>
      </c>
      <c r="H483" s="26">
        <f>IF(C483="","",IF(G483="","Pick a loan",IFERROR(IF(INDEX(Loans!$C$6:$C$305,MATCH(G483,Loans!$B$6:$B$305,0))="","Not a loan",INDEX(Loans!$C$6:$C$305,MATCH(G483,Loans!$B$6:$B$305,0))),"Not a loan")))</f>
        <v/>
      </c>
      <c r="I483" s="10">
        <f>IF(OR(G483="",H483="Not a loan"),"",IF(INDEX(Loans!$D$6:$D$305,MATCH(G483,Loans!$B$6:$B$305,0))="I borrowed","Out","In"))</f>
        <v/>
      </c>
      <c r="J483" s="1">
        <f>IF(NOT(ISNUMBER(B483)),"",YEAR(B483)*100+MONTH(B483))</f>
        <v/>
      </c>
      <c r="K483">
        <f>IF(OR(G483="",NOT(ISNUMBER(B483))),"",IF(G483=Statement!$H$2,B483*1000+ROW(),""))</f>
        <v/>
      </c>
    </row>
    <row r="484">
      <c r="A484" s="1" t="n"/>
      <c r="B484" s="18" t="n"/>
      <c r="C484" s="16" t="n"/>
      <c r="D484" s="19" t="n"/>
      <c r="E484" s="17" t="n"/>
      <c r="F484" s="22" t="n"/>
      <c r="G484" s="14">
        <f>IF(C484="","",IFERROR(VALUE(LEFT(C484,FIND(" ",C484&amp;" ")-1)),""))</f>
        <v/>
      </c>
      <c r="H484" s="26">
        <f>IF(C484="","",IF(G484="","Pick a loan",IFERROR(IF(INDEX(Loans!$C$6:$C$305,MATCH(G484,Loans!$B$6:$B$305,0))="","Not a loan",INDEX(Loans!$C$6:$C$305,MATCH(G484,Loans!$B$6:$B$305,0))),"Not a loan")))</f>
        <v/>
      </c>
      <c r="I484" s="10">
        <f>IF(OR(G484="",H484="Not a loan"),"",IF(INDEX(Loans!$D$6:$D$305,MATCH(G484,Loans!$B$6:$B$305,0))="I borrowed","Out","In"))</f>
        <v/>
      </c>
      <c r="J484" s="1">
        <f>IF(NOT(ISNUMBER(B484)),"",YEAR(B484)*100+MONTH(B484))</f>
        <v/>
      </c>
      <c r="K484">
        <f>IF(OR(G484="",NOT(ISNUMBER(B484))),"",IF(G484=Statement!$H$2,B484*1000+ROW(),""))</f>
        <v/>
      </c>
    </row>
    <row r="485">
      <c r="A485" s="1" t="n"/>
      <c r="B485" s="18" t="n"/>
      <c r="C485" s="16" t="n"/>
      <c r="D485" s="19" t="n"/>
      <c r="E485" s="17" t="n"/>
      <c r="F485" s="22" t="n"/>
      <c r="G485" s="14">
        <f>IF(C485="","",IFERROR(VALUE(LEFT(C485,FIND(" ",C485&amp;" ")-1)),""))</f>
        <v/>
      </c>
      <c r="H485" s="26">
        <f>IF(C485="","",IF(G485="","Pick a loan",IFERROR(IF(INDEX(Loans!$C$6:$C$305,MATCH(G485,Loans!$B$6:$B$305,0))="","Not a loan",INDEX(Loans!$C$6:$C$305,MATCH(G485,Loans!$B$6:$B$305,0))),"Not a loan")))</f>
        <v/>
      </c>
      <c r="I485" s="10">
        <f>IF(OR(G485="",H485="Not a loan"),"",IF(INDEX(Loans!$D$6:$D$305,MATCH(G485,Loans!$B$6:$B$305,0))="I borrowed","Out","In"))</f>
        <v/>
      </c>
      <c r="J485" s="1">
        <f>IF(NOT(ISNUMBER(B485)),"",YEAR(B485)*100+MONTH(B485))</f>
        <v/>
      </c>
      <c r="K485">
        <f>IF(OR(G485="",NOT(ISNUMBER(B485))),"",IF(G485=Statement!$H$2,B485*1000+ROW(),""))</f>
        <v/>
      </c>
    </row>
    <row r="486">
      <c r="A486" s="1" t="n"/>
      <c r="B486" s="18" t="n"/>
      <c r="C486" s="16" t="n"/>
      <c r="D486" s="19" t="n"/>
      <c r="E486" s="17" t="n"/>
      <c r="F486" s="22" t="n"/>
      <c r="G486" s="14">
        <f>IF(C486="","",IFERROR(VALUE(LEFT(C486,FIND(" ",C486&amp;" ")-1)),""))</f>
        <v/>
      </c>
      <c r="H486" s="26">
        <f>IF(C486="","",IF(G486="","Pick a loan",IFERROR(IF(INDEX(Loans!$C$6:$C$305,MATCH(G486,Loans!$B$6:$B$305,0))="","Not a loan",INDEX(Loans!$C$6:$C$305,MATCH(G486,Loans!$B$6:$B$305,0))),"Not a loan")))</f>
        <v/>
      </c>
      <c r="I486" s="10">
        <f>IF(OR(G486="",H486="Not a loan"),"",IF(INDEX(Loans!$D$6:$D$305,MATCH(G486,Loans!$B$6:$B$305,0))="I borrowed","Out","In"))</f>
        <v/>
      </c>
      <c r="J486" s="1">
        <f>IF(NOT(ISNUMBER(B486)),"",YEAR(B486)*100+MONTH(B486))</f>
        <v/>
      </c>
      <c r="K486">
        <f>IF(OR(G486="",NOT(ISNUMBER(B486))),"",IF(G486=Statement!$H$2,B486*1000+ROW(),""))</f>
        <v/>
      </c>
    </row>
    <row r="487">
      <c r="A487" s="1" t="n"/>
      <c r="B487" s="18" t="n"/>
      <c r="C487" s="16" t="n"/>
      <c r="D487" s="19" t="n"/>
      <c r="E487" s="17" t="n"/>
      <c r="F487" s="22" t="n"/>
      <c r="G487" s="14">
        <f>IF(C487="","",IFERROR(VALUE(LEFT(C487,FIND(" ",C487&amp;" ")-1)),""))</f>
        <v/>
      </c>
      <c r="H487" s="26">
        <f>IF(C487="","",IF(G487="","Pick a loan",IFERROR(IF(INDEX(Loans!$C$6:$C$305,MATCH(G487,Loans!$B$6:$B$305,0))="","Not a loan",INDEX(Loans!$C$6:$C$305,MATCH(G487,Loans!$B$6:$B$305,0))),"Not a loan")))</f>
        <v/>
      </c>
      <c r="I487" s="10">
        <f>IF(OR(G487="",H487="Not a loan"),"",IF(INDEX(Loans!$D$6:$D$305,MATCH(G487,Loans!$B$6:$B$305,0))="I borrowed","Out","In"))</f>
        <v/>
      </c>
      <c r="J487" s="1">
        <f>IF(NOT(ISNUMBER(B487)),"",YEAR(B487)*100+MONTH(B487))</f>
        <v/>
      </c>
      <c r="K487">
        <f>IF(OR(G487="",NOT(ISNUMBER(B487))),"",IF(G487=Statement!$H$2,B487*1000+ROW(),""))</f>
        <v/>
      </c>
    </row>
    <row r="488">
      <c r="A488" s="1" t="n"/>
      <c r="B488" s="18" t="n"/>
      <c r="C488" s="16" t="n"/>
      <c r="D488" s="19" t="n"/>
      <c r="E488" s="17" t="n"/>
      <c r="F488" s="22" t="n"/>
      <c r="G488" s="14">
        <f>IF(C488="","",IFERROR(VALUE(LEFT(C488,FIND(" ",C488&amp;" ")-1)),""))</f>
        <v/>
      </c>
      <c r="H488" s="26">
        <f>IF(C488="","",IF(G488="","Pick a loan",IFERROR(IF(INDEX(Loans!$C$6:$C$305,MATCH(G488,Loans!$B$6:$B$305,0))="","Not a loan",INDEX(Loans!$C$6:$C$305,MATCH(G488,Loans!$B$6:$B$305,0))),"Not a loan")))</f>
        <v/>
      </c>
      <c r="I488" s="10">
        <f>IF(OR(G488="",H488="Not a loan"),"",IF(INDEX(Loans!$D$6:$D$305,MATCH(G488,Loans!$B$6:$B$305,0))="I borrowed","Out","In"))</f>
        <v/>
      </c>
      <c r="J488" s="1">
        <f>IF(NOT(ISNUMBER(B488)),"",YEAR(B488)*100+MONTH(B488))</f>
        <v/>
      </c>
      <c r="K488">
        <f>IF(OR(G488="",NOT(ISNUMBER(B488))),"",IF(G488=Statement!$H$2,B488*1000+ROW(),""))</f>
        <v/>
      </c>
    </row>
    <row r="489">
      <c r="A489" s="1" t="n"/>
      <c r="B489" s="18" t="n"/>
      <c r="C489" s="16" t="n"/>
      <c r="D489" s="19" t="n"/>
      <c r="E489" s="17" t="n"/>
      <c r="F489" s="22" t="n"/>
      <c r="G489" s="14">
        <f>IF(C489="","",IFERROR(VALUE(LEFT(C489,FIND(" ",C489&amp;" ")-1)),""))</f>
        <v/>
      </c>
      <c r="H489" s="26">
        <f>IF(C489="","",IF(G489="","Pick a loan",IFERROR(IF(INDEX(Loans!$C$6:$C$305,MATCH(G489,Loans!$B$6:$B$305,0))="","Not a loan",INDEX(Loans!$C$6:$C$305,MATCH(G489,Loans!$B$6:$B$305,0))),"Not a loan")))</f>
        <v/>
      </c>
      <c r="I489" s="10">
        <f>IF(OR(G489="",H489="Not a loan"),"",IF(INDEX(Loans!$D$6:$D$305,MATCH(G489,Loans!$B$6:$B$305,0))="I borrowed","Out","In"))</f>
        <v/>
      </c>
      <c r="J489" s="1">
        <f>IF(NOT(ISNUMBER(B489)),"",YEAR(B489)*100+MONTH(B489))</f>
        <v/>
      </c>
      <c r="K489">
        <f>IF(OR(G489="",NOT(ISNUMBER(B489))),"",IF(G489=Statement!$H$2,B489*1000+ROW(),""))</f>
        <v/>
      </c>
    </row>
    <row r="490">
      <c r="A490" s="1" t="n"/>
      <c r="B490" s="18" t="n"/>
      <c r="C490" s="16" t="n"/>
      <c r="D490" s="19" t="n"/>
      <c r="E490" s="17" t="n"/>
      <c r="F490" s="22" t="n"/>
      <c r="G490" s="14">
        <f>IF(C490="","",IFERROR(VALUE(LEFT(C490,FIND(" ",C490&amp;" ")-1)),""))</f>
        <v/>
      </c>
      <c r="H490" s="26">
        <f>IF(C490="","",IF(G490="","Pick a loan",IFERROR(IF(INDEX(Loans!$C$6:$C$305,MATCH(G490,Loans!$B$6:$B$305,0))="","Not a loan",INDEX(Loans!$C$6:$C$305,MATCH(G490,Loans!$B$6:$B$305,0))),"Not a loan")))</f>
        <v/>
      </c>
      <c r="I490" s="10">
        <f>IF(OR(G490="",H490="Not a loan"),"",IF(INDEX(Loans!$D$6:$D$305,MATCH(G490,Loans!$B$6:$B$305,0))="I borrowed","Out","In"))</f>
        <v/>
      </c>
      <c r="J490" s="1">
        <f>IF(NOT(ISNUMBER(B490)),"",YEAR(B490)*100+MONTH(B490))</f>
        <v/>
      </c>
      <c r="K490">
        <f>IF(OR(G490="",NOT(ISNUMBER(B490))),"",IF(G490=Statement!$H$2,B490*1000+ROW(),""))</f>
        <v/>
      </c>
    </row>
    <row r="491">
      <c r="A491" s="1" t="n"/>
      <c r="B491" s="18" t="n"/>
      <c r="C491" s="16" t="n"/>
      <c r="D491" s="19" t="n"/>
      <c r="E491" s="17" t="n"/>
      <c r="F491" s="22" t="n"/>
      <c r="G491" s="14">
        <f>IF(C491="","",IFERROR(VALUE(LEFT(C491,FIND(" ",C491&amp;" ")-1)),""))</f>
        <v/>
      </c>
      <c r="H491" s="26">
        <f>IF(C491="","",IF(G491="","Pick a loan",IFERROR(IF(INDEX(Loans!$C$6:$C$305,MATCH(G491,Loans!$B$6:$B$305,0))="","Not a loan",INDEX(Loans!$C$6:$C$305,MATCH(G491,Loans!$B$6:$B$305,0))),"Not a loan")))</f>
        <v/>
      </c>
      <c r="I491" s="10">
        <f>IF(OR(G491="",H491="Not a loan"),"",IF(INDEX(Loans!$D$6:$D$305,MATCH(G491,Loans!$B$6:$B$305,0))="I borrowed","Out","In"))</f>
        <v/>
      </c>
      <c r="J491" s="1">
        <f>IF(NOT(ISNUMBER(B491)),"",YEAR(B491)*100+MONTH(B491))</f>
        <v/>
      </c>
      <c r="K491">
        <f>IF(OR(G491="",NOT(ISNUMBER(B491))),"",IF(G491=Statement!$H$2,B491*1000+ROW(),""))</f>
        <v/>
      </c>
    </row>
    <row r="492">
      <c r="A492" s="1" t="n"/>
      <c r="B492" s="18" t="n"/>
      <c r="C492" s="16" t="n"/>
      <c r="D492" s="19" t="n"/>
      <c r="E492" s="17" t="n"/>
      <c r="F492" s="22" t="n"/>
      <c r="G492" s="14">
        <f>IF(C492="","",IFERROR(VALUE(LEFT(C492,FIND(" ",C492&amp;" ")-1)),""))</f>
        <v/>
      </c>
      <c r="H492" s="26">
        <f>IF(C492="","",IF(G492="","Pick a loan",IFERROR(IF(INDEX(Loans!$C$6:$C$305,MATCH(G492,Loans!$B$6:$B$305,0))="","Not a loan",INDEX(Loans!$C$6:$C$305,MATCH(G492,Loans!$B$6:$B$305,0))),"Not a loan")))</f>
        <v/>
      </c>
      <c r="I492" s="10">
        <f>IF(OR(G492="",H492="Not a loan"),"",IF(INDEX(Loans!$D$6:$D$305,MATCH(G492,Loans!$B$6:$B$305,0))="I borrowed","Out","In"))</f>
        <v/>
      </c>
      <c r="J492" s="1">
        <f>IF(NOT(ISNUMBER(B492)),"",YEAR(B492)*100+MONTH(B492))</f>
        <v/>
      </c>
      <c r="K492">
        <f>IF(OR(G492="",NOT(ISNUMBER(B492))),"",IF(G492=Statement!$H$2,B492*1000+ROW(),""))</f>
        <v/>
      </c>
    </row>
    <row r="493">
      <c r="A493" s="1" t="n"/>
      <c r="B493" s="18" t="n"/>
      <c r="C493" s="16" t="n"/>
      <c r="D493" s="19" t="n"/>
      <c r="E493" s="17" t="n"/>
      <c r="F493" s="22" t="n"/>
      <c r="G493" s="14">
        <f>IF(C493="","",IFERROR(VALUE(LEFT(C493,FIND(" ",C493&amp;" ")-1)),""))</f>
        <v/>
      </c>
      <c r="H493" s="26">
        <f>IF(C493="","",IF(G493="","Pick a loan",IFERROR(IF(INDEX(Loans!$C$6:$C$305,MATCH(G493,Loans!$B$6:$B$305,0))="","Not a loan",INDEX(Loans!$C$6:$C$305,MATCH(G493,Loans!$B$6:$B$305,0))),"Not a loan")))</f>
        <v/>
      </c>
      <c r="I493" s="10">
        <f>IF(OR(G493="",H493="Not a loan"),"",IF(INDEX(Loans!$D$6:$D$305,MATCH(G493,Loans!$B$6:$B$305,0))="I borrowed","Out","In"))</f>
        <v/>
      </c>
      <c r="J493" s="1">
        <f>IF(NOT(ISNUMBER(B493)),"",YEAR(B493)*100+MONTH(B493))</f>
        <v/>
      </c>
      <c r="K493">
        <f>IF(OR(G493="",NOT(ISNUMBER(B493))),"",IF(G493=Statement!$H$2,B493*1000+ROW(),""))</f>
        <v/>
      </c>
    </row>
    <row r="494">
      <c r="A494" s="1" t="n"/>
      <c r="B494" s="18" t="n"/>
      <c r="C494" s="16" t="n"/>
      <c r="D494" s="19" t="n"/>
      <c r="E494" s="17" t="n"/>
      <c r="F494" s="22" t="n"/>
      <c r="G494" s="14">
        <f>IF(C494="","",IFERROR(VALUE(LEFT(C494,FIND(" ",C494&amp;" ")-1)),""))</f>
        <v/>
      </c>
      <c r="H494" s="26">
        <f>IF(C494="","",IF(G494="","Pick a loan",IFERROR(IF(INDEX(Loans!$C$6:$C$305,MATCH(G494,Loans!$B$6:$B$305,0))="","Not a loan",INDEX(Loans!$C$6:$C$305,MATCH(G494,Loans!$B$6:$B$305,0))),"Not a loan")))</f>
        <v/>
      </c>
      <c r="I494" s="10">
        <f>IF(OR(G494="",H494="Not a loan"),"",IF(INDEX(Loans!$D$6:$D$305,MATCH(G494,Loans!$B$6:$B$305,0))="I borrowed","Out","In"))</f>
        <v/>
      </c>
      <c r="J494" s="1">
        <f>IF(NOT(ISNUMBER(B494)),"",YEAR(B494)*100+MONTH(B494))</f>
        <v/>
      </c>
      <c r="K494">
        <f>IF(OR(G494="",NOT(ISNUMBER(B494))),"",IF(G494=Statement!$H$2,B494*1000+ROW(),""))</f>
        <v/>
      </c>
    </row>
    <row r="495">
      <c r="A495" s="1" t="n"/>
      <c r="B495" s="18" t="n"/>
      <c r="C495" s="16" t="n"/>
      <c r="D495" s="19" t="n"/>
      <c r="E495" s="17" t="n"/>
      <c r="F495" s="22" t="n"/>
      <c r="G495" s="14">
        <f>IF(C495="","",IFERROR(VALUE(LEFT(C495,FIND(" ",C495&amp;" ")-1)),""))</f>
        <v/>
      </c>
      <c r="H495" s="26">
        <f>IF(C495="","",IF(G495="","Pick a loan",IFERROR(IF(INDEX(Loans!$C$6:$C$305,MATCH(G495,Loans!$B$6:$B$305,0))="","Not a loan",INDEX(Loans!$C$6:$C$305,MATCH(G495,Loans!$B$6:$B$305,0))),"Not a loan")))</f>
        <v/>
      </c>
      <c r="I495" s="10">
        <f>IF(OR(G495="",H495="Not a loan"),"",IF(INDEX(Loans!$D$6:$D$305,MATCH(G495,Loans!$B$6:$B$305,0))="I borrowed","Out","In"))</f>
        <v/>
      </c>
      <c r="J495" s="1">
        <f>IF(NOT(ISNUMBER(B495)),"",YEAR(B495)*100+MONTH(B495))</f>
        <v/>
      </c>
      <c r="K495">
        <f>IF(OR(G495="",NOT(ISNUMBER(B495))),"",IF(G495=Statement!$H$2,B495*1000+ROW(),""))</f>
        <v/>
      </c>
    </row>
    <row r="496">
      <c r="A496" s="1" t="n"/>
      <c r="B496" s="18" t="n"/>
      <c r="C496" s="16" t="n"/>
      <c r="D496" s="19" t="n"/>
      <c r="E496" s="17" t="n"/>
      <c r="F496" s="22" t="n"/>
      <c r="G496" s="14">
        <f>IF(C496="","",IFERROR(VALUE(LEFT(C496,FIND(" ",C496&amp;" ")-1)),""))</f>
        <v/>
      </c>
      <c r="H496" s="26">
        <f>IF(C496="","",IF(G496="","Pick a loan",IFERROR(IF(INDEX(Loans!$C$6:$C$305,MATCH(G496,Loans!$B$6:$B$305,0))="","Not a loan",INDEX(Loans!$C$6:$C$305,MATCH(G496,Loans!$B$6:$B$305,0))),"Not a loan")))</f>
        <v/>
      </c>
      <c r="I496" s="10">
        <f>IF(OR(G496="",H496="Not a loan"),"",IF(INDEX(Loans!$D$6:$D$305,MATCH(G496,Loans!$B$6:$B$305,0))="I borrowed","Out","In"))</f>
        <v/>
      </c>
      <c r="J496" s="1">
        <f>IF(NOT(ISNUMBER(B496)),"",YEAR(B496)*100+MONTH(B496))</f>
        <v/>
      </c>
      <c r="K496">
        <f>IF(OR(G496="",NOT(ISNUMBER(B496))),"",IF(G496=Statement!$H$2,B496*1000+ROW(),""))</f>
        <v/>
      </c>
    </row>
    <row r="497">
      <c r="A497" s="1" t="n"/>
      <c r="B497" s="18" t="n"/>
      <c r="C497" s="16" t="n"/>
      <c r="D497" s="19" t="n"/>
      <c r="E497" s="17" t="n"/>
      <c r="F497" s="22" t="n"/>
      <c r="G497" s="14">
        <f>IF(C497="","",IFERROR(VALUE(LEFT(C497,FIND(" ",C497&amp;" ")-1)),""))</f>
        <v/>
      </c>
      <c r="H497" s="26">
        <f>IF(C497="","",IF(G497="","Pick a loan",IFERROR(IF(INDEX(Loans!$C$6:$C$305,MATCH(G497,Loans!$B$6:$B$305,0))="","Not a loan",INDEX(Loans!$C$6:$C$305,MATCH(G497,Loans!$B$6:$B$305,0))),"Not a loan")))</f>
        <v/>
      </c>
      <c r="I497" s="10">
        <f>IF(OR(G497="",H497="Not a loan"),"",IF(INDEX(Loans!$D$6:$D$305,MATCH(G497,Loans!$B$6:$B$305,0))="I borrowed","Out","In"))</f>
        <v/>
      </c>
      <c r="J497" s="1">
        <f>IF(NOT(ISNUMBER(B497)),"",YEAR(B497)*100+MONTH(B497))</f>
        <v/>
      </c>
      <c r="K497">
        <f>IF(OR(G497="",NOT(ISNUMBER(B497))),"",IF(G497=Statement!$H$2,B497*1000+ROW(),""))</f>
        <v/>
      </c>
    </row>
    <row r="498">
      <c r="A498" s="1" t="n"/>
      <c r="B498" s="18" t="n"/>
      <c r="C498" s="16" t="n"/>
      <c r="D498" s="19" t="n"/>
      <c r="E498" s="17" t="n"/>
      <c r="F498" s="22" t="n"/>
      <c r="G498" s="14">
        <f>IF(C498="","",IFERROR(VALUE(LEFT(C498,FIND(" ",C498&amp;" ")-1)),""))</f>
        <v/>
      </c>
      <c r="H498" s="26">
        <f>IF(C498="","",IF(G498="","Pick a loan",IFERROR(IF(INDEX(Loans!$C$6:$C$305,MATCH(G498,Loans!$B$6:$B$305,0))="","Not a loan",INDEX(Loans!$C$6:$C$305,MATCH(G498,Loans!$B$6:$B$305,0))),"Not a loan")))</f>
        <v/>
      </c>
      <c r="I498" s="10">
        <f>IF(OR(G498="",H498="Not a loan"),"",IF(INDEX(Loans!$D$6:$D$305,MATCH(G498,Loans!$B$6:$B$305,0))="I borrowed","Out","In"))</f>
        <v/>
      </c>
      <c r="J498" s="1">
        <f>IF(NOT(ISNUMBER(B498)),"",YEAR(B498)*100+MONTH(B498))</f>
        <v/>
      </c>
      <c r="K498">
        <f>IF(OR(G498="",NOT(ISNUMBER(B498))),"",IF(G498=Statement!$H$2,B498*1000+ROW(),""))</f>
        <v/>
      </c>
    </row>
    <row r="499">
      <c r="A499" s="1" t="n"/>
      <c r="B499" s="18" t="n"/>
      <c r="C499" s="16" t="n"/>
      <c r="D499" s="19" t="n"/>
      <c r="E499" s="17" t="n"/>
      <c r="F499" s="22" t="n"/>
      <c r="G499" s="14">
        <f>IF(C499="","",IFERROR(VALUE(LEFT(C499,FIND(" ",C499&amp;" ")-1)),""))</f>
        <v/>
      </c>
      <c r="H499" s="26">
        <f>IF(C499="","",IF(G499="","Pick a loan",IFERROR(IF(INDEX(Loans!$C$6:$C$305,MATCH(G499,Loans!$B$6:$B$305,0))="","Not a loan",INDEX(Loans!$C$6:$C$305,MATCH(G499,Loans!$B$6:$B$305,0))),"Not a loan")))</f>
        <v/>
      </c>
      <c r="I499" s="10">
        <f>IF(OR(G499="",H499="Not a loan"),"",IF(INDEX(Loans!$D$6:$D$305,MATCH(G499,Loans!$B$6:$B$305,0))="I borrowed","Out","In"))</f>
        <v/>
      </c>
      <c r="J499" s="1">
        <f>IF(NOT(ISNUMBER(B499)),"",YEAR(B499)*100+MONTH(B499))</f>
        <v/>
      </c>
      <c r="K499">
        <f>IF(OR(G499="",NOT(ISNUMBER(B499))),"",IF(G499=Statement!$H$2,B499*1000+ROW(),""))</f>
        <v/>
      </c>
    </row>
    <row r="500">
      <c r="A500" s="1" t="n"/>
      <c r="B500" s="18" t="n"/>
      <c r="C500" s="16" t="n"/>
      <c r="D500" s="19" t="n"/>
      <c r="E500" s="17" t="n"/>
      <c r="F500" s="22" t="n"/>
      <c r="G500" s="14">
        <f>IF(C500="","",IFERROR(VALUE(LEFT(C500,FIND(" ",C500&amp;" ")-1)),""))</f>
        <v/>
      </c>
      <c r="H500" s="26">
        <f>IF(C500="","",IF(G500="","Pick a loan",IFERROR(IF(INDEX(Loans!$C$6:$C$305,MATCH(G500,Loans!$B$6:$B$305,0))="","Not a loan",INDEX(Loans!$C$6:$C$305,MATCH(G500,Loans!$B$6:$B$305,0))),"Not a loan")))</f>
        <v/>
      </c>
      <c r="I500" s="10">
        <f>IF(OR(G500="",H500="Not a loan"),"",IF(INDEX(Loans!$D$6:$D$305,MATCH(G500,Loans!$B$6:$B$305,0))="I borrowed","Out","In"))</f>
        <v/>
      </c>
      <c r="J500" s="1">
        <f>IF(NOT(ISNUMBER(B500)),"",YEAR(B500)*100+MONTH(B500))</f>
        <v/>
      </c>
      <c r="K500">
        <f>IF(OR(G500="",NOT(ISNUMBER(B500))),"",IF(G500=Statement!$H$2,B500*1000+ROW(),""))</f>
        <v/>
      </c>
    </row>
    <row r="501">
      <c r="A501" s="1" t="n"/>
      <c r="B501" s="18" t="n"/>
      <c r="C501" s="16" t="n"/>
      <c r="D501" s="19" t="n"/>
      <c r="E501" s="17" t="n"/>
      <c r="F501" s="22" t="n"/>
      <c r="G501" s="14">
        <f>IF(C501="","",IFERROR(VALUE(LEFT(C501,FIND(" ",C501&amp;" ")-1)),""))</f>
        <v/>
      </c>
      <c r="H501" s="26">
        <f>IF(C501="","",IF(G501="","Pick a loan",IFERROR(IF(INDEX(Loans!$C$6:$C$305,MATCH(G501,Loans!$B$6:$B$305,0))="","Not a loan",INDEX(Loans!$C$6:$C$305,MATCH(G501,Loans!$B$6:$B$305,0))),"Not a loan")))</f>
        <v/>
      </c>
      <c r="I501" s="10">
        <f>IF(OR(G501="",H501="Not a loan"),"",IF(INDEX(Loans!$D$6:$D$305,MATCH(G501,Loans!$B$6:$B$305,0))="I borrowed","Out","In"))</f>
        <v/>
      </c>
      <c r="J501" s="1">
        <f>IF(NOT(ISNUMBER(B501)),"",YEAR(B501)*100+MONTH(B501))</f>
        <v/>
      </c>
      <c r="K501">
        <f>IF(OR(G501="",NOT(ISNUMBER(B501))),"",IF(G501=Statement!$H$2,B501*1000+ROW(),""))</f>
        <v/>
      </c>
    </row>
    <row r="502">
      <c r="A502" s="1" t="n"/>
      <c r="B502" s="18" t="n"/>
      <c r="C502" s="16" t="n"/>
      <c r="D502" s="19" t="n"/>
      <c r="E502" s="17" t="n"/>
      <c r="F502" s="22" t="n"/>
      <c r="G502" s="14">
        <f>IF(C502="","",IFERROR(VALUE(LEFT(C502,FIND(" ",C502&amp;" ")-1)),""))</f>
        <v/>
      </c>
      <c r="H502" s="26">
        <f>IF(C502="","",IF(G502="","Pick a loan",IFERROR(IF(INDEX(Loans!$C$6:$C$305,MATCH(G502,Loans!$B$6:$B$305,0))="","Not a loan",INDEX(Loans!$C$6:$C$305,MATCH(G502,Loans!$B$6:$B$305,0))),"Not a loan")))</f>
        <v/>
      </c>
      <c r="I502" s="10">
        <f>IF(OR(G502="",H502="Not a loan"),"",IF(INDEX(Loans!$D$6:$D$305,MATCH(G502,Loans!$B$6:$B$305,0))="I borrowed","Out","In"))</f>
        <v/>
      </c>
      <c r="J502" s="1">
        <f>IF(NOT(ISNUMBER(B502)),"",YEAR(B502)*100+MONTH(B502))</f>
        <v/>
      </c>
      <c r="K502">
        <f>IF(OR(G502="",NOT(ISNUMBER(B502))),"",IF(G502=Statement!$H$2,B502*1000+ROW(),""))</f>
        <v/>
      </c>
    </row>
    <row r="503">
      <c r="A503" s="1" t="n"/>
      <c r="B503" s="18" t="n"/>
      <c r="C503" s="16" t="n"/>
      <c r="D503" s="19" t="n"/>
      <c r="E503" s="17" t="n"/>
      <c r="F503" s="22" t="n"/>
      <c r="G503" s="14">
        <f>IF(C503="","",IFERROR(VALUE(LEFT(C503,FIND(" ",C503&amp;" ")-1)),""))</f>
        <v/>
      </c>
      <c r="H503" s="26">
        <f>IF(C503="","",IF(G503="","Pick a loan",IFERROR(IF(INDEX(Loans!$C$6:$C$305,MATCH(G503,Loans!$B$6:$B$305,0))="","Not a loan",INDEX(Loans!$C$6:$C$305,MATCH(G503,Loans!$B$6:$B$305,0))),"Not a loan")))</f>
        <v/>
      </c>
      <c r="I503" s="10">
        <f>IF(OR(G503="",H503="Not a loan"),"",IF(INDEX(Loans!$D$6:$D$305,MATCH(G503,Loans!$B$6:$B$305,0))="I borrowed","Out","In"))</f>
        <v/>
      </c>
      <c r="J503" s="1">
        <f>IF(NOT(ISNUMBER(B503)),"",YEAR(B503)*100+MONTH(B503))</f>
        <v/>
      </c>
      <c r="K503">
        <f>IF(OR(G503="",NOT(ISNUMBER(B503))),"",IF(G503=Statement!$H$2,B503*1000+ROW(),""))</f>
        <v/>
      </c>
    </row>
    <row r="504">
      <c r="A504" s="1" t="n"/>
      <c r="B504" s="18" t="n"/>
      <c r="C504" s="16" t="n"/>
      <c r="D504" s="19" t="n"/>
      <c r="E504" s="17" t="n"/>
      <c r="F504" s="22" t="n"/>
      <c r="G504" s="14">
        <f>IF(C504="","",IFERROR(VALUE(LEFT(C504,FIND(" ",C504&amp;" ")-1)),""))</f>
        <v/>
      </c>
      <c r="H504" s="26">
        <f>IF(C504="","",IF(G504="","Pick a loan",IFERROR(IF(INDEX(Loans!$C$6:$C$305,MATCH(G504,Loans!$B$6:$B$305,0))="","Not a loan",INDEX(Loans!$C$6:$C$305,MATCH(G504,Loans!$B$6:$B$305,0))),"Not a loan")))</f>
        <v/>
      </c>
      <c r="I504" s="10">
        <f>IF(OR(G504="",H504="Not a loan"),"",IF(INDEX(Loans!$D$6:$D$305,MATCH(G504,Loans!$B$6:$B$305,0))="I borrowed","Out","In"))</f>
        <v/>
      </c>
      <c r="J504" s="1">
        <f>IF(NOT(ISNUMBER(B504)),"",YEAR(B504)*100+MONTH(B504))</f>
        <v/>
      </c>
      <c r="K504">
        <f>IF(OR(G504="",NOT(ISNUMBER(B504))),"",IF(G504=Statement!$H$2,B504*1000+ROW(),""))</f>
        <v/>
      </c>
    </row>
    <row r="505">
      <c r="A505" s="1" t="n"/>
      <c r="B505" s="18" t="n"/>
      <c r="C505" s="16" t="n"/>
      <c r="D505" s="19" t="n"/>
      <c r="E505" s="17" t="n"/>
      <c r="F505" s="22" t="n"/>
      <c r="G505" s="14">
        <f>IF(C505="","",IFERROR(VALUE(LEFT(C505,FIND(" ",C505&amp;" ")-1)),""))</f>
        <v/>
      </c>
      <c r="H505" s="26">
        <f>IF(C505="","",IF(G505="","Pick a loan",IFERROR(IF(INDEX(Loans!$C$6:$C$305,MATCH(G505,Loans!$B$6:$B$305,0))="","Not a loan",INDEX(Loans!$C$6:$C$305,MATCH(G505,Loans!$B$6:$B$305,0))),"Not a loan")))</f>
        <v/>
      </c>
      <c r="I505" s="10">
        <f>IF(OR(G505="",H505="Not a loan"),"",IF(INDEX(Loans!$D$6:$D$305,MATCH(G505,Loans!$B$6:$B$305,0))="I borrowed","Out","In"))</f>
        <v/>
      </c>
      <c r="J505" s="1">
        <f>IF(NOT(ISNUMBER(B505)),"",YEAR(B505)*100+MONTH(B505))</f>
        <v/>
      </c>
      <c r="K505">
        <f>IF(OR(G505="",NOT(ISNUMBER(B505))),"",IF(G505=Statement!$H$2,B505*1000+ROW(),""))</f>
        <v/>
      </c>
    </row>
    <row r="506">
      <c r="A506" s="1" t="n"/>
      <c r="B506" s="18" t="n"/>
      <c r="C506" s="16" t="n"/>
      <c r="D506" s="19" t="n"/>
      <c r="E506" s="17" t="n"/>
      <c r="F506" s="22" t="n"/>
      <c r="G506" s="14">
        <f>IF(C506="","",IFERROR(VALUE(LEFT(C506,FIND(" ",C506&amp;" ")-1)),""))</f>
        <v/>
      </c>
      <c r="H506" s="26">
        <f>IF(C506="","",IF(G506="","Pick a loan",IFERROR(IF(INDEX(Loans!$C$6:$C$305,MATCH(G506,Loans!$B$6:$B$305,0))="","Not a loan",INDEX(Loans!$C$6:$C$305,MATCH(G506,Loans!$B$6:$B$305,0))),"Not a loan")))</f>
        <v/>
      </c>
      <c r="I506" s="10">
        <f>IF(OR(G506="",H506="Not a loan"),"",IF(INDEX(Loans!$D$6:$D$305,MATCH(G506,Loans!$B$6:$B$305,0))="I borrowed","Out","In"))</f>
        <v/>
      </c>
      <c r="J506" s="1">
        <f>IF(NOT(ISNUMBER(B506)),"",YEAR(B506)*100+MONTH(B506))</f>
        <v/>
      </c>
      <c r="K506">
        <f>IF(OR(G506="",NOT(ISNUMBER(B506))),"",IF(G506=Statement!$H$2,B506*1000+ROW(),""))</f>
        <v/>
      </c>
    </row>
    <row r="507">
      <c r="A507" s="1" t="n"/>
      <c r="B507" s="18" t="n"/>
      <c r="C507" s="16" t="n"/>
      <c r="D507" s="19" t="n"/>
      <c r="E507" s="17" t="n"/>
      <c r="F507" s="22" t="n"/>
      <c r="G507" s="14">
        <f>IF(C507="","",IFERROR(VALUE(LEFT(C507,FIND(" ",C507&amp;" ")-1)),""))</f>
        <v/>
      </c>
      <c r="H507" s="26">
        <f>IF(C507="","",IF(G507="","Pick a loan",IFERROR(IF(INDEX(Loans!$C$6:$C$305,MATCH(G507,Loans!$B$6:$B$305,0))="","Not a loan",INDEX(Loans!$C$6:$C$305,MATCH(G507,Loans!$B$6:$B$305,0))),"Not a loan")))</f>
        <v/>
      </c>
      <c r="I507" s="10">
        <f>IF(OR(G507="",H507="Not a loan"),"",IF(INDEX(Loans!$D$6:$D$305,MATCH(G507,Loans!$B$6:$B$305,0))="I borrowed","Out","In"))</f>
        <v/>
      </c>
      <c r="J507" s="1">
        <f>IF(NOT(ISNUMBER(B507)),"",YEAR(B507)*100+MONTH(B507))</f>
        <v/>
      </c>
      <c r="K507">
        <f>IF(OR(G507="",NOT(ISNUMBER(B507))),"",IF(G507=Statement!$H$2,B507*1000+ROW(),""))</f>
        <v/>
      </c>
    </row>
    <row r="508">
      <c r="A508" s="1" t="n"/>
      <c r="B508" s="18" t="n"/>
      <c r="C508" s="16" t="n"/>
      <c r="D508" s="19" t="n"/>
      <c r="E508" s="17" t="n"/>
      <c r="F508" s="22" t="n"/>
      <c r="G508" s="14">
        <f>IF(C508="","",IFERROR(VALUE(LEFT(C508,FIND(" ",C508&amp;" ")-1)),""))</f>
        <v/>
      </c>
      <c r="H508" s="26">
        <f>IF(C508="","",IF(G508="","Pick a loan",IFERROR(IF(INDEX(Loans!$C$6:$C$305,MATCH(G508,Loans!$B$6:$B$305,0))="","Not a loan",INDEX(Loans!$C$6:$C$305,MATCH(G508,Loans!$B$6:$B$305,0))),"Not a loan")))</f>
        <v/>
      </c>
      <c r="I508" s="10">
        <f>IF(OR(G508="",H508="Not a loan"),"",IF(INDEX(Loans!$D$6:$D$305,MATCH(G508,Loans!$B$6:$B$305,0))="I borrowed","Out","In"))</f>
        <v/>
      </c>
      <c r="J508" s="1">
        <f>IF(NOT(ISNUMBER(B508)),"",YEAR(B508)*100+MONTH(B508))</f>
        <v/>
      </c>
      <c r="K508">
        <f>IF(OR(G508="",NOT(ISNUMBER(B508))),"",IF(G508=Statement!$H$2,B508*1000+ROW(),""))</f>
        <v/>
      </c>
    </row>
    <row r="509">
      <c r="A509" s="1" t="n"/>
      <c r="B509" s="18" t="n"/>
      <c r="C509" s="16" t="n"/>
      <c r="D509" s="19" t="n"/>
      <c r="E509" s="17" t="n"/>
      <c r="F509" s="22" t="n"/>
      <c r="G509" s="14">
        <f>IF(C509="","",IFERROR(VALUE(LEFT(C509,FIND(" ",C509&amp;" ")-1)),""))</f>
        <v/>
      </c>
      <c r="H509" s="26">
        <f>IF(C509="","",IF(G509="","Pick a loan",IFERROR(IF(INDEX(Loans!$C$6:$C$305,MATCH(G509,Loans!$B$6:$B$305,0))="","Not a loan",INDEX(Loans!$C$6:$C$305,MATCH(G509,Loans!$B$6:$B$305,0))),"Not a loan")))</f>
        <v/>
      </c>
      <c r="I509" s="10">
        <f>IF(OR(G509="",H509="Not a loan"),"",IF(INDEX(Loans!$D$6:$D$305,MATCH(G509,Loans!$B$6:$B$305,0))="I borrowed","Out","In"))</f>
        <v/>
      </c>
      <c r="J509" s="1">
        <f>IF(NOT(ISNUMBER(B509)),"",YEAR(B509)*100+MONTH(B509))</f>
        <v/>
      </c>
      <c r="K509">
        <f>IF(OR(G509="",NOT(ISNUMBER(B509))),"",IF(G509=Statement!$H$2,B509*1000+ROW(),""))</f>
        <v/>
      </c>
    </row>
    <row r="510">
      <c r="A510" s="1" t="n"/>
      <c r="B510" s="18" t="n"/>
      <c r="C510" s="16" t="n"/>
      <c r="D510" s="19" t="n"/>
      <c r="E510" s="17" t="n"/>
      <c r="F510" s="22" t="n"/>
      <c r="G510" s="14">
        <f>IF(C510="","",IFERROR(VALUE(LEFT(C510,FIND(" ",C510&amp;" ")-1)),""))</f>
        <v/>
      </c>
      <c r="H510" s="26">
        <f>IF(C510="","",IF(G510="","Pick a loan",IFERROR(IF(INDEX(Loans!$C$6:$C$305,MATCH(G510,Loans!$B$6:$B$305,0))="","Not a loan",INDEX(Loans!$C$6:$C$305,MATCH(G510,Loans!$B$6:$B$305,0))),"Not a loan")))</f>
        <v/>
      </c>
      <c r="I510" s="10">
        <f>IF(OR(G510="",H510="Not a loan"),"",IF(INDEX(Loans!$D$6:$D$305,MATCH(G510,Loans!$B$6:$B$305,0))="I borrowed","Out","In"))</f>
        <v/>
      </c>
      <c r="J510" s="1">
        <f>IF(NOT(ISNUMBER(B510)),"",YEAR(B510)*100+MONTH(B510))</f>
        <v/>
      </c>
      <c r="K510">
        <f>IF(OR(G510="",NOT(ISNUMBER(B510))),"",IF(G510=Statement!$H$2,B510*1000+ROW(),""))</f>
        <v/>
      </c>
    </row>
    <row r="511">
      <c r="A511" s="1" t="n"/>
      <c r="B511" s="18" t="n"/>
      <c r="C511" s="16" t="n"/>
      <c r="D511" s="19" t="n"/>
      <c r="E511" s="17" t="n"/>
      <c r="F511" s="22" t="n"/>
      <c r="G511" s="14">
        <f>IF(C511="","",IFERROR(VALUE(LEFT(C511,FIND(" ",C511&amp;" ")-1)),""))</f>
        <v/>
      </c>
      <c r="H511" s="26">
        <f>IF(C511="","",IF(G511="","Pick a loan",IFERROR(IF(INDEX(Loans!$C$6:$C$305,MATCH(G511,Loans!$B$6:$B$305,0))="","Not a loan",INDEX(Loans!$C$6:$C$305,MATCH(G511,Loans!$B$6:$B$305,0))),"Not a loan")))</f>
        <v/>
      </c>
      <c r="I511" s="10">
        <f>IF(OR(G511="",H511="Not a loan"),"",IF(INDEX(Loans!$D$6:$D$305,MATCH(G511,Loans!$B$6:$B$305,0))="I borrowed","Out","In"))</f>
        <v/>
      </c>
      <c r="J511" s="1">
        <f>IF(NOT(ISNUMBER(B511)),"",YEAR(B511)*100+MONTH(B511))</f>
        <v/>
      </c>
      <c r="K511">
        <f>IF(OR(G511="",NOT(ISNUMBER(B511))),"",IF(G511=Statement!$H$2,B511*1000+ROW(),""))</f>
        <v/>
      </c>
    </row>
    <row r="512">
      <c r="A512" s="1" t="n"/>
      <c r="B512" s="18" t="n"/>
      <c r="C512" s="16" t="n"/>
      <c r="D512" s="19" t="n"/>
      <c r="E512" s="17" t="n"/>
      <c r="F512" s="22" t="n"/>
      <c r="G512" s="14">
        <f>IF(C512="","",IFERROR(VALUE(LEFT(C512,FIND(" ",C512&amp;" ")-1)),""))</f>
        <v/>
      </c>
      <c r="H512" s="26">
        <f>IF(C512="","",IF(G512="","Pick a loan",IFERROR(IF(INDEX(Loans!$C$6:$C$305,MATCH(G512,Loans!$B$6:$B$305,0))="","Not a loan",INDEX(Loans!$C$6:$C$305,MATCH(G512,Loans!$B$6:$B$305,0))),"Not a loan")))</f>
        <v/>
      </c>
      <c r="I512" s="10">
        <f>IF(OR(G512="",H512="Not a loan"),"",IF(INDEX(Loans!$D$6:$D$305,MATCH(G512,Loans!$B$6:$B$305,0))="I borrowed","Out","In"))</f>
        <v/>
      </c>
      <c r="J512" s="1">
        <f>IF(NOT(ISNUMBER(B512)),"",YEAR(B512)*100+MONTH(B512))</f>
        <v/>
      </c>
      <c r="K512">
        <f>IF(OR(G512="",NOT(ISNUMBER(B512))),"",IF(G512=Statement!$H$2,B512*1000+ROW(),""))</f>
        <v/>
      </c>
    </row>
    <row r="513">
      <c r="A513" s="1" t="n"/>
      <c r="B513" s="18" t="n"/>
      <c r="C513" s="16" t="n"/>
      <c r="D513" s="19" t="n"/>
      <c r="E513" s="17" t="n"/>
      <c r="F513" s="22" t="n"/>
      <c r="G513" s="14">
        <f>IF(C513="","",IFERROR(VALUE(LEFT(C513,FIND(" ",C513&amp;" ")-1)),""))</f>
        <v/>
      </c>
      <c r="H513" s="26">
        <f>IF(C513="","",IF(G513="","Pick a loan",IFERROR(IF(INDEX(Loans!$C$6:$C$305,MATCH(G513,Loans!$B$6:$B$305,0))="","Not a loan",INDEX(Loans!$C$6:$C$305,MATCH(G513,Loans!$B$6:$B$305,0))),"Not a loan")))</f>
        <v/>
      </c>
      <c r="I513" s="10">
        <f>IF(OR(G513="",H513="Not a loan"),"",IF(INDEX(Loans!$D$6:$D$305,MATCH(G513,Loans!$B$6:$B$305,0))="I borrowed","Out","In"))</f>
        <v/>
      </c>
      <c r="J513" s="1">
        <f>IF(NOT(ISNUMBER(B513)),"",YEAR(B513)*100+MONTH(B513))</f>
        <v/>
      </c>
      <c r="K513">
        <f>IF(OR(G513="",NOT(ISNUMBER(B513))),"",IF(G513=Statement!$H$2,B513*1000+ROW(),""))</f>
        <v/>
      </c>
    </row>
    <row r="514">
      <c r="A514" s="1" t="n"/>
      <c r="B514" s="18" t="n"/>
      <c r="C514" s="16" t="n"/>
      <c r="D514" s="19" t="n"/>
      <c r="E514" s="17" t="n"/>
      <c r="F514" s="22" t="n"/>
      <c r="G514" s="14">
        <f>IF(C514="","",IFERROR(VALUE(LEFT(C514,FIND(" ",C514&amp;" ")-1)),""))</f>
        <v/>
      </c>
      <c r="H514" s="26">
        <f>IF(C514="","",IF(G514="","Pick a loan",IFERROR(IF(INDEX(Loans!$C$6:$C$305,MATCH(G514,Loans!$B$6:$B$305,0))="","Not a loan",INDEX(Loans!$C$6:$C$305,MATCH(G514,Loans!$B$6:$B$305,0))),"Not a loan")))</f>
        <v/>
      </c>
      <c r="I514" s="10">
        <f>IF(OR(G514="",H514="Not a loan"),"",IF(INDEX(Loans!$D$6:$D$305,MATCH(G514,Loans!$B$6:$B$305,0))="I borrowed","Out","In"))</f>
        <v/>
      </c>
      <c r="J514" s="1">
        <f>IF(NOT(ISNUMBER(B514)),"",YEAR(B514)*100+MONTH(B514))</f>
        <v/>
      </c>
      <c r="K514">
        <f>IF(OR(G514="",NOT(ISNUMBER(B514))),"",IF(G514=Statement!$H$2,B514*1000+ROW(),""))</f>
        <v/>
      </c>
    </row>
    <row r="515">
      <c r="A515" s="1" t="n"/>
      <c r="B515" s="18" t="n"/>
      <c r="C515" s="16" t="n"/>
      <c r="D515" s="19" t="n"/>
      <c r="E515" s="17" t="n"/>
      <c r="F515" s="22" t="n"/>
      <c r="G515" s="14">
        <f>IF(C515="","",IFERROR(VALUE(LEFT(C515,FIND(" ",C515&amp;" ")-1)),""))</f>
        <v/>
      </c>
      <c r="H515" s="26">
        <f>IF(C515="","",IF(G515="","Pick a loan",IFERROR(IF(INDEX(Loans!$C$6:$C$305,MATCH(G515,Loans!$B$6:$B$305,0))="","Not a loan",INDEX(Loans!$C$6:$C$305,MATCH(G515,Loans!$B$6:$B$305,0))),"Not a loan")))</f>
        <v/>
      </c>
      <c r="I515" s="10">
        <f>IF(OR(G515="",H515="Not a loan"),"",IF(INDEX(Loans!$D$6:$D$305,MATCH(G515,Loans!$B$6:$B$305,0))="I borrowed","Out","In"))</f>
        <v/>
      </c>
      <c r="J515" s="1">
        <f>IF(NOT(ISNUMBER(B515)),"",YEAR(B515)*100+MONTH(B515))</f>
        <v/>
      </c>
      <c r="K515">
        <f>IF(OR(G515="",NOT(ISNUMBER(B515))),"",IF(G515=Statement!$H$2,B515*1000+ROW(),""))</f>
        <v/>
      </c>
    </row>
    <row r="516">
      <c r="A516" s="1" t="n"/>
      <c r="B516" s="18" t="n"/>
      <c r="C516" s="16" t="n"/>
      <c r="D516" s="19" t="n"/>
      <c r="E516" s="17" t="n"/>
      <c r="F516" s="22" t="n"/>
      <c r="G516" s="14">
        <f>IF(C516="","",IFERROR(VALUE(LEFT(C516,FIND(" ",C516&amp;" ")-1)),""))</f>
        <v/>
      </c>
      <c r="H516" s="26">
        <f>IF(C516="","",IF(G516="","Pick a loan",IFERROR(IF(INDEX(Loans!$C$6:$C$305,MATCH(G516,Loans!$B$6:$B$305,0))="","Not a loan",INDEX(Loans!$C$6:$C$305,MATCH(G516,Loans!$B$6:$B$305,0))),"Not a loan")))</f>
        <v/>
      </c>
      <c r="I516" s="10">
        <f>IF(OR(G516="",H516="Not a loan"),"",IF(INDEX(Loans!$D$6:$D$305,MATCH(G516,Loans!$B$6:$B$305,0))="I borrowed","Out","In"))</f>
        <v/>
      </c>
      <c r="J516" s="1">
        <f>IF(NOT(ISNUMBER(B516)),"",YEAR(B516)*100+MONTH(B516))</f>
        <v/>
      </c>
      <c r="K516">
        <f>IF(OR(G516="",NOT(ISNUMBER(B516))),"",IF(G516=Statement!$H$2,B516*1000+ROW(),""))</f>
        <v/>
      </c>
    </row>
    <row r="517">
      <c r="A517" s="1" t="n"/>
      <c r="B517" s="18" t="n"/>
      <c r="C517" s="16" t="n"/>
      <c r="D517" s="19" t="n"/>
      <c r="E517" s="17" t="n"/>
      <c r="F517" s="22" t="n"/>
      <c r="G517" s="14">
        <f>IF(C517="","",IFERROR(VALUE(LEFT(C517,FIND(" ",C517&amp;" ")-1)),""))</f>
        <v/>
      </c>
      <c r="H517" s="26">
        <f>IF(C517="","",IF(G517="","Pick a loan",IFERROR(IF(INDEX(Loans!$C$6:$C$305,MATCH(G517,Loans!$B$6:$B$305,0))="","Not a loan",INDEX(Loans!$C$6:$C$305,MATCH(G517,Loans!$B$6:$B$305,0))),"Not a loan")))</f>
        <v/>
      </c>
      <c r="I517" s="10">
        <f>IF(OR(G517="",H517="Not a loan"),"",IF(INDEX(Loans!$D$6:$D$305,MATCH(G517,Loans!$B$6:$B$305,0))="I borrowed","Out","In"))</f>
        <v/>
      </c>
      <c r="J517" s="1">
        <f>IF(NOT(ISNUMBER(B517)),"",YEAR(B517)*100+MONTH(B517))</f>
        <v/>
      </c>
      <c r="K517">
        <f>IF(OR(G517="",NOT(ISNUMBER(B517))),"",IF(G517=Statement!$H$2,B517*1000+ROW(),""))</f>
        <v/>
      </c>
    </row>
    <row r="518">
      <c r="A518" s="1" t="n"/>
      <c r="B518" s="18" t="n"/>
      <c r="C518" s="16" t="n"/>
      <c r="D518" s="19" t="n"/>
      <c r="E518" s="17" t="n"/>
      <c r="F518" s="22" t="n"/>
      <c r="G518" s="14">
        <f>IF(C518="","",IFERROR(VALUE(LEFT(C518,FIND(" ",C518&amp;" ")-1)),""))</f>
        <v/>
      </c>
      <c r="H518" s="26">
        <f>IF(C518="","",IF(G518="","Pick a loan",IFERROR(IF(INDEX(Loans!$C$6:$C$305,MATCH(G518,Loans!$B$6:$B$305,0))="","Not a loan",INDEX(Loans!$C$6:$C$305,MATCH(G518,Loans!$B$6:$B$305,0))),"Not a loan")))</f>
        <v/>
      </c>
      <c r="I518" s="10">
        <f>IF(OR(G518="",H518="Not a loan"),"",IF(INDEX(Loans!$D$6:$D$305,MATCH(G518,Loans!$B$6:$B$305,0))="I borrowed","Out","In"))</f>
        <v/>
      </c>
      <c r="J518" s="1">
        <f>IF(NOT(ISNUMBER(B518)),"",YEAR(B518)*100+MONTH(B518))</f>
        <v/>
      </c>
      <c r="K518">
        <f>IF(OR(G518="",NOT(ISNUMBER(B518))),"",IF(G518=Statement!$H$2,B518*1000+ROW(),""))</f>
        <v/>
      </c>
    </row>
    <row r="519">
      <c r="A519" s="1" t="n"/>
      <c r="B519" s="18" t="n"/>
      <c r="C519" s="16" t="n"/>
      <c r="D519" s="19" t="n"/>
      <c r="E519" s="17" t="n"/>
      <c r="F519" s="22" t="n"/>
      <c r="G519" s="14">
        <f>IF(C519="","",IFERROR(VALUE(LEFT(C519,FIND(" ",C519&amp;" ")-1)),""))</f>
        <v/>
      </c>
      <c r="H519" s="26">
        <f>IF(C519="","",IF(G519="","Pick a loan",IFERROR(IF(INDEX(Loans!$C$6:$C$305,MATCH(G519,Loans!$B$6:$B$305,0))="","Not a loan",INDEX(Loans!$C$6:$C$305,MATCH(G519,Loans!$B$6:$B$305,0))),"Not a loan")))</f>
        <v/>
      </c>
      <c r="I519" s="10">
        <f>IF(OR(G519="",H519="Not a loan"),"",IF(INDEX(Loans!$D$6:$D$305,MATCH(G519,Loans!$B$6:$B$305,0))="I borrowed","Out","In"))</f>
        <v/>
      </c>
      <c r="J519" s="1">
        <f>IF(NOT(ISNUMBER(B519)),"",YEAR(B519)*100+MONTH(B519))</f>
        <v/>
      </c>
      <c r="K519">
        <f>IF(OR(G519="",NOT(ISNUMBER(B519))),"",IF(G519=Statement!$H$2,B519*1000+ROW(),""))</f>
        <v/>
      </c>
    </row>
    <row r="520">
      <c r="A520" s="1" t="n"/>
      <c r="B520" s="18" t="n"/>
      <c r="C520" s="16" t="n"/>
      <c r="D520" s="19" t="n"/>
      <c r="E520" s="17" t="n"/>
      <c r="F520" s="22" t="n"/>
      <c r="G520" s="14">
        <f>IF(C520="","",IFERROR(VALUE(LEFT(C520,FIND(" ",C520&amp;" ")-1)),""))</f>
        <v/>
      </c>
      <c r="H520" s="26">
        <f>IF(C520="","",IF(G520="","Pick a loan",IFERROR(IF(INDEX(Loans!$C$6:$C$305,MATCH(G520,Loans!$B$6:$B$305,0))="","Not a loan",INDEX(Loans!$C$6:$C$305,MATCH(G520,Loans!$B$6:$B$305,0))),"Not a loan")))</f>
        <v/>
      </c>
      <c r="I520" s="10">
        <f>IF(OR(G520="",H520="Not a loan"),"",IF(INDEX(Loans!$D$6:$D$305,MATCH(G520,Loans!$B$6:$B$305,0))="I borrowed","Out","In"))</f>
        <v/>
      </c>
      <c r="J520" s="1">
        <f>IF(NOT(ISNUMBER(B520)),"",YEAR(B520)*100+MONTH(B520))</f>
        <v/>
      </c>
      <c r="K520">
        <f>IF(OR(G520="",NOT(ISNUMBER(B520))),"",IF(G520=Statement!$H$2,B520*1000+ROW(),""))</f>
        <v/>
      </c>
    </row>
    <row r="521">
      <c r="A521" s="1" t="n"/>
      <c r="B521" s="18" t="n"/>
      <c r="C521" s="16" t="n"/>
      <c r="D521" s="19" t="n"/>
      <c r="E521" s="17" t="n"/>
      <c r="F521" s="22" t="n"/>
      <c r="G521" s="14">
        <f>IF(C521="","",IFERROR(VALUE(LEFT(C521,FIND(" ",C521&amp;" ")-1)),""))</f>
        <v/>
      </c>
      <c r="H521" s="26">
        <f>IF(C521="","",IF(G521="","Pick a loan",IFERROR(IF(INDEX(Loans!$C$6:$C$305,MATCH(G521,Loans!$B$6:$B$305,0))="","Not a loan",INDEX(Loans!$C$6:$C$305,MATCH(G521,Loans!$B$6:$B$305,0))),"Not a loan")))</f>
        <v/>
      </c>
      <c r="I521" s="10">
        <f>IF(OR(G521="",H521="Not a loan"),"",IF(INDEX(Loans!$D$6:$D$305,MATCH(G521,Loans!$B$6:$B$305,0))="I borrowed","Out","In"))</f>
        <v/>
      </c>
      <c r="J521" s="1">
        <f>IF(NOT(ISNUMBER(B521)),"",YEAR(B521)*100+MONTH(B521))</f>
        <v/>
      </c>
      <c r="K521">
        <f>IF(OR(G521="",NOT(ISNUMBER(B521))),"",IF(G521=Statement!$H$2,B521*1000+ROW(),""))</f>
        <v/>
      </c>
    </row>
    <row r="522">
      <c r="A522" s="1" t="n"/>
      <c r="B522" s="18" t="n"/>
      <c r="C522" s="16" t="n"/>
      <c r="D522" s="19" t="n"/>
      <c r="E522" s="17" t="n"/>
      <c r="F522" s="22" t="n"/>
      <c r="G522" s="14">
        <f>IF(C522="","",IFERROR(VALUE(LEFT(C522,FIND(" ",C522&amp;" ")-1)),""))</f>
        <v/>
      </c>
      <c r="H522" s="26">
        <f>IF(C522="","",IF(G522="","Pick a loan",IFERROR(IF(INDEX(Loans!$C$6:$C$305,MATCH(G522,Loans!$B$6:$B$305,0))="","Not a loan",INDEX(Loans!$C$6:$C$305,MATCH(G522,Loans!$B$6:$B$305,0))),"Not a loan")))</f>
        <v/>
      </c>
      <c r="I522" s="10">
        <f>IF(OR(G522="",H522="Not a loan"),"",IF(INDEX(Loans!$D$6:$D$305,MATCH(G522,Loans!$B$6:$B$305,0))="I borrowed","Out","In"))</f>
        <v/>
      </c>
      <c r="J522" s="1">
        <f>IF(NOT(ISNUMBER(B522)),"",YEAR(B522)*100+MONTH(B522))</f>
        <v/>
      </c>
      <c r="K522">
        <f>IF(OR(G522="",NOT(ISNUMBER(B522))),"",IF(G522=Statement!$H$2,B522*1000+ROW(),""))</f>
        <v/>
      </c>
    </row>
    <row r="523">
      <c r="A523" s="1" t="n"/>
      <c r="B523" s="18" t="n"/>
      <c r="C523" s="16" t="n"/>
      <c r="D523" s="19" t="n"/>
      <c r="E523" s="17" t="n"/>
      <c r="F523" s="22" t="n"/>
      <c r="G523" s="14">
        <f>IF(C523="","",IFERROR(VALUE(LEFT(C523,FIND(" ",C523&amp;" ")-1)),""))</f>
        <v/>
      </c>
      <c r="H523" s="26">
        <f>IF(C523="","",IF(G523="","Pick a loan",IFERROR(IF(INDEX(Loans!$C$6:$C$305,MATCH(G523,Loans!$B$6:$B$305,0))="","Not a loan",INDEX(Loans!$C$6:$C$305,MATCH(G523,Loans!$B$6:$B$305,0))),"Not a loan")))</f>
        <v/>
      </c>
      <c r="I523" s="10">
        <f>IF(OR(G523="",H523="Not a loan"),"",IF(INDEX(Loans!$D$6:$D$305,MATCH(G523,Loans!$B$6:$B$305,0))="I borrowed","Out","In"))</f>
        <v/>
      </c>
      <c r="J523" s="1">
        <f>IF(NOT(ISNUMBER(B523)),"",YEAR(B523)*100+MONTH(B523))</f>
        <v/>
      </c>
      <c r="K523">
        <f>IF(OR(G523="",NOT(ISNUMBER(B523))),"",IF(G523=Statement!$H$2,B523*1000+ROW(),""))</f>
        <v/>
      </c>
    </row>
    <row r="524">
      <c r="A524" s="1" t="n"/>
      <c r="B524" s="18" t="n"/>
      <c r="C524" s="16" t="n"/>
      <c r="D524" s="19" t="n"/>
      <c r="E524" s="17" t="n"/>
      <c r="F524" s="22" t="n"/>
      <c r="G524" s="14">
        <f>IF(C524="","",IFERROR(VALUE(LEFT(C524,FIND(" ",C524&amp;" ")-1)),""))</f>
        <v/>
      </c>
      <c r="H524" s="26">
        <f>IF(C524="","",IF(G524="","Pick a loan",IFERROR(IF(INDEX(Loans!$C$6:$C$305,MATCH(G524,Loans!$B$6:$B$305,0))="","Not a loan",INDEX(Loans!$C$6:$C$305,MATCH(G524,Loans!$B$6:$B$305,0))),"Not a loan")))</f>
        <v/>
      </c>
      <c r="I524" s="10">
        <f>IF(OR(G524="",H524="Not a loan"),"",IF(INDEX(Loans!$D$6:$D$305,MATCH(G524,Loans!$B$6:$B$305,0))="I borrowed","Out","In"))</f>
        <v/>
      </c>
      <c r="J524" s="1">
        <f>IF(NOT(ISNUMBER(B524)),"",YEAR(B524)*100+MONTH(B524))</f>
        <v/>
      </c>
      <c r="K524">
        <f>IF(OR(G524="",NOT(ISNUMBER(B524))),"",IF(G524=Statement!$H$2,B524*1000+ROW(),""))</f>
        <v/>
      </c>
    </row>
    <row r="525">
      <c r="A525" s="1" t="n"/>
      <c r="B525" s="18" t="n"/>
      <c r="C525" s="16" t="n"/>
      <c r="D525" s="19" t="n"/>
      <c r="E525" s="17" t="n"/>
      <c r="F525" s="22" t="n"/>
      <c r="G525" s="14">
        <f>IF(C525="","",IFERROR(VALUE(LEFT(C525,FIND(" ",C525&amp;" ")-1)),""))</f>
        <v/>
      </c>
      <c r="H525" s="26">
        <f>IF(C525="","",IF(G525="","Pick a loan",IFERROR(IF(INDEX(Loans!$C$6:$C$305,MATCH(G525,Loans!$B$6:$B$305,0))="","Not a loan",INDEX(Loans!$C$6:$C$305,MATCH(G525,Loans!$B$6:$B$305,0))),"Not a loan")))</f>
        <v/>
      </c>
      <c r="I525" s="10">
        <f>IF(OR(G525="",H525="Not a loan"),"",IF(INDEX(Loans!$D$6:$D$305,MATCH(G525,Loans!$B$6:$B$305,0))="I borrowed","Out","In"))</f>
        <v/>
      </c>
      <c r="J525" s="1">
        <f>IF(NOT(ISNUMBER(B525)),"",YEAR(B525)*100+MONTH(B525))</f>
        <v/>
      </c>
      <c r="K525">
        <f>IF(OR(G525="",NOT(ISNUMBER(B525))),"",IF(G525=Statement!$H$2,B525*1000+ROW(),""))</f>
        <v/>
      </c>
    </row>
    <row r="526">
      <c r="A526" s="1" t="n"/>
      <c r="B526" s="18" t="n"/>
      <c r="C526" s="16" t="n"/>
      <c r="D526" s="19" t="n"/>
      <c r="E526" s="17" t="n"/>
      <c r="F526" s="22" t="n"/>
      <c r="G526" s="14">
        <f>IF(C526="","",IFERROR(VALUE(LEFT(C526,FIND(" ",C526&amp;" ")-1)),""))</f>
        <v/>
      </c>
      <c r="H526" s="26">
        <f>IF(C526="","",IF(G526="","Pick a loan",IFERROR(IF(INDEX(Loans!$C$6:$C$305,MATCH(G526,Loans!$B$6:$B$305,0))="","Not a loan",INDEX(Loans!$C$6:$C$305,MATCH(G526,Loans!$B$6:$B$305,0))),"Not a loan")))</f>
        <v/>
      </c>
      <c r="I526" s="10">
        <f>IF(OR(G526="",H526="Not a loan"),"",IF(INDEX(Loans!$D$6:$D$305,MATCH(G526,Loans!$B$6:$B$305,0))="I borrowed","Out","In"))</f>
        <v/>
      </c>
      <c r="J526" s="1">
        <f>IF(NOT(ISNUMBER(B526)),"",YEAR(B526)*100+MONTH(B526))</f>
        <v/>
      </c>
      <c r="K526">
        <f>IF(OR(G526="",NOT(ISNUMBER(B526))),"",IF(G526=Statement!$H$2,B526*1000+ROW(),""))</f>
        <v/>
      </c>
    </row>
    <row r="527">
      <c r="A527" s="1" t="n"/>
      <c r="B527" s="18" t="n"/>
      <c r="C527" s="16" t="n"/>
      <c r="D527" s="19" t="n"/>
      <c r="E527" s="17" t="n"/>
      <c r="F527" s="22" t="n"/>
      <c r="G527" s="14">
        <f>IF(C527="","",IFERROR(VALUE(LEFT(C527,FIND(" ",C527&amp;" ")-1)),""))</f>
        <v/>
      </c>
      <c r="H527" s="26">
        <f>IF(C527="","",IF(G527="","Pick a loan",IFERROR(IF(INDEX(Loans!$C$6:$C$305,MATCH(G527,Loans!$B$6:$B$305,0))="","Not a loan",INDEX(Loans!$C$6:$C$305,MATCH(G527,Loans!$B$6:$B$305,0))),"Not a loan")))</f>
        <v/>
      </c>
      <c r="I527" s="10">
        <f>IF(OR(G527="",H527="Not a loan"),"",IF(INDEX(Loans!$D$6:$D$305,MATCH(G527,Loans!$B$6:$B$305,0))="I borrowed","Out","In"))</f>
        <v/>
      </c>
      <c r="J527" s="1">
        <f>IF(NOT(ISNUMBER(B527)),"",YEAR(B527)*100+MONTH(B527))</f>
        <v/>
      </c>
      <c r="K527">
        <f>IF(OR(G527="",NOT(ISNUMBER(B527))),"",IF(G527=Statement!$H$2,B527*1000+ROW(),""))</f>
        <v/>
      </c>
    </row>
    <row r="528">
      <c r="A528" s="1" t="n"/>
      <c r="B528" s="18" t="n"/>
      <c r="C528" s="16" t="n"/>
      <c r="D528" s="19" t="n"/>
      <c r="E528" s="17" t="n"/>
      <c r="F528" s="22" t="n"/>
      <c r="G528" s="14">
        <f>IF(C528="","",IFERROR(VALUE(LEFT(C528,FIND(" ",C528&amp;" ")-1)),""))</f>
        <v/>
      </c>
      <c r="H528" s="26">
        <f>IF(C528="","",IF(G528="","Pick a loan",IFERROR(IF(INDEX(Loans!$C$6:$C$305,MATCH(G528,Loans!$B$6:$B$305,0))="","Not a loan",INDEX(Loans!$C$6:$C$305,MATCH(G528,Loans!$B$6:$B$305,0))),"Not a loan")))</f>
        <v/>
      </c>
      <c r="I528" s="10">
        <f>IF(OR(G528="",H528="Not a loan"),"",IF(INDEX(Loans!$D$6:$D$305,MATCH(G528,Loans!$B$6:$B$305,0))="I borrowed","Out","In"))</f>
        <v/>
      </c>
      <c r="J528" s="1">
        <f>IF(NOT(ISNUMBER(B528)),"",YEAR(B528)*100+MONTH(B528))</f>
        <v/>
      </c>
      <c r="K528">
        <f>IF(OR(G528="",NOT(ISNUMBER(B528))),"",IF(G528=Statement!$H$2,B528*1000+ROW(),""))</f>
        <v/>
      </c>
    </row>
    <row r="529">
      <c r="A529" s="1" t="n"/>
      <c r="B529" s="18" t="n"/>
      <c r="C529" s="16" t="n"/>
      <c r="D529" s="19" t="n"/>
      <c r="E529" s="17" t="n"/>
      <c r="F529" s="22" t="n"/>
      <c r="G529" s="14">
        <f>IF(C529="","",IFERROR(VALUE(LEFT(C529,FIND(" ",C529&amp;" ")-1)),""))</f>
        <v/>
      </c>
      <c r="H529" s="26">
        <f>IF(C529="","",IF(G529="","Pick a loan",IFERROR(IF(INDEX(Loans!$C$6:$C$305,MATCH(G529,Loans!$B$6:$B$305,0))="","Not a loan",INDEX(Loans!$C$6:$C$305,MATCH(G529,Loans!$B$6:$B$305,0))),"Not a loan")))</f>
        <v/>
      </c>
      <c r="I529" s="10">
        <f>IF(OR(G529="",H529="Not a loan"),"",IF(INDEX(Loans!$D$6:$D$305,MATCH(G529,Loans!$B$6:$B$305,0))="I borrowed","Out","In"))</f>
        <v/>
      </c>
      <c r="J529" s="1">
        <f>IF(NOT(ISNUMBER(B529)),"",YEAR(B529)*100+MONTH(B529))</f>
        <v/>
      </c>
      <c r="K529">
        <f>IF(OR(G529="",NOT(ISNUMBER(B529))),"",IF(G529=Statement!$H$2,B529*1000+ROW(),""))</f>
        <v/>
      </c>
    </row>
    <row r="530">
      <c r="A530" s="1" t="n"/>
      <c r="B530" s="18" t="n"/>
      <c r="C530" s="16" t="n"/>
      <c r="D530" s="19" t="n"/>
      <c r="E530" s="17" t="n"/>
      <c r="F530" s="22" t="n"/>
      <c r="G530" s="14">
        <f>IF(C530="","",IFERROR(VALUE(LEFT(C530,FIND(" ",C530&amp;" ")-1)),""))</f>
        <v/>
      </c>
      <c r="H530" s="26">
        <f>IF(C530="","",IF(G530="","Pick a loan",IFERROR(IF(INDEX(Loans!$C$6:$C$305,MATCH(G530,Loans!$B$6:$B$305,0))="","Not a loan",INDEX(Loans!$C$6:$C$305,MATCH(G530,Loans!$B$6:$B$305,0))),"Not a loan")))</f>
        <v/>
      </c>
      <c r="I530" s="10">
        <f>IF(OR(G530="",H530="Not a loan"),"",IF(INDEX(Loans!$D$6:$D$305,MATCH(G530,Loans!$B$6:$B$305,0))="I borrowed","Out","In"))</f>
        <v/>
      </c>
      <c r="J530" s="1">
        <f>IF(NOT(ISNUMBER(B530)),"",YEAR(B530)*100+MONTH(B530))</f>
        <v/>
      </c>
      <c r="K530">
        <f>IF(OR(G530="",NOT(ISNUMBER(B530))),"",IF(G530=Statement!$H$2,B530*1000+ROW(),""))</f>
        <v/>
      </c>
    </row>
    <row r="531">
      <c r="A531" s="1" t="n"/>
      <c r="B531" s="18" t="n"/>
      <c r="C531" s="16" t="n"/>
      <c r="D531" s="19" t="n"/>
      <c r="E531" s="17" t="n"/>
      <c r="F531" s="22" t="n"/>
      <c r="G531" s="14">
        <f>IF(C531="","",IFERROR(VALUE(LEFT(C531,FIND(" ",C531&amp;" ")-1)),""))</f>
        <v/>
      </c>
      <c r="H531" s="26">
        <f>IF(C531="","",IF(G531="","Pick a loan",IFERROR(IF(INDEX(Loans!$C$6:$C$305,MATCH(G531,Loans!$B$6:$B$305,0))="","Not a loan",INDEX(Loans!$C$6:$C$305,MATCH(G531,Loans!$B$6:$B$305,0))),"Not a loan")))</f>
        <v/>
      </c>
      <c r="I531" s="10">
        <f>IF(OR(G531="",H531="Not a loan"),"",IF(INDEX(Loans!$D$6:$D$305,MATCH(G531,Loans!$B$6:$B$305,0))="I borrowed","Out","In"))</f>
        <v/>
      </c>
      <c r="J531" s="1">
        <f>IF(NOT(ISNUMBER(B531)),"",YEAR(B531)*100+MONTH(B531))</f>
        <v/>
      </c>
      <c r="K531">
        <f>IF(OR(G531="",NOT(ISNUMBER(B531))),"",IF(G531=Statement!$H$2,B531*1000+ROW(),""))</f>
        <v/>
      </c>
    </row>
    <row r="532">
      <c r="A532" s="1" t="n"/>
      <c r="B532" s="18" t="n"/>
      <c r="C532" s="16" t="n"/>
      <c r="D532" s="19" t="n"/>
      <c r="E532" s="17" t="n"/>
      <c r="F532" s="22" t="n"/>
      <c r="G532" s="14">
        <f>IF(C532="","",IFERROR(VALUE(LEFT(C532,FIND(" ",C532&amp;" ")-1)),""))</f>
        <v/>
      </c>
      <c r="H532" s="26">
        <f>IF(C532="","",IF(G532="","Pick a loan",IFERROR(IF(INDEX(Loans!$C$6:$C$305,MATCH(G532,Loans!$B$6:$B$305,0))="","Not a loan",INDEX(Loans!$C$6:$C$305,MATCH(G532,Loans!$B$6:$B$305,0))),"Not a loan")))</f>
        <v/>
      </c>
      <c r="I532" s="10">
        <f>IF(OR(G532="",H532="Not a loan"),"",IF(INDEX(Loans!$D$6:$D$305,MATCH(G532,Loans!$B$6:$B$305,0))="I borrowed","Out","In"))</f>
        <v/>
      </c>
      <c r="J532" s="1">
        <f>IF(NOT(ISNUMBER(B532)),"",YEAR(B532)*100+MONTH(B532))</f>
        <v/>
      </c>
      <c r="K532">
        <f>IF(OR(G532="",NOT(ISNUMBER(B532))),"",IF(G532=Statement!$H$2,B532*1000+ROW(),""))</f>
        <v/>
      </c>
    </row>
    <row r="533">
      <c r="A533" s="1" t="n"/>
      <c r="B533" s="18" t="n"/>
      <c r="C533" s="16" t="n"/>
      <c r="D533" s="19" t="n"/>
      <c r="E533" s="17" t="n"/>
      <c r="F533" s="22" t="n"/>
      <c r="G533" s="14">
        <f>IF(C533="","",IFERROR(VALUE(LEFT(C533,FIND(" ",C533&amp;" ")-1)),""))</f>
        <v/>
      </c>
      <c r="H533" s="26">
        <f>IF(C533="","",IF(G533="","Pick a loan",IFERROR(IF(INDEX(Loans!$C$6:$C$305,MATCH(G533,Loans!$B$6:$B$305,0))="","Not a loan",INDEX(Loans!$C$6:$C$305,MATCH(G533,Loans!$B$6:$B$305,0))),"Not a loan")))</f>
        <v/>
      </c>
      <c r="I533" s="10">
        <f>IF(OR(G533="",H533="Not a loan"),"",IF(INDEX(Loans!$D$6:$D$305,MATCH(G533,Loans!$B$6:$B$305,0))="I borrowed","Out","In"))</f>
        <v/>
      </c>
      <c r="J533" s="1">
        <f>IF(NOT(ISNUMBER(B533)),"",YEAR(B533)*100+MONTH(B533))</f>
        <v/>
      </c>
      <c r="K533">
        <f>IF(OR(G533="",NOT(ISNUMBER(B533))),"",IF(G533=Statement!$H$2,B533*1000+ROW(),""))</f>
        <v/>
      </c>
    </row>
    <row r="534">
      <c r="A534" s="1" t="n"/>
      <c r="B534" s="18" t="n"/>
      <c r="C534" s="16" t="n"/>
      <c r="D534" s="19" t="n"/>
      <c r="E534" s="17" t="n"/>
      <c r="F534" s="22" t="n"/>
      <c r="G534" s="14">
        <f>IF(C534="","",IFERROR(VALUE(LEFT(C534,FIND(" ",C534&amp;" ")-1)),""))</f>
        <v/>
      </c>
      <c r="H534" s="26">
        <f>IF(C534="","",IF(G534="","Pick a loan",IFERROR(IF(INDEX(Loans!$C$6:$C$305,MATCH(G534,Loans!$B$6:$B$305,0))="","Not a loan",INDEX(Loans!$C$6:$C$305,MATCH(G534,Loans!$B$6:$B$305,0))),"Not a loan")))</f>
        <v/>
      </c>
      <c r="I534" s="10">
        <f>IF(OR(G534="",H534="Not a loan"),"",IF(INDEX(Loans!$D$6:$D$305,MATCH(G534,Loans!$B$6:$B$305,0))="I borrowed","Out","In"))</f>
        <v/>
      </c>
      <c r="J534" s="1">
        <f>IF(NOT(ISNUMBER(B534)),"",YEAR(B534)*100+MONTH(B534))</f>
        <v/>
      </c>
      <c r="K534">
        <f>IF(OR(G534="",NOT(ISNUMBER(B534))),"",IF(G534=Statement!$H$2,B534*1000+ROW(),""))</f>
        <v/>
      </c>
    </row>
    <row r="535">
      <c r="A535" s="1" t="n"/>
      <c r="B535" s="18" t="n"/>
      <c r="C535" s="16" t="n"/>
      <c r="D535" s="19" t="n"/>
      <c r="E535" s="17" t="n"/>
      <c r="F535" s="22" t="n"/>
      <c r="G535" s="14">
        <f>IF(C535="","",IFERROR(VALUE(LEFT(C535,FIND(" ",C535&amp;" ")-1)),""))</f>
        <v/>
      </c>
      <c r="H535" s="26">
        <f>IF(C535="","",IF(G535="","Pick a loan",IFERROR(IF(INDEX(Loans!$C$6:$C$305,MATCH(G535,Loans!$B$6:$B$305,0))="","Not a loan",INDEX(Loans!$C$6:$C$305,MATCH(G535,Loans!$B$6:$B$305,0))),"Not a loan")))</f>
        <v/>
      </c>
      <c r="I535" s="10">
        <f>IF(OR(G535="",H535="Not a loan"),"",IF(INDEX(Loans!$D$6:$D$305,MATCH(G535,Loans!$B$6:$B$305,0))="I borrowed","Out","In"))</f>
        <v/>
      </c>
      <c r="J535" s="1">
        <f>IF(NOT(ISNUMBER(B535)),"",YEAR(B535)*100+MONTH(B535))</f>
        <v/>
      </c>
      <c r="K535">
        <f>IF(OR(G535="",NOT(ISNUMBER(B535))),"",IF(G535=Statement!$H$2,B535*1000+ROW(),""))</f>
        <v/>
      </c>
    </row>
    <row r="536">
      <c r="A536" s="1" t="n"/>
      <c r="B536" s="18" t="n"/>
      <c r="C536" s="16" t="n"/>
      <c r="D536" s="19" t="n"/>
      <c r="E536" s="17" t="n"/>
      <c r="F536" s="22" t="n"/>
      <c r="G536" s="14">
        <f>IF(C536="","",IFERROR(VALUE(LEFT(C536,FIND(" ",C536&amp;" ")-1)),""))</f>
        <v/>
      </c>
      <c r="H536" s="26">
        <f>IF(C536="","",IF(G536="","Pick a loan",IFERROR(IF(INDEX(Loans!$C$6:$C$305,MATCH(G536,Loans!$B$6:$B$305,0))="","Not a loan",INDEX(Loans!$C$6:$C$305,MATCH(G536,Loans!$B$6:$B$305,0))),"Not a loan")))</f>
        <v/>
      </c>
      <c r="I536" s="10">
        <f>IF(OR(G536="",H536="Not a loan"),"",IF(INDEX(Loans!$D$6:$D$305,MATCH(G536,Loans!$B$6:$B$305,0))="I borrowed","Out","In"))</f>
        <v/>
      </c>
      <c r="J536" s="1">
        <f>IF(NOT(ISNUMBER(B536)),"",YEAR(B536)*100+MONTH(B536))</f>
        <v/>
      </c>
      <c r="K536">
        <f>IF(OR(G536="",NOT(ISNUMBER(B536))),"",IF(G536=Statement!$H$2,B536*1000+ROW(),""))</f>
        <v/>
      </c>
    </row>
    <row r="537">
      <c r="A537" s="1" t="n"/>
      <c r="B537" s="18" t="n"/>
      <c r="C537" s="16" t="n"/>
      <c r="D537" s="19" t="n"/>
      <c r="E537" s="17" t="n"/>
      <c r="F537" s="22" t="n"/>
      <c r="G537" s="14">
        <f>IF(C537="","",IFERROR(VALUE(LEFT(C537,FIND(" ",C537&amp;" ")-1)),""))</f>
        <v/>
      </c>
      <c r="H537" s="26">
        <f>IF(C537="","",IF(G537="","Pick a loan",IFERROR(IF(INDEX(Loans!$C$6:$C$305,MATCH(G537,Loans!$B$6:$B$305,0))="","Not a loan",INDEX(Loans!$C$6:$C$305,MATCH(G537,Loans!$B$6:$B$305,0))),"Not a loan")))</f>
        <v/>
      </c>
      <c r="I537" s="10">
        <f>IF(OR(G537="",H537="Not a loan"),"",IF(INDEX(Loans!$D$6:$D$305,MATCH(G537,Loans!$B$6:$B$305,0))="I borrowed","Out","In"))</f>
        <v/>
      </c>
      <c r="J537" s="1">
        <f>IF(NOT(ISNUMBER(B537)),"",YEAR(B537)*100+MONTH(B537))</f>
        <v/>
      </c>
      <c r="K537">
        <f>IF(OR(G537="",NOT(ISNUMBER(B537))),"",IF(G537=Statement!$H$2,B537*1000+ROW(),""))</f>
        <v/>
      </c>
    </row>
    <row r="538">
      <c r="A538" s="1" t="n"/>
      <c r="B538" s="18" t="n"/>
      <c r="C538" s="16" t="n"/>
      <c r="D538" s="19" t="n"/>
      <c r="E538" s="17" t="n"/>
      <c r="F538" s="22" t="n"/>
      <c r="G538" s="14">
        <f>IF(C538="","",IFERROR(VALUE(LEFT(C538,FIND(" ",C538&amp;" ")-1)),""))</f>
        <v/>
      </c>
      <c r="H538" s="26">
        <f>IF(C538="","",IF(G538="","Pick a loan",IFERROR(IF(INDEX(Loans!$C$6:$C$305,MATCH(G538,Loans!$B$6:$B$305,0))="","Not a loan",INDEX(Loans!$C$6:$C$305,MATCH(G538,Loans!$B$6:$B$305,0))),"Not a loan")))</f>
        <v/>
      </c>
      <c r="I538" s="10">
        <f>IF(OR(G538="",H538="Not a loan"),"",IF(INDEX(Loans!$D$6:$D$305,MATCH(G538,Loans!$B$6:$B$305,0))="I borrowed","Out","In"))</f>
        <v/>
      </c>
      <c r="J538" s="1">
        <f>IF(NOT(ISNUMBER(B538)),"",YEAR(B538)*100+MONTH(B538))</f>
        <v/>
      </c>
      <c r="K538">
        <f>IF(OR(G538="",NOT(ISNUMBER(B538))),"",IF(G538=Statement!$H$2,B538*1000+ROW(),""))</f>
        <v/>
      </c>
    </row>
    <row r="539">
      <c r="A539" s="1" t="n"/>
      <c r="B539" s="18" t="n"/>
      <c r="C539" s="16" t="n"/>
      <c r="D539" s="19" t="n"/>
      <c r="E539" s="17" t="n"/>
      <c r="F539" s="22" t="n"/>
      <c r="G539" s="14">
        <f>IF(C539="","",IFERROR(VALUE(LEFT(C539,FIND(" ",C539&amp;" ")-1)),""))</f>
        <v/>
      </c>
      <c r="H539" s="26">
        <f>IF(C539="","",IF(G539="","Pick a loan",IFERROR(IF(INDEX(Loans!$C$6:$C$305,MATCH(G539,Loans!$B$6:$B$305,0))="","Not a loan",INDEX(Loans!$C$6:$C$305,MATCH(G539,Loans!$B$6:$B$305,0))),"Not a loan")))</f>
        <v/>
      </c>
      <c r="I539" s="10">
        <f>IF(OR(G539="",H539="Not a loan"),"",IF(INDEX(Loans!$D$6:$D$305,MATCH(G539,Loans!$B$6:$B$305,0))="I borrowed","Out","In"))</f>
        <v/>
      </c>
      <c r="J539" s="1">
        <f>IF(NOT(ISNUMBER(B539)),"",YEAR(B539)*100+MONTH(B539))</f>
        <v/>
      </c>
      <c r="K539">
        <f>IF(OR(G539="",NOT(ISNUMBER(B539))),"",IF(G539=Statement!$H$2,B539*1000+ROW(),""))</f>
        <v/>
      </c>
    </row>
    <row r="540">
      <c r="A540" s="1" t="n"/>
      <c r="B540" s="18" t="n"/>
      <c r="C540" s="16" t="n"/>
      <c r="D540" s="19" t="n"/>
      <c r="E540" s="17" t="n"/>
      <c r="F540" s="22" t="n"/>
      <c r="G540" s="14">
        <f>IF(C540="","",IFERROR(VALUE(LEFT(C540,FIND(" ",C540&amp;" ")-1)),""))</f>
        <v/>
      </c>
      <c r="H540" s="26">
        <f>IF(C540="","",IF(G540="","Pick a loan",IFERROR(IF(INDEX(Loans!$C$6:$C$305,MATCH(G540,Loans!$B$6:$B$305,0))="","Not a loan",INDEX(Loans!$C$6:$C$305,MATCH(G540,Loans!$B$6:$B$305,0))),"Not a loan")))</f>
        <v/>
      </c>
      <c r="I540" s="10">
        <f>IF(OR(G540="",H540="Not a loan"),"",IF(INDEX(Loans!$D$6:$D$305,MATCH(G540,Loans!$B$6:$B$305,0))="I borrowed","Out","In"))</f>
        <v/>
      </c>
      <c r="J540" s="1">
        <f>IF(NOT(ISNUMBER(B540)),"",YEAR(B540)*100+MONTH(B540))</f>
        <v/>
      </c>
      <c r="K540">
        <f>IF(OR(G540="",NOT(ISNUMBER(B540))),"",IF(G540=Statement!$H$2,B540*1000+ROW(),""))</f>
        <v/>
      </c>
    </row>
    <row r="541">
      <c r="A541" s="1" t="n"/>
      <c r="B541" s="18" t="n"/>
      <c r="C541" s="16" t="n"/>
      <c r="D541" s="19" t="n"/>
      <c r="E541" s="17" t="n"/>
      <c r="F541" s="22" t="n"/>
      <c r="G541" s="14">
        <f>IF(C541="","",IFERROR(VALUE(LEFT(C541,FIND(" ",C541&amp;" ")-1)),""))</f>
        <v/>
      </c>
      <c r="H541" s="26">
        <f>IF(C541="","",IF(G541="","Pick a loan",IFERROR(IF(INDEX(Loans!$C$6:$C$305,MATCH(G541,Loans!$B$6:$B$305,0))="","Not a loan",INDEX(Loans!$C$6:$C$305,MATCH(G541,Loans!$B$6:$B$305,0))),"Not a loan")))</f>
        <v/>
      </c>
      <c r="I541" s="10">
        <f>IF(OR(G541="",H541="Not a loan"),"",IF(INDEX(Loans!$D$6:$D$305,MATCH(G541,Loans!$B$6:$B$305,0))="I borrowed","Out","In"))</f>
        <v/>
      </c>
      <c r="J541" s="1">
        <f>IF(NOT(ISNUMBER(B541)),"",YEAR(B541)*100+MONTH(B541))</f>
        <v/>
      </c>
      <c r="K541">
        <f>IF(OR(G541="",NOT(ISNUMBER(B541))),"",IF(G541=Statement!$H$2,B541*1000+ROW(),""))</f>
        <v/>
      </c>
    </row>
    <row r="542">
      <c r="A542" s="1" t="n"/>
      <c r="B542" s="18" t="n"/>
      <c r="C542" s="16" t="n"/>
      <c r="D542" s="19" t="n"/>
      <c r="E542" s="17" t="n"/>
      <c r="F542" s="22" t="n"/>
      <c r="G542" s="14">
        <f>IF(C542="","",IFERROR(VALUE(LEFT(C542,FIND(" ",C542&amp;" ")-1)),""))</f>
        <v/>
      </c>
      <c r="H542" s="26">
        <f>IF(C542="","",IF(G542="","Pick a loan",IFERROR(IF(INDEX(Loans!$C$6:$C$305,MATCH(G542,Loans!$B$6:$B$305,0))="","Not a loan",INDEX(Loans!$C$6:$C$305,MATCH(G542,Loans!$B$6:$B$305,0))),"Not a loan")))</f>
        <v/>
      </c>
      <c r="I542" s="10">
        <f>IF(OR(G542="",H542="Not a loan"),"",IF(INDEX(Loans!$D$6:$D$305,MATCH(G542,Loans!$B$6:$B$305,0))="I borrowed","Out","In"))</f>
        <v/>
      </c>
      <c r="J542" s="1">
        <f>IF(NOT(ISNUMBER(B542)),"",YEAR(B542)*100+MONTH(B542))</f>
        <v/>
      </c>
      <c r="K542">
        <f>IF(OR(G542="",NOT(ISNUMBER(B542))),"",IF(G542=Statement!$H$2,B542*1000+ROW(),""))</f>
        <v/>
      </c>
    </row>
    <row r="543">
      <c r="A543" s="1" t="n"/>
      <c r="B543" s="18" t="n"/>
      <c r="C543" s="16" t="n"/>
      <c r="D543" s="19" t="n"/>
      <c r="E543" s="17" t="n"/>
      <c r="F543" s="22" t="n"/>
      <c r="G543" s="14">
        <f>IF(C543="","",IFERROR(VALUE(LEFT(C543,FIND(" ",C543&amp;" ")-1)),""))</f>
        <v/>
      </c>
      <c r="H543" s="26">
        <f>IF(C543="","",IF(G543="","Pick a loan",IFERROR(IF(INDEX(Loans!$C$6:$C$305,MATCH(G543,Loans!$B$6:$B$305,0))="","Not a loan",INDEX(Loans!$C$6:$C$305,MATCH(G543,Loans!$B$6:$B$305,0))),"Not a loan")))</f>
        <v/>
      </c>
      <c r="I543" s="10">
        <f>IF(OR(G543="",H543="Not a loan"),"",IF(INDEX(Loans!$D$6:$D$305,MATCH(G543,Loans!$B$6:$B$305,0))="I borrowed","Out","In"))</f>
        <v/>
      </c>
      <c r="J543" s="1">
        <f>IF(NOT(ISNUMBER(B543)),"",YEAR(B543)*100+MONTH(B543))</f>
        <v/>
      </c>
      <c r="K543">
        <f>IF(OR(G543="",NOT(ISNUMBER(B543))),"",IF(G543=Statement!$H$2,B543*1000+ROW(),""))</f>
        <v/>
      </c>
    </row>
    <row r="544">
      <c r="A544" s="1" t="n"/>
      <c r="B544" s="18" t="n"/>
      <c r="C544" s="16" t="n"/>
      <c r="D544" s="19" t="n"/>
      <c r="E544" s="17" t="n"/>
      <c r="F544" s="22" t="n"/>
      <c r="G544" s="14">
        <f>IF(C544="","",IFERROR(VALUE(LEFT(C544,FIND(" ",C544&amp;" ")-1)),""))</f>
        <v/>
      </c>
      <c r="H544" s="26">
        <f>IF(C544="","",IF(G544="","Pick a loan",IFERROR(IF(INDEX(Loans!$C$6:$C$305,MATCH(G544,Loans!$B$6:$B$305,0))="","Not a loan",INDEX(Loans!$C$6:$C$305,MATCH(G544,Loans!$B$6:$B$305,0))),"Not a loan")))</f>
        <v/>
      </c>
      <c r="I544" s="10">
        <f>IF(OR(G544="",H544="Not a loan"),"",IF(INDEX(Loans!$D$6:$D$305,MATCH(G544,Loans!$B$6:$B$305,0))="I borrowed","Out","In"))</f>
        <v/>
      </c>
      <c r="J544" s="1">
        <f>IF(NOT(ISNUMBER(B544)),"",YEAR(B544)*100+MONTH(B544))</f>
        <v/>
      </c>
      <c r="K544">
        <f>IF(OR(G544="",NOT(ISNUMBER(B544))),"",IF(G544=Statement!$H$2,B544*1000+ROW(),""))</f>
        <v/>
      </c>
    </row>
    <row r="545">
      <c r="A545" s="1" t="n"/>
      <c r="B545" s="18" t="n"/>
      <c r="C545" s="16" t="n"/>
      <c r="D545" s="19" t="n"/>
      <c r="E545" s="17" t="n"/>
      <c r="F545" s="22" t="n"/>
      <c r="G545" s="14">
        <f>IF(C545="","",IFERROR(VALUE(LEFT(C545,FIND(" ",C545&amp;" ")-1)),""))</f>
        <v/>
      </c>
      <c r="H545" s="26">
        <f>IF(C545="","",IF(G545="","Pick a loan",IFERROR(IF(INDEX(Loans!$C$6:$C$305,MATCH(G545,Loans!$B$6:$B$305,0))="","Not a loan",INDEX(Loans!$C$6:$C$305,MATCH(G545,Loans!$B$6:$B$305,0))),"Not a loan")))</f>
        <v/>
      </c>
      <c r="I545" s="10">
        <f>IF(OR(G545="",H545="Not a loan"),"",IF(INDEX(Loans!$D$6:$D$305,MATCH(G545,Loans!$B$6:$B$305,0))="I borrowed","Out","In"))</f>
        <v/>
      </c>
      <c r="J545" s="1">
        <f>IF(NOT(ISNUMBER(B545)),"",YEAR(B545)*100+MONTH(B545))</f>
        <v/>
      </c>
      <c r="K545">
        <f>IF(OR(G545="",NOT(ISNUMBER(B545))),"",IF(G545=Statement!$H$2,B545*1000+ROW(),""))</f>
        <v/>
      </c>
    </row>
    <row r="546">
      <c r="A546" s="1" t="n"/>
      <c r="B546" s="18" t="n"/>
      <c r="C546" s="16" t="n"/>
      <c r="D546" s="19" t="n"/>
      <c r="E546" s="17" t="n"/>
      <c r="F546" s="22" t="n"/>
      <c r="G546" s="14">
        <f>IF(C546="","",IFERROR(VALUE(LEFT(C546,FIND(" ",C546&amp;" ")-1)),""))</f>
        <v/>
      </c>
      <c r="H546" s="26">
        <f>IF(C546="","",IF(G546="","Pick a loan",IFERROR(IF(INDEX(Loans!$C$6:$C$305,MATCH(G546,Loans!$B$6:$B$305,0))="","Not a loan",INDEX(Loans!$C$6:$C$305,MATCH(G546,Loans!$B$6:$B$305,0))),"Not a loan")))</f>
        <v/>
      </c>
      <c r="I546" s="10">
        <f>IF(OR(G546="",H546="Not a loan"),"",IF(INDEX(Loans!$D$6:$D$305,MATCH(G546,Loans!$B$6:$B$305,0))="I borrowed","Out","In"))</f>
        <v/>
      </c>
      <c r="J546" s="1">
        <f>IF(NOT(ISNUMBER(B546)),"",YEAR(B546)*100+MONTH(B546))</f>
        <v/>
      </c>
      <c r="K546">
        <f>IF(OR(G546="",NOT(ISNUMBER(B546))),"",IF(G546=Statement!$H$2,B546*1000+ROW(),""))</f>
        <v/>
      </c>
    </row>
    <row r="547">
      <c r="A547" s="1" t="n"/>
      <c r="B547" s="18" t="n"/>
      <c r="C547" s="16" t="n"/>
      <c r="D547" s="19" t="n"/>
      <c r="E547" s="17" t="n"/>
      <c r="F547" s="22" t="n"/>
      <c r="G547" s="14">
        <f>IF(C547="","",IFERROR(VALUE(LEFT(C547,FIND(" ",C547&amp;" ")-1)),""))</f>
        <v/>
      </c>
      <c r="H547" s="26">
        <f>IF(C547="","",IF(G547="","Pick a loan",IFERROR(IF(INDEX(Loans!$C$6:$C$305,MATCH(G547,Loans!$B$6:$B$305,0))="","Not a loan",INDEX(Loans!$C$6:$C$305,MATCH(G547,Loans!$B$6:$B$305,0))),"Not a loan")))</f>
        <v/>
      </c>
      <c r="I547" s="10">
        <f>IF(OR(G547="",H547="Not a loan"),"",IF(INDEX(Loans!$D$6:$D$305,MATCH(G547,Loans!$B$6:$B$305,0))="I borrowed","Out","In"))</f>
        <v/>
      </c>
      <c r="J547" s="1">
        <f>IF(NOT(ISNUMBER(B547)),"",YEAR(B547)*100+MONTH(B547))</f>
        <v/>
      </c>
      <c r="K547">
        <f>IF(OR(G547="",NOT(ISNUMBER(B547))),"",IF(G547=Statement!$H$2,B547*1000+ROW(),""))</f>
        <v/>
      </c>
    </row>
    <row r="548">
      <c r="A548" s="1" t="n"/>
      <c r="B548" s="18" t="n"/>
      <c r="C548" s="16" t="n"/>
      <c r="D548" s="19" t="n"/>
      <c r="E548" s="17" t="n"/>
      <c r="F548" s="22" t="n"/>
      <c r="G548" s="14">
        <f>IF(C548="","",IFERROR(VALUE(LEFT(C548,FIND(" ",C548&amp;" ")-1)),""))</f>
        <v/>
      </c>
      <c r="H548" s="26">
        <f>IF(C548="","",IF(G548="","Pick a loan",IFERROR(IF(INDEX(Loans!$C$6:$C$305,MATCH(G548,Loans!$B$6:$B$305,0))="","Not a loan",INDEX(Loans!$C$6:$C$305,MATCH(G548,Loans!$B$6:$B$305,0))),"Not a loan")))</f>
        <v/>
      </c>
      <c r="I548" s="10">
        <f>IF(OR(G548="",H548="Not a loan"),"",IF(INDEX(Loans!$D$6:$D$305,MATCH(G548,Loans!$B$6:$B$305,0))="I borrowed","Out","In"))</f>
        <v/>
      </c>
      <c r="J548" s="1">
        <f>IF(NOT(ISNUMBER(B548)),"",YEAR(B548)*100+MONTH(B548))</f>
        <v/>
      </c>
      <c r="K548">
        <f>IF(OR(G548="",NOT(ISNUMBER(B548))),"",IF(G548=Statement!$H$2,B548*1000+ROW(),""))</f>
        <v/>
      </c>
    </row>
    <row r="549">
      <c r="A549" s="1" t="n"/>
      <c r="B549" s="18" t="n"/>
      <c r="C549" s="16" t="n"/>
      <c r="D549" s="19" t="n"/>
      <c r="E549" s="17" t="n"/>
      <c r="F549" s="22" t="n"/>
      <c r="G549" s="14">
        <f>IF(C549="","",IFERROR(VALUE(LEFT(C549,FIND(" ",C549&amp;" ")-1)),""))</f>
        <v/>
      </c>
      <c r="H549" s="26">
        <f>IF(C549="","",IF(G549="","Pick a loan",IFERROR(IF(INDEX(Loans!$C$6:$C$305,MATCH(G549,Loans!$B$6:$B$305,0))="","Not a loan",INDEX(Loans!$C$6:$C$305,MATCH(G549,Loans!$B$6:$B$305,0))),"Not a loan")))</f>
        <v/>
      </c>
      <c r="I549" s="10">
        <f>IF(OR(G549="",H549="Not a loan"),"",IF(INDEX(Loans!$D$6:$D$305,MATCH(G549,Loans!$B$6:$B$305,0))="I borrowed","Out","In"))</f>
        <v/>
      </c>
      <c r="J549" s="1">
        <f>IF(NOT(ISNUMBER(B549)),"",YEAR(B549)*100+MONTH(B549))</f>
        <v/>
      </c>
      <c r="K549">
        <f>IF(OR(G549="",NOT(ISNUMBER(B549))),"",IF(G549=Statement!$H$2,B549*1000+ROW(),""))</f>
        <v/>
      </c>
    </row>
    <row r="550">
      <c r="A550" s="1" t="n"/>
      <c r="B550" s="18" t="n"/>
      <c r="C550" s="16" t="n"/>
      <c r="D550" s="19" t="n"/>
      <c r="E550" s="17" t="n"/>
      <c r="F550" s="22" t="n"/>
      <c r="G550" s="14">
        <f>IF(C550="","",IFERROR(VALUE(LEFT(C550,FIND(" ",C550&amp;" ")-1)),""))</f>
        <v/>
      </c>
      <c r="H550" s="26">
        <f>IF(C550="","",IF(G550="","Pick a loan",IFERROR(IF(INDEX(Loans!$C$6:$C$305,MATCH(G550,Loans!$B$6:$B$305,0))="","Not a loan",INDEX(Loans!$C$6:$C$305,MATCH(G550,Loans!$B$6:$B$305,0))),"Not a loan")))</f>
        <v/>
      </c>
      <c r="I550" s="10">
        <f>IF(OR(G550="",H550="Not a loan"),"",IF(INDEX(Loans!$D$6:$D$305,MATCH(G550,Loans!$B$6:$B$305,0))="I borrowed","Out","In"))</f>
        <v/>
      </c>
      <c r="J550" s="1">
        <f>IF(NOT(ISNUMBER(B550)),"",YEAR(B550)*100+MONTH(B550))</f>
        <v/>
      </c>
      <c r="K550">
        <f>IF(OR(G550="",NOT(ISNUMBER(B550))),"",IF(G550=Statement!$H$2,B550*1000+ROW(),""))</f>
        <v/>
      </c>
    </row>
    <row r="551">
      <c r="A551" s="1" t="n"/>
      <c r="B551" s="18" t="n"/>
      <c r="C551" s="16" t="n"/>
      <c r="D551" s="19" t="n"/>
      <c r="E551" s="17" t="n"/>
      <c r="F551" s="22" t="n"/>
      <c r="G551" s="14">
        <f>IF(C551="","",IFERROR(VALUE(LEFT(C551,FIND(" ",C551&amp;" ")-1)),""))</f>
        <v/>
      </c>
      <c r="H551" s="26">
        <f>IF(C551="","",IF(G551="","Pick a loan",IFERROR(IF(INDEX(Loans!$C$6:$C$305,MATCH(G551,Loans!$B$6:$B$305,0))="","Not a loan",INDEX(Loans!$C$6:$C$305,MATCH(G551,Loans!$B$6:$B$305,0))),"Not a loan")))</f>
        <v/>
      </c>
      <c r="I551" s="10">
        <f>IF(OR(G551="",H551="Not a loan"),"",IF(INDEX(Loans!$D$6:$D$305,MATCH(G551,Loans!$B$6:$B$305,0))="I borrowed","Out","In"))</f>
        <v/>
      </c>
      <c r="J551" s="1">
        <f>IF(NOT(ISNUMBER(B551)),"",YEAR(B551)*100+MONTH(B551))</f>
        <v/>
      </c>
      <c r="K551">
        <f>IF(OR(G551="",NOT(ISNUMBER(B551))),"",IF(G551=Statement!$H$2,B551*1000+ROW(),""))</f>
        <v/>
      </c>
    </row>
    <row r="552">
      <c r="A552" s="1" t="n"/>
      <c r="B552" s="18" t="n"/>
      <c r="C552" s="16" t="n"/>
      <c r="D552" s="19" t="n"/>
      <c r="E552" s="17" t="n"/>
      <c r="F552" s="22" t="n"/>
      <c r="G552" s="14">
        <f>IF(C552="","",IFERROR(VALUE(LEFT(C552,FIND(" ",C552&amp;" ")-1)),""))</f>
        <v/>
      </c>
      <c r="H552" s="26">
        <f>IF(C552="","",IF(G552="","Pick a loan",IFERROR(IF(INDEX(Loans!$C$6:$C$305,MATCH(G552,Loans!$B$6:$B$305,0))="","Not a loan",INDEX(Loans!$C$6:$C$305,MATCH(G552,Loans!$B$6:$B$305,0))),"Not a loan")))</f>
        <v/>
      </c>
      <c r="I552" s="10">
        <f>IF(OR(G552="",H552="Not a loan"),"",IF(INDEX(Loans!$D$6:$D$305,MATCH(G552,Loans!$B$6:$B$305,0))="I borrowed","Out","In"))</f>
        <v/>
      </c>
      <c r="J552" s="1">
        <f>IF(NOT(ISNUMBER(B552)),"",YEAR(B552)*100+MONTH(B552))</f>
        <v/>
      </c>
      <c r="K552">
        <f>IF(OR(G552="",NOT(ISNUMBER(B552))),"",IF(G552=Statement!$H$2,B552*1000+ROW(),""))</f>
        <v/>
      </c>
    </row>
    <row r="553">
      <c r="A553" s="1" t="n"/>
      <c r="B553" s="18" t="n"/>
      <c r="C553" s="16" t="n"/>
      <c r="D553" s="19" t="n"/>
      <c r="E553" s="17" t="n"/>
      <c r="F553" s="22" t="n"/>
      <c r="G553" s="14">
        <f>IF(C553="","",IFERROR(VALUE(LEFT(C553,FIND(" ",C553&amp;" ")-1)),""))</f>
        <v/>
      </c>
      <c r="H553" s="26">
        <f>IF(C553="","",IF(G553="","Pick a loan",IFERROR(IF(INDEX(Loans!$C$6:$C$305,MATCH(G553,Loans!$B$6:$B$305,0))="","Not a loan",INDEX(Loans!$C$6:$C$305,MATCH(G553,Loans!$B$6:$B$305,0))),"Not a loan")))</f>
        <v/>
      </c>
      <c r="I553" s="10">
        <f>IF(OR(G553="",H553="Not a loan"),"",IF(INDEX(Loans!$D$6:$D$305,MATCH(G553,Loans!$B$6:$B$305,0))="I borrowed","Out","In"))</f>
        <v/>
      </c>
      <c r="J553" s="1">
        <f>IF(NOT(ISNUMBER(B553)),"",YEAR(B553)*100+MONTH(B553))</f>
        <v/>
      </c>
      <c r="K553">
        <f>IF(OR(G553="",NOT(ISNUMBER(B553))),"",IF(G553=Statement!$H$2,B553*1000+ROW(),""))</f>
        <v/>
      </c>
    </row>
    <row r="554">
      <c r="A554" s="1" t="n"/>
      <c r="B554" s="18" t="n"/>
      <c r="C554" s="16" t="n"/>
      <c r="D554" s="19" t="n"/>
      <c r="E554" s="17" t="n"/>
      <c r="F554" s="22" t="n"/>
      <c r="G554" s="14">
        <f>IF(C554="","",IFERROR(VALUE(LEFT(C554,FIND(" ",C554&amp;" ")-1)),""))</f>
        <v/>
      </c>
      <c r="H554" s="26">
        <f>IF(C554="","",IF(G554="","Pick a loan",IFERROR(IF(INDEX(Loans!$C$6:$C$305,MATCH(G554,Loans!$B$6:$B$305,0))="","Not a loan",INDEX(Loans!$C$6:$C$305,MATCH(G554,Loans!$B$6:$B$305,0))),"Not a loan")))</f>
        <v/>
      </c>
      <c r="I554" s="10">
        <f>IF(OR(G554="",H554="Not a loan"),"",IF(INDEX(Loans!$D$6:$D$305,MATCH(G554,Loans!$B$6:$B$305,0))="I borrowed","Out","In"))</f>
        <v/>
      </c>
      <c r="J554" s="1">
        <f>IF(NOT(ISNUMBER(B554)),"",YEAR(B554)*100+MONTH(B554))</f>
        <v/>
      </c>
      <c r="K554">
        <f>IF(OR(G554="",NOT(ISNUMBER(B554))),"",IF(G554=Statement!$H$2,B554*1000+ROW(),""))</f>
        <v/>
      </c>
    </row>
    <row r="555">
      <c r="A555" s="1" t="n"/>
      <c r="B555" s="18" t="n"/>
      <c r="C555" s="16" t="n"/>
      <c r="D555" s="19" t="n"/>
      <c r="E555" s="17" t="n"/>
      <c r="F555" s="22" t="n"/>
      <c r="G555" s="14">
        <f>IF(C555="","",IFERROR(VALUE(LEFT(C555,FIND(" ",C555&amp;" ")-1)),""))</f>
        <v/>
      </c>
      <c r="H555" s="26">
        <f>IF(C555="","",IF(G555="","Pick a loan",IFERROR(IF(INDEX(Loans!$C$6:$C$305,MATCH(G555,Loans!$B$6:$B$305,0))="","Not a loan",INDEX(Loans!$C$6:$C$305,MATCH(G555,Loans!$B$6:$B$305,0))),"Not a loan")))</f>
        <v/>
      </c>
      <c r="I555" s="10">
        <f>IF(OR(G555="",H555="Not a loan"),"",IF(INDEX(Loans!$D$6:$D$305,MATCH(G555,Loans!$B$6:$B$305,0))="I borrowed","Out","In"))</f>
        <v/>
      </c>
      <c r="J555" s="1">
        <f>IF(NOT(ISNUMBER(B555)),"",YEAR(B555)*100+MONTH(B555))</f>
        <v/>
      </c>
      <c r="K555">
        <f>IF(OR(G555="",NOT(ISNUMBER(B555))),"",IF(G555=Statement!$H$2,B555*1000+ROW(),""))</f>
        <v/>
      </c>
    </row>
    <row r="556">
      <c r="A556" s="1" t="n"/>
      <c r="B556" s="18" t="n"/>
      <c r="C556" s="16" t="n"/>
      <c r="D556" s="19" t="n"/>
      <c r="E556" s="17" t="n"/>
      <c r="F556" s="22" t="n"/>
      <c r="G556" s="14">
        <f>IF(C556="","",IFERROR(VALUE(LEFT(C556,FIND(" ",C556&amp;" ")-1)),""))</f>
        <v/>
      </c>
      <c r="H556" s="26">
        <f>IF(C556="","",IF(G556="","Pick a loan",IFERROR(IF(INDEX(Loans!$C$6:$C$305,MATCH(G556,Loans!$B$6:$B$305,0))="","Not a loan",INDEX(Loans!$C$6:$C$305,MATCH(G556,Loans!$B$6:$B$305,0))),"Not a loan")))</f>
        <v/>
      </c>
      <c r="I556" s="10">
        <f>IF(OR(G556="",H556="Not a loan"),"",IF(INDEX(Loans!$D$6:$D$305,MATCH(G556,Loans!$B$6:$B$305,0))="I borrowed","Out","In"))</f>
        <v/>
      </c>
      <c r="J556" s="1">
        <f>IF(NOT(ISNUMBER(B556)),"",YEAR(B556)*100+MONTH(B556))</f>
        <v/>
      </c>
      <c r="K556">
        <f>IF(OR(G556="",NOT(ISNUMBER(B556))),"",IF(G556=Statement!$H$2,B556*1000+ROW(),""))</f>
        <v/>
      </c>
    </row>
    <row r="557">
      <c r="A557" s="1" t="n"/>
      <c r="B557" s="18" t="n"/>
      <c r="C557" s="16" t="n"/>
      <c r="D557" s="19" t="n"/>
      <c r="E557" s="17" t="n"/>
      <c r="F557" s="22" t="n"/>
      <c r="G557" s="14">
        <f>IF(C557="","",IFERROR(VALUE(LEFT(C557,FIND(" ",C557&amp;" ")-1)),""))</f>
        <v/>
      </c>
      <c r="H557" s="26">
        <f>IF(C557="","",IF(G557="","Pick a loan",IFERROR(IF(INDEX(Loans!$C$6:$C$305,MATCH(G557,Loans!$B$6:$B$305,0))="","Not a loan",INDEX(Loans!$C$6:$C$305,MATCH(G557,Loans!$B$6:$B$305,0))),"Not a loan")))</f>
        <v/>
      </c>
      <c r="I557" s="10">
        <f>IF(OR(G557="",H557="Not a loan"),"",IF(INDEX(Loans!$D$6:$D$305,MATCH(G557,Loans!$B$6:$B$305,0))="I borrowed","Out","In"))</f>
        <v/>
      </c>
      <c r="J557" s="1">
        <f>IF(NOT(ISNUMBER(B557)),"",YEAR(B557)*100+MONTH(B557))</f>
        <v/>
      </c>
      <c r="K557">
        <f>IF(OR(G557="",NOT(ISNUMBER(B557))),"",IF(G557=Statement!$H$2,B557*1000+ROW(),""))</f>
        <v/>
      </c>
    </row>
    <row r="558">
      <c r="A558" s="1" t="n"/>
      <c r="B558" s="18" t="n"/>
      <c r="C558" s="16" t="n"/>
      <c r="D558" s="19" t="n"/>
      <c r="E558" s="17" t="n"/>
      <c r="F558" s="22" t="n"/>
      <c r="G558" s="14">
        <f>IF(C558="","",IFERROR(VALUE(LEFT(C558,FIND(" ",C558&amp;" ")-1)),""))</f>
        <v/>
      </c>
      <c r="H558" s="26">
        <f>IF(C558="","",IF(G558="","Pick a loan",IFERROR(IF(INDEX(Loans!$C$6:$C$305,MATCH(G558,Loans!$B$6:$B$305,0))="","Not a loan",INDEX(Loans!$C$6:$C$305,MATCH(G558,Loans!$B$6:$B$305,0))),"Not a loan")))</f>
        <v/>
      </c>
      <c r="I558" s="10">
        <f>IF(OR(G558="",H558="Not a loan"),"",IF(INDEX(Loans!$D$6:$D$305,MATCH(G558,Loans!$B$6:$B$305,0))="I borrowed","Out","In"))</f>
        <v/>
      </c>
      <c r="J558" s="1">
        <f>IF(NOT(ISNUMBER(B558)),"",YEAR(B558)*100+MONTH(B558))</f>
        <v/>
      </c>
      <c r="K558">
        <f>IF(OR(G558="",NOT(ISNUMBER(B558))),"",IF(G558=Statement!$H$2,B558*1000+ROW(),""))</f>
        <v/>
      </c>
    </row>
    <row r="559">
      <c r="A559" s="1" t="n"/>
      <c r="B559" s="18" t="n"/>
      <c r="C559" s="16" t="n"/>
      <c r="D559" s="19" t="n"/>
      <c r="E559" s="17" t="n"/>
      <c r="F559" s="22" t="n"/>
      <c r="G559" s="14">
        <f>IF(C559="","",IFERROR(VALUE(LEFT(C559,FIND(" ",C559&amp;" ")-1)),""))</f>
        <v/>
      </c>
      <c r="H559" s="26">
        <f>IF(C559="","",IF(G559="","Pick a loan",IFERROR(IF(INDEX(Loans!$C$6:$C$305,MATCH(G559,Loans!$B$6:$B$305,0))="","Not a loan",INDEX(Loans!$C$6:$C$305,MATCH(G559,Loans!$B$6:$B$305,0))),"Not a loan")))</f>
        <v/>
      </c>
      <c r="I559" s="10">
        <f>IF(OR(G559="",H559="Not a loan"),"",IF(INDEX(Loans!$D$6:$D$305,MATCH(G559,Loans!$B$6:$B$305,0))="I borrowed","Out","In"))</f>
        <v/>
      </c>
      <c r="J559" s="1">
        <f>IF(NOT(ISNUMBER(B559)),"",YEAR(B559)*100+MONTH(B559))</f>
        <v/>
      </c>
      <c r="K559">
        <f>IF(OR(G559="",NOT(ISNUMBER(B559))),"",IF(G559=Statement!$H$2,B559*1000+ROW(),""))</f>
        <v/>
      </c>
    </row>
    <row r="560">
      <c r="A560" s="1" t="n"/>
      <c r="B560" s="18" t="n"/>
      <c r="C560" s="16" t="n"/>
      <c r="D560" s="19" t="n"/>
      <c r="E560" s="17" t="n"/>
      <c r="F560" s="22" t="n"/>
      <c r="G560" s="14">
        <f>IF(C560="","",IFERROR(VALUE(LEFT(C560,FIND(" ",C560&amp;" ")-1)),""))</f>
        <v/>
      </c>
      <c r="H560" s="26">
        <f>IF(C560="","",IF(G560="","Pick a loan",IFERROR(IF(INDEX(Loans!$C$6:$C$305,MATCH(G560,Loans!$B$6:$B$305,0))="","Not a loan",INDEX(Loans!$C$6:$C$305,MATCH(G560,Loans!$B$6:$B$305,0))),"Not a loan")))</f>
        <v/>
      </c>
      <c r="I560" s="10">
        <f>IF(OR(G560="",H560="Not a loan"),"",IF(INDEX(Loans!$D$6:$D$305,MATCH(G560,Loans!$B$6:$B$305,0))="I borrowed","Out","In"))</f>
        <v/>
      </c>
      <c r="J560" s="1">
        <f>IF(NOT(ISNUMBER(B560)),"",YEAR(B560)*100+MONTH(B560))</f>
        <v/>
      </c>
      <c r="K560">
        <f>IF(OR(G560="",NOT(ISNUMBER(B560))),"",IF(G560=Statement!$H$2,B560*1000+ROW(),""))</f>
        <v/>
      </c>
    </row>
    <row r="561">
      <c r="A561" s="1" t="n"/>
      <c r="B561" s="18" t="n"/>
      <c r="C561" s="16" t="n"/>
      <c r="D561" s="19" t="n"/>
      <c r="E561" s="17" t="n"/>
      <c r="F561" s="22" t="n"/>
      <c r="G561" s="14">
        <f>IF(C561="","",IFERROR(VALUE(LEFT(C561,FIND(" ",C561&amp;" ")-1)),""))</f>
        <v/>
      </c>
      <c r="H561" s="26">
        <f>IF(C561="","",IF(G561="","Pick a loan",IFERROR(IF(INDEX(Loans!$C$6:$C$305,MATCH(G561,Loans!$B$6:$B$305,0))="","Not a loan",INDEX(Loans!$C$6:$C$305,MATCH(G561,Loans!$B$6:$B$305,0))),"Not a loan")))</f>
        <v/>
      </c>
      <c r="I561" s="10">
        <f>IF(OR(G561="",H561="Not a loan"),"",IF(INDEX(Loans!$D$6:$D$305,MATCH(G561,Loans!$B$6:$B$305,0))="I borrowed","Out","In"))</f>
        <v/>
      </c>
      <c r="J561" s="1">
        <f>IF(NOT(ISNUMBER(B561)),"",YEAR(B561)*100+MONTH(B561))</f>
        <v/>
      </c>
      <c r="K561">
        <f>IF(OR(G561="",NOT(ISNUMBER(B561))),"",IF(G561=Statement!$H$2,B561*1000+ROW(),""))</f>
        <v/>
      </c>
    </row>
    <row r="562">
      <c r="A562" s="1" t="n"/>
      <c r="B562" s="18" t="n"/>
      <c r="C562" s="16" t="n"/>
      <c r="D562" s="19" t="n"/>
      <c r="E562" s="17" t="n"/>
      <c r="F562" s="22" t="n"/>
      <c r="G562" s="14">
        <f>IF(C562="","",IFERROR(VALUE(LEFT(C562,FIND(" ",C562&amp;" ")-1)),""))</f>
        <v/>
      </c>
      <c r="H562" s="26">
        <f>IF(C562="","",IF(G562="","Pick a loan",IFERROR(IF(INDEX(Loans!$C$6:$C$305,MATCH(G562,Loans!$B$6:$B$305,0))="","Not a loan",INDEX(Loans!$C$6:$C$305,MATCH(G562,Loans!$B$6:$B$305,0))),"Not a loan")))</f>
        <v/>
      </c>
      <c r="I562" s="10">
        <f>IF(OR(G562="",H562="Not a loan"),"",IF(INDEX(Loans!$D$6:$D$305,MATCH(G562,Loans!$B$6:$B$305,0))="I borrowed","Out","In"))</f>
        <v/>
      </c>
      <c r="J562" s="1">
        <f>IF(NOT(ISNUMBER(B562)),"",YEAR(B562)*100+MONTH(B562))</f>
        <v/>
      </c>
      <c r="K562">
        <f>IF(OR(G562="",NOT(ISNUMBER(B562))),"",IF(G562=Statement!$H$2,B562*1000+ROW(),""))</f>
        <v/>
      </c>
    </row>
    <row r="563">
      <c r="A563" s="1" t="n"/>
      <c r="B563" s="18" t="n"/>
      <c r="C563" s="16" t="n"/>
      <c r="D563" s="19" t="n"/>
      <c r="E563" s="17" t="n"/>
      <c r="F563" s="22" t="n"/>
      <c r="G563" s="14">
        <f>IF(C563="","",IFERROR(VALUE(LEFT(C563,FIND(" ",C563&amp;" ")-1)),""))</f>
        <v/>
      </c>
      <c r="H563" s="26">
        <f>IF(C563="","",IF(G563="","Pick a loan",IFERROR(IF(INDEX(Loans!$C$6:$C$305,MATCH(G563,Loans!$B$6:$B$305,0))="","Not a loan",INDEX(Loans!$C$6:$C$305,MATCH(G563,Loans!$B$6:$B$305,0))),"Not a loan")))</f>
        <v/>
      </c>
      <c r="I563" s="10">
        <f>IF(OR(G563="",H563="Not a loan"),"",IF(INDEX(Loans!$D$6:$D$305,MATCH(G563,Loans!$B$6:$B$305,0))="I borrowed","Out","In"))</f>
        <v/>
      </c>
      <c r="J563" s="1">
        <f>IF(NOT(ISNUMBER(B563)),"",YEAR(B563)*100+MONTH(B563))</f>
        <v/>
      </c>
      <c r="K563">
        <f>IF(OR(G563="",NOT(ISNUMBER(B563))),"",IF(G563=Statement!$H$2,B563*1000+ROW(),""))</f>
        <v/>
      </c>
    </row>
    <row r="564">
      <c r="A564" s="1" t="n"/>
      <c r="B564" s="18" t="n"/>
      <c r="C564" s="16" t="n"/>
      <c r="D564" s="19" t="n"/>
      <c r="E564" s="17" t="n"/>
      <c r="F564" s="22" t="n"/>
      <c r="G564" s="14">
        <f>IF(C564="","",IFERROR(VALUE(LEFT(C564,FIND(" ",C564&amp;" ")-1)),""))</f>
        <v/>
      </c>
      <c r="H564" s="26">
        <f>IF(C564="","",IF(G564="","Pick a loan",IFERROR(IF(INDEX(Loans!$C$6:$C$305,MATCH(G564,Loans!$B$6:$B$305,0))="","Not a loan",INDEX(Loans!$C$6:$C$305,MATCH(G564,Loans!$B$6:$B$305,0))),"Not a loan")))</f>
        <v/>
      </c>
      <c r="I564" s="10">
        <f>IF(OR(G564="",H564="Not a loan"),"",IF(INDEX(Loans!$D$6:$D$305,MATCH(G564,Loans!$B$6:$B$305,0))="I borrowed","Out","In"))</f>
        <v/>
      </c>
      <c r="J564" s="1">
        <f>IF(NOT(ISNUMBER(B564)),"",YEAR(B564)*100+MONTH(B564))</f>
        <v/>
      </c>
      <c r="K564">
        <f>IF(OR(G564="",NOT(ISNUMBER(B564))),"",IF(G564=Statement!$H$2,B564*1000+ROW(),""))</f>
        <v/>
      </c>
    </row>
    <row r="565">
      <c r="A565" s="1" t="n"/>
      <c r="B565" s="18" t="n"/>
      <c r="C565" s="16" t="n"/>
      <c r="D565" s="19" t="n"/>
      <c r="E565" s="17" t="n"/>
      <c r="F565" s="22" t="n"/>
      <c r="G565" s="14">
        <f>IF(C565="","",IFERROR(VALUE(LEFT(C565,FIND(" ",C565&amp;" ")-1)),""))</f>
        <v/>
      </c>
      <c r="H565" s="26">
        <f>IF(C565="","",IF(G565="","Pick a loan",IFERROR(IF(INDEX(Loans!$C$6:$C$305,MATCH(G565,Loans!$B$6:$B$305,0))="","Not a loan",INDEX(Loans!$C$6:$C$305,MATCH(G565,Loans!$B$6:$B$305,0))),"Not a loan")))</f>
        <v/>
      </c>
      <c r="I565" s="10">
        <f>IF(OR(G565="",H565="Not a loan"),"",IF(INDEX(Loans!$D$6:$D$305,MATCH(G565,Loans!$B$6:$B$305,0))="I borrowed","Out","In"))</f>
        <v/>
      </c>
      <c r="J565" s="1">
        <f>IF(NOT(ISNUMBER(B565)),"",YEAR(B565)*100+MONTH(B565))</f>
        <v/>
      </c>
      <c r="K565">
        <f>IF(OR(G565="",NOT(ISNUMBER(B565))),"",IF(G565=Statement!$H$2,B565*1000+ROW(),""))</f>
        <v/>
      </c>
    </row>
    <row r="566">
      <c r="A566" s="1" t="n"/>
      <c r="B566" s="18" t="n"/>
      <c r="C566" s="16" t="n"/>
      <c r="D566" s="19" t="n"/>
      <c r="E566" s="17" t="n"/>
      <c r="F566" s="22" t="n"/>
      <c r="G566" s="14">
        <f>IF(C566="","",IFERROR(VALUE(LEFT(C566,FIND(" ",C566&amp;" ")-1)),""))</f>
        <v/>
      </c>
      <c r="H566" s="26">
        <f>IF(C566="","",IF(G566="","Pick a loan",IFERROR(IF(INDEX(Loans!$C$6:$C$305,MATCH(G566,Loans!$B$6:$B$305,0))="","Not a loan",INDEX(Loans!$C$6:$C$305,MATCH(G566,Loans!$B$6:$B$305,0))),"Not a loan")))</f>
        <v/>
      </c>
      <c r="I566" s="10">
        <f>IF(OR(G566="",H566="Not a loan"),"",IF(INDEX(Loans!$D$6:$D$305,MATCH(G566,Loans!$B$6:$B$305,0))="I borrowed","Out","In"))</f>
        <v/>
      </c>
      <c r="J566" s="1">
        <f>IF(NOT(ISNUMBER(B566)),"",YEAR(B566)*100+MONTH(B566))</f>
        <v/>
      </c>
      <c r="K566">
        <f>IF(OR(G566="",NOT(ISNUMBER(B566))),"",IF(G566=Statement!$H$2,B566*1000+ROW(),""))</f>
        <v/>
      </c>
    </row>
    <row r="567">
      <c r="A567" s="1" t="n"/>
      <c r="B567" s="18" t="n"/>
      <c r="C567" s="16" t="n"/>
      <c r="D567" s="19" t="n"/>
      <c r="E567" s="17" t="n"/>
      <c r="F567" s="22" t="n"/>
      <c r="G567" s="14">
        <f>IF(C567="","",IFERROR(VALUE(LEFT(C567,FIND(" ",C567&amp;" ")-1)),""))</f>
        <v/>
      </c>
      <c r="H567" s="26">
        <f>IF(C567="","",IF(G567="","Pick a loan",IFERROR(IF(INDEX(Loans!$C$6:$C$305,MATCH(G567,Loans!$B$6:$B$305,0))="","Not a loan",INDEX(Loans!$C$6:$C$305,MATCH(G567,Loans!$B$6:$B$305,0))),"Not a loan")))</f>
        <v/>
      </c>
      <c r="I567" s="10">
        <f>IF(OR(G567="",H567="Not a loan"),"",IF(INDEX(Loans!$D$6:$D$305,MATCH(G567,Loans!$B$6:$B$305,0))="I borrowed","Out","In"))</f>
        <v/>
      </c>
      <c r="J567" s="1">
        <f>IF(NOT(ISNUMBER(B567)),"",YEAR(B567)*100+MONTH(B567))</f>
        <v/>
      </c>
      <c r="K567">
        <f>IF(OR(G567="",NOT(ISNUMBER(B567))),"",IF(G567=Statement!$H$2,B567*1000+ROW(),""))</f>
        <v/>
      </c>
    </row>
    <row r="568">
      <c r="A568" s="1" t="n"/>
      <c r="B568" s="18" t="n"/>
      <c r="C568" s="16" t="n"/>
      <c r="D568" s="19" t="n"/>
      <c r="E568" s="17" t="n"/>
      <c r="F568" s="22" t="n"/>
      <c r="G568" s="14">
        <f>IF(C568="","",IFERROR(VALUE(LEFT(C568,FIND(" ",C568&amp;" ")-1)),""))</f>
        <v/>
      </c>
      <c r="H568" s="26">
        <f>IF(C568="","",IF(G568="","Pick a loan",IFERROR(IF(INDEX(Loans!$C$6:$C$305,MATCH(G568,Loans!$B$6:$B$305,0))="","Not a loan",INDEX(Loans!$C$6:$C$305,MATCH(G568,Loans!$B$6:$B$305,0))),"Not a loan")))</f>
        <v/>
      </c>
      <c r="I568" s="10">
        <f>IF(OR(G568="",H568="Not a loan"),"",IF(INDEX(Loans!$D$6:$D$305,MATCH(G568,Loans!$B$6:$B$305,0))="I borrowed","Out","In"))</f>
        <v/>
      </c>
      <c r="J568" s="1">
        <f>IF(NOT(ISNUMBER(B568)),"",YEAR(B568)*100+MONTH(B568))</f>
        <v/>
      </c>
      <c r="K568">
        <f>IF(OR(G568="",NOT(ISNUMBER(B568))),"",IF(G568=Statement!$H$2,B568*1000+ROW(),""))</f>
        <v/>
      </c>
    </row>
    <row r="569">
      <c r="A569" s="1" t="n"/>
      <c r="B569" s="18" t="n"/>
      <c r="C569" s="16" t="n"/>
      <c r="D569" s="19" t="n"/>
      <c r="E569" s="17" t="n"/>
      <c r="F569" s="22" t="n"/>
      <c r="G569" s="14">
        <f>IF(C569="","",IFERROR(VALUE(LEFT(C569,FIND(" ",C569&amp;" ")-1)),""))</f>
        <v/>
      </c>
      <c r="H569" s="26">
        <f>IF(C569="","",IF(G569="","Pick a loan",IFERROR(IF(INDEX(Loans!$C$6:$C$305,MATCH(G569,Loans!$B$6:$B$305,0))="","Not a loan",INDEX(Loans!$C$6:$C$305,MATCH(G569,Loans!$B$6:$B$305,0))),"Not a loan")))</f>
        <v/>
      </c>
      <c r="I569" s="10">
        <f>IF(OR(G569="",H569="Not a loan"),"",IF(INDEX(Loans!$D$6:$D$305,MATCH(G569,Loans!$B$6:$B$305,0))="I borrowed","Out","In"))</f>
        <v/>
      </c>
      <c r="J569" s="1">
        <f>IF(NOT(ISNUMBER(B569)),"",YEAR(B569)*100+MONTH(B569))</f>
        <v/>
      </c>
      <c r="K569">
        <f>IF(OR(G569="",NOT(ISNUMBER(B569))),"",IF(G569=Statement!$H$2,B569*1000+ROW(),""))</f>
        <v/>
      </c>
    </row>
    <row r="570">
      <c r="A570" s="1" t="n"/>
      <c r="B570" s="18" t="n"/>
      <c r="C570" s="16" t="n"/>
      <c r="D570" s="19" t="n"/>
      <c r="E570" s="17" t="n"/>
      <c r="F570" s="22" t="n"/>
      <c r="G570" s="14">
        <f>IF(C570="","",IFERROR(VALUE(LEFT(C570,FIND(" ",C570&amp;" ")-1)),""))</f>
        <v/>
      </c>
      <c r="H570" s="26">
        <f>IF(C570="","",IF(G570="","Pick a loan",IFERROR(IF(INDEX(Loans!$C$6:$C$305,MATCH(G570,Loans!$B$6:$B$305,0))="","Not a loan",INDEX(Loans!$C$6:$C$305,MATCH(G570,Loans!$B$6:$B$305,0))),"Not a loan")))</f>
        <v/>
      </c>
      <c r="I570" s="10">
        <f>IF(OR(G570="",H570="Not a loan"),"",IF(INDEX(Loans!$D$6:$D$305,MATCH(G570,Loans!$B$6:$B$305,0))="I borrowed","Out","In"))</f>
        <v/>
      </c>
      <c r="J570" s="1">
        <f>IF(NOT(ISNUMBER(B570)),"",YEAR(B570)*100+MONTH(B570))</f>
        <v/>
      </c>
      <c r="K570">
        <f>IF(OR(G570="",NOT(ISNUMBER(B570))),"",IF(G570=Statement!$H$2,B570*1000+ROW(),""))</f>
        <v/>
      </c>
    </row>
    <row r="571">
      <c r="A571" s="1" t="n"/>
      <c r="B571" s="18" t="n"/>
      <c r="C571" s="16" t="n"/>
      <c r="D571" s="19" t="n"/>
      <c r="E571" s="17" t="n"/>
      <c r="F571" s="22" t="n"/>
      <c r="G571" s="14">
        <f>IF(C571="","",IFERROR(VALUE(LEFT(C571,FIND(" ",C571&amp;" ")-1)),""))</f>
        <v/>
      </c>
      <c r="H571" s="26">
        <f>IF(C571="","",IF(G571="","Pick a loan",IFERROR(IF(INDEX(Loans!$C$6:$C$305,MATCH(G571,Loans!$B$6:$B$305,0))="","Not a loan",INDEX(Loans!$C$6:$C$305,MATCH(G571,Loans!$B$6:$B$305,0))),"Not a loan")))</f>
        <v/>
      </c>
      <c r="I571" s="10">
        <f>IF(OR(G571="",H571="Not a loan"),"",IF(INDEX(Loans!$D$6:$D$305,MATCH(G571,Loans!$B$6:$B$305,0))="I borrowed","Out","In"))</f>
        <v/>
      </c>
      <c r="J571" s="1">
        <f>IF(NOT(ISNUMBER(B571)),"",YEAR(B571)*100+MONTH(B571))</f>
        <v/>
      </c>
      <c r="K571">
        <f>IF(OR(G571="",NOT(ISNUMBER(B571))),"",IF(G571=Statement!$H$2,B571*1000+ROW(),""))</f>
        <v/>
      </c>
    </row>
    <row r="572">
      <c r="A572" s="1" t="n"/>
      <c r="B572" s="18" t="n"/>
      <c r="C572" s="16" t="n"/>
      <c r="D572" s="19" t="n"/>
      <c r="E572" s="17" t="n"/>
      <c r="F572" s="22" t="n"/>
      <c r="G572" s="14">
        <f>IF(C572="","",IFERROR(VALUE(LEFT(C572,FIND(" ",C572&amp;" ")-1)),""))</f>
        <v/>
      </c>
      <c r="H572" s="26">
        <f>IF(C572="","",IF(G572="","Pick a loan",IFERROR(IF(INDEX(Loans!$C$6:$C$305,MATCH(G572,Loans!$B$6:$B$305,0))="","Not a loan",INDEX(Loans!$C$6:$C$305,MATCH(G572,Loans!$B$6:$B$305,0))),"Not a loan")))</f>
        <v/>
      </c>
      <c r="I572" s="10">
        <f>IF(OR(G572="",H572="Not a loan"),"",IF(INDEX(Loans!$D$6:$D$305,MATCH(G572,Loans!$B$6:$B$305,0))="I borrowed","Out","In"))</f>
        <v/>
      </c>
      <c r="J572" s="1">
        <f>IF(NOT(ISNUMBER(B572)),"",YEAR(B572)*100+MONTH(B572))</f>
        <v/>
      </c>
      <c r="K572">
        <f>IF(OR(G572="",NOT(ISNUMBER(B572))),"",IF(G572=Statement!$H$2,B572*1000+ROW(),""))</f>
        <v/>
      </c>
    </row>
    <row r="573">
      <c r="A573" s="1" t="n"/>
      <c r="B573" s="18" t="n"/>
      <c r="C573" s="16" t="n"/>
      <c r="D573" s="19" t="n"/>
      <c r="E573" s="17" t="n"/>
      <c r="F573" s="22" t="n"/>
      <c r="G573" s="14">
        <f>IF(C573="","",IFERROR(VALUE(LEFT(C573,FIND(" ",C573&amp;" ")-1)),""))</f>
        <v/>
      </c>
      <c r="H573" s="26">
        <f>IF(C573="","",IF(G573="","Pick a loan",IFERROR(IF(INDEX(Loans!$C$6:$C$305,MATCH(G573,Loans!$B$6:$B$305,0))="","Not a loan",INDEX(Loans!$C$6:$C$305,MATCH(G573,Loans!$B$6:$B$305,0))),"Not a loan")))</f>
        <v/>
      </c>
      <c r="I573" s="10">
        <f>IF(OR(G573="",H573="Not a loan"),"",IF(INDEX(Loans!$D$6:$D$305,MATCH(G573,Loans!$B$6:$B$305,0))="I borrowed","Out","In"))</f>
        <v/>
      </c>
      <c r="J573" s="1">
        <f>IF(NOT(ISNUMBER(B573)),"",YEAR(B573)*100+MONTH(B573))</f>
        <v/>
      </c>
      <c r="K573">
        <f>IF(OR(G573="",NOT(ISNUMBER(B573))),"",IF(G573=Statement!$H$2,B573*1000+ROW(),""))</f>
        <v/>
      </c>
    </row>
    <row r="574">
      <c r="A574" s="1" t="n"/>
      <c r="B574" s="18" t="n"/>
      <c r="C574" s="16" t="n"/>
      <c r="D574" s="19" t="n"/>
      <c r="E574" s="17" t="n"/>
      <c r="F574" s="22" t="n"/>
      <c r="G574" s="14">
        <f>IF(C574="","",IFERROR(VALUE(LEFT(C574,FIND(" ",C574&amp;" ")-1)),""))</f>
        <v/>
      </c>
      <c r="H574" s="26">
        <f>IF(C574="","",IF(G574="","Pick a loan",IFERROR(IF(INDEX(Loans!$C$6:$C$305,MATCH(G574,Loans!$B$6:$B$305,0))="","Not a loan",INDEX(Loans!$C$6:$C$305,MATCH(G574,Loans!$B$6:$B$305,0))),"Not a loan")))</f>
        <v/>
      </c>
      <c r="I574" s="10">
        <f>IF(OR(G574="",H574="Not a loan"),"",IF(INDEX(Loans!$D$6:$D$305,MATCH(G574,Loans!$B$6:$B$305,0))="I borrowed","Out","In"))</f>
        <v/>
      </c>
      <c r="J574" s="1">
        <f>IF(NOT(ISNUMBER(B574)),"",YEAR(B574)*100+MONTH(B574))</f>
        <v/>
      </c>
      <c r="K574">
        <f>IF(OR(G574="",NOT(ISNUMBER(B574))),"",IF(G574=Statement!$H$2,B574*1000+ROW(),""))</f>
        <v/>
      </c>
    </row>
    <row r="575">
      <c r="A575" s="1" t="n"/>
      <c r="B575" s="18" t="n"/>
      <c r="C575" s="16" t="n"/>
      <c r="D575" s="19" t="n"/>
      <c r="E575" s="17" t="n"/>
      <c r="F575" s="22" t="n"/>
      <c r="G575" s="14">
        <f>IF(C575="","",IFERROR(VALUE(LEFT(C575,FIND(" ",C575&amp;" ")-1)),""))</f>
        <v/>
      </c>
      <c r="H575" s="26">
        <f>IF(C575="","",IF(G575="","Pick a loan",IFERROR(IF(INDEX(Loans!$C$6:$C$305,MATCH(G575,Loans!$B$6:$B$305,0))="","Not a loan",INDEX(Loans!$C$6:$C$305,MATCH(G575,Loans!$B$6:$B$305,0))),"Not a loan")))</f>
        <v/>
      </c>
      <c r="I575" s="10">
        <f>IF(OR(G575="",H575="Not a loan"),"",IF(INDEX(Loans!$D$6:$D$305,MATCH(G575,Loans!$B$6:$B$305,0))="I borrowed","Out","In"))</f>
        <v/>
      </c>
      <c r="J575" s="1">
        <f>IF(NOT(ISNUMBER(B575)),"",YEAR(B575)*100+MONTH(B575))</f>
        <v/>
      </c>
      <c r="K575">
        <f>IF(OR(G575="",NOT(ISNUMBER(B575))),"",IF(G575=Statement!$H$2,B575*1000+ROW(),""))</f>
        <v/>
      </c>
    </row>
    <row r="576">
      <c r="A576" s="1" t="n"/>
      <c r="B576" s="18" t="n"/>
      <c r="C576" s="16" t="n"/>
      <c r="D576" s="19" t="n"/>
      <c r="E576" s="17" t="n"/>
      <c r="F576" s="22" t="n"/>
      <c r="G576" s="14">
        <f>IF(C576="","",IFERROR(VALUE(LEFT(C576,FIND(" ",C576&amp;" ")-1)),""))</f>
        <v/>
      </c>
      <c r="H576" s="26">
        <f>IF(C576="","",IF(G576="","Pick a loan",IFERROR(IF(INDEX(Loans!$C$6:$C$305,MATCH(G576,Loans!$B$6:$B$305,0))="","Not a loan",INDEX(Loans!$C$6:$C$305,MATCH(G576,Loans!$B$6:$B$305,0))),"Not a loan")))</f>
        <v/>
      </c>
      <c r="I576" s="10">
        <f>IF(OR(G576="",H576="Not a loan"),"",IF(INDEX(Loans!$D$6:$D$305,MATCH(G576,Loans!$B$6:$B$305,0))="I borrowed","Out","In"))</f>
        <v/>
      </c>
      <c r="J576" s="1">
        <f>IF(NOT(ISNUMBER(B576)),"",YEAR(B576)*100+MONTH(B576))</f>
        <v/>
      </c>
      <c r="K576">
        <f>IF(OR(G576="",NOT(ISNUMBER(B576))),"",IF(G576=Statement!$H$2,B576*1000+ROW(),""))</f>
        <v/>
      </c>
    </row>
    <row r="577">
      <c r="A577" s="1" t="n"/>
      <c r="B577" s="18" t="n"/>
      <c r="C577" s="16" t="n"/>
      <c r="D577" s="19" t="n"/>
      <c r="E577" s="17" t="n"/>
      <c r="F577" s="22" t="n"/>
      <c r="G577" s="14">
        <f>IF(C577="","",IFERROR(VALUE(LEFT(C577,FIND(" ",C577&amp;" ")-1)),""))</f>
        <v/>
      </c>
      <c r="H577" s="26">
        <f>IF(C577="","",IF(G577="","Pick a loan",IFERROR(IF(INDEX(Loans!$C$6:$C$305,MATCH(G577,Loans!$B$6:$B$305,0))="","Not a loan",INDEX(Loans!$C$6:$C$305,MATCH(G577,Loans!$B$6:$B$305,0))),"Not a loan")))</f>
        <v/>
      </c>
      <c r="I577" s="10">
        <f>IF(OR(G577="",H577="Not a loan"),"",IF(INDEX(Loans!$D$6:$D$305,MATCH(G577,Loans!$B$6:$B$305,0))="I borrowed","Out","In"))</f>
        <v/>
      </c>
      <c r="J577" s="1">
        <f>IF(NOT(ISNUMBER(B577)),"",YEAR(B577)*100+MONTH(B577))</f>
        <v/>
      </c>
      <c r="K577">
        <f>IF(OR(G577="",NOT(ISNUMBER(B577))),"",IF(G577=Statement!$H$2,B577*1000+ROW(),""))</f>
        <v/>
      </c>
    </row>
    <row r="578">
      <c r="A578" s="1" t="n"/>
      <c r="B578" s="18" t="n"/>
      <c r="C578" s="16" t="n"/>
      <c r="D578" s="19" t="n"/>
      <c r="E578" s="17" t="n"/>
      <c r="F578" s="22" t="n"/>
      <c r="G578" s="14">
        <f>IF(C578="","",IFERROR(VALUE(LEFT(C578,FIND(" ",C578&amp;" ")-1)),""))</f>
        <v/>
      </c>
      <c r="H578" s="26">
        <f>IF(C578="","",IF(G578="","Pick a loan",IFERROR(IF(INDEX(Loans!$C$6:$C$305,MATCH(G578,Loans!$B$6:$B$305,0))="","Not a loan",INDEX(Loans!$C$6:$C$305,MATCH(G578,Loans!$B$6:$B$305,0))),"Not a loan")))</f>
        <v/>
      </c>
      <c r="I578" s="10">
        <f>IF(OR(G578="",H578="Not a loan"),"",IF(INDEX(Loans!$D$6:$D$305,MATCH(G578,Loans!$B$6:$B$305,0))="I borrowed","Out","In"))</f>
        <v/>
      </c>
      <c r="J578" s="1">
        <f>IF(NOT(ISNUMBER(B578)),"",YEAR(B578)*100+MONTH(B578))</f>
        <v/>
      </c>
      <c r="K578">
        <f>IF(OR(G578="",NOT(ISNUMBER(B578))),"",IF(G578=Statement!$H$2,B578*1000+ROW(),""))</f>
        <v/>
      </c>
    </row>
    <row r="579">
      <c r="A579" s="1" t="n"/>
      <c r="B579" s="18" t="n"/>
      <c r="C579" s="16" t="n"/>
      <c r="D579" s="19" t="n"/>
      <c r="E579" s="17" t="n"/>
      <c r="F579" s="22" t="n"/>
      <c r="G579" s="14">
        <f>IF(C579="","",IFERROR(VALUE(LEFT(C579,FIND(" ",C579&amp;" ")-1)),""))</f>
        <v/>
      </c>
      <c r="H579" s="26">
        <f>IF(C579="","",IF(G579="","Pick a loan",IFERROR(IF(INDEX(Loans!$C$6:$C$305,MATCH(G579,Loans!$B$6:$B$305,0))="","Not a loan",INDEX(Loans!$C$6:$C$305,MATCH(G579,Loans!$B$6:$B$305,0))),"Not a loan")))</f>
        <v/>
      </c>
      <c r="I579" s="10">
        <f>IF(OR(G579="",H579="Not a loan"),"",IF(INDEX(Loans!$D$6:$D$305,MATCH(G579,Loans!$B$6:$B$305,0))="I borrowed","Out","In"))</f>
        <v/>
      </c>
      <c r="J579" s="1">
        <f>IF(NOT(ISNUMBER(B579)),"",YEAR(B579)*100+MONTH(B579))</f>
        <v/>
      </c>
      <c r="K579">
        <f>IF(OR(G579="",NOT(ISNUMBER(B579))),"",IF(G579=Statement!$H$2,B579*1000+ROW(),""))</f>
        <v/>
      </c>
    </row>
    <row r="580">
      <c r="A580" s="1" t="n"/>
      <c r="B580" s="18" t="n"/>
      <c r="C580" s="16" t="n"/>
      <c r="D580" s="19" t="n"/>
      <c r="E580" s="17" t="n"/>
      <c r="F580" s="22" t="n"/>
      <c r="G580" s="14">
        <f>IF(C580="","",IFERROR(VALUE(LEFT(C580,FIND(" ",C580&amp;" ")-1)),""))</f>
        <v/>
      </c>
      <c r="H580" s="26">
        <f>IF(C580="","",IF(G580="","Pick a loan",IFERROR(IF(INDEX(Loans!$C$6:$C$305,MATCH(G580,Loans!$B$6:$B$305,0))="","Not a loan",INDEX(Loans!$C$6:$C$305,MATCH(G580,Loans!$B$6:$B$305,0))),"Not a loan")))</f>
        <v/>
      </c>
      <c r="I580" s="10">
        <f>IF(OR(G580="",H580="Not a loan"),"",IF(INDEX(Loans!$D$6:$D$305,MATCH(G580,Loans!$B$6:$B$305,0))="I borrowed","Out","In"))</f>
        <v/>
      </c>
      <c r="J580" s="1">
        <f>IF(NOT(ISNUMBER(B580)),"",YEAR(B580)*100+MONTH(B580))</f>
        <v/>
      </c>
      <c r="K580">
        <f>IF(OR(G580="",NOT(ISNUMBER(B580))),"",IF(G580=Statement!$H$2,B580*1000+ROW(),""))</f>
        <v/>
      </c>
    </row>
    <row r="581">
      <c r="A581" s="1" t="n"/>
      <c r="B581" s="18" t="n"/>
      <c r="C581" s="16" t="n"/>
      <c r="D581" s="19" t="n"/>
      <c r="E581" s="17" t="n"/>
      <c r="F581" s="22" t="n"/>
      <c r="G581" s="14">
        <f>IF(C581="","",IFERROR(VALUE(LEFT(C581,FIND(" ",C581&amp;" ")-1)),""))</f>
        <v/>
      </c>
      <c r="H581" s="26">
        <f>IF(C581="","",IF(G581="","Pick a loan",IFERROR(IF(INDEX(Loans!$C$6:$C$305,MATCH(G581,Loans!$B$6:$B$305,0))="","Not a loan",INDEX(Loans!$C$6:$C$305,MATCH(G581,Loans!$B$6:$B$305,0))),"Not a loan")))</f>
        <v/>
      </c>
      <c r="I581" s="10">
        <f>IF(OR(G581="",H581="Not a loan"),"",IF(INDEX(Loans!$D$6:$D$305,MATCH(G581,Loans!$B$6:$B$305,0))="I borrowed","Out","In"))</f>
        <v/>
      </c>
      <c r="J581" s="1">
        <f>IF(NOT(ISNUMBER(B581)),"",YEAR(B581)*100+MONTH(B581))</f>
        <v/>
      </c>
      <c r="K581">
        <f>IF(OR(G581="",NOT(ISNUMBER(B581))),"",IF(G581=Statement!$H$2,B581*1000+ROW(),""))</f>
        <v/>
      </c>
    </row>
    <row r="582">
      <c r="A582" s="1" t="n"/>
      <c r="B582" s="18" t="n"/>
      <c r="C582" s="16" t="n"/>
      <c r="D582" s="19" t="n"/>
      <c r="E582" s="17" t="n"/>
      <c r="F582" s="22" t="n"/>
      <c r="G582" s="14">
        <f>IF(C582="","",IFERROR(VALUE(LEFT(C582,FIND(" ",C582&amp;" ")-1)),""))</f>
        <v/>
      </c>
      <c r="H582" s="26">
        <f>IF(C582="","",IF(G582="","Pick a loan",IFERROR(IF(INDEX(Loans!$C$6:$C$305,MATCH(G582,Loans!$B$6:$B$305,0))="","Not a loan",INDEX(Loans!$C$6:$C$305,MATCH(G582,Loans!$B$6:$B$305,0))),"Not a loan")))</f>
        <v/>
      </c>
      <c r="I582" s="10">
        <f>IF(OR(G582="",H582="Not a loan"),"",IF(INDEX(Loans!$D$6:$D$305,MATCH(G582,Loans!$B$6:$B$305,0))="I borrowed","Out","In"))</f>
        <v/>
      </c>
      <c r="J582" s="1">
        <f>IF(NOT(ISNUMBER(B582)),"",YEAR(B582)*100+MONTH(B582))</f>
        <v/>
      </c>
      <c r="K582">
        <f>IF(OR(G582="",NOT(ISNUMBER(B582))),"",IF(G582=Statement!$H$2,B582*1000+ROW(),""))</f>
        <v/>
      </c>
    </row>
    <row r="583">
      <c r="A583" s="1" t="n"/>
      <c r="B583" s="18" t="n"/>
      <c r="C583" s="16" t="n"/>
      <c r="D583" s="19" t="n"/>
      <c r="E583" s="17" t="n"/>
      <c r="F583" s="22" t="n"/>
      <c r="G583" s="14">
        <f>IF(C583="","",IFERROR(VALUE(LEFT(C583,FIND(" ",C583&amp;" ")-1)),""))</f>
        <v/>
      </c>
      <c r="H583" s="26">
        <f>IF(C583="","",IF(G583="","Pick a loan",IFERROR(IF(INDEX(Loans!$C$6:$C$305,MATCH(G583,Loans!$B$6:$B$305,0))="","Not a loan",INDEX(Loans!$C$6:$C$305,MATCH(G583,Loans!$B$6:$B$305,0))),"Not a loan")))</f>
        <v/>
      </c>
      <c r="I583" s="10">
        <f>IF(OR(G583="",H583="Not a loan"),"",IF(INDEX(Loans!$D$6:$D$305,MATCH(G583,Loans!$B$6:$B$305,0))="I borrowed","Out","In"))</f>
        <v/>
      </c>
      <c r="J583" s="1">
        <f>IF(NOT(ISNUMBER(B583)),"",YEAR(B583)*100+MONTH(B583))</f>
        <v/>
      </c>
      <c r="K583">
        <f>IF(OR(G583="",NOT(ISNUMBER(B583))),"",IF(G583=Statement!$H$2,B583*1000+ROW(),""))</f>
        <v/>
      </c>
    </row>
    <row r="584">
      <c r="A584" s="1" t="n"/>
      <c r="B584" s="18" t="n"/>
      <c r="C584" s="16" t="n"/>
      <c r="D584" s="19" t="n"/>
      <c r="E584" s="17" t="n"/>
      <c r="F584" s="22" t="n"/>
      <c r="G584" s="14">
        <f>IF(C584="","",IFERROR(VALUE(LEFT(C584,FIND(" ",C584&amp;" ")-1)),""))</f>
        <v/>
      </c>
      <c r="H584" s="26">
        <f>IF(C584="","",IF(G584="","Pick a loan",IFERROR(IF(INDEX(Loans!$C$6:$C$305,MATCH(G584,Loans!$B$6:$B$305,0))="","Not a loan",INDEX(Loans!$C$6:$C$305,MATCH(G584,Loans!$B$6:$B$305,0))),"Not a loan")))</f>
        <v/>
      </c>
      <c r="I584" s="10">
        <f>IF(OR(G584="",H584="Not a loan"),"",IF(INDEX(Loans!$D$6:$D$305,MATCH(G584,Loans!$B$6:$B$305,0))="I borrowed","Out","In"))</f>
        <v/>
      </c>
      <c r="J584" s="1">
        <f>IF(NOT(ISNUMBER(B584)),"",YEAR(B584)*100+MONTH(B584))</f>
        <v/>
      </c>
      <c r="K584">
        <f>IF(OR(G584="",NOT(ISNUMBER(B584))),"",IF(G584=Statement!$H$2,B584*1000+ROW(),""))</f>
        <v/>
      </c>
    </row>
    <row r="585">
      <c r="A585" s="1" t="n"/>
      <c r="B585" s="18" t="n"/>
      <c r="C585" s="16" t="n"/>
      <c r="D585" s="19" t="n"/>
      <c r="E585" s="17" t="n"/>
      <c r="F585" s="22" t="n"/>
      <c r="G585" s="14">
        <f>IF(C585="","",IFERROR(VALUE(LEFT(C585,FIND(" ",C585&amp;" ")-1)),""))</f>
        <v/>
      </c>
      <c r="H585" s="26">
        <f>IF(C585="","",IF(G585="","Pick a loan",IFERROR(IF(INDEX(Loans!$C$6:$C$305,MATCH(G585,Loans!$B$6:$B$305,0))="","Not a loan",INDEX(Loans!$C$6:$C$305,MATCH(G585,Loans!$B$6:$B$305,0))),"Not a loan")))</f>
        <v/>
      </c>
      <c r="I585" s="10">
        <f>IF(OR(G585="",H585="Not a loan"),"",IF(INDEX(Loans!$D$6:$D$305,MATCH(G585,Loans!$B$6:$B$305,0))="I borrowed","Out","In"))</f>
        <v/>
      </c>
      <c r="J585" s="1">
        <f>IF(NOT(ISNUMBER(B585)),"",YEAR(B585)*100+MONTH(B585))</f>
        <v/>
      </c>
      <c r="K585">
        <f>IF(OR(G585="",NOT(ISNUMBER(B585))),"",IF(G585=Statement!$H$2,B585*1000+ROW(),""))</f>
        <v/>
      </c>
    </row>
    <row r="586">
      <c r="A586" s="1" t="n"/>
      <c r="B586" s="18" t="n"/>
      <c r="C586" s="16" t="n"/>
      <c r="D586" s="19" t="n"/>
      <c r="E586" s="17" t="n"/>
      <c r="F586" s="22" t="n"/>
      <c r="G586" s="14">
        <f>IF(C586="","",IFERROR(VALUE(LEFT(C586,FIND(" ",C586&amp;" ")-1)),""))</f>
        <v/>
      </c>
      <c r="H586" s="26">
        <f>IF(C586="","",IF(G586="","Pick a loan",IFERROR(IF(INDEX(Loans!$C$6:$C$305,MATCH(G586,Loans!$B$6:$B$305,0))="","Not a loan",INDEX(Loans!$C$6:$C$305,MATCH(G586,Loans!$B$6:$B$305,0))),"Not a loan")))</f>
        <v/>
      </c>
      <c r="I586" s="10">
        <f>IF(OR(G586="",H586="Not a loan"),"",IF(INDEX(Loans!$D$6:$D$305,MATCH(G586,Loans!$B$6:$B$305,0))="I borrowed","Out","In"))</f>
        <v/>
      </c>
      <c r="J586" s="1">
        <f>IF(NOT(ISNUMBER(B586)),"",YEAR(B586)*100+MONTH(B586))</f>
        <v/>
      </c>
      <c r="K586">
        <f>IF(OR(G586="",NOT(ISNUMBER(B586))),"",IF(G586=Statement!$H$2,B586*1000+ROW(),""))</f>
        <v/>
      </c>
    </row>
    <row r="587">
      <c r="A587" s="1" t="n"/>
      <c r="B587" s="18" t="n"/>
      <c r="C587" s="16" t="n"/>
      <c r="D587" s="19" t="n"/>
      <c r="E587" s="17" t="n"/>
      <c r="F587" s="22" t="n"/>
      <c r="G587" s="14">
        <f>IF(C587="","",IFERROR(VALUE(LEFT(C587,FIND(" ",C587&amp;" ")-1)),""))</f>
        <v/>
      </c>
      <c r="H587" s="26">
        <f>IF(C587="","",IF(G587="","Pick a loan",IFERROR(IF(INDEX(Loans!$C$6:$C$305,MATCH(G587,Loans!$B$6:$B$305,0))="","Not a loan",INDEX(Loans!$C$6:$C$305,MATCH(G587,Loans!$B$6:$B$305,0))),"Not a loan")))</f>
        <v/>
      </c>
      <c r="I587" s="10">
        <f>IF(OR(G587="",H587="Not a loan"),"",IF(INDEX(Loans!$D$6:$D$305,MATCH(G587,Loans!$B$6:$B$305,0))="I borrowed","Out","In"))</f>
        <v/>
      </c>
      <c r="J587" s="1">
        <f>IF(NOT(ISNUMBER(B587)),"",YEAR(B587)*100+MONTH(B587))</f>
        <v/>
      </c>
      <c r="K587">
        <f>IF(OR(G587="",NOT(ISNUMBER(B587))),"",IF(G587=Statement!$H$2,B587*1000+ROW(),""))</f>
        <v/>
      </c>
    </row>
    <row r="588">
      <c r="A588" s="1" t="n"/>
      <c r="B588" s="18" t="n"/>
      <c r="C588" s="16" t="n"/>
      <c r="D588" s="19" t="n"/>
      <c r="E588" s="17" t="n"/>
      <c r="F588" s="22" t="n"/>
      <c r="G588" s="14">
        <f>IF(C588="","",IFERROR(VALUE(LEFT(C588,FIND(" ",C588&amp;" ")-1)),""))</f>
        <v/>
      </c>
      <c r="H588" s="26">
        <f>IF(C588="","",IF(G588="","Pick a loan",IFERROR(IF(INDEX(Loans!$C$6:$C$305,MATCH(G588,Loans!$B$6:$B$305,0))="","Not a loan",INDEX(Loans!$C$6:$C$305,MATCH(G588,Loans!$B$6:$B$305,0))),"Not a loan")))</f>
        <v/>
      </c>
      <c r="I588" s="10">
        <f>IF(OR(G588="",H588="Not a loan"),"",IF(INDEX(Loans!$D$6:$D$305,MATCH(G588,Loans!$B$6:$B$305,0))="I borrowed","Out","In"))</f>
        <v/>
      </c>
      <c r="J588" s="1">
        <f>IF(NOT(ISNUMBER(B588)),"",YEAR(B588)*100+MONTH(B588))</f>
        <v/>
      </c>
      <c r="K588">
        <f>IF(OR(G588="",NOT(ISNUMBER(B588))),"",IF(G588=Statement!$H$2,B588*1000+ROW(),""))</f>
        <v/>
      </c>
    </row>
    <row r="589">
      <c r="A589" s="1" t="n"/>
      <c r="B589" s="18" t="n"/>
      <c r="C589" s="16" t="n"/>
      <c r="D589" s="19" t="n"/>
      <c r="E589" s="17" t="n"/>
      <c r="F589" s="22" t="n"/>
      <c r="G589" s="14">
        <f>IF(C589="","",IFERROR(VALUE(LEFT(C589,FIND(" ",C589&amp;" ")-1)),""))</f>
        <v/>
      </c>
      <c r="H589" s="26">
        <f>IF(C589="","",IF(G589="","Pick a loan",IFERROR(IF(INDEX(Loans!$C$6:$C$305,MATCH(G589,Loans!$B$6:$B$305,0))="","Not a loan",INDEX(Loans!$C$6:$C$305,MATCH(G589,Loans!$B$6:$B$305,0))),"Not a loan")))</f>
        <v/>
      </c>
      <c r="I589" s="10">
        <f>IF(OR(G589="",H589="Not a loan"),"",IF(INDEX(Loans!$D$6:$D$305,MATCH(G589,Loans!$B$6:$B$305,0))="I borrowed","Out","In"))</f>
        <v/>
      </c>
      <c r="J589" s="1">
        <f>IF(NOT(ISNUMBER(B589)),"",YEAR(B589)*100+MONTH(B589))</f>
        <v/>
      </c>
      <c r="K589">
        <f>IF(OR(G589="",NOT(ISNUMBER(B589))),"",IF(G589=Statement!$H$2,B589*1000+ROW(),""))</f>
        <v/>
      </c>
    </row>
    <row r="590">
      <c r="A590" s="1" t="n"/>
      <c r="B590" s="18" t="n"/>
      <c r="C590" s="16" t="n"/>
      <c r="D590" s="19" t="n"/>
      <c r="E590" s="17" t="n"/>
      <c r="F590" s="22" t="n"/>
      <c r="G590" s="14">
        <f>IF(C590="","",IFERROR(VALUE(LEFT(C590,FIND(" ",C590&amp;" ")-1)),""))</f>
        <v/>
      </c>
      <c r="H590" s="26">
        <f>IF(C590="","",IF(G590="","Pick a loan",IFERROR(IF(INDEX(Loans!$C$6:$C$305,MATCH(G590,Loans!$B$6:$B$305,0))="","Not a loan",INDEX(Loans!$C$6:$C$305,MATCH(G590,Loans!$B$6:$B$305,0))),"Not a loan")))</f>
        <v/>
      </c>
      <c r="I590" s="10">
        <f>IF(OR(G590="",H590="Not a loan"),"",IF(INDEX(Loans!$D$6:$D$305,MATCH(G590,Loans!$B$6:$B$305,0))="I borrowed","Out","In"))</f>
        <v/>
      </c>
      <c r="J590" s="1">
        <f>IF(NOT(ISNUMBER(B590)),"",YEAR(B590)*100+MONTH(B590))</f>
        <v/>
      </c>
      <c r="K590">
        <f>IF(OR(G590="",NOT(ISNUMBER(B590))),"",IF(G590=Statement!$H$2,B590*1000+ROW(),""))</f>
        <v/>
      </c>
    </row>
    <row r="591">
      <c r="A591" s="1" t="n"/>
      <c r="B591" s="18" t="n"/>
      <c r="C591" s="16" t="n"/>
      <c r="D591" s="19" t="n"/>
      <c r="E591" s="17" t="n"/>
      <c r="F591" s="22" t="n"/>
      <c r="G591" s="14">
        <f>IF(C591="","",IFERROR(VALUE(LEFT(C591,FIND(" ",C591&amp;" ")-1)),""))</f>
        <v/>
      </c>
      <c r="H591" s="26">
        <f>IF(C591="","",IF(G591="","Pick a loan",IFERROR(IF(INDEX(Loans!$C$6:$C$305,MATCH(G591,Loans!$B$6:$B$305,0))="","Not a loan",INDEX(Loans!$C$6:$C$305,MATCH(G591,Loans!$B$6:$B$305,0))),"Not a loan")))</f>
        <v/>
      </c>
      <c r="I591" s="10">
        <f>IF(OR(G591="",H591="Not a loan"),"",IF(INDEX(Loans!$D$6:$D$305,MATCH(G591,Loans!$B$6:$B$305,0))="I borrowed","Out","In"))</f>
        <v/>
      </c>
      <c r="J591" s="1">
        <f>IF(NOT(ISNUMBER(B591)),"",YEAR(B591)*100+MONTH(B591))</f>
        <v/>
      </c>
      <c r="K591">
        <f>IF(OR(G591="",NOT(ISNUMBER(B591))),"",IF(G591=Statement!$H$2,B591*1000+ROW(),""))</f>
        <v/>
      </c>
    </row>
    <row r="592">
      <c r="A592" s="1" t="n"/>
      <c r="B592" s="18" t="n"/>
      <c r="C592" s="16" t="n"/>
      <c r="D592" s="19" t="n"/>
      <c r="E592" s="17" t="n"/>
      <c r="F592" s="22" t="n"/>
      <c r="G592" s="14">
        <f>IF(C592="","",IFERROR(VALUE(LEFT(C592,FIND(" ",C592&amp;" ")-1)),""))</f>
        <v/>
      </c>
      <c r="H592" s="26">
        <f>IF(C592="","",IF(G592="","Pick a loan",IFERROR(IF(INDEX(Loans!$C$6:$C$305,MATCH(G592,Loans!$B$6:$B$305,0))="","Not a loan",INDEX(Loans!$C$6:$C$305,MATCH(G592,Loans!$B$6:$B$305,0))),"Not a loan")))</f>
        <v/>
      </c>
      <c r="I592" s="10">
        <f>IF(OR(G592="",H592="Not a loan"),"",IF(INDEX(Loans!$D$6:$D$305,MATCH(G592,Loans!$B$6:$B$305,0))="I borrowed","Out","In"))</f>
        <v/>
      </c>
      <c r="J592" s="1">
        <f>IF(NOT(ISNUMBER(B592)),"",YEAR(B592)*100+MONTH(B592))</f>
        <v/>
      </c>
      <c r="K592">
        <f>IF(OR(G592="",NOT(ISNUMBER(B592))),"",IF(G592=Statement!$H$2,B592*1000+ROW(),""))</f>
        <v/>
      </c>
    </row>
    <row r="593">
      <c r="A593" s="1" t="n"/>
      <c r="B593" s="18" t="n"/>
      <c r="C593" s="16" t="n"/>
      <c r="D593" s="19" t="n"/>
      <c r="E593" s="17" t="n"/>
      <c r="F593" s="22" t="n"/>
      <c r="G593" s="14">
        <f>IF(C593="","",IFERROR(VALUE(LEFT(C593,FIND(" ",C593&amp;" ")-1)),""))</f>
        <v/>
      </c>
      <c r="H593" s="26">
        <f>IF(C593="","",IF(G593="","Pick a loan",IFERROR(IF(INDEX(Loans!$C$6:$C$305,MATCH(G593,Loans!$B$6:$B$305,0))="","Not a loan",INDEX(Loans!$C$6:$C$305,MATCH(G593,Loans!$B$6:$B$305,0))),"Not a loan")))</f>
        <v/>
      </c>
      <c r="I593" s="10">
        <f>IF(OR(G593="",H593="Not a loan"),"",IF(INDEX(Loans!$D$6:$D$305,MATCH(G593,Loans!$B$6:$B$305,0))="I borrowed","Out","In"))</f>
        <v/>
      </c>
      <c r="J593" s="1">
        <f>IF(NOT(ISNUMBER(B593)),"",YEAR(B593)*100+MONTH(B593))</f>
        <v/>
      </c>
      <c r="K593">
        <f>IF(OR(G593="",NOT(ISNUMBER(B593))),"",IF(G593=Statement!$H$2,B593*1000+ROW(),""))</f>
        <v/>
      </c>
    </row>
    <row r="594">
      <c r="A594" s="1" t="n"/>
      <c r="B594" s="18" t="n"/>
      <c r="C594" s="16" t="n"/>
      <c r="D594" s="19" t="n"/>
      <c r="E594" s="17" t="n"/>
      <c r="F594" s="22" t="n"/>
      <c r="G594" s="14">
        <f>IF(C594="","",IFERROR(VALUE(LEFT(C594,FIND(" ",C594&amp;" ")-1)),""))</f>
        <v/>
      </c>
      <c r="H594" s="26">
        <f>IF(C594="","",IF(G594="","Pick a loan",IFERROR(IF(INDEX(Loans!$C$6:$C$305,MATCH(G594,Loans!$B$6:$B$305,0))="","Not a loan",INDEX(Loans!$C$6:$C$305,MATCH(G594,Loans!$B$6:$B$305,0))),"Not a loan")))</f>
        <v/>
      </c>
      <c r="I594" s="10">
        <f>IF(OR(G594="",H594="Not a loan"),"",IF(INDEX(Loans!$D$6:$D$305,MATCH(G594,Loans!$B$6:$B$305,0))="I borrowed","Out","In"))</f>
        <v/>
      </c>
      <c r="J594" s="1">
        <f>IF(NOT(ISNUMBER(B594)),"",YEAR(B594)*100+MONTH(B594))</f>
        <v/>
      </c>
      <c r="K594">
        <f>IF(OR(G594="",NOT(ISNUMBER(B594))),"",IF(G594=Statement!$H$2,B594*1000+ROW(),""))</f>
        <v/>
      </c>
    </row>
    <row r="595">
      <c r="A595" s="1" t="n"/>
      <c r="B595" s="18" t="n"/>
      <c r="C595" s="16" t="n"/>
      <c r="D595" s="19" t="n"/>
      <c r="E595" s="17" t="n"/>
      <c r="F595" s="22" t="n"/>
      <c r="G595" s="14">
        <f>IF(C595="","",IFERROR(VALUE(LEFT(C595,FIND(" ",C595&amp;" ")-1)),""))</f>
        <v/>
      </c>
      <c r="H595" s="26">
        <f>IF(C595="","",IF(G595="","Pick a loan",IFERROR(IF(INDEX(Loans!$C$6:$C$305,MATCH(G595,Loans!$B$6:$B$305,0))="","Not a loan",INDEX(Loans!$C$6:$C$305,MATCH(G595,Loans!$B$6:$B$305,0))),"Not a loan")))</f>
        <v/>
      </c>
      <c r="I595" s="10">
        <f>IF(OR(G595="",H595="Not a loan"),"",IF(INDEX(Loans!$D$6:$D$305,MATCH(G595,Loans!$B$6:$B$305,0))="I borrowed","Out","In"))</f>
        <v/>
      </c>
      <c r="J595" s="1">
        <f>IF(NOT(ISNUMBER(B595)),"",YEAR(B595)*100+MONTH(B595))</f>
        <v/>
      </c>
      <c r="K595">
        <f>IF(OR(G595="",NOT(ISNUMBER(B595))),"",IF(G595=Statement!$H$2,B595*1000+ROW(),""))</f>
        <v/>
      </c>
    </row>
    <row r="596">
      <c r="A596" s="1" t="n"/>
      <c r="B596" s="18" t="n"/>
      <c r="C596" s="16" t="n"/>
      <c r="D596" s="19" t="n"/>
      <c r="E596" s="17" t="n"/>
      <c r="F596" s="22" t="n"/>
      <c r="G596" s="14">
        <f>IF(C596="","",IFERROR(VALUE(LEFT(C596,FIND(" ",C596&amp;" ")-1)),""))</f>
        <v/>
      </c>
      <c r="H596" s="26">
        <f>IF(C596="","",IF(G596="","Pick a loan",IFERROR(IF(INDEX(Loans!$C$6:$C$305,MATCH(G596,Loans!$B$6:$B$305,0))="","Not a loan",INDEX(Loans!$C$6:$C$305,MATCH(G596,Loans!$B$6:$B$305,0))),"Not a loan")))</f>
        <v/>
      </c>
      <c r="I596" s="10">
        <f>IF(OR(G596="",H596="Not a loan"),"",IF(INDEX(Loans!$D$6:$D$305,MATCH(G596,Loans!$B$6:$B$305,0))="I borrowed","Out","In"))</f>
        <v/>
      </c>
      <c r="J596" s="1">
        <f>IF(NOT(ISNUMBER(B596)),"",YEAR(B596)*100+MONTH(B596))</f>
        <v/>
      </c>
      <c r="K596">
        <f>IF(OR(G596="",NOT(ISNUMBER(B596))),"",IF(G596=Statement!$H$2,B596*1000+ROW(),""))</f>
        <v/>
      </c>
    </row>
    <row r="597">
      <c r="A597" s="1" t="n"/>
      <c r="B597" s="18" t="n"/>
      <c r="C597" s="16" t="n"/>
      <c r="D597" s="19" t="n"/>
      <c r="E597" s="17" t="n"/>
      <c r="F597" s="22" t="n"/>
      <c r="G597" s="14">
        <f>IF(C597="","",IFERROR(VALUE(LEFT(C597,FIND(" ",C597&amp;" ")-1)),""))</f>
        <v/>
      </c>
      <c r="H597" s="26">
        <f>IF(C597="","",IF(G597="","Pick a loan",IFERROR(IF(INDEX(Loans!$C$6:$C$305,MATCH(G597,Loans!$B$6:$B$305,0))="","Not a loan",INDEX(Loans!$C$6:$C$305,MATCH(G597,Loans!$B$6:$B$305,0))),"Not a loan")))</f>
        <v/>
      </c>
      <c r="I597" s="10">
        <f>IF(OR(G597="",H597="Not a loan"),"",IF(INDEX(Loans!$D$6:$D$305,MATCH(G597,Loans!$B$6:$B$305,0))="I borrowed","Out","In"))</f>
        <v/>
      </c>
      <c r="J597" s="1">
        <f>IF(NOT(ISNUMBER(B597)),"",YEAR(B597)*100+MONTH(B597))</f>
        <v/>
      </c>
      <c r="K597">
        <f>IF(OR(G597="",NOT(ISNUMBER(B597))),"",IF(G597=Statement!$H$2,B597*1000+ROW(),""))</f>
        <v/>
      </c>
    </row>
    <row r="598">
      <c r="A598" s="1" t="n"/>
      <c r="B598" s="18" t="n"/>
      <c r="C598" s="16" t="n"/>
      <c r="D598" s="19" t="n"/>
      <c r="E598" s="17" t="n"/>
      <c r="F598" s="22" t="n"/>
      <c r="G598" s="14">
        <f>IF(C598="","",IFERROR(VALUE(LEFT(C598,FIND(" ",C598&amp;" ")-1)),""))</f>
        <v/>
      </c>
      <c r="H598" s="26">
        <f>IF(C598="","",IF(G598="","Pick a loan",IFERROR(IF(INDEX(Loans!$C$6:$C$305,MATCH(G598,Loans!$B$6:$B$305,0))="","Not a loan",INDEX(Loans!$C$6:$C$305,MATCH(G598,Loans!$B$6:$B$305,0))),"Not a loan")))</f>
        <v/>
      </c>
      <c r="I598" s="10">
        <f>IF(OR(G598="",H598="Not a loan"),"",IF(INDEX(Loans!$D$6:$D$305,MATCH(G598,Loans!$B$6:$B$305,0))="I borrowed","Out","In"))</f>
        <v/>
      </c>
      <c r="J598" s="1">
        <f>IF(NOT(ISNUMBER(B598)),"",YEAR(B598)*100+MONTH(B598))</f>
        <v/>
      </c>
      <c r="K598">
        <f>IF(OR(G598="",NOT(ISNUMBER(B598))),"",IF(G598=Statement!$H$2,B598*1000+ROW(),""))</f>
        <v/>
      </c>
    </row>
    <row r="599">
      <c r="A599" s="1" t="n"/>
      <c r="B599" s="18" t="n"/>
      <c r="C599" s="16" t="n"/>
      <c r="D599" s="19" t="n"/>
      <c r="E599" s="17" t="n"/>
      <c r="F599" s="22" t="n"/>
      <c r="G599" s="14">
        <f>IF(C599="","",IFERROR(VALUE(LEFT(C599,FIND(" ",C599&amp;" ")-1)),""))</f>
        <v/>
      </c>
      <c r="H599" s="26">
        <f>IF(C599="","",IF(G599="","Pick a loan",IFERROR(IF(INDEX(Loans!$C$6:$C$305,MATCH(G599,Loans!$B$6:$B$305,0))="","Not a loan",INDEX(Loans!$C$6:$C$305,MATCH(G599,Loans!$B$6:$B$305,0))),"Not a loan")))</f>
        <v/>
      </c>
      <c r="I599" s="10">
        <f>IF(OR(G599="",H599="Not a loan"),"",IF(INDEX(Loans!$D$6:$D$305,MATCH(G599,Loans!$B$6:$B$305,0))="I borrowed","Out","In"))</f>
        <v/>
      </c>
      <c r="J599" s="1">
        <f>IF(NOT(ISNUMBER(B599)),"",YEAR(B599)*100+MONTH(B599))</f>
        <v/>
      </c>
      <c r="K599">
        <f>IF(OR(G599="",NOT(ISNUMBER(B599))),"",IF(G599=Statement!$H$2,B599*1000+ROW(),""))</f>
        <v/>
      </c>
    </row>
    <row r="600">
      <c r="A600" s="1" t="n"/>
      <c r="B600" s="18" t="n"/>
      <c r="C600" s="16" t="n"/>
      <c r="D600" s="19" t="n"/>
      <c r="E600" s="17" t="n"/>
      <c r="F600" s="22" t="n"/>
      <c r="G600" s="14">
        <f>IF(C600="","",IFERROR(VALUE(LEFT(C600,FIND(" ",C600&amp;" ")-1)),""))</f>
        <v/>
      </c>
      <c r="H600" s="26">
        <f>IF(C600="","",IF(G600="","Pick a loan",IFERROR(IF(INDEX(Loans!$C$6:$C$305,MATCH(G600,Loans!$B$6:$B$305,0))="","Not a loan",INDEX(Loans!$C$6:$C$305,MATCH(G600,Loans!$B$6:$B$305,0))),"Not a loan")))</f>
        <v/>
      </c>
      <c r="I600" s="10">
        <f>IF(OR(G600="",H600="Not a loan"),"",IF(INDEX(Loans!$D$6:$D$305,MATCH(G600,Loans!$B$6:$B$305,0))="I borrowed","Out","In"))</f>
        <v/>
      </c>
      <c r="J600" s="1">
        <f>IF(NOT(ISNUMBER(B600)),"",YEAR(B600)*100+MONTH(B600))</f>
        <v/>
      </c>
      <c r="K600">
        <f>IF(OR(G600="",NOT(ISNUMBER(B600))),"",IF(G600=Statement!$H$2,B600*1000+ROW(),""))</f>
        <v/>
      </c>
    </row>
    <row r="601">
      <c r="A601" s="1" t="n"/>
      <c r="B601" s="18" t="n"/>
      <c r="C601" s="16" t="n"/>
      <c r="D601" s="19" t="n"/>
      <c r="E601" s="17" t="n"/>
      <c r="F601" s="22" t="n"/>
      <c r="G601" s="14">
        <f>IF(C601="","",IFERROR(VALUE(LEFT(C601,FIND(" ",C601&amp;" ")-1)),""))</f>
        <v/>
      </c>
      <c r="H601" s="26">
        <f>IF(C601="","",IF(G601="","Pick a loan",IFERROR(IF(INDEX(Loans!$C$6:$C$305,MATCH(G601,Loans!$B$6:$B$305,0))="","Not a loan",INDEX(Loans!$C$6:$C$305,MATCH(G601,Loans!$B$6:$B$305,0))),"Not a loan")))</f>
        <v/>
      </c>
      <c r="I601" s="10">
        <f>IF(OR(G601="",H601="Not a loan"),"",IF(INDEX(Loans!$D$6:$D$305,MATCH(G601,Loans!$B$6:$B$305,0))="I borrowed","Out","In"))</f>
        <v/>
      </c>
      <c r="J601" s="1">
        <f>IF(NOT(ISNUMBER(B601)),"",YEAR(B601)*100+MONTH(B601))</f>
        <v/>
      </c>
      <c r="K601">
        <f>IF(OR(G601="",NOT(ISNUMBER(B601))),"",IF(G601=Statement!$H$2,B601*1000+ROW(),""))</f>
        <v/>
      </c>
    </row>
    <row r="602">
      <c r="A602" s="1" t="n"/>
      <c r="B602" s="18" t="n"/>
      <c r="C602" s="16" t="n"/>
      <c r="D602" s="19" t="n"/>
      <c r="E602" s="17" t="n"/>
      <c r="F602" s="22" t="n"/>
      <c r="G602" s="14">
        <f>IF(C602="","",IFERROR(VALUE(LEFT(C602,FIND(" ",C602&amp;" ")-1)),""))</f>
        <v/>
      </c>
      <c r="H602" s="26">
        <f>IF(C602="","",IF(G602="","Pick a loan",IFERROR(IF(INDEX(Loans!$C$6:$C$305,MATCH(G602,Loans!$B$6:$B$305,0))="","Not a loan",INDEX(Loans!$C$6:$C$305,MATCH(G602,Loans!$B$6:$B$305,0))),"Not a loan")))</f>
        <v/>
      </c>
      <c r="I602" s="10">
        <f>IF(OR(G602="",H602="Not a loan"),"",IF(INDEX(Loans!$D$6:$D$305,MATCH(G602,Loans!$B$6:$B$305,0))="I borrowed","Out","In"))</f>
        <v/>
      </c>
      <c r="J602" s="1">
        <f>IF(NOT(ISNUMBER(B602)),"",YEAR(B602)*100+MONTH(B602))</f>
        <v/>
      </c>
      <c r="K602">
        <f>IF(OR(G602="",NOT(ISNUMBER(B602))),"",IF(G602=Statement!$H$2,B602*1000+ROW(),""))</f>
        <v/>
      </c>
    </row>
    <row r="603">
      <c r="A603" s="1" t="n"/>
      <c r="B603" s="18" t="n"/>
      <c r="C603" s="16" t="n"/>
      <c r="D603" s="19" t="n"/>
      <c r="E603" s="17" t="n"/>
      <c r="F603" s="22" t="n"/>
      <c r="G603" s="14">
        <f>IF(C603="","",IFERROR(VALUE(LEFT(C603,FIND(" ",C603&amp;" ")-1)),""))</f>
        <v/>
      </c>
      <c r="H603" s="26">
        <f>IF(C603="","",IF(G603="","Pick a loan",IFERROR(IF(INDEX(Loans!$C$6:$C$305,MATCH(G603,Loans!$B$6:$B$305,0))="","Not a loan",INDEX(Loans!$C$6:$C$305,MATCH(G603,Loans!$B$6:$B$305,0))),"Not a loan")))</f>
        <v/>
      </c>
      <c r="I603" s="10">
        <f>IF(OR(G603="",H603="Not a loan"),"",IF(INDEX(Loans!$D$6:$D$305,MATCH(G603,Loans!$B$6:$B$305,0))="I borrowed","Out","In"))</f>
        <v/>
      </c>
      <c r="J603" s="1">
        <f>IF(NOT(ISNUMBER(B603)),"",YEAR(B603)*100+MONTH(B603))</f>
        <v/>
      </c>
      <c r="K603">
        <f>IF(OR(G603="",NOT(ISNUMBER(B603))),"",IF(G603=Statement!$H$2,B603*1000+ROW(),""))</f>
        <v/>
      </c>
    </row>
    <row r="604">
      <c r="A604" s="1" t="n"/>
      <c r="B604" s="18" t="n"/>
      <c r="C604" s="16" t="n"/>
      <c r="D604" s="19" t="n"/>
      <c r="E604" s="17" t="n"/>
      <c r="F604" s="22" t="n"/>
      <c r="G604" s="14">
        <f>IF(C604="","",IFERROR(VALUE(LEFT(C604,FIND(" ",C604&amp;" ")-1)),""))</f>
        <v/>
      </c>
      <c r="H604" s="26">
        <f>IF(C604="","",IF(G604="","Pick a loan",IFERROR(IF(INDEX(Loans!$C$6:$C$305,MATCH(G604,Loans!$B$6:$B$305,0))="","Not a loan",INDEX(Loans!$C$6:$C$305,MATCH(G604,Loans!$B$6:$B$305,0))),"Not a loan")))</f>
        <v/>
      </c>
      <c r="I604" s="10">
        <f>IF(OR(G604="",H604="Not a loan"),"",IF(INDEX(Loans!$D$6:$D$305,MATCH(G604,Loans!$B$6:$B$305,0))="I borrowed","Out","In"))</f>
        <v/>
      </c>
      <c r="J604" s="1">
        <f>IF(NOT(ISNUMBER(B604)),"",YEAR(B604)*100+MONTH(B604))</f>
        <v/>
      </c>
      <c r="K604">
        <f>IF(OR(G604="",NOT(ISNUMBER(B604))),"",IF(G604=Statement!$H$2,B604*1000+ROW(),""))</f>
        <v/>
      </c>
    </row>
    <row r="605">
      <c r="A605" s="1" t="n"/>
      <c r="B605" s="18" t="n"/>
      <c r="C605" s="16" t="n"/>
      <c r="D605" s="19" t="n"/>
      <c r="E605" s="17" t="n"/>
      <c r="F605" s="22" t="n"/>
      <c r="G605" s="14">
        <f>IF(C605="","",IFERROR(VALUE(LEFT(C605,FIND(" ",C605&amp;" ")-1)),""))</f>
        <v/>
      </c>
      <c r="H605" s="26">
        <f>IF(C605="","",IF(G605="","Pick a loan",IFERROR(IF(INDEX(Loans!$C$6:$C$305,MATCH(G605,Loans!$B$6:$B$305,0))="","Not a loan",INDEX(Loans!$C$6:$C$305,MATCH(G605,Loans!$B$6:$B$305,0))),"Not a loan")))</f>
        <v/>
      </c>
      <c r="I605" s="10">
        <f>IF(OR(G605="",H605="Not a loan"),"",IF(INDEX(Loans!$D$6:$D$305,MATCH(G605,Loans!$B$6:$B$305,0))="I borrowed","Out","In"))</f>
        <v/>
      </c>
      <c r="J605" s="1">
        <f>IF(NOT(ISNUMBER(B605)),"",YEAR(B605)*100+MONTH(B605))</f>
        <v/>
      </c>
      <c r="K605">
        <f>IF(OR(G605="",NOT(ISNUMBER(B605))),"",IF(G605=Statement!$H$2,B605*1000+ROW(),""))</f>
        <v/>
      </c>
    </row>
    <row r="606">
      <c r="A606" s="1" t="n"/>
      <c r="B606" s="18" t="n"/>
      <c r="C606" s="16" t="n"/>
      <c r="D606" s="19" t="n"/>
      <c r="E606" s="17" t="n"/>
      <c r="F606" s="22" t="n"/>
      <c r="G606" s="14">
        <f>IF(C606="","",IFERROR(VALUE(LEFT(C606,FIND(" ",C606&amp;" ")-1)),""))</f>
        <v/>
      </c>
      <c r="H606" s="26">
        <f>IF(C606="","",IF(G606="","Pick a loan",IFERROR(IF(INDEX(Loans!$C$6:$C$305,MATCH(G606,Loans!$B$6:$B$305,0))="","Not a loan",INDEX(Loans!$C$6:$C$305,MATCH(G606,Loans!$B$6:$B$305,0))),"Not a loan")))</f>
        <v/>
      </c>
      <c r="I606" s="10">
        <f>IF(OR(G606="",H606="Not a loan"),"",IF(INDEX(Loans!$D$6:$D$305,MATCH(G606,Loans!$B$6:$B$305,0))="I borrowed","Out","In"))</f>
        <v/>
      </c>
      <c r="J606" s="1">
        <f>IF(NOT(ISNUMBER(B606)),"",YEAR(B606)*100+MONTH(B606))</f>
        <v/>
      </c>
      <c r="K606">
        <f>IF(OR(G606="",NOT(ISNUMBER(B606))),"",IF(G606=Statement!$H$2,B606*1000+ROW(),""))</f>
        <v/>
      </c>
    </row>
    <row r="607">
      <c r="A607" s="1" t="n"/>
      <c r="B607" s="18" t="n"/>
      <c r="C607" s="16" t="n"/>
      <c r="D607" s="19" t="n"/>
      <c r="E607" s="17" t="n"/>
      <c r="F607" s="22" t="n"/>
      <c r="G607" s="14">
        <f>IF(C607="","",IFERROR(VALUE(LEFT(C607,FIND(" ",C607&amp;" ")-1)),""))</f>
        <v/>
      </c>
      <c r="H607" s="26">
        <f>IF(C607="","",IF(G607="","Pick a loan",IFERROR(IF(INDEX(Loans!$C$6:$C$305,MATCH(G607,Loans!$B$6:$B$305,0))="","Not a loan",INDEX(Loans!$C$6:$C$305,MATCH(G607,Loans!$B$6:$B$305,0))),"Not a loan")))</f>
        <v/>
      </c>
      <c r="I607" s="10">
        <f>IF(OR(G607="",H607="Not a loan"),"",IF(INDEX(Loans!$D$6:$D$305,MATCH(G607,Loans!$B$6:$B$305,0))="I borrowed","Out","In"))</f>
        <v/>
      </c>
      <c r="J607" s="1">
        <f>IF(NOT(ISNUMBER(B607)),"",YEAR(B607)*100+MONTH(B607))</f>
        <v/>
      </c>
      <c r="K607">
        <f>IF(OR(G607="",NOT(ISNUMBER(B607))),"",IF(G607=Statement!$H$2,B607*1000+ROW(),""))</f>
        <v/>
      </c>
    </row>
    <row r="608">
      <c r="A608" s="1" t="n"/>
      <c r="B608" s="18" t="n"/>
      <c r="C608" s="16" t="n"/>
      <c r="D608" s="19" t="n"/>
      <c r="E608" s="17" t="n"/>
      <c r="F608" s="22" t="n"/>
      <c r="G608" s="14">
        <f>IF(C608="","",IFERROR(VALUE(LEFT(C608,FIND(" ",C608&amp;" ")-1)),""))</f>
        <v/>
      </c>
      <c r="H608" s="26">
        <f>IF(C608="","",IF(G608="","Pick a loan",IFERROR(IF(INDEX(Loans!$C$6:$C$305,MATCH(G608,Loans!$B$6:$B$305,0))="","Not a loan",INDEX(Loans!$C$6:$C$305,MATCH(G608,Loans!$B$6:$B$305,0))),"Not a loan")))</f>
        <v/>
      </c>
      <c r="I608" s="10">
        <f>IF(OR(G608="",H608="Not a loan"),"",IF(INDEX(Loans!$D$6:$D$305,MATCH(G608,Loans!$B$6:$B$305,0))="I borrowed","Out","In"))</f>
        <v/>
      </c>
      <c r="J608" s="1">
        <f>IF(NOT(ISNUMBER(B608)),"",YEAR(B608)*100+MONTH(B608))</f>
        <v/>
      </c>
      <c r="K608">
        <f>IF(OR(G608="",NOT(ISNUMBER(B608))),"",IF(G608=Statement!$H$2,B608*1000+ROW(),""))</f>
        <v/>
      </c>
    </row>
    <row r="609">
      <c r="A609" s="1" t="n"/>
      <c r="B609" s="18" t="n"/>
      <c r="C609" s="16" t="n"/>
      <c r="D609" s="19" t="n"/>
      <c r="E609" s="17" t="n"/>
      <c r="F609" s="22" t="n"/>
      <c r="G609" s="14">
        <f>IF(C609="","",IFERROR(VALUE(LEFT(C609,FIND(" ",C609&amp;" ")-1)),""))</f>
        <v/>
      </c>
      <c r="H609" s="26">
        <f>IF(C609="","",IF(G609="","Pick a loan",IFERROR(IF(INDEX(Loans!$C$6:$C$305,MATCH(G609,Loans!$B$6:$B$305,0))="","Not a loan",INDEX(Loans!$C$6:$C$305,MATCH(G609,Loans!$B$6:$B$305,0))),"Not a loan")))</f>
        <v/>
      </c>
      <c r="I609" s="10">
        <f>IF(OR(G609="",H609="Not a loan"),"",IF(INDEX(Loans!$D$6:$D$305,MATCH(G609,Loans!$B$6:$B$305,0))="I borrowed","Out","In"))</f>
        <v/>
      </c>
      <c r="J609" s="1">
        <f>IF(NOT(ISNUMBER(B609)),"",YEAR(B609)*100+MONTH(B609))</f>
        <v/>
      </c>
      <c r="K609">
        <f>IF(OR(G609="",NOT(ISNUMBER(B609))),"",IF(G609=Statement!$H$2,B609*1000+ROW(),""))</f>
        <v/>
      </c>
    </row>
    <row r="610">
      <c r="A610" s="1" t="n"/>
      <c r="B610" s="18" t="n"/>
      <c r="C610" s="16" t="n"/>
      <c r="D610" s="19" t="n"/>
      <c r="E610" s="17" t="n"/>
      <c r="F610" s="22" t="n"/>
      <c r="G610" s="14">
        <f>IF(C610="","",IFERROR(VALUE(LEFT(C610,FIND(" ",C610&amp;" ")-1)),""))</f>
        <v/>
      </c>
      <c r="H610" s="26">
        <f>IF(C610="","",IF(G610="","Pick a loan",IFERROR(IF(INDEX(Loans!$C$6:$C$305,MATCH(G610,Loans!$B$6:$B$305,0))="","Not a loan",INDEX(Loans!$C$6:$C$305,MATCH(G610,Loans!$B$6:$B$305,0))),"Not a loan")))</f>
        <v/>
      </c>
      <c r="I610" s="10">
        <f>IF(OR(G610="",H610="Not a loan"),"",IF(INDEX(Loans!$D$6:$D$305,MATCH(G610,Loans!$B$6:$B$305,0))="I borrowed","Out","In"))</f>
        <v/>
      </c>
      <c r="J610" s="1">
        <f>IF(NOT(ISNUMBER(B610)),"",YEAR(B610)*100+MONTH(B610))</f>
        <v/>
      </c>
      <c r="K610">
        <f>IF(OR(G610="",NOT(ISNUMBER(B610))),"",IF(G610=Statement!$H$2,B610*1000+ROW(),""))</f>
        <v/>
      </c>
    </row>
    <row r="611">
      <c r="A611" s="1" t="n"/>
      <c r="B611" s="18" t="n"/>
      <c r="C611" s="16" t="n"/>
      <c r="D611" s="19" t="n"/>
      <c r="E611" s="17" t="n"/>
      <c r="F611" s="22" t="n"/>
      <c r="G611" s="14">
        <f>IF(C611="","",IFERROR(VALUE(LEFT(C611,FIND(" ",C611&amp;" ")-1)),""))</f>
        <v/>
      </c>
      <c r="H611" s="26">
        <f>IF(C611="","",IF(G611="","Pick a loan",IFERROR(IF(INDEX(Loans!$C$6:$C$305,MATCH(G611,Loans!$B$6:$B$305,0))="","Not a loan",INDEX(Loans!$C$6:$C$305,MATCH(G611,Loans!$B$6:$B$305,0))),"Not a loan")))</f>
        <v/>
      </c>
      <c r="I611" s="10">
        <f>IF(OR(G611="",H611="Not a loan"),"",IF(INDEX(Loans!$D$6:$D$305,MATCH(G611,Loans!$B$6:$B$305,0))="I borrowed","Out","In"))</f>
        <v/>
      </c>
      <c r="J611" s="1">
        <f>IF(NOT(ISNUMBER(B611)),"",YEAR(B611)*100+MONTH(B611))</f>
        <v/>
      </c>
      <c r="K611">
        <f>IF(OR(G611="",NOT(ISNUMBER(B611))),"",IF(G611=Statement!$H$2,B611*1000+ROW(),""))</f>
        <v/>
      </c>
    </row>
    <row r="612">
      <c r="A612" s="1" t="n"/>
      <c r="B612" s="18" t="n"/>
      <c r="C612" s="16" t="n"/>
      <c r="D612" s="19" t="n"/>
      <c r="E612" s="17" t="n"/>
      <c r="F612" s="22" t="n"/>
      <c r="G612" s="14">
        <f>IF(C612="","",IFERROR(VALUE(LEFT(C612,FIND(" ",C612&amp;" ")-1)),""))</f>
        <v/>
      </c>
      <c r="H612" s="26">
        <f>IF(C612="","",IF(G612="","Pick a loan",IFERROR(IF(INDEX(Loans!$C$6:$C$305,MATCH(G612,Loans!$B$6:$B$305,0))="","Not a loan",INDEX(Loans!$C$6:$C$305,MATCH(G612,Loans!$B$6:$B$305,0))),"Not a loan")))</f>
        <v/>
      </c>
      <c r="I612" s="10">
        <f>IF(OR(G612="",H612="Not a loan"),"",IF(INDEX(Loans!$D$6:$D$305,MATCH(G612,Loans!$B$6:$B$305,0))="I borrowed","Out","In"))</f>
        <v/>
      </c>
      <c r="J612" s="1">
        <f>IF(NOT(ISNUMBER(B612)),"",YEAR(B612)*100+MONTH(B612))</f>
        <v/>
      </c>
      <c r="K612">
        <f>IF(OR(G612="",NOT(ISNUMBER(B612))),"",IF(G612=Statement!$H$2,B612*1000+ROW(),""))</f>
        <v/>
      </c>
    </row>
    <row r="613">
      <c r="A613" s="1" t="n"/>
      <c r="B613" s="18" t="n"/>
      <c r="C613" s="16" t="n"/>
      <c r="D613" s="19" t="n"/>
      <c r="E613" s="17" t="n"/>
      <c r="F613" s="22" t="n"/>
      <c r="G613" s="14">
        <f>IF(C613="","",IFERROR(VALUE(LEFT(C613,FIND(" ",C613&amp;" ")-1)),""))</f>
        <v/>
      </c>
      <c r="H613" s="26">
        <f>IF(C613="","",IF(G613="","Pick a loan",IFERROR(IF(INDEX(Loans!$C$6:$C$305,MATCH(G613,Loans!$B$6:$B$305,0))="","Not a loan",INDEX(Loans!$C$6:$C$305,MATCH(G613,Loans!$B$6:$B$305,0))),"Not a loan")))</f>
        <v/>
      </c>
      <c r="I613" s="10">
        <f>IF(OR(G613="",H613="Not a loan"),"",IF(INDEX(Loans!$D$6:$D$305,MATCH(G613,Loans!$B$6:$B$305,0))="I borrowed","Out","In"))</f>
        <v/>
      </c>
      <c r="J613" s="1">
        <f>IF(NOT(ISNUMBER(B613)),"",YEAR(B613)*100+MONTH(B613))</f>
        <v/>
      </c>
      <c r="K613">
        <f>IF(OR(G613="",NOT(ISNUMBER(B613))),"",IF(G613=Statement!$H$2,B613*1000+ROW(),""))</f>
        <v/>
      </c>
    </row>
    <row r="614">
      <c r="A614" s="1" t="n"/>
      <c r="B614" s="18" t="n"/>
      <c r="C614" s="16" t="n"/>
      <c r="D614" s="19" t="n"/>
      <c r="E614" s="17" t="n"/>
      <c r="F614" s="22" t="n"/>
      <c r="G614" s="14">
        <f>IF(C614="","",IFERROR(VALUE(LEFT(C614,FIND(" ",C614&amp;" ")-1)),""))</f>
        <v/>
      </c>
      <c r="H614" s="26">
        <f>IF(C614="","",IF(G614="","Pick a loan",IFERROR(IF(INDEX(Loans!$C$6:$C$305,MATCH(G614,Loans!$B$6:$B$305,0))="","Not a loan",INDEX(Loans!$C$6:$C$305,MATCH(G614,Loans!$B$6:$B$305,0))),"Not a loan")))</f>
        <v/>
      </c>
      <c r="I614" s="10">
        <f>IF(OR(G614="",H614="Not a loan"),"",IF(INDEX(Loans!$D$6:$D$305,MATCH(G614,Loans!$B$6:$B$305,0))="I borrowed","Out","In"))</f>
        <v/>
      </c>
      <c r="J614" s="1">
        <f>IF(NOT(ISNUMBER(B614)),"",YEAR(B614)*100+MONTH(B614))</f>
        <v/>
      </c>
      <c r="K614">
        <f>IF(OR(G614="",NOT(ISNUMBER(B614))),"",IF(G614=Statement!$H$2,B614*1000+ROW(),""))</f>
        <v/>
      </c>
    </row>
    <row r="615">
      <c r="A615" s="1" t="n"/>
      <c r="B615" s="18" t="n"/>
      <c r="C615" s="16" t="n"/>
      <c r="D615" s="19" t="n"/>
      <c r="E615" s="17" t="n"/>
      <c r="F615" s="22" t="n"/>
      <c r="G615" s="14">
        <f>IF(C615="","",IFERROR(VALUE(LEFT(C615,FIND(" ",C615&amp;" ")-1)),""))</f>
        <v/>
      </c>
      <c r="H615" s="26">
        <f>IF(C615="","",IF(G615="","Pick a loan",IFERROR(IF(INDEX(Loans!$C$6:$C$305,MATCH(G615,Loans!$B$6:$B$305,0))="","Not a loan",INDEX(Loans!$C$6:$C$305,MATCH(G615,Loans!$B$6:$B$305,0))),"Not a loan")))</f>
        <v/>
      </c>
      <c r="I615" s="10">
        <f>IF(OR(G615="",H615="Not a loan"),"",IF(INDEX(Loans!$D$6:$D$305,MATCH(G615,Loans!$B$6:$B$305,0))="I borrowed","Out","In"))</f>
        <v/>
      </c>
      <c r="J615" s="1">
        <f>IF(NOT(ISNUMBER(B615)),"",YEAR(B615)*100+MONTH(B615))</f>
        <v/>
      </c>
      <c r="K615">
        <f>IF(OR(G615="",NOT(ISNUMBER(B615))),"",IF(G615=Statement!$H$2,B615*1000+ROW(),""))</f>
        <v/>
      </c>
    </row>
    <row r="616">
      <c r="A616" s="1" t="n"/>
      <c r="B616" s="18" t="n"/>
      <c r="C616" s="16" t="n"/>
      <c r="D616" s="19" t="n"/>
      <c r="E616" s="17" t="n"/>
      <c r="F616" s="22" t="n"/>
      <c r="G616" s="14">
        <f>IF(C616="","",IFERROR(VALUE(LEFT(C616,FIND(" ",C616&amp;" ")-1)),""))</f>
        <v/>
      </c>
      <c r="H616" s="26">
        <f>IF(C616="","",IF(G616="","Pick a loan",IFERROR(IF(INDEX(Loans!$C$6:$C$305,MATCH(G616,Loans!$B$6:$B$305,0))="","Not a loan",INDEX(Loans!$C$6:$C$305,MATCH(G616,Loans!$B$6:$B$305,0))),"Not a loan")))</f>
        <v/>
      </c>
      <c r="I616" s="10">
        <f>IF(OR(G616="",H616="Not a loan"),"",IF(INDEX(Loans!$D$6:$D$305,MATCH(G616,Loans!$B$6:$B$305,0))="I borrowed","Out","In"))</f>
        <v/>
      </c>
      <c r="J616" s="1">
        <f>IF(NOT(ISNUMBER(B616)),"",YEAR(B616)*100+MONTH(B616))</f>
        <v/>
      </c>
      <c r="K616">
        <f>IF(OR(G616="",NOT(ISNUMBER(B616))),"",IF(G616=Statement!$H$2,B616*1000+ROW(),""))</f>
        <v/>
      </c>
    </row>
    <row r="617">
      <c r="A617" s="1" t="n"/>
      <c r="B617" s="18" t="n"/>
      <c r="C617" s="16" t="n"/>
      <c r="D617" s="19" t="n"/>
      <c r="E617" s="17" t="n"/>
      <c r="F617" s="22" t="n"/>
      <c r="G617" s="14">
        <f>IF(C617="","",IFERROR(VALUE(LEFT(C617,FIND(" ",C617&amp;" ")-1)),""))</f>
        <v/>
      </c>
      <c r="H617" s="26">
        <f>IF(C617="","",IF(G617="","Pick a loan",IFERROR(IF(INDEX(Loans!$C$6:$C$305,MATCH(G617,Loans!$B$6:$B$305,0))="","Not a loan",INDEX(Loans!$C$6:$C$305,MATCH(G617,Loans!$B$6:$B$305,0))),"Not a loan")))</f>
        <v/>
      </c>
      <c r="I617" s="10">
        <f>IF(OR(G617="",H617="Not a loan"),"",IF(INDEX(Loans!$D$6:$D$305,MATCH(G617,Loans!$B$6:$B$305,0))="I borrowed","Out","In"))</f>
        <v/>
      </c>
      <c r="J617" s="1">
        <f>IF(NOT(ISNUMBER(B617)),"",YEAR(B617)*100+MONTH(B617))</f>
        <v/>
      </c>
      <c r="K617">
        <f>IF(OR(G617="",NOT(ISNUMBER(B617))),"",IF(G617=Statement!$H$2,B617*1000+ROW(),""))</f>
        <v/>
      </c>
    </row>
    <row r="618">
      <c r="A618" s="1" t="n"/>
      <c r="B618" s="18" t="n"/>
      <c r="C618" s="16" t="n"/>
      <c r="D618" s="19" t="n"/>
      <c r="E618" s="17" t="n"/>
      <c r="F618" s="22" t="n"/>
      <c r="G618" s="14">
        <f>IF(C618="","",IFERROR(VALUE(LEFT(C618,FIND(" ",C618&amp;" ")-1)),""))</f>
        <v/>
      </c>
      <c r="H618" s="26">
        <f>IF(C618="","",IF(G618="","Pick a loan",IFERROR(IF(INDEX(Loans!$C$6:$C$305,MATCH(G618,Loans!$B$6:$B$305,0))="","Not a loan",INDEX(Loans!$C$6:$C$305,MATCH(G618,Loans!$B$6:$B$305,0))),"Not a loan")))</f>
        <v/>
      </c>
      <c r="I618" s="10">
        <f>IF(OR(G618="",H618="Not a loan"),"",IF(INDEX(Loans!$D$6:$D$305,MATCH(G618,Loans!$B$6:$B$305,0))="I borrowed","Out","In"))</f>
        <v/>
      </c>
      <c r="J618" s="1">
        <f>IF(NOT(ISNUMBER(B618)),"",YEAR(B618)*100+MONTH(B618))</f>
        <v/>
      </c>
      <c r="K618">
        <f>IF(OR(G618="",NOT(ISNUMBER(B618))),"",IF(G618=Statement!$H$2,B618*1000+ROW(),""))</f>
        <v/>
      </c>
    </row>
    <row r="619">
      <c r="A619" s="1" t="n"/>
      <c r="B619" s="18" t="n"/>
      <c r="C619" s="16" t="n"/>
      <c r="D619" s="19" t="n"/>
      <c r="E619" s="17" t="n"/>
      <c r="F619" s="22" t="n"/>
      <c r="G619" s="14">
        <f>IF(C619="","",IFERROR(VALUE(LEFT(C619,FIND(" ",C619&amp;" ")-1)),""))</f>
        <v/>
      </c>
      <c r="H619" s="26">
        <f>IF(C619="","",IF(G619="","Pick a loan",IFERROR(IF(INDEX(Loans!$C$6:$C$305,MATCH(G619,Loans!$B$6:$B$305,0))="","Not a loan",INDEX(Loans!$C$6:$C$305,MATCH(G619,Loans!$B$6:$B$305,0))),"Not a loan")))</f>
        <v/>
      </c>
      <c r="I619" s="10">
        <f>IF(OR(G619="",H619="Not a loan"),"",IF(INDEX(Loans!$D$6:$D$305,MATCH(G619,Loans!$B$6:$B$305,0))="I borrowed","Out","In"))</f>
        <v/>
      </c>
      <c r="J619" s="1">
        <f>IF(NOT(ISNUMBER(B619)),"",YEAR(B619)*100+MONTH(B619))</f>
        <v/>
      </c>
      <c r="K619">
        <f>IF(OR(G619="",NOT(ISNUMBER(B619))),"",IF(G619=Statement!$H$2,B619*1000+ROW(),""))</f>
        <v/>
      </c>
    </row>
    <row r="620">
      <c r="A620" s="1" t="n"/>
      <c r="B620" s="18" t="n"/>
      <c r="C620" s="16" t="n"/>
      <c r="D620" s="19" t="n"/>
      <c r="E620" s="17" t="n"/>
      <c r="F620" s="22" t="n"/>
      <c r="G620" s="14">
        <f>IF(C620="","",IFERROR(VALUE(LEFT(C620,FIND(" ",C620&amp;" ")-1)),""))</f>
        <v/>
      </c>
      <c r="H620" s="26">
        <f>IF(C620="","",IF(G620="","Pick a loan",IFERROR(IF(INDEX(Loans!$C$6:$C$305,MATCH(G620,Loans!$B$6:$B$305,0))="","Not a loan",INDEX(Loans!$C$6:$C$305,MATCH(G620,Loans!$B$6:$B$305,0))),"Not a loan")))</f>
        <v/>
      </c>
      <c r="I620" s="10">
        <f>IF(OR(G620="",H620="Not a loan"),"",IF(INDEX(Loans!$D$6:$D$305,MATCH(G620,Loans!$B$6:$B$305,0))="I borrowed","Out","In"))</f>
        <v/>
      </c>
      <c r="J620" s="1">
        <f>IF(NOT(ISNUMBER(B620)),"",YEAR(B620)*100+MONTH(B620))</f>
        <v/>
      </c>
      <c r="K620">
        <f>IF(OR(G620="",NOT(ISNUMBER(B620))),"",IF(G620=Statement!$H$2,B620*1000+ROW(),""))</f>
        <v/>
      </c>
    </row>
    <row r="621">
      <c r="A621" s="1" t="n"/>
      <c r="B621" s="18" t="n"/>
      <c r="C621" s="16" t="n"/>
      <c r="D621" s="19" t="n"/>
      <c r="E621" s="17" t="n"/>
      <c r="F621" s="22" t="n"/>
      <c r="G621" s="14">
        <f>IF(C621="","",IFERROR(VALUE(LEFT(C621,FIND(" ",C621&amp;" ")-1)),""))</f>
        <v/>
      </c>
      <c r="H621" s="26">
        <f>IF(C621="","",IF(G621="","Pick a loan",IFERROR(IF(INDEX(Loans!$C$6:$C$305,MATCH(G621,Loans!$B$6:$B$305,0))="","Not a loan",INDEX(Loans!$C$6:$C$305,MATCH(G621,Loans!$B$6:$B$305,0))),"Not a loan")))</f>
        <v/>
      </c>
      <c r="I621" s="10">
        <f>IF(OR(G621="",H621="Not a loan"),"",IF(INDEX(Loans!$D$6:$D$305,MATCH(G621,Loans!$B$6:$B$305,0))="I borrowed","Out","In"))</f>
        <v/>
      </c>
      <c r="J621" s="1">
        <f>IF(NOT(ISNUMBER(B621)),"",YEAR(B621)*100+MONTH(B621))</f>
        <v/>
      </c>
      <c r="K621">
        <f>IF(OR(G621="",NOT(ISNUMBER(B621))),"",IF(G621=Statement!$H$2,B621*1000+ROW(),""))</f>
        <v/>
      </c>
    </row>
    <row r="622">
      <c r="A622" s="1" t="n"/>
      <c r="B622" s="18" t="n"/>
      <c r="C622" s="16" t="n"/>
      <c r="D622" s="19" t="n"/>
      <c r="E622" s="17" t="n"/>
      <c r="F622" s="22" t="n"/>
      <c r="G622" s="14">
        <f>IF(C622="","",IFERROR(VALUE(LEFT(C622,FIND(" ",C622&amp;" ")-1)),""))</f>
        <v/>
      </c>
      <c r="H622" s="26">
        <f>IF(C622="","",IF(G622="","Pick a loan",IFERROR(IF(INDEX(Loans!$C$6:$C$305,MATCH(G622,Loans!$B$6:$B$305,0))="","Not a loan",INDEX(Loans!$C$6:$C$305,MATCH(G622,Loans!$B$6:$B$305,0))),"Not a loan")))</f>
        <v/>
      </c>
      <c r="I622" s="10">
        <f>IF(OR(G622="",H622="Not a loan"),"",IF(INDEX(Loans!$D$6:$D$305,MATCH(G622,Loans!$B$6:$B$305,0))="I borrowed","Out","In"))</f>
        <v/>
      </c>
      <c r="J622" s="1">
        <f>IF(NOT(ISNUMBER(B622)),"",YEAR(B622)*100+MONTH(B622))</f>
        <v/>
      </c>
      <c r="K622">
        <f>IF(OR(G622="",NOT(ISNUMBER(B622))),"",IF(G622=Statement!$H$2,B622*1000+ROW(),""))</f>
        <v/>
      </c>
    </row>
    <row r="623">
      <c r="A623" s="1" t="n"/>
      <c r="B623" s="18" t="n"/>
      <c r="C623" s="16" t="n"/>
      <c r="D623" s="19" t="n"/>
      <c r="E623" s="17" t="n"/>
      <c r="F623" s="22" t="n"/>
      <c r="G623" s="14">
        <f>IF(C623="","",IFERROR(VALUE(LEFT(C623,FIND(" ",C623&amp;" ")-1)),""))</f>
        <v/>
      </c>
      <c r="H623" s="26">
        <f>IF(C623="","",IF(G623="","Pick a loan",IFERROR(IF(INDEX(Loans!$C$6:$C$305,MATCH(G623,Loans!$B$6:$B$305,0))="","Not a loan",INDEX(Loans!$C$6:$C$305,MATCH(G623,Loans!$B$6:$B$305,0))),"Not a loan")))</f>
        <v/>
      </c>
      <c r="I623" s="10">
        <f>IF(OR(G623="",H623="Not a loan"),"",IF(INDEX(Loans!$D$6:$D$305,MATCH(G623,Loans!$B$6:$B$305,0))="I borrowed","Out","In"))</f>
        <v/>
      </c>
      <c r="J623" s="1">
        <f>IF(NOT(ISNUMBER(B623)),"",YEAR(B623)*100+MONTH(B623))</f>
        <v/>
      </c>
      <c r="K623">
        <f>IF(OR(G623="",NOT(ISNUMBER(B623))),"",IF(G623=Statement!$H$2,B623*1000+ROW(),""))</f>
        <v/>
      </c>
    </row>
    <row r="624">
      <c r="A624" s="1" t="n"/>
      <c r="B624" s="18" t="n"/>
      <c r="C624" s="16" t="n"/>
      <c r="D624" s="19" t="n"/>
      <c r="E624" s="17" t="n"/>
      <c r="F624" s="22" t="n"/>
      <c r="G624" s="14">
        <f>IF(C624="","",IFERROR(VALUE(LEFT(C624,FIND(" ",C624&amp;" ")-1)),""))</f>
        <v/>
      </c>
      <c r="H624" s="26">
        <f>IF(C624="","",IF(G624="","Pick a loan",IFERROR(IF(INDEX(Loans!$C$6:$C$305,MATCH(G624,Loans!$B$6:$B$305,0))="","Not a loan",INDEX(Loans!$C$6:$C$305,MATCH(G624,Loans!$B$6:$B$305,0))),"Not a loan")))</f>
        <v/>
      </c>
      <c r="I624" s="10">
        <f>IF(OR(G624="",H624="Not a loan"),"",IF(INDEX(Loans!$D$6:$D$305,MATCH(G624,Loans!$B$6:$B$305,0))="I borrowed","Out","In"))</f>
        <v/>
      </c>
      <c r="J624" s="1">
        <f>IF(NOT(ISNUMBER(B624)),"",YEAR(B624)*100+MONTH(B624))</f>
        <v/>
      </c>
      <c r="K624">
        <f>IF(OR(G624="",NOT(ISNUMBER(B624))),"",IF(G624=Statement!$H$2,B624*1000+ROW(),""))</f>
        <v/>
      </c>
    </row>
    <row r="625">
      <c r="A625" s="1" t="n"/>
      <c r="B625" s="18" t="n"/>
      <c r="C625" s="16" t="n"/>
      <c r="D625" s="19" t="n"/>
      <c r="E625" s="17" t="n"/>
      <c r="F625" s="22" t="n"/>
      <c r="G625" s="14">
        <f>IF(C625="","",IFERROR(VALUE(LEFT(C625,FIND(" ",C625&amp;" ")-1)),""))</f>
        <v/>
      </c>
      <c r="H625" s="26">
        <f>IF(C625="","",IF(G625="","Pick a loan",IFERROR(IF(INDEX(Loans!$C$6:$C$305,MATCH(G625,Loans!$B$6:$B$305,0))="","Not a loan",INDEX(Loans!$C$6:$C$305,MATCH(G625,Loans!$B$6:$B$305,0))),"Not a loan")))</f>
        <v/>
      </c>
      <c r="I625" s="10">
        <f>IF(OR(G625="",H625="Not a loan"),"",IF(INDEX(Loans!$D$6:$D$305,MATCH(G625,Loans!$B$6:$B$305,0))="I borrowed","Out","In"))</f>
        <v/>
      </c>
      <c r="J625" s="1">
        <f>IF(NOT(ISNUMBER(B625)),"",YEAR(B625)*100+MONTH(B625))</f>
        <v/>
      </c>
      <c r="K625">
        <f>IF(OR(G625="",NOT(ISNUMBER(B625))),"",IF(G625=Statement!$H$2,B625*1000+ROW(),""))</f>
        <v/>
      </c>
    </row>
    <row r="626">
      <c r="A626" s="1" t="n"/>
      <c r="B626" s="18" t="n"/>
      <c r="C626" s="16" t="n"/>
      <c r="D626" s="19" t="n"/>
      <c r="E626" s="17" t="n"/>
      <c r="F626" s="22" t="n"/>
      <c r="G626" s="14">
        <f>IF(C626="","",IFERROR(VALUE(LEFT(C626,FIND(" ",C626&amp;" ")-1)),""))</f>
        <v/>
      </c>
      <c r="H626" s="26">
        <f>IF(C626="","",IF(G626="","Pick a loan",IFERROR(IF(INDEX(Loans!$C$6:$C$305,MATCH(G626,Loans!$B$6:$B$305,0))="","Not a loan",INDEX(Loans!$C$6:$C$305,MATCH(G626,Loans!$B$6:$B$305,0))),"Not a loan")))</f>
        <v/>
      </c>
      <c r="I626" s="10">
        <f>IF(OR(G626="",H626="Not a loan"),"",IF(INDEX(Loans!$D$6:$D$305,MATCH(G626,Loans!$B$6:$B$305,0))="I borrowed","Out","In"))</f>
        <v/>
      </c>
      <c r="J626" s="1">
        <f>IF(NOT(ISNUMBER(B626)),"",YEAR(B626)*100+MONTH(B626))</f>
        <v/>
      </c>
      <c r="K626">
        <f>IF(OR(G626="",NOT(ISNUMBER(B626))),"",IF(G626=Statement!$H$2,B626*1000+ROW(),""))</f>
        <v/>
      </c>
    </row>
    <row r="627">
      <c r="A627" s="1" t="n"/>
      <c r="B627" s="18" t="n"/>
      <c r="C627" s="16" t="n"/>
      <c r="D627" s="19" t="n"/>
      <c r="E627" s="17" t="n"/>
      <c r="F627" s="22" t="n"/>
      <c r="G627" s="14">
        <f>IF(C627="","",IFERROR(VALUE(LEFT(C627,FIND(" ",C627&amp;" ")-1)),""))</f>
        <v/>
      </c>
      <c r="H627" s="26">
        <f>IF(C627="","",IF(G627="","Pick a loan",IFERROR(IF(INDEX(Loans!$C$6:$C$305,MATCH(G627,Loans!$B$6:$B$305,0))="","Not a loan",INDEX(Loans!$C$6:$C$305,MATCH(G627,Loans!$B$6:$B$305,0))),"Not a loan")))</f>
        <v/>
      </c>
      <c r="I627" s="10">
        <f>IF(OR(G627="",H627="Not a loan"),"",IF(INDEX(Loans!$D$6:$D$305,MATCH(G627,Loans!$B$6:$B$305,0))="I borrowed","Out","In"))</f>
        <v/>
      </c>
      <c r="J627" s="1">
        <f>IF(NOT(ISNUMBER(B627)),"",YEAR(B627)*100+MONTH(B627))</f>
        <v/>
      </c>
      <c r="K627">
        <f>IF(OR(G627="",NOT(ISNUMBER(B627))),"",IF(G627=Statement!$H$2,B627*1000+ROW(),""))</f>
        <v/>
      </c>
    </row>
    <row r="628">
      <c r="A628" s="1" t="n"/>
      <c r="B628" s="18" t="n"/>
      <c r="C628" s="16" t="n"/>
      <c r="D628" s="19" t="n"/>
      <c r="E628" s="17" t="n"/>
      <c r="F628" s="22" t="n"/>
      <c r="G628" s="14">
        <f>IF(C628="","",IFERROR(VALUE(LEFT(C628,FIND(" ",C628&amp;" ")-1)),""))</f>
        <v/>
      </c>
      <c r="H628" s="26">
        <f>IF(C628="","",IF(G628="","Pick a loan",IFERROR(IF(INDEX(Loans!$C$6:$C$305,MATCH(G628,Loans!$B$6:$B$305,0))="","Not a loan",INDEX(Loans!$C$6:$C$305,MATCH(G628,Loans!$B$6:$B$305,0))),"Not a loan")))</f>
        <v/>
      </c>
      <c r="I628" s="10">
        <f>IF(OR(G628="",H628="Not a loan"),"",IF(INDEX(Loans!$D$6:$D$305,MATCH(G628,Loans!$B$6:$B$305,0))="I borrowed","Out","In"))</f>
        <v/>
      </c>
      <c r="J628" s="1">
        <f>IF(NOT(ISNUMBER(B628)),"",YEAR(B628)*100+MONTH(B628))</f>
        <v/>
      </c>
      <c r="K628">
        <f>IF(OR(G628="",NOT(ISNUMBER(B628))),"",IF(G628=Statement!$H$2,B628*1000+ROW(),""))</f>
        <v/>
      </c>
    </row>
    <row r="629">
      <c r="A629" s="1" t="n"/>
      <c r="B629" s="18" t="n"/>
      <c r="C629" s="16" t="n"/>
      <c r="D629" s="19" t="n"/>
      <c r="E629" s="17" t="n"/>
      <c r="F629" s="22" t="n"/>
      <c r="G629" s="14">
        <f>IF(C629="","",IFERROR(VALUE(LEFT(C629,FIND(" ",C629&amp;" ")-1)),""))</f>
        <v/>
      </c>
      <c r="H629" s="26">
        <f>IF(C629="","",IF(G629="","Pick a loan",IFERROR(IF(INDEX(Loans!$C$6:$C$305,MATCH(G629,Loans!$B$6:$B$305,0))="","Not a loan",INDEX(Loans!$C$6:$C$305,MATCH(G629,Loans!$B$6:$B$305,0))),"Not a loan")))</f>
        <v/>
      </c>
      <c r="I629" s="10">
        <f>IF(OR(G629="",H629="Not a loan"),"",IF(INDEX(Loans!$D$6:$D$305,MATCH(G629,Loans!$B$6:$B$305,0))="I borrowed","Out","In"))</f>
        <v/>
      </c>
      <c r="J629" s="1">
        <f>IF(NOT(ISNUMBER(B629)),"",YEAR(B629)*100+MONTH(B629))</f>
        <v/>
      </c>
      <c r="K629">
        <f>IF(OR(G629="",NOT(ISNUMBER(B629))),"",IF(G629=Statement!$H$2,B629*1000+ROW(),""))</f>
        <v/>
      </c>
    </row>
    <row r="630">
      <c r="A630" s="1" t="n"/>
      <c r="B630" s="18" t="n"/>
      <c r="C630" s="16" t="n"/>
      <c r="D630" s="19" t="n"/>
      <c r="E630" s="17" t="n"/>
      <c r="F630" s="22" t="n"/>
      <c r="G630" s="14">
        <f>IF(C630="","",IFERROR(VALUE(LEFT(C630,FIND(" ",C630&amp;" ")-1)),""))</f>
        <v/>
      </c>
      <c r="H630" s="26">
        <f>IF(C630="","",IF(G630="","Pick a loan",IFERROR(IF(INDEX(Loans!$C$6:$C$305,MATCH(G630,Loans!$B$6:$B$305,0))="","Not a loan",INDEX(Loans!$C$6:$C$305,MATCH(G630,Loans!$B$6:$B$305,0))),"Not a loan")))</f>
        <v/>
      </c>
      <c r="I630" s="10">
        <f>IF(OR(G630="",H630="Not a loan"),"",IF(INDEX(Loans!$D$6:$D$305,MATCH(G630,Loans!$B$6:$B$305,0))="I borrowed","Out","In"))</f>
        <v/>
      </c>
      <c r="J630" s="1">
        <f>IF(NOT(ISNUMBER(B630)),"",YEAR(B630)*100+MONTH(B630))</f>
        <v/>
      </c>
      <c r="K630">
        <f>IF(OR(G630="",NOT(ISNUMBER(B630))),"",IF(G630=Statement!$H$2,B630*1000+ROW(),""))</f>
        <v/>
      </c>
    </row>
    <row r="631">
      <c r="A631" s="1" t="n"/>
      <c r="B631" s="18" t="n"/>
      <c r="C631" s="16" t="n"/>
      <c r="D631" s="19" t="n"/>
      <c r="E631" s="17" t="n"/>
      <c r="F631" s="22" t="n"/>
      <c r="G631" s="14">
        <f>IF(C631="","",IFERROR(VALUE(LEFT(C631,FIND(" ",C631&amp;" ")-1)),""))</f>
        <v/>
      </c>
      <c r="H631" s="26">
        <f>IF(C631="","",IF(G631="","Pick a loan",IFERROR(IF(INDEX(Loans!$C$6:$C$305,MATCH(G631,Loans!$B$6:$B$305,0))="","Not a loan",INDEX(Loans!$C$6:$C$305,MATCH(G631,Loans!$B$6:$B$305,0))),"Not a loan")))</f>
        <v/>
      </c>
      <c r="I631" s="10">
        <f>IF(OR(G631="",H631="Not a loan"),"",IF(INDEX(Loans!$D$6:$D$305,MATCH(G631,Loans!$B$6:$B$305,0))="I borrowed","Out","In"))</f>
        <v/>
      </c>
      <c r="J631" s="1">
        <f>IF(NOT(ISNUMBER(B631)),"",YEAR(B631)*100+MONTH(B631))</f>
        <v/>
      </c>
      <c r="K631">
        <f>IF(OR(G631="",NOT(ISNUMBER(B631))),"",IF(G631=Statement!$H$2,B631*1000+ROW(),""))</f>
        <v/>
      </c>
    </row>
    <row r="632">
      <c r="A632" s="1" t="n"/>
      <c r="B632" s="18" t="n"/>
      <c r="C632" s="16" t="n"/>
      <c r="D632" s="19" t="n"/>
      <c r="E632" s="17" t="n"/>
      <c r="F632" s="22" t="n"/>
      <c r="G632" s="14">
        <f>IF(C632="","",IFERROR(VALUE(LEFT(C632,FIND(" ",C632&amp;" ")-1)),""))</f>
        <v/>
      </c>
      <c r="H632" s="26">
        <f>IF(C632="","",IF(G632="","Pick a loan",IFERROR(IF(INDEX(Loans!$C$6:$C$305,MATCH(G632,Loans!$B$6:$B$305,0))="","Not a loan",INDEX(Loans!$C$6:$C$305,MATCH(G632,Loans!$B$6:$B$305,0))),"Not a loan")))</f>
        <v/>
      </c>
      <c r="I632" s="10">
        <f>IF(OR(G632="",H632="Not a loan"),"",IF(INDEX(Loans!$D$6:$D$305,MATCH(G632,Loans!$B$6:$B$305,0))="I borrowed","Out","In"))</f>
        <v/>
      </c>
      <c r="J632" s="1">
        <f>IF(NOT(ISNUMBER(B632)),"",YEAR(B632)*100+MONTH(B632))</f>
        <v/>
      </c>
      <c r="K632">
        <f>IF(OR(G632="",NOT(ISNUMBER(B632))),"",IF(G632=Statement!$H$2,B632*1000+ROW(),""))</f>
        <v/>
      </c>
    </row>
    <row r="633">
      <c r="A633" s="1" t="n"/>
      <c r="B633" s="18" t="n"/>
      <c r="C633" s="16" t="n"/>
      <c r="D633" s="19" t="n"/>
      <c r="E633" s="17" t="n"/>
      <c r="F633" s="22" t="n"/>
      <c r="G633" s="14">
        <f>IF(C633="","",IFERROR(VALUE(LEFT(C633,FIND(" ",C633&amp;" ")-1)),""))</f>
        <v/>
      </c>
      <c r="H633" s="26">
        <f>IF(C633="","",IF(G633="","Pick a loan",IFERROR(IF(INDEX(Loans!$C$6:$C$305,MATCH(G633,Loans!$B$6:$B$305,0))="","Not a loan",INDEX(Loans!$C$6:$C$305,MATCH(G633,Loans!$B$6:$B$305,0))),"Not a loan")))</f>
        <v/>
      </c>
      <c r="I633" s="10">
        <f>IF(OR(G633="",H633="Not a loan"),"",IF(INDEX(Loans!$D$6:$D$305,MATCH(G633,Loans!$B$6:$B$305,0))="I borrowed","Out","In"))</f>
        <v/>
      </c>
      <c r="J633" s="1">
        <f>IF(NOT(ISNUMBER(B633)),"",YEAR(B633)*100+MONTH(B633))</f>
        <v/>
      </c>
      <c r="K633">
        <f>IF(OR(G633="",NOT(ISNUMBER(B633))),"",IF(G633=Statement!$H$2,B633*1000+ROW(),""))</f>
        <v/>
      </c>
    </row>
    <row r="634">
      <c r="A634" s="1" t="n"/>
      <c r="B634" s="18" t="n"/>
      <c r="C634" s="16" t="n"/>
      <c r="D634" s="19" t="n"/>
      <c r="E634" s="17" t="n"/>
      <c r="F634" s="22" t="n"/>
      <c r="G634" s="14">
        <f>IF(C634="","",IFERROR(VALUE(LEFT(C634,FIND(" ",C634&amp;" ")-1)),""))</f>
        <v/>
      </c>
      <c r="H634" s="26">
        <f>IF(C634="","",IF(G634="","Pick a loan",IFERROR(IF(INDEX(Loans!$C$6:$C$305,MATCH(G634,Loans!$B$6:$B$305,0))="","Not a loan",INDEX(Loans!$C$6:$C$305,MATCH(G634,Loans!$B$6:$B$305,0))),"Not a loan")))</f>
        <v/>
      </c>
      <c r="I634" s="10">
        <f>IF(OR(G634="",H634="Not a loan"),"",IF(INDEX(Loans!$D$6:$D$305,MATCH(G634,Loans!$B$6:$B$305,0))="I borrowed","Out","In"))</f>
        <v/>
      </c>
      <c r="J634" s="1">
        <f>IF(NOT(ISNUMBER(B634)),"",YEAR(B634)*100+MONTH(B634))</f>
        <v/>
      </c>
      <c r="K634">
        <f>IF(OR(G634="",NOT(ISNUMBER(B634))),"",IF(G634=Statement!$H$2,B634*1000+ROW(),""))</f>
        <v/>
      </c>
    </row>
    <row r="635">
      <c r="A635" s="1" t="n"/>
      <c r="B635" s="18" t="n"/>
      <c r="C635" s="16" t="n"/>
      <c r="D635" s="19" t="n"/>
      <c r="E635" s="17" t="n"/>
      <c r="F635" s="22" t="n"/>
      <c r="G635" s="14">
        <f>IF(C635="","",IFERROR(VALUE(LEFT(C635,FIND(" ",C635&amp;" ")-1)),""))</f>
        <v/>
      </c>
      <c r="H635" s="26">
        <f>IF(C635="","",IF(G635="","Pick a loan",IFERROR(IF(INDEX(Loans!$C$6:$C$305,MATCH(G635,Loans!$B$6:$B$305,0))="","Not a loan",INDEX(Loans!$C$6:$C$305,MATCH(G635,Loans!$B$6:$B$305,0))),"Not a loan")))</f>
        <v/>
      </c>
      <c r="I635" s="10">
        <f>IF(OR(G635="",H635="Not a loan"),"",IF(INDEX(Loans!$D$6:$D$305,MATCH(G635,Loans!$B$6:$B$305,0))="I borrowed","Out","In"))</f>
        <v/>
      </c>
      <c r="J635" s="1">
        <f>IF(NOT(ISNUMBER(B635)),"",YEAR(B635)*100+MONTH(B635))</f>
        <v/>
      </c>
      <c r="K635">
        <f>IF(OR(G635="",NOT(ISNUMBER(B635))),"",IF(G635=Statement!$H$2,B635*1000+ROW(),""))</f>
        <v/>
      </c>
    </row>
    <row r="636">
      <c r="A636" s="1" t="n"/>
      <c r="B636" s="18" t="n"/>
      <c r="C636" s="16" t="n"/>
      <c r="D636" s="19" t="n"/>
      <c r="E636" s="17" t="n"/>
      <c r="F636" s="22" t="n"/>
      <c r="G636" s="14">
        <f>IF(C636="","",IFERROR(VALUE(LEFT(C636,FIND(" ",C636&amp;" ")-1)),""))</f>
        <v/>
      </c>
      <c r="H636" s="26">
        <f>IF(C636="","",IF(G636="","Pick a loan",IFERROR(IF(INDEX(Loans!$C$6:$C$305,MATCH(G636,Loans!$B$6:$B$305,0))="","Not a loan",INDEX(Loans!$C$6:$C$305,MATCH(G636,Loans!$B$6:$B$305,0))),"Not a loan")))</f>
        <v/>
      </c>
      <c r="I636" s="10">
        <f>IF(OR(G636="",H636="Not a loan"),"",IF(INDEX(Loans!$D$6:$D$305,MATCH(G636,Loans!$B$6:$B$305,0))="I borrowed","Out","In"))</f>
        <v/>
      </c>
      <c r="J636" s="1">
        <f>IF(NOT(ISNUMBER(B636)),"",YEAR(B636)*100+MONTH(B636))</f>
        <v/>
      </c>
      <c r="K636">
        <f>IF(OR(G636="",NOT(ISNUMBER(B636))),"",IF(G636=Statement!$H$2,B636*1000+ROW(),""))</f>
        <v/>
      </c>
    </row>
    <row r="637">
      <c r="A637" s="1" t="n"/>
      <c r="B637" s="18" t="n"/>
      <c r="C637" s="16" t="n"/>
      <c r="D637" s="19" t="n"/>
      <c r="E637" s="17" t="n"/>
      <c r="F637" s="22" t="n"/>
      <c r="G637" s="14">
        <f>IF(C637="","",IFERROR(VALUE(LEFT(C637,FIND(" ",C637&amp;" ")-1)),""))</f>
        <v/>
      </c>
      <c r="H637" s="26">
        <f>IF(C637="","",IF(G637="","Pick a loan",IFERROR(IF(INDEX(Loans!$C$6:$C$305,MATCH(G637,Loans!$B$6:$B$305,0))="","Not a loan",INDEX(Loans!$C$6:$C$305,MATCH(G637,Loans!$B$6:$B$305,0))),"Not a loan")))</f>
        <v/>
      </c>
      <c r="I637" s="10">
        <f>IF(OR(G637="",H637="Not a loan"),"",IF(INDEX(Loans!$D$6:$D$305,MATCH(G637,Loans!$B$6:$B$305,0))="I borrowed","Out","In"))</f>
        <v/>
      </c>
      <c r="J637" s="1">
        <f>IF(NOT(ISNUMBER(B637)),"",YEAR(B637)*100+MONTH(B637))</f>
        <v/>
      </c>
      <c r="K637">
        <f>IF(OR(G637="",NOT(ISNUMBER(B637))),"",IF(G637=Statement!$H$2,B637*1000+ROW(),""))</f>
        <v/>
      </c>
    </row>
    <row r="638">
      <c r="A638" s="1" t="n"/>
      <c r="B638" s="18" t="n"/>
      <c r="C638" s="16" t="n"/>
      <c r="D638" s="19" t="n"/>
      <c r="E638" s="17" t="n"/>
      <c r="F638" s="22" t="n"/>
      <c r="G638" s="14">
        <f>IF(C638="","",IFERROR(VALUE(LEFT(C638,FIND(" ",C638&amp;" ")-1)),""))</f>
        <v/>
      </c>
      <c r="H638" s="26">
        <f>IF(C638="","",IF(G638="","Pick a loan",IFERROR(IF(INDEX(Loans!$C$6:$C$305,MATCH(G638,Loans!$B$6:$B$305,0))="","Not a loan",INDEX(Loans!$C$6:$C$305,MATCH(G638,Loans!$B$6:$B$305,0))),"Not a loan")))</f>
        <v/>
      </c>
      <c r="I638" s="10">
        <f>IF(OR(G638="",H638="Not a loan"),"",IF(INDEX(Loans!$D$6:$D$305,MATCH(G638,Loans!$B$6:$B$305,0))="I borrowed","Out","In"))</f>
        <v/>
      </c>
      <c r="J638" s="1">
        <f>IF(NOT(ISNUMBER(B638)),"",YEAR(B638)*100+MONTH(B638))</f>
        <v/>
      </c>
      <c r="K638">
        <f>IF(OR(G638="",NOT(ISNUMBER(B638))),"",IF(G638=Statement!$H$2,B638*1000+ROW(),""))</f>
        <v/>
      </c>
    </row>
    <row r="639">
      <c r="A639" s="1" t="n"/>
      <c r="B639" s="18" t="n"/>
      <c r="C639" s="16" t="n"/>
      <c r="D639" s="19" t="n"/>
      <c r="E639" s="17" t="n"/>
      <c r="F639" s="22" t="n"/>
      <c r="G639" s="14">
        <f>IF(C639="","",IFERROR(VALUE(LEFT(C639,FIND(" ",C639&amp;" ")-1)),""))</f>
        <v/>
      </c>
      <c r="H639" s="26">
        <f>IF(C639="","",IF(G639="","Pick a loan",IFERROR(IF(INDEX(Loans!$C$6:$C$305,MATCH(G639,Loans!$B$6:$B$305,0))="","Not a loan",INDEX(Loans!$C$6:$C$305,MATCH(G639,Loans!$B$6:$B$305,0))),"Not a loan")))</f>
        <v/>
      </c>
      <c r="I639" s="10">
        <f>IF(OR(G639="",H639="Not a loan"),"",IF(INDEX(Loans!$D$6:$D$305,MATCH(G639,Loans!$B$6:$B$305,0))="I borrowed","Out","In"))</f>
        <v/>
      </c>
      <c r="J639" s="1">
        <f>IF(NOT(ISNUMBER(B639)),"",YEAR(B639)*100+MONTH(B639))</f>
        <v/>
      </c>
      <c r="K639">
        <f>IF(OR(G639="",NOT(ISNUMBER(B639))),"",IF(G639=Statement!$H$2,B639*1000+ROW(),""))</f>
        <v/>
      </c>
    </row>
    <row r="640">
      <c r="A640" s="1" t="n"/>
      <c r="B640" s="18" t="n"/>
      <c r="C640" s="16" t="n"/>
      <c r="D640" s="19" t="n"/>
      <c r="E640" s="17" t="n"/>
      <c r="F640" s="22" t="n"/>
      <c r="G640" s="14">
        <f>IF(C640="","",IFERROR(VALUE(LEFT(C640,FIND(" ",C640&amp;" ")-1)),""))</f>
        <v/>
      </c>
      <c r="H640" s="26">
        <f>IF(C640="","",IF(G640="","Pick a loan",IFERROR(IF(INDEX(Loans!$C$6:$C$305,MATCH(G640,Loans!$B$6:$B$305,0))="","Not a loan",INDEX(Loans!$C$6:$C$305,MATCH(G640,Loans!$B$6:$B$305,0))),"Not a loan")))</f>
        <v/>
      </c>
      <c r="I640" s="10">
        <f>IF(OR(G640="",H640="Not a loan"),"",IF(INDEX(Loans!$D$6:$D$305,MATCH(G640,Loans!$B$6:$B$305,0))="I borrowed","Out","In"))</f>
        <v/>
      </c>
      <c r="J640" s="1">
        <f>IF(NOT(ISNUMBER(B640)),"",YEAR(B640)*100+MONTH(B640))</f>
        <v/>
      </c>
      <c r="K640">
        <f>IF(OR(G640="",NOT(ISNUMBER(B640))),"",IF(G640=Statement!$H$2,B640*1000+ROW(),""))</f>
        <v/>
      </c>
    </row>
    <row r="641">
      <c r="A641" s="1" t="n"/>
      <c r="B641" s="18" t="n"/>
      <c r="C641" s="16" t="n"/>
      <c r="D641" s="19" t="n"/>
      <c r="E641" s="17" t="n"/>
      <c r="F641" s="22" t="n"/>
      <c r="G641" s="14">
        <f>IF(C641="","",IFERROR(VALUE(LEFT(C641,FIND(" ",C641&amp;" ")-1)),""))</f>
        <v/>
      </c>
      <c r="H641" s="26">
        <f>IF(C641="","",IF(G641="","Pick a loan",IFERROR(IF(INDEX(Loans!$C$6:$C$305,MATCH(G641,Loans!$B$6:$B$305,0))="","Not a loan",INDEX(Loans!$C$6:$C$305,MATCH(G641,Loans!$B$6:$B$305,0))),"Not a loan")))</f>
        <v/>
      </c>
      <c r="I641" s="10">
        <f>IF(OR(G641="",H641="Not a loan"),"",IF(INDEX(Loans!$D$6:$D$305,MATCH(G641,Loans!$B$6:$B$305,0))="I borrowed","Out","In"))</f>
        <v/>
      </c>
      <c r="J641" s="1">
        <f>IF(NOT(ISNUMBER(B641)),"",YEAR(B641)*100+MONTH(B641))</f>
        <v/>
      </c>
      <c r="K641">
        <f>IF(OR(G641="",NOT(ISNUMBER(B641))),"",IF(G641=Statement!$H$2,B641*1000+ROW(),""))</f>
        <v/>
      </c>
    </row>
    <row r="642">
      <c r="A642" s="1" t="n"/>
      <c r="B642" s="18" t="n"/>
      <c r="C642" s="16" t="n"/>
      <c r="D642" s="19" t="n"/>
      <c r="E642" s="17" t="n"/>
      <c r="F642" s="22" t="n"/>
      <c r="G642" s="14">
        <f>IF(C642="","",IFERROR(VALUE(LEFT(C642,FIND(" ",C642&amp;" ")-1)),""))</f>
        <v/>
      </c>
      <c r="H642" s="26">
        <f>IF(C642="","",IF(G642="","Pick a loan",IFERROR(IF(INDEX(Loans!$C$6:$C$305,MATCH(G642,Loans!$B$6:$B$305,0))="","Not a loan",INDEX(Loans!$C$6:$C$305,MATCH(G642,Loans!$B$6:$B$305,0))),"Not a loan")))</f>
        <v/>
      </c>
      <c r="I642" s="10">
        <f>IF(OR(G642="",H642="Not a loan"),"",IF(INDEX(Loans!$D$6:$D$305,MATCH(G642,Loans!$B$6:$B$305,0))="I borrowed","Out","In"))</f>
        <v/>
      </c>
      <c r="J642" s="1">
        <f>IF(NOT(ISNUMBER(B642)),"",YEAR(B642)*100+MONTH(B642))</f>
        <v/>
      </c>
      <c r="K642">
        <f>IF(OR(G642="",NOT(ISNUMBER(B642))),"",IF(G642=Statement!$H$2,B642*1000+ROW(),""))</f>
        <v/>
      </c>
    </row>
    <row r="643">
      <c r="A643" s="1" t="n"/>
      <c r="B643" s="18" t="n"/>
      <c r="C643" s="16" t="n"/>
      <c r="D643" s="19" t="n"/>
      <c r="E643" s="17" t="n"/>
      <c r="F643" s="22" t="n"/>
      <c r="G643" s="14">
        <f>IF(C643="","",IFERROR(VALUE(LEFT(C643,FIND(" ",C643&amp;" ")-1)),""))</f>
        <v/>
      </c>
      <c r="H643" s="26">
        <f>IF(C643="","",IF(G643="","Pick a loan",IFERROR(IF(INDEX(Loans!$C$6:$C$305,MATCH(G643,Loans!$B$6:$B$305,0))="","Not a loan",INDEX(Loans!$C$6:$C$305,MATCH(G643,Loans!$B$6:$B$305,0))),"Not a loan")))</f>
        <v/>
      </c>
      <c r="I643" s="10">
        <f>IF(OR(G643="",H643="Not a loan"),"",IF(INDEX(Loans!$D$6:$D$305,MATCH(G643,Loans!$B$6:$B$305,0))="I borrowed","Out","In"))</f>
        <v/>
      </c>
      <c r="J643" s="1">
        <f>IF(NOT(ISNUMBER(B643)),"",YEAR(B643)*100+MONTH(B643))</f>
        <v/>
      </c>
      <c r="K643">
        <f>IF(OR(G643="",NOT(ISNUMBER(B643))),"",IF(G643=Statement!$H$2,B643*1000+ROW(),""))</f>
        <v/>
      </c>
    </row>
    <row r="644">
      <c r="A644" s="1" t="n"/>
      <c r="B644" s="18" t="n"/>
      <c r="C644" s="16" t="n"/>
      <c r="D644" s="19" t="n"/>
      <c r="E644" s="17" t="n"/>
      <c r="F644" s="22" t="n"/>
      <c r="G644" s="14">
        <f>IF(C644="","",IFERROR(VALUE(LEFT(C644,FIND(" ",C644&amp;" ")-1)),""))</f>
        <v/>
      </c>
      <c r="H644" s="26">
        <f>IF(C644="","",IF(G644="","Pick a loan",IFERROR(IF(INDEX(Loans!$C$6:$C$305,MATCH(G644,Loans!$B$6:$B$305,0))="","Not a loan",INDEX(Loans!$C$6:$C$305,MATCH(G644,Loans!$B$6:$B$305,0))),"Not a loan")))</f>
        <v/>
      </c>
      <c r="I644" s="10">
        <f>IF(OR(G644="",H644="Not a loan"),"",IF(INDEX(Loans!$D$6:$D$305,MATCH(G644,Loans!$B$6:$B$305,0))="I borrowed","Out","In"))</f>
        <v/>
      </c>
      <c r="J644" s="1">
        <f>IF(NOT(ISNUMBER(B644)),"",YEAR(B644)*100+MONTH(B644))</f>
        <v/>
      </c>
      <c r="K644">
        <f>IF(OR(G644="",NOT(ISNUMBER(B644))),"",IF(G644=Statement!$H$2,B644*1000+ROW(),""))</f>
        <v/>
      </c>
    </row>
    <row r="645">
      <c r="A645" s="1" t="n"/>
      <c r="B645" s="18" t="n"/>
      <c r="C645" s="16" t="n"/>
      <c r="D645" s="19" t="n"/>
      <c r="E645" s="17" t="n"/>
      <c r="F645" s="22" t="n"/>
      <c r="G645" s="14">
        <f>IF(C645="","",IFERROR(VALUE(LEFT(C645,FIND(" ",C645&amp;" ")-1)),""))</f>
        <v/>
      </c>
      <c r="H645" s="26">
        <f>IF(C645="","",IF(G645="","Pick a loan",IFERROR(IF(INDEX(Loans!$C$6:$C$305,MATCH(G645,Loans!$B$6:$B$305,0))="","Not a loan",INDEX(Loans!$C$6:$C$305,MATCH(G645,Loans!$B$6:$B$305,0))),"Not a loan")))</f>
        <v/>
      </c>
      <c r="I645" s="10">
        <f>IF(OR(G645="",H645="Not a loan"),"",IF(INDEX(Loans!$D$6:$D$305,MATCH(G645,Loans!$B$6:$B$305,0))="I borrowed","Out","In"))</f>
        <v/>
      </c>
      <c r="J645" s="1">
        <f>IF(NOT(ISNUMBER(B645)),"",YEAR(B645)*100+MONTH(B645))</f>
        <v/>
      </c>
      <c r="K645">
        <f>IF(OR(G645="",NOT(ISNUMBER(B645))),"",IF(G645=Statement!$H$2,B645*1000+ROW(),""))</f>
        <v/>
      </c>
    </row>
    <row r="646">
      <c r="A646" s="1" t="n"/>
      <c r="B646" s="18" t="n"/>
      <c r="C646" s="16" t="n"/>
      <c r="D646" s="19" t="n"/>
      <c r="E646" s="17" t="n"/>
      <c r="F646" s="22" t="n"/>
      <c r="G646" s="14">
        <f>IF(C646="","",IFERROR(VALUE(LEFT(C646,FIND(" ",C646&amp;" ")-1)),""))</f>
        <v/>
      </c>
      <c r="H646" s="26">
        <f>IF(C646="","",IF(G646="","Pick a loan",IFERROR(IF(INDEX(Loans!$C$6:$C$305,MATCH(G646,Loans!$B$6:$B$305,0))="","Not a loan",INDEX(Loans!$C$6:$C$305,MATCH(G646,Loans!$B$6:$B$305,0))),"Not a loan")))</f>
        <v/>
      </c>
      <c r="I646" s="10">
        <f>IF(OR(G646="",H646="Not a loan"),"",IF(INDEX(Loans!$D$6:$D$305,MATCH(G646,Loans!$B$6:$B$305,0))="I borrowed","Out","In"))</f>
        <v/>
      </c>
      <c r="J646" s="1">
        <f>IF(NOT(ISNUMBER(B646)),"",YEAR(B646)*100+MONTH(B646))</f>
        <v/>
      </c>
      <c r="K646">
        <f>IF(OR(G646="",NOT(ISNUMBER(B646))),"",IF(G646=Statement!$H$2,B646*1000+ROW(),""))</f>
        <v/>
      </c>
    </row>
    <row r="647">
      <c r="A647" s="1" t="n"/>
      <c r="B647" s="18" t="n"/>
      <c r="C647" s="16" t="n"/>
      <c r="D647" s="19" t="n"/>
      <c r="E647" s="17" t="n"/>
      <c r="F647" s="22" t="n"/>
      <c r="G647" s="14">
        <f>IF(C647="","",IFERROR(VALUE(LEFT(C647,FIND(" ",C647&amp;" ")-1)),""))</f>
        <v/>
      </c>
      <c r="H647" s="26">
        <f>IF(C647="","",IF(G647="","Pick a loan",IFERROR(IF(INDEX(Loans!$C$6:$C$305,MATCH(G647,Loans!$B$6:$B$305,0))="","Not a loan",INDEX(Loans!$C$6:$C$305,MATCH(G647,Loans!$B$6:$B$305,0))),"Not a loan")))</f>
        <v/>
      </c>
      <c r="I647" s="10">
        <f>IF(OR(G647="",H647="Not a loan"),"",IF(INDEX(Loans!$D$6:$D$305,MATCH(G647,Loans!$B$6:$B$305,0))="I borrowed","Out","In"))</f>
        <v/>
      </c>
      <c r="J647" s="1">
        <f>IF(NOT(ISNUMBER(B647)),"",YEAR(B647)*100+MONTH(B647))</f>
        <v/>
      </c>
      <c r="K647">
        <f>IF(OR(G647="",NOT(ISNUMBER(B647))),"",IF(G647=Statement!$H$2,B647*1000+ROW(),""))</f>
        <v/>
      </c>
    </row>
    <row r="648">
      <c r="A648" s="1" t="n"/>
      <c r="B648" s="18" t="n"/>
      <c r="C648" s="16" t="n"/>
      <c r="D648" s="19" t="n"/>
      <c r="E648" s="17" t="n"/>
      <c r="F648" s="22" t="n"/>
      <c r="G648" s="14">
        <f>IF(C648="","",IFERROR(VALUE(LEFT(C648,FIND(" ",C648&amp;" ")-1)),""))</f>
        <v/>
      </c>
      <c r="H648" s="26">
        <f>IF(C648="","",IF(G648="","Pick a loan",IFERROR(IF(INDEX(Loans!$C$6:$C$305,MATCH(G648,Loans!$B$6:$B$305,0))="","Not a loan",INDEX(Loans!$C$6:$C$305,MATCH(G648,Loans!$B$6:$B$305,0))),"Not a loan")))</f>
        <v/>
      </c>
      <c r="I648" s="10">
        <f>IF(OR(G648="",H648="Not a loan"),"",IF(INDEX(Loans!$D$6:$D$305,MATCH(G648,Loans!$B$6:$B$305,0))="I borrowed","Out","In"))</f>
        <v/>
      </c>
      <c r="J648" s="1">
        <f>IF(NOT(ISNUMBER(B648)),"",YEAR(B648)*100+MONTH(B648))</f>
        <v/>
      </c>
      <c r="K648">
        <f>IF(OR(G648="",NOT(ISNUMBER(B648))),"",IF(G648=Statement!$H$2,B648*1000+ROW(),""))</f>
        <v/>
      </c>
    </row>
    <row r="649">
      <c r="A649" s="1" t="n"/>
      <c r="B649" s="18" t="n"/>
      <c r="C649" s="16" t="n"/>
      <c r="D649" s="19" t="n"/>
      <c r="E649" s="17" t="n"/>
      <c r="F649" s="22" t="n"/>
      <c r="G649" s="14">
        <f>IF(C649="","",IFERROR(VALUE(LEFT(C649,FIND(" ",C649&amp;" ")-1)),""))</f>
        <v/>
      </c>
      <c r="H649" s="26">
        <f>IF(C649="","",IF(G649="","Pick a loan",IFERROR(IF(INDEX(Loans!$C$6:$C$305,MATCH(G649,Loans!$B$6:$B$305,0))="","Not a loan",INDEX(Loans!$C$6:$C$305,MATCH(G649,Loans!$B$6:$B$305,0))),"Not a loan")))</f>
        <v/>
      </c>
      <c r="I649" s="10">
        <f>IF(OR(G649="",H649="Not a loan"),"",IF(INDEX(Loans!$D$6:$D$305,MATCH(G649,Loans!$B$6:$B$305,0))="I borrowed","Out","In"))</f>
        <v/>
      </c>
      <c r="J649" s="1">
        <f>IF(NOT(ISNUMBER(B649)),"",YEAR(B649)*100+MONTH(B649))</f>
        <v/>
      </c>
      <c r="K649">
        <f>IF(OR(G649="",NOT(ISNUMBER(B649))),"",IF(G649=Statement!$H$2,B649*1000+ROW(),""))</f>
        <v/>
      </c>
    </row>
    <row r="650">
      <c r="A650" s="1" t="n"/>
      <c r="B650" s="18" t="n"/>
      <c r="C650" s="16" t="n"/>
      <c r="D650" s="19" t="n"/>
      <c r="E650" s="17" t="n"/>
      <c r="F650" s="22" t="n"/>
      <c r="G650" s="14">
        <f>IF(C650="","",IFERROR(VALUE(LEFT(C650,FIND(" ",C650&amp;" ")-1)),""))</f>
        <v/>
      </c>
      <c r="H650" s="26">
        <f>IF(C650="","",IF(G650="","Pick a loan",IFERROR(IF(INDEX(Loans!$C$6:$C$305,MATCH(G650,Loans!$B$6:$B$305,0))="","Not a loan",INDEX(Loans!$C$6:$C$305,MATCH(G650,Loans!$B$6:$B$305,0))),"Not a loan")))</f>
        <v/>
      </c>
      <c r="I650" s="10">
        <f>IF(OR(G650="",H650="Not a loan"),"",IF(INDEX(Loans!$D$6:$D$305,MATCH(G650,Loans!$B$6:$B$305,0))="I borrowed","Out","In"))</f>
        <v/>
      </c>
      <c r="J650" s="1">
        <f>IF(NOT(ISNUMBER(B650)),"",YEAR(B650)*100+MONTH(B650))</f>
        <v/>
      </c>
      <c r="K650">
        <f>IF(OR(G650="",NOT(ISNUMBER(B650))),"",IF(G650=Statement!$H$2,B650*1000+ROW(),""))</f>
        <v/>
      </c>
    </row>
    <row r="651">
      <c r="A651" s="1" t="n"/>
      <c r="B651" s="18" t="n"/>
      <c r="C651" s="16" t="n"/>
      <c r="D651" s="19" t="n"/>
      <c r="E651" s="17" t="n"/>
      <c r="F651" s="22" t="n"/>
      <c r="G651" s="14">
        <f>IF(C651="","",IFERROR(VALUE(LEFT(C651,FIND(" ",C651&amp;" ")-1)),""))</f>
        <v/>
      </c>
      <c r="H651" s="26">
        <f>IF(C651="","",IF(G651="","Pick a loan",IFERROR(IF(INDEX(Loans!$C$6:$C$305,MATCH(G651,Loans!$B$6:$B$305,0))="","Not a loan",INDEX(Loans!$C$6:$C$305,MATCH(G651,Loans!$B$6:$B$305,0))),"Not a loan")))</f>
        <v/>
      </c>
      <c r="I651" s="10">
        <f>IF(OR(G651="",H651="Not a loan"),"",IF(INDEX(Loans!$D$6:$D$305,MATCH(G651,Loans!$B$6:$B$305,0))="I borrowed","Out","In"))</f>
        <v/>
      </c>
      <c r="J651" s="1">
        <f>IF(NOT(ISNUMBER(B651)),"",YEAR(B651)*100+MONTH(B651))</f>
        <v/>
      </c>
      <c r="K651">
        <f>IF(OR(G651="",NOT(ISNUMBER(B651))),"",IF(G651=Statement!$H$2,B651*1000+ROW(),""))</f>
        <v/>
      </c>
    </row>
    <row r="652">
      <c r="A652" s="1" t="n"/>
      <c r="B652" s="18" t="n"/>
      <c r="C652" s="16" t="n"/>
      <c r="D652" s="19" t="n"/>
      <c r="E652" s="17" t="n"/>
      <c r="F652" s="22" t="n"/>
      <c r="G652" s="14">
        <f>IF(C652="","",IFERROR(VALUE(LEFT(C652,FIND(" ",C652&amp;" ")-1)),""))</f>
        <v/>
      </c>
      <c r="H652" s="26">
        <f>IF(C652="","",IF(G652="","Pick a loan",IFERROR(IF(INDEX(Loans!$C$6:$C$305,MATCH(G652,Loans!$B$6:$B$305,0))="","Not a loan",INDEX(Loans!$C$6:$C$305,MATCH(G652,Loans!$B$6:$B$305,0))),"Not a loan")))</f>
        <v/>
      </c>
      <c r="I652" s="10">
        <f>IF(OR(G652="",H652="Not a loan"),"",IF(INDEX(Loans!$D$6:$D$305,MATCH(G652,Loans!$B$6:$B$305,0))="I borrowed","Out","In"))</f>
        <v/>
      </c>
      <c r="J652" s="1">
        <f>IF(NOT(ISNUMBER(B652)),"",YEAR(B652)*100+MONTH(B652))</f>
        <v/>
      </c>
      <c r="K652">
        <f>IF(OR(G652="",NOT(ISNUMBER(B652))),"",IF(G652=Statement!$H$2,B652*1000+ROW(),""))</f>
        <v/>
      </c>
    </row>
    <row r="653">
      <c r="A653" s="1" t="n"/>
      <c r="B653" s="18" t="n"/>
      <c r="C653" s="16" t="n"/>
      <c r="D653" s="19" t="n"/>
      <c r="E653" s="17" t="n"/>
      <c r="F653" s="22" t="n"/>
      <c r="G653" s="14">
        <f>IF(C653="","",IFERROR(VALUE(LEFT(C653,FIND(" ",C653&amp;" ")-1)),""))</f>
        <v/>
      </c>
      <c r="H653" s="26">
        <f>IF(C653="","",IF(G653="","Pick a loan",IFERROR(IF(INDEX(Loans!$C$6:$C$305,MATCH(G653,Loans!$B$6:$B$305,0))="","Not a loan",INDEX(Loans!$C$6:$C$305,MATCH(G653,Loans!$B$6:$B$305,0))),"Not a loan")))</f>
        <v/>
      </c>
      <c r="I653" s="10">
        <f>IF(OR(G653="",H653="Not a loan"),"",IF(INDEX(Loans!$D$6:$D$305,MATCH(G653,Loans!$B$6:$B$305,0))="I borrowed","Out","In"))</f>
        <v/>
      </c>
      <c r="J653" s="1">
        <f>IF(NOT(ISNUMBER(B653)),"",YEAR(B653)*100+MONTH(B653))</f>
        <v/>
      </c>
      <c r="K653">
        <f>IF(OR(G653="",NOT(ISNUMBER(B653))),"",IF(G653=Statement!$H$2,B653*1000+ROW(),""))</f>
        <v/>
      </c>
    </row>
    <row r="654">
      <c r="A654" s="1" t="n"/>
      <c r="B654" s="18" t="n"/>
      <c r="C654" s="16" t="n"/>
      <c r="D654" s="19" t="n"/>
      <c r="E654" s="17" t="n"/>
      <c r="F654" s="22" t="n"/>
      <c r="G654" s="14">
        <f>IF(C654="","",IFERROR(VALUE(LEFT(C654,FIND(" ",C654&amp;" ")-1)),""))</f>
        <v/>
      </c>
      <c r="H654" s="26">
        <f>IF(C654="","",IF(G654="","Pick a loan",IFERROR(IF(INDEX(Loans!$C$6:$C$305,MATCH(G654,Loans!$B$6:$B$305,0))="","Not a loan",INDEX(Loans!$C$6:$C$305,MATCH(G654,Loans!$B$6:$B$305,0))),"Not a loan")))</f>
        <v/>
      </c>
      <c r="I654" s="10">
        <f>IF(OR(G654="",H654="Not a loan"),"",IF(INDEX(Loans!$D$6:$D$305,MATCH(G654,Loans!$B$6:$B$305,0))="I borrowed","Out","In"))</f>
        <v/>
      </c>
      <c r="J654" s="1">
        <f>IF(NOT(ISNUMBER(B654)),"",YEAR(B654)*100+MONTH(B654))</f>
        <v/>
      </c>
      <c r="K654">
        <f>IF(OR(G654="",NOT(ISNUMBER(B654))),"",IF(G654=Statement!$H$2,B654*1000+ROW(),""))</f>
        <v/>
      </c>
    </row>
    <row r="655">
      <c r="A655" s="1" t="n"/>
      <c r="B655" s="18" t="n"/>
      <c r="C655" s="16" t="n"/>
      <c r="D655" s="19" t="n"/>
      <c r="E655" s="17" t="n"/>
      <c r="F655" s="22" t="n"/>
      <c r="G655" s="14">
        <f>IF(C655="","",IFERROR(VALUE(LEFT(C655,FIND(" ",C655&amp;" ")-1)),""))</f>
        <v/>
      </c>
      <c r="H655" s="26">
        <f>IF(C655="","",IF(G655="","Pick a loan",IFERROR(IF(INDEX(Loans!$C$6:$C$305,MATCH(G655,Loans!$B$6:$B$305,0))="","Not a loan",INDEX(Loans!$C$6:$C$305,MATCH(G655,Loans!$B$6:$B$305,0))),"Not a loan")))</f>
        <v/>
      </c>
      <c r="I655" s="10">
        <f>IF(OR(G655="",H655="Not a loan"),"",IF(INDEX(Loans!$D$6:$D$305,MATCH(G655,Loans!$B$6:$B$305,0))="I borrowed","Out","In"))</f>
        <v/>
      </c>
      <c r="J655" s="1">
        <f>IF(NOT(ISNUMBER(B655)),"",YEAR(B655)*100+MONTH(B655))</f>
        <v/>
      </c>
      <c r="K655">
        <f>IF(OR(G655="",NOT(ISNUMBER(B655))),"",IF(G655=Statement!$H$2,B655*1000+ROW(),""))</f>
        <v/>
      </c>
    </row>
    <row r="656">
      <c r="A656" s="1" t="n"/>
      <c r="B656" s="18" t="n"/>
      <c r="C656" s="16" t="n"/>
      <c r="D656" s="19" t="n"/>
      <c r="E656" s="17" t="n"/>
      <c r="F656" s="22" t="n"/>
      <c r="G656" s="14">
        <f>IF(C656="","",IFERROR(VALUE(LEFT(C656,FIND(" ",C656&amp;" ")-1)),""))</f>
        <v/>
      </c>
      <c r="H656" s="26">
        <f>IF(C656="","",IF(G656="","Pick a loan",IFERROR(IF(INDEX(Loans!$C$6:$C$305,MATCH(G656,Loans!$B$6:$B$305,0))="","Not a loan",INDEX(Loans!$C$6:$C$305,MATCH(G656,Loans!$B$6:$B$305,0))),"Not a loan")))</f>
        <v/>
      </c>
      <c r="I656" s="10">
        <f>IF(OR(G656="",H656="Not a loan"),"",IF(INDEX(Loans!$D$6:$D$305,MATCH(G656,Loans!$B$6:$B$305,0))="I borrowed","Out","In"))</f>
        <v/>
      </c>
      <c r="J656" s="1">
        <f>IF(NOT(ISNUMBER(B656)),"",YEAR(B656)*100+MONTH(B656))</f>
        <v/>
      </c>
      <c r="K656">
        <f>IF(OR(G656="",NOT(ISNUMBER(B656))),"",IF(G656=Statement!$H$2,B656*1000+ROW(),""))</f>
        <v/>
      </c>
    </row>
    <row r="657">
      <c r="A657" s="1" t="n"/>
      <c r="B657" s="18" t="n"/>
      <c r="C657" s="16" t="n"/>
      <c r="D657" s="19" t="n"/>
      <c r="E657" s="17" t="n"/>
      <c r="F657" s="22" t="n"/>
      <c r="G657" s="14">
        <f>IF(C657="","",IFERROR(VALUE(LEFT(C657,FIND(" ",C657&amp;" ")-1)),""))</f>
        <v/>
      </c>
      <c r="H657" s="26">
        <f>IF(C657="","",IF(G657="","Pick a loan",IFERROR(IF(INDEX(Loans!$C$6:$C$305,MATCH(G657,Loans!$B$6:$B$305,0))="","Not a loan",INDEX(Loans!$C$6:$C$305,MATCH(G657,Loans!$B$6:$B$305,0))),"Not a loan")))</f>
        <v/>
      </c>
      <c r="I657" s="10">
        <f>IF(OR(G657="",H657="Not a loan"),"",IF(INDEX(Loans!$D$6:$D$305,MATCH(G657,Loans!$B$6:$B$305,0))="I borrowed","Out","In"))</f>
        <v/>
      </c>
      <c r="J657" s="1">
        <f>IF(NOT(ISNUMBER(B657)),"",YEAR(B657)*100+MONTH(B657))</f>
        <v/>
      </c>
      <c r="K657">
        <f>IF(OR(G657="",NOT(ISNUMBER(B657))),"",IF(G657=Statement!$H$2,B657*1000+ROW(),""))</f>
        <v/>
      </c>
    </row>
    <row r="658">
      <c r="A658" s="1" t="n"/>
      <c r="B658" s="18" t="n"/>
      <c r="C658" s="16" t="n"/>
      <c r="D658" s="19" t="n"/>
      <c r="E658" s="17" t="n"/>
      <c r="F658" s="22" t="n"/>
      <c r="G658" s="14">
        <f>IF(C658="","",IFERROR(VALUE(LEFT(C658,FIND(" ",C658&amp;" ")-1)),""))</f>
        <v/>
      </c>
      <c r="H658" s="26">
        <f>IF(C658="","",IF(G658="","Pick a loan",IFERROR(IF(INDEX(Loans!$C$6:$C$305,MATCH(G658,Loans!$B$6:$B$305,0))="","Not a loan",INDEX(Loans!$C$6:$C$305,MATCH(G658,Loans!$B$6:$B$305,0))),"Not a loan")))</f>
        <v/>
      </c>
      <c r="I658" s="10">
        <f>IF(OR(G658="",H658="Not a loan"),"",IF(INDEX(Loans!$D$6:$D$305,MATCH(G658,Loans!$B$6:$B$305,0))="I borrowed","Out","In"))</f>
        <v/>
      </c>
      <c r="J658" s="1">
        <f>IF(NOT(ISNUMBER(B658)),"",YEAR(B658)*100+MONTH(B658))</f>
        <v/>
      </c>
      <c r="K658">
        <f>IF(OR(G658="",NOT(ISNUMBER(B658))),"",IF(G658=Statement!$H$2,B658*1000+ROW(),""))</f>
        <v/>
      </c>
    </row>
    <row r="659">
      <c r="A659" s="1" t="n"/>
      <c r="B659" s="18" t="n"/>
      <c r="C659" s="16" t="n"/>
      <c r="D659" s="19" t="n"/>
      <c r="E659" s="17" t="n"/>
      <c r="F659" s="22" t="n"/>
      <c r="G659" s="14">
        <f>IF(C659="","",IFERROR(VALUE(LEFT(C659,FIND(" ",C659&amp;" ")-1)),""))</f>
        <v/>
      </c>
      <c r="H659" s="26">
        <f>IF(C659="","",IF(G659="","Pick a loan",IFERROR(IF(INDEX(Loans!$C$6:$C$305,MATCH(G659,Loans!$B$6:$B$305,0))="","Not a loan",INDEX(Loans!$C$6:$C$305,MATCH(G659,Loans!$B$6:$B$305,0))),"Not a loan")))</f>
        <v/>
      </c>
      <c r="I659" s="10">
        <f>IF(OR(G659="",H659="Not a loan"),"",IF(INDEX(Loans!$D$6:$D$305,MATCH(G659,Loans!$B$6:$B$305,0))="I borrowed","Out","In"))</f>
        <v/>
      </c>
      <c r="J659" s="1">
        <f>IF(NOT(ISNUMBER(B659)),"",YEAR(B659)*100+MONTH(B659))</f>
        <v/>
      </c>
      <c r="K659">
        <f>IF(OR(G659="",NOT(ISNUMBER(B659))),"",IF(G659=Statement!$H$2,B659*1000+ROW(),""))</f>
        <v/>
      </c>
    </row>
    <row r="660">
      <c r="A660" s="1" t="n"/>
      <c r="B660" s="18" t="n"/>
      <c r="C660" s="16" t="n"/>
      <c r="D660" s="19" t="n"/>
      <c r="E660" s="17" t="n"/>
      <c r="F660" s="22" t="n"/>
      <c r="G660" s="14">
        <f>IF(C660="","",IFERROR(VALUE(LEFT(C660,FIND(" ",C660&amp;" ")-1)),""))</f>
        <v/>
      </c>
      <c r="H660" s="26">
        <f>IF(C660="","",IF(G660="","Pick a loan",IFERROR(IF(INDEX(Loans!$C$6:$C$305,MATCH(G660,Loans!$B$6:$B$305,0))="","Not a loan",INDEX(Loans!$C$6:$C$305,MATCH(G660,Loans!$B$6:$B$305,0))),"Not a loan")))</f>
        <v/>
      </c>
      <c r="I660" s="10">
        <f>IF(OR(G660="",H660="Not a loan"),"",IF(INDEX(Loans!$D$6:$D$305,MATCH(G660,Loans!$B$6:$B$305,0))="I borrowed","Out","In"))</f>
        <v/>
      </c>
      <c r="J660" s="1">
        <f>IF(NOT(ISNUMBER(B660)),"",YEAR(B660)*100+MONTH(B660))</f>
        <v/>
      </c>
      <c r="K660">
        <f>IF(OR(G660="",NOT(ISNUMBER(B660))),"",IF(G660=Statement!$H$2,B660*1000+ROW(),""))</f>
        <v/>
      </c>
    </row>
    <row r="661">
      <c r="A661" s="1" t="n"/>
      <c r="B661" s="18" t="n"/>
      <c r="C661" s="16" t="n"/>
      <c r="D661" s="19" t="n"/>
      <c r="E661" s="17" t="n"/>
      <c r="F661" s="22" t="n"/>
      <c r="G661" s="14">
        <f>IF(C661="","",IFERROR(VALUE(LEFT(C661,FIND(" ",C661&amp;" ")-1)),""))</f>
        <v/>
      </c>
      <c r="H661" s="26">
        <f>IF(C661="","",IF(G661="","Pick a loan",IFERROR(IF(INDEX(Loans!$C$6:$C$305,MATCH(G661,Loans!$B$6:$B$305,0))="","Not a loan",INDEX(Loans!$C$6:$C$305,MATCH(G661,Loans!$B$6:$B$305,0))),"Not a loan")))</f>
        <v/>
      </c>
      <c r="I661" s="10">
        <f>IF(OR(G661="",H661="Not a loan"),"",IF(INDEX(Loans!$D$6:$D$305,MATCH(G661,Loans!$B$6:$B$305,0))="I borrowed","Out","In"))</f>
        <v/>
      </c>
      <c r="J661" s="1">
        <f>IF(NOT(ISNUMBER(B661)),"",YEAR(B661)*100+MONTH(B661))</f>
        <v/>
      </c>
      <c r="K661">
        <f>IF(OR(G661="",NOT(ISNUMBER(B661))),"",IF(G661=Statement!$H$2,B661*1000+ROW(),""))</f>
        <v/>
      </c>
    </row>
    <row r="662">
      <c r="A662" s="1" t="n"/>
      <c r="B662" s="18" t="n"/>
      <c r="C662" s="16" t="n"/>
      <c r="D662" s="19" t="n"/>
      <c r="E662" s="17" t="n"/>
      <c r="F662" s="22" t="n"/>
      <c r="G662" s="14">
        <f>IF(C662="","",IFERROR(VALUE(LEFT(C662,FIND(" ",C662&amp;" ")-1)),""))</f>
        <v/>
      </c>
      <c r="H662" s="26">
        <f>IF(C662="","",IF(G662="","Pick a loan",IFERROR(IF(INDEX(Loans!$C$6:$C$305,MATCH(G662,Loans!$B$6:$B$305,0))="","Not a loan",INDEX(Loans!$C$6:$C$305,MATCH(G662,Loans!$B$6:$B$305,0))),"Not a loan")))</f>
        <v/>
      </c>
      <c r="I662" s="10">
        <f>IF(OR(G662="",H662="Not a loan"),"",IF(INDEX(Loans!$D$6:$D$305,MATCH(G662,Loans!$B$6:$B$305,0))="I borrowed","Out","In"))</f>
        <v/>
      </c>
      <c r="J662" s="1">
        <f>IF(NOT(ISNUMBER(B662)),"",YEAR(B662)*100+MONTH(B662))</f>
        <v/>
      </c>
      <c r="K662">
        <f>IF(OR(G662="",NOT(ISNUMBER(B662))),"",IF(G662=Statement!$H$2,B662*1000+ROW(),""))</f>
        <v/>
      </c>
    </row>
    <row r="663">
      <c r="A663" s="1" t="n"/>
      <c r="B663" s="18" t="n"/>
      <c r="C663" s="16" t="n"/>
      <c r="D663" s="19" t="n"/>
      <c r="E663" s="17" t="n"/>
      <c r="F663" s="22" t="n"/>
      <c r="G663" s="14">
        <f>IF(C663="","",IFERROR(VALUE(LEFT(C663,FIND(" ",C663&amp;" ")-1)),""))</f>
        <v/>
      </c>
      <c r="H663" s="26">
        <f>IF(C663="","",IF(G663="","Pick a loan",IFERROR(IF(INDEX(Loans!$C$6:$C$305,MATCH(G663,Loans!$B$6:$B$305,0))="","Not a loan",INDEX(Loans!$C$6:$C$305,MATCH(G663,Loans!$B$6:$B$305,0))),"Not a loan")))</f>
        <v/>
      </c>
      <c r="I663" s="10">
        <f>IF(OR(G663="",H663="Not a loan"),"",IF(INDEX(Loans!$D$6:$D$305,MATCH(G663,Loans!$B$6:$B$305,0))="I borrowed","Out","In"))</f>
        <v/>
      </c>
      <c r="J663" s="1">
        <f>IF(NOT(ISNUMBER(B663)),"",YEAR(B663)*100+MONTH(B663))</f>
        <v/>
      </c>
      <c r="K663">
        <f>IF(OR(G663="",NOT(ISNUMBER(B663))),"",IF(G663=Statement!$H$2,B663*1000+ROW(),""))</f>
        <v/>
      </c>
    </row>
    <row r="664">
      <c r="A664" s="1" t="n"/>
      <c r="B664" s="18" t="n"/>
      <c r="C664" s="16" t="n"/>
      <c r="D664" s="19" t="n"/>
      <c r="E664" s="17" t="n"/>
      <c r="F664" s="22" t="n"/>
      <c r="G664" s="14">
        <f>IF(C664="","",IFERROR(VALUE(LEFT(C664,FIND(" ",C664&amp;" ")-1)),""))</f>
        <v/>
      </c>
      <c r="H664" s="26">
        <f>IF(C664="","",IF(G664="","Pick a loan",IFERROR(IF(INDEX(Loans!$C$6:$C$305,MATCH(G664,Loans!$B$6:$B$305,0))="","Not a loan",INDEX(Loans!$C$6:$C$305,MATCH(G664,Loans!$B$6:$B$305,0))),"Not a loan")))</f>
        <v/>
      </c>
      <c r="I664" s="10">
        <f>IF(OR(G664="",H664="Not a loan"),"",IF(INDEX(Loans!$D$6:$D$305,MATCH(G664,Loans!$B$6:$B$305,0))="I borrowed","Out","In"))</f>
        <v/>
      </c>
      <c r="J664" s="1">
        <f>IF(NOT(ISNUMBER(B664)),"",YEAR(B664)*100+MONTH(B664))</f>
        <v/>
      </c>
      <c r="K664">
        <f>IF(OR(G664="",NOT(ISNUMBER(B664))),"",IF(G664=Statement!$H$2,B664*1000+ROW(),""))</f>
        <v/>
      </c>
    </row>
    <row r="665">
      <c r="A665" s="1" t="n"/>
      <c r="B665" s="18" t="n"/>
      <c r="C665" s="16" t="n"/>
      <c r="D665" s="19" t="n"/>
      <c r="E665" s="17" t="n"/>
      <c r="F665" s="22" t="n"/>
      <c r="G665" s="14">
        <f>IF(C665="","",IFERROR(VALUE(LEFT(C665,FIND(" ",C665&amp;" ")-1)),""))</f>
        <v/>
      </c>
      <c r="H665" s="26">
        <f>IF(C665="","",IF(G665="","Pick a loan",IFERROR(IF(INDEX(Loans!$C$6:$C$305,MATCH(G665,Loans!$B$6:$B$305,0))="","Not a loan",INDEX(Loans!$C$6:$C$305,MATCH(G665,Loans!$B$6:$B$305,0))),"Not a loan")))</f>
        <v/>
      </c>
      <c r="I665" s="10">
        <f>IF(OR(G665="",H665="Not a loan"),"",IF(INDEX(Loans!$D$6:$D$305,MATCH(G665,Loans!$B$6:$B$305,0))="I borrowed","Out","In"))</f>
        <v/>
      </c>
      <c r="J665" s="1">
        <f>IF(NOT(ISNUMBER(B665)),"",YEAR(B665)*100+MONTH(B665))</f>
        <v/>
      </c>
      <c r="K665">
        <f>IF(OR(G665="",NOT(ISNUMBER(B665))),"",IF(G665=Statement!$H$2,B665*1000+ROW(),""))</f>
        <v/>
      </c>
    </row>
    <row r="666">
      <c r="A666" s="1" t="n"/>
      <c r="B666" s="18" t="n"/>
      <c r="C666" s="16" t="n"/>
      <c r="D666" s="19" t="n"/>
      <c r="E666" s="17" t="n"/>
      <c r="F666" s="22" t="n"/>
      <c r="G666" s="14">
        <f>IF(C666="","",IFERROR(VALUE(LEFT(C666,FIND(" ",C666&amp;" ")-1)),""))</f>
        <v/>
      </c>
      <c r="H666" s="26">
        <f>IF(C666="","",IF(G666="","Pick a loan",IFERROR(IF(INDEX(Loans!$C$6:$C$305,MATCH(G666,Loans!$B$6:$B$305,0))="","Not a loan",INDEX(Loans!$C$6:$C$305,MATCH(G666,Loans!$B$6:$B$305,0))),"Not a loan")))</f>
        <v/>
      </c>
      <c r="I666" s="10">
        <f>IF(OR(G666="",H666="Not a loan"),"",IF(INDEX(Loans!$D$6:$D$305,MATCH(G666,Loans!$B$6:$B$305,0))="I borrowed","Out","In"))</f>
        <v/>
      </c>
      <c r="J666" s="1">
        <f>IF(NOT(ISNUMBER(B666)),"",YEAR(B666)*100+MONTH(B666))</f>
        <v/>
      </c>
      <c r="K666">
        <f>IF(OR(G666="",NOT(ISNUMBER(B666))),"",IF(G666=Statement!$H$2,B666*1000+ROW(),""))</f>
        <v/>
      </c>
    </row>
    <row r="667">
      <c r="A667" s="1" t="n"/>
      <c r="B667" s="18" t="n"/>
      <c r="C667" s="16" t="n"/>
      <c r="D667" s="19" t="n"/>
      <c r="E667" s="17" t="n"/>
      <c r="F667" s="22" t="n"/>
      <c r="G667" s="14">
        <f>IF(C667="","",IFERROR(VALUE(LEFT(C667,FIND(" ",C667&amp;" ")-1)),""))</f>
        <v/>
      </c>
      <c r="H667" s="26">
        <f>IF(C667="","",IF(G667="","Pick a loan",IFERROR(IF(INDEX(Loans!$C$6:$C$305,MATCH(G667,Loans!$B$6:$B$305,0))="","Not a loan",INDEX(Loans!$C$6:$C$305,MATCH(G667,Loans!$B$6:$B$305,0))),"Not a loan")))</f>
        <v/>
      </c>
      <c r="I667" s="10">
        <f>IF(OR(G667="",H667="Not a loan"),"",IF(INDEX(Loans!$D$6:$D$305,MATCH(G667,Loans!$B$6:$B$305,0))="I borrowed","Out","In"))</f>
        <v/>
      </c>
      <c r="J667" s="1">
        <f>IF(NOT(ISNUMBER(B667)),"",YEAR(B667)*100+MONTH(B667))</f>
        <v/>
      </c>
      <c r="K667">
        <f>IF(OR(G667="",NOT(ISNUMBER(B667))),"",IF(G667=Statement!$H$2,B667*1000+ROW(),""))</f>
        <v/>
      </c>
    </row>
    <row r="668">
      <c r="A668" s="1" t="n"/>
      <c r="B668" s="18" t="n"/>
      <c r="C668" s="16" t="n"/>
      <c r="D668" s="19" t="n"/>
      <c r="E668" s="17" t="n"/>
      <c r="F668" s="22" t="n"/>
      <c r="G668" s="14">
        <f>IF(C668="","",IFERROR(VALUE(LEFT(C668,FIND(" ",C668&amp;" ")-1)),""))</f>
        <v/>
      </c>
      <c r="H668" s="26">
        <f>IF(C668="","",IF(G668="","Pick a loan",IFERROR(IF(INDEX(Loans!$C$6:$C$305,MATCH(G668,Loans!$B$6:$B$305,0))="","Not a loan",INDEX(Loans!$C$6:$C$305,MATCH(G668,Loans!$B$6:$B$305,0))),"Not a loan")))</f>
        <v/>
      </c>
      <c r="I668" s="10">
        <f>IF(OR(G668="",H668="Not a loan"),"",IF(INDEX(Loans!$D$6:$D$305,MATCH(G668,Loans!$B$6:$B$305,0))="I borrowed","Out","In"))</f>
        <v/>
      </c>
      <c r="J668" s="1">
        <f>IF(NOT(ISNUMBER(B668)),"",YEAR(B668)*100+MONTH(B668))</f>
        <v/>
      </c>
      <c r="K668">
        <f>IF(OR(G668="",NOT(ISNUMBER(B668))),"",IF(G668=Statement!$H$2,B668*1000+ROW(),""))</f>
        <v/>
      </c>
    </row>
    <row r="669">
      <c r="A669" s="1" t="n"/>
      <c r="B669" s="18" t="n"/>
      <c r="C669" s="16" t="n"/>
      <c r="D669" s="19" t="n"/>
      <c r="E669" s="17" t="n"/>
      <c r="F669" s="22" t="n"/>
      <c r="G669" s="14">
        <f>IF(C669="","",IFERROR(VALUE(LEFT(C669,FIND(" ",C669&amp;" ")-1)),""))</f>
        <v/>
      </c>
      <c r="H669" s="26">
        <f>IF(C669="","",IF(G669="","Pick a loan",IFERROR(IF(INDEX(Loans!$C$6:$C$305,MATCH(G669,Loans!$B$6:$B$305,0))="","Not a loan",INDEX(Loans!$C$6:$C$305,MATCH(G669,Loans!$B$6:$B$305,0))),"Not a loan")))</f>
        <v/>
      </c>
      <c r="I669" s="10">
        <f>IF(OR(G669="",H669="Not a loan"),"",IF(INDEX(Loans!$D$6:$D$305,MATCH(G669,Loans!$B$6:$B$305,0))="I borrowed","Out","In"))</f>
        <v/>
      </c>
      <c r="J669" s="1">
        <f>IF(NOT(ISNUMBER(B669)),"",YEAR(B669)*100+MONTH(B669))</f>
        <v/>
      </c>
      <c r="K669">
        <f>IF(OR(G669="",NOT(ISNUMBER(B669))),"",IF(G669=Statement!$H$2,B669*1000+ROW(),""))</f>
        <v/>
      </c>
    </row>
    <row r="670">
      <c r="A670" s="1" t="n"/>
      <c r="B670" s="18" t="n"/>
      <c r="C670" s="16" t="n"/>
      <c r="D670" s="19" t="n"/>
      <c r="E670" s="17" t="n"/>
      <c r="F670" s="22" t="n"/>
      <c r="G670" s="14">
        <f>IF(C670="","",IFERROR(VALUE(LEFT(C670,FIND(" ",C670&amp;" ")-1)),""))</f>
        <v/>
      </c>
      <c r="H670" s="26">
        <f>IF(C670="","",IF(G670="","Pick a loan",IFERROR(IF(INDEX(Loans!$C$6:$C$305,MATCH(G670,Loans!$B$6:$B$305,0))="","Not a loan",INDEX(Loans!$C$6:$C$305,MATCH(G670,Loans!$B$6:$B$305,0))),"Not a loan")))</f>
        <v/>
      </c>
      <c r="I670" s="10">
        <f>IF(OR(G670="",H670="Not a loan"),"",IF(INDEX(Loans!$D$6:$D$305,MATCH(G670,Loans!$B$6:$B$305,0))="I borrowed","Out","In"))</f>
        <v/>
      </c>
      <c r="J670" s="1">
        <f>IF(NOT(ISNUMBER(B670)),"",YEAR(B670)*100+MONTH(B670))</f>
        <v/>
      </c>
      <c r="K670">
        <f>IF(OR(G670="",NOT(ISNUMBER(B670))),"",IF(G670=Statement!$H$2,B670*1000+ROW(),""))</f>
        <v/>
      </c>
    </row>
    <row r="671">
      <c r="A671" s="1" t="n"/>
      <c r="B671" s="18" t="n"/>
      <c r="C671" s="16" t="n"/>
      <c r="D671" s="19" t="n"/>
      <c r="E671" s="17" t="n"/>
      <c r="F671" s="22" t="n"/>
      <c r="G671" s="14">
        <f>IF(C671="","",IFERROR(VALUE(LEFT(C671,FIND(" ",C671&amp;" ")-1)),""))</f>
        <v/>
      </c>
      <c r="H671" s="26">
        <f>IF(C671="","",IF(G671="","Pick a loan",IFERROR(IF(INDEX(Loans!$C$6:$C$305,MATCH(G671,Loans!$B$6:$B$305,0))="","Not a loan",INDEX(Loans!$C$6:$C$305,MATCH(G671,Loans!$B$6:$B$305,0))),"Not a loan")))</f>
        <v/>
      </c>
      <c r="I671" s="10">
        <f>IF(OR(G671="",H671="Not a loan"),"",IF(INDEX(Loans!$D$6:$D$305,MATCH(G671,Loans!$B$6:$B$305,0))="I borrowed","Out","In"))</f>
        <v/>
      </c>
      <c r="J671" s="1">
        <f>IF(NOT(ISNUMBER(B671)),"",YEAR(B671)*100+MONTH(B671))</f>
        <v/>
      </c>
      <c r="K671">
        <f>IF(OR(G671="",NOT(ISNUMBER(B671))),"",IF(G671=Statement!$H$2,B671*1000+ROW(),""))</f>
        <v/>
      </c>
    </row>
    <row r="672">
      <c r="A672" s="1" t="n"/>
      <c r="B672" s="18" t="n"/>
      <c r="C672" s="16" t="n"/>
      <c r="D672" s="19" t="n"/>
      <c r="E672" s="17" t="n"/>
      <c r="F672" s="22" t="n"/>
      <c r="G672" s="14">
        <f>IF(C672="","",IFERROR(VALUE(LEFT(C672,FIND(" ",C672&amp;" ")-1)),""))</f>
        <v/>
      </c>
      <c r="H672" s="26">
        <f>IF(C672="","",IF(G672="","Pick a loan",IFERROR(IF(INDEX(Loans!$C$6:$C$305,MATCH(G672,Loans!$B$6:$B$305,0))="","Not a loan",INDEX(Loans!$C$6:$C$305,MATCH(G672,Loans!$B$6:$B$305,0))),"Not a loan")))</f>
        <v/>
      </c>
      <c r="I672" s="10">
        <f>IF(OR(G672="",H672="Not a loan"),"",IF(INDEX(Loans!$D$6:$D$305,MATCH(G672,Loans!$B$6:$B$305,0))="I borrowed","Out","In"))</f>
        <v/>
      </c>
      <c r="J672" s="1">
        <f>IF(NOT(ISNUMBER(B672)),"",YEAR(B672)*100+MONTH(B672))</f>
        <v/>
      </c>
      <c r="K672">
        <f>IF(OR(G672="",NOT(ISNUMBER(B672))),"",IF(G672=Statement!$H$2,B672*1000+ROW(),""))</f>
        <v/>
      </c>
    </row>
    <row r="673">
      <c r="A673" s="1" t="n"/>
      <c r="B673" s="18" t="n"/>
      <c r="C673" s="16" t="n"/>
      <c r="D673" s="19" t="n"/>
      <c r="E673" s="17" t="n"/>
      <c r="F673" s="22" t="n"/>
      <c r="G673" s="14">
        <f>IF(C673="","",IFERROR(VALUE(LEFT(C673,FIND(" ",C673&amp;" ")-1)),""))</f>
        <v/>
      </c>
      <c r="H673" s="26">
        <f>IF(C673="","",IF(G673="","Pick a loan",IFERROR(IF(INDEX(Loans!$C$6:$C$305,MATCH(G673,Loans!$B$6:$B$305,0))="","Not a loan",INDEX(Loans!$C$6:$C$305,MATCH(G673,Loans!$B$6:$B$305,0))),"Not a loan")))</f>
        <v/>
      </c>
      <c r="I673" s="10">
        <f>IF(OR(G673="",H673="Not a loan"),"",IF(INDEX(Loans!$D$6:$D$305,MATCH(G673,Loans!$B$6:$B$305,0))="I borrowed","Out","In"))</f>
        <v/>
      </c>
      <c r="J673" s="1">
        <f>IF(NOT(ISNUMBER(B673)),"",YEAR(B673)*100+MONTH(B673))</f>
        <v/>
      </c>
      <c r="K673">
        <f>IF(OR(G673="",NOT(ISNUMBER(B673))),"",IF(G673=Statement!$H$2,B673*1000+ROW(),""))</f>
        <v/>
      </c>
    </row>
    <row r="674">
      <c r="A674" s="1" t="n"/>
      <c r="B674" s="18" t="n"/>
      <c r="C674" s="16" t="n"/>
      <c r="D674" s="19" t="n"/>
      <c r="E674" s="17" t="n"/>
      <c r="F674" s="22" t="n"/>
      <c r="G674" s="14">
        <f>IF(C674="","",IFERROR(VALUE(LEFT(C674,FIND(" ",C674&amp;" ")-1)),""))</f>
        <v/>
      </c>
      <c r="H674" s="26">
        <f>IF(C674="","",IF(G674="","Pick a loan",IFERROR(IF(INDEX(Loans!$C$6:$C$305,MATCH(G674,Loans!$B$6:$B$305,0))="","Not a loan",INDEX(Loans!$C$6:$C$305,MATCH(G674,Loans!$B$6:$B$305,0))),"Not a loan")))</f>
        <v/>
      </c>
      <c r="I674" s="10">
        <f>IF(OR(G674="",H674="Not a loan"),"",IF(INDEX(Loans!$D$6:$D$305,MATCH(G674,Loans!$B$6:$B$305,0))="I borrowed","Out","In"))</f>
        <v/>
      </c>
      <c r="J674" s="1">
        <f>IF(NOT(ISNUMBER(B674)),"",YEAR(B674)*100+MONTH(B674))</f>
        <v/>
      </c>
      <c r="K674">
        <f>IF(OR(G674="",NOT(ISNUMBER(B674))),"",IF(G674=Statement!$H$2,B674*1000+ROW(),""))</f>
        <v/>
      </c>
    </row>
    <row r="675">
      <c r="A675" s="1" t="n"/>
      <c r="B675" s="18" t="n"/>
      <c r="C675" s="16" t="n"/>
      <c r="D675" s="19" t="n"/>
      <c r="E675" s="17" t="n"/>
      <c r="F675" s="22" t="n"/>
      <c r="G675" s="14">
        <f>IF(C675="","",IFERROR(VALUE(LEFT(C675,FIND(" ",C675&amp;" ")-1)),""))</f>
        <v/>
      </c>
      <c r="H675" s="26">
        <f>IF(C675="","",IF(G675="","Pick a loan",IFERROR(IF(INDEX(Loans!$C$6:$C$305,MATCH(G675,Loans!$B$6:$B$305,0))="","Not a loan",INDEX(Loans!$C$6:$C$305,MATCH(G675,Loans!$B$6:$B$305,0))),"Not a loan")))</f>
        <v/>
      </c>
      <c r="I675" s="10">
        <f>IF(OR(G675="",H675="Not a loan"),"",IF(INDEX(Loans!$D$6:$D$305,MATCH(G675,Loans!$B$6:$B$305,0))="I borrowed","Out","In"))</f>
        <v/>
      </c>
      <c r="J675" s="1">
        <f>IF(NOT(ISNUMBER(B675)),"",YEAR(B675)*100+MONTH(B675))</f>
        <v/>
      </c>
      <c r="K675">
        <f>IF(OR(G675="",NOT(ISNUMBER(B675))),"",IF(G675=Statement!$H$2,B675*1000+ROW(),""))</f>
        <v/>
      </c>
    </row>
    <row r="676">
      <c r="A676" s="1" t="n"/>
      <c r="B676" s="18" t="n"/>
      <c r="C676" s="16" t="n"/>
      <c r="D676" s="19" t="n"/>
      <c r="E676" s="17" t="n"/>
      <c r="F676" s="22" t="n"/>
      <c r="G676" s="14">
        <f>IF(C676="","",IFERROR(VALUE(LEFT(C676,FIND(" ",C676&amp;" ")-1)),""))</f>
        <v/>
      </c>
      <c r="H676" s="26">
        <f>IF(C676="","",IF(G676="","Pick a loan",IFERROR(IF(INDEX(Loans!$C$6:$C$305,MATCH(G676,Loans!$B$6:$B$305,0))="","Not a loan",INDEX(Loans!$C$6:$C$305,MATCH(G676,Loans!$B$6:$B$305,0))),"Not a loan")))</f>
        <v/>
      </c>
      <c r="I676" s="10">
        <f>IF(OR(G676="",H676="Not a loan"),"",IF(INDEX(Loans!$D$6:$D$305,MATCH(G676,Loans!$B$6:$B$305,0))="I borrowed","Out","In"))</f>
        <v/>
      </c>
      <c r="J676" s="1">
        <f>IF(NOT(ISNUMBER(B676)),"",YEAR(B676)*100+MONTH(B676))</f>
        <v/>
      </c>
      <c r="K676">
        <f>IF(OR(G676="",NOT(ISNUMBER(B676))),"",IF(G676=Statement!$H$2,B676*1000+ROW(),""))</f>
        <v/>
      </c>
    </row>
    <row r="677">
      <c r="A677" s="1" t="n"/>
      <c r="B677" s="18" t="n"/>
      <c r="C677" s="16" t="n"/>
      <c r="D677" s="19" t="n"/>
      <c r="E677" s="17" t="n"/>
      <c r="F677" s="22" t="n"/>
      <c r="G677" s="14">
        <f>IF(C677="","",IFERROR(VALUE(LEFT(C677,FIND(" ",C677&amp;" ")-1)),""))</f>
        <v/>
      </c>
      <c r="H677" s="26">
        <f>IF(C677="","",IF(G677="","Pick a loan",IFERROR(IF(INDEX(Loans!$C$6:$C$305,MATCH(G677,Loans!$B$6:$B$305,0))="","Not a loan",INDEX(Loans!$C$6:$C$305,MATCH(G677,Loans!$B$6:$B$305,0))),"Not a loan")))</f>
        <v/>
      </c>
      <c r="I677" s="10">
        <f>IF(OR(G677="",H677="Not a loan"),"",IF(INDEX(Loans!$D$6:$D$305,MATCH(G677,Loans!$B$6:$B$305,0))="I borrowed","Out","In"))</f>
        <v/>
      </c>
      <c r="J677" s="1">
        <f>IF(NOT(ISNUMBER(B677)),"",YEAR(B677)*100+MONTH(B677))</f>
        <v/>
      </c>
      <c r="K677">
        <f>IF(OR(G677="",NOT(ISNUMBER(B677))),"",IF(G677=Statement!$H$2,B677*1000+ROW(),""))</f>
        <v/>
      </c>
    </row>
    <row r="678">
      <c r="A678" s="1" t="n"/>
      <c r="B678" s="18" t="n"/>
      <c r="C678" s="16" t="n"/>
      <c r="D678" s="19" t="n"/>
      <c r="E678" s="17" t="n"/>
      <c r="F678" s="22" t="n"/>
      <c r="G678" s="14">
        <f>IF(C678="","",IFERROR(VALUE(LEFT(C678,FIND(" ",C678&amp;" ")-1)),""))</f>
        <v/>
      </c>
      <c r="H678" s="26">
        <f>IF(C678="","",IF(G678="","Pick a loan",IFERROR(IF(INDEX(Loans!$C$6:$C$305,MATCH(G678,Loans!$B$6:$B$305,0))="","Not a loan",INDEX(Loans!$C$6:$C$305,MATCH(G678,Loans!$B$6:$B$305,0))),"Not a loan")))</f>
        <v/>
      </c>
      <c r="I678" s="10">
        <f>IF(OR(G678="",H678="Not a loan"),"",IF(INDEX(Loans!$D$6:$D$305,MATCH(G678,Loans!$B$6:$B$305,0))="I borrowed","Out","In"))</f>
        <v/>
      </c>
      <c r="J678" s="1">
        <f>IF(NOT(ISNUMBER(B678)),"",YEAR(B678)*100+MONTH(B678))</f>
        <v/>
      </c>
      <c r="K678">
        <f>IF(OR(G678="",NOT(ISNUMBER(B678))),"",IF(G678=Statement!$H$2,B678*1000+ROW(),""))</f>
        <v/>
      </c>
    </row>
    <row r="679">
      <c r="A679" s="1" t="n"/>
      <c r="B679" s="18" t="n"/>
      <c r="C679" s="16" t="n"/>
      <c r="D679" s="19" t="n"/>
      <c r="E679" s="17" t="n"/>
      <c r="F679" s="22" t="n"/>
      <c r="G679" s="14">
        <f>IF(C679="","",IFERROR(VALUE(LEFT(C679,FIND(" ",C679&amp;" ")-1)),""))</f>
        <v/>
      </c>
      <c r="H679" s="26">
        <f>IF(C679="","",IF(G679="","Pick a loan",IFERROR(IF(INDEX(Loans!$C$6:$C$305,MATCH(G679,Loans!$B$6:$B$305,0))="","Not a loan",INDEX(Loans!$C$6:$C$305,MATCH(G679,Loans!$B$6:$B$305,0))),"Not a loan")))</f>
        <v/>
      </c>
      <c r="I679" s="10">
        <f>IF(OR(G679="",H679="Not a loan"),"",IF(INDEX(Loans!$D$6:$D$305,MATCH(G679,Loans!$B$6:$B$305,0))="I borrowed","Out","In"))</f>
        <v/>
      </c>
      <c r="J679" s="1">
        <f>IF(NOT(ISNUMBER(B679)),"",YEAR(B679)*100+MONTH(B679))</f>
        <v/>
      </c>
      <c r="K679">
        <f>IF(OR(G679="",NOT(ISNUMBER(B679))),"",IF(G679=Statement!$H$2,B679*1000+ROW(),""))</f>
        <v/>
      </c>
    </row>
    <row r="680">
      <c r="A680" s="1" t="n"/>
      <c r="B680" s="18" t="n"/>
      <c r="C680" s="16" t="n"/>
      <c r="D680" s="19" t="n"/>
      <c r="E680" s="17" t="n"/>
      <c r="F680" s="22" t="n"/>
      <c r="G680" s="14">
        <f>IF(C680="","",IFERROR(VALUE(LEFT(C680,FIND(" ",C680&amp;" ")-1)),""))</f>
        <v/>
      </c>
      <c r="H680" s="26">
        <f>IF(C680="","",IF(G680="","Pick a loan",IFERROR(IF(INDEX(Loans!$C$6:$C$305,MATCH(G680,Loans!$B$6:$B$305,0))="","Not a loan",INDEX(Loans!$C$6:$C$305,MATCH(G680,Loans!$B$6:$B$305,0))),"Not a loan")))</f>
        <v/>
      </c>
      <c r="I680" s="10">
        <f>IF(OR(G680="",H680="Not a loan"),"",IF(INDEX(Loans!$D$6:$D$305,MATCH(G680,Loans!$B$6:$B$305,0))="I borrowed","Out","In"))</f>
        <v/>
      </c>
      <c r="J680" s="1">
        <f>IF(NOT(ISNUMBER(B680)),"",YEAR(B680)*100+MONTH(B680))</f>
        <v/>
      </c>
      <c r="K680">
        <f>IF(OR(G680="",NOT(ISNUMBER(B680))),"",IF(G680=Statement!$H$2,B680*1000+ROW(),""))</f>
        <v/>
      </c>
    </row>
    <row r="681">
      <c r="A681" s="1" t="n"/>
      <c r="B681" s="18" t="n"/>
      <c r="C681" s="16" t="n"/>
      <c r="D681" s="19" t="n"/>
      <c r="E681" s="17" t="n"/>
      <c r="F681" s="22" t="n"/>
      <c r="G681" s="14">
        <f>IF(C681="","",IFERROR(VALUE(LEFT(C681,FIND(" ",C681&amp;" ")-1)),""))</f>
        <v/>
      </c>
      <c r="H681" s="26">
        <f>IF(C681="","",IF(G681="","Pick a loan",IFERROR(IF(INDEX(Loans!$C$6:$C$305,MATCH(G681,Loans!$B$6:$B$305,0))="","Not a loan",INDEX(Loans!$C$6:$C$305,MATCH(G681,Loans!$B$6:$B$305,0))),"Not a loan")))</f>
        <v/>
      </c>
      <c r="I681" s="10">
        <f>IF(OR(G681="",H681="Not a loan"),"",IF(INDEX(Loans!$D$6:$D$305,MATCH(G681,Loans!$B$6:$B$305,0))="I borrowed","Out","In"))</f>
        <v/>
      </c>
      <c r="J681" s="1">
        <f>IF(NOT(ISNUMBER(B681)),"",YEAR(B681)*100+MONTH(B681))</f>
        <v/>
      </c>
      <c r="K681">
        <f>IF(OR(G681="",NOT(ISNUMBER(B681))),"",IF(G681=Statement!$H$2,B681*1000+ROW(),""))</f>
        <v/>
      </c>
    </row>
    <row r="682">
      <c r="A682" s="1" t="n"/>
      <c r="B682" s="18" t="n"/>
      <c r="C682" s="16" t="n"/>
      <c r="D682" s="19" t="n"/>
      <c r="E682" s="17" t="n"/>
      <c r="F682" s="22" t="n"/>
      <c r="G682" s="14">
        <f>IF(C682="","",IFERROR(VALUE(LEFT(C682,FIND(" ",C682&amp;" ")-1)),""))</f>
        <v/>
      </c>
      <c r="H682" s="26">
        <f>IF(C682="","",IF(G682="","Pick a loan",IFERROR(IF(INDEX(Loans!$C$6:$C$305,MATCH(G682,Loans!$B$6:$B$305,0))="","Not a loan",INDEX(Loans!$C$6:$C$305,MATCH(G682,Loans!$B$6:$B$305,0))),"Not a loan")))</f>
        <v/>
      </c>
      <c r="I682" s="10">
        <f>IF(OR(G682="",H682="Not a loan"),"",IF(INDEX(Loans!$D$6:$D$305,MATCH(G682,Loans!$B$6:$B$305,0))="I borrowed","Out","In"))</f>
        <v/>
      </c>
      <c r="J682" s="1">
        <f>IF(NOT(ISNUMBER(B682)),"",YEAR(B682)*100+MONTH(B682))</f>
        <v/>
      </c>
      <c r="K682">
        <f>IF(OR(G682="",NOT(ISNUMBER(B682))),"",IF(G682=Statement!$H$2,B682*1000+ROW(),""))</f>
        <v/>
      </c>
    </row>
    <row r="683">
      <c r="A683" s="1" t="n"/>
      <c r="B683" s="18" t="n"/>
      <c r="C683" s="16" t="n"/>
      <c r="D683" s="19" t="n"/>
      <c r="E683" s="17" t="n"/>
      <c r="F683" s="22" t="n"/>
      <c r="G683" s="14">
        <f>IF(C683="","",IFERROR(VALUE(LEFT(C683,FIND(" ",C683&amp;" ")-1)),""))</f>
        <v/>
      </c>
      <c r="H683" s="26">
        <f>IF(C683="","",IF(G683="","Pick a loan",IFERROR(IF(INDEX(Loans!$C$6:$C$305,MATCH(G683,Loans!$B$6:$B$305,0))="","Not a loan",INDEX(Loans!$C$6:$C$305,MATCH(G683,Loans!$B$6:$B$305,0))),"Not a loan")))</f>
        <v/>
      </c>
      <c r="I683" s="10">
        <f>IF(OR(G683="",H683="Not a loan"),"",IF(INDEX(Loans!$D$6:$D$305,MATCH(G683,Loans!$B$6:$B$305,0))="I borrowed","Out","In"))</f>
        <v/>
      </c>
      <c r="J683" s="1">
        <f>IF(NOT(ISNUMBER(B683)),"",YEAR(B683)*100+MONTH(B683))</f>
        <v/>
      </c>
      <c r="K683">
        <f>IF(OR(G683="",NOT(ISNUMBER(B683))),"",IF(G683=Statement!$H$2,B683*1000+ROW(),""))</f>
        <v/>
      </c>
    </row>
    <row r="684">
      <c r="A684" s="1" t="n"/>
      <c r="B684" s="18" t="n"/>
      <c r="C684" s="16" t="n"/>
      <c r="D684" s="19" t="n"/>
      <c r="E684" s="17" t="n"/>
      <c r="F684" s="22" t="n"/>
      <c r="G684" s="14">
        <f>IF(C684="","",IFERROR(VALUE(LEFT(C684,FIND(" ",C684&amp;" ")-1)),""))</f>
        <v/>
      </c>
      <c r="H684" s="26">
        <f>IF(C684="","",IF(G684="","Pick a loan",IFERROR(IF(INDEX(Loans!$C$6:$C$305,MATCH(G684,Loans!$B$6:$B$305,0))="","Not a loan",INDEX(Loans!$C$6:$C$305,MATCH(G684,Loans!$B$6:$B$305,0))),"Not a loan")))</f>
        <v/>
      </c>
      <c r="I684" s="10">
        <f>IF(OR(G684="",H684="Not a loan"),"",IF(INDEX(Loans!$D$6:$D$305,MATCH(G684,Loans!$B$6:$B$305,0))="I borrowed","Out","In"))</f>
        <v/>
      </c>
      <c r="J684" s="1">
        <f>IF(NOT(ISNUMBER(B684)),"",YEAR(B684)*100+MONTH(B684))</f>
        <v/>
      </c>
      <c r="K684">
        <f>IF(OR(G684="",NOT(ISNUMBER(B684))),"",IF(G684=Statement!$H$2,B684*1000+ROW(),""))</f>
        <v/>
      </c>
    </row>
    <row r="685">
      <c r="A685" s="1" t="n"/>
      <c r="B685" s="18" t="n"/>
      <c r="C685" s="16" t="n"/>
      <c r="D685" s="19" t="n"/>
      <c r="E685" s="17" t="n"/>
      <c r="F685" s="22" t="n"/>
      <c r="G685" s="14">
        <f>IF(C685="","",IFERROR(VALUE(LEFT(C685,FIND(" ",C685&amp;" ")-1)),""))</f>
        <v/>
      </c>
      <c r="H685" s="26">
        <f>IF(C685="","",IF(G685="","Pick a loan",IFERROR(IF(INDEX(Loans!$C$6:$C$305,MATCH(G685,Loans!$B$6:$B$305,0))="","Not a loan",INDEX(Loans!$C$6:$C$305,MATCH(G685,Loans!$B$6:$B$305,0))),"Not a loan")))</f>
        <v/>
      </c>
      <c r="I685" s="10">
        <f>IF(OR(G685="",H685="Not a loan"),"",IF(INDEX(Loans!$D$6:$D$305,MATCH(G685,Loans!$B$6:$B$305,0))="I borrowed","Out","In"))</f>
        <v/>
      </c>
      <c r="J685" s="1">
        <f>IF(NOT(ISNUMBER(B685)),"",YEAR(B685)*100+MONTH(B685))</f>
        <v/>
      </c>
      <c r="K685">
        <f>IF(OR(G685="",NOT(ISNUMBER(B685))),"",IF(G685=Statement!$H$2,B685*1000+ROW(),""))</f>
        <v/>
      </c>
    </row>
    <row r="686">
      <c r="A686" s="1" t="n"/>
      <c r="B686" s="18" t="n"/>
      <c r="C686" s="16" t="n"/>
      <c r="D686" s="19" t="n"/>
      <c r="E686" s="17" t="n"/>
      <c r="F686" s="22" t="n"/>
      <c r="G686" s="14">
        <f>IF(C686="","",IFERROR(VALUE(LEFT(C686,FIND(" ",C686&amp;" ")-1)),""))</f>
        <v/>
      </c>
      <c r="H686" s="26">
        <f>IF(C686="","",IF(G686="","Pick a loan",IFERROR(IF(INDEX(Loans!$C$6:$C$305,MATCH(G686,Loans!$B$6:$B$305,0))="","Not a loan",INDEX(Loans!$C$6:$C$305,MATCH(G686,Loans!$B$6:$B$305,0))),"Not a loan")))</f>
        <v/>
      </c>
      <c r="I686" s="10">
        <f>IF(OR(G686="",H686="Not a loan"),"",IF(INDEX(Loans!$D$6:$D$305,MATCH(G686,Loans!$B$6:$B$305,0))="I borrowed","Out","In"))</f>
        <v/>
      </c>
      <c r="J686" s="1">
        <f>IF(NOT(ISNUMBER(B686)),"",YEAR(B686)*100+MONTH(B686))</f>
        <v/>
      </c>
      <c r="K686">
        <f>IF(OR(G686="",NOT(ISNUMBER(B686))),"",IF(G686=Statement!$H$2,B686*1000+ROW(),""))</f>
        <v/>
      </c>
    </row>
    <row r="687">
      <c r="A687" s="1" t="n"/>
      <c r="B687" s="18" t="n"/>
      <c r="C687" s="16" t="n"/>
      <c r="D687" s="19" t="n"/>
      <c r="E687" s="17" t="n"/>
      <c r="F687" s="22" t="n"/>
      <c r="G687" s="14">
        <f>IF(C687="","",IFERROR(VALUE(LEFT(C687,FIND(" ",C687&amp;" ")-1)),""))</f>
        <v/>
      </c>
      <c r="H687" s="26">
        <f>IF(C687="","",IF(G687="","Pick a loan",IFERROR(IF(INDEX(Loans!$C$6:$C$305,MATCH(G687,Loans!$B$6:$B$305,0))="","Not a loan",INDEX(Loans!$C$6:$C$305,MATCH(G687,Loans!$B$6:$B$305,0))),"Not a loan")))</f>
        <v/>
      </c>
      <c r="I687" s="10">
        <f>IF(OR(G687="",H687="Not a loan"),"",IF(INDEX(Loans!$D$6:$D$305,MATCH(G687,Loans!$B$6:$B$305,0))="I borrowed","Out","In"))</f>
        <v/>
      </c>
      <c r="J687" s="1">
        <f>IF(NOT(ISNUMBER(B687)),"",YEAR(B687)*100+MONTH(B687))</f>
        <v/>
      </c>
      <c r="K687">
        <f>IF(OR(G687="",NOT(ISNUMBER(B687))),"",IF(G687=Statement!$H$2,B687*1000+ROW(),""))</f>
        <v/>
      </c>
    </row>
    <row r="688">
      <c r="A688" s="1" t="n"/>
      <c r="B688" s="18" t="n"/>
      <c r="C688" s="16" t="n"/>
      <c r="D688" s="19" t="n"/>
      <c r="E688" s="17" t="n"/>
      <c r="F688" s="22" t="n"/>
      <c r="G688" s="14">
        <f>IF(C688="","",IFERROR(VALUE(LEFT(C688,FIND(" ",C688&amp;" ")-1)),""))</f>
        <v/>
      </c>
      <c r="H688" s="26">
        <f>IF(C688="","",IF(G688="","Pick a loan",IFERROR(IF(INDEX(Loans!$C$6:$C$305,MATCH(G688,Loans!$B$6:$B$305,0))="","Not a loan",INDEX(Loans!$C$6:$C$305,MATCH(G688,Loans!$B$6:$B$305,0))),"Not a loan")))</f>
        <v/>
      </c>
      <c r="I688" s="10">
        <f>IF(OR(G688="",H688="Not a loan"),"",IF(INDEX(Loans!$D$6:$D$305,MATCH(G688,Loans!$B$6:$B$305,0))="I borrowed","Out","In"))</f>
        <v/>
      </c>
      <c r="J688" s="1">
        <f>IF(NOT(ISNUMBER(B688)),"",YEAR(B688)*100+MONTH(B688))</f>
        <v/>
      </c>
      <c r="K688">
        <f>IF(OR(G688="",NOT(ISNUMBER(B688))),"",IF(G688=Statement!$H$2,B688*1000+ROW(),""))</f>
        <v/>
      </c>
    </row>
    <row r="689">
      <c r="A689" s="1" t="n"/>
      <c r="B689" s="18" t="n"/>
      <c r="C689" s="16" t="n"/>
      <c r="D689" s="19" t="n"/>
      <c r="E689" s="17" t="n"/>
      <c r="F689" s="22" t="n"/>
      <c r="G689" s="14">
        <f>IF(C689="","",IFERROR(VALUE(LEFT(C689,FIND(" ",C689&amp;" ")-1)),""))</f>
        <v/>
      </c>
      <c r="H689" s="26">
        <f>IF(C689="","",IF(G689="","Pick a loan",IFERROR(IF(INDEX(Loans!$C$6:$C$305,MATCH(G689,Loans!$B$6:$B$305,0))="","Not a loan",INDEX(Loans!$C$6:$C$305,MATCH(G689,Loans!$B$6:$B$305,0))),"Not a loan")))</f>
        <v/>
      </c>
      <c r="I689" s="10">
        <f>IF(OR(G689="",H689="Not a loan"),"",IF(INDEX(Loans!$D$6:$D$305,MATCH(G689,Loans!$B$6:$B$305,0))="I borrowed","Out","In"))</f>
        <v/>
      </c>
      <c r="J689" s="1">
        <f>IF(NOT(ISNUMBER(B689)),"",YEAR(B689)*100+MONTH(B689))</f>
        <v/>
      </c>
      <c r="K689">
        <f>IF(OR(G689="",NOT(ISNUMBER(B689))),"",IF(G689=Statement!$H$2,B689*1000+ROW(),""))</f>
        <v/>
      </c>
    </row>
    <row r="690">
      <c r="A690" s="1" t="n"/>
      <c r="B690" s="18" t="n"/>
      <c r="C690" s="16" t="n"/>
      <c r="D690" s="19" t="n"/>
      <c r="E690" s="17" t="n"/>
      <c r="F690" s="22" t="n"/>
      <c r="G690" s="14">
        <f>IF(C690="","",IFERROR(VALUE(LEFT(C690,FIND(" ",C690&amp;" ")-1)),""))</f>
        <v/>
      </c>
      <c r="H690" s="26">
        <f>IF(C690="","",IF(G690="","Pick a loan",IFERROR(IF(INDEX(Loans!$C$6:$C$305,MATCH(G690,Loans!$B$6:$B$305,0))="","Not a loan",INDEX(Loans!$C$6:$C$305,MATCH(G690,Loans!$B$6:$B$305,0))),"Not a loan")))</f>
        <v/>
      </c>
      <c r="I690" s="10">
        <f>IF(OR(G690="",H690="Not a loan"),"",IF(INDEX(Loans!$D$6:$D$305,MATCH(G690,Loans!$B$6:$B$305,0))="I borrowed","Out","In"))</f>
        <v/>
      </c>
      <c r="J690" s="1">
        <f>IF(NOT(ISNUMBER(B690)),"",YEAR(B690)*100+MONTH(B690))</f>
        <v/>
      </c>
      <c r="K690">
        <f>IF(OR(G690="",NOT(ISNUMBER(B690))),"",IF(G690=Statement!$H$2,B690*1000+ROW(),""))</f>
        <v/>
      </c>
    </row>
    <row r="691">
      <c r="A691" s="1" t="n"/>
      <c r="B691" s="18" t="n"/>
      <c r="C691" s="16" t="n"/>
      <c r="D691" s="19" t="n"/>
      <c r="E691" s="17" t="n"/>
      <c r="F691" s="22" t="n"/>
      <c r="G691" s="14">
        <f>IF(C691="","",IFERROR(VALUE(LEFT(C691,FIND(" ",C691&amp;" ")-1)),""))</f>
        <v/>
      </c>
      <c r="H691" s="26">
        <f>IF(C691="","",IF(G691="","Pick a loan",IFERROR(IF(INDEX(Loans!$C$6:$C$305,MATCH(G691,Loans!$B$6:$B$305,0))="","Not a loan",INDEX(Loans!$C$6:$C$305,MATCH(G691,Loans!$B$6:$B$305,0))),"Not a loan")))</f>
        <v/>
      </c>
      <c r="I691" s="10">
        <f>IF(OR(G691="",H691="Not a loan"),"",IF(INDEX(Loans!$D$6:$D$305,MATCH(G691,Loans!$B$6:$B$305,0))="I borrowed","Out","In"))</f>
        <v/>
      </c>
      <c r="J691" s="1">
        <f>IF(NOT(ISNUMBER(B691)),"",YEAR(B691)*100+MONTH(B691))</f>
        <v/>
      </c>
      <c r="K691">
        <f>IF(OR(G691="",NOT(ISNUMBER(B691))),"",IF(G691=Statement!$H$2,B691*1000+ROW(),""))</f>
        <v/>
      </c>
    </row>
    <row r="692">
      <c r="A692" s="1" t="n"/>
      <c r="B692" s="18" t="n"/>
      <c r="C692" s="16" t="n"/>
      <c r="D692" s="19" t="n"/>
      <c r="E692" s="17" t="n"/>
      <c r="F692" s="22" t="n"/>
      <c r="G692" s="14">
        <f>IF(C692="","",IFERROR(VALUE(LEFT(C692,FIND(" ",C692&amp;" ")-1)),""))</f>
        <v/>
      </c>
      <c r="H692" s="26">
        <f>IF(C692="","",IF(G692="","Pick a loan",IFERROR(IF(INDEX(Loans!$C$6:$C$305,MATCH(G692,Loans!$B$6:$B$305,0))="","Not a loan",INDEX(Loans!$C$6:$C$305,MATCH(G692,Loans!$B$6:$B$305,0))),"Not a loan")))</f>
        <v/>
      </c>
      <c r="I692" s="10">
        <f>IF(OR(G692="",H692="Not a loan"),"",IF(INDEX(Loans!$D$6:$D$305,MATCH(G692,Loans!$B$6:$B$305,0))="I borrowed","Out","In"))</f>
        <v/>
      </c>
      <c r="J692" s="1">
        <f>IF(NOT(ISNUMBER(B692)),"",YEAR(B692)*100+MONTH(B692))</f>
        <v/>
      </c>
      <c r="K692">
        <f>IF(OR(G692="",NOT(ISNUMBER(B692))),"",IF(G692=Statement!$H$2,B692*1000+ROW(),""))</f>
        <v/>
      </c>
    </row>
    <row r="693">
      <c r="A693" s="1" t="n"/>
      <c r="B693" s="18" t="n"/>
      <c r="C693" s="16" t="n"/>
      <c r="D693" s="19" t="n"/>
      <c r="E693" s="17" t="n"/>
      <c r="F693" s="22" t="n"/>
      <c r="G693" s="14">
        <f>IF(C693="","",IFERROR(VALUE(LEFT(C693,FIND(" ",C693&amp;" ")-1)),""))</f>
        <v/>
      </c>
      <c r="H693" s="26">
        <f>IF(C693="","",IF(G693="","Pick a loan",IFERROR(IF(INDEX(Loans!$C$6:$C$305,MATCH(G693,Loans!$B$6:$B$305,0))="","Not a loan",INDEX(Loans!$C$6:$C$305,MATCH(G693,Loans!$B$6:$B$305,0))),"Not a loan")))</f>
        <v/>
      </c>
      <c r="I693" s="10">
        <f>IF(OR(G693="",H693="Not a loan"),"",IF(INDEX(Loans!$D$6:$D$305,MATCH(G693,Loans!$B$6:$B$305,0))="I borrowed","Out","In"))</f>
        <v/>
      </c>
      <c r="J693" s="1">
        <f>IF(NOT(ISNUMBER(B693)),"",YEAR(B693)*100+MONTH(B693))</f>
        <v/>
      </c>
      <c r="K693">
        <f>IF(OR(G693="",NOT(ISNUMBER(B693))),"",IF(G693=Statement!$H$2,B693*1000+ROW(),""))</f>
        <v/>
      </c>
    </row>
    <row r="694">
      <c r="A694" s="1" t="n"/>
      <c r="B694" s="18" t="n"/>
      <c r="C694" s="16" t="n"/>
      <c r="D694" s="19" t="n"/>
      <c r="E694" s="17" t="n"/>
      <c r="F694" s="22" t="n"/>
      <c r="G694" s="14">
        <f>IF(C694="","",IFERROR(VALUE(LEFT(C694,FIND(" ",C694&amp;" ")-1)),""))</f>
        <v/>
      </c>
      <c r="H694" s="26">
        <f>IF(C694="","",IF(G694="","Pick a loan",IFERROR(IF(INDEX(Loans!$C$6:$C$305,MATCH(G694,Loans!$B$6:$B$305,0))="","Not a loan",INDEX(Loans!$C$6:$C$305,MATCH(G694,Loans!$B$6:$B$305,0))),"Not a loan")))</f>
        <v/>
      </c>
      <c r="I694" s="10">
        <f>IF(OR(G694="",H694="Not a loan"),"",IF(INDEX(Loans!$D$6:$D$305,MATCH(G694,Loans!$B$6:$B$305,0))="I borrowed","Out","In"))</f>
        <v/>
      </c>
      <c r="J694" s="1">
        <f>IF(NOT(ISNUMBER(B694)),"",YEAR(B694)*100+MONTH(B694))</f>
        <v/>
      </c>
      <c r="K694">
        <f>IF(OR(G694="",NOT(ISNUMBER(B694))),"",IF(G694=Statement!$H$2,B694*1000+ROW(),""))</f>
        <v/>
      </c>
    </row>
    <row r="695">
      <c r="A695" s="1" t="n"/>
      <c r="B695" s="18" t="n"/>
      <c r="C695" s="16" t="n"/>
      <c r="D695" s="19" t="n"/>
      <c r="E695" s="17" t="n"/>
      <c r="F695" s="22" t="n"/>
      <c r="G695" s="14">
        <f>IF(C695="","",IFERROR(VALUE(LEFT(C695,FIND(" ",C695&amp;" ")-1)),""))</f>
        <v/>
      </c>
      <c r="H695" s="26">
        <f>IF(C695="","",IF(G695="","Pick a loan",IFERROR(IF(INDEX(Loans!$C$6:$C$305,MATCH(G695,Loans!$B$6:$B$305,0))="","Not a loan",INDEX(Loans!$C$6:$C$305,MATCH(G695,Loans!$B$6:$B$305,0))),"Not a loan")))</f>
        <v/>
      </c>
      <c r="I695" s="10">
        <f>IF(OR(G695="",H695="Not a loan"),"",IF(INDEX(Loans!$D$6:$D$305,MATCH(G695,Loans!$B$6:$B$305,0))="I borrowed","Out","In"))</f>
        <v/>
      </c>
      <c r="J695" s="1">
        <f>IF(NOT(ISNUMBER(B695)),"",YEAR(B695)*100+MONTH(B695))</f>
        <v/>
      </c>
      <c r="K695">
        <f>IF(OR(G695="",NOT(ISNUMBER(B695))),"",IF(G695=Statement!$H$2,B695*1000+ROW(),""))</f>
        <v/>
      </c>
    </row>
    <row r="696">
      <c r="A696" s="1" t="n"/>
      <c r="B696" s="18" t="n"/>
      <c r="C696" s="16" t="n"/>
      <c r="D696" s="19" t="n"/>
      <c r="E696" s="17" t="n"/>
      <c r="F696" s="22" t="n"/>
      <c r="G696" s="14">
        <f>IF(C696="","",IFERROR(VALUE(LEFT(C696,FIND(" ",C696&amp;" ")-1)),""))</f>
        <v/>
      </c>
      <c r="H696" s="26">
        <f>IF(C696="","",IF(G696="","Pick a loan",IFERROR(IF(INDEX(Loans!$C$6:$C$305,MATCH(G696,Loans!$B$6:$B$305,0))="","Not a loan",INDEX(Loans!$C$6:$C$305,MATCH(G696,Loans!$B$6:$B$305,0))),"Not a loan")))</f>
        <v/>
      </c>
      <c r="I696" s="10">
        <f>IF(OR(G696="",H696="Not a loan"),"",IF(INDEX(Loans!$D$6:$D$305,MATCH(G696,Loans!$B$6:$B$305,0))="I borrowed","Out","In"))</f>
        <v/>
      </c>
      <c r="J696" s="1">
        <f>IF(NOT(ISNUMBER(B696)),"",YEAR(B696)*100+MONTH(B696))</f>
        <v/>
      </c>
      <c r="K696">
        <f>IF(OR(G696="",NOT(ISNUMBER(B696))),"",IF(G696=Statement!$H$2,B696*1000+ROW(),""))</f>
        <v/>
      </c>
    </row>
    <row r="697">
      <c r="A697" s="1" t="n"/>
      <c r="B697" s="18" t="n"/>
      <c r="C697" s="16" t="n"/>
      <c r="D697" s="19" t="n"/>
      <c r="E697" s="17" t="n"/>
      <c r="F697" s="22" t="n"/>
      <c r="G697" s="14">
        <f>IF(C697="","",IFERROR(VALUE(LEFT(C697,FIND(" ",C697&amp;" ")-1)),""))</f>
        <v/>
      </c>
      <c r="H697" s="26">
        <f>IF(C697="","",IF(G697="","Pick a loan",IFERROR(IF(INDEX(Loans!$C$6:$C$305,MATCH(G697,Loans!$B$6:$B$305,0))="","Not a loan",INDEX(Loans!$C$6:$C$305,MATCH(G697,Loans!$B$6:$B$305,0))),"Not a loan")))</f>
        <v/>
      </c>
      <c r="I697" s="10">
        <f>IF(OR(G697="",H697="Not a loan"),"",IF(INDEX(Loans!$D$6:$D$305,MATCH(G697,Loans!$B$6:$B$305,0))="I borrowed","Out","In"))</f>
        <v/>
      </c>
      <c r="J697" s="1">
        <f>IF(NOT(ISNUMBER(B697)),"",YEAR(B697)*100+MONTH(B697))</f>
        <v/>
      </c>
      <c r="K697">
        <f>IF(OR(G697="",NOT(ISNUMBER(B697))),"",IF(G697=Statement!$H$2,B697*1000+ROW(),""))</f>
        <v/>
      </c>
    </row>
    <row r="698">
      <c r="A698" s="1" t="n"/>
      <c r="B698" s="18" t="n"/>
      <c r="C698" s="16" t="n"/>
      <c r="D698" s="19" t="n"/>
      <c r="E698" s="17" t="n"/>
      <c r="F698" s="22" t="n"/>
      <c r="G698" s="14">
        <f>IF(C698="","",IFERROR(VALUE(LEFT(C698,FIND(" ",C698&amp;" ")-1)),""))</f>
        <v/>
      </c>
      <c r="H698" s="26">
        <f>IF(C698="","",IF(G698="","Pick a loan",IFERROR(IF(INDEX(Loans!$C$6:$C$305,MATCH(G698,Loans!$B$6:$B$305,0))="","Not a loan",INDEX(Loans!$C$6:$C$305,MATCH(G698,Loans!$B$6:$B$305,0))),"Not a loan")))</f>
        <v/>
      </c>
      <c r="I698" s="10">
        <f>IF(OR(G698="",H698="Not a loan"),"",IF(INDEX(Loans!$D$6:$D$305,MATCH(G698,Loans!$B$6:$B$305,0))="I borrowed","Out","In"))</f>
        <v/>
      </c>
      <c r="J698" s="1">
        <f>IF(NOT(ISNUMBER(B698)),"",YEAR(B698)*100+MONTH(B698))</f>
        <v/>
      </c>
      <c r="K698">
        <f>IF(OR(G698="",NOT(ISNUMBER(B698))),"",IF(G698=Statement!$H$2,B698*1000+ROW(),""))</f>
        <v/>
      </c>
    </row>
    <row r="699">
      <c r="A699" s="1" t="n"/>
      <c r="B699" s="18" t="n"/>
      <c r="C699" s="16" t="n"/>
      <c r="D699" s="19" t="n"/>
      <c r="E699" s="17" t="n"/>
      <c r="F699" s="22" t="n"/>
      <c r="G699" s="14">
        <f>IF(C699="","",IFERROR(VALUE(LEFT(C699,FIND(" ",C699&amp;" ")-1)),""))</f>
        <v/>
      </c>
      <c r="H699" s="26">
        <f>IF(C699="","",IF(G699="","Pick a loan",IFERROR(IF(INDEX(Loans!$C$6:$C$305,MATCH(G699,Loans!$B$6:$B$305,0))="","Not a loan",INDEX(Loans!$C$6:$C$305,MATCH(G699,Loans!$B$6:$B$305,0))),"Not a loan")))</f>
        <v/>
      </c>
      <c r="I699" s="10">
        <f>IF(OR(G699="",H699="Not a loan"),"",IF(INDEX(Loans!$D$6:$D$305,MATCH(G699,Loans!$B$6:$B$305,0))="I borrowed","Out","In"))</f>
        <v/>
      </c>
      <c r="J699" s="1">
        <f>IF(NOT(ISNUMBER(B699)),"",YEAR(B699)*100+MONTH(B699))</f>
        <v/>
      </c>
      <c r="K699">
        <f>IF(OR(G699="",NOT(ISNUMBER(B699))),"",IF(G699=Statement!$H$2,B699*1000+ROW(),""))</f>
        <v/>
      </c>
    </row>
    <row r="700">
      <c r="A700" s="1" t="n"/>
      <c r="B700" s="18" t="n"/>
      <c r="C700" s="16" t="n"/>
      <c r="D700" s="19" t="n"/>
      <c r="E700" s="17" t="n"/>
      <c r="F700" s="22" t="n"/>
      <c r="G700" s="14">
        <f>IF(C700="","",IFERROR(VALUE(LEFT(C700,FIND(" ",C700&amp;" ")-1)),""))</f>
        <v/>
      </c>
      <c r="H700" s="26">
        <f>IF(C700="","",IF(G700="","Pick a loan",IFERROR(IF(INDEX(Loans!$C$6:$C$305,MATCH(G700,Loans!$B$6:$B$305,0))="","Not a loan",INDEX(Loans!$C$6:$C$305,MATCH(G700,Loans!$B$6:$B$305,0))),"Not a loan")))</f>
        <v/>
      </c>
      <c r="I700" s="10">
        <f>IF(OR(G700="",H700="Not a loan"),"",IF(INDEX(Loans!$D$6:$D$305,MATCH(G700,Loans!$B$6:$B$305,0))="I borrowed","Out","In"))</f>
        <v/>
      </c>
      <c r="J700" s="1">
        <f>IF(NOT(ISNUMBER(B700)),"",YEAR(B700)*100+MONTH(B700))</f>
        <v/>
      </c>
      <c r="K700">
        <f>IF(OR(G700="",NOT(ISNUMBER(B700))),"",IF(G700=Statement!$H$2,B700*1000+ROW(),""))</f>
        <v/>
      </c>
    </row>
    <row r="701">
      <c r="A701" s="1" t="n"/>
      <c r="B701" s="18" t="n"/>
      <c r="C701" s="16" t="n"/>
      <c r="D701" s="19" t="n"/>
      <c r="E701" s="17" t="n"/>
      <c r="F701" s="22" t="n"/>
      <c r="G701" s="14">
        <f>IF(C701="","",IFERROR(VALUE(LEFT(C701,FIND(" ",C701&amp;" ")-1)),""))</f>
        <v/>
      </c>
      <c r="H701" s="26">
        <f>IF(C701="","",IF(G701="","Pick a loan",IFERROR(IF(INDEX(Loans!$C$6:$C$305,MATCH(G701,Loans!$B$6:$B$305,0))="","Not a loan",INDEX(Loans!$C$6:$C$305,MATCH(G701,Loans!$B$6:$B$305,0))),"Not a loan")))</f>
        <v/>
      </c>
      <c r="I701" s="10">
        <f>IF(OR(G701="",H701="Not a loan"),"",IF(INDEX(Loans!$D$6:$D$305,MATCH(G701,Loans!$B$6:$B$305,0))="I borrowed","Out","In"))</f>
        <v/>
      </c>
      <c r="J701" s="1">
        <f>IF(NOT(ISNUMBER(B701)),"",YEAR(B701)*100+MONTH(B701))</f>
        <v/>
      </c>
      <c r="K701">
        <f>IF(OR(G701="",NOT(ISNUMBER(B701))),"",IF(G701=Statement!$H$2,B701*1000+ROW(),""))</f>
        <v/>
      </c>
    </row>
    <row r="702">
      <c r="A702" s="1" t="n"/>
      <c r="B702" s="18" t="n"/>
      <c r="C702" s="16" t="n"/>
      <c r="D702" s="19" t="n"/>
      <c r="E702" s="17" t="n"/>
      <c r="F702" s="22" t="n"/>
      <c r="G702" s="14">
        <f>IF(C702="","",IFERROR(VALUE(LEFT(C702,FIND(" ",C702&amp;" ")-1)),""))</f>
        <v/>
      </c>
      <c r="H702" s="26">
        <f>IF(C702="","",IF(G702="","Pick a loan",IFERROR(IF(INDEX(Loans!$C$6:$C$305,MATCH(G702,Loans!$B$6:$B$305,0))="","Not a loan",INDEX(Loans!$C$6:$C$305,MATCH(G702,Loans!$B$6:$B$305,0))),"Not a loan")))</f>
        <v/>
      </c>
      <c r="I702" s="10">
        <f>IF(OR(G702="",H702="Not a loan"),"",IF(INDEX(Loans!$D$6:$D$305,MATCH(G702,Loans!$B$6:$B$305,0))="I borrowed","Out","In"))</f>
        <v/>
      </c>
      <c r="J702" s="1">
        <f>IF(NOT(ISNUMBER(B702)),"",YEAR(B702)*100+MONTH(B702))</f>
        <v/>
      </c>
      <c r="K702">
        <f>IF(OR(G702="",NOT(ISNUMBER(B702))),"",IF(G702=Statement!$H$2,B702*1000+ROW(),""))</f>
        <v/>
      </c>
    </row>
    <row r="703">
      <c r="A703" s="1" t="n"/>
      <c r="B703" s="18" t="n"/>
      <c r="C703" s="16" t="n"/>
      <c r="D703" s="19" t="n"/>
      <c r="E703" s="17" t="n"/>
      <c r="F703" s="22" t="n"/>
      <c r="G703" s="14">
        <f>IF(C703="","",IFERROR(VALUE(LEFT(C703,FIND(" ",C703&amp;" ")-1)),""))</f>
        <v/>
      </c>
      <c r="H703" s="26">
        <f>IF(C703="","",IF(G703="","Pick a loan",IFERROR(IF(INDEX(Loans!$C$6:$C$305,MATCH(G703,Loans!$B$6:$B$305,0))="","Not a loan",INDEX(Loans!$C$6:$C$305,MATCH(G703,Loans!$B$6:$B$305,0))),"Not a loan")))</f>
        <v/>
      </c>
      <c r="I703" s="10">
        <f>IF(OR(G703="",H703="Not a loan"),"",IF(INDEX(Loans!$D$6:$D$305,MATCH(G703,Loans!$B$6:$B$305,0))="I borrowed","Out","In"))</f>
        <v/>
      </c>
      <c r="J703" s="1">
        <f>IF(NOT(ISNUMBER(B703)),"",YEAR(B703)*100+MONTH(B703))</f>
        <v/>
      </c>
      <c r="K703">
        <f>IF(OR(G703="",NOT(ISNUMBER(B703))),"",IF(G703=Statement!$H$2,B703*1000+ROW(),""))</f>
        <v/>
      </c>
    </row>
    <row r="704">
      <c r="A704" s="1" t="n"/>
      <c r="B704" s="18" t="n"/>
      <c r="C704" s="16" t="n"/>
      <c r="D704" s="19" t="n"/>
      <c r="E704" s="17" t="n"/>
      <c r="F704" s="22" t="n"/>
      <c r="G704" s="14">
        <f>IF(C704="","",IFERROR(VALUE(LEFT(C704,FIND(" ",C704&amp;" ")-1)),""))</f>
        <v/>
      </c>
      <c r="H704" s="26">
        <f>IF(C704="","",IF(G704="","Pick a loan",IFERROR(IF(INDEX(Loans!$C$6:$C$305,MATCH(G704,Loans!$B$6:$B$305,0))="","Not a loan",INDEX(Loans!$C$6:$C$305,MATCH(G704,Loans!$B$6:$B$305,0))),"Not a loan")))</f>
        <v/>
      </c>
      <c r="I704" s="10">
        <f>IF(OR(G704="",H704="Not a loan"),"",IF(INDEX(Loans!$D$6:$D$305,MATCH(G704,Loans!$B$6:$B$305,0))="I borrowed","Out","In"))</f>
        <v/>
      </c>
      <c r="J704" s="1">
        <f>IF(NOT(ISNUMBER(B704)),"",YEAR(B704)*100+MONTH(B704))</f>
        <v/>
      </c>
      <c r="K704">
        <f>IF(OR(G704="",NOT(ISNUMBER(B704))),"",IF(G704=Statement!$H$2,B704*1000+ROW(),""))</f>
        <v/>
      </c>
    </row>
    <row r="705">
      <c r="A705" s="1" t="n"/>
      <c r="B705" s="18" t="n"/>
      <c r="C705" s="16" t="n"/>
      <c r="D705" s="19" t="n"/>
      <c r="E705" s="17" t="n"/>
      <c r="F705" s="22" t="n"/>
      <c r="G705" s="14">
        <f>IF(C705="","",IFERROR(VALUE(LEFT(C705,FIND(" ",C705&amp;" ")-1)),""))</f>
        <v/>
      </c>
      <c r="H705" s="26">
        <f>IF(C705="","",IF(G705="","Pick a loan",IFERROR(IF(INDEX(Loans!$C$6:$C$305,MATCH(G705,Loans!$B$6:$B$305,0))="","Not a loan",INDEX(Loans!$C$6:$C$305,MATCH(G705,Loans!$B$6:$B$305,0))),"Not a loan")))</f>
        <v/>
      </c>
      <c r="I705" s="10">
        <f>IF(OR(G705="",H705="Not a loan"),"",IF(INDEX(Loans!$D$6:$D$305,MATCH(G705,Loans!$B$6:$B$305,0))="I borrowed","Out","In"))</f>
        <v/>
      </c>
      <c r="J705" s="1">
        <f>IF(NOT(ISNUMBER(B705)),"",YEAR(B705)*100+MONTH(B705))</f>
        <v/>
      </c>
      <c r="K705">
        <f>IF(OR(G705="",NOT(ISNUMBER(B705))),"",IF(G705=Statement!$H$2,B705*1000+ROW(),""))</f>
        <v/>
      </c>
    </row>
    <row r="706">
      <c r="A706" s="1" t="n"/>
      <c r="B706" s="18" t="n"/>
      <c r="C706" s="16" t="n"/>
      <c r="D706" s="19" t="n"/>
      <c r="E706" s="17" t="n"/>
      <c r="F706" s="22" t="n"/>
      <c r="G706" s="14">
        <f>IF(C706="","",IFERROR(VALUE(LEFT(C706,FIND(" ",C706&amp;" ")-1)),""))</f>
        <v/>
      </c>
      <c r="H706" s="26">
        <f>IF(C706="","",IF(G706="","Pick a loan",IFERROR(IF(INDEX(Loans!$C$6:$C$305,MATCH(G706,Loans!$B$6:$B$305,0))="","Not a loan",INDEX(Loans!$C$6:$C$305,MATCH(G706,Loans!$B$6:$B$305,0))),"Not a loan")))</f>
        <v/>
      </c>
      <c r="I706" s="10">
        <f>IF(OR(G706="",H706="Not a loan"),"",IF(INDEX(Loans!$D$6:$D$305,MATCH(G706,Loans!$B$6:$B$305,0))="I borrowed","Out","In"))</f>
        <v/>
      </c>
      <c r="J706" s="1">
        <f>IF(NOT(ISNUMBER(B706)),"",YEAR(B706)*100+MONTH(B706))</f>
        <v/>
      </c>
      <c r="K706">
        <f>IF(OR(G706="",NOT(ISNUMBER(B706))),"",IF(G706=Statement!$H$2,B706*1000+ROW(),""))</f>
        <v/>
      </c>
    </row>
    <row r="707">
      <c r="A707" s="1" t="n"/>
      <c r="B707" s="18" t="n"/>
      <c r="C707" s="16" t="n"/>
      <c r="D707" s="19" t="n"/>
      <c r="E707" s="17" t="n"/>
      <c r="F707" s="22" t="n"/>
      <c r="G707" s="14">
        <f>IF(C707="","",IFERROR(VALUE(LEFT(C707,FIND(" ",C707&amp;" ")-1)),""))</f>
        <v/>
      </c>
      <c r="H707" s="26">
        <f>IF(C707="","",IF(G707="","Pick a loan",IFERROR(IF(INDEX(Loans!$C$6:$C$305,MATCH(G707,Loans!$B$6:$B$305,0))="","Not a loan",INDEX(Loans!$C$6:$C$305,MATCH(G707,Loans!$B$6:$B$305,0))),"Not a loan")))</f>
        <v/>
      </c>
      <c r="I707" s="10">
        <f>IF(OR(G707="",H707="Not a loan"),"",IF(INDEX(Loans!$D$6:$D$305,MATCH(G707,Loans!$B$6:$B$305,0))="I borrowed","Out","In"))</f>
        <v/>
      </c>
      <c r="J707" s="1">
        <f>IF(NOT(ISNUMBER(B707)),"",YEAR(B707)*100+MONTH(B707))</f>
        <v/>
      </c>
      <c r="K707">
        <f>IF(OR(G707="",NOT(ISNUMBER(B707))),"",IF(G707=Statement!$H$2,B707*1000+ROW(),""))</f>
        <v/>
      </c>
    </row>
    <row r="708">
      <c r="A708" s="1" t="n"/>
      <c r="B708" s="18" t="n"/>
      <c r="C708" s="16" t="n"/>
      <c r="D708" s="19" t="n"/>
      <c r="E708" s="17" t="n"/>
      <c r="F708" s="22" t="n"/>
      <c r="G708" s="14">
        <f>IF(C708="","",IFERROR(VALUE(LEFT(C708,FIND(" ",C708&amp;" ")-1)),""))</f>
        <v/>
      </c>
      <c r="H708" s="26">
        <f>IF(C708="","",IF(G708="","Pick a loan",IFERROR(IF(INDEX(Loans!$C$6:$C$305,MATCH(G708,Loans!$B$6:$B$305,0))="","Not a loan",INDEX(Loans!$C$6:$C$305,MATCH(G708,Loans!$B$6:$B$305,0))),"Not a loan")))</f>
        <v/>
      </c>
      <c r="I708" s="10">
        <f>IF(OR(G708="",H708="Not a loan"),"",IF(INDEX(Loans!$D$6:$D$305,MATCH(G708,Loans!$B$6:$B$305,0))="I borrowed","Out","In"))</f>
        <v/>
      </c>
      <c r="J708" s="1">
        <f>IF(NOT(ISNUMBER(B708)),"",YEAR(B708)*100+MONTH(B708))</f>
        <v/>
      </c>
      <c r="K708">
        <f>IF(OR(G708="",NOT(ISNUMBER(B708))),"",IF(G708=Statement!$H$2,B708*1000+ROW(),""))</f>
        <v/>
      </c>
    </row>
    <row r="709">
      <c r="A709" s="1" t="n"/>
      <c r="B709" s="18" t="n"/>
      <c r="C709" s="16" t="n"/>
      <c r="D709" s="19" t="n"/>
      <c r="E709" s="17" t="n"/>
      <c r="F709" s="22" t="n"/>
      <c r="G709" s="14">
        <f>IF(C709="","",IFERROR(VALUE(LEFT(C709,FIND(" ",C709&amp;" ")-1)),""))</f>
        <v/>
      </c>
      <c r="H709" s="26">
        <f>IF(C709="","",IF(G709="","Pick a loan",IFERROR(IF(INDEX(Loans!$C$6:$C$305,MATCH(G709,Loans!$B$6:$B$305,0))="","Not a loan",INDEX(Loans!$C$6:$C$305,MATCH(G709,Loans!$B$6:$B$305,0))),"Not a loan")))</f>
        <v/>
      </c>
      <c r="I709" s="10">
        <f>IF(OR(G709="",H709="Not a loan"),"",IF(INDEX(Loans!$D$6:$D$305,MATCH(G709,Loans!$B$6:$B$305,0))="I borrowed","Out","In"))</f>
        <v/>
      </c>
      <c r="J709" s="1">
        <f>IF(NOT(ISNUMBER(B709)),"",YEAR(B709)*100+MONTH(B709))</f>
        <v/>
      </c>
      <c r="K709">
        <f>IF(OR(G709="",NOT(ISNUMBER(B709))),"",IF(G709=Statement!$H$2,B709*1000+ROW(),""))</f>
        <v/>
      </c>
    </row>
    <row r="710">
      <c r="A710" s="1" t="n"/>
      <c r="B710" s="18" t="n"/>
      <c r="C710" s="16" t="n"/>
      <c r="D710" s="19" t="n"/>
      <c r="E710" s="17" t="n"/>
      <c r="F710" s="22" t="n"/>
      <c r="G710" s="14">
        <f>IF(C710="","",IFERROR(VALUE(LEFT(C710,FIND(" ",C710&amp;" ")-1)),""))</f>
        <v/>
      </c>
      <c r="H710" s="26">
        <f>IF(C710="","",IF(G710="","Pick a loan",IFERROR(IF(INDEX(Loans!$C$6:$C$305,MATCH(G710,Loans!$B$6:$B$305,0))="","Not a loan",INDEX(Loans!$C$6:$C$305,MATCH(G710,Loans!$B$6:$B$305,0))),"Not a loan")))</f>
        <v/>
      </c>
      <c r="I710" s="10">
        <f>IF(OR(G710="",H710="Not a loan"),"",IF(INDEX(Loans!$D$6:$D$305,MATCH(G710,Loans!$B$6:$B$305,0))="I borrowed","Out","In"))</f>
        <v/>
      </c>
      <c r="J710" s="1">
        <f>IF(NOT(ISNUMBER(B710)),"",YEAR(B710)*100+MONTH(B710))</f>
        <v/>
      </c>
      <c r="K710">
        <f>IF(OR(G710="",NOT(ISNUMBER(B710))),"",IF(G710=Statement!$H$2,B710*1000+ROW(),""))</f>
        <v/>
      </c>
    </row>
    <row r="711">
      <c r="A711" s="1" t="n"/>
      <c r="B711" s="18" t="n"/>
      <c r="C711" s="16" t="n"/>
      <c r="D711" s="19" t="n"/>
      <c r="E711" s="17" t="n"/>
      <c r="F711" s="22" t="n"/>
      <c r="G711" s="14">
        <f>IF(C711="","",IFERROR(VALUE(LEFT(C711,FIND(" ",C711&amp;" ")-1)),""))</f>
        <v/>
      </c>
      <c r="H711" s="26">
        <f>IF(C711="","",IF(G711="","Pick a loan",IFERROR(IF(INDEX(Loans!$C$6:$C$305,MATCH(G711,Loans!$B$6:$B$305,0))="","Not a loan",INDEX(Loans!$C$6:$C$305,MATCH(G711,Loans!$B$6:$B$305,0))),"Not a loan")))</f>
        <v/>
      </c>
      <c r="I711" s="10">
        <f>IF(OR(G711="",H711="Not a loan"),"",IF(INDEX(Loans!$D$6:$D$305,MATCH(G711,Loans!$B$6:$B$305,0))="I borrowed","Out","In"))</f>
        <v/>
      </c>
      <c r="J711" s="1">
        <f>IF(NOT(ISNUMBER(B711)),"",YEAR(B711)*100+MONTH(B711))</f>
        <v/>
      </c>
      <c r="K711">
        <f>IF(OR(G711="",NOT(ISNUMBER(B711))),"",IF(G711=Statement!$H$2,B711*1000+ROW(),""))</f>
        <v/>
      </c>
    </row>
    <row r="712">
      <c r="A712" s="1" t="n"/>
      <c r="B712" s="18" t="n"/>
      <c r="C712" s="16" t="n"/>
      <c r="D712" s="19" t="n"/>
      <c r="E712" s="17" t="n"/>
      <c r="F712" s="22" t="n"/>
      <c r="G712" s="14">
        <f>IF(C712="","",IFERROR(VALUE(LEFT(C712,FIND(" ",C712&amp;" ")-1)),""))</f>
        <v/>
      </c>
      <c r="H712" s="26">
        <f>IF(C712="","",IF(G712="","Pick a loan",IFERROR(IF(INDEX(Loans!$C$6:$C$305,MATCH(G712,Loans!$B$6:$B$305,0))="","Not a loan",INDEX(Loans!$C$6:$C$305,MATCH(G712,Loans!$B$6:$B$305,0))),"Not a loan")))</f>
        <v/>
      </c>
      <c r="I712" s="10">
        <f>IF(OR(G712="",H712="Not a loan"),"",IF(INDEX(Loans!$D$6:$D$305,MATCH(G712,Loans!$B$6:$B$305,0))="I borrowed","Out","In"))</f>
        <v/>
      </c>
      <c r="J712" s="1">
        <f>IF(NOT(ISNUMBER(B712)),"",YEAR(B712)*100+MONTH(B712))</f>
        <v/>
      </c>
      <c r="K712">
        <f>IF(OR(G712="",NOT(ISNUMBER(B712))),"",IF(G712=Statement!$H$2,B712*1000+ROW(),""))</f>
        <v/>
      </c>
    </row>
    <row r="713">
      <c r="A713" s="1" t="n"/>
      <c r="B713" s="18" t="n"/>
      <c r="C713" s="16" t="n"/>
      <c r="D713" s="19" t="n"/>
      <c r="E713" s="17" t="n"/>
      <c r="F713" s="22" t="n"/>
      <c r="G713" s="14">
        <f>IF(C713="","",IFERROR(VALUE(LEFT(C713,FIND(" ",C713&amp;" ")-1)),""))</f>
        <v/>
      </c>
      <c r="H713" s="26">
        <f>IF(C713="","",IF(G713="","Pick a loan",IFERROR(IF(INDEX(Loans!$C$6:$C$305,MATCH(G713,Loans!$B$6:$B$305,0))="","Not a loan",INDEX(Loans!$C$6:$C$305,MATCH(G713,Loans!$B$6:$B$305,0))),"Not a loan")))</f>
        <v/>
      </c>
      <c r="I713" s="10">
        <f>IF(OR(G713="",H713="Not a loan"),"",IF(INDEX(Loans!$D$6:$D$305,MATCH(G713,Loans!$B$6:$B$305,0))="I borrowed","Out","In"))</f>
        <v/>
      </c>
      <c r="J713" s="1">
        <f>IF(NOT(ISNUMBER(B713)),"",YEAR(B713)*100+MONTH(B713))</f>
        <v/>
      </c>
      <c r="K713">
        <f>IF(OR(G713="",NOT(ISNUMBER(B713))),"",IF(G713=Statement!$H$2,B713*1000+ROW(),""))</f>
        <v/>
      </c>
    </row>
    <row r="714">
      <c r="A714" s="1" t="n"/>
      <c r="B714" s="18" t="n"/>
      <c r="C714" s="16" t="n"/>
      <c r="D714" s="19" t="n"/>
      <c r="E714" s="17" t="n"/>
      <c r="F714" s="22" t="n"/>
      <c r="G714" s="14">
        <f>IF(C714="","",IFERROR(VALUE(LEFT(C714,FIND(" ",C714&amp;" ")-1)),""))</f>
        <v/>
      </c>
      <c r="H714" s="26">
        <f>IF(C714="","",IF(G714="","Pick a loan",IFERROR(IF(INDEX(Loans!$C$6:$C$305,MATCH(G714,Loans!$B$6:$B$305,0))="","Not a loan",INDEX(Loans!$C$6:$C$305,MATCH(G714,Loans!$B$6:$B$305,0))),"Not a loan")))</f>
        <v/>
      </c>
      <c r="I714" s="10">
        <f>IF(OR(G714="",H714="Not a loan"),"",IF(INDEX(Loans!$D$6:$D$305,MATCH(G714,Loans!$B$6:$B$305,0))="I borrowed","Out","In"))</f>
        <v/>
      </c>
      <c r="J714" s="1">
        <f>IF(NOT(ISNUMBER(B714)),"",YEAR(B714)*100+MONTH(B714))</f>
        <v/>
      </c>
      <c r="K714">
        <f>IF(OR(G714="",NOT(ISNUMBER(B714))),"",IF(G714=Statement!$H$2,B714*1000+ROW(),""))</f>
        <v/>
      </c>
    </row>
    <row r="715">
      <c r="A715" s="1" t="n"/>
      <c r="B715" s="18" t="n"/>
      <c r="C715" s="16" t="n"/>
      <c r="D715" s="19" t="n"/>
      <c r="E715" s="17" t="n"/>
      <c r="F715" s="22" t="n"/>
      <c r="G715" s="14">
        <f>IF(C715="","",IFERROR(VALUE(LEFT(C715,FIND(" ",C715&amp;" ")-1)),""))</f>
        <v/>
      </c>
      <c r="H715" s="26">
        <f>IF(C715="","",IF(G715="","Pick a loan",IFERROR(IF(INDEX(Loans!$C$6:$C$305,MATCH(G715,Loans!$B$6:$B$305,0))="","Not a loan",INDEX(Loans!$C$6:$C$305,MATCH(G715,Loans!$B$6:$B$305,0))),"Not a loan")))</f>
        <v/>
      </c>
      <c r="I715" s="10">
        <f>IF(OR(G715="",H715="Not a loan"),"",IF(INDEX(Loans!$D$6:$D$305,MATCH(G715,Loans!$B$6:$B$305,0))="I borrowed","Out","In"))</f>
        <v/>
      </c>
      <c r="J715" s="1">
        <f>IF(NOT(ISNUMBER(B715)),"",YEAR(B715)*100+MONTH(B715))</f>
        <v/>
      </c>
      <c r="K715">
        <f>IF(OR(G715="",NOT(ISNUMBER(B715))),"",IF(G715=Statement!$H$2,B715*1000+ROW(),""))</f>
        <v/>
      </c>
    </row>
    <row r="716">
      <c r="A716" s="1" t="n"/>
      <c r="B716" s="18" t="n"/>
      <c r="C716" s="16" t="n"/>
      <c r="D716" s="19" t="n"/>
      <c r="E716" s="17" t="n"/>
      <c r="F716" s="22" t="n"/>
      <c r="G716" s="14">
        <f>IF(C716="","",IFERROR(VALUE(LEFT(C716,FIND(" ",C716&amp;" ")-1)),""))</f>
        <v/>
      </c>
      <c r="H716" s="26">
        <f>IF(C716="","",IF(G716="","Pick a loan",IFERROR(IF(INDEX(Loans!$C$6:$C$305,MATCH(G716,Loans!$B$6:$B$305,0))="","Not a loan",INDEX(Loans!$C$6:$C$305,MATCH(G716,Loans!$B$6:$B$305,0))),"Not a loan")))</f>
        <v/>
      </c>
      <c r="I716" s="10">
        <f>IF(OR(G716="",H716="Not a loan"),"",IF(INDEX(Loans!$D$6:$D$305,MATCH(G716,Loans!$B$6:$B$305,0))="I borrowed","Out","In"))</f>
        <v/>
      </c>
      <c r="J716" s="1">
        <f>IF(NOT(ISNUMBER(B716)),"",YEAR(B716)*100+MONTH(B716))</f>
        <v/>
      </c>
      <c r="K716">
        <f>IF(OR(G716="",NOT(ISNUMBER(B716))),"",IF(G716=Statement!$H$2,B716*1000+ROW(),""))</f>
        <v/>
      </c>
    </row>
    <row r="717">
      <c r="A717" s="1" t="n"/>
      <c r="B717" s="18" t="n"/>
      <c r="C717" s="16" t="n"/>
      <c r="D717" s="19" t="n"/>
      <c r="E717" s="17" t="n"/>
      <c r="F717" s="22" t="n"/>
      <c r="G717" s="14">
        <f>IF(C717="","",IFERROR(VALUE(LEFT(C717,FIND(" ",C717&amp;" ")-1)),""))</f>
        <v/>
      </c>
      <c r="H717" s="26">
        <f>IF(C717="","",IF(G717="","Pick a loan",IFERROR(IF(INDEX(Loans!$C$6:$C$305,MATCH(G717,Loans!$B$6:$B$305,0))="","Not a loan",INDEX(Loans!$C$6:$C$305,MATCH(G717,Loans!$B$6:$B$305,0))),"Not a loan")))</f>
        <v/>
      </c>
      <c r="I717" s="10">
        <f>IF(OR(G717="",H717="Not a loan"),"",IF(INDEX(Loans!$D$6:$D$305,MATCH(G717,Loans!$B$6:$B$305,0))="I borrowed","Out","In"))</f>
        <v/>
      </c>
      <c r="J717" s="1">
        <f>IF(NOT(ISNUMBER(B717)),"",YEAR(B717)*100+MONTH(B717))</f>
        <v/>
      </c>
      <c r="K717">
        <f>IF(OR(G717="",NOT(ISNUMBER(B717))),"",IF(G717=Statement!$H$2,B717*1000+ROW(),""))</f>
        <v/>
      </c>
    </row>
    <row r="718">
      <c r="A718" s="1" t="n"/>
      <c r="B718" s="18" t="n"/>
      <c r="C718" s="16" t="n"/>
      <c r="D718" s="19" t="n"/>
      <c r="E718" s="17" t="n"/>
      <c r="F718" s="22" t="n"/>
      <c r="G718" s="14">
        <f>IF(C718="","",IFERROR(VALUE(LEFT(C718,FIND(" ",C718&amp;" ")-1)),""))</f>
        <v/>
      </c>
      <c r="H718" s="26">
        <f>IF(C718="","",IF(G718="","Pick a loan",IFERROR(IF(INDEX(Loans!$C$6:$C$305,MATCH(G718,Loans!$B$6:$B$305,0))="","Not a loan",INDEX(Loans!$C$6:$C$305,MATCH(G718,Loans!$B$6:$B$305,0))),"Not a loan")))</f>
        <v/>
      </c>
      <c r="I718" s="10">
        <f>IF(OR(G718="",H718="Not a loan"),"",IF(INDEX(Loans!$D$6:$D$305,MATCH(G718,Loans!$B$6:$B$305,0))="I borrowed","Out","In"))</f>
        <v/>
      </c>
      <c r="J718" s="1">
        <f>IF(NOT(ISNUMBER(B718)),"",YEAR(B718)*100+MONTH(B718))</f>
        <v/>
      </c>
      <c r="K718">
        <f>IF(OR(G718="",NOT(ISNUMBER(B718))),"",IF(G718=Statement!$H$2,B718*1000+ROW(),""))</f>
        <v/>
      </c>
    </row>
    <row r="719">
      <c r="A719" s="1" t="n"/>
      <c r="B719" s="18" t="n"/>
      <c r="C719" s="16" t="n"/>
      <c r="D719" s="19" t="n"/>
      <c r="E719" s="17" t="n"/>
      <c r="F719" s="22" t="n"/>
      <c r="G719" s="14">
        <f>IF(C719="","",IFERROR(VALUE(LEFT(C719,FIND(" ",C719&amp;" ")-1)),""))</f>
        <v/>
      </c>
      <c r="H719" s="26">
        <f>IF(C719="","",IF(G719="","Pick a loan",IFERROR(IF(INDEX(Loans!$C$6:$C$305,MATCH(G719,Loans!$B$6:$B$305,0))="","Not a loan",INDEX(Loans!$C$6:$C$305,MATCH(G719,Loans!$B$6:$B$305,0))),"Not a loan")))</f>
        <v/>
      </c>
      <c r="I719" s="10">
        <f>IF(OR(G719="",H719="Not a loan"),"",IF(INDEX(Loans!$D$6:$D$305,MATCH(G719,Loans!$B$6:$B$305,0))="I borrowed","Out","In"))</f>
        <v/>
      </c>
      <c r="J719" s="1">
        <f>IF(NOT(ISNUMBER(B719)),"",YEAR(B719)*100+MONTH(B719))</f>
        <v/>
      </c>
      <c r="K719">
        <f>IF(OR(G719="",NOT(ISNUMBER(B719))),"",IF(G719=Statement!$H$2,B719*1000+ROW(),""))</f>
        <v/>
      </c>
    </row>
    <row r="720">
      <c r="A720" s="1" t="n"/>
      <c r="B720" s="18" t="n"/>
      <c r="C720" s="16" t="n"/>
      <c r="D720" s="19" t="n"/>
      <c r="E720" s="17" t="n"/>
      <c r="F720" s="22" t="n"/>
      <c r="G720" s="14">
        <f>IF(C720="","",IFERROR(VALUE(LEFT(C720,FIND(" ",C720&amp;" ")-1)),""))</f>
        <v/>
      </c>
      <c r="H720" s="26">
        <f>IF(C720="","",IF(G720="","Pick a loan",IFERROR(IF(INDEX(Loans!$C$6:$C$305,MATCH(G720,Loans!$B$6:$B$305,0))="","Not a loan",INDEX(Loans!$C$6:$C$305,MATCH(G720,Loans!$B$6:$B$305,0))),"Not a loan")))</f>
        <v/>
      </c>
      <c r="I720" s="10">
        <f>IF(OR(G720="",H720="Not a loan"),"",IF(INDEX(Loans!$D$6:$D$305,MATCH(G720,Loans!$B$6:$B$305,0))="I borrowed","Out","In"))</f>
        <v/>
      </c>
      <c r="J720" s="1">
        <f>IF(NOT(ISNUMBER(B720)),"",YEAR(B720)*100+MONTH(B720))</f>
        <v/>
      </c>
      <c r="K720">
        <f>IF(OR(G720="",NOT(ISNUMBER(B720))),"",IF(G720=Statement!$H$2,B720*1000+ROW(),""))</f>
        <v/>
      </c>
    </row>
    <row r="721">
      <c r="A721" s="1" t="n"/>
      <c r="B721" s="18" t="n"/>
      <c r="C721" s="16" t="n"/>
      <c r="D721" s="19" t="n"/>
      <c r="E721" s="17" t="n"/>
      <c r="F721" s="22" t="n"/>
      <c r="G721" s="14">
        <f>IF(C721="","",IFERROR(VALUE(LEFT(C721,FIND(" ",C721&amp;" ")-1)),""))</f>
        <v/>
      </c>
      <c r="H721" s="26">
        <f>IF(C721="","",IF(G721="","Pick a loan",IFERROR(IF(INDEX(Loans!$C$6:$C$305,MATCH(G721,Loans!$B$6:$B$305,0))="","Not a loan",INDEX(Loans!$C$6:$C$305,MATCH(G721,Loans!$B$6:$B$305,0))),"Not a loan")))</f>
        <v/>
      </c>
      <c r="I721" s="10">
        <f>IF(OR(G721="",H721="Not a loan"),"",IF(INDEX(Loans!$D$6:$D$305,MATCH(G721,Loans!$B$6:$B$305,0))="I borrowed","Out","In"))</f>
        <v/>
      </c>
      <c r="J721" s="1">
        <f>IF(NOT(ISNUMBER(B721)),"",YEAR(B721)*100+MONTH(B721))</f>
        <v/>
      </c>
      <c r="K721">
        <f>IF(OR(G721="",NOT(ISNUMBER(B721))),"",IF(G721=Statement!$H$2,B721*1000+ROW(),""))</f>
        <v/>
      </c>
    </row>
    <row r="722">
      <c r="A722" s="1" t="n"/>
      <c r="B722" s="18" t="n"/>
      <c r="C722" s="16" t="n"/>
      <c r="D722" s="19" t="n"/>
      <c r="E722" s="17" t="n"/>
      <c r="F722" s="22" t="n"/>
      <c r="G722" s="14">
        <f>IF(C722="","",IFERROR(VALUE(LEFT(C722,FIND(" ",C722&amp;" ")-1)),""))</f>
        <v/>
      </c>
      <c r="H722" s="26">
        <f>IF(C722="","",IF(G722="","Pick a loan",IFERROR(IF(INDEX(Loans!$C$6:$C$305,MATCH(G722,Loans!$B$6:$B$305,0))="","Not a loan",INDEX(Loans!$C$6:$C$305,MATCH(G722,Loans!$B$6:$B$305,0))),"Not a loan")))</f>
        <v/>
      </c>
      <c r="I722" s="10">
        <f>IF(OR(G722="",H722="Not a loan"),"",IF(INDEX(Loans!$D$6:$D$305,MATCH(G722,Loans!$B$6:$B$305,0))="I borrowed","Out","In"))</f>
        <v/>
      </c>
      <c r="J722" s="1">
        <f>IF(NOT(ISNUMBER(B722)),"",YEAR(B722)*100+MONTH(B722))</f>
        <v/>
      </c>
      <c r="K722">
        <f>IF(OR(G722="",NOT(ISNUMBER(B722))),"",IF(G722=Statement!$H$2,B722*1000+ROW(),""))</f>
        <v/>
      </c>
    </row>
    <row r="723">
      <c r="A723" s="1" t="n"/>
      <c r="B723" s="18" t="n"/>
      <c r="C723" s="16" t="n"/>
      <c r="D723" s="19" t="n"/>
      <c r="E723" s="17" t="n"/>
      <c r="F723" s="22" t="n"/>
      <c r="G723" s="14">
        <f>IF(C723="","",IFERROR(VALUE(LEFT(C723,FIND(" ",C723&amp;" ")-1)),""))</f>
        <v/>
      </c>
      <c r="H723" s="26">
        <f>IF(C723="","",IF(G723="","Pick a loan",IFERROR(IF(INDEX(Loans!$C$6:$C$305,MATCH(G723,Loans!$B$6:$B$305,0))="","Not a loan",INDEX(Loans!$C$6:$C$305,MATCH(G723,Loans!$B$6:$B$305,0))),"Not a loan")))</f>
        <v/>
      </c>
      <c r="I723" s="10">
        <f>IF(OR(G723="",H723="Not a loan"),"",IF(INDEX(Loans!$D$6:$D$305,MATCH(G723,Loans!$B$6:$B$305,0))="I borrowed","Out","In"))</f>
        <v/>
      </c>
      <c r="J723" s="1">
        <f>IF(NOT(ISNUMBER(B723)),"",YEAR(B723)*100+MONTH(B723))</f>
        <v/>
      </c>
      <c r="K723">
        <f>IF(OR(G723="",NOT(ISNUMBER(B723))),"",IF(G723=Statement!$H$2,B723*1000+ROW(),""))</f>
        <v/>
      </c>
    </row>
    <row r="724">
      <c r="A724" s="1" t="n"/>
      <c r="B724" s="18" t="n"/>
      <c r="C724" s="16" t="n"/>
      <c r="D724" s="19" t="n"/>
      <c r="E724" s="17" t="n"/>
      <c r="F724" s="22" t="n"/>
      <c r="G724" s="14">
        <f>IF(C724="","",IFERROR(VALUE(LEFT(C724,FIND(" ",C724&amp;" ")-1)),""))</f>
        <v/>
      </c>
      <c r="H724" s="26">
        <f>IF(C724="","",IF(G724="","Pick a loan",IFERROR(IF(INDEX(Loans!$C$6:$C$305,MATCH(G724,Loans!$B$6:$B$305,0))="","Not a loan",INDEX(Loans!$C$6:$C$305,MATCH(G724,Loans!$B$6:$B$305,0))),"Not a loan")))</f>
        <v/>
      </c>
      <c r="I724" s="10">
        <f>IF(OR(G724="",H724="Not a loan"),"",IF(INDEX(Loans!$D$6:$D$305,MATCH(G724,Loans!$B$6:$B$305,0))="I borrowed","Out","In"))</f>
        <v/>
      </c>
      <c r="J724" s="1">
        <f>IF(NOT(ISNUMBER(B724)),"",YEAR(B724)*100+MONTH(B724))</f>
        <v/>
      </c>
      <c r="K724">
        <f>IF(OR(G724="",NOT(ISNUMBER(B724))),"",IF(G724=Statement!$H$2,B724*1000+ROW(),""))</f>
        <v/>
      </c>
    </row>
    <row r="725">
      <c r="A725" s="1" t="n"/>
      <c r="B725" s="18" t="n"/>
      <c r="C725" s="16" t="n"/>
      <c r="D725" s="19" t="n"/>
      <c r="E725" s="17" t="n"/>
      <c r="F725" s="22" t="n"/>
      <c r="G725" s="14">
        <f>IF(C725="","",IFERROR(VALUE(LEFT(C725,FIND(" ",C725&amp;" ")-1)),""))</f>
        <v/>
      </c>
      <c r="H725" s="26">
        <f>IF(C725="","",IF(G725="","Pick a loan",IFERROR(IF(INDEX(Loans!$C$6:$C$305,MATCH(G725,Loans!$B$6:$B$305,0))="","Not a loan",INDEX(Loans!$C$6:$C$305,MATCH(G725,Loans!$B$6:$B$305,0))),"Not a loan")))</f>
        <v/>
      </c>
      <c r="I725" s="10">
        <f>IF(OR(G725="",H725="Not a loan"),"",IF(INDEX(Loans!$D$6:$D$305,MATCH(G725,Loans!$B$6:$B$305,0))="I borrowed","Out","In"))</f>
        <v/>
      </c>
      <c r="J725" s="1">
        <f>IF(NOT(ISNUMBER(B725)),"",YEAR(B725)*100+MONTH(B725))</f>
        <v/>
      </c>
      <c r="K725">
        <f>IF(OR(G725="",NOT(ISNUMBER(B725))),"",IF(G725=Statement!$H$2,B725*1000+ROW(),""))</f>
        <v/>
      </c>
    </row>
    <row r="726">
      <c r="A726" s="1" t="n"/>
      <c r="B726" s="18" t="n"/>
      <c r="C726" s="16" t="n"/>
      <c r="D726" s="19" t="n"/>
      <c r="E726" s="17" t="n"/>
      <c r="F726" s="22" t="n"/>
      <c r="G726" s="14">
        <f>IF(C726="","",IFERROR(VALUE(LEFT(C726,FIND(" ",C726&amp;" ")-1)),""))</f>
        <v/>
      </c>
      <c r="H726" s="26">
        <f>IF(C726="","",IF(G726="","Pick a loan",IFERROR(IF(INDEX(Loans!$C$6:$C$305,MATCH(G726,Loans!$B$6:$B$305,0))="","Not a loan",INDEX(Loans!$C$6:$C$305,MATCH(G726,Loans!$B$6:$B$305,0))),"Not a loan")))</f>
        <v/>
      </c>
      <c r="I726" s="10">
        <f>IF(OR(G726="",H726="Not a loan"),"",IF(INDEX(Loans!$D$6:$D$305,MATCH(G726,Loans!$B$6:$B$305,0))="I borrowed","Out","In"))</f>
        <v/>
      </c>
      <c r="J726" s="1">
        <f>IF(NOT(ISNUMBER(B726)),"",YEAR(B726)*100+MONTH(B726))</f>
        <v/>
      </c>
      <c r="K726">
        <f>IF(OR(G726="",NOT(ISNUMBER(B726))),"",IF(G726=Statement!$H$2,B726*1000+ROW(),""))</f>
        <v/>
      </c>
    </row>
    <row r="727">
      <c r="A727" s="1" t="n"/>
      <c r="B727" s="18" t="n"/>
      <c r="C727" s="16" t="n"/>
      <c r="D727" s="19" t="n"/>
      <c r="E727" s="17" t="n"/>
      <c r="F727" s="22" t="n"/>
      <c r="G727" s="14">
        <f>IF(C727="","",IFERROR(VALUE(LEFT(C727,FIND(" ",C727&amp;" ")-1)),""))</f>
        <v/>
      </c>
      <c r="H727" s="26">
        <f>IF(C727="","",IF(G727="","Pick a loan",IFERROR(IF(INDEX(Loans!$C$6:$C$305,MATCH(G727,Loans!$B$6:$B$305,0))="","Not a loan",INDEX(Loans!$C$6:$C$305,MATCH(G727,Loans!$B$6:$B$305,0))),"Not a loan")))</f>
        <v/>
      </c>
      <c r="I727" s="10">
        <f>IF(OR(G727="",H727="Not a loan"),"",IF(INDEX(Loans!$D$6:$D$305,MATCH(G727,Loans!$B$6:$B$305,0))="I borrowed","Out","In"))</f>
        <v/>
      </c>
      <c r="J727" s="1">
        <f>IF(NOT(ISNUMBER(B727)),"",YEAR(B727)*100+MONTH(B727))</f>
        <v/>
      </c>
      <c r="K727">
        <f>IF(OR(G727="",NOT(ISNUMBER(B727))),"",IF(G727=Statement!$H$2,B727*1000+ROW(),""))</f>
        <v/>
      </c>
    </row>
    <row r="728">
      <c r="A728" s="1" t="n"/>
      <c r="B728" s="18" t="n"/>
      <c r="C728" s="16" t="n"/>
      <c r="D728" s="19" t="n"/>
      <c r="E728" s="17" t="n"/>
      <c r="F728" s="22" t="n"/>
      <c r="G728" s="14">
        <f>IF(C728="","",IFERROR(VALUE(LEFT(C728,FIND(" ",C728&amp;" ")-1)),""))</f>
        <v/>
      </c>
      <c r="H728" s="26">
        <f>IF(C728="","",IF(G728="","Pick a loan",IFERROR(IF(INDEX(Loans!$C$6:$C$305,MATCH(G728,Loans!$B$6:$B$305,0))="","Not a loan",INDEX(Loans!$C$6:$C$305,MATCH(G728,Loans!$B$6:$B$305,0))),"Not a loan")))</f>
        <v/>
      </c>
      <c r="I728" s="10">
        <f>IF(OR(G728="",H728="Not a loan"),"",IF(INDEX(Loans!$D$6:$D$305,MATCH(G728,Loans!$B$6:$B$305,0))="I borrowed","Out","In"))</f>
        <v/>
      </c>
      <c r="J728" s="1">
        <f>IF(NOT(ISNUMBER(B728)),"",YEAR(B728)*100+MONTH(B728))</f>
        <v/>
      </c>
      <c r="K728">
        <f>IF(OR(G728="",NOT(ISNUMBER(B728))),"",IF(G728=Statement!$H$2,B728*1000+ROW(),""))</f>
        <v/>
      </c>
    </row>
    <row r="729">
      <c r="A729" s="1" t="n"/>
      <c r="B729" s="18" t="n"/>
      <c r="C729" s="16" t="n"/>
      <c r="D729" s="19" t="n"/>
      <c r="E729" s="17" t="n"/>
      <c r="F729" s="22" t="n"/>
      <c r="G729" s="14">
        <f>IF(C729="","",IFERROR(VALUE(LEFT(C729,FIND(" ",C729&amp;" ")-1)),""))</f>
        <v/>
      </c>
      <c r="H729" s="26">
        <f>IF(C729="","",IF(G729="","Pick a loan",IFERROR(IF(INDEX(Loans!$C$6:$C$305,MATCH(G729,Loans!$B$6:$B$305,0))="","Not a loan",INDEX(Loans!$C$6:$C$305,MATCH(G729,Loans!$B$6:$B$305,0))),"Not a loan")))</f>
        <v/>
      </c>
      <c r="I729" s="10">
        <f>IF(OR(G729="",H729="Not a loan"),"",IF(INDEX(Loans!$D$6:$D$305,MATCH(G729,Loans!$B$6:$B$305,0))="I borrowed","Out","In"))</f>
        <v/>
      </c>
      <c r="J729" s="1">
        <f>IF(NOT(ISNUMBER(B729)),"",YEAR(B729)*100+MONTH(B729))</f>
        <v/>
      </c>
      <c r="K729">
        <f>IF(OR(G729="",NOT(ISNUMBER(B729))),"",IF(G729=Statement!$H$2,B729*1000+ROW(),""))</f>
        <v/>
      </c>
    </row>
    <row r="730">
      <c r="A730" s="1" t="n"/>
      <c r="B730" s="18" t="n"/>
      <c r="C730" s="16" t="n"/>
      <c r="D730" s="19" t="n"/>
      <c r="E730" s="17" t="n"/>
      <c r="F730" s="22" t="n"/>
      <c r="G730" s="14">
        <f>IF(C730="","",IFERROR(VALUE(LEFT(C730,FIND(" ",C730&amp;" ")-1)),""))</f>
        <v/>
      </c>
      <c r="H730" s="26">
        <f>IF(C730="","",IF(G730="","Pick a loan",IFERROR(IF(INDEX(Loans!$C$6:$C$305,MATCH(G730,Loans!$B$6:$B$305,0))="","Not a loan",INDEX(Loans!$C$6:$C$305,MATCH(G730,Loans!$B$6:$B$305,0))),"Not a loan")))</f>
        <v/>
      </c>
      <c r="I730" s="10">
        <f>IF(OR(G730="",H730="Not a loan"),"",IF(INDEX(Loans!$D$6:$D$305,MATCH(G730,Loans!$B$6:$B$305,0))="I borrowed","Out","In"))</f>
        <v/>
      </c>
      <c r="J730" s="1">
        <f>IF(NOT(ISNUMBER(B730)),"",YEAR(B730)*100+MONTH(B730))</f>
        <v/>
      </c>
      <c r="K730">
        <f>IF(OR(G730="",NOT(ISNUMBER(B730))),"",IF(G730=Statement!$H$2,B730*1000+ROW(),""))</f>
        <v/>
      </c>
    </row>
    <row r="731">
      <c r="A731" s="1" t="n"/>
      <c r="B731" s="18" t="n"/>
      <c r="C731" s="16" t="n"/>
      <c r="D731" s="19" t="n"/>
      <c r="E731" s="17" t="n"/>
      <c r="F731" s="22" t="n"/>
      <c r="G731" s="14">
        <f>IF(C731="","",IFERROR(VALUE(LEFT(C731,FIND(" ",C731&amp;" ")-1)),""))</f>
        <v/>
      </c>
      <c r="H731" s="26">
        <f>IF(C731="","",IF(G731="","Pick a loan",IFERROR(IF(INDEX(Loans!$C$6:$C$305,MATCH(G731,Loans!$B$6:$B$305,0))="","Not a loan",INDEX(Loans!$C$6:$C$305,MATCH(G731,Loans!$B$6:$B$305,0))),"Not a loan")))</f>
        <v/>
      </c>
      <c r="I731" s="10">
        <f>IF(OR(G731="",H731="Not a loan"),"",IF(INDEX(Loans!$D$6:$D$305,MATCH(G731,Loans!$B$6:$B$305,0))="I borrowed","Out","In"))</f>
        <v/>
      </c>
      <c r="J731" s="1">
        <f>IF(NOT(ISNUMBER(B731)),"",YEAR(B731)*100+MONTH(B731))</f>
        <v/>
      </c>
      <c r="K731">
        <f>IF(OR(G731="",NOT(ISNUMBER(B731))),"",IF(G731=Statement!$H$2,B731*1000+ROW(),""))</f>
        <v/>
      </c>
    </row>
    <row r="732">
      <c r="A732" s="1" t="n"/>
      <c r="B732" s="18" t="n"/>
      <c r="C732" s="16" t="n"/>
      <c r="D732" s="19" t="n"/>
      <c r="E732" s="17" t="n"/>
      <c r="F732" s="22" t="n"/>
      <c r="G732" s="14">
        <f>IF(C732="","",IFERROR(VALUE(LEFT(C732,FIND(" ",C732&amp;" ")-1)),""))</f>
        <v/>
      </c>
      <c r="H732" s="26">
        <f>IF(C732="","",IF(G732="","Pick a loan",IFERROR(IF(INDEX(Loans!$C$6:$C$305,MATCH(G732,Loans!$B$6:$B$305,0))="","Not a loan",INDEX(Loans!$C$6:$C$305,MATCH(G732,Loans!$B$6:$B$305,0))),"Not a loan")))</f>
        <v/>
      </c>
      <c r="I732" s="10">
        <f>IF(OR(G732="",H732="Not a loan"),"",IF(INDEX(Loans!$D$6:$D$305,MATCH(G732,Loans!$B$6:$B$305,0))="I borrowed","Out","In"))</f>
        <v/>
      </c>
      <c r="J732" s="1">
        <f>IF(NOT(ISNUMBER(B732)),"",YEAR(B732)*100+MONTH(B732))</f>
        <v/>
      </c>
      <c r="K732">
        <f>IF(OR(G732="",NOT(ISNUMBER(B732))),"",IF(G732=Statement!$H$2,B732*1000+ROW(),""))</f>
        <v/>
      </c>
    </row>
    <row r="733">
      <c r="A733" s="1" t="n"/>
      <c r="B733" s="18" t="n"/>
      <c r="C733" s="16" t="n"/>
      <c r="D733" s="19" t="n"/>
      <c r="E733" s="17" t="n"/>
      <c r="F733" s="22" t="n"/>
      <c r="G733" s="14">
        <f>IF(C733="","",IFERROR(VALUE(LEFT(C733,FIND(" ",C733&amp;" ")-1)),""))</f>
        <v/>
      </c>
      <c r="H733" s="26">
        <f>IF(C733="","",IF(G733="","Pick a loan",IFERROR(IF(INDEX(Loans!$C$6:$C$305,MATCH(G733,Loans!$B$6:$B$305,0))="","Not a loan",INDEX(Loans!$C$6:$C$305,MATCH(G733,Loans!$B$6:$B$305,0))),"Not a loan")))</f>
        <v/>
      </c>
      <c r="I733" s="10">
        <f>IF(OR(G733="",H733="Not a loan"),"",IF(INDEX(Loans!$D$6:$D$305,MATCH(G733,Loans!$B$6:$B$305,0))="I borrowed","Out","In"))</f>
        <v/>
      </c>
      <c r="J733" s="1">
        <f>IF(NOT(ISNUMBER(B733)),"",YEAR(B733)*100+MONTH(B733))</f>
        <v/>
      </c>
      <c r="K733">
        <f>IF(OR(G733="",NOT(ISNUMBER(B733))),"",IF(G733=Statement!$H$2,B733*1000+ROW(),""))</f>
        <v/>
      </c>
    </row>
    <row r="734">
      <c r="A734" s="1" t="n"/>
      <c r="B734" s="18" t="n"/>
      <c r="C734" s="16" t="n"/>
      <c r="D734" s="19" t="n"/>
      <c r="E734" s="17" t="n"/>
      <c r="F734" s="22" t="n"/>
      <c r="G734" s="14">
        <f>IF(C734="","",IFERROR(VALUE(LEFT(C734,FIND(" ",C734&amp;" ")-1)),""))</f>
        <v/>
      </c>
      <c r="H734" s="26">
        <f>IF(C734="","",IF(G734="","Pick a loan",IFERROR(IF(INDEX(Loans!$C$6:$C$305,MATCH(G734,Loans!$B$6:$B$305,0))="","Not a loan",INDEX(Loans!$C$6:$C$305,MATCH(G734,Loans!$B$6:$B$305,0))),"Not a loan")))</f>
        <v/>
      </c>
      <c r="I734" s="10">
        <f>IF(OR(G734="",H734="Not a loan"),"",IF(INDEX(Loans!$D$6:$D$305,MATCH(G734,Loans!$B$6:$B$305,0))="I borrowed","Out","In"))</f>
        <v/>
      </c>
      <c r="J734" s="1">
        <f>IF(NOT(ISNUMBER(B734)),"",YEAR(B734)*100+MONTH(B734))</f>
        <v/>
      </c>
      <c r="K734">
        <f>IF(OR(G734="",NOT(ISNUMBER(B734))),"",IF(G734=Statement!$H$2,B734*1000+ROW(),""))</f>
        <v/>
      </c>
    </row>
    <row r="735">
      <c r="A735" s="1" t="n"/>
      <c r="B735" s="18" t="n"/>
      <c r="C735" s="16" t="n"/>
      <c r="D735" s="19" t="n"/>
      <c r="E735" s="17" t="n"/>
      <c r="F735" s="22" t="n"/>
      <c r="G735" s="14">
        <f>IF(C735="","",IFERROR(VALUE(LEFT(C735,FIND(" ",C735&amp;" ")-1)),""))</f>
        <v/>
      </c>
      <c r="H735" s="26">
        <f>IF(C735="","",IF(G735="","Pick a loan",IFERROR(IF(INDEX(Loans!$C$6:$C$305,MATCH(G735,Loans!$B$6:$B$305,0))="","Not a loan",INDEX(Loans!$C$6:$C$305,MATCH(G735,Loans!$B$6:$B$305,0))),"Not a loan")))</f>
        <v/>
      </c>
      <c r="I735" s="10">
        <f>IF(OR(G735="",H735="Not a loan"),"",IF(INDEX(Loans!$D$6:$D$305,MATCH(G735,Loans!$B$6:$B$305,0))="I borrowed","Out","In"))</f>
        <v/>
      </c>
      <c r="J735" s="1">
        <f>IF(NOT(ISNUMBER(B735)),"",YEAR(B735)*100+MONTH(B735))</f>
        <v/>
      </c>
      <c r="K735">
        <f>IF(OR(G735="",NOT(ISNUMBER(B735))),"",IF(G735=Statement!$H$2,B735*1000+ROW(),""))</f>
        <v/>
      </c>
    </row>
    <row r="736">
      <c r="A736" s="1" t="n"/>
      <c r="B736" s="18" t="n"/>
      <c r="C736" s="16" t="n"/>
      <c r="D736" s="19" t="n"/>
      <c r="E736" s="17" t="n"/>
      <c r="F736" s="22" t="n"/>
      <c r="G736" s="14">
        <f>IF(C736="","",IFERROR(VALUE(LEFT(C736,FIND(" ",C736&amp;" ")-1)),""))</f>
        <v/>
      </c>
      <c r="H736" s="26">
        <f>IF(C736="","",IF(G736="","Pick a loan",IFERROR(IF(INDEX(Loans!$C$6:$C$305,MATCH(G736,Loans!$B$6:$B$305,0))="","Not a loan",INDEX(Loans!$C$6:$C$305,MATCH(G736,Loans!$B$6:$B$305,0))),"Not a loan")))</f>
        <v/>
      </c>
      <c r="I736" s="10">
        <f>IF(OR(G736="",H736="Not a loan"),"",IF(INDEX(Loans!$D$6:$D$305,MATCH(G736,Loans!$B$6:$B$305,0))="I borrowed","Out","In"))</f>
        <v/>
      </c>
      <c r="J736" s="1">
        <f>IF(NOT(ISNUMBER(B736)),"",YEAR(B736)*100+MONTH(B736))</f>
        <v/>
      </c>
      <c r="K736">
        <f>IF(OR(G736="",NOT(ISNUMBER(B736))),"",IF(G736=Statement!$H$2,B736*1000+ROW(),""))</f>
        <v/>
      </c>
    </row>
    <row r="737">
      <c r="A737" s="1" t="n"/>
      <c r="B737" s="18" t="n"/>
      <c r="C737" s="16" t="n"/>
      <c r="D737" s="19" t="n"/>
      <c r="E737" s="17" t="n"/>
      <c r="F737" s="22" t="n"/>
      <c r="G737" s="14">
        <f>IF(C737="","",IFERROR(VALUE(LEFT(C737,FIND(" ",C737&amp;" ")-1)),""))</f>
        <v/>
      </c>
      <c r="H737" s="26">
        <f>IF(C737="","",IF(G737="","Pick a loan",IFERROR(IF(INDEX(Loans!$C$6:$C$305,MATCH(G737,Loans!$B$6:$B$305,0))="","Not a loan",INDEX(Loans!$C$6:$C$305,MATCH(G737,Loans!$B$6:$B$305,0))),"Not a loan")))</f>
        <v/>
      </c>
      <c r="I737" s="10">
        <f>IF(OR(G737="",H737="Not a loan"),"",IF(INDEX(Loans!$D$6:$D$305,MATCH(G737,Loans!$B$6:$B$305,0))="I borrowed","Out","In"))</f>
        <v/>
      </c>
      <c r="J737" s="1">
        <f>IF(NOT(ISNUMBER(B737)),"",YEAR(B737)*100+MONTH(B737))</f>
        <v/>
      </c>
      <c r="K737">
        <f>IF(OR(G737="",NOT(ISNUMBER(B737))),"",IF(G737=Statement!$H$2,B737*1000+ROW(),""))</f>
        <v/>
      </c>
    </row>
    <row r="738">
      <c r="A738" s="1" t="n"/>
      <c r="B738" s="18" t="n"/>
      <c r="C738" s="16" t="n"/>
      <c r="D738" s="19" t="n"/>
      <c r="E738" s="17" t="n"/>
      <c r="F738" s="22" t="n"/>
      <c r="G738" s="14">
        <f>IF(C738="","",IFERROR(VALUE(LEFT(C738,FIND(" ",C738&amp;" ")-1)),""))</f>
        <v/>
      </c>
      <c r="H738" s="26">
        <f>IF(C738="","",IF(G738="","Pick a loan",IFERROR(IF(INDEX(Loans!$C$6:$C$305,MATCH(G738,Loans!$B$6:$B$305,0))="","Not a loan",INDEX(Loans!$C$6:$C$305,MATCH(G738,Loans!$B$6:$B$305,0))),"Not a loan")))</f>
        <v/>
      </c>
      <c r="I738" s="10">
        <f>IF(OR(G738="",H738="Not a loan"),"",IF(INDEX(Loans!$D$6:$D$305,MATCH(G738,Loans!$B$6:$B$305,0))="I borrowed","Out","In"))</f>
        <v/>
      </c>
      <c r="J738" s="1">
        <f>IF(NOT(ISNUMBER(B738)),"",YEAR(B738)*100+MONTH(B738))</f>
        <v/>
      </c>
      <c r="K738">
        <f>IF(OR(G738="",NOT(ISNUMBER(B738))),"",IF(G738=Statement!$H$2,B738*1000+ROW(),""))</f>
        <v/>
      </c>
    </row>
    <row r="739">
      <c r="A739" s="1" t="n"/>
      <c r="B739" s="18" t="n"/>
      <c r="C739" s="16" t="n"/>
      <c r="D739" s="19" t="n"/>
      <c r="E739" s="17" t="n"/>
      <c r="F739" s="22" t="n"/>
      <c r="G739" s="14">
        <f>IF(C739="","",IFERROR(VALUE(LEFT(C739,FIND(" ",C739&amp;" ")-1)),""))</f>
        <v/>
      </c>
      <c r="H739" s="26">
        <f>IF(C739="","",IF(G739="","Pick a loan",IFERROR(IF(INDEX(Loans!$C$6:$C$305,MATCH(G739,Loans!$B$6:$B$305,0))="","Not a loan",INDEX(Loans!$C$6:$C$305,MATCH(G739,Loans!$B$6:$B$305,0))),"Not a loan")))</f>
        <v/>
      </c>
      <c r="I739" s="10">
        <f>IF(OR(G739="",H739="Not a loan"),"",IF(INDEX(Loans!$D$6:$D$305,MATCH(G739,Loans!$B$6:$B$305,0))="I borrowed","Out","In"))</f>
        <v/>
      </c>
      <c r="J739" s="1">
        <f>IF(NOT(ISNUMBER(B739)),"",YEAR(B739)*100+MONTH(B739))</f>
        <v/>
      </c>
      <c r="K739">
        <f>IF(OR(G739="",NOT(ISNUMBER(B739))),"",IF(G739=Statement!$H$2,B739*1000+ROW(),""))</f>
        <v/>
      </c>
    </row>
    <row r="740">
      <c r="A740" s="1" t="n"/>
      <c r="B740" s="18" t="n"/>
      <c r="C740" s="16" t="n"/>
      <c r="D740" s="19" t="n"/>
      <c r="E740" s="17" t="n"/>
      <c r="F740" s="22" t="n"/>
      <c r="G740" s="14">
        <f>IF(C740="","",IFERROR(VALUE(LEFT(C740,FIND(" ",C740&amp;" ")-1)),""))</f>
        <v/>
      </c>
      <c r="H740" s="26">
        <f>IF(C740="","",IF(G740="","Pick a loan",IFERROR(IF(INDEX(Loans!$C$6:$C$305,MATCH(G740,Loans!$B$6:$B$305,0))="","Not a loan",INDEX(Loans!$C$6:$C$305,MATCH(G740,Loans!$B$6:$B$305,0))),"Not a loan")))</f>
        <v/>
      </c>
      <c r="I740" s="10">
        <f>IF(OR(G740="",H740="Not a loan"),"",IF(INDEX(Loans!$D$6:$D$305,MATCH(G740,Loans!$B$6:$B$305,0))="I borrowed","Out","In"))</f>
        <v/>
      </c>
      <c r="J740" s="1">
        <f>IF(NOT(ISNUMBER(B740)),"",YEAR(B740)*100+MONTH(B740))</f>
        <v/>
      </c>
      <c r="K740">
        <f>IF(OR(G740="",NOT(ISNUMBER(B740))),"",IF(G740=Statement!$H$2,B740*1000+ROW(),""))</f>
        <v/>
      </c>
    </row>
    <row r="741">
      <c r="A741" s="1" t="n"/>
      <c r="B741" s="18" t="n"/>
      <c r="C741" s="16" t="n"/>
      <c r="D741" s="19" t="n"/>
      <c r="E741" s="17" t="n"/>
      <c r="F741" s="22" t="n"/>
      <c r="G741" s="14">
        <f>IF(C741="","",IFERROR(VALUE(LEFT(C741,FIND(" ",C741&amp;" ")-1)),""))</f>
        <v/>
      </c>
      <c r="H741" s="26">
        <f>IF(C741="","",IF(G741="","Pick a loan",IFERROR(IF(INDEX(Loans!$C$6:$C$305,MATCH(G741,Loans!$B$6:$B$305,0))="","Not a loan",INDEX(Loans!$C$6:$C$305,MATCH(G741,Loans!$B$6:$B$305,0))),"Not a loan")))</f>
        <v/>
      </c>
      <c r="I741" s="10">
        <f>IF(OR(G741="",H741="Not a loan"),"",IF(INDEX(Loans!$D$6:$D$305,MATCH(G741,Loans!$B$6:$B$305,0))="I borrowed","Out","In"))</f>
        <v/>
      </c>
      <c r="J741" s="1">
        <f>IF(NOT(ISNUMBER(B741)),"",YEAR(B741)*100+MONTH(B741))</f>
        <v/>
      </c>
      <c r="K741">
        <f>IF(OR(G741="",NOT(ISNUMBER(B741))),"",IF(G741=Statement!$H$2,B741*1000+ROW(),""))</f>
        <v/>
      </c>
    </row>
    <row r="742">
      <c r="A742" s="1" t="n"/>
      <c r="B742" s="18" t="n"/>
      <c r="C742" s="16" t="n"/>
      <c r="D742" s="19" t="n"/>
      <c r="E742" s="17" t="n"/>
      <c r="F742" s="22" t="n"/>
      <c r="G742" s="14">
        <f>IF(C742="","",IFERROR(VALUE(LEFT(C742,FIND(" ",C742&amp;" ")-1)),""))</f>
        <v/>
      </c>
      <c r="H742" s="26">
        <f>IF(C742="","",IF(G742="","Pick a loan",IFERROR(IF(INDEX(Loans!$C$6:$C$305,MATCH(G742,Loans!$B$6:$B$305,0))="","Not a loan",INDEX(Loans!$C$6:$C$305,MATCH(G742,Loans!$B$6:$B$305,0))),"Not a loan")))</f>
        <v/>
      </c>
      <c r="I742" s="10">
        <f>IF(OR(G742="",H742="Not a loan"),"",IF(INDEX(Loans!$D$6:$D$305,MATCH(G742,Loans!$B$6:$B$305,0))="I borrowed","Out","In"))</f>
        <v/>
      </c>
      <c r="J742" s="1">
        <f>IF(NOT(ISNUMBER(B742)),"",YEAR(B742)*100+MONTH(B742))</f>
        <v/>
      </c>
      <c r="K742">
        <f>IF(OR(G742="",NOT(ISNUMBER(B742))),"",IF(G742=Statement!$H$2,B742*1000+ROW(),""))</f>
        <v/>
      </c>
    </row>
    <row r="743">
      <c r="A743" s="1" t="n"/>
      <c r="B743" s="18" t="n"/>
      <c r="C743" s="16" t="n"/>
      <c r="D743" s="19" t="n"/>
      <c r="E743" s="17" t="n"/>
      <c r="F743" s="22" t="n"/>
      <c r="G743" s="14">
        <f>IF(C743="","",IFERROR(VALUE(LEFT(C743,FIND(" ",C743&amp;" ")-1)),""))</f>
        <v/>
      </c>
      <c r="H743" s="26">
        <f>IF(C743="","",IF(G743="","Pick a loan",IFERROR(IF(INDEX(Loans!$C$6:$C$305,MATCH(G743,Loans!$B$6:$B$305,0))="","Not a loan",INDEX(Loans!$C$6:$C$305,MATCH(G743,Loans!$B$6:$B$305,0))),"Not a loan")))</f>
        <v/>
      </c>
      <c r="I743" s="10">
        <f>IF(OR(G743="",H743="Not a loan"),"",IF(INDEX(Loans!$D$6:$D$305,MATCH(G743,Loans!$B$6:$B$305,0))="I borrowed","Out","In"))</f>
        <v/>
      </c>
      <c r="J743" s="1">
        <f>IF(NOT(ISNUMBER(B743)),"",YEAR(B743)*100+MONTH(B743))</f>
        <v/>
      </c>
      <c r="K743">
        <f>IF(OR(G743="",NOT(ISNUMBER(B743))),"",IF(G743=Statement!$H$2,B743*1000+ROW(),""))</f>
        <v/>
      </c>
    </row>
    <row r="744">
      <c r="A744" s="1" t="n"/>
      <c r="B744" s="18" t="n"/>
      <c r="C744" s="16" t="n"/>
      <c r="D744" s="19" t="n"/>
      <c r="E744" s="17" t="n"/>
      <c r="F744" s="22" t="n"/>
      <c r="G744" s="14">
        <f>IF(C744="","",IFERROR(VALUE(LEFT(C744,FIND(" ",C744&amp;" ")-1)),""))</f>
        <v/>
      </c>
      <c r="H744" s="26">
        <f>IF(C744="","",IF(G744="","Pick a loan",IFERROR(IF(INDEX(Loans!$C$6:$C$305,MATCH(G744,Loans!$B$6:$B$305,0))="","Not a loan",INDEX(Loans!$C$6:$C$305,MATCH(G744,Loans!$B$6:$B$305,0))),"Not a loan")))</f>
        <v/>
      </c>
      <c r="I744" s="10">
        <f>IF(OR(G744="",H744="Not a loan"),"",IF(INDEX(Loans!$D$6:$D$305,MATCH(G744,Loans!$B$6:$B$305,0))="I borrowed","Out","In"))</f>
        <v/>
      </c>
      <c r="J744" s="1">
        <f>IF(NOT(ISNUMBER(B744)),"",YEAR(B744)*100+MONTH(B744))</f>
        <v/>
      </c>
      <c r="K744">
        <f>IF(OR(G744="",NOT(ISNUMBER(B744))),"",IF(G744=Statement!$H$2,B744*1000+ROW(),""))</f>
        <v/>
      </c>
    </row>
    <row r="745">
      <c r="A745" s="1" t="n"/>
      <c r="B745" s="18" t="n"/>
      <c r="C745" s="16" t="n"/>
      <c r="D745" s="19" t="n"/>
      <c r="E745" s="17" t="n"/>
      <c r="F745" s="22" t="n"/>
      <c r="G745" s="14">
        <f>IF(C745="","",IFERROR(VALUE(LEFT(C745,FIND(" ",C745&amp;" ")-1)),""))</f>
        <v/>
      </c>
      <c r="H745" s="26">
        <f>IF(C745="","",IF(G745="","Pick a loan",IFERROR(IF(INDEX(Loans!$C$6:$C$305,MATCH(G745,Loans!$B$6:$B$305,0))="","Not a loan",INDEX(Loans!$C$6:$C$305,MATCH(G745,Loans!$B$6:$B$305,0))),"Not a loan")))</f>
        <v/>
      </c>
      <c r="I745" s="10">
        <f>IF(OR(G745="",H745="Not a loan"),"",IF(INDEX(Loans!$D$6:$D$305,MATCH(G745,Loans!$B$6:$B$305,0))="I borrowed","Out","In"))</f>
        <v/>
      </c>
      <c r="J745" s="1">
        <f>IF(NOT(ISNUMBER(B745)),"",YEAR(B745)*100+MONTH(B745))</f>
        <v/>
      </c>
      <c r="K745">
        <f>IF(OR(G745="",NOT(ISNUMBER(B745))),"",IF(G745=Statement!$H$2,B745*1000+ROW(),""))</f>
        <v/>
      </c>
    </row>
    <row r="746">
      <c r="A746" s="1" t="n"/>
      <c r="B746" s="18" t="n"/>
      <c r="C746" s="16" t="n"/>
      <c r="D746" s="19" t="n"/>
      <c r="E746" s="17" t="n"/>
      <c r="F746" s="22" t="n"/>
      <c r="G746" s="14">
        <f>IF(C746="","",IFERROR(VALUE(LEFT(C746,FIND(" ",C746&amp;" ")-1)),""))</f>
        <v/>
      </c>
      <c r="H746" s="26">
        <f>IF(C746="","",IF(G746="","Pick a loan",IFERROR(IF(INDEX(Loans!$C$6:$C$305,MATCH(G746,Loans!$B$6:$B$305,0))="","Not a loan",INDEX(Loans!$C$6:$C$305,MATCH(G746,Loans!$B$6:$B$305,0))),"Not a loan")))</f>
        <v/>
      </c>
      <c r="I746" s="10">
        <f>IF(OR(G746="",H746="Not a loan"),"",IF(INDEX(Loans!$D$6:$D$305,MATCH(G746,Loans!$B$6:$B$305,0))="I borrowed","Out","In"))</f>
        <v/>
      </c>
      <c r="J746" s="1">
        <f>IF(NOT(ISNUMBER(B746)),"",YEAR(B746)*100+MONTH(B746))</f>
        <v/>
      </c>
      <c r="K746">
        <f>IF(OR(G746="",NOT(ISNUMBER(B746))),"",IF(G746=Statement!$H$2,B746*1000+ROW(),""))</f>
        <v/>
      </c>
    </row>
    <row r="747">
      <c r="A747" s="1" t="n"/>
      <c r="B747" s="18" t="n"/>
      <c r="C747" s="16" t="n"/>
      <c r="D747" s="19" t="n"/>
      <c r="E747" s="17" t="n"/>
      <c r="F747" s="22" t="n"/>
      <c r="G747" s="14">
        <f>IF(C747="","",IFERROR(VALUE(LEFT(C747,FIND(" ",C747&amp;" ")-1)),""))</f>
        <v/>
      </c>
      <c r="H747" s="26">
        <f>IF(C747="","",IF(G747="","Pick a loan",IFERROR(IF(INDEX(Loans!$C$6:$C$305,MATCH(G747,Loans!$B$6:$B$305,0))="","Not a loan",INDEX(Loans!$C$6:$C$305,MATCH(G747,Loans!$B$6:$B$305,0))),"Not a loan")))</f>
        <v/>
      </c>
      <c r="I747" s="10">
        <f>IF(OR(G747="",H747="Not a loan"),"",IF(INDEX(Loans!$D$6:$D$305,MATCH(G747,Loans!$B$6:$B$305,0))="I borrowed","Out","In"))</f>
        <v/>
      </c>
      <c r="J747" s="1">
        <f>IF(NOT(ISNUMBER(B747)),"",YEAR(B747)*100+MONTH(B747))</f>
        <v/>
      </c>
      <c r="K747">
        <f>IF(OR(G747="",NOT(ISNUMBER(B747))),"",IF(G747=Statement!$H$2,B747*1000+ROW(),""))</f>
        <v/>
      </c>
    </row>
    <row r="748">
      <c r="A748" s="1" t="n"/>
      <c r="B748" s="18" t="n"/>
      <c r="C748" s="16" t="n"/>
      <c r="D748" s="19" t="n"/>
      <c r="E748" s="17" t="n"/>
      <c r="F748" s="22" t="n"/>
      <c r="G748" s="14">
        <f>IF(C748="","",IFERROR(VALUE(LEFT(C748,FIND(" ",C748&amp;" ")-1)),""))</f>
        <v/>
      </c>
      <c r="H748" s="26">
        <f>IF(C748="","",IF(G748="","Pick a loan",IFERROR(IF(INDEX(Loans!$C$6:$C$305,MATCH(G748,Loans!$B$6:$B$305,0))="","Not a loan",INDEX(Loans!$C$6:$C$305,MATCH(G748,Loans!$B$6:$B$305,0))),"Not a loan")))</f>
        <v/>
      </c>
      <c r="I748" s="10">
        <f>IF(OR(G748="",H748="Not a loan"),"",IF(INDEX(Loans!$D$6:$D$305,MATCH(G748,Loans!$B$6:$B$305,0))="I borrowed","Out","In"))</f>
        <v/>
      </c>
      <c r="J748" s="1">
        <f>IF(NOT(ISNUMBER(B748)),"",YEAR(B748)*100+MONTH(B748))</f>
        <v/>
      </c>
      <c r="K748">
        <f>IF(OR(G748="",NOT(ISNUMBER(B748))),"",IF(G748=Statement!$H$2,B748*1000+ROW(),""))</f>
        <v/>
      </c>
    </row>
    <row r="749">
      <c r="A749" s="1" t="n"/>
      <c r="B749" s="18" t="n"/>
      <c r="C749" s="16" t="n"/>
      <c r="D749" s="19" t="n"/>
      <c r="E749" s="17" t="n"/>
      <c r="F749" s="22" t="n"/>
      <c r="G749" s="14">
        <f>IF(C749="","",IFERROR(VALUE(LEFT(C749,FIND(" ",C749&amp;" ")-1)),""))</f>
        <v/>
      </c>
      <c r="H749" s="26">
        <f>IF(C749="","",IF(G749="","Pick a loan",IFERROR(IF(INDEX(Loans!$C$6:$C$305,MATCH(G749,Loans!$B$6:$B$305,0))="","Not a loan",INDEX(Loans!$C$6:$C$305,MATCH(G749,Loans!$B$6:$B$305,0))),"Not a loan")))</f>
        <v/>
      </c>
      <c r="I749" s="10">
        <f>IF(OR(G749="",H749="Not a loan"),"",IF(INDEX(Loans!$D$6:$D$305,MATCH(G749,Loans!$B$6:$B$305,0))="I borrowed","Out","In"))</f>
        <v/>
      </c>
      <c r="J749" s="1">
        <f>IF(NOT(ISNUMBER(B749)),"",YEAR(B749)*100+MONTH(B749))</f>
        <v/>
      </c>
      <c r="K749">
        <f>IF(OR(G749="",NOT(ISNUMBER(B749))),"",IF(G749=Statement!$H$2,B749*1000+ROW(),""))</f>
        <v/>
      </c>
    </row>
    <row r="750">
      <c r="A750" s="1" t="n"/>
      <c r="B750" s="18" t="n"/>
      <c r="C750" s="16" t="n"/>
      <c r="D750" s="19" t="n"/>
      <c r="E750" s="17" t="n"/>
      <c r="F750" s="22" t="n"/>
      <c r="G750" s="14">
        <f>IF(C750="","",IFERROR(VALUE(LEFT(C750,FIND(" ",C750&amp;" ")-1)),""))</f>
        <v/>
      </c>
      <c r="H750" s="26">
        <f>IF(C750="","",IF(G750="","Pick a loan",IFERROR(IF(INDEX(Loans!$C$6:$C$305,MATCH(G750,Loans!$B$6:$B$305,0))="","Not a loan",INDEX(Loans!$C$6:$C$305,MATCH(G750,Loans!$B$6:$B$305,0))),"Not a loan")))</f>
        <v/>
      </c>
      <c r="I750" s="10">
        <f>IF(OR(G750="",H750="Not a loan"),"",IF(INDEX(Loans!$D$6:$D$305,MATCH(G750,Loans!$B$6:$B$305,0))="I borrowed","Out","In"))</f>
        <v/>
      </c>
      <c r="J750" s="1">
        <f>IF(NOT(ISNUMBER(B750)),"",YEAR(B750)*100+MONTH(B750))</f>
        <v/>
      </c>
      <c r="K750">
        <f>IF(OR(G750="",NOT(ISNUMBER(B750))),"",IF(G750=Statement!$H$2,B750*1000+ROW(),""))</f>
        <v/>
      </c>
    </row>
    <row r="751">
      <c r="A751" s="1" t="n"/>
      <c r="B751" s="18" t="n"/>
      <c r="C751" s="16" t="n"/>
      <c r="D751" s="19" t="n"/>
      <c r="E751" s="17" t="n"/>
      <c r="F751" s="22" t="n"/>
      <c r="G751" s="14">
        <f>IF(C751="","",IFERROR(VALUE(LEFT(C751,FIND(" ",C751&amp;" ")-1)),""))</f>
        <v/>
      </c>
      <c r="H751" s="26">
        <f>IF(C751="","",IF(G751="","Pick a loan",IFERROR(IF(INDEX(Loans!$C$6:$C$305,MATCH(G751,Loans!$B$6:$B$305,0))="","Not a loan",INDEX(Loans!$C$6:$C$305,MATCH(G751,Loans!$B$6:$B$305,0))),"Not a loan")))</f>
        <v/>
      </c>
      <c r="I751" s="10">
        <f>IF(OR(G751="",H751="Not a loan"),"",IF(INDEX(Loans!$D$6:$D$305,MATCH(G751,Loans!$B$6:$B$305,0))="I borrowed","Out","In"))</f>
        <v/>
      </c>
      <c r="J751" s="1">
        <f>IF(NOT(ISNUMBER(B751)),"",YEAR(B751)*100+MONTH(B751))</f>
        <v/>
      </c>
      <c r="K751">
        <f>IF(OR(G751="",NOT(ISNUMBER(B751))),"",IF(G751=Statement!$H$2,B751*1000+ROW(),""))</f>
        <v/>
      </c>
    </row>
    <row r="752">
      <c r="A752" s="1" t="n"/>
      <c r="B752" s="18" t="n"/>
      <c r="C752" s="16" t="n"/>
      <c r="D752" s="19" t="n"/>
      <c r="E752" s="17" t="n"/>
      <c r="F752" s="22" t="n"/>
      <c r="G752" s="14">
        <f>IF(C752="","",IFERROR(VALUE(LEFT(C752,FIND(" ",C752&amp;" ")-1)),""))</f>
        <v/>
      </c>
      <c r="H752" s="26">
        <f>IF(C752="","",IF(G752="","Pick a loan",IFERROR(IF(INDEX(Loans!$C$6:$C$305,MATCH(G752,Loans!$B$6:$B$305,0))="","Not a loan",INDEX(Loans!$C$6:$C$305,MATCH(G752,Loans!$B$6:$B$305,0))),"Not a loan")))</f>
        <v/>
      </c>
      <c r="I752" s="10">
        <f>IF(OR(G752="",H752="Not a loan"),"",IF(INDEX(Loans!$D$6:$D$305,MATCH(G752,Loans!$B$6:$B$305,0))="I borrowed","Out","In"))</f>
        <v/>
      </c>
      <c r="J752" s="1">
        <f>IF(NOT(ISNUMBER(B752)),"",YEAR(B752)*100+MONTH(B752))</f>
        <v/>
      </c>
      <c r="K752">
        <f>IF(OR(G752="",NOT(ISNUMBER(B752))),"",IF(G752=Statement!$H$2,B752*1000+ROW(),""))</f>
        <v/>
      </c>
    </row>
    <row r="753">
      <c r="A753" s="1" t="n"/>
      <c r="B753" s="18" t="n"/>
      <c r="C753" s="16" t="n"/>
      <c r="D753" s="19" t="n"/>
      <c r="E753" s="17" t="n"/>
      <c r="F753" s="22" t="n"/>
      <c r="G753" s="14">
        <f>IF(C753="","",IFERROR(VALUE(LEFT(C753,FIND(" ",C753&amp;" ")-1)),""))</f>
        <v/>
      </c>
      <c r="H753" s="26">
        <f>IF(C753="","",IF(G753="","Pick a loan",IFERROR(IF(INDEX(Loans!$C$6:$C$305,MATCH(G753,Loans!$B$6:$B$305,0))="","Not a loan",INDEX(Loans!$C$6:$C$305,MATCH(G753,Loans!$B$6:$B$305,0))),"Not a loan")))</f>
        <v/>
      </c>
      <c r="I753" s="10">
        <f>IF(OR(G753="",H753="Not a loan"),"",IF(INDEX(Loans!$D$6:$D$305,MATCH(G753,Loans!$B$6:$B$305,0))="I borrowed","Out","In"))</f>
        <v/>
      </c>
      <c r="J753" s="1">
        <f>IF(NOT(ISNUMBER(B753)),"",YEAR(B753)*100+MONTH(B753))</f>
        <v/>
      </c>
      <c r="K753">
        <f>IF(OR(G753="",NOT(ISNUMBER(B753))),"",IF(G753=Statement!$H$2,B753*1000+ROW(),""))</f>
        <v/>
      </c>
    </row>
    <row r="754">
      <c r="A754" s="1" t="n"/>
      <c r="B754" s="18" t="n"/>
      <c r="C754" s="16" t="n"/>
      <c r="D754" s="19" t="n"/>
      <c r="E754" s="17" t="n"/>
      <c r="F754" s="22" t="n"/>
      <c r="G754" s="14">
        <f>IF(C754="","",IFERROR(VALUE(LEFT(C754,FIND(" ",C754&amp;" ")-1)),""))</f>
        <v/>
      </c>
      <c r="H754" s="26">
        <f>IF(C754="","",IF(G754="","Pick a loan",IFERROR(IF(INDEX(Loans!$C$6:$C$305,MATCH(G754,Loans!$B$6:$B$305,0))="","Not a loan",INDEX(Loans!$C$6:$C$305,MATCH(G754,Loans!$B$6:$B$305,0))),"Not a loan")))</f>
        <v/>
      </c>
      <c r="I754" s="10">
        <f>IF(OR(G754="",H754="Not a loan"),"",IF(INDEX(Loans!$D$6:$D$305,MATCH(G754,Loans!$B$6:$B$305,0))="I borrowed","Out","In"))</f>
        <v/>
      </c>
      <c r="J754" s="1">
        <f>IF(NOT(ISNUMBER(B754)),"",YEAR(B754)*100+MONTH(B754))</f>
        <v/>
      </c>
      <c r="K754">
        <f>IF(OR(G754="",NOT(ISNUMBER(B754))),"",IF(G754=Statement!$H$2,B754*1000+ROW(),""))</f>
        <v/>
      </c>
    </row>
    <row r="755">
      <c r="A755" s="1" t="n"/>
      <c r="B755" s="18" t="n"/>
      <c r="C755" s="16" t="n"/>
      <c r="D755" s="19" t="n"/>
      <c r="E755" s="17" t="n"/>
      <c r="F755" s="22" t="n"/>
      <c r="G755" s="14">
        <f>IF(C755="","",IFERROR(VALUE(LEFT(C755,FIND(" ",C755&amp;" ")-1)),""))</f>
        <v/>
      </c>
      <c r="H755" s="26">
        <f>IF(C755="","",IF(G755="","Pick a loan",IFERROR(IF(INDEX(Loans!$C$6:$C$305,MATCH(G755,Loans!$B$6:$B$305,0))="","Not a loan",INDEX(Loans!$C$6:$C$305,MATCH(G755,Loans!$B$6:$B$305,0))),"Not a loan")))</f>
        <v/>
      </c>
      <c r="I755" s="10">
        <f>IF(OR(G755="",H755="Not a loan"),"",IF(INDEX(Loans!$D$6:$D$305,MATCH(G755,Loans!$B$6:$B$305,0))="I borrowed","Out","In"))</f>
        <v/>
      </c>
      <c r="J755" s="1">
        <f>IF(NOT(ISNUMBER(B755)),"",YEAR(B755)*100+MONTH(B755))</f>
        <v/>
      </c>
      <c r="K755">
        <f>IF(OR(G755="",NOT(ISNUMBER(B755))),"",IF(G755=Statement!$H$2,B755*1000+ROW(),""))</f>
        <v/>
      </c>
    </row>
    <row r="756">
      <c r="A756" s="1" t="n"/>
      <c r="B756" s="18" t="n"/>
      <c r="C756" s="16" t="n"/>
      <c r="D756" s="19" t="n"/>
      <c r="E756" s="17" t="n"/>
      <c r="F756" s="22" t="n"/>
      <c r="G756" s="14">
        <f>IF(C756="","",IFERROR(VALUE(LEFT(C756,FIND(" ",C756&amp;" ")-1)),""))</f>
        <v/>
      </c>
      <c r="H756" s="26">
        <f>IF(C756="","",IF(G756="","Pick a loan",IFERROR(IF(INDEX(Loans!$C$6:$C$305,MATCH(G756,Loans!$B$6:$B$305,0))="","Not a loan",INDEX(Loans!$C$6:$C$305,MATCH(G756,Loans!$B$6:$B$305,0))),"Not a loan")))</f>
        <v/>
      </c>
      <c r="I756" s="10">
        <f>IF(OR(G756="",H756="Not a loan"),"",IF(INDEX(Loans!$D$6:$D$305,MATCH(G756,Loans!$B$6:$B$305,0))="I borrowed","Out","In"))</f>
        <v/>
      </c>
      <c r="J756" s="1">
        <f>IF(NOT(ISNUMBER(B756)),"",YEAR(B756)*100+MONTH(B756))</f>
        <v/>
      </c>
      <c r="K756">
        <f>IF(OR(G756="",NOT(ISNUMBER(B756))),"",IF(G756=Statement!$H$2,B756*1000+ROW(),""))</f>
        <v/>
      </c>
    </row>
    <row r="757">
      <c r="A757" s="1" t="n"/>
      <c r="B757" s="18" t="n"/>
      <c r="C757" s="16" t="n"/>
      <c r="D757" s="19" t="n"/>
      <c r="E757" s="17" t="n"/>
      <c r="F757" s="22" t="n"/>
      <c r="G757" s="14">
        <f>IF(C757="","",IFERROR(VALUE(LEFT(C757,FIND(" ",C757&amp;" ")-1)),""))</f>
        <v/>
      </c>
      <c r="H757" s="26">
        <f>IF(C757="","",IF(G757="","Pick a loan",IFERROR(IF(INDEX(Loans!$C$6:$C$305,MATCH(G757,Loans!$B$6:$B$305,0))="","Not a loan",INDEX(Loans!$C$6:$C$305,MATCH(G757,Loans!$B$6:$B$305,0))),"Not a loan")))</f>
        <v/>
      </c>
      <c r="I757" s="10">
        <f>IF(OR(G757="",H757="Not a loan"),"",IF(INDEX(Loans!$D$6:$D$305,MATCH(G757,Loans!$B$6:$B$305,0))="I borrowed","Out","In"))</f>
        <v/>
      </c>
      <c r="J757" s="1">
        <f>IF(NOT(ISNUMBER(B757)),"",YEAR(B757)*100+MONTH(B757))</f>
        <v/>
      </c>
      <c r="K757">
        <f>IF(OR(G757="",NOT(ISNUMBER(B757))),"",IF(G757=Statement!$H$2,B757*1000+ROW(),""))</f>
        <v/>
      </c>
    </row>
    <row r="758">
      <c r="A758" s="1" t="n"/>
      <c r="B758" s="18" t="n"/>
      <c r="C758" s="16" t="n"/>
      <c r="D758" s="19" t="n"/>
      <c r="E758" s="17" t="n"/>
      <c r="F758" s="22" t="n"/>
      <c r="G758" s="14">
        <f>IF(C758="","",IFERROR(VALUE(LEFT(C758,FIND(" ",C758&amp;" ")-1)),""))</f>
        <v/>
      </c>
      <c r="H758" s="26">
        <f>IF(C758="","",IF(G758="","Pick a loan",IFERROR(IF(INDEX(Loans!$C$6:$C$305,MATCH(G758,Loans!$B$6:$B$305,0))="","Not a loan",INDEX(Loans!$C$6:$C$305,MATCH(G758,Loans!$B$6:$B$305,0))),"Not a loan")))</f>
        <v/>
      </c>
      <c r="I758" s="10">
        <f>IF(OR(G758="",H758="Not a loan"),"",IF(INDEX(Loans!$D$6:$D$305,MATCH(G758,Loans!$B$6:$B$305,0))="I borrowed","Out","In"))</f>
        <v/>
      </c>
      <c r="J758" s="1">
        <f>IF(NOT(ISNUMBER(B758)),"",YEAR(B758)*100+MONTH(B758))</f>
        <v/>
      </c>
      <c r="K758">
        <f>IF(OR(G758="",NOT(ISNUMBER(B758))),"",IF(G758=Statement!$H$2,B758*1000+ROW(),""))</f>
        <v/>
      </c>
    </row>
    <row r="759">
      <c r="A759" s="1" t="n"/>
      <c r="B759" s="18" t="n"/>
      <c r="C759" s="16" t="n"/>
      <c r="D759" s="19" t="n"/>
      <c r="E759" s="17" t="n"/>
      <c r="F759" s="22" t="n"/>
      <c r="G759" s="14">
        <f>IF(C759="","",IFERROR(VALUE(LEFT(C759,FIND(" ",C759&amp;" ")-1)),""))</f>
        <v/>
      </c>
      <c r="H759" s="26">
        <f>IF(C759="","",IF(G759="","Pick a loan",IFERROR(IF(INDEX(Loans!$C$6:$C$305,MATCH(G759,Loans!$B$6:$B$305,0))="","Not a loan",INDEX(Loans!$C$6:$C$305,MATCH(G759,Loans!$B$6:$B$305,0))),"Not a loan")))</f>
        <v/>
      </c>
      <c r="I759" s="10">
        <f>IF(OR(G759="",H759="Not a loan"),"",IF(INDEX(Loans!$D$6:$D$305,MATCH(G759,Loans!$B$6:$B$305,0))="I borrowed","Out","In"))</f>
        <v/>
      </c>
      <c r="J759" s="1">
        <f>IF(NOT(ISNUMBER(B759)),"",YEAR(B759)*100+MONTH(B759))</f>
        <v/>
      </c>
      <c r="K759">
        <f>IF(OR(G759="",NOT(ISNUMBER(B759))),"",IF(G759=Statement!$H$2,B759*1000+ROW(),""))</f>
        <v/>
      </c>
    </row>
    <row r="760">
      <c r="A760" s="1" t="n"/>
      <c r="B760" s="18" t="n"/>
      <c r="C760" s="16" t="n"/>
      <c r="D760" s="19" t="n"/>
      <c r="E760" s="17" t="n"/>
      <c r="F760" s="22" t="n"/>
      <c r="G760" s="14">
        <f>IF(C760="","",IFERROR(VALUE(LEFT(C760,FIND(" ",C760&amp;" ")-1)),""))</f>
        <v/>
      </c>
      <c r="H760" s="26">
        <f>IF(C760="","",IF(G760="","Pick a loan",IFERROR(IF(INDEX(Loans!$C$6:$C$305,MATCH(G760,Loans!$B$6:$B$305,0))="","Not a loan",INDEX(Loans!$C$6:$C$305,MATCH(G760,Loans!$B$6:$B$305,0))),"Not a loan")))</f>
        <v/>
      </c>
      <c r="I760" s="10">
        <f>IF(OR(G760="",H760="Not a loan"),"",IF(INDEX(Loans!$D$6:$D$305,MATCH(G760,Loans!$B$6:$B$305,0))="I borrowed","Out","In"))</f>
        <v/>
      </c>
      <c r="J760" s="1">
        <f>IF(NOT(ISNUMBER(B760)),"",YEAR(B760)*100+MONTH(B760))</f>
        <v/>
      </c>
      <c r="K760">
        <f>IF(OR(G760="",NOT(ISNUMBER(B760))),"",IF(G760=Statement!$H$2,B760*1000+ROW(),""))</f>
        <v/>
      </c>
    </row>
    <row r="761">
      <c r="A761" s="1" t="n"/>
      <c r="B761" s="18" t="n"/>
      <c r="C761" s="16" t="n"/>
      <c r="D761" s="19" t="n"/>
      <c r="E761" s="17" t="n"/>
      <c r="F761" s="22" t="n"/>
      <c r="G761" s="14">
        <f>IF(C761="","",IFERROR(VALUE(LEFT(C761,FIND(" ",C761&amp;" ")-1)),""))</f>
        <v/>
      </c>
      <c r="H761" s="26">
        <f>IF(C761="","",IF(G761="","Pick a loan",IFERROR(IF(INDEX(Loans!$C$6:$C$305,MATCH(G761,Loans!$B$6:$B$305,0))="","Not a loan",INDEX(Loans!$C$6:$C$305,MATCH(G761,Loans!$B$6:$B$305,0))),"Not a loan")))</f>
        <v/>
      </c>
      <c r="I761" s="10">
        <f>IF(OR(G761="",H761="Not a loan"),"",IF(INDEX(Loans!$D$6:$D$305,MATCH(G761,Loans!$B$6:$B$305,0))="I borrowed","Out","In"))</f>
        <v/>
      </c>
      <c r="J761" s="1">
        <f>IF(NOT(ISNUMBER(B761)),"",YEAR(B761)*100+MONTH(B761))</f>
        <v/>
      </c>
      <c r="K761">
        <f>IF(OR(G761="",NOT(ISNUMBER(B761))),"",IF(G761=Statement!$H$2,B761*1000+ROW(),""))</f>
        <v/>
      </c>
    </row>
    <row r="762">
      <c r="A762" s="1" t="n"/>
      <c r="B762" s="18" t="n"/>
      <c r="C762" s="16" t="n"/>
      <c r="D762" s="19" t="n"/>
      <c r="E762" s="17" t="n"/>
      <c r="F762" s="22" t="n"/>
      <c r="G762" s="14">
        <f>IF(C762="","",IFERROR(VALUE(LEFT(C762,FIND(" ",C762&amp;" ")-1)),""))</f>
        <v/>
      </c>
      <c r="H762" s="26">
        <f>IF(C762="","",IF(G762="","Pick a loan",IFERROR(IF(INDEX(Loans!$C$6:$C$305,MATCH(G762,Loans!$B$6:$B$305,0))="","Not a loan",INDEX(Loans!$C$6:$C$305,MATCH(G762,Loans!$B$6:$B$305,0))),"Not a loan")))</f>
        <v/>
      </c>
      <c r="I762" s="10">
        <f>IF(OR(G762="",H762="Not a loan"),"",IF(INDEX(Loans!$D$6:$D$305,MATCH(G762,Loans!$B$6:$B$305,0))="I borrowed","Out","In"))</f>
        <v/>
      </c>
      <c r="J762" s="1">
        <f>IF(NOT(ISNUMBER(B762)),"",YEAR(B762)*100+MONTH(B762))</f>
        <v/>
      </c>
      <c r="K762">
        <f>IF(OR(G762="",NOT(ISNUMBER(B762))),"",IF(G762=Statement!$H$2,B762*1000+ROW(),""))</f>
        <v/>
      </c>
    </row>
    <row r="763">
      <c r="A763" s="1" t="n"/>
      <c r="B763" s="18" t="n"/>
      <c r="C763" s="16" t="n"/>
      <c r="D763" s="19" t="n"/>
      <c r="E763" s="17" t="n"/>
      <c r="F763" s="22" t="n"/>
      <c r="G763" s="14">
        <f>IF(C763="","",IFERROR(VALUE(LEFT(C763,FIND(" ",C763&amp;" ")-1)),""))</f>
        <v/>
      </c>
      <c r="H763" s="26">
        <f>IF(C763="","",IF(G763="","Pick a loan",IFERROR(IF(INDEX(Loans!$C$6:$C$305,MATCH(G763,Loans!$B$6:$B$305,0))="","Not a loan",INDEX(Loans!$C$6:$C$305,MATCH(G763,Loans!$B$6:$B$305,0))),"Not a loan")))</f>
        <v/>
      </c>
      <c r="I763" s="10">
        <f>IF(OR(G763="",H763="Not a loan"),"",IF(INDEX(Loans!$D$6:$D$305,MATCH(G763,Loans!$B$6:$B$305,0))="I borrowed","Out","In"))</f>
        <v/>
      </c>
      <c r="J763" s="1">
        <f>IF(NOT(ISNUMBER(B763)),"",YEAR(B763)*100+MONTH(B763))</f>
        <v/>
      </c>
      <c r="K763">
        <f>IF(OR(G763="",NOT(ISNUMBER(B763))),"",IF(G763=Statement!$H$2,B763*1000+ROW(),""))</f>
        <v/>
      </c>
    </row>
    <row r="764">
      <c r="A764" s="1" t="n"/>
      <c r="B764" s="18" t="n"/>
      <c r="C764" s="16" t="n"/>
      <c r="D764" s="19" t="n"/>
      <c r="E764" s="17" t="n"/>
      <c r="F764" s="22" t="n"/>
      <c r="G764" s="14">
        <f>IF(C764="","",IFERROR(VALUE(LEFT(C764,FIND(" ",C764&amp;" ")-1)),""))</f>
        <v/>
      </c>
      <c r="H764" s="26">
        <f>IF(C764="","",IF(G764="","Pick a loan",IFERROR(IF(INDEX(Loans!$C$6:$C$305,MATCH(G764,Loans!$B$6:$B$305,0))="","Not a loan",INDEX(Loans!$C$6:$C$305,MATCH(G764,Loans!$B$6:$B$305,0))),"Not a loan")))</f>
        <v/>
      </c>
      <c r="I764" s="10">
        <f>IF(OR(G764="",H764="Not a loan"),"",IF(INDEX(Loans!$D$6:$D$305,MATCH(G764,Loans!$B$6:$B$305,0))="I borrowed","Out","In"))</f>
        <v/>
      </c>
      <c r="J764" s="1">
        <f>IF(NOT(ISNUMBER(B764)),"",YEAR(B764)*100+MONTH(B764))</f>
        <v/>
      </c>
      <c r="K764">
        <f>IF(OR(G764="",NOT(ISNUMBER(B764))),"",IF(G764=Statement!$H$2,B764*1000+ROW(),""))</f>
        <v/>
      </c>
    </row>
    <row r="765">
      <c r="A765" s="1" t="n"/>
      <c r="B765" s="18" t="n"/>
      <c r="C765" s="16" t="n"/>
      <c r="D765" s="19" t="n"/>
      <c r="E765" s="17" t="n"/>
      <c r="F765" s="22" t="n"/>
      <c r="G765" s="14">
        <f>IF(C765="","",IFERROR(VALUE(LEFT(C765,FIND(" ",C765&amp;" ")-1)),""))</f>
        <v/>
      </c>
      <c r="H765" s="26">
        <f>IF(C765="","",IF(G765="","Pick a loan",IFERROR(IF(INDEX(Loans!$C$6:$C$305,MATCH(G765,Loans!$B$6:$B$305,0))="","Not a loan",INDEX(Loans!$C$6:$C$305,MATCH(G765,Loans!$B$6:$B$305,0))),"Not a loan")))</f>
        <v/>
      </c>
      <c r="I765" s="10">
        <f>IF(OR(G765="",H765="Not a loan"),"",IF(INDEX(Loans!$D$6:$D$305,MATCH(G765,Loans!$B$6:$B$305,0))="I borrowed","Out","In"))</f>
        <v/>
      </c>
      <c r="J765" s="1">
        <f>IF(NOT(ISNUMBER(B765)),"",YEAR(B765)*100+MONTH(B765))</f>
        <v/>
      </c>
      <c r="K765">
        <f>IF(OR(G765="",NOT(ISNUMBER(B765))),"",IF(G765=Statement!$H$2,B765*1000+ROW(),""))</f>
        <v/>
      </c>
    </row>
    <row r="766">
      <c r="A766" s="1" t="n"/>
      <c r="B766" s="18" t="n"/>
      <c r="C766" s="16" t="n"/>
      <c r="D766" s="19" t="n"/>
      <c r="E766" s="17" t="n"/>
      <c r="F766" s="22" t="n"/>
      <c r="G766" s="14">
        <f>IF(C766="","",IFERROR(VALUE(LEFT(C766,FIND(" ",C766&amp;" ")-1)),""))</f>
        <v/>
      </c>
      <c r="H766" s="26">
        <f>IF(C766="","",IF(G766="","Pick a loan",IFERROR(IF(INDEX(Loans!$C$6:$C$305,MATCH(G766,Loans!$B$6:$B$305,0))="","Not a loan",INDEX(Loans!$C$6:$C$305,MATCH(G766,Loans!$B$6:$B$305,0))),"Not a loan")))</f>
        <v/>
      </c>
      <c r="I766" s="10">
        <f>IF(OR(G766="",H766="Not a loan"),"",IF(INDEX(Loans!$D$6:$D$305,MATCH(G766,Loans!$B$6:$B$305,0))="I borrowed","Out","In"))</f>
        <v/>
      </c>
      <c r="J766" s="1">
        <f>IF(NOT(ISNUMBER(B766)),"",YEAR(B766)*100+MONTH(B766))</f>
        <v/>
      </c>
      <c r="K766">
        <f>IF(OR(G766="",NOT(ISNUMBER(B766))),"",IF(G766=Statement!$H$2,B766*1000+ROW(),""))</f>
        <v/>
      </c>
    </row>
    <row r="767">
      <c r="A767" s="1" t="n"/>
      <c r="B767" s="18" t="n"/>
      <c r="C767" s="16" t="n"/>
      <c r="D767" s="19" t="n"/>
      <c r="E767" s="17" t="n"/>
      <c r="F767" s="22" t="n"/>
      <c r="G767" s="14">
        <f>IF(C767="","",IFERROR(VALUE(LEFT(C767,FIND(" ",C767&amp;" ")-1)),""))</f>
        <v/>
      </c>
      <c r="H767" s="26">
        <f>IF(C767="","",IF(G767="","Pick a loan",IFERROR(IF(INDEX(Loans!$C$6:$C$305,MATCH(G767,Loans!$B$6:$B$305,0))="","Not a loan",INDEX(Loans!$C$6:$C$305,MATCH(G767,Loans!$B$6:$B$305,0))),"Not a loan")))</f>
        <v/>
      </c>
      <c r="I767" s="10">
        <f>IF(OR(G767="",H767="Not a loan"),"",IF(INDEX(Loans!$D$6:$D$305,MATCH(G767,Loans!$B$6:$B$305,0))="I borrowed","Out","In"))</f>
        <v/>
      </c>
      <c r="J767" s="1">
        <f>IF(NOT(ISNUMBER(B767)),"",YEAR(B767)*100+MONTH(B767))</f>
        <v/>
      </c>
      <c r="K767">
        <f>IF(OR(G767="",NOT(ISNUMBER(B767))),"",IF(G767=Statement!$H$2,B767*1000+ROW(),""))</f>
        <v/>
      </c>
    </row>
    <row r="768">
      <c r="A768" s="1" t="n"/>
      <c r="B768" s="18" t="n"/>
      <c r="C768" s="16" t="n"/>
      <c r="D768" s="19" t="n"/>
      <c r="E768" s="17" t="n"/>
      <c r="F768" s="22" t="n"/>
      <c r="G768" s="14">
        <f>IF(C768="","",IFERROR(VALUE(LEFT(C768,FIND(" ",C768&amp;" ")-1)),""))</f>
        <v/>
      </c>
      <c r="H768" s="26">
        <f>IF(C768="","",IF(G768="","Pick a loan",IFERROR(IF(INDEX(Loans!$C$6:$C$305,MATCH(G768,Loans!$B$6:$B$305,0))="","Not a loan",INDEX(Loans!$C$6:$C$305,MATCH(G768,Loans!$B$6:$B$305,0))),"Not a loan")))</f>
        <v/>
      </c>
      <c r="I768" s="10">
        <f>IF(OR(G768="",H768="Not a loan"),"",IF(INDEX(Loans!$D$6:$D$305,MATCH(G768,Loans!$B$6:$B$305,0))="I borrowed","Out","In"))</f>
        <v/>
      </c>
      <c r="J768" s="1">
        <f>IF(NOT(ISNUMBER(B768)),"",YEAR(B768)*100+MONTH(B768))</f>
        <v/>
      </c>
      <c r="K768">
        <f>IF(OR(G768="",NOT(ISNUMBER(B768))),"",IF(G768=Statement!$H$2,B768*1000+ROW(),""))</f>
        <v/>
      </c>
    </row>
    <row r="769">
      <c r="A769" s="1" t="n"/>
      <c r="B769" s="18" t="n"/>
      <c r="C769" s="16" t="n"/>
      <c r="D769" s="19" t="n"/>
      <c r="E769" s="17" t="n"/>
      <c r="F769" s="22" t="n"/>
      <c r="G769" s="14">
        <f>IF(C769="","",IFERROR(VALUE(LEFT(C769,FIND(" ",C769&amp;" ")-1)),""))</f>
        <v/>
      </c>
      <c r="H769" s="26">
        <f>IF(C769="","",IF(G769="","Pick a loan",IFERROR(IF(INDEX(Loans!$C$6:$C$305,MATCH(G769,Loans!$B$6:$B$305,0))="","Not a loan",INDEX(Loans!$C$6:$C$305,MATCH(G769,Loans!$B$6:$B$305,0))),"Not a loan")))</f>
        <v/>
      </c>
      <c r="I769" s="10">
        <f>IF(OR(G769="",H769="Not a loan"),"",IF(INDEX(Loans!$D$6:$D$305,MATCH(G769,Loans!$B$6:$B$305,0))="I borrowed","Out","In"))</f>
        <v/>
      </c>
      <c r="J769" s="1">
        <f>IF(NOT(ISNUMBER(B769)),"",YEAR(B769)*100+MONTH(B769))</f>
        <v/>
      </c>
      <c r="K769">
        <f>IF(OR(G769="",NOT(ISNUMBER(B769))),"",IF(G769=Statement!$H$2,B769*1000+ROW(),""))</f>
        <v/>
      </c>
    </row>
    <row r="770">
      <c r="A770" s="1" t="n"/>
      <c r="B770" s="18" t="n"/>
      <c r="C770" s="16" t="n"/>
      <c r="D770" s="19" t="n"/>
      <c r="E770" s="17" t="n"/>
      <c r="F770" s="22" t="n"/>
      <c r="G770" s="14">
        <f>IF(C770="","",IFERROR(VALUE(LEFT(C770,FIND(" ",C770&amp;" ")-1)),""))</f>
        <v/>
      </c>
      <c r="H770" s="26">
        <f>IF(C770="","",IF(G770="","Pick a loan",IFERROR(IF(INDEX(Loans!$C$6:$C$305,MATCH(G770,Loans!$B$6:$B$305,0))="","Not a loan",INDEX(Loans!$C$6:$C$305,MATCH(G770,Loans!$B$6:$B$305,0))),"Not a loan")))</f>
        <v/>
      </c>
      <c r="I770" s="10">
        <f>IF(OR(G770="",H770="Not a loan"),"",IF(INDEX(Loans!$D$6:$D$305,MATCH(G770,Loans!$B$6:$B$305,0))="I borrowed","Out","In"))</f>
        <v/>
      </c>
      <c r="J770" s="1">
        <f>IF(NOT(ISNUMBER(B770)),"",YEAR(B770)*100+MONTH(B770))</f>
        <v/>
      </c>
      <c r="K770">
        <f>IF(OR(G770="",NOT(ISNUMBER(B770))),"",IF(G770=Statement!$H$2,B770*1000+ROW(),""))</f>
        <v/>
      </c>
    </row>
    <row r="771">
      <c r="A771" s="1" t="n"/>
      <c r="B771" s="18" t="n"/>
      <c r="C771" s="16" t="n"/>
      <c r="D771" s="19" t="n"/>
      <c r="E771" s="17" t="n"/>
      <c r="F771" s="22" t="n"/>
      <c r="G771" s="14">
        <f>IF(C771="","",IFERROR(VALUE(LEFT(C771,FIND(" ",C771&amp;" ")-1)),""))</f>
        <v/>
      </c>
      <c r="H771" s="26">
        <f>IF(C771="","",IF(G771="","Pick a loan",IFERROR(IF(INDEX(Loans!$C$6:$C$305,MATCH(G771,Loans!$B$6:$B$305,0))="","Not a loan",INDEX(Loans!$C$6:$C$305,MATCH(G771,Loans!$B$6:$B$305,0))),"Not a loan")))</f>
        <v/>
      </c>
      <c r="I771" s="10">
        <f>IF(OR(G771="",H771="Not a loan"),"",IF(INDEX(Loans!$D$6:$D$305,MATCH(G771,Loans!$B$6:$B$305,0))="I borrowed","Out","In"))</f>
        <v/>
      </c>
      <c r="J771" s="1">
        <f>IF(NOT(ISNUMBER(B771)),"",YEAR(B771)*100+MONTH(B771))</f>
        <v/>
      </c>
      <c r="K771">
        <f>IF(OR(G771="",NOT(ISNUMBER(B771))),"",IF(G771=Statement!$H$2,B771*1000+ROW(),""))</f>
        <v/>
      </c>
    </row>
    <row r="772">
      <c r="A772" s="1" t="n"/>
      <c r="B772" s="18" t="n"/>
      <c r="C772" s="16" t="n"/>
      <c r="D772" s="19" t="n"/>
      <c r="E772" s="17" t="n"/>
      <c r="F772" s="22" t="n"/>
      <c r="G772" s="14">
        <f>IF(C772="","",IFERROR(VALUE(LEFT(C772,FIND(" ",C772&amp;" ")-1)),""))</f>
        <v/>
      </c>
      <c r="H772" s="26">
        <f>IF(C772="","",IF(G772="","Pick a loan",IFERROR(IF(INDEX(Loans!$C$6:$C$305,MATCH(G772,Loans!$B$6:$B$305,0))="","Not a loan",INDEX(Loans!$C$6:$C$305,MATCH(G772,Loans!$B$6:$B$305,0))),"Not a loan")))</f>
        <v/>
      </c>
      <c r="I772" s="10">
        <f>IF(OR(G772="",H772="Not a loan"),"",IF(INDEX(Loans!$D$6:$D$305,MATCH(G772,Loans!$B$6:$B$305,0))="I borrowed","Out","In"))</f>
        <v/>
      </c>
      <c r="J772" s="1">
        <f>IF(NOT(ISNUMBER(B772)),"",YEAR(B772)*100+MONTH(B772))</f>
        <v/>
      </c>
      <c r="K772">
        <f>IF(OR(G772="",NOT(ISNUMBER(B772))),"",IF(G772=Statement!$H$2,B772*1000+ROW(),""))</f>
        <v/>
      </c>
    </row>
    <row r="773">
      <c r="A773" s="1" t="n"/>
      <c r="B773" s="18" t="n"/>
      <c r="C773" s="16" t="n"/>
      <c r="D773" s="19" t="n"/>
      <c r="E773" s="17" t="n"/>
      <c r="F773" s="22" t="n"/>
      <c r="G773" s="14">
        <f>IF(C773="","",IFERROR(VALUE(LEFT(C773,FIND(" ",C773&amp;" ")-1)),""))</f>
        <v/>
      </c>
      <c r="H773" s="26">
        <f>IF(C773="","",IF(G773="","Pick a loan",IFERROR(IF(INDEX(Loans!$C$6:$C$305,MATCH(G773,Loans!$B$6:$B$305,0))="","Not a loan",INDEX(Loans!$C$6:$C$305,MATCH(G773,Loans!$B$6:$B$305,0))),"Not a loan")))</f>
        <v/>
      </c>
      <c r="I773" s="10">
        <f>IF(OR(G773="",H773="Not a loan"),"",IF(INDEX(Loans!$D$6:$D$305,MATCH(G773,Loans!$B$6:$B$305,0))="I borrowed","Out","In"))</f>
        <v/>
      </c>
      <c r="J773" s="1">
        <f>IF(NOT(ISNUMBER(B773)),"",YEAR(B773)*100+MONTH(B773))</f>
        <v/>
      </c>
      <c r="K773">
        <f>IF(OR(G773="",NOT(ISNUMBER(B773))),"",IF(G773=Statement!$H$2,B773*1000+ROW(),""))</f>
        <v/>
      </c>
    </row>
    <row r="774">
      <c r="A774" s="1" t="n"/>
      <c r="B774" s="18" t="n"/>
      <c r="C774" s="16" t="n"/>
      <c r="D774" s="19" t="n"/>
      <c r="E774" s="17" t="n"/>
      <c r="F774" s="22" t="n"/>
      <c r="G774" s="14">
        <f>IF(C774="","",IFERROR(VALUE(LEFT(C774,FIND(" ",C774&amp;" ")-1)),""))</f>
        <v/>
      </c>
      <c r="H774" s="26">
        <f>IF(C774="","",IF(G774="","Pick a loan",IFERROR(IF(INDEX(Loans!$C$6:$C$305,MATCH(G774,Loans!$B$6:$B$305,0))="","Not a loan",INDEX(Loans!$C$6:$C$305,MATCH(G774,Loans!$B$6:$B$305,0))),"Not a loan")))</f>
        <v/>
      </c>
      <c r="I774" s="10">
        <f>IF(OR(G774="",H774="Not a loan"),"",IF(INDEX(Loans!$D$6:$D$305,MATCH(G774,Loans!$B$6:$B$305,0))="I borrowed","Out","In"))</f>
        <v/>
      </c>
      <c r="J774" s="1">
        <f>IF(NOT(ISNUMBER(B774)),"",YEAR(B774)*100+MONTH(B774))</f>
        <v/>
      </c>
      <c r="K774">
        <f>IF(OR(G774="",NOT(ISNUMBER(B774))),"",IF(G774=Statement!$H$2,B774*1000+ROW(),""))</f>
        <v/>
      </c>
    </row>
    <row r="775">
      <c r="A775" s="1" t="n"/>
      <c r="B775" s="18" t="n"/>
      <c r="C775" s="16" t="n"/>
      <c r="D775" s="19" t="n"/>
      <c r="E775" s="17" t="n"/>
      <c r="F775" s="22" t="n"/>
      <c r="G775" s="14">
        <f>IF(C775="","",IFERROR(VALUE(LEFT(C775,FIND(" ",C775&amp;" ")-1)),""))</f>
        <v/>
      </c>
      <c r="H775" s="26">
        <f>IF(C775="","",IF(G775="","Pick a loan",IFERROR(IF(INDEX(Loans!$C$6:$C$305,MATCH(G775,Loans!$B$6:$B$305,0))="","Not a loan",INDEX(Loans!$C$6:$C$305,MATCH(G775,Loans!$B$6:$B$305,0))),"Not a loan")))</f>
        <v/>
      </c>
      <c r="I775" s="10">
        <f>IF(OR(G775="",H775="Not a loan"),"",IF(INDEX(Loans!$D$6:$D$305,MATCH(G775,Loans!$B$6:$B$305,0))="I borrowed","Out","In"))</f>
        <v/>
      </c>
      <c r="J775" s="1">
        <f>IF(NOT(ISNUMBER(B775)),"",YEAR(B775)*100+MONTH(B775))</f>
        <v/>
      </c>
      <c r="K775">
        <f>IF(OR(G775="",NOT(ISNUMBER(B775))),"",IF(G775=Statement!$H$2,B775*1000+ROW(),""))</f>
        <v/>
      </c>
    </row>
    <row r="776">
      <c r="A776" s="1" t="n"/>
      <c r="B776" s="18" t="n"/>
      <c r="C776" s="16" t="n"/>
      <c r="D776" s="19" t="n"/>
      <c r="E776" s="17" t="n"/>
      <c r="F776" s="22" t="n"/>
      <c r="G776" s="14">
        <f>IF(C776="","",IFERROR(VALUE(LEFT(C776,FIND(" ",C776&amp;" ")-1)),""))</f>
        <v/>
      </c>
      <c r="H776" s="26">
        <f>IF(C776="","",IF(G776="","Pick a loan",IFERROR(IF(INDEX(Loans!$C$6:$C$305,MATCH(G776,Loans!$B$6:$B$305,0))="","Not a loan",INDEX(Loans!$C$6:$C$305,MATCH(G776,Loans!$B$6:$B$305,0))),"Not a loan")))</f>
        <v/>
      </c>
      <c r="I776" s="10">
        <f>IF(OR(G776="",H776="Not a loan"),"",IF(INDEX(Loans!$D$6:$D$305,MATCH(G776,Loans!$B$6:$B$305,0))="I borrowed","Out","In"))</f>
        <v/>
      </c>
      <c r="J776" s="1">
        <f>IF(NOT(ISNUMBER(B776)),"",YEAR(B776)*100+MONTH(B776))</f>
        <v/>
      </c>
      <c r="K776">
        <f>IF(OR(G776="",NOT(ISNUMBER(B776))),"",IF(G776=Statement!$H$2,B776*1000+ROW(),""))</f>
        <v/>
      </c>
    </row>
    <row r="777">
      <c r="A777" s="1" t="n"/>
      <c r="B777" s="18" t="n"/>
      <c r="C777" s="16" t="n"/>
      <c r="D777" s="19" t="n"/>
      <c r="E777" s="17" t="n"/>
      <c r="F777" s="22" t="n"/>
      <c r="G777" s="14">
        <f>IF(C777="","",IFERROR(VALUE(LEFT(C777,FIND(" ",C777&amp;" ")-1)),""))</f>
        <v/>
      </c>
      <c r="H777" s="26">
        <f>IF(C777="","",IF(G777="","Pick a loan",IFERROR(IF(INDEX(Loans!$C$6:$C$305,MATCH(G777,Loans!$B$6:$B$305,0))="","Not a loan",INDEX(Loans!$C$6:$C$305,MATCH(G777,Loans!$B$6:$B$305,0))),"Not a loan")))</f>
        <v/>
      </c>
      <c r="I777" s="10">
        <f>IF(OR(G777="",H777="Not a loan"),"",IF(INDEX(Loans!$D$6:$D$305,MATCH(G777,Loans!$B$6:$B$305,0))="I borrowed","Out","In"))</f>
        <v/>
      </c>
      <c r="J777" s="1">
        <f>IF(NOT(ISNUMBER(B777)),"",YEAR(B777)*100+MONTH(B777))</f>
        <v/>
      </c>
      <c r="K777">
        <f>IF(OR(G777="",NOT(ISNUMBER(B777))),"",IF(G777=Statement!$H$2,B777*1000+ROW(),""))</f>
        <v/>
      </c>
    </row>
    <row r="778">
      <c r="A778" s="1" t="n"/>
      <c r="B778" s="18" t="n"/>
      <c r="C778" s="16" t="n"/>
      <c r="D778" s="19" t="n"/>
      <c r="E778" s="17" t="n"/>
      <c r="F778" s="22" t="n"/>
      <c r="G778" s="14">
        <f>IF(C778="","",IFERROR(VALUE(LEFT(C778,FIND(" ",C778&amp;" ")-1)),""))</f>
        <v/>
      </c>
      <c r="H778" s="26">
        <f>IF(C778="","",IF(G778="","Pick a loan",IFERROR(IF(INDEX(Loans!$C$6:$C$305,MATCH(G778,Loans!$B$6:$B$305,0))="","Not a loan",INDEX(Loans!$C$6:$C$305,MATCH(G778,Loans!$B$6:$B$305,0))),"Not a loan")))</f>
        <v/>
      </c>
      <c r="I778" s="10">
        <f>IF(OR(G778="",H778="Not a loan"),"",IF(INDEX(Loans!$D$6:$D$305,MATCH(G778,Loans!$B$6:$B$305,0))="I borrowed","Out","In"))</f>
        <v/>
      </c>
      <c r="J778" s="1">
        <f>IF(NOT(ISNUMBER(B778)),"",YEAR(B778)*100+MONTH(B778))</f>
        <v/>
      </c>
      <c r="K778">
        <f>IF(OR(G778="",NOT(ISNUMBER(B778))),"",IF(G778=Statement!$H$2,B778*1000+ROW(),""))</f>
        <v/>
      </c>
    </row>
    <row r="779">
      <c r="A779" s="1" t="n"/>
      <c r="B779" s="18" t="n"/>
      <c r="C779" s="16" t="n"/>
      <c r="D779" s="19" t="n"/>
      <c r="E779" s="17" t="n"/>
      <c r="F779" s="22" t="n"/>
      <c r="G779" s="14">
        <f>IF(C779="","",IFERROR(VALUE(LEFT(C779,FIND(" ",C779&amp;" ")-1)),""))</f>
        <v/>
      </c>
      <c r="H779" s="26">
        <f>IF(C779="","",IF(G779="","Pick a loan",IFERROR(IF(INDEX(Loans!$C$6:$C$305,MATCH(G779,Loans!$B$6:$B$305,0))="","Not a loan",INDEX(Loans!$C$6:$C$305,MATCH(G779,Loans!$B$6:$B$305,0))),"Not a loan")))</f>
        <v/>
      </c>
      <c r="I779" s="10">
        <f>IF(OR(G779="",H779="Not a loan"),"",IF(INDEX(Loans!$D$6:$D$305,MATCH(G779,Loans!$B$6:$B$305,0))="I borrowed","Out","In"))</f>
        <v/>
      </c>
      <c r="J779" s="1">
        <f>IF(NOT(ISNUMBER(B779)),"",YEAR(B779)*100+MONTH(B779))</f>
        <v/>
      </c>
      <c r="K779">
        <f>IF(OR(G779="",NOT(ISNUMBER(B779))),"",IF(G779=Statement!$H$2,B779*1000+ROW(),""))</f>
        <v/>
      </c>
    </row>
    <row r="780">
      <c r="A780" s="1" t="n"/>
      <c r="B780" s="18" t="n"/>
      <c r="C780" s="16" t="n"/>
      <c r="D780" s="19" t="n"/>
      <c r="E780" s="17" t="n"/>
      <c r="F780" s="22" t="n"/>
      <c r="G780" s="14">
        <f>IF(C780="","",IFERROR(VALUE(LEFT(C780,FIND(" ",C780&amp;" ")-1)),""))</f>
        <v/>
      </c>
      <c r="H780" s="26">
        <f>IF(C780="","",IF(G780="","Pick a loan",IFERROR(IF(INDEX(Loans!$C$6:$C$305,MATCH(G780,Loans!$B$6:$B$305,0))="","Not a loan",INDEX(Loans!$C$6:$C$305,MATCH(G780,Loans!$B$6:$B$305,0))),"Not a loan")))</f>
        <v/>
      </c>
      <c r="I780" s="10">
        <f>IF(OR(G780="",H780="Not a loan"),"",IF(INDEX(Loans!$D$6:$D$305,MATCH(G780,Loans!$B$6:$B$305,0))="I borrowed","Out","In"))</f>
        <v/>
      </c>
      <c r="J780" s="1">
        <f>IF(NOT(ISNUMBER(B780)),"",YEAR(B780)*100+MONTH(B780))</f>
        <v/>
      </c>
      <c r="K780">
        <f>IF(OR(G780="",NOT(ISNUMBER(B780))),"",IF(G780=Statement!$H$2,B780*1000+ROW(),""))</f>
        <v/>
      </c>
    </row>
    <row r="781">
      <c r="A781" s="1" t="n"/>
      <c r="B781" s="18" t="n"/>
      <c r="C781" s="16" t="n"/>
      <c r="D781" s="19" t="n"/>
      <c r="E781" s="17" t="n"/>
      <c r="F781" s="22" t="n"/>
      <c r="G781" s="14">
        <f>IF(C781="","",IFERROR(VALUE(LEFT(C781,FIND(" ",C781&amp;" ")-1)),""))</f>
        <v/>
      </c>
      <c r="H781" s="26">
        <f>IF(C781="","",IF(G781="","Pick a loan",IFERROR(IF(INDEX(Loans!$C$6:$C$305,MATCH(G781,Loans!$B$6:$B$305,0))="","Not a loan",INDEX(Loans!$C$6:$C$305,MATCH(G781,Loans!$B$6:$B$305,0))),"Not a loan")))</f>
        <v/>
      </c>
      <c r="I781" s="10">
        <f>IF(OR(G781="",H781="Not a loan"),"",IF(INDEX(Loans!$D$6:$D$305,MATCH(G781,Loans!$B$6:$B$305,0))="I borrowed","Out","In"))</f>
        <v/>
      </c>
      <c r="J781" s="1">
        <f>IF(NOT(ISNUMBER(B781)),"",YEAR(B781)*100+MONTH(B781))</f>
        <v/>
      </c>
      <c r="K781">
        <f>IF(OR(G781="",NOT(ISNUMBER(B781))),"",IF(G781=Statement!$H$2,B781*1000+ROW(),""))</f>
        <v/>
      </c>
    </row>
    <row r="782">
      <c r="A782" s="1" t="n"/>
      <c r="B782" s="18" t="n"/>
      <c r="C782" s="16" t="n"/>
      <c r="D782" s="19" t="n"/>
      <c r="E782" s="17" t="n"/>
      <c r="F782" s="22" t="n"/>
      <c r="G782" s="14">
        <f>IF(C782="","",IFERROR(VALUE(LEFT(C782,FIND(" ",C782&amp;" ")-1)),""))</f>
        <v/>
      </c>
      <c r="H782" s="26">
        <f>IF(C782="","",IF(G782="","Pick a loan",IFERROR(IF(INDEX(Loans!$C$6:$C$305,MATCH(G782,Loans!$B$6:$B$305,0))="","Not a loan",INDEX(Loans!$C$6:$C$305,MATCH(G782,Loans!$B$6:$B$305,0))),"Not a loan")))</f>
        <v/>
      </c>
      <c r="I782" s="10">
        <f>IF(OR(G782="",H782="Not a loan"),"",IF(INDEX(Loans!$D$6:$D$305,MATCH(G782,Loans!$B$6:$B$305,0))="I borrowed","Out","In"))</f>
        <v/>
      </c>
      <c r="J782" s="1">
        <f>IF(NOT(ISNUMBER(B782)),"",YEAR(B782)*100+MONTH(B782))</f>
        <v/>
      </c>
      <c r="K782">
        <f>IF(OR(G782="",NOT(ISNUMBER(B782))),"",IF(G782=Statement!$H$2,B782*1000+ROW(),""))</f>
        <v/>
      </c>
    </row>
    <row r="783">
      <c r="A783" s="1" t="n"/>
      <c r="B783" s="18" t="n"/>
      <c r="C783" s="16" t="n"/>
      <c r="D783" s="19" t="n"/>
      <c r="E783" s="17" t="n"/>
      <c r="F783" s="22" t="n"/>
      <c r="G783" s="14">
        <f>IF(C783="","",IFERROR(VALUE(LEFT(C783,FIND(" ",C783&amp;" ")-1)),""))</f>
        <v/>
      </c>
      <c r="H783" s="26">
        <f>IF(C783="","",IF(G783="","Pick a loan",IFERROR(IF(INDEX(Loans!$C$6:$C$305,MATCH(G783,Loans!$B$6:$B$305,0))="","Not a loan",INDEX(Loans!$C$6:$C$305,MATCH(G783,Loans!$B$6:$B$305,0))),"Not a loan")))</f>
        <v/>
      </c>
      <c r="I783" s="10">
        <f>IF(OR(G783="",H783="Not a loan"),"",IF(INDEX(Loans!$D$6:$D$305,MATCH(G783,Loans!$B$6:$B$305,0))="I borrowed","Out","In"))</f>
        <v/>
      </c>
      <c r="J783" s="1">
        <f>IF(NOT(ISNUMBER(B783)),"",YEAR(B783)*100+MONTH(B783))</f>
        <v/>
      </c>
      <c r="K783">
        <f>IF(OR(G783="",NOT(ISNUMBER(B783))),"",IF(G783=Statement!$H$2,B783*1000+ROW(),""))</f>
        <v/>
      </c>
    </row>
    <row r="784">
      <c r="A784" s="1" t="n"/>
      <c r="B784" s="18" t="n"/>
      <c r="C784" s="16" t="n"/>
      <c r="D784" s="19" t="n"/>
      <c r="E784" s="17" t="n"/>
      <c r="F784" s="22" t="n"/>
      <c r="G784" s="14">
        <f>IF(C784="","",IFERROR(VALUE(LEFT(C784,FIND(" ",C784&amp;" ")-1)),""))</f>
        <v/>
      </c>
      <c r="H784" s="26">
        <f>IF(C784="","",IF(G784="","Pick a loan",IFERROR(IF(INDEX(Loans!$C$6:$C$305,MATCH(G784,Loans!$B$6:$B$305,0))="","Not a loan",INDEX(Loans!$C$6:$C$305,MATCH(G784,Loans!$B$6:$B$305,0))),"Not a loan")))</f>
        <v/>
      </c>
      <c r="I784" s="10">
        <f>IF(OR(G784="",H784="Not a loan"),"",IF(INDEX(Loans!$D$6:$D$305,MATCH(G784,Loans!$B$6:$B$305,0))="I borrowed","Out","In"))</f>
        <v/>
      </c>
      <c r="J784" s="1">
        <f>IF(NOT(ISNUMBER(B784)),"",YEAR(B784)*100+MONTH(B784))</f>
        <v/>
      </c>
      <c r="K784">
        <f>IF(OR(G784="",NOT(ISNUMBER(B784))),"",IF(G784=Statement!$H$2,B784*1000+ROW(),""))</f>
        <v/>
      </c>
    </row>
    <row r="785">
      <c r="A785" s="1" t="n"/>
      <c r="B785" s="18" t="n"/>
      <c r="C785" s="16" t="n"/>
      <c r="D785" s="19" t="n"/>
      <c r="E785" s="17" t="n"/>
      <c r="F785" s="22" t="n"/>
      <c r="G785" s="14">
        <f>IF(C785="","",IFERROR(VALUE(LEFT(C785,FIND(" ",C785&amp;" ")-1)),""))</f>
        <v/>
      </c>
      <c r="H785" s="26">
        <f>IF(C785="","",IF(G785="","Pick a loan",IFERROR(IF(INDEX(Loans!$C$6:$C$305,MATCH(G785,Loans!$B$6:$B$305,0))="","Not a loan",INDEX(Loans!$C$6:$C$305,MATCH(G785,Loans!$B$6:$B$305,0))),"Not a loan")))</f>
        <v/>
      </c>
      <c r="I785" s="10">
        <f>IF(OR(G785="",H785="Not a loan"),"",IF(INDEX(Loans!$D$6:$D$305,MATCH(G785,Loans!$B$6:$B$305,0))="I borrowed","Out","In"))</f>
        <v/>
      </c>
      <c r="J785" s="1">
        <f>IF(NOT(ISNUMBER(B785)),"",YEAR(B785)*100+MONTH(B785))</f>
        <v/>
      </c>
      <c r="K785">
        <f>IF(OR(G785="",NOT(ISNUMBER(B785))),"",IF(G785=Statement!$H$2,B785*1000+ROW(),""))</f>
        <v/>
      </c>
    </row>
    <row r="786">
      <c r="A786" s="1" t="n"/>
      <c r="B786" s="18" t="n"/>
      <c r="C786" s="16" t="n"/>
      <c r="D786" s="19" t="n"/>
      <c r="E786" s="17" t="n"/>
      <c r="F786" s="22" t="n"/>
      <c r="G786" s="14">
        <f>IF(C786="","",IFERROR(VALUE(LEFT(C786,FIND(" ",C786&amp;" ")-1)),""))</f>
        <v/>
      </c>
      <c r="H786" s="26">
        <f>IF(C786="","",IF(G786="","Pick a loan",IFERROR(IF(INDEX(Loans!$C$6:$C$305,MATCH(G786,Loans!$B$6:$B$305,0))="","Not a loan",INDEX(Loans!$C$6:$C$305,MATCH(G786,Loans!$B$6:$B$305,0))),"Not a loan")))</f>
        <v/>
      </c>
      <c r="I786" s="10">
        <f>IF(OR(G786="",H786="Not a loan"),"",IF(INDEX(Loans!$D$6:$D$305,MATCH(G786,Loans!$B$6:$B$305,0))="I borrowed","Out","In"))</f>
        <v/>
      </c>
      <c r="J786" s="1">
        <f>IF(NOT(ISNUMBER(B786)),"",YEAR(B786)*100+MONTH(B786))</f>
        <v/>
      </c>
      <c r="K786">
        <f>IF(OR(G786="",NOT(ISNUMBER(B786))),"",IF(G786=Statement!$H$2,B786*1000+ROW(),""))</f>
        <v/>
      </c>
    </row>
    <row r="787">
      <c r="A787" s="1" t="n"/>
      <c r="B787" s="18" t="n"/>
      <c r="C787" s="16" t="n"/>
      <c r="D787" s="19" t="n"/>
      <c r="E787" s="17" t="n"/>
      <c r="F787" s="22" t="n"/>
      <c r="G787" s="14">
        <f>IF(C787="","",IFERROR(VALUE(LEFT(C787,FIND(" ",C787&amp;" ")-1)),""))</f>
        <v/>
      </c>
      <c r="H787" s="26">
        <f>IF(C787="","",IF(G787="","Pick a loan",IFERROR(IF(INDEX(Loans!$C$6:$C$305,MATCH(G787,Loans!$B$6:$B$305,0))="","Not a loan",INDEX(Loans!$C$6:$C$305,MATCH(G787,Loans!$B$6:$B$305,0))),"Not a loan")))</f>
        <v/>
      </c>
      <c r="I787" s="10">
        <f>IF(OR(G787="",H787="Not a loan"),"",IF(INDEX(Loans!$D$6:$D$305,MATCH(G787,Loans!$B$6:$B$305,0))="I borrowed","Out","In"))</f>
        <v/>
      </c>
      <c r="J787" s="1">
        <f>IF(NOT(ISNUMBER(B787)),"",YEAR(B787)*100+MONTH(B787))</f>
        <v/>
      </c>
      <c r="K787">
        <f>IF(OR(G787="",NOT(ISNUMBER(B787))),"",IF(G787=Statement!$H$2,B787*1000+ROW(),""))</f>
        <v/>
      </c>
    </row>
    <row r="788">
      <c r="A788" s="1" t="n"/>
      <c r="B788" s="18" t="n"/>
      <c r="C788" s="16" t="n"/>
      <c r="D788" s="19" t="n"/>
      <c r="E788" s="17" t="n"/>
      <c r="F788" s="22" t="n"/>
      <c r="G788" s="14">
        <f>IF(C788="","",IFERROR(VALUE(LEFT(C788,FIND(" ",C788&amp;" ")-1)),""))</f>
        <v/>
      </c>
      <c r="H788" s="26">
        <f>IF(C788="","",IF(G788="","Pick a loan",IFERROR(IF(INDEX(Loans!$C$6:$C$305,MATCH(G788,Loans!$B$6:$B$305,0))="","Not a loan",INDEX(Loans!$C$6:$C$305,MATCH(G788,Loans!$B$6:$B$305,0))),"Not a loan")))</f>
        <v/>
      </c>
      <c r="I788" s="10">
        <f>IF(OR(G788="",H788="Not a loan"),"",IF(INDEX(Loans!$D$6:$D$305,MATCH(G788,Loans!$B$6:$B$305,0))="I borrowed","Out","In"))</f>
        <v/>
      </c>
      <c r="J788" s="1">
        <f>IF(NOT(ISNUMBER(B788)),"",YEAR(B788)*100+MONTH(B788))</f>
        <v/>
      </c>
      <c r="K788">
        <f>IF(OR(G788="",NOT(ISNUMBER(B788))),"",IF(G788=Statement!$H$2,B788*1000+ROW(),""))</f>
        <v/>
      </c>
    </row>
    <row r="789">
      <c r="A789" s="1" t="n"/>
      <c r="B789" s="18" t="n"/>
      <c r="C789" s="16" t="n"/>
      <c r="D789" s="19" t="n"/>
      <c r="E789" s="17" t="n"/>
      <c r="F789" s="22" t="n"/>
      <c r="G789" s="14">
        <f>IF(C789="","",IFERROR(VALUE(LEFT(C789,FIND(" ",C789&amp;" ")-1)),""))</f>
        <v/>
      </c>
      <c r="H789" s="26">
        <f>IF(C789="","",IF(G789="","Pick a loan",IFERROR(IF(INDEX(Loans!$C$6:$C$305,MATCH(G789,Loans!$B$6:$B$305,0))="","Not a loan",INDEX(Loans!$C$6:$C$305,MATCH(G789,Loans!$B$6:$B$305,0))),"Not a loan")))</f>
        <v/>
      </c>
      <c r="I789" s="10">
        <f>IF(OR(G789="",H789="Not a loan"),"",IF(INDEX(Loans!$D$6:$D$305,MATCH(G789,Loans!$B$6:$B$305,0))="I borrowed","Out","In"))</f>
        <v/>
      </c>
      <c r="J789" s="1">
        <f>IF(NOT(ISNUMBER(B789)),"",YEAR(B789)*100+MONTH(B789))</f>
        <v/>
      </c>
      <c r="K789">
        <f>IF(OR(G789="",NOT(ISNUMBER(B789))),"",IF(G789=Statement!$H$2,B789*1000+ROW(),""))</f>
        <v/>
      </c>
    </row>
    <row r="790">
      <c r="A790" s="1" t="n"/>
      <c r="B790" s="18" t="n"/>
      <c r="C790" s="16" t="n"/>
      <c r="D790" s="19" t="n"/>
      <c r="E790" s="17" t="n"/>
      <c r="F790" s="22" t="n"/>
      <c r="G790" s="14">
        <f>IF(C790="","",IFERROR(VALUE(LEFT(C790,FIND(" ",C790&amp;" ")-1)),""))</f>
        <v/>
      </c>
      <c r="H790" s="26">
        <f>IF(C790="","",IF(G790="","Pick a loan",IFERROR(IF(INDEX(Loans!$C$6:$C$305,MATCH(G790,Loans!$B$6:$B$305,0))="","Not a loan",INDEX(Loans!$C$6:$C$305,MATCH(G790,Loans!$B$6:$B$305,0))),"Not a loan")))</f>
        <v/>
      </c>
      <c r="I790" s="10">
        <f>IF(OR(G790="",H790="Not a loan"),"",IF(INDEX(Loans!$D$6:$D$305,MATCH(G790,Loans!$B$6:$B$305,0))="I borrowed","Out","In"))</f>
        <v/>
      </c>
      <c r="J790" s="1">
        <f>IF(NOT(ISNUMBER(B790)),"",YEAR(B790)*100+MONTH(B790))</f>
        <v/>
      </c>
      <c r="K790">
        <f>IF(OR(G790="",NOT(ISNUMBER(B790))),"",IF(G790=Statement!$H$2,B790*1000+ROW(),""))</f>
        <v/>
      </c>
    </row>
    <row r="791">
      <c r="A791" s="1" t="n"/>
      <c r="B791" s="18" t="n"/>
      <c r="C791" s="16" t="n"/>
      <c r="D791" s="19" t="n"/>
      <c r="E791" s="17" t="n"/>
      <c r="F791" s="22" t="n"/>
      <c r="G791" s="14">
        <f>IF(C791="","",IFERROR(VALUE(LEFT(C791,FIND(" ",C791&amp;" ")-1)),""))</f>
        <v/>
      </c>
      <c r="H791" s="26">
        <f>IF(C791="","",IF(G791="","Pick a loan",IFERROR(IF(INDEX(Loans!$C$6:$C$305,MATCH(G791,Loans!$B$6:$B$305,0))="","Not a loan",INDEX(Loans!$C$6:$C$305,MATCH(G791,Loans!$B$6:$B$305,0))),"Not a loan")))</f>
        <v/>
      </c>
      <c r="I791" s="10">
        <f>IF(OR(G791="",H791="Not a loan"),"",IF(INDEX(Loans!$D$6:$D$305,MATCH(G791,Loans!$B$6:$B$305,0))="I borrowed","Out","In"))</f>
        <v/>
      </c>
      <c r="J791" s="1">
        <f>IF(NOT(ISNUMBER(B791)),"",YEAR(B791)*100+MONTH(B791))</f>
        <v/>
      </c>
      <c r="K791">
        <f>IF(OR(G791="",NOT(ISNUMBER(B791))),"",IF(G791=Statement!$H$2,B791*1000+ROW(),""))</f>
        <v/>
      </c>
    </row>
    <row r="792">
      <c r="A792" s="1" t="n"/>
      <c r="B792" s="18" t="n"/>
      <c r="C792" s="16" t="n"/>
      <c r="D792" s="19" t="n"/>
      <c r="E792" s="17" t="n"/>
      <c r="F792" s="22" t="n"/>
      <c r="G792" s="14">
        <f>IF(C792="","",IFERROR(VALUE(LEFT(C792,FIND(" ",C792&amp;" ")-1)),""))</f>
        <v/>
      </c>
      <c r="H792" s="26">
        <f>IF(C792="","",IF(G792="","Pick a loan",IFERROR(IF(INDEX(Loans!$C$6:$C$305,MATCH(G792,Loans!$B$6:$B$305,0))="","Not a loan",INDEX(Loans!$C$6:$C$305,MATCH(G792,Loans!$B$6:$B$305,0))),"Not a loan")))</f>
        <v/>
      </c>
      <c r="I792" s="10">
        <f>IF(OR(G792="",H792="Not a loan"),"",IF(INDEX(Loans!$D$6:$D$305,MATCH(G792,Loans!$B$6:$B$305,0))="I borrowed","Out","In"))</f>
        <v/>
      </c>
      <c r="J792" s="1">
        <f>IF(NOT(ISNUMBER(B792)),"",YEAR(B792)*100+MONTH(B792))</f>
        <v/>
      </c>
      <c r="K792">
        <f>IF(OR(G792="",NOT(ISNUMBER(B792))),"",IF(G792=Statement!$H$2,B792*1000+ROW(),""))</f>
        <v/>
      </c>
    </row>
    <row r="793">
      <c r="A793" s="1" t="n"/>
      <c r="B793" s="18" t="n"/>
      <c r="C793" s="16" t="n"/>
      <c r="D793" s="19" t="n"/>
      <c r="E793" s="17" t="n"/>
      <c r="F793" s="22" t="n"/>
      <c r="G793" s="14">
        <f>IF(C793="","",IFERROR(VALUE(LEFT(C793,FIND(" ",C793&amp;" ")-1)),""))</f>
        <v/>
      </c>
      <c r="H793" s="26">
        <f>IF(C793="","",IF(G793="","Pick a loan",IFERROR(IF(INDEX(Loans!$C$6:$C$305,MATCH(G793,Loans!$B$6:$B$305,0))="","Not a loan",INDEX(Loans!$C$6:$C$305,MATCH(G793,Loans!$B$6:$B$305,0))),"Not a loan")))</f>
        <v/>
      </c>
      <c r="I793" s="10">
        <f>IF(OR(G793="",H793="Not a loan"),"",IF(INDEX(Loans!$D$6:$D$305,MATCH(G793,Loans!$B$6:$B$305,0))="I borrowed","Out","In"))</f>
        <v/>
      </c>
      <c r="J793" s="1">
        <f>IF(NOT(ISNUMBER(B793)),"",YEAR(B793)*100+MONTH(B793))</f>
        <v/>
      </c>
      <c r="K793">
        <f>IF(OR(G793="",NOT(ISNUMBER(B793))),"",IF(G793=Statement!$H$2,B793*1000+ROW(),""))</f>
        <v/>
      </c>
    </row>
    <row r="794">
      <c r="A794" s="1" t="n"/>
      <c r="B794" s="18" t="n"/>
      <c r="C794" s="16" t="n"/>
      <c r="D794" s="19" t="n"/>
      <c r="E794" s="17" t="n"/>
      <c r="F794" s="22" t="n"/>
      <c r="G794" s="14">
        <f>IF(C794="","",IFERROR(VALUE(LEFT(C794,FIND(" ",C794&amp;" ")-1)),""))</f>
        <v/>
      </c>
      <c r="H794" s="26">
        <f>IF(C794="","",IF(G794="","Pick a loan",IFERROR(IF(INDEX(Loans!$C$6:$C$305,MATCH(G794,Loans!$B$6:$B$305,0))="","Not a loan",INDEX(Loans!$C$6:$C$305,MATCH(G794,Loans!$B$6:$B$305,0))),"Not a loan")))</f>
        <v/>
      </c>
      <c r="I794" s="10">
        <f>IF(OR(G794="",H794="Not a loan"),"",IF(INDEX(Loans!$D$6:$D$305,MATCH(G794,Loans!$B$6:$B$305,0))="I borrowed","Out","In"))</f>
        <v/>
      </c>
      <c r="J794" s="1">
        <f>IF(NOT(ISNUMBER(B794)),"",YEAR(B794)*100+MONTH(B794))</f>
        <v/>
      </c>
      <c r="K794">
        <f>IF(OR(G794="",NOT(ISNUMBER(B794))),"",IF(G794=Statement!$H$2,B794*1000+ROW(),""))</f>
        <v/>
      </c>
    </row>
    <row r="795">
      <c r="A795" s="1" t="n"/>
      <c r="B795" s="18" t="n"/>
      <c r="C795" s="16" t="n"/>
      <c r="D795" s="19" t="n"/>
      <c r="E795" s="17" t="n"/>
      <c r="F795" s="22" t="n"/>
      <c r="G795" s="14">
        <f>IF(C795="","",IFERROR(VALUE(LEFT(C795,FIND(" ",C795&amp;" ")-1)),""))</f>
        <v/>
      </c>
      <c r="H795" s="26">
        <f>IF(C795="","",IF(G795="","Pick a loan",IFERROR(IF(INDEX(Loans!$C$6:$C$305,MATCH(G795,Loans!$B$6:$B$305,0))="","Not a loan",INDEX(Loans!$C$6:$C$305,MATCH(G795,Loans!$B$6:$B$305,0))),"Not a loan")))</f>
        <v/>
      </c>
      <c r="I795" s="10">
        <f>IF(OR(G795="",H795="Not a loan"),"",IF(INDEX(Loans!$D$6:$D$305,MATCH(G795,Loans!$B$6:$B$305,0))="I borrowed","Out","In"))</f>
        <v/>
      </c>
      <c r="J795" s="1">
        <f>IF(NOT(ISNUMBER(B795)),"",YEAR(B795)*100+MONTH(B795))</f>
        <v/>
      </c>
      <c r="K795">
        <f>IF(OR(G795="",NOT(ISNUMBER(B795))),"",IF(G795=Statement!$H$2,B795*1000+ROW(),""))</f>
        <v/>
      </c>
    </row>
    <row r="796">
      <c r="A796" s="1" t="n"/>
      <c r="B796" s="18" t="n"/>
      <c r="C796" s="16" t="n"/>
      <c r="D796" s="19" t="n"/>
      <c r="E796" s="17" t="n"/>
      <c r="F796" s="22" t="n"/>
      <c r="G796" s="14">
        <f>IF(C796="","",IFERROR(VALUE(LEFT(C796,FIND(" ",C796&amp;" ")-1)),""))</f>
        <v/>
      </c>
      <c r="H796" s="26">
        <f>IF(C796="","",IF(G796="","Pick a loan",IFERROR(IF(INDEX(Loans!$C$6:$C$305,MATCH(G796,Loans!$B$6:$B$305,0))="","Not a loan",INDEX(Loans!$C$6:$C$305,MATCH(G796,Loans!$B$6:$B$305,0))),"Not a loan")))</f>
        <v/>
      </c>
      <c r="I796" s="10">
        <f>IF(OR(G796="",H796="Not a loan"),"",IF(INDEX(Loans!$D$6:$D$305,MATCH(G796,Loans!$B$6:$B$305,0))="I borrowed","Out","In"))</f>
        <v/>
      </c>
      <c r="J796" s="1">
        <f>IF(NOT(ISNUMBER(B796)),"",YEAR(B796)*100+MONTH(B796))</f>
        <v/>
      </c>
      <c r="K796">
        <f>IF(OR(G796="",NOT(ISNUMBER(B796))),"",IF(G796=Statement!$H$2,B796*1000+ROW(),""))</f>
        <v/>
      </c>
    </row>
    <row r="797">
      <c r="A797" s="1" t="n"/>
      <c r="B797" s="18" t="n"/>
      <c r="C797" s="16" t="n"/>
      <c r="D797" s="19" t="n"/>
      <c r="E797" s="17" t="n"/>
      <c r="F797" s="22" t="n"/>
      <c r="G797" s="14">
        <f>IF(C797="","",IFERROR(VALUE(LEFT(C797,FIND(" ",C797&amp;" ")-1)),""))</f>
        <v/>
      </c>
      <c r="H797" s="26">
        <f>IF(C797="","",IF(G797="","Pick a loan",IFERROR(IF(INDEX(Loans!$C$6:$C$305,MATCH(G797,Loans!$B$6:$B$305,0))="","Not a loan",INDEX(Loans!$C$6:$C$305,MATCH(G797,Loans!$B$6:$B$305,0))),"Not a loan")))</f>
        <v/>
      </c>
      <c r="I797" s="10">
        <f>IF(OR(G797="",H797="Not a loan"),"",IF(INDEX(Loans!$D$6:$D$305,MATCH(G797,Loans!$B$6:$B$305,0))="I borrowed","Out","In"))</f>
        <v/>
      </c>
      <c r="J797" s="1">
        <f>IF(NOT(ISNUMBER(B797)),"",YEAR(B797)*100+MONTH(B797))</f>
        <v/>
      </c>
      <c r="K797">
        <f>IF(OR(G797="",NOT(ISNUMBER(B797))),"",IF(G797=Statement!$H$2,B797*1000+ROW(),""))</f>
        <v/>
      </c>
    </row>
    <row r="798">
      <c r="A798" s="1" t="n"/>
      <c r="B798" s="18" t="n"/>
      <c r="C798" s="16" t="n"/>
      <c r="D798" s="19" t="n"/>
      <c r="E798" s="17" t="n"/>
      <c r="F798" s="22" t="n"/>
      <c r="G798" s="14">
        <f>IF(C798="","",IFERROR(VALUE(LEFT(C798,FIND(" ",C798&amp;" ")-1)),""))</f>
        <v/>
      </c>
      <c r="H798" s="26">
        <f>IF(C798="","",IF(G798="","Pick a loan",IFERROR(IF(INDEX(Loans!$C$6:$C$305,MATCH(G798,Loans!$B$6:$B$305,0))="","Not a loan",INDEX(Loans!$C$6:$C$305,MATCH(G798,Loans!$B$6:$B$305,0))),"Not a loan")))</f>
        <v/>
      </c>
      <c r="I798" s="10">
        <f>IF(OR(G798="",H798="Not a loan"),"",IF(INDEX(Loans!$D$6:$D$305,MATCH(G798,Loans!$B$6:$B$305,0))="I borrowed","Out","In"))</f>
        <v/>
      </c>
      <c r="J798" s="1">
        <f>IF(NOT(ISNUMBER(B798)),"",YEAR(B798)*100+MONTH(B798))</f>
        <v/>
      </c>
      <c r="K798">
        <f>IF(OR(G798="",NOT(ISNUMBER(B798))),"",IF(G798=Statement!$H$2,B798*1000+ROW(),""))</f>
        <v/>
      </c>
    </row>
    <row r="799">
      <c r="A799" s="1" t="n"/>
      <c r="B799" s="18" t="n"/>
      <c r="C799" s="16" t="n"/>
      <c r="D799" s="19" t="n"/>
      <c r="E799" s="17" t="n"/>
      <c r="F799" s="22" t="n"/>
      <c r="G799" s="14">
        <f>IF(C799="","",IFERROR(VALUE(LEFT(C799,FIND(" ",C799&amp;" ")-1)),""))</f>
        <v/>
      </c>
      <c r="H799" s="26">
        <f>IF(C799="","",IF(G799="","Pick a loan",IFERROR(IF(INDEX(Loans!$C$6:$C$305,MATCH(G799,Loans!$B$6:$B$305,0))="","Not a loan",INDEX(Loans!$C$6:$C$305,MATCH(G799,Loans!$B$6:$B$305,0))),"Not a loan")))</f>
        <v/>
      </c>
      <c r="I799" s="10">
        <f>IF(OR(G799="",H799="Not a loan"),"",IF(INDEX(Loans!$D$6:$D$305,MATCH(G799,Loans!$B$6:$B$305,0))="I borrowed","Out","In"))</f>
        <v/>
      </c>
      <c r="J799" s="1">
        <f>IF(NOT(ISNUMBER(B799)),"",YEAR(B799)*100+MONTH(B799))</f>
        <v/>
      </c>
      <c r="K799">
        <f>IF(OR(G799="",NOT(ISNUMBER(B799))),"",IF(G799=Statement!$H$2,B799*1000+ROW(),""))</f>
        <v/>
      </c>
    </row>
    <row r="800">
      <c r="A800" s="1" t="n"/>
      <c r="B800" s="18" t="n"/>
      <c r="C800" s="16" t="n"/>
      <c r="D800" s="19" t="n"/>
      <c r="E800" s="17" t="n"/>
      <c r="F800" s="22" t="n"/>
      <c r="G800" s="14">
        <f>IF(C800="","",IFERROR(VALUE(LEFT(C800,FIND(" ",C800&amp;" ")-1)),""))</f>
        <v/>
      </c>
      <c r="H800" s="26">
        <f>IF(C800="","",IF(G800="","Pick a loan",IFERROR(IF(INDEX(Loans!$C$6:$C$305,MATCH(G800,Loans!$B$6:$B$305,0))="","Not a loan",INDEX(Loans!$C$6:$C$305,MATCH(G800,Loans!$B$6:$B$305,0))),"Not a loan")))</f>
        <v/>
      </c>
      <c r="I800" s="10">
        <f>IF(OR(G800="",H800="Not a loan"),"",IF(INDEX(Loans!$D$6:$D$305,MATCH(G800,Loans!$B$6:$B$305,0))="I borrowed","Out","In"))</f>
        <v/>
      </c>
      <c r="J800" s="1">
        <f>IF(NOT(ISNUMBER(B800)),"",YEAR(B800)*100+MONTH(B800))</f>
        <v/>
      </c>
      <c r="K800">
        <f>IF(OR(G800="",NOT(ISNUMBER(B800))),"",IF(G800=Statement!$H$2,B800*1000+ROW(),""))</f>
        <v/>
      </c>
    </row>
    <row r="801">
      <c r="A801" s="1" t="n"/>
      <c r="B801" s="18" t="n"/>
      <c r="C801" s="16" t="n"/>
      <c r="D801" s="19" t="n"/>
      <c r="E801" s="17" t="n"/>
      <c r="F801" s="22" t="n"/>
      <c r="G801" s="14">
        <f>IF(C801="","",IFERROR(VALUE(LEFT(C801,FIND(" ",C801&amp;" ")-1)),""))</f>
        <v/>
      </c>
      <c r="H801" s="26">
        <f>IF(C801="","",IF(G801="","Pick a loan",IFERROR(IF(INDEX(Loans!$C$6:$C$305,MATCH(G801,Loans!$B$6:$B$305,0))="","Not a loan",INDEX(Loans!$C$6:$C$305,MATCH(G801,Loans!$B$6:$B$305,0))),"Not a loan")))</f>
        <v/>
      </c>
      <c r="I801" s="10">
        <f>IF(OR(G801="",H801="Not a loan"),"",IF(INDEX(Loans!$D$6:$D$305,MATCH(G801,Loans!$B$6:$B$305,0))="I borrowed","Out","In"))</f>
        <v/>
      </c>
      <c r="J801" s="1">
        <f>IF(NOT(ISNUMBER(B801)),"",YEAR(B801)*100+MONTH(B801))</f>
        <v/>
      </c>
      <c r="K801">
        <f>IF(OR(G801="",NOT(ISNUMBER(B801))),"",IF(G801=Statement!$H$2,B801*1000+ROW(),""))</f>
        <v/>
      </c>
    </row>
    <row r="802">
      <c r="A802" s="1" t="n"/>
      <c r="B802" s="18" t="n"/>
      <c r="C802" s="16" t="n"/>
      <c r="D802" s="19" t="n"/>
      <c r="E802" s="17" t="n"/>
      <c r="F802" s="22" t="n"/>
      <c r="G802" s="14">
        <f>IF(C802="","",IFERROR(VALUE(LEFT(C802,FIND(" ",C802&amp;" ")-1)),""))</f>
        <v/>
      </c>
      <c r="H802" s="26">
        <f>IF(C802="","",IF(G802="","Pick a loan",IFERROR(IF(INDEX(Loans!$C$6:$C$305,MATCH(G802,Loans!$B$6:$B$305,0))="","Not a loan",INDEX(Loans!$C$6:$C$305,MATCH(G802,Loans!$B$6:$B$305,0))),"Not a loan")))</f>
        <v/>
      </c>
      <c r="I802" s="10">
        <f>IF(OR(G802="",H802="Not a loan"),"",IF(INDEX(Loans!$D$6:$D$305,MATCH(G802,Loans!$B$6:$B$305,0))="I borrowed","Out","In"))</f>
        <v/>
      </c>
      <c r="J802" s="1">
        <f>IF(NOT(ISNUMBER(B802)),"",YEAR(B802)*100+MONTH(B802))</f>
        <v/>
      </c>
      <c r="K802">
        <f>IF(OR(G802="",NOT(ISNUMBER(B802))),"",IF(G802=Statement!$H$2,B802*1000+ROW(),""))</f>
        <v/>
      </c>
    </row>
    <row r="803">
      <c r="A803" s="1" t="n"/>
      <c r="B803" s="18" t="n"/>
      <c r="C803" s="16" t="n"/>
      <c r="D803" s="19" t="n"/>
      <c r="E803" s="17" t="n"/>
      <c r="F803" s="22" t="n"/>
      <c r="G803" s="14">
        <f>IF(C803="","",IFERROR(VALUE(LEFT(C803,FIND(" ",C803&amp;" ")-1)),""))</f>
        <v/>
      </c>
      <c r="H803" s="26">
        <f>IF(C803="","",IF(G803="","Pick a loan",IFERROR(IF(INDEX(Loans!$C$6:$C$305,MATCH(G803,Loans!$B$6:$B$305,0))="","Not a loan",INDEX(Loans!$C$6:$C$305,MATCH(G803,Loans!$B$6:$B$305,0))),"Not a loan")))</f>
        <v/>
      </c>
      <c r="I803" s="10">
        <f>IF(OR(G803="",H803="Not a loan"),"",IF(INDEX(Loans!$D$6:$D$305,MATCH(G803,Loans!$B$6:$B$305,0))="I borrowed","Out","In"))</f>
        <v/>
      </c>
      <c r="J803" s="1">
        <f>IF(NOT(ISNUMBER(B803)),"",YEAR(B803)*100+MONTH(B803))</f>
        <v/>
      </c>
      <c r="K803">
        <f>IF(OR(G803="",NOT(ISNUMBER(B803))),"",IF(G803=Statement!$H$2,B803*1000+ROW(),""))</f>
        <v/>
      </c>
    </row>
    <row r="804">
      <c r="A804" s="1" t="n"/>
      <c r="B804" s="18" t="n"/>
      <c r="C804" s="16" t="n"/>
      <c r="D804" s="19" t="n"/>
      <c r="E804" s="17" t="n"/>
      <c r="F804" s="22" t="n"/>
      <c r="G804" s="14">
        <f>IF(C804="","",IFERROR(VALUE(LEFT(C804,FIND(" ",C804&amp;" ")-1)),""))</f>
        <v/>
      </c>
      <c r="H804" s="26">
        <f>IF(C804="","",IF(G804="","Pick a loan",IFERROR(IF(INDEX(Loans!$C$6:$C$305,MATCH(G804,Loans!$B$6:$B$305,0))="","Not a loan",INDEX(Loans!$C$6:$C$305,MATCH(G804,Loans!$B$6:$B$305,0))),"Not a loan")))</f>
        <v/>
      </c>
      <c r="I804" s="10">
        <f>IF(OR(G804="",H804="Not a loan"),"",IF(INDEX(Loans!$D$6:$D$305,MATCH(G804,Loans!$B$6:$B$305,0))="I borrowed","Out","In"))</f>
        <v/>
      </c>
      <c r="J804" s="1">
        <f>IF(NOT(ISNUMBER(B804)),"",YEAR(B804)*100+MONTH(B804))</f>
        <v/>
      </c>
      <c r="K804">
        <f>IF(OR(G804="",NOT(ISNUMBER(B804))),"",IF(G804=Statement!$H$2,B804*1000+ROW(),""))</f>
        <v/>
      </c>
    </row>
    <row r="805">
      <c r="A805" s="1" t="n"/>
      <c r="B805" s="18" t="n"/>
      <c r="C805" s="16" t="n"/>
      <c r="D805" s="19" t="n"/>
      <c r="E805" s="17" t="n"/>
      <c r="F805" s="22" t="n"/>
      <c r="G805" s="14">
        <f>IF(C805="","",IFERROR(VALUE(LEFT(C805,FIND(" ",C805&amp;" ")-1)),""))</f>
        <v/>
      </c>
      <c r="H805" s="26">
        <f>IF(C805="","",IF(G805="","Pick a loan",IFERROR(IF(INDEX(Loans!$C$6:$C$305,MATCH(G805,Loans!$B$6:$B$305,0))="","Not a loan",INDEX(Loans!$C$6:$C$305,MATCH(G805,Loans!$B$6:$B$305,0))),"Not a loan")))</f>
        <v/>
      </c>
      <c r="I805" s="10">
        <f>IF(OR(G805="",H805="Not a loan"),"",IF(INDEX(Loans!$D$6:$D$305,MATCH(G805,Loans!$B$6:$B$305,0))="I borrowed","Out","In"))</f>
        <v/>
      </c>
      <c r="J805" s="1">
        <f>IF(NOT(ISNUMBER(B805)),"",YEAR(B805)*100+MONTH(B805))</f>
        <v/>
      </c>
      <c r="K805">
        <f>IF(OR(G805="",NOT(ISNUMBER(B805))),"",IF(G805=Statement!$H$2,B805*1000+ROW(),""))</f>
        <v/>
      </c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</row>
  </sheetData>
  <conditionalFormatting sqref="H6:H805">
    <cfRule type="expression" priority="1" dxfId="0">
      <formula>OR(H6="Not a loan",H6="Pick a loan")</formula>
    </cfRule>
  </conditionalFormatting>
  <dataValidations count="2">
    <dataValidation sqref="C6:C805" showDropDown="0" showInputMessage="0" showErrorMessage="0" allowBlank="1" type="list">
      <formula1>=Loans!$S$6:$S$305</formula1>
    </dataValidation>
    <dataValidation sqref="E6:E805" showDropDown="0" showInputMessage="0" showErrorMessage="0" allowBlank="1" type="list">
      <formula1>"Bank transfer,Cash,App,Other"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26" customWidth="1" min="5" max="5"/>
    <col hidden="1" width="13" customWidth="1" min="8" max="8"/>
    <col hidden="1" width="13" customWidth="1" min="9" max="9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Loan statement</t>
        </is>
      </c>
      <c r="C2" s="1" t="n"/>
      <c r="D2" s="1" t="n"/>
      <c r="E2" s="1" t="n"/>
      <c r="F2" s="1" t="n"/>
      <c r="H2">
        <f>IF(C4="","",IFERROR(VALUE(LEFT(C4,FIND(" ",C4&amp;" ")-1)),""))</f>
        <v/>
      </c>
    </row>
    <row r="3">
      <c r="A3" s="1" t="n"/>
      <c r="B3" s="27" t="inlineStr">
        <is>
          <t>Pick a loan in the yellow box. Print it, or copy the message at the bottom.</t>
        </is>
      </c>
      <c r="C3" s="1" t="n"/>
      <c r="D3" s="1" t="n"/>
      <c r="E3" s="1" t="n"/>
      <c r="F3" s="1" t="n"/>
      <c r="H3">
        <f>IF(H2="","",IFERROR(MATCH(H2,Loans!$B$6:$B$305,0)+5,""))</f>
        <v/>
      </c>
    </row>
    <row r="4">
      <c r="A4" s="1" t="n"/>
      <c r="B4" s="28" t="inlineStr">
        <is>
          <t>Loan</t>
        </is>
      </c>
      <c r="C4" s="16" t="inlineStr">
        <is>
          <t>1 Sam</t>
        </is>
      </c>
      <c r="D4" s="29" t="n"/>
      <c r="E4" s="1" t="n"/>
      <c r="F4" s="1" t="n"/>
      <c r="H4">
        <f>IF(H3="","",IF(INDEX(Loans!$C$1:$C$305,$H$3)="","",INDEX(Loans!$C$1:$C$305,$H$3)))</f>
        <v/>
      </c>
    </row>
    <row r="5">
      <c r="A5" s="1" t="n"/>
      <c r="B5" s="1" t="n"/>
      <c r="C5" s="1" t="n"/>
      <c r="D5" s="1" t="n"/>
      <c r="E5" s="1" t="n"/>
      <c r="F5" s="1" t="n"/>
      <c r="H5">
        <f>IF(H4="","",INDEX(Loans!$D$1:$D$305,$H$3)="I borrowed")</f>
        <v/>
      </c>
    </row>
    <row r="6" ht="18" customHeight="1">
      <c r="A6" s="1" t="n"/>
      <c r="B6" s="30" t="inlineStr">
        <is>
          <t>Lent by</t>
        </is>
      </c>
      <c r="C6" s="31">
        <f>IF(H4="","",IF(H5,H4,Settings!$C$4))</f>
        <v/>
      </c>
      <c r="D6" s="1" t="n"/>
      <c r="E6" s="1" t="n"/>
      <c r="F6" s="1" t="n"/>
    </row>
    <row r="7" ht="18" customHeight="1">
      <c r="A7" s="1" t="n"/>
      <c r="B7" s="30" t="inlineStr">
        <is>
          <t>Borrowed by</t>
        </is>
      </c>
      <c r="C7" s="31">
        <f>IF(H4="","",IF(H5,Settings!$C$4,H4))</f>
        <v/>
      </c>
      <c r="D7" s="1" t="n"/>
      <c r="E7" s="1" t="n"/>
      <c r="F7" s="1" t="n"/>
    </row>
    <row r="8" ht="18" customHeight="1">
      <c r="A8" s="1" t="n"/>
      <c r="B8" s="30" t="inlineStr">
        <is>
          <t>Date of the loan</t>
        </is>
      </c>
      <c r="C8" s="32">
        <f>IF(H4="","",IF(ISNUMBER(INDEX(Loans!$E$1:$E$305,$H$3)),INDEX(Loans!$E$1:$E$305,$H$3),""))</f>
        <v/>
      </c>
      <c r="D8" s="1" t="n"/>
      <c r="E8" s="1" t="n"/>
      <c r="F8" s="1" t="n"/>
    </row>
    <row r="9" ht="18" customHeight="1">
      <c r="A9" s="1" t="n"/>
      <c r="B9" s="30" t="inlineStr">
        <is>
          <t>Amount</t>
        </is>
      </c>
      <c r="C9" s="23">
        <f>IF(H4="","",N(INDEX(Loans!$F$1:$F$305,$H$3)))</f>
        <v/>
      </c>
      <c r="D9" s="1" t="n"/>
      <c r="E9" s="1" t="n"/>
      <c r="F9" s="1" t="n"/>
    </row>
    <row r="10" ht="18" customHeight="1">
      <c r="A10" s="1" t="n"/>
      <c r="B10" s="30" t="inlineStr">
        <is>
          <t>Interest (% a year)</t>
        </is>
      </c>
      <c r="C10" s="33">
        <f>IF(H4="","",N(INDEX(Loans!$G$1:$G$305,$H$3)))</f>
        <v/>
      </c>
      <c r="D10" s="1" t="n"/>
      <c r="E10" s="1" t="n"/>
      <c r="F10" s="1" t="n"/>
    </row>
    <row r="11" ht="18" customHeight="1">
      <c r="A11" s="1" t="n"/>
      <c r="B11" s="30" t="inlineStr">
        <is>
          <t>To repay</t>
        </is>
      </c>
      <c r="C11" s="23">
        <f>IF(H4="","",INDEX(Loans!$L$1:$L$305,$H$3))</f>
        <v/>
      </c>
      <c r="D11" s="1" t="n"/>
      <c r="E11" s="1" t="n"/>
      <c r="F11" s="1" t="n"/>
    </row>
    <row r="12" ht="18" customHeight="1">
      <c r="A12" s="1" t="n"/>
      <c r="B12" s="30" t="inlineStr">
        <is>
          <t>Paid so far</t>
        </is>
      </c>
      <c r="C12" s="23">
        <f>IF(H4="","",INDEX(Loans!$N$1:$N$305,$H$3))</f>
        <v/>
      </c>
      <c r="D12" s="1" t="n"/>
      <c r="E12" s="1" t="n"/>
      <c r="F12" s="1" t="n"/>
    </row>
    <row r="13" ht="18" customHeight="1">
      <c r="A13" s="1" t="n"/>
      <c r="B13" s="30" t="inlineStr">
        <is>
          <t>Still to pay</t>
        </is>
      </c>
      <c r="C13" s="24">
        <f>IF(H4="","",INDEX(Loans!$O$1:$O$305,$H$3))</f>
        <v/>
      </c>
      <c r="D13" s="1" t="n"/>
      <c r="E13" s="1" t="n"/>
      <c r="F13" s="1" t="n"/>
    </row>
    <row r="14" ht="18" customHeight="1">
      <c r="A14" s="1" t="n"/>
      <c r="B14" s="30" t="inlineStr">
        <is>
          <t>Next payment</t>
        </is>
      </c>
      <c r="C14" s="23">
        <f>IF(H4="","",IF(ISNUMBER(INDEX(Loans!$Q$1:$Q$305,$H$3)),INDEX(Loans!$Q$1:$Q$305,$H$3),""))</f>
        <v/>
      </c>
      <c r="D14" s="1" t="n"/>
      <c r="E14" s="1" t="n"/>
      <c r="F14" s="1" t="n"/>
    </row>
    <row r="15" ht="18" customHeight="1">
      <c r="A15" s="1" t="n"/>
      <c r="B15" s="30" t="inlineStr">
        <is>
          <t>Due on</t>
        </is>
      </c>
      <c r="C15" s="32">
        <f>IF(H4="","",IF(ISNUMBER(INDEX(Loans!$P$1:$P$305,$H$3)),INDEX(Loans!$P$1:$P$305,$H$3),""))</f>
        <v/>
      </c>
      <c r="D15" s="1" t="n"/>
      <c r="E15" s="1" t="n"/>
      <c r="F15" s="1" t="n"/>
    </row>
    <row r="16" ht="18" customHeight="1">
      <c r="A16" s="1" t="n"/>
      <c r="B16" s="30" t="inlineStr">
        <is>
          <t>Status</t>
        </is>
      </c>
      <c r="C16" s="31">
        <f>IF(H4="","",INDEX(Loans!$R$1:$R$305,$H$3))</f>
        <v/>
      </c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34" t="inlineStr">
        <is>
          <t>Payments made</t>
        </is>
      </c>
      <c r="C18" s="1" t="n"/>
      <c r="D18" s="1" t="n"/>
      <c r="E18" s="1" t="n"/>
      <c r="F18" s="1" t="n"/>
    </row>
    <row r="19" ht="30" customHeight="1">
      <c r="A19" s="1" t="n"/>
      <c r="B19" s="8" t="inlineStr">
        <is>
          <t>Date</t>
        </is>
      </c>
      <c r="C19" s="8" t="inlineStr">
        <is>
          <t>Amount</t>
        </is>
      </c>
      <c r="D19" s="8" t="inlineStr">
        <is>
          <t>How</t>
        </is>
      </c>
      <c r="E19" s="8" t="inlineStr">
        <is>
          <t>Note</t>
        </is>
      </c>
      <c r="F19" s="1" t="n"/>
    </row>
    <row r="20">
      <c r="A20" s="1" t="n"/>
      <c r="B20" s="11">
        <f>IF(I20="","",INDEX(Payments!$B$1:$B$805,MOD(I20,1000)))</f>
        <v/>
      </c>
      <c r="C20" s="23">
        <f>IF(I20="","",N(INDEX(Payments!$D$1:$D$805,MOD(I20,1000))))</f>
        <v/>
      </c>
      <c r="D20" s="10">
        <f>IF(I20="","",IF(INDEX(Payments!$E$1:$E$805,MOD(I20,1000))="","",INDEX(Payments!$E$1:$E$805,MOD(I20,1000))))</f>
        <v/>
      </c>
      <c r="E20" s="35">
        <f>IF(I20="","",IF(INDEX(Payments!$F$1:$F$805,MOD(I20,1000))="","",INDEX(Payments!$F$1:$F$805,MOD(I20,1000))))</f>
        <v/>
      </c>
      <c r="F20" s="1" t="n"/>
      <c r="I20">
        <f>IFERROR(SMALL(Payments!$K$6:$K$805,1),"")</f>
        <v/>
      </c>
    </row>
    <row r="21">
      <c r="A21" s="1" t="n"/>
      <c r="B21" s="11">
        <f>IF(I21="","",INDEX(Payments!$B$1:$B$805,MOD(I21,1000)))</f>
        <v/>
      </c>
      <c r="C21" s="23">
        <f>IF(I21="","",N(INDEX(Payments!$D$1:$D$805,MOD(I21,1000))))</f>
        <v/>
      </c>
      <c r="D21" s="10">
        <f>IF(I21="","",IF(INDEX(Payments!$E$1:$E$805,MOD(I21,1000))="","",INDEX(Payments!$E$1:$E$805,MOD(I21,1000))))</f>
        <v/>
      </c>
      <c r="E21" s="35">
        <f>IF(I21="","",IF(INDEX(Payments!$F$1:$F$805,MOD(I21,1000))="","",INDEX(Payments!$F$1:$F$805,MOD(I21,1000))))</f>
        <v/>
      </c>
      <c r="F21" s="1" t="n"/>
      <c r="I21">
        <f>IFERROR(SMALL(Payments!$K$6:$K$805,2),"")</f>
        <v/>
      </c>
    </row>
    <row r="22">
      <c r="A22" s="1" t="n"/>
      <c r="B22" s="11">
        <f>IF(I22="","",INDEX(Payments!$B$1:$B$805,MOD(I22,1000)))</f>
        <v/>
      </c>
      <c r="C22" s="23">
        <f>IF(I22="","",N(INDEX(Payments!$D$1:$D$805,MOD(I22,1000))))</f>
        <v/>
      </c>
      <c r="D22" s="10">
        <f>IF(I22="","",IF(INDEX(Payments!$E$1:$E$805,MOD(I22,1000))="","",INDEX(Payments!$E$1:$E$805,MOD(I22,1000))))</f>
        <v/>
      </c>
      <c r="E22" s="35">
        <f>IF(I22="","",IF(INDEX(Payments!$F$1:$F$805,MOD(I22,1000))="","",INDEX(Payments!$F$1:$F$805,MOD(I22,1000))))</f>
        <v/>
      </c>
      <c r="F22" s="1" t="n"/>
      <c r="I22">
        <f>IFERROR(SMALL(Payments!$K$6:$K$805,3),"")</f>
        <v/>
      </c>
    </row>
    <row r="23">
      <c r="A23" s="1" t="n"/>
      <c r="B23" s="11">
        <f>IF(I23="","",INDEX(Payments!$B$1:$B$805,MOD(I23,1000)))</f>
        <v/>
      </c>
      <c r="C23" s="23">
        <f>IF(I23="","",N(INDEX(Payments!$D$1:$D$805,MOD(I23,1000))))</f>
        <v/>
      </c>
      <c r="D23" s="10">
        <f>IF(I23="","",IF(INDEX(Payments!$E$1:$E$805,MOD(I23,1000))="","",INDEX(Payments!$E$1:$E$805,MOD(I23,1000))))</f>
        <v/>
      </c>
      <c r="E23" s="35">
        <f>IF(I23="","",IF(INDEX(Payments!$F$1:$F$805,MOD(I23,1000))="","",INDEX(Payments!$F$1:$F$805,MOD(I23,1000))))</f>
        <v/>
      </c>
      <c r="F23" s="1" t="n"/>
      <c r="I23">
        <f>IFERROR(SMALL(Payments!$K$6:$K$805,4),"")</f>
        <v/>
      </c>
    </row>
    <row r="24">
      <c r="A24" s="1" t="n"/>
      <c r="B24" s="11">
        <f>IF(I24="","",INDEX(Payments!$B$1:$B$805,MOD(I24,1000)))</f>
        <v/>
      </c>
      <c r="C24" s="23">
        <f>IF(I24="","",N(INDEX(Payments!$D$1:$D$805,MOD(I24,1000))))</f>
        <v/>
      </c>
      <c r="D24" s="10">
        <f>IF(I24="","",IF(INDEX(Payments!$E$1:$E$805,MOD(I24,1000))="","",INDEX(Payments!$E$1:$E$805,MOD(I24,1000))))</f>
        <v/>
      </c>
      <c r="E24" s="35">
        <f>IF(I24="","",IF(INDEX(Payments!$F$1:$F$805,MOD(I24,1000))="","",INDEX(Payments!$F$1:$F$805,MOD(I24,1000))))</f>
        <v/>
      </c>
      <c r="F24" s="1" t="n"/>
      <c r="I24">
        <f>IFERROR(SMALL(Payments!$K$6:$K$805,5),"")</f>
        <v/>
      </c>
    </row>
    <row r="25">
      <c r="A25" s="1" t="n"/>
      <c r="B25" s="11">
        <f>IF(I25="","",INDEX(Payments!$B$1:$B$805,MOD(I25,1000)))</f>
        <v/>
      </c>
      <c r="C25" s="23">
        <f>IF(I25="","",N(INDEX(Payments!$D$1:$D$805,MOD(I25,1000))))</f>
        <v/>
      </c>
      <c r="D25" s="10">
        <f>IF(I25="","",IF(INDEX(Payments!$E$1:$E$805,MOD(I25,1000))="","",INDEX(Payments!$E$1:$E$805,MOD(I25,1000))))</f>
        <v/>
      </c>
      <c r="E25" s="35">
        <f>IF(I25="","",IF(INDEX(Payments!$F$1:$F$805,MOD(I25,1000))="","",INDEX(Payments!$F$1:$F$805,MOD(I25,1000))))</f>
        <v/>
      </c>
      <c r="F25" s="1" t="n"/>
      <c r="I25">
        <f>IFERROR(SMALL(Payments!$K$6:$K$805,6),"")</f>
        <v/>
      </c>
    </row>
    <row r="26">
      <c r="A26" s="1" t="n"/>
      <c r="B26" s="11">
        <f>IF(I26="","",INDEX(Payments!$B$1:$B$805,MOD(I26,1000)))</f>
        <v/>
      </c>
      <c r="C26" s="23">
        <f>IF(I26="","",N(INDEX(Payments!$D$1:$D$805,MOD(I26,1000))))</f>
        <v/>
      </c>
      <c r="D26" s="10">
        <f>IF(I26="","",IF(INDEX(Payments!$E$1:$E$805,MOD(I26,1000))="","",INDEX(Payments!$E$1:$E$805,MOD(I26,1000))))</f>
        <v/>
      </c>
      <c r="E26" s="35">
        <f>IF(I26="","",IF(INDEX(Payments!$F$1:$F$805,MOD(I26,1000))="","",INDEX(Payments!$F$1:$F$805,MOD(I26,1000))))</f>
        <v/>
      </c>
      <c r="F26" s="1" t="n"/>
      <c r="I26">
        <f>IFERROR(SMALL(Payments!$K$6:$K$805,7),"")</f>
        <v/>
      </c>
    </row>
    <row r="27">
      <c r="A27" s="1" t="n"/>
      <c r="B27" s="11">
        <f>IF(I27="","",INDEX(Payments!$B$1:$B$805,MOD(I27,1000)))</f>
        <v/>
      </c>
      <c r="C27" s="23">
        <f>IF(I27="","",N(INDEX(Payments!$D$1:$D$805,MOD(I27,1000))))</f>
        <v/>
      </c>
      <c r="D27" s="10">
        <f>IF(I27="","",IF(INDEX(Payments!$E$1:$E$805,MOD(I27,1000))="","",INDEX(Payments!$E$1:$E$805,MOD(I27,1000))))</f>
        <v/>
      </c>
      <c r="E27" s="35">
        <f>IF(I27="","",IF(INDEX(Payments!$F$1:$F$805,MOD(I27,1000))="","",INDEX(Payments!$F$1:$F$805,MOD(I27,1000))))</f>
        <v/>
      </c>
      <c r="F27" s="1" t="n"/>
      <c r="I27">
        <f>IFERROR(SMALL(Payments!$K$6:$K$805,8),"")</f>
        <v/>
      </c>
    </row>
    <row r="28">
      <c r="A28" s="1" t="n"/>
      <c r="B28" s="11">
        <f>IF(I28="","",INDEX(Payments!$B$1:$B$805,MOD(I28,1000)))</f>
        <v/>
      </c>
      <c r="C28" s="23">
        <f>IF(I28="","",N(INDEX(Payments!$D$1:$D$805,MOD(I28,1000))))</f>
        <v/>
      </c>
      <c r="D28" s="10">
        <f>IF(I28="","",IF(INDEX(Payments!$E$1:$E$805,MOD(I28,1000))="","",INDEX(Payments!$E$1:$E$805,MOD(I28,1000))))</f>
        <v/>
      </c>
      <c r="E28" s="35">
        <f>IF(I28="","",IF(INDEX(Payments!$F$1:$F$805,MOD(I28,1000))="","",INDEX(Payments!$F$1:$F$805,MOD(I28,1000))))</f>
        <v/>
      </c>
      <c r="F28" s="1" t="n"/>
      <c r="I28">
        <f>IFERROR(SMALL(Payments!$K$6:$K$805,9),"")</f>
        <v/>
      </c>
    </row>
    <row r="29">
      <c r="A29" s="1" t="n"/>
      <c r="B29" s="11">
        <f>IF(I29="","",INDEX(Payments!$B$1:$B$805,MOD(I29,1000)))</f>
        <v/>
      </c>
      <c r="C29" s="23">
        <f>IF(I29="","",N(INDEX(Payments!$D$1:$D$805,MOD(I29,1000))))</f>
        <v/>
      </c>
      <c r="D29" s="10">
        <f>IF(I29="","",IF(INDEX(Payments!$E$1:$E$805,MOD(I29,1000))="","",INDEX(Payments!$E$1:$E$805,MOD(I29,1000))))</f>
        <v/>
      </c>
      <c r="E29" s="35">
        <f>IF(I29="","",IF(INDEX(Payments!$F$1:$F$805,MOD(I29,1000))="","",INDEX(Payments!$F$1:$F$805,MOD(I29,1000))))</f>
        <v/>
      </c>
      <c r="F29" s="1" t="n"/>
      <c r="I29">
        <f>IFERROR(SMALL(Payments!$K$6:$K$805,10),"")</f>
        <v/>
      </c>
    </row>
    <row r="30">
      <c r="A30" s="1" t="n"/>
      <c r="B30" s="11">
        <f>IF(I30="","",INDEX(Payments!$B$1:$B$805,MOD(I30,1000)))</f>
        <v/>
      </c>
      <c r="C30" s="23">
        <f>IF(I30="","",N(INDEX(Payments!$D$1:$D$805,MOD(I30,1000))))</f>
        <v/>
      </c>
      <c r="D30" s="10">
        <f>IF(I30="","",IF(INDEX(Payments!$E$1:$E$805,MOD(I30,1000))="","",INDEX(Payments!$E$1:$E$805,MOD(I30,1000))))</f>
        <v/>
      </c>
      <c r="E30" s="35">
        <f>IF(I30="","",IF(INDEX(Payments!$F$1:$F$805,MOD(I30,1000))="","",INDEX(Payments!$F$1:$F$805,MOD(I30,1000))))</f>
        <v/>
      </c>
      <c r="F30" s="1" t="n"/>
      <c r="I30">
        <f>IFERROR(SMALL(Payments!$K$6:$K$805,11),"")</f>
        <v/>
      </c>
    </row>
    <row r="31">
      <c r="A31" s="1" t="n"/>
      <c r="B31" s="11">
        <f>IF(I31="","",INDEX(Payments!$B$1:$B$805,MOD(I31,1000)))</f>
        <v/>
      </c>
      <c r="C31" s="23">
        <f>IF(I31="","",N(INDEX(Payments!$D$1:$D$805,MOD(I31,1000))))</f>
        <v/>
      </c>
      <c r="D31" s="10">
        <f>IF(I31="","",IF(INDEX(Payments!$E$1:$E$805,MOD(I31,1000))="","",INDEX(Payments!$E$1:$E$805,MOD(I31,1000))))</f>
        <v/>
      </c>
      <c r="E31" s="35">
        <f>IF(I31="","",IF(INDEX(Payments!$F$1:$F$805,MOD(I31,1000))="","",INDEX(Payments!$F$1:$F$805,MOD(I31,1000))))</f>
        <v/>
      </c>
      <c r="F31" s="1" t="n"/>
      <c r="I31">
        <f>IFERROR(SMALL(Payments!$K$6:$K$805,12),"")</f>
        <v/>
      </c>
    </row>
    <row r="32">
      <c r="A32" s="1" t="n"/>
      <c r="B32" s="36">
        <f>IF(COUNT(Payments!$K$6:$K$805)&gt;12,"And "&amp;(COUNT(Payments!$K$6:$K$805)-12)&amp;" more on the Payments tab","")</f>
        <v/>
      </c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34" t="inlineStr">
        <is>
          <t>A message you can send</t>
        </is>
      </c>
      <c r="C34" s="1" t="n"/>
      <c r="D34" s="1" t="n"/>
      <c r="E34" s="1" t="n"/>
      <c r="F34" s="1" t="n"/>
    </row>
    <row r="35">
      <c r="A35" s="1" t="n"/>
      <c r="B35" s="37">
        <f>IF(H4="","",IF(INDEX(Loans!$R$1:$R$305,$H$3)="Paid off",IF(H5,"Hi "&amp;H4&amp;", that is everything paid back to you: "&amp;FIXED(INDEX(Loans!$L$1:$L$305,$H$3),2)&amp;IF(Settings!$C$5="",""," "&amp;Settings!$C$5)&amp;" in all. Thank you for the help.","Hi "&amp;H4&amp;", that is everything paid back: "&amp;FIXED(INDEX(Loans!$L$1:$L$305,$H$3),2)&amp;IF(Settings!$C$5="",""," "&amp;Settings!$C$5)&amp;" in all. Thank you."),IF(NOT(ISNUMBER(INDEX(Loans!$P$1:$P$305,$H$3))),"Hi "&amp;H4&amp;", "&amp;IF(H5,"I still owe you ","a friendly note: there is still ")&amp;FIXED(INDEX(Loans!$O$1:$O$305,$H$3),2)&amp;IF(Settings!$C$5="",""," "&amp;Settings!$C$5)&amp;IF(H5," and will pay it back soon."," to pay back when you can.")&amp;" Thanks.",IF(H5,"Hi "&amp;H4&amp;", my next payment of "&amp;FIXED(INDEX(Loans!$Q$1:$Q$305,$H$3),2)&amp;IF(Settings!$C$5="",""," "&amp;Settings!$C$5)&amp;" is due on "&amp;DAY(INDEX(Loans!$P$1:$P$305,$H$3))&amp;" "&amp;CHOOSE(MONTH(INDEX(Loans!$P$1:$P$305,$H$3)),"Jan","Feb","Mar","Apr","May","Jun","Jul","Aug","Sep","Oct","Nov","Dec")&amp;" "&amp;YEAR(INDEX(Loans!$P$1:$P$305,$H$3))&amp;"."&amp;" So far "&amp;IF(H5,"I have","you have")&amp;" paid "&amp;FIXED(INDEX(Loans!$N$1:$N$305,$H$3),2)&amp;IF(Settings!$C$5="",""," "&amp;Settings!$C$5)&amp;" of "&amp;FIXED(INDEX(Loans!$L$1:$L$305,$H$3),2)&amp;IF(Settings!$C$5="",""," "&amp;Settings!$C$5)&amp;".","Hi "&amp;H4&amp;", a friendly reminder: "&amp;FIXED(INDEX(Loans!$Q$1:$Q$305,$H$3),2)&amp;IF(Settings!$C$5="",""," "&amp;Settings!$C$5)&amp;IF(INDEX(Loans!$R$1:$R$305,$H$3)="Overdue"," was due on "," is due on ")&amp;DAY(INDEX(Loans!$P$1:$P$305,$H$3))&amp;" "&amp;CHOOSE(MONTH(INDEX(Loans!$P$1:$P$305,$H$3)),"Jan","Feb","Mar","Apr","May","Jun","Jul","Aug","Sep","Oct","Nov","Dec")&amp;" "&amp;YEAR(INDEX(Loans!$P$1:$P$305,$H$3))&amp;"."&amp;" So far "&amp;IF(H5,"I have","you have")&amp;" paid "&amp;FIXED(INDEX(Loans!$N$1:$N$305,$H$3),2)&amp;IF(Settings!$C$5="",""," "&amp;Settings!$C$5)&amp;" of "&amp;FIXED(INDEX(Loans!$L$1:$L$305,$H$3),2)&amp;IF(Settings!$C$5="",""," "&amp;Settings!$C$5)&amp;"."&amp;" Thank you."))))</f>
        <v/>
      </c>
      <c r="C35" s="38" t="n"/>
      <c r="D35" s="38" t="n"/>
      <c r="E35" s="38" t="n"/>
      <c r="F35" s="1" t="n"/>
    </row>
    <row r="36">
      <c r="A36" s="1" t="n"/>
      <c r="B36" s="38" t="n"/>
      <c r="C36" s="38" t="n"/>
      <c r="D36" s="38" t="n"/>
      <c r="E36" s="38" t="n"/>
      <c r="F36" s="1" t="n"/>
    </row>
    <row r="37">
      <c r="A37" s="1" t="n"/>
      <c r="B37" s="38" t="n"/>
      <c r="C37" s="38" t="n"/>
      <c r="D37" s="38" t="n"/>
      <c r="E37" s="38" t="n"/>
      <c r="F37" s="1" t="n"/>
    </row>
    <row r="38">
      <c r="A38" s="1" t="n"/>
      <c r="B38" s="38" t="n"/>
      <c r="C38" s="38" t="n"/>
      <c r="D38" s="38" t="n"/>
      <c r="E38" s="38" t="n"/>
      <c r="F38" s="1" t="n"/>
    </row>
    <row r="39">
      <c r="A39" s="1" t="n"/>
      <c r="B39" s="1" t="n"/>
      <c r="C39" s="1" t="n"/>
      <c r="D39" s="1" t="n"/>
      <c r="E39" s="1" t="n"/>
      <c r="F39" s="1" t="n"/>
    </row>
  </sheetData>
  <mergeCells count="2">
    <mergeCell ref="B35:E38"/>
    <mergeCell ref="C4:D4"/>
  </mergeCells>
  <conditionalFormatting sqref="C16">
    <cfRule type="expression" priority="1" dxfId="0">
      <formula>C16="Overdue"</formula>
    </cfRule>
    <cfRule type="expression" priority="2" dxfId="3">
      <formula>C16="Paid off"</formula>
    </cfRule>
  </conditionalFormatting>
  <dataValidations count="1">
    <dataValidation sqref="C4" showDropDown="0" showInputMessage="0" showErrorMessage="0" allowBlank="1" type="list">
      <formula1>=Loans!$S$6:$S$305</formula1>
    </dataValidation>
  </dataValidations>
  <pageMargins left="0.75" right="0.75" top="1" bottom="1" header="0.5" footer="0.5"/>
  <pageSetup orientation="portrait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4" customWidth="1" min="4" max="4"/>
    <col width="60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  <c r="F2" s="1" t="n"/>
    </row>
    <row r="3">
      <c r="A3" s="1" t="n"/>
      <c r="B3" s="3" t="inlineStr">
        <is>
          <t>Your name for the statements, the currency, and when a payment counts as due soon.</t>
        </is>
      </c>
      <c r="C3" s="1" t="n"/>
      <c r="D3" s="1" t="n"/>
      <c r="E3" s="1" t="n"/>
      <c r="F3" s="1" t="n"/>
    </row>
    <row r="4">
      <c r="A4" s="1" t="n"/>
      <c r="B4" s="39" t="inlineStr">
        <is>
          <t>Your name</t>
        </is>
      </c>
      <c r="C4" s="16" t="inlineStr">
        <is>
          <t>Alex</t>
        </is>
      </c>
      <c r="D4" s="1" t="n"/>
      <c r="E4" s="27" t="inlineStr">
        <is>
          <t>On the statements and in the messages.</t>
        </is>
      </c>
      <c r="F4" s="1" t="n"/>
    </row>
    <row r="5">
      <c r="A5" s="1" t="n"/>
      <c r="B5" s="39" t="inlineStr">
        <is>
          <t>Currency</t>
        </is>
      </c>
      <c r="C5" s="22" t="inlineStr">
        <is>
          <t>USD</t>
        </is>
      </c>
      <c r="D5" s="1" t="n"/>
      <c r="E5" s="27" t="inlineStr">
        <is>
          <t>Shown after amounts in the statements and messages.</t>
        </is>
      </c>
      <c r="F5" s="1" t="n"/>
    </row>
    <row r="6">
      <c r="A6" s="1" t="n"/>
      <c r="B6" s="39" t="inlineStr">
        <is>
          <t>Due soon: days before</t>
        </is>
      </c>
      <c r="C6" s="21" t="n">
        <v>7</v>
      </c>
      <c r="D6" s="1" t="n"/>
      <c r="E6" s="27" t="inlineStr">
        <is>
          <t>A payment this close shows as Due soon.</t>
        </is>
      </c>
      <c r="F6" s="1" t="n"/>
    </row>
    <row r="7">
      <c r="A7" s="1" t="n"/>
      <c r="B7" s="1" t="n"/>
      <c r="C7" s="1" t="n"/>
      <c r="D7" s="1" t="n"/>
      <c r="E7" s="1" t="n"/>
      <c r="F7" s="1" t="n"/>
    </row>
    <row r="8">
      <c r="A8" s="1" t="n"/>
      <c r="B8" s="1" t="n"/>
      <c r="C8" s="1" t="n"/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8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40" t="inlineStr">
        <is>
          <t>1</t>
        </is>
      </c>
      <c r="C5" s="41" t="inlineStr">
        <is>
          <t>Settings: your name for the statements and the currency.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40" t="inlineStr">
        <is>
          <t>2</t>
        </is>
      </c>
      <c r="C7" s="41" t="inlineStr">
        <is>
          <t>Loans: each loan once, lent or borrowed. A plan is optional: how many payments and how often.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40" t="inlineStr">
        <is>
          <t>3</t>
        </is>
      </c>
      <c r="C9" s="41" t="inlineStr">
        <is>
          <t>Payments: each payment as it happens. Pick the loan by its number and name.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40" t="inlineStr">
        <is>
          <t>4</t>
        </is>
      </c>
      <c r="C11" s="41" t="inlineStr">
        <is>
          <t>Statement: pick a loan to print it, or copy the reminder message at the bottom.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40" t="inlineStr">
        <is>
          <t>5</t>
        </is>
      </c>
      <c r="C13" s="41" t="inlineStr">
        <is>
          <t>Dashboard: who owes what, the next payments, and what is overdue.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The example people, loans and payments are made up. Delete them and add your own.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Interest is simple: so much a year on the amount of the loan, over the time of the plan.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Works in Google Sheets and Microsoft Excel, in any currency.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2026-09-28T19:25:36Z</dcterms:created>
  <dcterms:modified xsi:type="dcterms:W3CDTF">2026-09-28T19:25:38Z</dcterms:modified>
</cp:coreProperties>
</file>