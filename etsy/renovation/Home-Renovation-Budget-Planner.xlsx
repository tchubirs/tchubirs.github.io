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" sheetId="2" state="visible" r:id="rId2"/>
    <sheet name="Costs" sheetId="3" state="visible" r:id="rId3"/>
    <sheet name="Timeline" sheetId="4" state="visible" r:id="rId4"/>
    <sheet name="Start He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-#,##0.00"/>
    <numFmt numFmtId="165" formatCode="DD MMM YYYY"/>
    <numFmt numFmtId="166" formatCode="yyyy-mm-dd"/>
    <numFmt numFmtId="167" formatCode="DD MMM"/>
  </numFmts>
  <fonts count="18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5525A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color rgb="001E2A2F"/>
      <sz val="11"/>
    </font>
    <font>
      <name val="Arial"/>
      <color rgb="001F6F78"/>
      <sz val="10"/>
    </font>
    <font>
      <name val="Arial"/>
      <b val="1"/>
      <color rgb="00FFFFFF"/>
      <sz val="9"/>
    </font>
    <font>
      <name val="Arial"/>
      <b val="1"/>
      <color rgb="006B7B80"/>
      <sz val="10"/>
    </font>
    <font>
      <name val="Arial"/>
      <color rgb="001E2A2F"/>
      <sz val="10"/>
    </font>
    <font>
      <name val="Arial"/>
      <color rgb="00FFFFFF"/>
      <sz val="10"/>
    </font>
    <font>
      <name val="Arial"/>
      <b val="1"/>
      <color rgb="001F6F78"/>
      <sz val="17"/>
    </font>
    <font>
      <name val="Arial"/>
      <b val="1"/>
      <color rgb="00B4541F"/>
      <sz val="17"/>
    </font>
    <font>
      <name val="Arial"/>
      <b val="1"/>
      <color rgb="00FFFFFF"/>
      <sz val="28"/>
    </font>
    <font>
      <name val="Arial"/>
      <b val="1"/>
      <color rgb="001F6F78"/>
      <sz val="18"/>
    </font>
    <font>
      <name val="Arial"/>
      <color rgb="001E2A2F"/>
      <sz val="13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  <fill>
      <patternFill patternType="solid">
        <fgColor rgb="009FD3A8"/>
        <bgColor rgb="009FD3A8"/>
      </patternFill>
    </fill>
    <fill>
      <patternFill patternType="solid">
        <fgColor rgb="00E58A7F"/>
        <bgColor rgb="00E58A7F"/>
      </patternFill>
    </fill>
    <fill>
      <patternFill patternType="solid">
        <fgColor rgb="00B9CCE8"/>
        <bgColor rgb="00B9CCE8"/>
      </patternFill>
    </fill>
    <fill>
      <patternFill patternType="solid">
        <fgColor rgb="00FFF1D6"/>
        <bgColor rgb="00FFF1D6"/>
      </patternFill>
    </fill>
    <fill>
      <patternFill patternType="solid">
        <fgColor rgb="0015525A"/>
        <bgColor rgb="0015525A"/>
      </patternFill>
    </fill>
    <fill>
      <patternFill patternType="solid">
        <fgColor rgb="00F9C9C4"/>
        <bgColor rgb="00F9C9C4"/>
      </patternFill>
    </fill>
    <fill>
      <patternFill patternType="solid">
        <fgColor rgb="00FFE2B8"/>
        <bgColor rgb="00FFE2B8"/>
      </patternFill>
    </fill>
    <fill>
      <patternFill patternType="solid">
        <fgColor rgb="00E3E8FF"/>
        <bgColor rgb="00E3E8FF"/>
      </patternFill>
    </fill>
    <fill>
      <patternFill patternType="solid">
        <fgColor rgb="00D8F0DC"/>
        <bgColor rgb="00D8F0DC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0" fillId="2" borderId="1" pivotButton="0" quotePrefix="0" xfId="0"/>
    <xf numFmtId="0" fontId="6" fillId="9" borderId="0" applyAlignment="1" pivotButton="0" quotePrefix="0" xfId="0">
      <alignment horizontal="center" vertical="center"/>
    </xf>
    <xf numFmtId="4" fontId="13" fillId="2" borderId="1" pivotButton="0" quotePrefix="0" xfId="0"/>
    <xf numFmtId="4" fontId="14" fillId="2" borderId="1" pivotButton="0" quotePrefix="0" xfId="0"/>
    <xf numFmtId="164" fontId="13" fillId="2" borderId="1" pivotButton="0" quotePrefix="0" xfId="0"/>
    <xf numFmtId="9" fontId="13" fillId="2" borderId="1" pivotButton="0" quotePrefix="0" xfId="0"/>
    <xf numFmtId="4" fontId="15" fillId="9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center"/>
    </xf>
    <xf numFmtId="0" fontId="4" fillId="2" borderId="1" pivotButton="0" quotePrefix="0" xfId="0"/>
    <xf numFmtId="4" fontId="7" fillId="2" borderId="1" pivotButton="0" quotePrefix="0" xfId="0"/>
    <xf numFmtId="0" fontId="8" fillId="2" borderId="1" pivotButton="0" quotePrefix="0" xfId="0"/>
    <xf numFmtId="0" fontId="7" fillId="2" borderId="1" pivotButton="0" quotePrefix="0" xfId="0"/>
    <xf numFmtId="0" fontId="7" fillId="10" borderId="1" applyAlignment="1" pivotButton="0" quotePrefix="0" xfId="0">
      <alignment vertical="center"/>
    </xf>
    <xf numFmtId="0" fontId="0" fillId="0" borderId="1" pivotButton="0" quotePrefix="0" xfId="0"/>
    <xf numFmtId="0" fontId="7" fillId="11" borderId="1" applyAlignment="1" pivotButton="0" quotePrefix="0" xfId="0">
      <alignment vertical="center"/>
    </xf>
    <xf numFmtId="0" fontId="7" fillId="12" borderId="1" applyAlignment="1" pivotButton="0" quotePrefix="0" xfId="0">
      <alignment vertical="center"/>
    </xf>
    <xf numFmtId="0" fontId="7" fillId="13" borderId="1" applyAlignment="1" pivotButton="0" quotePrefix="0" xfId="0">
      <alignment vertical="center"/>
    </xf>
    <xf numFmtId="165" fontId="7" fillId="2" borderId="1" applyAlignment="1" pivotButton="0" quotePrefix="0" xfId="0">
      <alignment horizontal="center" vertical="center"/>
    </xf>
    <xf numFmtId="0" fontId="3" fillId="2" borderId="0" pivotButton="0" quotePrefix="0" xfId="0"/>
    <xf numFmtId="9" fontId="4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4" fillId="3" borderId="1" pivotButton="0" quotePrefix="0" xfId="0"/>
    <xf numFmtId="4" fontId="7" fillId="3" borderId="1" pivotButton="0" quotePrefix="0" xfId="0"/>
    <xf numFmtId="164" fontId="4" fillId="2" borderId="1" pivotButton="0" quotePrefix="0" xfId="0"/>
    <xf numFmtId="0" fontId="4" fillId="2" borderId="0" pivotButton="0" quotePrefix="0" xfId="0"/>
    <xf numFmtId="4" fontId="4" fillId="2" borderId="1" pivotButton="0" quotePrefix="0" xfId="0"/>
    <xf numFmtId="0" fontId="7" fillId="2" borderId="0" pivotButton="0" quotePrefix="0" xfId="0"/>
    <xf numFmtId="164" fontId="7" fillId="2" borderId="1" pivotButton="0" quotePrefix="0" xfId="0"/>
    <xf numFmtId="0" fontId="7" fillId="3" borderId="1" pivotButton="0" quotePrefix="0" xfId="0"/>
    <xf numFmtId="0" fontId="7" fillId="3" borderId="1" applyAlignment="1" pivotButton="0" quotePrefix="0" xfId="0">
      <alignment horizontal="center" vertical="center"/>
    </xf>
    <xf numFmtId="165" fontId="7" fillId="3" borderId="1" pivotButton="0" quotePrefix="0" xfId="0"/>
    <xf numFmtId="165" fontId="4" fillId="3" borderId="1" pivotButton="0" quotePrefix="0" xfId="0"/>
    <xf numFmtId="167" fontId="9" fillId="4" borderId="1" applyAlignment="1" pivotButton="0" quotePrefix="0" xfId="0">
      <alignment horizontal="center" vertical="center" textRotation="90"/>
    </xf>
    <xf numFmtId="0" fontId="10" fillId="2" borderId="0" pivotButton="0" quotePrefix="0" xfId="0"/>
    <xf numFmtId="0" fontId="11" fillId="5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0" fontId="16" fillId="2" borderId="0" pivotButton="0" quotePrefix="0" xfId="0"/>
    <xf numFmtId="0" fontId="17" fillId="2" borderId="0" pivotButton="0" quotePrefix="0" xfId="0"/>
  </cellXfs>
  <cellStyles count="1">
    <cellStyle name="Normal" xfId="0" builtinId="0" hidden="0"/>
  </cellStyles>
  <dxfs count="12"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F9C9C4"/>
          <bgColor rgb="00F9C9C4"/>
        </patternFill>
      </fill>
    </dxf>
    <dxf>
      <fill>
        <patternFill patternType="solid">
          <fgColor rgb="00E3E8FF"/>
          <bgColor rgb="00E3E8FF"/>
        </patternFill>
      </fill>
    </dxf>
    <dxf>
      <font>
        <name val="Arial"/>
        <color rgb="007A8A8E"/>
      </font>
    </dxf>
    <dxf>
      <fill>
        <patternFill patternType="solid">
          <fgColor rgb="009FD3A8"/>
          <bgColor rgb="009FD3A8"/>
        </patternFill>
      </fill>
    </dxf>
    <dxf>
      <fill>
        <patternFill patternType="solid">
          <fgColor rgb="001F6F78"/>
          <bgColor rgb="001F6F78"/>
        </patternFill>
      </fill>
    </dxf>
    <dxf>
      <fill>
        <patternFill patternType="solid">
          <fgColor rgb="00E58A7F"/>
          <bgColor rgb="00E58A7F"/>
        </patternFill>
      </fill>
    </dxf>
    <dxf>
      <fill>
        <patternFill patternType="solid">
          <fgColor rgb="00B9CCE8"/>
          <bgColor rgb="00B9CCE8"/>
        </patternFill>
      </fill>
    </dxf>
    <dxf>
      <fill>
        <patternFill patternType="solid">
          <fgColor rgb="00FFF1D6"/>
          <bgColor rgb="00FFF1D6"/>
        </patternFill>
      </fill>
    </dxf>
    <dxf>
      <font>
        <name val="Arial"/>
        <b val="1"/>
        <color rgb="001E2A2F"/>
      </font>
      <fill>
        <patternFill patternType="solid">
          <fgColor rgb="00F2C14E"/>
          <bgColor rgb="00F2C14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22" customWidth="1" min="6" max="6"/>
    <col width="24" customWidth="1" min="7" max="7"/>
    <col width="3" customWidth="1" min="8" max="8"/>
    <col width="14" customWidth="1" min="9" max="9"/>
    <col width="34" customWidth="1" min="10" max="10"/>
    <col width="15" customWidth="1" min="11" max="11"/>
    <col width="3" customWidth="1" min="12" max="12"/>
    <col hidden="1" width="13" customWidth="1" min="13" max="13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>
        <f>COUNTIFS(Budget!$I$6:$I$17,"Over*")</f>
        <v/>
      </c>
    </row>
    <row r="2" ht="32" customHeight="1">
      <c r="A2" s="1" t="n"/>
      <c r="B2" s="2" t="inlineStr">
        <is>
          <t>Renovation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>
        <f>COUNTIFS(Costs!$J$6:$J$305,"Overdue*")</f>
        <v/>
      </c>
    </row>
    <row r="3">
      <c r="A3" s="1" t="n"/>
      <c r="B3" s="3" t="inlineStr">
        <is>
          <t>Everything here comes from the Budget, Costs and Timeline tabs.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>
        <f>SUMIFS(Costs!$I$6:$I$305,Costs!$J$6:$J$305,"Overdue*")</f>
        <v/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>
        <f>COUNTIFS(Costs!$J$6:$J$305,"Due in*")+COUNTIFS(Costs!$J$6:$J$305,"Due today")</f>
        <v/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>
        <f>SUMIFS(Costs!$I$6:$I$305,Costs!$J$6:$J$305,"Due in*")+SUMIFS(Costs!$I$6:$I$305,Costs!$J$6:$J$305,"Due today")</f>
        <v/>
      </c>
    </row>
    <row r="6">
      <c r="A6" s="1" t="n"/>
      <c r="B6" s="4" t="inlineStr">
        <is>
          <t>Total budget</t>
        </is>
      </c>
      <c r="C6" s="4" t="inlineStr">
        <is>
          <t>Committed</t>
        </is>
      </c>
      <c r="D6" s="4" t="inlineStr">
        <is>
          <t>Paid</t>
        </is>
      </c>
      <c r="E6" s="4" t="inlineStr">
        <is>
          <t>Still to pay</t>
        </is>
      </c>
      <c r="F6" s="4" t="inlineStr">
        <is>
          <t>Contingency left</t>
        </is>
      </c>
      <c r="G6" s="4" t="inlineStr">
        <is>
          <t>Budget committed</t>
        </is>
      </c>
      <c r="H6" s="1" t="n"/>
      <c r="I6" s="5" t="inlineStr">
        <is>
          <t>Left to spend</t>
        </is>
      </c>
      <c r="L6" s="1" t="n"/>
      <c r="M6" s="1" t="n"/>
      <c r="N6">
        <f>ROUND(SUM(Costs!$N$6:$N$305),0)</f>
        <v/>
      </c>
    </row>
    <row r="7" ht="44" customHeight="1">
      <c r="A7" s="1" t="n"/>
      <c r="B7" s="6">
        <f>Budget!$C$22</f>
        <v/>
      </c>
      <c r="C7" s="7">
        <f>(SUMIFS(Costs!$E$6:$E$305,Costs!$F$6:$F$305,"Hired")+SUMIFS(Costs!$E$6:$E$305,Costs!$F$6:$F$305,"Bought"))</f>
        <v/>
      </c>
      <c r="D7" s="6">
        <f>(SUMIFS(Costs!$G$6:$G$305,Costs!$F$6:$F$305,"Hired")+SUMIFS(Costs!$G$6:$G$305,Costs!$F$6:$F$305,"Bought"))</f>
        <v/>
      </c>
      <c r="E7" s="7">
        <f>C7-D7</f>
        <v/>
      </c>
      <c r="F7" s="8">
        <f>Budget!$C$24</f>
        <v/>
      </c>
      <c r="G7" s="9">
        <f>IF(B7=0,"",C7/B7)</f>
        <v/>
      </c>
      <c r="H7" s="1" t="n"/>
      <c r="I7" s="10">
        <f>B7-C7</f>
        <v/>
      </c>
      <c r="L7" s="1" t="n"/>
      <c r="M7" s="1" t="n"/>
      <c r="N7">
        <f>COUNTIFS(Timeline!$G$6:$G$35,"Delayed")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>
        <f>IFERROR(SMALL(Timeline!$E$6:$E$35,COUNTIF(Timeline!$E$6:$E$35,"&lt;"&amp;TODAY())+1),"")</f>
        <v/>
      </c>
    </row>
    <row r="9" ht="30" customHeight="1">
      <c r="A9" s="1" t="n"/>
      <c r="B9" s="11" t="inlineStr">
        <is>
          <t>Room or area</t>
        </is>
      </c>
      <c r="C9" s="11" t="inlineStr">
        <is>
          <t>Budget</t>
        </is>
      </c>
      <c r="D9" s="11" t="inlineStr">
        <is>
          <t>Committed</t>
        </is>
      </c>
      <c r="E9" s="11" t="inlineStr">
        <is>
          <t>Paid</t>
        </is>
      </c>
      <c r="F9" s="11" t="inlineStr">
        <is>
          <t>Used</t>
        </is>
      </c>
      <c r="G9" s="11" t="inlineStr">
        <is>
          <t>Status</t>
        </is>
      </c>
      <c r="H9" s="1" t="n"/>
      <c r="I9" s="12" t="inlineStr">
        <is>
          <t>Needs attention</t>
        </is>
      </c>
      <c r="L9" s="1" t="n"/>
      <c r="M9" s="1" t="n"/>
    </row>
    <row r="10">
      <c r="A10" s="1" t="n"/>
      <c r="B10" s="13">
        <f>IF(Budget!B6="","",Budget!B6)</f>
        <v/>
      </c>
      <c r="C10" s="14">
        <f>IF(B10="","",Budget!C6)</f>
        <v/>
      </c>
      <c r="D10" s="14">
        <f>IF(B10="","",Budget!D6)</f>
        <v/>
      </c>
      <c r="E10" s="14">
        <f>IF(B10="","",Budget!E6)</f>
        <v/>
      </c>
      <c r="F10" s="15">
        <f>IF(OR(B10="",N(C10)=0),"",REPT("█",MIN(14,MAX(0,ROUND((D10/C10)*14,0))))&amp;REPT("░",14-MIN(14,MAX(0,ROUND((D10/C10)*14,0)))))</f>
        <v/>
      </c>
      <c r="G10" s="16">
        <f>IF(B10="","",Budget!I6)</f>
        <v/>
      </c>
      <c r="H10" s="1" t="n"/>
      <c r="I10" s="17">
        <f>IF($N$1=0,"No room is over budget",IF($N$1=1,"1 room is",$N$1&amp;" rooms are")&amp;" over budget")</f>
        <v/>
      </c>
      <c r="J10" s="18" t="n"/>
      <c r="K10" s="18" t="n"/>
      <c r="L10" s="1" t="n"/>
      <c r="M10" s="1" t="n"/>
    </row>
    <row r="11">
      <c r="A11" s="1" t="n"/>
      <c r="B11" s="13">
        <f>IF(Budget!B7="","",Budget!B7)</f>
        <v/>
      </c>
      <c r="C11" s="14">
        <f>IF(B11="","",Budget!C7)</f>
        <v/>
      </c>
      <c r="D11" s="14">
        <f>IF(B11="","",Budget!D7)</f>
        <v/>
      </c>
      <c r="E11" s="14">
        <f>IF(B11="","",Budget!E7)</f>
        <v/>
      </c>
      <c r="F11" s="15">
        <f>IF(OR(B11="",N(C11)=0),"",REPT("█",MIN(14,MAX(0,ROUND((D11/C11)*14,0))))&amp;REPT("░",14-MIN(14,MAX(0,ROUND((D11/C11)*14,0)))))</f>
        <v/>
      </c>
      <c r="G11" s="16">
        <f>IF(B11="","",Budget!I7)</f>
        <v/>
      </c>
      <c r="H11" s="1" t="n"/>
      <c r="I11" s="17">
        <f>IF($N$2=0,"No overdue payments",IF($N$2=1,"1 payment is",$N$2&amp;" payments are")&amp;" overdue: "&amp;FIXED($N$3,2))</f>
        <v/>
      </c>
      <c r="J11" s="18" t="n"/>
      <c r="K11" s="18" t="n"/>
      <c r="L11" s="1" t="n"/>
      <c r="M11" s="1" t="n"/>
    </row>
    <row r="12">
      <c r="A12" s="1" t="n"/>
      <c r="B12" s="13">
        <f>IF(Budget!B8="","",Budget!B8)</f>
        <v/>
      </c>
      <c r="C12" s="14">
        <f>IF(B12="","",Budget!C8)</f>
        <v/>
      </c>
      <c r="D12" s="14">
        <f>IF(B12="","",Budget!D8)</f>
        <v/>
      </c>
      <c r="E12" s="14">
        <f>IF(B12="","",Budget!E8)</f>
        <v/>
      </c>
      <c r="F12" s="15">
        <f>IF(OR(B12="",N(C12)=0),"",REPT("█",MIN(14,MAX(0,ROUND((D12/C12)*14,0))))&amp;REPT("░",14-MIN(14,MAX(0,ROUND((D12/C12)*14,0)))))</f>
        <v/>
      </c>
      <c r="G12" s="16">
        <f>IF(B12="","",Budget!I8)</f>
        <v/>
      </c>
      <c r="H12" s="1" t="n"/>
      <c r="I12" s="19">
        <f>IF($N$4=0,"Nothing due in the next 14 days",IF($N$4=1,"1 payment",$N$4&amp;" payments")&amp;" due in the next 14 days: "&amp;FIXED($N$5,2))</f>
        <v/>
      </c>
      <c r="J12" s="18" t="n"/>
      <c r="K12" s="18" t="n"/>
      <c r="L12" s="1" t="n"/>
      <c r="M12" s="1" t="n"/>
    </row>
    <row r="13">
      <c r="A13" s="1" t="n"/>
      <c r="B13" s="13">
        <f>IF(Budget!B9="","",Budget!B9)</f>
        <v/>
      </c>
      <c r="C13" s="14">
        <f>IF(B13="","",Budget!C9)</f>
        <v/>
      </c>
      <c r="D13" s="14">
        <f>IF(B13="","",Budget!D9)</f>
        <v/>
      </c>
      <c r="E13" s="14">
        <f>IF(B13="","",Budget!E9)</f>
        <v/>
      </c>
      <c r="F13" s="15">
        <f>IF(OR(B13="",N(C13)=0),"",REPT("█",MIN(14,MAX(0,ROUND((D13/C13)*14,0))))&amp;REPT("░",14-MIN(14,MAX(0,ROUND((D13/C13)*14,0)))))</f>
        <v/>
      </c>
      <c r="G13" s="16">
        <f>IF(B13="","",Budget!I9)</f>
        <v/>
      </c>
      <c r="H13" s="1" t="n"/>
      <c r="I13" s="20">
        <f>IF($N$6=0,"No quotes waiting for a decision",IF($N$6=1,"1 job is",$N$6&amp;" jobs are")&amp;" waiting for a decision between quotes")</f>
        <v/>
      </c>
      <c r="J13" s="18" t="n"/>
      <c r="K13" s="18" t="n"/>
      <c r="L13" s="1" t="n"/>
      <c r="M13" s="1" t="n"/>
    </row>
    <row r="14">
      <c r="A14" s="1" t="n"/>
      <c r="B14" s="13">
        <f>IF(Budget!B10="","",Budget!B10)</f>
        <v/>
      </c>
      <c r="C14" s="14">
        <f>IF(B14="","",Budget!C10)</f>
        <v/>
      </c>
      <c r="D14" s="14">
        <f>IF(B14="","",Budget!D10)</f>
        <v/>
      </c>
      <c r="E14" s="14">
        <f>IF(B14="","",Budget!E10)</f>
        <v/>
      </c>
      <c r="F14" s="15">
        <f>IF(OR(B14="",N(C14)=0),"",REPT("█",MIN(14,MAX(0,ROUND((D14/C14)*14,0))))&amp;REPT("░",14-MIN(14,MAX(0,ROUND((D14/C14)*14,0)))))</f>
        <v/>
      </c>
      <c r="G14" s="16">
        <f>IF(B14="","",Budget!I10)</f>
        <v/>
      </c>
      <c r="H14" s="1" t="n"/>
      <c r="I14" s="21">
        <f>IF(Budget!$C$24&gt;=0,"Contingency left: "&amp;FIXED(Budget!$C$24,2)&amp;" of "&amp;FIXED(Budget!$C$21,2),"Contingency used up, over by "&amp;FIXED(-Budget!$C$24,2))</f>
        <v/>
      </c>
      <c r="J14" s="18" t="n"/>
      <c r="K14" s="18" t="n"/>
      <c r="L14" s="1" t="n"/>
      <c r="M14" s="1" t="n"/>
    </row>
    <row r="15">
      <c r="A15" s="1" t="n"/>
      <c r="B15" s="13">
        <f>IF(Budget!B11="","",Budget!B11)</f>
        <v/>
      </c>
      <c r="C15" s="14">
        <f>IF(B15="","",Budget!C11)</f>
        <v/>
      </c>
      <c r="D15" s="14">
        <f>IF(B15="","",Budget!D11)</f>
        <v/>
      </c>
      <c r="E15" s="14">
        <f>IF(B15="","",Budget!E11)</f>
        <v/>
      </c>
      <c r="F15" s="15">
        <f>IF(OR(B15="",N(C15)=0),"",REPT("█",MIN(14,MAX(0,ROUND((D15/C15)*14,0))))&amp;REPT("░",14-MIN(14,MAX(0,ROUND((D15/C15)*14,0)))))</f>
        <v/>
      </c>
      <c r="G15" s="16">
        <f>IF(B15="","",Budget!I11)</f>
        <v/>
      </c>
      <c r="H15" s="1" t="n"/>
      <c r="I15" s="17">
        <f>IF($N$7=0,"No delayed tasks",IF($N$7=1,"1 task is",$N$7&amp;" tasks are")&amp;" delayed")</f>
        <v/>
      </c>
      <c r="J15" s="18" t="n"/>
      <c r="K15" s="18" t="n"/>
      <c r="L15" s="1" t="n"/>
      <c r="M15" s="1" t="n"/>
    </row>
    <row r="16">
      <c r="A16" s="1" t="n"/>
      <c r="B16" s="13">
        <f>IF(Budget!B12="","",Budget!B12)</f>
        <v/>
      </c>
      <c r="C16" s="14">
        <f>IF(B16="","",Budget!C12)</f>
        <v/>
      </c>
      <c r="D16" s="14">
        <f>IF(B16="","",Budget!D12)</f>
        <v/>
      </c>
      <c r="E16" s="14">
        <f>IF(B16="","",Budget!E12)</f>
        <v/>
      </c>
      <c r="F16" s="15">
        <f>IF(OR(B16="",N(C16)=0),"",REPT("█",MIN(14,MAX(0,ROUND((D16/C16)*14,0))))&amp;REPT("░",14-MIN(14,MAX(0,ROUND((D16/C16)*14,0)))))</f>
        <v/>
      </c>
      <c r="G16" s="16">
        <f>IF(B16="","",Budget!I12)</f>
        <v/>
      </c>
      <c r="H16" s="1" t="n"/>
      <c r="I16" s="20">
        <f>IF($N$8="","No tasks coming up","Next task: "&amp;INDEX(Timeline!$B$6:$B$35,MATCH($N$8,Timeline!$E$6:$E$35,0))&amp;IF($N$8=TODAY(),", starting today",", starts in "&amp;($N$8-TODAY())&amp;IF(($N$8-TODAY())=1," day"," days")))</f>
        <v/>
      </c>
      <c r="J16" s="18" t="n"/>
      <c r="K16" s="18" t="n"/>
      <c r="L16" s="1" t="n"/>
      <c r="M16" s="1" t="n"/>
    </row>
    <row r="17">
      <c r="A17" s="1" t="n"/>
      <c r="B17" s="13">
        <f>IF(Budget!B13="","",Budget!B13)</f>
        <v/>
      </c>
      <c r="C17" s="14">
        <f>IF(B17="","",Budget!C13)</f>
        <v/>
      </c>
      <c r="D17" s="14">
        <f>IF(B17="","",Budget!D13)</f>
        <v/>
      </c>
      <c r="E17" s="14">
        <f>IF(B17="","",Budget!E13)</f>
        <v/>
      </c>
      <c r="F17" s="15">
        <f>IF(OR(B17="",N(C17)=0),"",REPT("█",MIN(14,MAX(0,ROUND((D17/C17)*14,0))))&amp;REPT("░",14-MIN(14,MAX(0,ROUND((D17/C17)*14,0)))))</f>
        <v/>
      </c>
      <c r="G17" s="16">
        <f>IF(B17="","",Budget!I13)</f>
        <v/>
      </c>
      <c r="H17" s="1" t="n"/>
      <c r="I17" s="1" t="n"/>
      <c r="J17" s="1" t="n"/>
      <c r="K17" s="1" t="n"/>
      <c r="L17" s="1" t="n"/>
      <c r="M17" s="1" t="n"/>
    </row>
    <row r="18" ht="30" customHeight="1">
      <c r="A18" s="1" t="n"/>
      <c r="B18" s="13">
        <f>IF(Budget!B14="","",Budget!B14)</f>
        <v/>
      </c>
      <c r="C18" s="14">
        <f>IF(B18="","",Budget!C14)</f>
        <v/>
      </c>
      <c r="D18" s="14">
        <f>IF(B18="","",Budget!D14)</f>
        <v/>
      </c>
      <c r="E18" s="14">
        <f>IF(B18="","",Budget!E14)</f>
        <v/>
      </c>
      <c r="F18" s="15">
        <f>IF(OR(B18="",N(C18)=0),"",REPT("█",MIN(14,MAX(0,ROUND((D18/C18)*14,0))))&amp;REPT("░",14-MIN(14,MAX(0,ROUND((D18/C18)*14,0)))))</f>
        <v/>
      </c>
      <c r="G18" s="16">
        <f>IF(B18="","",Budget!I14)</f>
        <v/>
      </c>
      <c r="H18" s="1" t="n"/>
      <c r="I18" s="11" t="inlineStr">
        <is>
          <t>Next payments</t>
        </is>
      </c>
      <c r="J18" s="11" t="inlineStr">
        <is>
          <t>To</t>
        </is>
      </c>
      <c r="K18" s="11" t="inlineStr">
        <is>
          <t>Amount</t>
        </is>
      </c>
      <c r="L18" s="1" t="n"/>
      <c r="M18" s="1" t="n"/>
    </row>
    <row r="19">
      <c r="A19" s="1" t="n"/>
      <c r="B19" s="13">
        <f>IF(Budget!B15="","",Budget!B15)</f>
        <v/>
      </c>
      <c r="C19" s="14">
        <f>IF(B19="","",Budget!C15)</f>
        <v/>
      </c>
      <c r="D19" s="14">
        <f>IF(B19="","",Budget!D15)</f>
        <v/>
      </c>
      <c r="E19" s="14">
        <f>IF(B19="","",Budget!E15)</f>
        <v/>
      </c>
      <c r="F19" s="15">
        <f>IF(OR(B19="",N(C19)=0),"",REPT("█",MIN(14,MAX(0,ROUND((D19/C19)*14,0))))&amp;REPT("░",14-MIN(14,MAX(0,ROUND((D19/C19)*14,0)))))</f>
        <v/>
      </c>
      <c r="G19" s="16">
        <f>IF(B19="","",Budget!I15)</f>
        <v/>
      </c>
      <c r="H19" s="1" t="n"/>
      <c r="I19" s="22">
        <f>IF($M19="","",INT($M19))</f>
        <v/>
      </c>
      <c r="J19" s="16">
        <f>IF($M19="","",INDEX(Costs!$D$6:$D$305,MATCH($M19,Costs!$O$6:$O$305,0))&amp;", "&amp;INDEX(Costs!$C$6:$C$305,MATCH($M19,Costs!$O$6:$O$305,0)))</f>
        <v/>
      </c>
      <c r="K19" s="14">
        <f>IF($M19="","",INDEX(Costs!$I$6:$I$305,MATCH($M19,Costs!$O$6:$O$305,0)))</f>
        <v/>
      </c>
      <c r="L19" s="1" t="n"/>
      <c r="M19" s="1">
        <f>IFERROR(SMALL(Costs!$O$6:$O$305,1),"")</f>
        <v/>
      </c>
    </row>
    <row r="20">
      <c r="A20" s="1" t="n"/>
      <c r="B20" s="13">
        <f>IF(Budget!B16="","",Budget!B16)</f>
        <v/>
      </c>
      <c r="C20" s="14">
        <f>IF(B20="","",Budget!C16)</f>
        <v/>
      </c>
      <c r="D20" s="14">
        <f>IF(B20="","",Budget!D16)</f>
        <v/>
      </c>
      <c r="E20" s="14">
        <f>IF(B20="","",Budget!E16)</f>
        <v/>
      </c>
      <c r="F20" s="15">
        <f>IF(OR(B20="",N(C20)=0),"",REPT("█",MIN(14,MAX(0,ROUND((D20/C20)*14,0))))&amp;REPT("░",14-MIN(14,MAX(0,ROUND((D20/C20)*14,0)))))</f>
        <v/>
      </c>
      <c r="G20" s="16">
        <f>IF(B20="","",Budget!I16)</f>
        <v/>
      </c>
      <c r="H20" s="1" t="n"/>
      <c r="I20" s="22">
        <f>IF($M20="","",INT($M20))</f>
        <v/>
      </c>
      <c r="J20" s="16">
        <f>IF($M20="","",INDEX(Costs!$D$6:$D$305,MATCH($M20,Costs!$O$6:$O$305,0))&amp;", "&amp;INDEX(Costs!$C$6:$C$305,MATCH($M20,Costs!$O$6:$O$305,0)))</f>
        <v/>
      </c>
      <c r="K20" s="14">
        <f>IF($M20="","",INDEX(Costs!$I$6:$I$305,MATCH($M20,Costs!$O$6:$O$305,0)))</f>
        <v/>
      </c>
      <c r="L20" s="1" t="n"/>
      <c r="M20" s="1">
        <f>IFERROR(SMALL(Costs!$O$6:$O$305,2),"")</f>
        <v/>
      </c>
    </row>
    <row r="21">
      <c r="A21" s="1" t="n"/>
      <c r="B21" s="13">
        <f>IF(Budget!B17="","",Budget!B17)</f>
        <v/>
      </c>
      <c r="C21" s="14">
        <f>IF(B21="","",Budget!C17)</f>
        <v/>
      </c>
      <c r="D21" s="14">
        <f>IF(B21="","",Budget!D17)</f>
        <v/>
      </c>
      <c r="E21" s="14">
        <f>IF(B21="","",Budget!E17)</f>
        <v/>
      </c>
      <c r="F21" s="15">
        <f>IF(OR(B21="",N(C21)=0),"",REPT("█",MIN(14,MAX(0,ROUND((D21/C21)*14,0))))&amp;REPT("░",14-MIN(14,MAX(0,ROUND((D21/C21)*14,0)))))</f>
        <v/>
      </c>
      <c r="G21" s="16">
        <f>IF(B21="","",Budget!I17)</f>
        <v/>
      </c>
      <c r="H21" s="1" t="n"/>
      <c r="I21" s="22">
        <f>IF($M21="","",INT($M21))</f>
        <v/>
      </c>
      <c r="J21" s="16">
        <f>IF($M21="","",INDEX(Costs!$D$6:$D$305,MATCH($M21,Costs!$O$6:$O$305,0))&amp;", "&amp;INDEX(Costs!$C$6:$C$305,MATCH($M21,Costs!$O$6:$O$305,0)))</f>
        <v/>
      </c>
      <c r="K21" s="14">
        <f>IF($M21="","",INDEX(Costs!$I$6:$I$305,MATCH($M21,Costs!$O$6:$O$305,0)))</f>
        <v/>
      </c>
      <c r="L21" s="1" t="n"/>
      <c r="M21" s="1">
        <f>IFERROR(SMALL(Costs!$O$6:$O$305,3),"")</f>
        <v/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2">
        <f>IF($M22="","",INT($M22))</f>
        <v/>
      </c>
      <c r="J22" s="16">
        <f>IF($M22="","",INDEX(Costs!$D$6:$D$305,MATCH($M22,Costs!$O$6:$O$305,0))&amp;", "&amp;INDEX(Costs!$C$6:$C$305,MATCH($M22,Costs!$O$6:$O$305,0)))</f>
        <v/>
      </c>
      <c r="K22" s="14">
        <f>IF($M22="","",INDEX(Costs!$I$6:$I$305,MATCH($M22,Costs!$O$6:$O$305,0)))</f>
        <v/>
      </c>
      <c r="L22" s="1" t="n"/>
      <c r="M22" s="1">
        <f>IFERROR(SMALL(Costs!$O$6:$O$305,4),"")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22">
        <f>IF($M23="","",INT($M23))</f>
        <v/>
      </c>
      <c r="J23" s="16">
        <f>IF($M23="","",INDEX(Costs!$D$6:$D$305,MATCH($M23,Costs!$O$6:$O$305,0))&amp;", "&amp;INDEX(Costs!$C$6:$C$305,MATCH($M23,Costs!$O$6:$O$305,0)))</f>
        <v/>
      </c>
      <c r="K23" s="14">
        <f>IF($M23="","",INDEX(Costs!$I$6:$I$305,MATCH($M23,Costs!$O$6:$O$305,0)))</f>
        <v/>
      </c>
      <c r="L23" s="1" t="n"/>
      <c r="M23" s="1">
        <f>IFERROR(SMALL(Costs!$O$6:$O$305,5),"")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</sheetData>
  <mergeCells count="10">
    <mergeCell ref="I16:K16"/>
    <mergeCell ref="I11:K11"/>
    <mergeCell ref="I10:K10"/>
    <mergeCell ref="I13:K13"/>
    <mergeCell ref="I14:K14"/>
    <mergeCell ref="I9:K9"/>
    <mergeCell ref="I12:K12"/>
    <mergeCell ref="I15:K15"/>
    <mergeCell ref="I7:K7"/>
    <mergeCell ref="I6:K6"/>
  </mergeCells>
  <conditionalFormatting sqref="I7">
    <cfRule type="expression" priority="1" dxfId="0">
      <formula>$I$7&lt;0</formula>
    </cfRule>
  </conditionalFormatting>
  <conditionalFormatting sqref="G10:G21">
    <cfRule type="expression" priority="2" dxfId="0">
      <formula>LEFT($G10,4)="Over"</formula>
    </cfRule>
    <cfRule type="expression" priority="3" dxfId="1">
      <formula>OR(ISNUMBER(SEARCH("near",$G10)),$G10="No budget set")</formula>
    </cfRule>
    <cfRule type="expression" priority="4" dxfId="2">
      <formula>$G10&lt;&gt;""</formula>
    </cfRule>
  </conditionalFormatting>
  <conditionalFormatting sqref="I10">
    <cfRule type="expression" priority="5" dxfId="2">
      <formula>LEFT(I10,2)="No"</formula>
    </cfRule>
  </conditionalFormatting>
  <conditionalFormatting sqref="I11">
    <cfRule type="expression" priority="6" dxfId="2">
      <formula>LEFT(I11,2)="No"</formula>
    </cfRule>
  </conditionalFormatting>
  <conditionalFormatting sqref="I12">
    <cfRule type="expression" priority="7" dxfId="2">
      <formula>LEFT(I12,7)="Nothing"</formula>
    </cfRule>
  </conditionalFormatting>
  <conditionalFormatting sqref="I13">
    <cfRule type="expression" priority="8" dxfId="2">
      <formula>LEFT(I13,2)="No"</formula>
    </cfRule>
  </conditionalFormatting>
  <conditionalFormatting sqref="I15">
    <cfRule type="expression" priority="9" dxfId="2">
      <formula>LEFT(I15,2)="No"</formula>
    </cfRule>
  </conditionalFormatting>
  <conditionalFormatting sqref="I14">
    <cfRule type="expression" priority="10" dxfId="3">
      <formula>LEFT(I14,16)="Contingency used"</formula>
    </cfRule>
  </conditionalFormatting>
  <conditionalFormatting sqref="I19:K23">
    <cfRule type="expression" priority="11" dxfId="3">
      <formula>AND($I19&lt;&gt;"",$I19&lt;TODAY())</formula>
    </cfRule>
    <cfRule type="expression" priority="12" dxfId="1">
      <formula>AND($I19&lt;&gt;"",$I19-TODAY()&lt;=14)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6" customWidth="1" min="8" max="8"/>
    <col width="26" customWidth="1" min="9" max="9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Budget by room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Type a budget for each room or area. Committed and paid come from the Costs tab.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23" t="inlineStr">
        <is>
          <t>Contingency</t>
        </is>
      </c>
      <c r="C4" s="24" t="n">
        <v>0.1</v>
      </c>
      <c r="D4" s="25" t="inlineStr">
        <is>
          <t>Money kept aside for surprises. Between 10 and 20% is usual.</t>
        </is>
      </c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11" t="inlineStr">
        <is>
          <t>Room or area</t>
        </is>
      </c>
      <c r="C5" s="11" t="inlineStr">
        <is>
          <t>Budget</t>
        </is>
      </c>
      <c r="D5" s="11" t="inlineStr">
        <is>
          <t>Committed</t>
        </is>
      </c>
      <c r="E5" s="11" t="inlineStr">
        <is>
          <t>Paid</t>
        </is>
      </c>
      <c r="F5" s="11" t="inlineStr">
        <is>
          <t>Still to pay</t>
        </is>
      </c>
      <c r="G5" s="11" t="inlineStr">
        <is>
          <t>Left to commit</t>
        </is>
      </c>
      <c r="H5" s="11" t="inlineStr">
        <is>
          <t>Used</t>
        </is>
      </c>
      <c r="I5" s="11" t="inlineStr">
        <is>
          <t>Status</t>
        </is>
      </c>
      <c r="J5" s="1" t="n"/>
    </row>
    <row r="6">
      <c r="A6" s="1" t="n"/>
      <c r="B6" s="26" t="inlineStr">
        <is>
          <t>Kitchen</t>
        </is>
      </c>
      <c r="C6" s="27" t="n">
        <v>18000</v>
      </c>
      <c r="D6" s="14">
        <f>IF(B6="","",SUMIFS(Costs!$E$6:$E$305,Costs!$B$6:$B$305,B6,Costs!$F$6:$F$305,"Hired")+SUMIFS(Costs!$E$6:$E$305,Costs!$B$6:$B$305,B6,Costs!$F$6:$F$305,"Bought"))</f>
        <v/>
      </c>
      <c r="E6" s="14">
        <f>IF(B6="","",SUMIFS(Costs!$G$6:$G$305,Costs!$B$6:$B$305,B6,Costs!$F$6:$F$305,"Hired")+SUMIFS(Costs!$G$6:$G$305,Costs!$B$6:$B$305,B6,Costs!$F$6:$F$305,"Bought"))</f>
        <v/>
      </c>
      <c r="F6" s="14">
        <f>IF(B6="","",D6-E6)</f>
        <v/>
      </c>
      <c r="G6" s="28">
        <f>IF(B6="","",C6-D6)</f>
        <v/>
      </c>
      <c r="H6" s="15">
        <f>IF(OR(B6="",N(C6)=0),"",REPT("█",MIN(12,MAX(0,ROUND((D6/C6)*12,0))))&amp;REPT("░",12-MIN(12,MAX(0,ROUND((D6/C6)*12,0)))))</f>
        <v/>
      </c>
      <c r="I6" s="16">
        <f>IF(B6="","",IF(N(C6)=0,IF(N(D6)&gt;0,"No budget set",""),IF(D6&gt;C6,"Over by "&amp;FIXED(D6-C6,0),IF(D6&gt;=0.9*C6,ROUND(D6/C6*100,0)&amp;"% used, near the limit",ROUND(D6/C6*100,0)&amp;"% used"))))</f>
        <v/>
      </c>
      <c r="J6" s="1">
        <f>IF(B6="","",MAX(0,N(D6)-N(C6)))</f>
        <v/>
      </c>
    </row>
    <row r="7">
      <c r="A7" s="1" t="n"/>
      <c r="B7" s="26" t="inlineStr">
        <is>
          <t>Bathroom</t>
        </is>
      </c>
      <c r="C7" s="27" t="n">
        <v>9000</v>
      </c>
      <c r="D7" s="14">
        <f>IF(B7="","",SUMIFS(Costs!$E$6:$E$305,Costs!$B$6:$B$305,B7,Costs!$F$6:$F$305,"Hired")+SUMIFS(Costs!$E$6:$E$305,Costs!$B$6:$B$305,B7,Costs!$F$6:$F$305,"Bought"))</f>
        <v/>
      </c>
      <c r="E7" s="14">
        <f>IF(B7="","",SUMIFS(Costs!$G$6:$G$305,Costs!$B$6:$B$305,B7,Costs!$F$6:$F$305,"Hired")+SUMIFS(Costs!$G$6:$G$305,Costs!$B$6:$B$305,B7,Costs!$F$6:$F$305,"Bought"))</f>
        <v/>
      </c>
      <c r="F7" s="14">
        <f>IF(B7="","",D7-E7)</f>
        <v/>
      </c>
      <c r="G7" s="28">
        <f>IF(B7="","",C7-D7)</f>
        <v/>
      </c>
      <c r="H7" s="15">
        <f>IF(OR(B7="",N(C7)=0),"",REPT("█",MIN(12,MAX(0,ROUND((D7/C7)*12,0))))&amp;REPT("░",12-MIN(12,MAX(0,ROUND((D7/C7)*12,0)))))</f>
        <v/>
      </c>
      <c r="I7" s="16">
        <f>IF(B7="","",IF(N(C7)=0,IF(N(D7)&gt;0,"No budget set",""),IF(D7&gt;C7,"Over by "&amp;FIXED(D7-C7,0),IF(D7&gt;=0.9*C7,ROUND(D7/C7*100,0)&amp;"% used, near the limit",ROUND(D7/C7*100,0)&amp;"% used"))))</f>
        <v/>
      </c>
      <c r="J7" s="1">
        <f>IF(B7="","",MAX(0,N(D7)-N(C7)))</f>
        <v/>
      </c>
    </row>
    <row r="8">
      <c r="A8" s="1" t="n"/>
      <c r="B8" s="26" t="inlineStr">
        <is>
          <t>Living room</t>
        </is>
      </c>
      <c r="C8" s="27" t="n">
        <v>4500</v>
      </c>
      <c r="D8" s="14">
        <f>IF(B8="","",SUMIFS(Costs!$E$6:$E$305,Costs!$B$6:$B$305,B8,Costs!$F$6:$F$305,"Hired")+SUMIFS(Costs!$E$6:$E$305,Costs!$B$6:$B$305,B8,Costs!$F$6:$F$305,"Bought"))</f>
        <v/>
      </c>
      <c r="E8" s="14">
        <f>IF(B8="","",SUMIFS(Costs!$G$6:$G$305,Costs!$B$6:$B$305,B8,Costs!$F$6:$F$305,"Hired")+SUMIFS(Costs!$G$6:$G$305,Costs!$B$6:$B$305,B8,Costs!$F$6:$F$305,"Bought"))</f>
        <v/>
      </c>
      <c r="F8" s="14">
        <f>IF(B8="","",D8-E8)</f>
        <v/>
      </c>
      <c r="G8" s="28">
        <f>IF(B8="","",C8-D8)</f>
        <v/>
      </c>
      <c r="H8" s="15">
        <f>IF(OR(B8="",N(C8)=0),"",REPT("█",MIN(12,MAX(0,ROUND((D8/C8)*12,0))))&amp;REPT("░",12-MIN(12,MAX(0,ROUND((D8/C8)*12,0)))))</f>
        <v/>
      </c>
      <c r="I8" s="16">
        <f>IF(B8="","",IF(N(C8)=0,IF(N(D8)&gt;0,"No budget set",""),IF(D8&gt;C8,"Over by "&amp;FIXED(D8-C8,0),IF(D8&gt;=0.9*C8,ROUND(D8/C8*100,0)&amp;"% used, near the limit",ROUND(D8/C8*100,0)&amp;"% used"))))</f>
        <v/>
      </c>
      <c r="J8" s="1">
        <f>IF(B8="","",MAX(0,N(D8)-N(C8)))</f>
        <v/>
      </c>
    </row>
    <row r="9">
      <c r="A9" s="1" t="n"/>
      <c r="B9" s="26" t="inlineStr">
        <is>
          <t>Primary bedroom</t>
        </is>
      </c>
      <c r="C9" s="27" t="n">
        <v>3000</v>
      </c>
      <c r="D9" s="14">
        <f>IF(B9="","",SUMIFS(Costs!$E$6:$E$305,Costs!$B$6:$B$305,B9,Costs!$F$6:$F$305,"Hired")+SUMIFS(Costs!$E$6:$E$305,Costs!$B$6:$B$305,B9,Costs!$F$6:$F$305,"Bought"))</f>
        <v/>
      </c>
      <c r="E9" s="14">
        <f>IF(B9="","",SUMIFS(Costs!$G$6:$G$305,Costs!$B$6:$B$305,B9,Costs!$F$6:$F$305,"Hired")+SUMIFS(Costs!$G$6:$G$305,Costs!$B$6:$B$305,B9,Costs!$F$6:$F$305,"Bought"))</f>
        <v/>
      </c>
      <c r="F9" s="14">
        <f>IF(B9="","",D9-E9)</f>
        <v/>
      </c>
      <c r="G9" s="28">
        <f>IF(B9="","",C9-D9)</f>
        <v/>
      </c>
      <c r="H9" s="15">
        <f>IF(OR(B9="",N(C9)=0),"",REPT("█",MIN(12,MAX(0,ROUND((D9/C9)*12,0))))&amp;REPT("░",12-MIN(12,MAX(0,ROUND((D9/C9)*12,0)))))</f>
        <v/>
      </c>
      <c r="I9" s="16">
        <f>IF(B9="","",IF(N(C9)=0,IF(N(D9)&gt;0,"No budget set",""),IF(D9&gt;C9,"Over by "&amp;FIXED(D9-C9,0),IF(D9&gt;=0.9*C9,ROUND(D9/C9*100,0)&amp;"% used, near the limit",ROUND(D9/C9*100,0)&amp;"% used"))))</f>
        <v/>
      </c>
      <c r="J9" s="1">
        <f>IF(B9="","",MAX(0,N(D9)-N(C9)))</f>
        <v/>
      </c>
    </row>
    <row r="10">
      <c r="A10" s="1" t="n"/>
      <c r="B10" s="26" t="inlineStr">
        <is>
          <t>Whole house</t>
        </is>
      </c>
      <c r="C10" s="27" t="n">
        <v>5000</v>
      </c>
      <c r="D10" s="14">
        <f>IF(B10="","",SUMIFS(Costs!$E$6:$E$305,Costs!$B$6:$B$305,B10,Costs!$F$6:$F$305,"Hired")+SUMIFS(Costs!$E$6:$E$305,Costs!$B$6:$B$305,B10,Costs!$F$6:$F$305,"Bought"))</f>
        <v/>
      </c>
      <c r="E10" s="14">
        <f>IF(B10="","",SUMIFS(Costs!$G$6:$G$305,Costs!$B$6:$B$305,B10,Costs!$F$6:$F$305,"Hired")+SUMIFS(Costs!$G$6:$G$305,Costs!$B$6:$B$305,B10,Costs!$F$6:$F$305,"Bought"))</f>
        <v/>
      </c>
      <c r="F10" s="14">
        <f>IF(B10="","",D10-E10)</f>
        <v/>
      </c>
      <c r="G10" s="28">
        <f>IF(B10="","",C10-D10)</f>
        <v/>
      </c>
      <c r="H10" s="15">
        <f>IF(OR(B10="",N(C10)=0),"",REPT("█",MIN(12,MAX(0,ROUND((D10/C10)*12,0))))&amp;REPT("░",12-MIN(12,MAX(0,ROUND((D10/C10)*12,0)))))</f>
        <v/>
      </c>
      <c r="I10" s="16">
        <f>IF(B10="","",IF(N(C10)=0,IF(N(D10)&gt;0,"No budget set",""),IF(D10&gt;C10,"Over by "&amp;FIXED(D10-C10,0),IF(D10&gt;=0.9*C10,ROUND(D10/C10*100,0)&amp;"% used, near the limit",ROUND(D10/C10*100,0)&amp;"% used"))))</f>
        <v/>
      </c>
      <c r="J10" s="1">
        <f>IF(B10="","",MAX(0,N(D10)-N(C10)))</f>
        <v/>
      </c>
    </row>
    <row r="11">
      <c r="A11" s="1" t="n"/>
      <c r="B11" s="26" t="inlineStr">
        <is>
          <t>Exterior</t>
        </is>
      </c>
      <c r="C11" s="27" t="n">
        <v>3500</v>
      </c>
      <c r="D11" s="14">
        <f>IF(B11="","",SUMIFS(Costs!$E$6:$E$305,Costs!$B$6:$B$305,B11,Costs!$F$6:$F$305,"Hired")+SUMIFS(Costs!$E$6:$E$305,Costs!$B$6:$B$305,B11,Costs!$F$6:$F$305,"Bought"))</f>
        <v/>
      </c>
      <c r="E11" s="14">
        <f>IF(B11="","",SUMIFS(Costs!$G$6:$G$305,Costs!$B$6:$B$305,B11,Costs!$F$6:$F$305,"Hired")+SUMIFS(Costs!$G$6:$G$305,Costs!$B$6:$B$305,B11,Costs!$F$6:$F$305,"Bought"))</f>
        <v/>
      </c>
      <c r="F11" s="14">
        <f>IF(B11="","",D11-E11)</f>
        <v/>
      </c>
      <c r="G11" s="28">
        <f>IF(B11="","",C11-D11)</f>
        <v/>
      </c>
      <c r="H11" s="15">
        <f>IF(OR(B11="",N(C11)=0),"",REPT("█",MIN(12,MAX(0,ROUND((D11/C11)*12,0))))&amp;REPT("░",12-MIN(12,MAX(0,ROUND((D11/C11)*12,0)))))</f>
        <v/>
      </c>
      <c r="I11" s="16">
        <f>IF(B11="","",IF(N(C11)=0,IF(N(D11)&gt;0,"No budget set",""),IF(D11&gt;C11,"Over by "&amp;FIXED(D11-C11,0),IF(D11&gt;=0.9*C11,ROUND(D11/C11*100,0)&amp;"% used, near the limit",ROUND(D11/C11*100,0)&amp;"% used"))))</f>
        <v/>
      </c>
      <c r="J11" s="1">
        <f>IF(B11="","",MAX(0,N(D11)-N(C11)))</f>
        <v/>
      </c>
    </row>
    <row r="12">
      <c r="A12" s="1" t="n"/>
      <c r="B12" s="26" t="n"/>
      <c r="C12" s="27" t="n"/>
      <c r="D12" s="14">
        <f>IF(B12="","",SUMIFS(Costs!$E$6:$E$305,Costs!$B$6:$B$305,B12,Costs!$F$6:$F$305,"Hired")+SUMIFS(Costs!$E$6:$E$305,Costs!$B$6:$B$305,B12,Costs!$F$6:$F$305,"Bought"))</f>
        <v/>
      </c>
      <c r="E12" s="14">
        <f>IF(B12="","",SUMIFS(Costs!$G$6:$G$305,Costs!$B$6:$B$305,B12,Costs!$F$6:$F$305,"Hired")+SUMIFS(Costs!$G$6:$G$305,Costs!$B$6:$B$305,B12,Costs!$F$6:$F$305,"Bought"))</f>
        <v/>
      </c>
      <c r="F12" s="14">
        <f>IF(B12="","",D12-E12)</f>
        <v/>
      </c>
      <c r="G12" s="28">
        <f>IF(B12="","",C12-D12)</f>
        <v/>
      </c>
      <c r="H12" s="15">
        <f>IF(OR(B12="",N(C12)=0),"",REPT("█",MIN(12,MAX(0,ROUND((D12/C12)*12,0))))&amp;REPT("░",12-MIN(12,MAX(0,ROUND((D12/C12)*12,0)))))</f>
        <v/>
      </c>
      <c r="I12" s="16">
        <f>IF(B12="","",IF(N(C12)=0,IF(N(D12)&gt;0,"No budget set",""),IF(D12&gt;C12,"Over by "&amp;FIXED(D12-C12,0),IF(D12&gt;=0.9*C12,ROUND(D12/C12*100,0)&amp;"% used, near the limit",ROUND(D12/C12*100,0)&amp;"% used"))))</f>
        <v/>
      </c>
      <c r="J12" s="1">
        <f>IF(B12="","",MAX(0,N(D12)-N(C12)))</f>
        <v/>
      </c>
    </row>
    <row r="13">
      <c r="A13" s="1" t="n"/>
      <c r="B13" s="26" t="n"/>
      <c r="C13" s="27" t="n"/>
      <c r="D13" s="14">
        <f>IF(B13="","",SUMIFS(Costs!$E$6:$E$305,Costs!$B$6:$B$305,B13,Costs!$F$6:$F$305,"Hired")+SUMIFS(Costs!$E$6:$E$305,Costs!$B$6:$B$305,B13,Costs!$F$6:$F$305,"Bought"))</f>
        <v/>
      </c>
      <c r="E13" s="14">
        <f>IF(B13="","",SUMIFS(Costs!$G$6:$G$305,Costs!$B$6:$B$305,B13,Costs!$F$6:$F$305,"Hired")+SUMIFS(Costs!$G$6:$G$305,Costs!$B$6:$B$305,B13,Costs!$F$6:$F$305,"Bought"))</f>
        <v/>
      </c>
      <c r="F13" s="14">
        <f>IF(B13="","",D13-E13)</f>
        <v/>
      </c>
      <c r="G13" s="28">
        <f>IF(B13="","",C13-D13)</f>
        <v/>
      </c>
      <c r="H13" s="15">
        <f>IF(OR(B13="",N(C13)=0),"",REPT("█",MIN(12,MAX(0,ROUND((D13/C13)*12,0))))&amp;REPT("░",12-MIN(12,MAX(0,ROUND((D13/C13)*12,0)))))</f>
        <v/>
      </c>
      <c r="I13" s="16">
        <f>IF(B13="","",IF(N(C13)=0,IF(N(D13)&gt;0,"No budget set",""),IF(D13&gt;C13,"Over by "&amp;FIXED(D13-C13,0),IF(D13&gt;=0.9*C13,ROUND(D13/C13*100,0)&amp;"% used, near the limit",ROUND(D13/C13*100,0)&amp;"% used"))))</f>
        <v/>
      </c>
      <c r="J13" s="1">
        <f>IF(B13="","",MAX(0,N(D13)-N(C13)))</f>
        <v/>
      </c>
    </row>
    <row r="14">
      <c r="A14" s="1" t="n"/>
      <c r="B14" s="26" t="n"/>
      <c r="C14" s="27" t="n"/>
      <c r="D14" s="14">
        <f>IF(B14="","",SUMIFS(Costs!$E$6:$E$305,Costs!$B$6:$B$305,B14,Costs!$F$6:$F$305,"Hired")+SUMIFS(Costs!$E$6:$E$305,Costs!$B$6:$B$305,B14,Costs!$F$6:$F$305,"Bought"))</f>
        <v/>
      </c>
      <c r="E14" s="14">
        <f>IF(B14="","",SUMIFS(Costs!$G$6:$G$305,Costs!$B$6:$B$305,B14,Costs!$F$6:$F$305,"Hired")+SUMIFS(Costs!$G$6:$G$305,Costs!$B$6:$B$305,B14,Costs!$F$6:$F$305,"Bought"))</f>
        <v/>
      </c>
      <c r="F14" s="14">
        <f>IF(B14="","",D14-E14)</f>
        <v/>
      </c>
      <c r="G14" s="28">
        <f>IF(B14="","",C14-D14)</f>
        <v/>
      </c>
      <c r="H14" s="15">
        <f>IF(OR(B14="",N(C14)=0),"",REPT("█",MIN(12,MAX(0,ROUND((D14/C14)*12,0))))&amp;REPT("░",12-MIN(12,MAX(0,ROUND((D14/C14)*12,0)))))</f>
        <v/>
      </c>
      <c r="I14" s="16">
        <f>IF(B14="","",IF(N(C14)=0,IF(N(D14)&gt;0,"No budget set",""),IF(D14&gt;C14,"Over by "&amp;FIXED(D14-C14,0),IF(D14&gt;=0.9*C14,ROUND(D14/C14*100,0)&amp;"% used, near the limit",ROUND(D14/C14*100,0)&amp;"% used"))))</f>
        <v/>
      </c>
      <c r="J14" s="1">
        <f>IF(B14="","",MAX(0,N(D14)-N(C14)))</f>
        <v/>
      </c>
    </row>
    <row r="15">
      <c r="A15" s="1" t="n"/>
      <c r="B15" s="26" t="n"/>
      <c r="C15" s="27" t="n"/>
      <c r="D15" s="14">
        <f>IF(B15="","",SUMIFS(Costs!$E$6:$E$305,Costs!$B$6:$B$305,B15,Costs!$F$6:$F$305,"Hired")+SUMIFS(Costs!$E$6:$E$305,Costs!$B$6:$B$305,B15,Costs!$F$6:$F$305,"Bought"))</f>
        <v/>
      </c>
      <c r="E15" s="14">
        <f>IF(B15="","",SUMIFS(Costs!$G$6:$G$305,Costs!$B$6:$B$305,B15,Costs!$F$6:$F$305,"Hired")+SUMIFS(Costs!$G$6:$G$305,Costs!$B$6:$B$305,B15,Costs!$F$6:$F$305,"Bought"))</f>
        <v/>
      </c>
      <c r="F15" s="14">
        <f>IF(B15="","",D15-E15)</f>
        <v/>
      </c>
      <c r="G15" s="28">
        <f>IF(B15="","",C15-D15)</f>
        <v/>
      </c>
      <c r="H15" s="15">
        <f>IF(OR(B15="",N(C15)=0),"",REPT("█",MIN(12,MAX(0,ROUND((D15/C15)*12,0))))&amp;REPT("░",12-MIN(12,MAX(0,ROUND((D15/C15)*12,0)))))</f>
        <v/>
      </c>
      <c r="I15" s="16">
        <f>IF(B15="","",IF(N(C15)=0,IF(N(D15)&gt;0,"No budget set",""),IF(D15&gt;C15,"Over by "&amp;FIXED(D15-C15,0),IF(D15&gt;=0.9*C15,ROUND(D15/C15*100,0)&amp;"% used, near the limit",ROUND(D15/C15*100,0)&amp;"% used"))))</f>
        <v/>
      </c>
      <c r="J15" s="1">
        <f>IF(B15="","",MAX(0,N(D15)-N(C15)))</f>
        <v/>
      </c>
    </row>
    <row r="16">
      <c r="A16" s="1" t="n"/>
      <c r="B16" s="26" t="n"/>
      <c r="C16" s="27" t="n"/>
      <c r="D16" s="14">
        <f>IF(B16="","",SUMIFS(Costs!$E$6:$E$305,Costs!$B$6:$B$305,B16,Costs!$F$6:$F$305,"Hired")+SUMIFS(Costs!$E$6:$E$305,Costs!$B$6:$B$305,B16,Costs!$F$6:$F$305,"Bought"))</f>
        <v/>
      </c>
      <c r="E16" s="14">
        <f>IF(B16="","",SUMIFS(Costs!$G$6:$G$305,Costs!$B$6:$B$305,B16,Costs!$F$6:$F$305,"Hired")+SUMIFS(Costs!$G$6:$G$305,Costs!$B$6:$B$305,B16,Costs!$F$6:$F$305,"Bought"))</f>
        <v/>
      </c>
      <c r="F16" s="14">
        <f>IF(B16="","",D16-E16)</f>
        <v/>
      </c>
      <c r="G16" s="28">
        <f>IF(B16="","",C16-D16)</f>
        <v/>
      </c>
      <c r="H16" s="15">
        <f>IF(OR(B16="",N(C16)=0),"",REPT("█",MIN(12,MAX(0,ROUND((D16/C16)*12,0))))&amp;REPT("░",12-MIN(12,MAX(0,ROUND((D16/C16)*12,0)))))</f>
        <v/>
      </c>
      <c r="I16" s="16">
        <f>IF(B16="","",IF(N(C16)=0,IF(N(D16)&gt;0,"No budget set",""),IF(D16&gt;C16,"Over by "&amp;FIXED(D16-C16,0),IF(D16&gt;=0.9*C16,ROUND(D16/C16*100,0)&amp;"% used, near the limit",ROUND(D16/C16*100,0)&amp;"% used"))))</f>
        <v/>
      </c>
      <c r="J16" s="1">
        <f>IF(B16="","",MAX(0,N(D16)-N(C16)))</f>
        <v/>
      </c>
    </row>
    <row r="17">
      <c r="A17" s="1" t="n"/>
      <c r="B17" s="26" t="n"/>
      <c r="C17" s="27" t="n"/>
      <c r="D17" s="14">
        <f>IF(B17="","",SUMIFS(Costs!$E$6:$E$305,Costs!$B$6:$B$305,B17,Costs!$F$6:$F$305,"Hired")+SUMIFS(Costs!$E$6:$E$305,Costs!$B$6:$B$305,B17,Costs!$F$6:$F$305,"Bought"))</f>
        <v/>
      </c>
      <c r="E17" s="14">
        <f>IF(B17="","",SUMIFS(Costs!$G$6:$G$305,Costs!$B$6:$B$305,B17,Costs!$F$6:$F$305,"Hired")+SUMIFS(Costs!$G$6:$G$305,Costs!$B$6:$B$305,B17,Costs!$F$6:$F$305,"Bought"))</f>
        <v/>
      </c>
      <c r="F17" s="14">
        <f>IF(B17="","",D17-E17)</f>
        <v/>
      </c>
      <c r="G17" s="28">
        <f>IF(B17="","",C17-D17)</f>
        <v/>
      </c>
      <c r="H17" s="15">
        <f>IF(OR(B17="",N(C17)=0),"",REPT("█",MIN(12,MAX(0,ROUND((D17/C17)*12,0))))&amp;REPT("░",12-MIN(12,MAX(0,ROUND((D17/C17)*12,0)))))</f>
        <v/>
      </c>
      <c r="I17" s="16">
        <f>IF(B17="","",IF(N(C17)=0,IF(N(D17)&gt;0,"No budget set",""),IF(D17&gt;C17,"Over by "&amp;FIXED(D17-C17,0),IF(D17&gt;=0.9*C17,ROUND(D17/C17*100,0)&amp;"% used, near the limit",ROUND(D17/C17*100,0)&amp;"% used"))))</f>
        <v/>
      </c>
      <c r="J17" s="1">
        <f>IF(B17="","",MAX(0,N(D17)-N(C17)))</f>
        <v/>
      </c>
    </row>
    <row r="18">
      <c r="A18" s="1" t="n"/>
      <c r="B18" s="29" t="inlineStr">
        <is>
          <t>Total</t>
        </is>
      </c>
      <c r="C18" s="30">
        <f>SUM(C6:C17)</f>
        <v/>
      </c>
      <c r="D18" s="30">
        <f>SUM(D6:D17)</f>
        <v/>
      </c>
      <c r="E18" s="30">
        <f>SUM(E6:E17)</f>
        <v/>
      </c>
      <c r="F18" s="30">
        <f>SUM(F6:F17)</f>
        <v/>
      </c>
      <c r="G18" s="28">
        <f>SUM(G6:G17)</f>
        <v/>
      </c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31" t="inlineStr">
        <is>
          <t>Room budgets</t>
        </is>
      </c>
      <c r="C20" s="32">
        <f>C18</f>
        <v/>
      </c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31">
        <f>"Contingency ("&amp;ROUND(C4*100,0)&amp;"%)"</f>
        <v/>
      </c>
      <c r="C21" s="32">
        <f>C20*C4</f>
        <v/>
      </c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23" t="inlineStr">
        <is>
          <t>Total budget</t>
        </is>
      </c>
      <c r="C22" s="28">
        <f>C20+C21</f>
        <v/>
      </c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31" t="inlineStr">
        <is>
          <t>Contingency used</t>
        </is>
      </c>
      <c r="C23" s="32">
        <f>SUM(J6:J17)+MAX(0,(SUMIFS(Costs!$E$6:$E$305,Costs!$F$6:$F$305,"Hired")+SUMIFS(Costs!$E$6:$E$305,Costs!$F$6:$F$305,"Bought"))-D18)</f>
        <v/>
      </c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23" t="inlineStr">
        <is>
          <t>Contingency left</t>
        </is>
      </c>
      <c r="C24" s="28">
        <f>C21-C23</f>
        <v/>
      </c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25" t="inlineStr">
        <is>
          <t>Costs with a room that is not on this list also count against the contingency.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</sheetData>
  <conditionalFormatting sqref="I6:I17">
    <cfRule type="expression" priority="1" dxfId="0">
      <formula>LEFT($I6,4)="Over"</formula>
    </cfRule>
    <cfRule type="expression" priority="2" dxfId="1">
      <formula>OR(ISNUMBER(SEARCH("near",$I6)),$I6="No budget set")</formula>
    </cfRule>
    <cfRule type="expression" priority="3" dxfId="2">
      <formula>$I6&lt;&gt;""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3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7" customWidth="1" min="2" max="2"/>
    <col width="26" customWidth="1" min="3" max="3"/>
    <col width="22" customWidth="1" min="4" max="4"/>
    <col width="13" customWidth="1" min="5" max="5"/>
    <col width="11" customWidth="1" min="6" max="6"/>
    <col width="13" customWidth="1" min="7" max="7"/>
    <col width="15" customWidth="1" min="8" max="8"/>
    <col width="13" customWidth="1" min="9" max="9"/>
    <col width="24" customWidth="1" min="10" max="10"/>
    <col width="26" customWidth="1" min="11" max="11"/>
    <col width="24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1" t="n"/>
      <c r="B2" s="2" t="inlineStr">
        <is>
          <t>Quotes and costs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One line per quote, job or purchase. Quotes for the same job need the same job name.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0" customHeight="1">
      <c r="A5" s="1" t="n"/>
      <c r="B5" s="11" t="inlineStr">
        <is>
          <t>Room</t>
        </is>
      </c>
      <c r="C5" s="11" t="inlineStr">
        <is>
          <t>Job or item</t>
        </is>
      </c>
      <c r="D5" s="11" t="inlineStr">
        <is>
          <t>Contractor or shop</t>
        </is>
      </c>
      <c r="E5" s="11" t="inlineStr">
        <is>
          <t>Amount</t>
        </is>
      </c>
      <c r="F5" s="11" t="inlineStr">
        <is>
          <t>Stage</t>
        </is>
      </c>
      <c r="G5" s="11" t="inlineStr">
        <is>
          <t>Paid so far</t>
        </is>
      </c>
      <c r="H5" s="11" t="inlineStr">
        <is>
          <t>Next payment due</t>
        </is>
      </c>
      <c r="I5" s="11" t="inlineStr">
        <is>
          <t>Left to pay</t>
        </is>
      </c>
      <c r="J5" s="11" t="inlineStr">
        <is>
          <t>Payment status</t>
        </is>
      </c>
      <c r="K5" s="11" t="inlineStr">
        <is>
          <t>Quote check</t>
        </is>
      </c>
      <c r="L5" s="11" t="inlineStr">
        <is>
          <t>Note</t>
        </is>
      </c>
      <c r="M5" s="1" t="n"/>
    </row>
    <row r="6">
      <c r="A6" s="1" t="n"/>
      <c r="B6" s="33" t="inlineStr">
        <is>
          <t>Kitchen</t>
        </is>
      </c>
      <c r="C6" s="33" t="inlineStr">
        <is>
          <t>Cabinets and fitting</t>
        </is>
      </c>
      <c r="D6" s="33" t="inlineStr">
        <is>
          <t>Oakline Kitchens</t>
        </is>
      </c>
      <c r="E6" s="27" t="n">
        <v>7900</v>
      </c>
      <c r="F6" s="34" t="inlineStr">
        <is>
          <t>Quote</t>
        </is>
      </c>
      <c r="G6" s="27" t="n"/>
      <c r="H6" s="35" t="n"/>
      <c r="I6" s="14">
        <f>IF(OR(E6="",AND(F6&lt;&gt;"Hired",F6&lt;&gt;"Bought")),"",E6-N(G6))</f>
        <v/>
      </c>
      <c r="J6" s="16">
        <f>IF(C6&amp;E6="","",IF(F6="","Choose a stage",IF(F6="Quote","",IF(E6="","Add the amount",IF(I6&lt;=0,"Paid",IF(H6="","Balance due, no date set",IF(H6&lt;TODAY(),"Overdue by "&amp;(TODAY()-H6)&amp;IF((TODAY()-H6)=1," day"," days"),IF(H6=TODAY(),"Due today",IF((H6-TODAY())&lt;=14,"Due in "&amp;(H6-TODAY())&amp;IF((H6-TODAY())=1," day"," days"),"Next payment in "&amp;(H6-TODAY())&amp;" days")))))))))</f>
        <v/>
      </c>
      <c r="K6" s="16">
        <f>IF(OR(C6="",E6=""),"",IF(COUNTIFS(Costs!$C$6:$C$305,C6,Costs!$E$6:$E$305,"&lt;&gt;")&lt;2,"",IF(M6=1,"Cheapest of "&amp;COUNTIFS(Costs!$C$6:$C$305,C6,Costs!$E$6:$E$305,"&lt;&gt;"),FIXED(E6-SUMIFS(Costs!$E$6:$E$305,Costs!$C$6:$C$305,C6,Costs!$M$6:$M$305,1)/COUNTIFS(Costs!$C$6:$C$305,C6,Costs!$M$6:$M$305,1),0)&amp;" more than the cheapest")))</f>
        <v/>
      </c>
      <c r="L6" s="33" t="n"/>
      <c r="M6" s="1">
        <f>IF(OR(C6="",E6=""),"",IF(COUNTIFS(Costs!$C$6:$C$305,C6,Costs!$E$6:$E$305,"&lt;"&amp;E6)=0,1,0))</f>
        <v/>
      </c>
      <c r="N6">
        <f>IF(AND(C6&lt;&gt;"",F6="Quote",COUNTIFS(Costs!$C$6:$C$305,C6,Costs!$F$6:$F$305,"Hired")+COUNTIFS(Costs!$C$6:$C$305,C6,Costs!$F$6:$F$305,"Bought")=0),1/COUNTIFS(Costs!$C$6:$C$305,C6,Costs!$F$6:$F$305,"Quote"),"")</f>
        <v/>
      </c>
      <c r="O6">
        <f>IF(AND(OR(F6="Hired",F6="Bought"),N(I6)&gt;0,H6&lt;&gt;""),H6+ROW()/100000,"")</f>
        <v/>
      </c>
    </row>
    <row r="7">
      <c r="A7" s="1" t="n"/>
      <c r="B7" s="33" t="inlineStr">
        <is>
          <t>Kitchen</t>
        </is>
      </c>
      <c r="C7" s="33" t="inlineStr">
        <is>
          <t>Cabinets and fitting</t>
        </is>
      </c>
      <c r="D7" s="33" t="inlineStr">
        <is>
          <t>Riverside Cabinet Co</t>
        </is>
      </c>
      <c r="E7" s="27" t="n">
        <v>7200</v>
      </c>
      <c r="F7" s="34" t="inlineStr">
        <is>
          <t>Hired</t>
        </is>
      </c>
      <c r="G7" s="27" t="n">
        <v>2160</v>
      </c>
      <c r="H7" s="35" t="n">
        <v>46305</v>
      </c>
      <c r="I7" s="14">
        <f>IF(OR(E7="",AND(F7&lt;&gt;"Hired",F7&lt;&gt;"Bought")),"",E7-N(G7))</f>
        <v/>
      </c>
      <c r="J7" s="16">
        <f>IF(C7&amp;E7="","",IF(F7="","Choose a stage",IF(F7="Quote","",IF(E7="","Add the amount",IF(I7&lt;=0,"Paid",IF(H7="","Balance due, no date set",IF(H7&lt;TODAY(),"Overdue by "&amp;(TODAY()-H7)&amp;IF((TODAY()-H7)=1," day"," days"),IF(H7=TODAY(),"Due today",IF((H7-TODAY())&lt;=14,"Due in "&amp;(H7-TODAY())&amp;IF((H7-TODAY())=1," day"," days"),"Next payment in "&amp;(H7-TODAY())&amp;" days")))))))))</f>
        <v/>
      </c>
      <c r="K7" s="16">
        <f>IF(OR(C7="",E7=""),"",IF(COUNTIFS(Costs!$C$6:$C$305,C7,Costs!$E$6:$E$305,"&lt;&gt;")&lt;2,"",IF(M7=1,"Cheapest of "&amp;COUNTIFS(Costs!$C$6:$C$305,C7,Costs!$E$6:$E$305,"&lt;&gt;"),FIXED(E7-SUMIFS(Costs!$E$6:$E$305,Costs!$C$6:$C$305,C7,Costs!$M$6:$M$305,1)/COUNTIFS(Costs!$C$6:$C$305,C7,Costs!$M$6:$M$305,1),0)&amp;" more than the cheapest")))</f>
        <v/>
      </c>
      <c r="L7" s="33" t="n"/>
      <c r="M7" s="1">
        <f>IF(OR(C7="",E7=""),"",IF(COUNTIFS(Costs!$C$6:$C$305,C7,Costs!$E$6:$E$305,"&lt;"&amp;E7)=0,1,0))</f>
        <v/>
      </c>
      <c r="N7">
        <f>IF(AND(C7&lt;&gt;"",F7="Quote",COUNTIFS(Costs!$C$6:$C$305,C7,Costs!$F$6:$F$305,"Hired")+COUNTIFS(Costs!$C$6:$C$305,C7,Costs!$F$6:$F$305,"Bought")=0),1/COUNTIFS(Costs!$C$6:$C$305,C7,Costs!$F$6:$F$305,"Quote"),"")</f>
        <v/>
      </c>
      <c r="O7">
        <f>IF(AND(OR(F7="Hired",F7="Bought"),N(I7)&gt;0,H7&lt;&gt;""),H7+ROW()/100000,"")</f>
        <v/>
      </c>
    </row>
    <row r="8">
      <c r="A8" s="1" t="n"/>
      <c r="B8" s="33" t="inlineStr">
        <is>
          <t>Kitchen</t>
        </is>
      </c>
      <c r="C8" s="33" t="inlineStr">
        <is>
          <t>Cabinets and fitting</t>
        </is>
      </c>
      <c r="D8" s="33" t="inlineStr">
        <is>
          <t>HomeFit Kitchens</t>
        </is>
      </c>
      <c r="E8" s="27" t="n">
        <v>8450</v>
      </c>
      <c r="F8" s="34" t="inlineStr">
        <is>
          <t>Quote</t>
        </is>
      </c>
      <c r="G8" s="27" t="n"/>
      <c r="H8" s="35" t="n"/>
      <c r="I8" s="14">
        <f>IF(OR(E8="",AND(F8&lt;&gt;"Hired",F8&lt;&gt;"Bought")),"",E8-N(G8))</f>
        <v/>
      </c>
      <c r="J8" s="16">
        <f>IF(C8&amp;E8="","",IF(F8="","Choose a stage",IF(F8="Quote","",IF(E8="","Add the amount",IF(I8&lt;=0,"Paid",IF(H8="","Balance due, no date set",IF(H8&lt;TODAY(),"Overdue by "&amp;(TODAY()-H8)&amp;IF((TODAY()-H8)=1," day"," days"),IF(H8=TODAY(),"Due today",IF((H8-TODAY())&lt;=14,"Due in "&amp;(H8-TODAY())&amp;IF((H8-TODAY())=1," day"," days"),"Next payment in "&amp;(H8-TODAY())&amp;" days")))))))))</f>
        <v/>
      </c>
      <c r="K8" s="16">
        <f>IF(OR(C8="",E8=""),"",IF(COUNTIFS(Costs!$C$6:$C$305,C8,Costs!$E$6:$E$305,"&lt;&gt;")&lt;2,"",IF(M8=1,"Cheapest of "&amp;COUNTIFS(Costs!$C$6:$C$305,C8,Costs!$E$6:$E$305,"&lt;&gt;"),FIXED(E8-SUMIFS(Costs!$E$6:$E$305,Costs!$C$6:$C$305,C8,Costs!$M$6:$M$305,1)/COUNTIFS(Costs!$C$6:$C$305,C8,Costs!$M$6:$M$305,1),0)&amp;" more than the cheapest")))</f>
        <v/>
      </c>
      <c r="L8" s="33" t="n"/>
      <c r="M8" s="1">
        <f>IF(OR(C8="",E8=""),"",IF(COUNTIFS(Costs!$C$6:$C$305,C8,Costs!$E$6:$E$305,"&lt;"&amp;E8)=0,1,0))</f>
        <v/>
      </c>
      <c r="N8">
        <f>IF(AND(C8&lt;&gt;"",F8="Quote",COUNTIFS(Costs!$C$6:$C$305,C8,Costs!$F$6:$F$305,"Hired")+COUNTIFS(Costs!$C$6:$C$305,C8,Costs!$F$6:$F$305,"Bought")=0),1/COUNTIFS(Costs!$C$6:$C$305,C8,Costs!$F$6:$F$305,"Quote"),"")</f>
        <v/>
      </c>
      <c r="O8">
        <f>IF(AND(OR(F8="Hired",F8="Bought"),N(I8)&gt;0,H8&lt;&gt;""),H8+ROW()/100000,"")</f>
        <v/>
      </c>
    </row>
    <row r="9">
      <c r="A9" s="1" t="n"/>
      <c r="B9" s="33" t="inlineStr">
        <is>
          <t>Kitchen</t>
        </is>
      </c>
      <c r="C9" s="33" t="inlineStr">
        <is>
          <t>Quartz countertops</t>
        </is>
      </c>
      <c r="D9" s="33" t="inlineStr">
        <is>
          <t>Stone Works</t>
        </is>
      </c>
      <c r="E9" s="27" t="n">
        <v>2650</v>
      </c>
      <c r="F9" s="34" t="inlineStr">
        <is>
          <t>Bought</t>
        </is>
      </c>
      <c r="G9" s="27" t="n">
        <v>2650</v>
      </c>
      <c r="H9" s="35" t="n"/>
      <c r="I9" s="14">
        <f>IF(OR(E9="",AND(F9&lt;&gt;"Hired",F9&lt;&gt;"Bought")),"",E9-N(G9))</f>
        <v/>
      </c>
      <c r="J9" s="16">
        <f>IF(C9&amp;E9="","",IF(F9="","Choose a stage",IF(F9="Quote","",IF(E9="","Add the amount",IF(I9&lt;=0,"Paid",IF(H9="","Balance due, no date set",IF(H9&lt;TODAY(),"Overdue by "&amp;(TODAY()-H9)&amp;IF((TODAY()-H9)=1," day"," days"),IF(H9=TODAY(),"Due today",IF((H9-TODAY())&lt;=14,"Due in "&amp;(H9-TODAY())&amp;IF((H9-TODAY())=1," day"," days"),"Next payment in "&amp;(H9-TODAY())&amp;" days")))))))))</f>
        <v/>
      </c>
      <c r="K9" s="16">
        <f>IF(OR(C9="",E9=""),"",IF(COUNTIFS(Costs!$C$6:$C$305,C9,Costs!$E$6:$E$305,"&lt;&gt;")&lt;2,"",IF(M9=1,"Cheapest of "&amp;COUNTIFS(Costs!$C$6:$C$305,C9,Costs!$E$6:$E$305,"&lt;&gt;"),FIXED(E9-SUMIFS(Costs!$E$6:$E$305,Costs!$C$6:$C$305,C9,Costs!$M$6:$M$305,1)/COUNTIFS(Costs!$C$6:$C$305,C9,Costs!$M$6:$M$305,1),0)&amp;" more than the cheapest")))</f>
        <v/>
      </c>
      <c r="L9" s="33" t="n"/>
      <c r="M9" s="1">
        <f>IF(OR(C9="",E9=""),"",IF(COUNTIFS(Costs!$C$6:$C$305,C9,Costs!$E$6:$E$305,"&lt;"&amp;E9)=0,1,0))</f>
        <v/>
      </c>
      <c r="N9">
        <f>IF(AND(C9&lt;&gt;"",F9="Quote",COUNTIFS(Costs!$C$6:$C$305,C9,Costs!$F$6:$F$305,"Hired")+COUNTIFS(Costs!$C$6:$C$305,C9,Costs!$F$6:$F$305,"Bought")=0),1/COUNTIFS(Costs!$C$6:$C$305,C9,Costs!$F$6:$F$305,"Quote"),"")</f>
        <v/>
      </c>
      <c r="O9">
        <f>IF(AND(OR(F9="Hired",F9="Bought"),N(I9)&gt;0,H9&lt;&gt;""),H9+ROW()/100000,"")</f>
        <v/>
      </c>
    </row>
    <row r="10">
      <c r="A10" s="1" t="n"/>
      <c r="B10" s="33" t="inlineStr">
        <is>
          <t>Kitchen</t>
        </is>
      </c>
      <c r="C10" s="33" t="inlineStr">
        <is>
          <t>Appliances</t>
        </is>
      </c>
      <c r="D10" s="33" t="inlineStr">
        <is>
          <t>Appliance store</t>
        </is>
      </c>
      <c r="E10" s="27" t="n">
        <v>3100</v>
      </c>
      <c r="F10" s="34" t="inlineStr">
        <is>
          <t>Bought</t>
        </is>
      </c>
      <c r="G10" s="27" t="n">
        <v>3100</v>
      </c>
      <c r="H10" s="35" t="n"/>
      <c r="I10" s="14">
        <f>IF(OR(E10="",AND(F10&lt;&gt;"Hired",F10&lt;&gt;"Bought")),"",E10-N(G10))</f>
        <v/>
      </c>
      <c r="J10" s="16">
        <f>IF(C10&amp;E10="","",IF(F10="","Choose a stage",IF(F10="Quote","",IF(E10="","Add the amount",IF(I10&lt;=0,"Paid",IF(H10="","Balance due, no date set",IF(H10&lt;TODAY(),"Overdue by "&amp;(TODAY()-H10)&amp;IF((TODAY()-H10)=1," day"," days"),IF(H10=TODAY(),"Due today",IF((H10-TODAY())&lt;=14,"Due in "&amp;(H10-TODAY())&amp;IF((H10-TODAY())=1," day"," days"),"Next payment in "&amp;(H10-TODAY())&amp;" days")))))))))</f>
        <v/>
      </c>
      <c r="K10" s="16">
        <f>IF(OR(C10="",E10=""),"",IF(COUNTIFS(Costs!$C$6:$C$305,C10,Costs!$E$6:$E$305,"&lt;&gt;")&lt;2,"",IF(M10=1,"Cheapest of "&amp;COUNTIFS(Costs!$C$6:$C$305,C10,Costs!$E$6:$E$305,"&lt;&gt;"),FIXED(E10-SUMIFS(Costs!$E$6:$E$305,Costs!$C$6:$C$305,C10,Costs!$M$6:$M$305,1)/COUNTIFS(Costs!$C$6:$C$305,C10,Costs!$M$6:$M$305,1),0)&amp;" more than the cheapest")))</f>
        <v/>
      </c>
      <c r="L10" s="33" t="n"/>
      <c r="M10" s="1">
        <f>IF(OR(C10="",E10=""),"",IF(COUNTIFS(Costs!$C$6:$C$305,C10,Costs!$E$6:$E$305,"&lt;"&amp;E10)=0,1,0))</f>
        <v/>
      </c>
      <c r="N10">
        <f>IF(AND(C10&lt;&gt;"",F10="Quote",COUNTIFS(Costs!$C$6:$C$305,C10,Costs!$F$6:$F$305,"Hired")+COUNTIFS(Costs!$C$6:$C$305,C10,Costs!$F$6:$F$305,"Bought")=0),1/COUNTIFS(Costs!$C$6:$C$305,C10,Costs!$F$6:$F$305,"Quote"),"")</f>
        <v/>
      </c>
      <c r="O10">
        <f>IF(AND(OR(F10="Hired",F10="Bought"),N(I10)&gt;0,H10&lt;&gt;""),H10+ROW()/100000,"")</f>
        <v/>
      </c>
    </row>
    <row r="11">
      <c r="A11" s="1" t="n"/>
      <c r="B11" s="33" t="inlineStr">
        <is>
          <t>Kitchen</t>
        </is>
      </c>
      <c r="C11" s="33" t="inlineStr">
        <is>
          <t>Kitchen electrics</t>
        </is>
      </c>
      <c r="D11" s="33" t="inlineStr">
        <is>
          <t>Spark Electrical</t>
        </is>
      </c>
      <c r="E11" s="27" t="n">
        <v>1450</v>
      </c>
      <c r="F11" s="34" t="inlineStr">
        <is>
          <t>Hired</t>
        </is>
      </c>
      <c r="G11" s="27" t="n">
        <v>0</v>
      </c>
      <c r="H11" s="35" t="n">
        <v>46290</v>
      </c>
      <c r="I11" s="14">
        <f>IF(OR(E11="",AND(F11&lt;&gt;"Hired",F11&lt;&gt;"Bought")),"",E11-N(G11))</f>
        <v/>
      </c>
      <c r="J11" s="16">
        <f>IF(C11&amp;E11="","",IF(F11="","Choose a stage",IF(F11="Quote","",IF(E11="","Add the amount",IF(I11&lt;=0,"Paid",IF(H11="","Balance due, no date set",IF(H11&lt;TODAY(),"Overdue by "&amp;(TODAY()-H11)&amp;IF((TODAY()-H11)=1," day"," days"),IF(H11=TODAY(),"Due today",IF((H11-TODAY())&lt;=14,"Due in "&amp;(H11-TODAY())&amp;IF((H11-TODAY())=1," day"," days"),"Next payment in "&amp;(H11-TODAY())&amp;" days")))))))))</f>
        <v/>
      </c>
      <c r="K11" s="16">
        <f>IF(OR(C11="",E11=""),"",IF(COUNTIFS(Costs!$C$6:$C$305,C11,Costs!$E$6:$E$305,"&lt;&gt;")&lt;2,"",IF(M11=1,"Cheapest of "&amp;COUNTIFS(Costs!$C$6:$C$305,C11,Costs!$E$6:$E$305,"&lt;&gt;"),FIXED(E11-SUMIFS(Costs!$E$6:$E$305,Costs!$C$6:$C$305,C11,Costs!$M$6:$M$305,1)/COUNTIFS(Costs!$C$6:$C$305,C11,Costs!$M$6:$M$305,1),0)&amp;" more than the cheapest")))</f>
        <v/>
      </c>
      <c r="L11" s="33" t="n"/>
      <c r="M11" s="1">
        <f>IF(OR(C11="",E11=""),"",IF(COUNTIFS(Costs!$C$6:$C$305,C11,Costs!$E$6:$E$305,"&lt;"&amp;E11)=0,1,0))</f>
        <v/>
      </c>
      <c r="N11">
        <f>IF(AND(C11&lt;&gt;"",F11="Quote",COUNTIFS(Costs!$C$6:$C$305,C11,Costs!$F$6:$F$305,"Hired")+COUNTIFS(Costs!$C$6:$C$305,C11,Costs!$F$6:$F$305,"Bought")=0),1/COUNTIFS(Costs!$C$6:$C$305,C11,Costs!$F$6:$F$305,"Quote"),"")</f>
        <v/>
      </c>
      <c r="O11">
        <f>IF(AND(OR(F11="Hired",F11="Bought"),N(I11)&gt;0,H11&lt;&gt;""),H11+ROW()/100000,"")</f>
        <v/>
      </c>
    </row>
    <row r="12">
      <c r="A12" s="1" t="n"/>
      <c r="B12" s="33" t="inlineStr">
        <is>
          <t>Bathroom</t>
        </is>
      </c>
      <c r="C12" s="33" t="inlineStr">
        <is>
          <t>Bathroom remodel</t>
        </is>
      </c>
      <c r="D12" s="33" t="inlineStr">
        <is>
          <t>Blue Tap Plumbing</t>
        </is>
      </c>
      <c r="E12" s="27" t="n">
        <v>6800</v>
      </c>
      <c r="F12" s="34" t="inlineStr">
        <is>
          <t>Hired</t>
        </is>
      </c>
      <c r="G12" s="27" t="n">
        <v>2000</v>
      </c>
      <c r="H12" s="35" t="n">
        <v>46313</v>
      </c>
      <c r="I12" s="14">
        <f>IF(OR(E12="",AND(F12&lt;&gt;"Hired",F12&lt;&gt;"Bought")),"",E12-N(G12))</f>
        <v/>
      </c>
      <c r="J12" s="16">
        <f>IF(C12&amp;E12="","",IF(F12="","Choose a stage",IF(F12="Quote","",IF(E12="","Add the amount",IF(I12&lt;=0,"Paid",IF(H12="","Balance due, no date set",IF(H12&lt;TODAY(),"Overdue by "&amp;(TODAY()-H12)&amp;IF((TODAY()-H12)=1," day"," days"),IF(H12=TODAY(),"Due today",IF((H12-TODAY())&lt;=14,"Due in "&amp;(H12-TODAY())&amp;IF((H12-TODAY())=1," day"," days"),"Next payment in "&amp;(H12-TODAY())&amp;" days")))))))))</f>
        <v/>
      </c>
      <c r="K12" s="16">
        <f>IF(OR(C12="",E12=""),"",IF(COUNTIFS(Costs!$C$6:$C$305,C12,Costs!$E$6:$E$305,"&lt;&gt;")&lt;2,"",IF(M12=1,"Cheapest of "&amp;COUNTIFS(Costs!$C$6:$C$305,C12,Costs!$E$6:$E$305,"&lt;&gt;"),FIXED(E12-SUMIFS(Costs!$E$6:$E$305,Costs!$C$6:$C$305,C12,Costs!$M$6:$M$305,1)/COUNTIFS(Costs!$C$6:$C$305,C12,Costs!$M$6:$M$305,1),0)&amp;" more than the cheapest")))</f>
        <v/>
      </c>
      <c r="L12" s="33" t="n"/>
      <c r="M12" s="1">
        <f>IF(OR(C12="",E12=""),"",IF(COUNTIFS(Costs!$C$6:$C$305,C12,Costs!$E$6:$E$305,"&lt;"&amp;E12)=0,1,0))</f>
        <v/>
      </c>
      <c r="N12">
        <f>IF(AND(C12&lt;&gt;"",F12="Quote",COUNTIFS(Costs!$C$6:$C$305,C12,Costs!$F$6:$F$305,"Hired")+COUNTIFS(Costs!$C$6:$C$305,C12,Costs!$F$6:$F$305,"Bought")=0),1/COUNTIFS(Costs!$C$6:$C$305,C12,Costs!$F$6:$F$305,"Quote"),"")</f>
        <v/>
      </c>
      <c r="O12">
        <f>IF(AND(OR(F12="Hired",F12="Bought"),N(I12)&gt;0,H12&lt;&gt;""),H12+ROW()/100000,"")</f>
        <v/>
      </c>
    </row>
    <row r="13">
      <c r="A13" s="1" t="n"/>
      <c r="B13" s="33" t="inlineStr">
        <is>
          <t>Bathroom</t>
        </is>
      </c>
      <c r="C13" s="33" t="inlineStr">
        <is>
          <t>Bathroom remodel</t>
        </is>
      </c>
      <c r="D13" s="33" t="inlineStr">
        <is>
          <t>Clearwater Baths</t>
        </is>
      </c>
      <c r="E13" s="27" t="n">
        <v>7450</v>
      </c>
      <c r="F13" s="34" t="inlineStr">
        <is>
          <t>Quote</t>
        </is>
      </c>
      <c r="G13" s="27" t="n"/>
      <c r="H13" s="35" t="n"/>
      <c r="I13" s="14">
        <f>IF(OR(E13="",AND(F13&lt;&gt;"Hired",F13&lt;&gt;"Bought")),"",E13-N(G13))</f>
        <v/>
      </c>
      <c r="J13" s="16">
        <f>IF(C13&amp;E13="","",IF(F13="","Choose a stage",IF(F13="Quote","",IF(E13="","Add the amount",IF(I13&lt;=0,"Paid",IF(H13="","Balance due, no date set",IF(H13&lt;TODAY(),"Overdue by "&amp;(TODAY()-H13)&amp;IF((TODAY()-H13)=1," day"," days"),IF(H13=TODAY(),"Due today",IF((H13-TODAY())&lt;=14,"Due in "&amp;(H13-TODAY())&amp;IF((H13-TODAY())=1," day"," days"),"Next payment in "&amp;(H13-TODAY())&amp;" days")))))))))</f>
        <v/>
      </c>
      <c r="K13" s="16">
        <f>IF(OR(C13="",E13=""),"",IF(COUNTIFS(Costs!$C$6:$C$305,C13,Costs!$E$6:$E$305,"&lt;&gt;")&lt;2,"",IF(M13=1,"Cheapest of "&amp;COUNTIFS(Costs!$C$6:$C$305,C13,Costs!$E$6:$E$305,"&lt;&gt;"),FIXED(E13-SUMIFS(Costs!$E$6:$E$305,Costs!$C$6:$C$305,C13,Costs!$M$6:$M$305,1)/COUNTIFS(Costs!$C$6:$C$305,C13,Costs!$M$6:$M$305,1),0)&amp;" more than the cheapest")))</f>
        <v/>
      </c>
      <c r="L13" s="33" t="n"/>
      <c r="M13" s="1">
        <f>IF(OR(C13="",E13=""),"",IF(COUNTIFS(Costs!$C$6:$C$305,C13,Costs!$E$6:$E$305,"&lt;"&amp;E13)=0,1,0))</f>
        <v/>
      </c>
      <c r="N13">
        <f>IF(AND(C13&lt;&gt;"",F13="Quote",COUNTIFS(Costs!$C$6:$C$305,C13,Costs!$F$6:$F$305,"Hired")+COUNTIFS(Costs!$C$6:$C$305,C13,Costs!$F$6:$F$305,"Bought")=0),1/COUNTIFS(Costs!$C$6:$C$305,C13,Costs!$F$6:$F$305,"Quote"),"")</f>
        <v/>
      </c>
      <c r="O13">
        <f>IF(AND(OR(F13="Hired",F13="Bought"),N(I13)&gt;0,H13&lt;&gt;""),H13+ROW()/100000,"")</f>
        <v/>
      </c>
    </row>
    <row r="14">
      <c r="A14" s="1" t="n"/>
      <c r="B14" s="33" t="inlineStr">
        <is>
          <t>Bathroom</t>
        </is>
      </c>
      <c r="C14" s="33" t="inlineStr">
        <is>
          <t>Tiles</t>
        </is>
      </c>
      <c r="D14" s="33" t="inlineStr">
        <is>
          <t>Tile shop</t>
        </is>
      </c>
      <c r="E14" s="27" t="n">
        <v>1380</v>
      </c>
      <c r="F14" s="34" t="inlineStr">
        <is>
          <t>Bought</t>
        </is>
      </c>
      <c r="G14" s="27" t="n">
        <v>1380</v>
      </c>
      <c r="H14" s="35" t="n"/>
      <c r="I14" s="14">
        <f>IF(OR(E14="",AND(F14&lt;&gt;"Hired",F14&lt;&gt;"Bought")),"",E14-N(G14))</f>
        <v/>
      </c>
      <c r="J14" s="16">
        <f>IF(C14&amp;E14="","",IF(F14="","Choose a stage",IF(F14="Quote","",IF(E14="","Add the amount",IF(I14&lt;=0,"Paid",IF(H14="","Balance due, no date set",IF(H14&lt;TODAY(),"Overdue by "&amp;(TODAY()-H14)&amp;IF((TODAY()-H14)=1," day"," days"),IF(H14=TODAY(),"Due today",IF((H14-TODAY())&lt;=14,"Due in "&amp;(H14-TODAY())&amp;IF((H14-TODAY())=1," day"," days"),"Next payment in "&amp;(H14-TODAY())&amp;" days")))))))))</f>
        <v/>
      </c>
      <c r="K14" s="16">
        <f>IF(OR(C14="",E14=""),"",IF(COUNTIFS(Costs!$C$6:$C$305,C14,Costs!$E$6:$E$305,"&lt;&gt;")&lt;2,"",IF(M14=1,"Cheapest of "&amp;COUNTIFS(Costs!$C$6:$C$305,C14,Costs!$E$6:$E$305,"&lt;&gt;"),FIXED(E14-SUMIFS(Costs!$E$6:$E$305,Costs!$C$6:$C$305,C14,Costs!$M$6:$M$305,1)/COUNTIFS(Costs!$C$6:$C$305,C14,Costs!$M$6:$M$305,1),0)&amp;" more than the cheapest")))</f>
        <v/>
      </c>
      <c r="L14" s="33" t="n"/>
      <c r="M14" s="1">
        <f>IF(OR(C14="",E14=""),"",IF(COUNTIFS(Costs!$C$6:$C$305,C14,Costs!$E$6:$E$305,"&lt;"&amp;E14)=0,1,0))</f>
        <v/>
      </c>
      <c r="N14">
        <f>IF(AND(C14&lt;&gt;"",F14="Quote",COUNTIFS(Costs!$C$6:$C$305,C14,Costs!$F$6:$F$305,"Hired")+COUNTIFS(Costs!$C$6:$C$305,C14,Costs!$F$6:$F$305,"Bought")=0),1/COUNTIFS(Costs!$C$6:$C$305,C14,Costs!$F$6:$F$305,"Quote"),"")</f>
        <v/>
      </c>
      <c r="O14">
        <f>IF(AND(OR(F14="Hired",F14="Bought"),N(I14)&gt;0,H14&lt;&gt;""),H14+ROW()/100000,"")</f>
        <v/>
      </c>
    </row>
    <row r="15">
      <c r="A15" s="1" t="n"/>
      <c r="B15" s="33" t="inlineStr">
        <is>
          <t>Bathroom</t>
        </is>
      </c>
      <c r="C15" s="33" t="inlineStr">
        <is>
          <t>Vanity, toilet and shower</t>
        </is>
      </c>
      <c r="D15" s="33" t="inlineStr">
        <is>
          <t>Bathroom store</t>
        </is>
      </c>
      <c r="E15" s="27" t="n">
        <v>2150</v>
      </c>
      <c r="F15" s="34" t="inlineStr">
        <is>
          <t>Bought</t>
        </is>
      </c>
      <c r="G15" s="27" t="n">
        <v>1000</v>
      </c>
      <c r="H15" s="35" t="n">
        <v>46299</v>
      </c>
      <c r="I15" s="14">
        <f>IF(OR(E15="",AND(F15&lt;&gt;"Hired",F15&lt;&gt;"Bought")),"",E15-N(G15))</f>
        <v/>
      </c>
      <c r="J15" s="16">
        <f>IF(C15&amp;E15="","",IF(F15="","Choose a stage",IF(F15="Quote","",IF(E15="","Add the amount",IF(I15&lt;=0,"Paid",IF(H15="","Balance due, no date set",IF(H15&lt;TODAY(),"Overdue by "&amp;(TODAY()-H15)&amp;IF((TODAY()-H15)=1," day"," days"),IF(H15=TODAY(),"Due today",IF((H15-TODAY())&lt;=14,"Due in "&amp;(H15-TODAY())&amp;IF((H15-TODAY())=1," day"," days"),"Next payment in "&amp;(H15-TODAY())&amp;" days")))))))))</f>
        <v/>
      </c>
      <c r="K15" s="16">
        <f>IF(OR(C15="",E15=""),"",IF(COUNTIFS(Costs!$C$6:$C$305,C15,Costs!$E$6:$E$305,"&lt;&gt;")&lt;2,"",IF(M15=1,"Cheapest of "&amp;COUNTIFS(Costs!$C$6:$C$305,C15,Costs!$E$6:$E$305,"&lt;&gt;"),FIXED(E15-SUMIFS(Costs!$E$6:$E$305,Costs!$C$6:$C$305,C15,Costs!$M$6:$M$305,1)/COUNTIFS(Costs!$C$6:$C$305,C15,Costs!$M$6:$M$305,1),0)&amp;" more than the cheapest")))</f>
        <v/>
      </c>
      <c r="L15" s="33" t="n"/>
      <c r="M15" s="1">
        <f>IF(OR(C15="",E15=""),"",IF(COUNTIFS(Costs!$C$6:$C$305,C15,Costs!$E$6:$E$305,"&lt;"&amp;E15)=0,1,0))</f>
        <v/>
      </c>
      <c r="N15">
        <f>IF(AND(C15&lt;&gt;"",F15="Quote",COUNTIFS(Costs!$C$6:$C$305,C15,Costs!$F$6:$F$305,"Hired")+COUNTIFS(Costs!$C$6:$C$305,C15,Costs!$F$6:$F$305,"Bought")=0),1/COUNTIFS(Costs!$C$6:$C$305,C15,Costs!$F$6:$F$305,"Quote"),"")</f>
        <v/>
      </c>
      <c r="O15">
        <f>IF(AND(OR(F15="Hired",F15="Bought"),N(I15)&gt;0,H15&lt;&gt;""),H15+ROW()/100000,"")</f>
        <v/>
      </c>
    </row>
    <row r="16">
      <c r="A16" s="1" t="n"/>
      <c r="B16" s="33" t="inlineStr">
        <is>
          <t>Living room</t>
        </is>
      </c>
      <c r="C16" s="33" t="inlineStr">
        <is>
          <t>Oak flooring</t>
        </is>
      </c>
      <c r="D16" s="33" t="inlineStr">
        <is>
          <t>Floor Masters</t>
        </is>
      </c>
      <c r="E16" s="27" t="n">
        <v>2900</v>
      </c>
      <c r="F16" s="34" t="inlineStr">
        <is>
          <t>Hired</t>
        </is>
      </c>
      <c r="G16" s="27" t="n">
        <v>0</v>
      </c>
      <c r="H16" s="35" t="n">
        <v>46328</v>
      </c>
      <c r="I16" s="14">
        <f>IF(OR(E16="",AND(F16&lt;&gt;"Hired",F16&lt;&gt;"Bought")),"",E16-N(G16))</f>
        <v/>
      </c>
      <c r="J16" s="16">
        <f>IF(C16&amp;E16="","",IF(F16="","Choose a stage",IF(F16="Quote","",IF(E16="","Add the amount",IF(I16&lt;=0,"Paid",IF(H16="","Balance due, no date set",IF(H16&lt;TODAY(),"Overdue by "&amp;(TODAY()-H16)&amp;IF((TODAY()-H16)=1," day"," days"),IF(H16=TODAY(),"Due today",IF((H16-TODAY())&lt;=14,"Due in "&amp;(H16-TODAY())&amp;IF((H16-TODAY())=1," day"," days"),"Next payment in "&amp;(H16-TODAY())&amp;" days")))))))))</f>
        <v/>
      </c>
      <c r="K16" s="16">
        <f>IF(OR(C16="",E16=""),"",IF(COUNTIFS(Costs!$C$6:$C$305,C16,Costs!$E$6:$E$305,"&lt;&gt;")&lt;2,"",IF(M16=1,"Cheapest of "&amp;COUNTIFS(Costs!$C$6:$C$305,C16,Costs!$E$6:$E$305,"&lt;&gt;"),FIXED(E16-SUMIFS(Costs!$E$6:$E$305,Costs!$C$6:$C$305,C16,Costs!$M$6:$M$305,1)/COUNTIFS(Costs!$C$6:$C$305,C16,Costs!$M$6:$M$305,1),0)&amp;" more than the cheapest")))</f>
        <v/>
      </c>
      <c r="L16" s="33" t="n"/>
      <c r="M16" s="1">
        <f>IF(OR(C16="",E16=""),"",IF(COUNTIFS(Costs!$C$6:$C$305,C16,Costs!$E$6:$E$305,"&lt;"&amp;E16)=0,1,0))</f>
        <v/>
      </c>
      <c r="N16">
        <f>IF(AND(C16&lt;&gt;"",F16="Quote",COUNTIFS(Costs!$C$6:$C$305,C16,Costs!$F$6:$F$305,"Hired")+COUNTIFS(Costs!$C$6:$C$305,C16,Costs!$F$6:$F$305,"Bought")=0),1/COUNTIFS(Costs!$C$6:$C$305,C16,Costs!$F$6:$F$305,"Quote"),"")</f>
        <v/>
      </c>
      <c r="O16">
        <f>IF(AND(OR(F16="Hired",F16="Bought"),N(I16)&gt;0,H16&lt;&gt;""),H16+ROW()/100000,"")</f>
        <v/>
      </c>
    </row>
    <row r="17">
      <c r="A17" s="1" t="n"/>
      <c r="B17" s="33" t="inlineStr">
        <is>
          <t>Living room</t>
        </is>
      </c>
      <c r="C17" s="33" t="inlineStr">
        <is>
          <t>Painting</t>
        </is>
      </c>
      <c r="D17" s="33" t="inlineStr">
        <is>
          <t>Fresh Coat Painters</t>
        </is>
      </c>
      <c r="E17" s="27" t="n">
        <v>1100</v>
      </c>
      <c r="F17" s="34" t="inlineStr">
        <is>
          <t>Quote</t>
        </is>
      </c>
      <c r="G17" s="27" t="n"/>
      <c r="H17" s="35" t="n"/>
      <c r="I17" s="14">
        <f>IF(OR(E17="",AND(F17&lt;&gt;"Hired",F17&lt;&gt;"Bought")),"",E17-N(G17))</f>
        <v/>
      </c>
      <c r="J17" s="16">
        <f>IF(C17&amp;E17="","",IF(F17="","Choose a stage",IF(F17="Quote","",IF(E17="","Add the amount",IF(I17&lt;=0,"Paid",IF(H17="","Balance due, no date set",IF(H17&lt;TODAY(),"Overdue by "&amp;(TODAY()-H17)&amp;IF((TODAY()-H17)=1," day"," days"),IF(H17=TODAY(),"Due today",IF((H17-TODAY())&lt;=14,"Due in "&amp;(H17-TODAY())&amp;IF((H17-TODAY())=1," day"," days"),"Next payment in "&amp;(H17-TODAY())&amp;" days")))))))))</f>
        <v/>
      </c>
      <c r="K17" s="16">
        <f>IF(OR(C17="",E17=""),"",IF(COUNTIFS(Costs!$C$6:$C$305,C17,Costs!$E$6:$E$305,"&lt;&gt;")&lt;2,"",IF(M17=1,"Cheapest of "&amp;COUNTIFS(Costs!$C$6:$C$305,C17,Costs!$E$6:$E$305,"&lt;&gt;"),FIXED(E17-SUMIFS(Costs!$E$6:$E$305,Costs!$C$6:$C$305,C17,Costs!$M$6:$M$305,1)/COUNTIFS(Costs!$C$6:$C$305,C17,Costs!$M$6:$M$305,1),0)&amp;" more than the cheapest")))</f>
        <v/>
      </c>
      <c r="L17" s="33" t="n"/>
      <c r="M17" s="1">
        <f>IF(OR(C17="",E17=""),"",IF(COUNTIFS(Costs!$C$6:$C$305,C17,Costs!$E$6:$E$305,"&lt;"&amp;E17)=0,1,0))</f>
        <v/>
      </c>
      <c r="N17">
        <f>IF(AND(C17&lt;&gt;"",F17="Quote",COUNTIFS(Costs!$C$6:$C$305,C17,Costs!$F$6:$F$305,"Hired")+COUNTIFS(Costs!$C$6:$C$305,C17,Costs!$F$6:$F$305,"Bought")=0),1/COUNTIFS(Costs!$C$6:$C$305,C17,Costs!$F$6:$F$305,"Quote"),"")</f>
        <v/>
      </c>
      <c r="O17">
        <f>IF(AND(OR(F17="Hired",F17="Bought"),N(I17)&gt;0,H17&lt;&gt;""),H17+ROW()/100000,"")</f>
        <v/>
      </c>
    </row>
    <row r="18">
      <c r="A18" s="1" t="n"/>
      <c r="B18" s="33" t="inlineStr">
        <is>
          <t>Living room</t>
        </is>
      </c>
      <c r="C18" s="33" t="inlineStr">
        <is>
          <t>Painting</t>
        </is>
      </c>
      <c r="D18" s="33" t="inlineStr">
        <is>
          <t>Local painter</t>
        </is>
      </c>
      <c r="E18" s="27" t="n">
        <v>950</v>
      </c>
      <c r="F18" s="34" t="inlineStr">
        <is>
          <t>Quote</t>
        </is>
      </c>
      <c r="G18" s="27" t="n"/>
      <c r="H18" s="35" t="n"/>
      <c r="I18" s="14">
        <f>IF(OR(E18="",AND(F18&lt;&gt;"Hired",F18&lt;&gt;"Bought")),"",E18-N(G18))</f>
        <v/>
      </c>
      <c r="J18" s="16">
        <f>IF(C18&amp;E18="","",IF(F18="","Choose a stage",IF(F18="Quote","",IF(E18="","Add the amount",IF(I18&lt;=0,"Paid",IF(H18="","Balance due, no date set",IF(H18&lt;TODAY(),"Overdue by "&amp;(TODAY()-H18)&amp;IF((TODAY()-H18)=1," day"," days"),IF(H18=TODAY(),"Due today",IF((H18-TODAY())&lt;=14,"Due in "&amp;(H18-TODAY())&amp;IF((H18-TODAY())=1," day"," days"),"Next payment in "&amp;(H18-TODAY())&amp;" days")))))))))</f>
        <v/>
      </c>
      <c r="K18" s="16">
        <f>IF(OR(C18="",E18=""),"",IF(COUNTIFS(Costs!$C$6:$C$305,C18,Costs!$E$6:$E$305,"&lt;&gt;")&lt;2,"",IF(M18=1,"Cheapest of "&amp;COUNTIFS(Costs!$C$6:$C$305,C18,Costs!$E$6:$E$305,"&lt;&gt;"),FIXED(E18-SUMIFS(Costs!$E$6:$E$305,Costs!$C$6:$C$305,C18,Costs!$M$6:$M$305,1)/COUNTIFS(Costs!$C$6:$C$305,C18,Costs!$M$6:$M$305,1),0)&amp;" more than the cheapest")))</f>
        <v/>
      </c>
      <c r="L18" s="33" t="n"/>
      <c r="M18" s="1">
        <f>IF(OR(C18="",E18=""),"",IF(COUNTIFS(Costs!$C$6:$C$305,C18,Costs!$E$6:$E$305,"&lt;"&amp;E18)=0,1,0))</f>
        <v/>
      </c>
      <c r="N18">
        <f>IF(AND(C18&lt;&gt;"",F18="Quote",COUNTIFS(Costs!$C$6:$C$305,C18,Costs!$F$6:$F$305,"Hired")+COUNTIFS(Costs!$C$6:$C$305,C18,Costs!$F$6:$F$305,"Bought")=0),1/COUNTIFS(Costs!$C$6:$C$305,C18,Costs!$F$6:$F$305,"Quote"),"")</f>
        <v/>
      </c>
      <c r="O18">
        <f>IF(AND(OR(F18="Hired",F18="Bought"),N(I18)&gt;0,H18&lt;&gt;""),H18+ROW()/100000,"")</f>
        <v/>
      </c>
    </row>
    <row r="19">
      <c r="A19" s="1" t="n"/>
      <c r="B19" s="33" t="inlineStr">
        <is>
          <t>Primary bedroom</t>
        </is>
      </c>
      <c r="C19" s="33" t="inlineStr">
        <is>
          <t>Built-in closet</t>
        </is>
      </c>
      <c r="D19" s="33" t="inlineStr">
        <is>
          <t>Riverside Cabinet Co</t>
        </is>
      </c>
      <c r="E19" s="27" t="n">
        <v>2400</v>
      </c>
      <c r="F19" s="34" t="inlineStr">
        <is>
          <t>Quote</t>
        </is>
      </c>
      <c r="G19" s="27" t="n"/>
      <c r="H19" s="35" t="n"/>
      <c r="I19" s="14">
        <f>IF(OR(E19="",AND(F19&lt;&gt;"Hired",F19&lt;&gt;"Bought")),"",E19-N(G19))</f>
        <v/>
      </c>
      <c r="J19" s="16">
        <f>IF(C19&amp;E19="","",IF(F19="","Choose a stage",IF(F19="Quote","",IF(E19="","Add the amount",IF(I19&lt;=0,"Paid",IF(H19="","Balance due, no date set",IF(H19&lt;TODAY(),"Overdue by "&amp;(TODAY()-H19)&amp;IF((TODAY()-H19)=1," day"," days"),IF(H19=TODAY(),"Due today",IF((H19-TODAY())&lt;=14,"Due in "&amp;(H19-TODAY())&amp;IF((H19-TODAY())=1," day"," days"),"Next payment in "&amp;(H19-TODAY())&amp;" days")))))))))</f>
        <v/>
      </c>
      <c r="K19" s="16">
        <f>IF(OR(C19="",E19=""),"",IF(COUNTIFS(Costs!$C$6:$C$305,C19,Costs!$E$6:$E$305,"&lt;&gt;")&lt;2,"",IF(M19=1,"Cheapest of "&amp;COUNTIFS(Costs!$C$6:$C$305,C19,Costs!$E$6:$E$305,"&lt;&gt;"),FIXED(E19-SUMIFS(Costs!$E$6:$E$305,Costs!$C$6:$C$305,C19,Costs!$M$6:$M$305,1)/COUNTIFS(Costs!$C$6:$C$305,C19,Costs!$M$6:$M$305,1),0)&amp;" more than the cheapest")))</f>
        <v/>
      </c>
      <c r="L19" s="33" t="n"/>
      <c r="M19" s="1">
        <f>IF(OR(C19="",E19=""),"",IF(COUNTIFS(Costs!$C$6:$C$305,C19,Costs!$E$6:$E$305,"&lt;"&amp;E19)=0,1,0))</f>
        <v/>
      </c>
      <c r="N19">
        <f>IF(AND(C19&lt;&gt;"",F19="Quote",COUNTIFS(Costs!$C$6:$C$305,C19,Costs!$F$6:$F$305,"Hired")+COUNTIFS(Costs!$C$6:$C$305,C19,Costs!$F$6:$F$305,"Bought")=0),1/COUNTIFS(Costs!$C$6:$C$305,C19,Costs!$F$6:$F$305,"Quote"),"")</f>
        <v/>
      </c>
      <c r="O19">
        <f>IF(AND(OR(F19="Hired",F19="Bought"),N(I19)&gt;0,H19&lt;&gt;""),H19+ROW()/100000,"")</f>
        <v/>
      </c>
    </row>
    <row r="20">
      <c r="A20" s="1" t="n"/>
      <c r="B20" s="33" t="inlineStr">
        <is>
          <t>Primary bedroom</t>
        </is>
      </c>
      <c r="C20" s="33" t="inlineStr">
        <is>
          <t>Built-in closet</t>
        </is>
      </c>
      <c r="D20" s="33" t="inlineStr">
        <is>
          <t>Closet Studio</t>
        </is>
      </c>
      <c r="E20" s="27" t="n">
        <v>2150</v>
      </c>
      <c r="F20" s="34" t="inlineStr">
        <is>
          <t>Quote</t>
        </is>
      </c>
      <c r="G20" s="27" t="n"/>
      <c r="H20" s="35" t="n"/>
      <c r="I20" s="14">
        <f>IF(OR(E20="",AND(F20&lt;&gt;"Hired",F20&lt;&gt;"Bought")),"",E20-N(G20))</f>
        <v/>
      </c>
      <c r="J20" s="16">
        <f>IF(C20&amp;E20="","",IF(F20="","Choose a stage",IF(F20="Quote","",IF(E20="","Add the amount",IF(I20&lt;=0,"Paid",IF(H20="","Balance due, no date set",IF(H20&lt;TODAY(),"Overdue by "&amp;(TODAY()-H20)&amp;IF((TODAY()-H20)=1," day"," days"),IF(H20=TODAY(),"Due today",IF((H20-TODAY())&lt;=14,"Due in "&amp;(H20-TODAY())&amp;IF((H20-TODAY())=1," day"," days"),"Next payment in "&amp;(H20-TODAY())&amp;" days")))))))))</f>
        <v/>
      </c>
      <c r="K20" s="16">
        <f>IF(OR(C20="",E20=""),"",IF(COUNTIFS(Costs!$C$6:$C$305,C20,Costs!$E$6:$E$305,"&lt;&gt;")&lt;2,"",IF(M20=1,"Cheapest of "&amp;COUNTIFS(Costs!$C$6:$C$305,C20,Costs!$E$6:$E$305,"&lt;&gt;"),FIXED(E20-SUMIFS(Costs!$E$6:$E$305,Costs!$C$6:$C$305,C20,Costs!$M$6:$M$305,1)/COUNTIFS(Costs!$C$6:$C$305,C20,Costs!$M$6:$M$305,1),0)&amp;" more than the cheapest")))</f>
        <v/>
      </c>
      <c r="L20" s="33" t="n"/>
      <c r="M20" s="1">
        <f>IF(OR(C20="",E20=""),"",IF(COUNTIFS(Costs!$C$6:$C$305,C20,Costs!$E$6:$E$305,"&lt;"&amp;E20)=0,1,0))</f>
        <v/>
      </c>
      <c r="N20">
        <f>IF(AND(C20&lt;&gt;"",F20="Quote",COUNTIFS(Costs!$C$6:$C$305,C20,Costs!$F$6:$F$305,"Hired")+COUNTIFS(Costs!$C$6:$C$305,C20,Costs!$F$6:$F$305,"Bought")=0),1/COUNTIFS(Costs!$C$6:$C$305,C20,Costs!$F$6:$F$305,"Quote"),"")</f>
        <v/>
      </c>
      <c r="O20">
        <f>IF(AND(OR(F20="Hired",F20="Bought"),N(I20)&gt;0,H20&lt;&gt;""),H20+ROW()/100000,"")</f>
        <v/>
      </c>
    </row>
    <row r="21">
      <c r="A21" s="1" t="n"/>
      <c r="B21" s="33" t="inlineStr">
        <is>
          <t>Whole house</t>
        </is>
      </c>
      <c r="C21" s="33" t="inlineStr">
        <is>
          <t>Building permit</t>
        </is>
      </c>
      <c r="D21" s="33" t="inlineStr">
        <is>
          <t>Building department</t>
        </is>
      </c>
      <c r="E21" s="27" t="n">
        <v>450</v>
      </c>
      <c r="F21" s="34" t="inlineStr">
        <is>
          <t>Bought</t>
        </is>
      </c>
      <c r="G21" s="27" t="n">
        <v>450</v>
      </c>
      <c r="H21" s="35" t="n"/>
      <c r="I21" s="14">
        <f>IF(OR(E21="",AND(F21&lt;&gt;"Hired",F21&lt;&gt;"Bought")),"",E21-N(G21))</f>
        <v/>
      </c>
      <c r="J21" s="16">
        <f>IF(C21&amp;E21="","",IF(F21="","Choose a stage",IF(F21="Quote","",IF(E21="","Add the amount",IF(I21&lt;=0,"Paid",IF(H21="","Balance due, no date set",IF(H21&lt;TODAY(),"Overdue by "&amp;(TODAY()-H21)&amp;IF((TODAY()-H21)=1," day"," days"),IF(H21=TODAY(),"Due today",IF((H21-TODAY())&lt;=14,"Due in "&amp;(H21-TODAY())&amp;IF((H21-TODAY())=1," day"," days"),"Next payment in "&amp;(H21-TODAY())&amp;" days")))))))))</f>
        <v/>
      </c>
      <c r="K21" s="16">
        <f>IF(OR(C21="",E21=""),"",IF(COUNTIFS(Costs!$C$6:$C$305,C21,Costs!$E$6:$E$305,"&lt;&gt;")&lt;2,"",IF(M21=1,"Cheapest of "&amp;COUNTIFS(Costs!$C$6:$C$305,C21,Costs!$E$6:$E$305,"&lt;&gt;"),FIXED(E21-SUMIFS(Costs!$E$6:$E$305,Costs!$C$6:$C$305,C21,Costs!$M$6:$M$305,1)/COUNTIFS(Costs!$C$6:$C$305,C21,Costs!$M$6:$M$305,1),0)&amp;" more than the cheapest")))</f>
        <v/>
      </c>
      <c r="L21" s="33" t="n"/>
      <c r="M21" s="1">
        <f>IF(OR(C21="",E21=""),"",IF(COUNTIFS(Costs!$C$6:$C$305,C21,Costs!$E$6:$E$305,"&lt;"&amp;E21)=0,1,0))</f>
        <v/>
      </c>
      <c r="N21">
        <f>IF(AND(C21&lt;&gt;"",F21="Quote",COUNTIFS(Costs!$C$6:$C$305,C21,Costs!$F$6:$F$305,"Hired")+COUNTIFS(Costs!$C$6:$C$305,C21,Costs!$F$6:$F$305,"Bought")=0),1/COUNTIFS(Costs!$C$6:$C$305,C21,Costs!$F$6:$F$305,"Quote"),"")</f>
        <v/>
      </c>
      <c r="O21">
        <f>IF(AND(OR(F21="Hired",F21="Bought"),N(I21)&gt;0,H21&lt;&gt;""),H21+ROW()/100000,"")</f>
        <v/>
      </c>
    </row>
    <row r="22">
      <c r="A22" s="1" t="n"/>
      <c r="B22" s="33" t="inlineStr">
        <is>
          <t>Whole house</t>
        </is>
      </c>
      <c r="C22" s="33" t="inlineStr">
        <is>
          <t>Dumpster rental</t>
        </is>
      </c>
      <c r="D22" s="33" t="inlineStr">
        <is>
          <t>Waste hauler</t>
        </is>
      </c>
      <c r="E22" s="27" t="n">
        <v>380</v>
      </c>
      <c r="F22" s="34" t="inlineStr">
        <is>
          <t>Hired</t>
        </is>
      </c>
      <c r="G22" s="27" t="n">
        <v>380</v>
      </c>
      <c r="H22" s="35" t="n"/>
      <c r="I22" s="14">
        <f>IF(OR(E22="",AND(F22&lt;&gt;"Hired",F22&lt;&gt;"Bought")),"",E22-N(G22))</f>
        <v/>
      </c>
      <c r="J22" s="16">
        <f>IF(C22&amp;E22="","",IF(F22="","Choose a stage",IF(F22="Quote","",IF(E22="","Add the amount",IF(I22&lt;=0,"Paid",IF(H22="","Balance due, no date set",IF(H22&lt;TODAY(),"Overdue by "&amp;(TODAY()-H22)&amp;IF((TODAY()-H22)=1," day"," days"),IF(H22=TODAY(),"Due today",IF((H22-TODAY())&lt;=14,"Due in "&amp;(H22-TODAY())&amp;IF((H22-TODAY())=1," day"," days"),"Next payment in "&amp;(H22-TODAY())&amp;" days")))))))))</f>
        <v/>
      </c>
      <c r="K22" s="16">
        <f>IF(OR(C22="",E22=""),"",IF(COUNTIFS(Costs!$C$6:$C$305,C22,Costs!$E$6:$E$305,"&lt;&gt;")&lt;2,"",IF(M22=1,"Cheapest of "&amp;COUNTIFS(Costs!$C$6:$C$305,C22,Costs!$E$6:$E$305,"&lt;&gt;"),FIXED(E22-SUMIFS(Costs!$E$6:$E$305,Costs!$C$6:$C$305,C22,Costs!$M$6:$M$305,1)/COUNTIFS(Costs!$C$6:$C$305,C22,Costs!$M$6:$M$305,1),0)&amp;" more than the cheapest")))</f>
        <v/>
      </c>
      <c r="L22" s="33" t="n"/>
      <c r="M22" s="1">
        <f>IF(OR(C22="",E22=""),"",IF(COUNTIFS(Costs!$C$6:$C$305,C22,Costs!$E$6:$E$305,"&lt;"&amp;E22)=0,1,0))</f>
        <v/>
      </c>
      <c r="N22">
        <f>IF(AND(C22&lt;&gt;"",F22="Quote",COUNTIFS(Costs!$C$6:$C$305,C22,Costs!$F$6:$F$305,"Hired")+COUNTIFS(Costs!$C$6:$C$305,C22,Costs!$F$6:$F$305,"Bought")=0),1/COUNTIFS(Costs!$C$6:$C$305,C22,Costs!$F$6:$F$305,"Quote"),"")</f>
        <v/>
      </c>
      <c r="O22">
        <f>IF(AND(OR(F22="Hired",F22="Bought"),N(I22)&gt;0,H22&lt;&gt;""),H22+ROW()/100000,"")</f>
        <v/>
      </c>
    </row>
    <row r="23">
      <c r="A23" s="1" t="n"/>
      <c r="B23" s="33" t="inlineStr">
        <is>
          <t>Whole house</t>
        </is>
      </c>
      <c r="C23" s="33" t="inlineStr">
        <is>
          <t>Partial rewire</t>
        </is>
      </c>
      <c r="D23" s="33" t="inlineStr">
        <is>
          <t>Spark Electrical</t>
        </is>
      </c>
      <c r="E23" s="27" t="n">
        <v>3900</v>
      </c>
      <c r="F23" s="34" t="inlineStr">
        <is>
          <t>Hired</t>
        </is>
      </c>
      <c r="G23" s="27" t="n">
        <v>1950</v>
      </c>
      <c r="H23" s="35" t="n">
        <v>46302</v>
      </c>
      <c r="I23" s="14">
        <f>IF(OR(E23="",AND(F23&lt;&gt;"Hired",F23&lt;&gt;"Bought")),"",E23-N(G23))</f>
        <v/>
      </c>
      <c r="J23" s="16">
        <f>IF(C23&amp;E23="","",IF(F23="","Choose a stage",IF(F23="Quote","",IF(E23="","Add the amount",IF(I23&lt;=0,"Paid",IF(H23="","Balance due, no date set",IF(H23&lt;TODAY(),"Overdue by "&amp;(TODAY()-H23)&amp;IF((TODAY()-H23)=1," day"," days"),IF(H23=TODAY(),"Due today",IF((H23-TODAY())&lt;=14,"Due in "&amp;(H23-TODAY())&amp;IF((H23-TODAY())=1," day"," days"),"Next payment in "&amp;(H23-TODAY())&amp;" days")))))))))</f>
        <v/>
      </c>
      <c r="K23" s="16">
        <f>IF(OR(C23="",E23=""),"",IF(COUNTIFS(Costs!$C$6:$C$305,C23,Costs!$E$6:$E$305,"&lt;&gt;")&lt;2,"",IF(M23=1,"Cheapest of "&amp;COUNTIFS(Costs!$C$6:$C$305,C23,Costs!$E$6:$E$305,"&lt;&gt;"),FIXED(E23-SUMIFS(Costs!$E$6:$E$305,Costs!$C$6:$C$305,C23,Costs!$M$6:$M$305,1)/COUNTIFS(Costs!$C$6:$C$305,C23,Costs!$M$6:$M$305,1),0)&amp;" more than the cheapest")))</f>
        <v/>
      </c>
      <c r="L23" s="33" t="n"/>
      <c r="M23" s="1">
        <f>IF(OR(C23="",E23=""),"",IF(COUNTIFS(Costs!$C$6:$C$305,C23,Costs!$E$6:$E$305,"&lt;"&amp;E23)=0,1,0))</f>
        <v/>
      </c>
      <c r="N23">
        <f>IF(AND(C23&lt;&gt;"",F23="Quote",COUNTIFS(Costs!$C$6:$C$305,C23,Costs!$F$6:$F$305,"Hired")+COUNTIFS(Costs!$C$6:$C$305,C23,Costs!$F$6:$F$305,"Bought")=0),1/COUNTIFS(Costs!$C$6:$C$305,C23,Costs!$F$6:$F$305,"Quote"),"")</f>
        <v/>
      </c>
      <c r="O23">
        <f>IF(AND(OR(F23="Hired",F23="Bought"),N(I23)&gt;0,H23&lt;&gt;""),H23+ROW()/100000,"")</f>
        <v/>
      </c>
    </row>
    <row r="24">
      <c r="A24" s="1" t="n"/>
      <c r="B24" s="33" t="inlineStr">
        <is>
          <t>Exterior</t>
        </is>
      </c>
      <c r="C24" s="33" t="inlineStr">
        <is>
          <t>Fence repair</t>
        </is>
      </c>
      <c r="D24" s="33" t="inlineStr">
        <is>
          <t>Garden and Fence Co</t>
        </is>
      </c>
      <c r="E24" s="27" t="n">
        <v>1250</v>
      </c>
      <c r="F24" s="34" t="inlineStr">
        <is>
          <t>Quote</t>
        </is>
      </c>
      <c r="G24" s="27" t="n"/>
      <c r="H24" s="35" t="n"/>
      <c r="I24" s="14">
        <f>IF(OR(E24="",AND(F24&lt;&gt;"Hired",F24&lt;&gt;"Bought")),"",E24-N(G24))</f>
        <v/>
      </c>
      <c r="J24" s="16">
        <f>IF(C24&amp;E24="","",IF(F24="","Choose a stage",IF(F24="Quote","",IF(E24="","Add the amount",IF(I24&lt;=0,"Paid",IF(H24="","Balance due, no date set",IF(H24&lt;TODAY(),"Overdue by "&amp;(TODAY()-H24)&amp;IF((TODAY()-H24)=1," day"," days"),IF(H24=TODAY(),"Due today",IF((H24-TODAY())&lt;=14,"Due in "&amp;(H24-TODAY())&amp;IF((H24-TODAY())=1," day"," days"),"Next payment in "&amp;(H24-TODAY())&amp;" days")))))))))</f>
        <v/>
      </c>
      <c r="K24" s="16">
        <f>IF(OR(C24="",E24=""),"",IF(COUNTIFS(Costs!$C$6:$C$305,C24,Costs!$E$6:$E$305,"&lt;&gt;")&lt;2,"",IF(M24=1,"Cheapest of "&amp;COUNTIFS(Costs!$C$6:$C$305,C24,Costs!$E$6:$E$305,"&lt;&gt;"),FIXED(E24-SUMIFS(Costs!$E$6:$E$305,Costs!$C$6:$C$305,C24,Costs!$M$6:$M$305,1)/COUNTIFS(Costs!$C$6:$C$305,C24,Costs!$M$6:$M$305,1),0)&amp;" more than the cheapest")))</f>
        <v/>
      </c>
      <c r="L24" s="33" t="n"/>
      <c r="M24" s="1">
        <f>IF(OR(C24="",E24=""),"",IF(COUNTIFS(Costs!$C$6:$C$305,C24,Costs!$E$6:$E$305,"&lt;"&amp;E24)=0,1,0))</f>
        <v/>
      </c>
      <c r="N24">
        <f>IF(AND(C24&lt;&gt;"",F24="Quote",COUNTIFS(Costs!$C$6:$C$305,C24,Costs!$F$6:$F$305,"Hired")+COUNTIFS(Costs!$C$6:$C$305,C24,Costs!$F$6:$F$305,"Bought")=0),1/COUNTIFS(Costs!$C$6:$C$305,C24,Costs!$F$6:$F$305,"Quote"),"")</f>
        <v/>
      </c>
      <c r="O24">
        <f>IF(AND(OR(F24="Hired",F24="Bought"),N(I24)&gt;0,H24&lt;&gt;""),H24+ROW()/100000,"")</f>
        <v/>
      </c>
    </row>
    <row r="25">
      <c r="A25" s="1" t="n"/>
      <c r="B25" s="33" t="inlineStr">
        <is>
          <t>Exterior</t>
        </is>
      </c>
      <c r="C25" s="33" t="inlineStr">
        <is>
          <t>Fence repair</t>
        </is>
      </c>
      <c r="D25" s="33" t="inlineStr">
        <is>
          <t>Green Yard Services</t>
        </is>
      </c>
      <c r="E25" s="27" t="n">
        <v>1480</v>
      </c>
      <c r="F25" s="34" t="inlineStr">
        <is>
          <t>Quote</t>
        </is>
      </c>
      <c r="G25" s="27" t="n"/>
      <c r="H25" s="35" t="n"/>
      <c r="I25" s="14">
        <f>IF(OR(E25="",AND(F25&lt;&gt;"Hired",F25&lt;&gt;"Bought")),"",E25-N(G25))</f>
        <v/>
      </c>
      <c r="J25" s="16">
        <f>IF(C25&amp;E25="","",IF(F25="","Choose a stage",IF(F25="Quote","",IF(E25="","Add the amount",IF(I25&lt;=0,"Paid",IF(H25="","Balance due, no date set",IF(H25&lt;TODAY(),"Overdue by "&amp;(TODAY()-H25)&amp;IF((TODAY()-H25)=1," day"," days"),IF(H25=TODAY(),"Due today",IF((H25-TODAY())&lt;=14,"Due in "&amp;(H25-TODAY())&amp;IF((H25-TODAY())=1," day"," days"),"Next payment in "&amp;(H25-TODAY())&amp;" days")))))))))</f>
        <v/>
      </c>
      <c r="K25" s="16">
        <f>IF(OR(C25="",E25=""),"",IF(COUNTIFS(Costs!$C$6:$C$305,C25,Costs!$E$6:$E$305,"&lt;&gt;")&lt;2,"",IF(M25=1,"Cheapest of "&amp;COUNTIFS(Costs!$C$6:$C$305,C25,Costs!$E$6:$E$305,"&lt;&gt;"),FIXED(E25-SUMIFS(Costs!$E$6:$E$305,Costs!$C$6:$C$305,C25,Costs!$M$6:$M$305,1)/COUNTIFS(Costs!$C$6:$C$305,C25,Costs!$M$6:$M$305,1),0)&amp;" more than the cheapest")))</f>
        <v/>
      </c>
      <c r="L25" s="33" t="n"/>
      <c r="M25" s="1">
        <f>IF(OR(C25="",E25=""),"",IF(COUNTIFS(Costs!$C$6:$C$305,C25,Costs!$E$6:$E$305,"&lt;"&amp;E25)=0,1,0))</f>
        <v/>
      </c>
      <c r="N25">
        <f>IF(AND(C25&lt;&gt;"",F25="Quote",COUNTIFS(Costs!$C$6:$C$305,C25,Costs!$F$6:$F$305,"Hired")+COUNTIFS(Costs!$C$6:$C$305,C25,Costs!$F$6:$F$305,"Bought")=0),1/COUNTIFS(Costs!$C$6:$C$305,C25,Costs!$F$6:$F$305,"Quote"),"")</f>
        <v/>
      </c>
      <c r="O25">
        <f>IF(AND(OR(F25="Hired",F25="Bought"),N(I25)&gt;0,H25&lt;&gt;""),H25+ROW()/100000,"")</f>
        <v/>
      </c>
    </row>
    <row r="26">
      <c r="A26" s="1" t="n"/>
      <c r="B26" s="33" t="n"/>
      <c r="C26" s="33" t="n"/>
      <c r="D26" s="33" t="n"/>
      <c r="E26" s="27" t="n"/>
      <c r="F26" s="34" t="n"/>
      <c r="G26" s="27" t="n"/>
      <c r="H26" s="35" t="n"/>
      <c r="I26" s="14">
        <f>IF(OR(E26="",AND(F26&lt;&gt;"Hired",F26&lt;&gt;"Bought")),"",E26-N(G26))</f>
        <v/>
      </c>
      <c r="J26" s="16">
        <f>IF(C26&amp;E26="","",IF(F26="","Choose a stage",IF(F26="Quote","",IF(E26="","Add the amount",IF(I26&lt;=0,"Paid",IF(H26="","Balance due, no date set",IF(H26&lt;TODAY(),"Overdue by "&amp;(TODAY()-H26)&amp;IF((TODAY()-H26)=1," day"," days"),IF(H26=TODAY(),"Due today",IF((H26-TODAY())&lt;=14,"Due in "&amp;(H26-TODAY())&amp;IF((H26-TODAY())=1," day"," days"),"Next payment in "&amp;(H26-TODAY())&amp;" days")))))))))</f>
        <v/>
      </c>
      <c r="K26" s="16">
        <f>IF(OR(C26="",E26=""),"",IF(COUNTIFS(Costs!$C$6:$C$305,C26,Costs!$E$6:$E$305,"&lt;&gt;")&lt;2,"",IF(M26=1,"Cheapest of "&amp;COUNTIFS(Costs!$C$6:$C$305,C26,Costs!$E$6:$E$305,"&lt;&gt;"),FIXED(E26-SUMIFS(Costs!$E$6:$E$305,Costs!$C$6:$C$305,C26,Costs!$M$6:$M$305,1)/COUNTIFS(Costs!$C$6:$C$305,C26,Costs!$M$6:$M$305,1),0)&amp;" more than the cheapest")))</f>
        <v/>
      </c>
      <c r="L26" s="33" t="n"/>
      <c r="M26" s="1">
        <f>IF(OR(C26="",E26=""),"",IF(COUNTIFS(Costs!$C$6:$C$305,C26,Costs!$E$6:$E$305,"&lt;"&amp;E26)=0,1,0))</f>
        <v/>
      </c>
      <c r="N26">
        <f>IF(AND(C26&lt;&gt;"",F26="Quote",COUNTIFS(Costs!$C$6:$C$305,C26,Costs!$F$6:$F$305,"Hired")+COUNTIFS(Costs!$C$6:$C$305,C26,Costs!$F$6:$F$305,"Bought")=0),1/COUNTIFS(Costs!$C$6:$C$305,C26,Costs!$F$6:$F$305,"Quote"),"")</f>
        <v/>
      </c>
      <c r="O26">
        <f>IF(AND(OR(F26="Hired",F26="Bought"),N(I26)&gt;0,H26&lt;&gt;""),H26+ROW()/100000,"")</f>
        <v/>
      </c>
    </row>
    <row r="27">
      <c r="A27" s="1" t="n"/>
      <c r="B27" s="33" t="n"/>
      <c r="C27" s="33" t="n"/>
      <c r="D27" s="33" t="n"/>
      <c r="E27" s="27" t="n"/>
      <c r="F27" s="34" t="n"/>
      <c r="G27" s="27" t="n"/>
      <c r="H27" s="35" t="n"/>
      <c r="I27" s="14">
        <f>IF(OR(E27="",AND(F27&lt;&gt;"Hired",F27&lt;&gt;"Bought")),"",E27-N(G27))</f>
        <v/>
      </c>
      <c r="J27" s="16">
        <f>IF(C27&amp;E27="","",IF(F27="","Choose a stage",IF(F27="Quote","",IF(E27="","Add the amount",IF(I27&lt;=0,"Paid",IF(H27="","Balance due, no date set",IF(H27&lt;TODAY(),"Overdue by "&amp;(TODAY()-H27)&amp;IF((TODAY()-H27)=1," day"," days"),IF(H27=TODAY(),"Due today",IF((H27-TODAY())&lt;=14,"Due in "&amp;(H27-TODAY())&amp;IF((H27-TODAY())=1," day"," days"),"Next payment in "&amp;(H27-TODAY())&amp;" days")))))))))</f>
        <v/>
      </c>
      <c r="K27" s="16">
        <f>IF(OR(C27="",E27=""),"",IF(COUNTIFS(Costs!$C$6:$C$305,C27,Costs!$E$6:$E$305,"&lt;&gt;")&lt;2,"",IF(M27=1,"Cheapest of "&amp;COUNTIFS(Costs!$C$6:$C$305,C27,Costs!$E$6:$E$305,"&lt;&gt;"),FIXED(E27-SUMIFS(Costs!$E$6:$E$305,Costs!$C$6:$C$305,C27,Costs!$M$6:$M$305,1)/COUNTIFS(Costs!$C$6:$C$305,C27,Costs!$M$6:$M$305,1),0)&amp;" more than the cheapest")))</f>
        <v/>
      </c>
      <c r="L27" s="33" t="n"/>
      <c r="M27" s="1">
        <f>IF(OR(C27="",E27=""),"",IF(COUNTIFS(Costs!$C$6:$C$305,C27,Costs!$E$6:$E$305,"&lt;"&amp;E27)=0,1,0))</f>
        <v/>
      </c>
      <c r="N27">
        <f>IF(AND(C27&lt;&gt;"",F27="Quote",COUNTIFS(Costs!$C$6:$C$305,C27,Costs!$F$6:$F$305,"Hired")+COUNTIFS(Costs!$C$6:$C$305,C27,Costs!$F$6:$F$305,"Bought")=0),1/COUNTIFS(Costs!$C$6:$C$305,C27,Costs!$F$6:$F$305,"Quote"),"")</f>
        <v/>
      </c>
      <c r="O27">
        <f>IF(AND(OR(F27="Hired",F27="Bought"),N(I27)&gt;0,H27&lt;&gt;""),H27+ROW()/100000,"")</f>
        <v/>
      </c>
    </row>
    <row r="28">
      <c r="A28" s="1" t="n"/>
      <c r="B28" s="33" t="n"/>
      <c r="C28" s="33" t="n"/>
      <c r="D28" s="33" t="n"/>
      <c r="E28" s="27" t="n"/>
      <c r="F28" s="34" t="n"/>
      <c r="G28" s="27" t="n"/>
      <c r="H28" s="35" t="n"/>
      <c r="I28" s="14">
        <f>IF(OR(E28="",AND(F28&lt;&gt;"Hired",F28&lt;&gt;"Bought")),"",E28-N(G28))</f>
        <v/>
      </c>
      <c r="J28" s="16">
        <f>IF(C28&amp;E28="","",IF(F28="","Choose a stage",IF(F28="Quote","",IF(E28="","Add the amount",IF(I28&lt;=0,"Paid",IF(H28="","Balance due, no date set",IF(H28&lt;TODAY(),"Overdue by "&amp;(TODAY()-H28)&amp;IF((TODAY()-H28)=1," day"," days"),IF(H28=TODAY(),"Due today",IF((H28-TODAY())&lt;=14,"Due in "&amp;(H28-TODAY())&amp;IF((H28-TODAY())=1," day"," days"),"Next payment in "&amp;(H28-TODAY())&amp;" days")))))))))</f>
        <v/>
      </c>
      <c r="K28" s="16">
        <f>IF(OR(C28="",E28=""),"",IF(COUNTIFS(Costs!$C$6:$C$305,C28,Costs!$E$6:$E$305,"&lt;&gt;")&lt;2,"",IF(M28=1,"Cheapest of "&amp;COUNTIFS(Costs!$C$6:$C$305,C28,Costs!$E$6:$E$305,"&lt;&gt;"),FIXED(E28-SUMIFS(Costs!$E$6:$E$305,Costs!$C$6:$C$305,C28,Costs!$M$6:$M$305,1)/COUNTIFS(Costs!$C$6:$C$305,C28,Costs!$M$6:$M$305,1),0)&amp;" more than the cheapest")))</f>
        <v/>
      </c>
      <c r="L28" s="33" t="n"/>
      <c r="M28" s="1">
        <f>IF(OR(C28="",E28=""),"",IF(COUNTIFS(Costs!$C$6:$C$305,C28,Costs!$E$6:$E$305,"&lt;"&amp;E28)=0,1,0))</f>
        <v/>
      </c>
      <c r="N28">
        <f>IF(AND(C28&lt;&gt;"",F28="Quote",COUNTIFS(Costs!$C$6:$C$305,C28,Costs!$F$6:$F$305,"Hired")+COUNTIFS(Costs!$C$6:$C$305,C28,Costs!$F$6:$F$305,"Bought")=0),1/COUNTIFS(Costs!$C$6:$C$305,C28,Costs!$F$6:$F$305,"Quote"),"")</f>
        <v/>
      </c>
      <c r="O28">
        <f>IF(AND(OR(F28="Hired",F28="Bought"),N(I28)&gt;0,H28&lt;&gt;""),H28+ROW()/100000,"")</f>
        <v/>
      </c>
    </row>
    <row r="29">
      <c r="A29" s="1" t="n"/>
      <c r="B29" s="33" t="n"/>
      <c r="C29" s="33" t="n"/>
      <c r="D29" s="33" t="n"/>
      <c r="E29" s="27" t="n"/>
      <c r="F29" s="34" t="n"/>
      <c r="G29" s="27" t="n"/>
      <c r="H29" s="35" t="n"/>
      <c r="I29" s="14">
        <f>IF(OR(E29="",AND(F29&lt;&gt;"Hired",F29&lt;&gt;"Bought")),"",E29-N(G29))</f>
        <v/>
      </c>
      <c r="J29" s="16">
        <f>IF(C29&amp;E29="","",IF(F29="","Choose a stage",IF(F29="Quote","",IF(E29="","Add the amount",IF(I29&lt;=0,"Paid",IF(H29="","Balance due, no date set",IF(H29&lt;TODAY(),"Overdue by "&amp;(TODAY()-H29)&amp;IF((TODAY()-H29)=1," day"," days"),IF(H29=TODAY(),"Due today",IF((H29-TODAY())&lt;=14,"Due in "&amp;(H29-TODAY())&amp;IF((H29-TODAY())=1," day"," days"),"Next payment in "&amp;(H29-TODAY())&amp;" days")))))))))</f>
        <v/>
      </c>
      <c r="K29" s="16">
        <f>IF(OR(C29="",E29=""),"",IF(COUNTIFS(Costs!$C$6:$C$305,C29,Costs!$E$6:$E$305,"&lt;&gt;")&lt;2,"",IF(M29=1,"Cheapest of "&amp;COUNTIFS(Costs!$C$6:$C$305,C29,Costs!$E$6:$E$305,"&lt;&gt;"),FIXED(E29-SUMIFS(Costs!$E$6:$E$305,Costs!$C$6:$C$305,C29,Costs!$M$6:$M$305,1)/COUNTIFS(Costs!$C$6:$C$305,C29,Costs!$M$6:$M$305,1),0)&amp;" more than the cheapest")))</f>
        <v/>
      </c>
      <c r="L29" s="33" t="n"/>
      <c r="M29" s="1">
        <f>IF(OR(C29="",E29=""),"",IF(COUNTIFS(Costs!$C$6:$C$305,C29,Costs!$E$6:$E$305,"&lt;"&amp;E29)=0,1,0))</f>
        <v/>
      </c>
      <c r="N29">
        <f>IF(AND(C29&lt;&gt;"",F29="Quote",COUNTIFS(Costs!$C$6:$C$305,C29,Costs!$F$6:$F$305,"Hired")+COUNTIFS(Costs!$C$6:$C$305,C29,Costs!$F$6:$F$305,"Bought")=0),1/COUNTIFS(Costs!$C$6:$C$305,C29,Costs!$F$6:$F$305,"Quote"),"")</f>
        <v/>
      </c>
      <c r="O29">
        <f>IF(AND(OR(F29="Hired",F29="Bought"),N(I29)&gt;0,H29&lt;&gt;""),H29+ROW()/100000,"")</f>
        <v/>
      </c>
    </row>
    <row r="30">
      <c r="A30" s="1" t="n"/>
      <c r="B30" s="33" t="n"/>
      <c r="C30" s="33" t="n"/>
      <c r="D30" s="33" t="n"/>
      <c r="E30" s="27" t="n"/>
      <c r="F30" s="34" t="n"/>
      <c r="G30" s="27" t="n"/>
      <c r="H30" s="35" t="n"/>
      <c r="I30" s="14">
        <f>IF(OR(E30="",AND(F30&lt;&gt;"Hired",F30&lt;&gt;"Bought")),"",E30-N(G30))</f>
        <v/>
      </c>
      <c r="J30" s="16">
        <f>IF(C30&amp;E30="","",IF(F30="","Choose a stage",IF(F30="Quote","",IF(E30="","Add the amount",IF(I30&lt;=0,"Paid",IF(H30="","Balance due, no date set",IF(H30&lt;TODAY(),"Overdue by "&amp;(TODAY()-H30)&amp;IF((TODAY()-H30)=1," day"," days"),IF(H30=TODAY(),"Due today",IF((H30-TODAY())&lt;=14,"Due in "&amp;(H30-TODAY())&amp;IF((H30-TODAY())=1," day"," days"),"Next payment in "&amp;(H30-TODAY())&amp;" days")))))))))</f>
        <v/>
      </c>
      <c r="K30" s="16">
        <f>IF(OR(C30="",E30=""),"",IF(COUNTIFS(Costs!$C$6:$C$305,C30,Costs!$E$6:$E$305,"&lt;&gt;")&lt;2,"",IF(M30=1,"Cheapest of "&amp;COUNTIFS(Costs!$C$6:$C$305,C30,Costs!$E$6:$E$305,"&lt;&gt;"),FIXED(E30-SUMIFS(Costs!$E$6:$E$305,Costs!$C$6:$C$305,C30,Costs!$M$6:$M$305,1)/COUNTIFS(Costs!$C$6:$C$305,C30,Costs!$M$6:$M$305,1),0)&amp;" more than the cheapest")))</f>
        <v/>
      </c>
      <c r="L30" s="33" t="n"/>
      <c r="M30" s="1">
        <f>IF(OR(C30="",E30=""),"",IF(COUNTIFS(Costs!$C$6:$C$305,C30,Costs!$E$6:$E$305,"&lt;"&amp;E30)=0,1,0))</f>
        <v/>
      </c>
      <c r="N30">
        <f>IF(AND(C30&lt;&gt;"",F30="Quote",COUNTIFS(Costs!$C$6:$C$305,C30,Costs!$F$6:$F$305,"Hired")+COUNTIFS(Costs!$C$6:$C$305,C30,Costs!$F$6:$F$305,"Bought")=0),1/COUNTIFS(Costs!$C$6:$C$305,C30,Costs!$F$6:$F$305,"Quote"),"")</f>
        <v/>
      </c>
      <c r="O30">
        <f>IF(AND(OR(F30="Hired",F30="Bought"),N(I30)&gt;0,H30&lt;&gt;""),H30+ROW()/100000,"")</f>
        <v/>
      </c>
    </row>
    <row r="31">
      <c r="A31" s="1" t="n"/>
      <c r="B31" s="33" t="n"/>
      <c r="C31" s="33" t="n"/>
      <c r="D31" s="33" t="n"/>
      <c r="E31" s="27" t="n"/>
      <c r="F31" s="34" t="n"/>
      <c r="G31" s="27" t="n"/>
      <c r="H31" s="35" t="n"/>
      <c r="I31" s="14">
        <f>IF(OR(E31="",AND(F31&lt;&gt;"Hired",F31&lt;&gt;"Bought")),"",E31-N(G31))</f>
        <v/>
      </c>
      <c r="J31" s="16">
        <f>IF(C31&amp;E31="","",IF(F31="","Choose a stage",IF(F31="Quote","",IF(E31="","Add the amount",IF(I31&lt;=0,"Paid",IF(H31="","Balance due, no date set",IF(H31&lt;TODAY(),"Overdue by "&amp;(TODAY()-H31)&amp;IF((TODAY()-H31)=1," day"," days"),IF(H31=TODAY(),"Due today",IF((H31-TODAY())&lt;=14,"Due in "&amp;(H31-TODAY())&amp;IF((H31-TODAY())=1," day"," days"),"Next payment in "&amp;(H31-TODAY())&amp;" days")))))))))</f>
        <v/>
      </c>
      <c r="K31" s="16">
        <f>IF(OR(C31="",E31=""),"",IF(COUNTIFS(Costs!$C$6:$C$305,C31,Costs!$E$6:$E$305,"&lt;&gt;")&lt;2,"",IF(M31=1,"Cheapest of "&amp;COUNTIFS(Costs!$C$6:$C$305,C31,Costs!$E$6:$E$305,"&lt;&gt;"),FIXED(E31-SUMIFS(Costs!$E$6:$E$305,Costs!$C$6:$C$305,C31,Costs!$M$6:$M$305,1)/COUNTIFS(Costs!$C$6:$C$305,C31,Costs!$M$6:$M$305,1),0)&amp;" more than the cheapest")))</f>
        <v/>
      </c>
      <c r="L31" s="33" t="n"/>
      <c r="M31" s="1">
        <f>IF(OR(C31="",E31=""),"",IF(COUNTIFS(Costs!$C$6:$C$305,C31,Costs!$E$6:$E$305,"&lt;"&amp;E31)=0,1,0))</f>
        <v/>
      </c>
      <c r="N31">
        <f>IF(AND(C31&lt;&gt;"",F31="Quote",COUNTIFS(Costs!$C$6:$C$305,C31,Costs!$F$6:$F$305,"Hired")+COUNTIFS(Costs!$C$6:$C$305,C31,Costs!$F$6:$F$305,"Bought")=0),1/COUNTIFS(Costs!$C$6:$C$305,C31,Costs!$F$6:$F$305,"Quote"),"")</f>
        <v/>
      </c>
      <c r="O31">
        <f>IF(AND(OR(F31="Hired",F31="Bought"),N(I31)&gt;0,H31&lt;&gt;""),H31+ROW()/100000,"")</f>
        <v/>
      </c>
    </row>
    <row r="32">
      <c r="A32" s="1" t="n"/>
      <c r="B32" s="33" t="n"/>
      <c r="C32" s="33" t="n"/>
      <c r="D32" s="33" t="n"/>
      <c r="E32" s="27" t="n"/>
      <c r="F32" s="34" t="n"/>
      <c r="G32" s="27" t="n"/>
      <c r="H32" s="35" t="n"/>
      <c r="I32" s="14">
        <f>IF(OR(E32="",AND(F32&lt;&gt;"Hired",F32&lt;&gt;"Bought")),"",E32-N(G32))</f>
        <v/>
      </c>
      <c r="J32" s="16">
        <f>IF(C32&amp;E32="","",IF(F32="","Choose a stage",IF(F32="Quote","",IF(E32="","Add the amount",IF(I32&lt;=0,"Paid",IF(H32="","Balance due, no date set",IF(H32&lt;TODAY(),"Overdue by "&amp;(TODAY()-H32)&amp;IF((TODAY()-H32)=1," day"," days"),IF(H32=TODAY(),"Due today",IF((H32-TODAY())&lt;=14,"Due in "&amp;(H32-TODAY())&amp;IF((H32-TODAY())=1," day"," days"),"Next payment in "&amp;(H32-TODAY())&amp;" days")))))))))</f>
        <v/>
      </c>
      <c r="K32" s="16">
        <f>IF(OR(C32="",E32=""),"",IF(COUNTIFS(Costs!$C$6:$C$305,C32,Costs!$E$6:$E$305,"&lt;&gt;")&lt;2,"",IF(M32=1,"Cheapest of "&amp;COUNTIFS(Costs!$C$6:$C$305,C32,Costs!$E$6:$E$305,"&lt;&gt;"),FIXED(E32-SUMIFS(Costs!$E$6:$E$305,Costs!$C$6:$C$305,C32,Costs!$M$6:$M$305,1)/COUNTIFS(Costs!$C$6:$C$305,C32,Costs!$M$6:$M$305,1),0)&amp;" more than the cheapest")))</f>
        <v/>
      </c>
      <c r="L32" s="33" t="n"/>
      <c r="M32" s="1">
        <f>IF(OR(C32="",E32=""),"",IF(COUNTIFS(Costs!$C$6:$C$305,C32,Costs!$E$6:$E$305,"&lt;"&amp;E32)=0,1,0))</f>
        <v/>
      </c>
      <c r="N32">
        <f>IF(AND(C32&lt;&gt;"",F32="Quote",COUNTIFS(Costs!$C$6:$C$305,C32,Costs!$F$6:$F$305,"Hired")+COUNTIFS(Costs!$C$6:$C$305,C32,Costs!$F$6:$F$305,"Bought")=0),1/COUNTIFS(Costs!$C$6:$C$305,C32,Costs!$F$6:$F$305,"Quote"),"")</f>
        <v/>
      </c>
      <c r="O32">
        <f>IF(AND(OR(F32="Hired",F32="Bought"),N(I32)&gt;0,H32&lt;&gt;""),H32+ROW()/100000,"")</f>
        <v/>
      </c>
    </row>
    <row r="33">
      <c r="A33" s="1" t="n"/>
      <c r="B33" s="33" t="n"/>
      <c r="C33" s="33" t="n"/>
      <c r="D33" s="33" t="n"/>
      <c r="E33" s="27" t="n"/>
      <c r="F33" s="34" t="n"/>
      <c r="G33" s="27" t="n"/>
      <c r="H33" s="35" t="n"/>
      <c r="I33" s="14">
        <f>IF(OR(E33="",AND(F33&lt;&gt;"Hired",F33&lt;&gt;"Bought")),"",E33-N(G33))</f>
        <v/>
      </c>
      <c r="J33" s="16">
        <f>IF(C33&amp;E33="","",IF(F33="","Choose a stage",IF(F33="Quote","",IF(E33="","Add the amount",IF(I33&lt;=0,"Paid",IF(H33="","Balance due, no date set",IF(H33&lt;TODAY(),"Overdue by "&amp;(TODAY()-H33)&amp;IF((TODAY()-H33)=1," day"," days"),IF(H33=TODAY(),"Due today",IF((H33-TODAY())&lt;=14,"Due in "&amp;(H33-TODAY())&amp;IF((H33-TODAY())=1," day"," days"),"Next payment in "&amp;(H33-TODAY())&amp;" days")))))))))</f>
        <v/>
      </c>
      <c r="K33" s="16">
        <f>IF(OR(C33="",E33=""),"",IF(COUNTIFS(Costs!$C$6:$C$305,C33,Costs!$E$6:$E$305,"&lt;&gt;")&lt;2,"",IF(M33=1,"Cheapest of "&amp;COUNTIFS(Costs!$C$6:$C$305,C33,Costs!$E$6:$E$305,"&lt;&gt;"),FIXED(E33-SUMIFS(Costs!$E$6:$E$305,Costs!$C$6:$C$305,C33,Costs!$M$6:$M$305,1)/COUNTIFS(Costs!$C$6:$C$305,C33,Costs!$M$6:$M$305,1),0)&amp;" more than the cheapest")))</f>
        <v/>
      </c>
      <c r="L33" s="33" t="n"/>
      <c r="M33" s="1">
        <f>IF(OR(C33="",E33=""),"",IF(COUNTIFS(Costs!$C$6:$C$305,C33,Costs!$E$6:$E$305,"&lt;"&amp;E33)=0,1,0))</f>
        <v/>
      </c>
      <c r="N33">
        <f>IF(AND(C33&lt;&gt;"",F33="Quote",COUNTIFS(Costs!$C$6:$C$305,C33,Costs!$F$6:$F$305,"Hired")+COUNTIFS(Costs!$C$6:$C$305,C33,Costs!$F$6:$F$305,"Bought")=0),1/COUNTIFS(Costs!$C$6:$C$305,C33,Costs!$F$6:$F$305,"Quote"),"")</f>
        <v/>
      </c>
      <c r="O33">
        <f>IF(AND(OR(F33="Hired",F33="Bought"),N(I33)&gt;0,H33&lt;&gt;""),H33+ROW()/100000,"")</f>
        <v/>
      </c>
    </row>
    <row r="34">
      <c r="A34" s="1" t="n"/>
      <c r="B34" s="33" t="n"/>
      <c r="C34" s="33" t="n"/>
      <c r="D34" s="33" t="n"/>
      <c r="E34" s="27" t="n"/>
      <c r="F34" s="34" t="n"/>
      <c r="G34" s="27" t="n"/>
      <c r="H34" s="35" t="n"/>
      <c r="I34" s="14">
        <f>IF(OR(E34="",AND(F34&lt;&gt;"Hired",F34&lt;&gt;"Bought")),"",E34-N(G34))</f>
        <v/>
      </c>
      <c r="J34" s="16">
        <f>IF(C34&amp;E34="","",IF(F34="","Choose a stage",IF(F34="Quote","",IF(E34="","Add the amount",IF(I34&lt;=0,"Paid",IF(H34="","Balance due, no date set",IF(H34&lt;TODAY(),"Overdue by "&amp;(TODAY()-H34)&amp;IF((TODAY()-H34)=1," day"," days"),IF(H34=TODAY(),"Due today",IF((H34-TODAY())&lt;=14,"Due in "&amp;(H34-TODAY())&amp;IF((H34-TODAY())=1," day"," days"),"Next payment in "&amp;(H34-TODAY())&amp;" days")))))))))</f>
        <v/>
      </c>
      <c r="K34" s="16">
        <f>IF(OR(C34="",E34=""),"",IF(COUNTIFS(Costs!$C$6:$C$305,C34,Costs!$E$6:$E$305,"&lt;&gt;")&lt;2,"",IF(M34=1,"Cheapest of "&amp;COUNTIFS(Costs!$C$6:$C$305,C34,Costs!$E$6:$E$305,"&lt;&gt;"),FIXED(E34-SUMIFS(Costs!$E$6:$E$305,Costs!$C$6:$C$305,C34,Costs!$M$6:$M$305,1)/COUNTIFS(Costs!$C$6:$C$305,C34,Costs!$M$6:$M$305,1),0)&amp;" more than the cheapest")))</f>
        <v/>
      </c>
      <c r="L34" s="33" t="n"/>
      <c r="M34" s="1">
        <f>IF(OR(C34="",E34=""),"",IF(COUNTIFS(Costs!$C$6:$C$305,C34,Costs!$E$6:$E$305,"&lt;"&amp;E34)=0,1,0))</f>
        <v/>
      </c>
      <c r="N34">
        <f>IF(AND(C34&lt;&gt;"",F34="Quote",COUNTIFS(Costs!$C$6:$C$305,C34,Costs!$F$6:$F$305,"Hired")+COUNTIFS(Costs!$C$6:$C$305,C34,Costs!$F$6:$F$305,"Bought")=0),1/COUNTIFS(Costs!$C$6:$C$305,C34,Costs!$F$6:$F$305,"Quote"),"")</f>
        <v/>
      </c>
      <c r="O34">
        <f>IF(AND(OR(F34="Hired",F34="Bought"),N(I34)&gt;0,H34&lt;&gt;""),H34+ROW()/100000,"")</f>
        <v/>
      </c>
    </row>
    <row r="35">
      <c r="A35" s="1" t="n"/>
      <c r="B35" s="33" t="n"/>
      <c r="C35" s="33" t="n"/>
      <c r="D35" s="33" t="n"/>
      <c r="E35" s="27" t="n"/>
      <c r="F35" s="34" t="n"/>
      <c r="G35" s="27" t="n"/>
      <c r="H35" s="35" t="n"/>
      <c r="I35" s="14">
        <f>IF(OR(E35="",AND(F35&lt;&gt;"Hired",F35&lt;&gt;"Bought")),"",E35-N(G35))</f>
        <v/>
      </c>
      <c r="J35" s="16">
        <f>IF(C35&amp;E35="","",IF(F35="","Choose a stage",IF(F35="Quote","",IF(E35="","Add the amount",IF(I35&lt;=0,"Paid",IF(H35="","Balance due, no date set",IF(H35&lt;TODAY(),"Overdue by "&amp;(TODAY()-H35)&amp;IF((TODAY()-H35)=1," day"," days"),IF(H35=TODAY(),"Due today",IF((H35-TODAY())&lt;=14,"Due in "&amp;(H35-TODAY())&amp;IF((H35-TODAY())=1," day"," days"),"Next payment in "&amp;(H35-TODAY())&amp;" days")))))))))</f>
        <v/>
      </c>
      <c r="K35" s="16">
        <f>IF(OR(C35="",E35=""),"",IF(COUNTIFS(Costs!$C$6:$C$305,C35,Costs!$E$6:$E$305,"&lt;&gt;")&lt;2,"",IF(M35=1,"Cheapest of "&amp;COUNTIFS(Costs!$C$6:$C$305,C35,Costs!$E$6:$E$305,"&lt;&gt;"),FIXED(E35-SUMIFS(Costs!$E$6:$E$305,Costs!$C$6:$C$305,C35,Costs!$M$6:$M$305,1)/COUNTIFS(Costs!$C$6:$C$305,C35,Costs!$M$6:$M$305,1),0)&amp;" more than the cheapest")))</f>
        <v/>
      </c>
      <c r="L35" s="33" t="n"/>
      <c r="M35" s="1">
        <f>IF(OR(C35="",E35=""),"",IF(COUNTIFS(Costs!$C$6:$C$305,C35,Costs!$E$6:$E$305,"&lt;"&amp;E35)=0,1,0))</f>
        <v/>
      </c>
      <c r="N35">
        <f>IF(AND(C35&lt;&gt;"",F35="Quote",COUNTIFS(Costs!$C$6:$C$305,C35,Costs!$F$6:$F$305,"Hired")+COUNTIFS(Costs!$C$6:$C$305,C35,Costs!$F$6:$F$305,"Bought")=0),1/COUNTIFS(Costs!$C$6:$C$305,C35,Costs!$F$6:$F$305,"Quote"),"")</f>
        <v/>
      </c>
      <c r="O35">
        <f>IF(AND(OR(F35="Hired",F35="Bought"),N(I35)&gt;0,H35&lt;&gt;""),H35+ROW()/100000,"")</f>
        <v/>
      </c>
    </row>
    <row r="36">
      <c r="A36" s="1" t="n"/>
      <c r="B36" s="33" t="n"/>
      <c r="C36" s="33" t="n"/>
      <c r="D36" s="33" t="n"/>
      <c r="E36" s="27" t="n"/>
      <c r="F36" s="34" t="n"/>
      <c r="G36" s="27" t="n"/>
      <c r="H36" s="35" t="n"/>
      <c r="I36" s="14">
        <f>IF(OR(E36="",AND(F36&lt;&gt;"Hired",F36&lt;&gt;"Bought")),"",E36-N(G36))</f>
        <v/>
      </c>
      <c r="J36" s="16">
        <f>IF(C36&amp;E36="","",IF(F36="","Choose a stage",IF(F36="Quote","",IF(E36="","Add the amount",IF(I36&lt;=0,"Paid",IF(H36="","Balance due, no date set",IF(H36&lt;TODAY(),"Overdue by "&amp;(TODAY()-H36)&amp;IF((TODAY()-H36)=1," day"," days"),IF(H36=TODAY(),"Due today",IF((H36-TODAY())&lt;=14,"Due in "&amp;(H36-TODAY())&amp;IF((H36-TODAY())=1," day"," days"),"Next payment in "&amp;(H36-TODAY())&amp;" days")))))))))</f>
        <v/>
      </c>
      <c r="K36" s="16">
        <f>IF(OR(C36="",E36=""),"",IF(COUNTIFS(Costs!$C$6:$C$305,C36,Costs!$E$6:$E$305,"&lt;&gt;")&lt;2,"",IF(M36=1,"Cheapest of "&amp;COUNTIFS(Costs!$C$6:$C$305,C36,Costs!$E$6:$E$305,"&lt;&gt;"),FIXED(E36-SUMIFS(Costs!$E$6:$E$305,Costs!$C$6:$C$305,C36,Costs!$M$6:$M$305,1)/COUNTIFS(Costs!$C$6:$C$305,C36,Costs!$M$6:$M$305,1),0)&amp;" more than the cheapest")))</f>
        <v/>
      </c>
      <c r="L36" s="33" t="n"/>
      <c r="M36" s="1">
        <f>IF(OR(C36="",E36=""),"",IF(COUNTIFS(Costs!$C$6:$C$305,C36,Costs!$E$6:$E$305,"&lt;"&amp;E36)=0,1,0))</f>
        <v/>
      </c>
      <c r="N36">
        <f>IF(AND(C36&lt;&gt;"",F36="Quote",COUNTIFS(Costs!$C$6:$C$305,C36,Costs!$F$6:$F$305,"Hired")+COUNTIFS(Costs!$C$6:$C$305,C36,Costs!$F$6:$F$305,"Bought")=0),1/COUNTIFS(Costs!$C$6:$C$305,C36,Costs!$F$6:$F$305,"Quote"),"")</f>
        <v/>
      </c>
      <c r="O36">
        <f>IF(AND(OR(F36="Hired",F36="Bought"),N(I36)&gt;0,H36&lt;&gt;""),H36+ROW()/100000,"")</f>
        <v/>
      </c>
    </row>
    <row r="37">
      <c r="A37" s="1" t="n"/>
      <c r="B37" s="33" t="n"/>
      <c r="C37" s="33" t="n"/>
      <c r="D37" s="33" t="n"/>
      <c r="E37" s="27" t="n"/>
      <c r="F37" s="34" t="n"/>
      <c r="G37" s="27" t="n"/>
      <c r="H37" s="35" t="n"/>
      <c r="I37" s="14">
        <f>IF(OR(E37="",AND(F37&lt;&gt;"Hired",F37&lt;&gt;"Bought")),"",E37-N(G37))</f>
        <v/>
      </c>
      <c r="J37" s="16">
        <f>IF(C37&amp;E37="","",IF(F37="","Choose a stage",IF(F37="Quote","",IF(E37="","Add the amount",IF(I37&lt;=0,"Paid",IF(H37="","Balance due, no date set",IF(H37&lt;TODAY(),"Overdue by "&amp;(TODAY()-H37)&amp;IF((TODAY()-H37)=1," day"," days"),IF(H37=TODAY(),"Due today",IF((H37-TODAY())&lt;=14,"Due in "&amp;(H37-TODAY())&amp;IF((H37-TODAY())=1," day"," days"),"Next payment in "&amp;(H37-TODAY())&amp;" days")))))))))</f>
        <v/>
      </c>
      <c r="K37" s="16">
        <f>IF(OR(C37="",E37=""),"",IF(COUNTIFS(Costs!$C$6:$C$305,C37,Costs!$E$6:$E$305,"&lt;&gt;")&lt;2,"",IF(M37=1,"Cheapest of "&amp;COUNTIFS(Costs!$C$6:$C$305,C37,Costs!$E$6:$E$305,"&lt;&gt;"),FIXED(E37-SUMIFS(Costs!$E$6:$E$305,Costs!$C$6:$C$305,C37,Costs!$M$6:$M$305,1)/COUNTIFS(Costs!$C$6:$C$305,C37,Costs!$M$6:$M$305,1),0)&amp;" more than the cheapest")))</f>
        <v/>
      </c>
      <c r="L37" s="33" t="n"/>
      <c r="M37" s="1">
        <f>IF(OR(C37="",E37=""),"",IF(COUNTIFS(Costs!$C$6:$C$305,C37,Costs!$E$6:$E$305,"&lt;"&amp;E37)=0,1,0))</f>
        <v/>
      </c>
      <c r="N37">
        <f>IF(AND(C37&lt;&gt;"",F37="Quote",COUNTIFS(Costs!$C$6:$C$305,C37,Costs!$F$6:$F$305,"Hired")+COUNTIFS(Costs!$C$6:$C$305,C37,Costs!$F$6:$F$305,"Bought")=0),1/COUNTIFS(Costs!$C$6:$C$305,C37,Costs!$F$6:$F$305,"Quote"),"")</f>
        <v/>
      </c>
      <c r="O37">
        <f>IF(AND(OR(F37="Hired",F37="Bought"),N(I37)&gt;0,H37&lt;&gt;""),H37+ROW()/100000,"")</f>
        <v/>
      </c>
    </row>
    <row r="38">
      <c r="A38" s="1" t="n"/>
      <c r="B38" s="33" t="n"/>
      <c r="C38" s="33" t="n"/>
      <c r="D38" s="33" t="n"/>
      <c r="E38" s="27" t="n"/>
      <c r="F38" s="34" t="n"/>
      <c r="G38" s="27" t="n"/>
      <c r="H38" s="35" t="n"/>
      <c r="I38" s="14">
        <f>IF(OR(E38="",AND(F38&lt;&gt;"Hired",F38&lt;&gt;"Bought")),"",E38-N(G38))</f>
        <v/>
      </c>
      <c r="J38" s="16">
        <f>IF(C38&amp;E38="","",IF(F38="","Choose a stage",IF(F38="Quote","",IF(E38="","Add the amount",IF(I38&lt;=0,"Paid",IF(H38="","Balance due, no date set",IF(H38&lt;TODAY(),"Overdue by "&amp;(TODAY()-H38)&amp;IF((TODAY()-H38)=1," day"," days"),IF(H38=TODAY(),"Due today",IF((H38-TODAY())&lt;=14,"Due in "&amp;(H38-TODAY())&amp;IF((H38-TODAY())=1," day"," days"),"Next payment in "&amp;(H38-TODAY())&amp;" days")))))))))</f>
        <v/>
      </c>
      <c r="K38" s="16">
        <f>IF(OR(C38="",E38=""),"",IF(COUNTIFS(Costs!$C$6:$C$305,C38,Costs!$E$6:$E$305,"&lt;&gt;")&lt;2,"",IF(M38=1,"Cheapest of "&amp;COUNTIFS(Costs!$C$6:$C$305,C38,Costs!$E$6:$E$305,"&lt;&gt;"),FIXED(E38-SUMIFS(Costs!$E$6:$E$305,Costs!$C$6:$C$305,C38,Costs!$M$6:$M$305,1)/COUNTIFS(Costs!$C$6:$C$305,C38,Costs!$M$6:$M$305,1),0)&amp;" more than the cheapest")))</f>
        <v/>
      </c>
      <c r="L38" s="33" t="n"/>
      <c r="M38" s="1">
        <f>IF(OR(C38="",E38=""),"",IF(COUNTIFS(Costs!$C$6:$C$305,C38,Costs!$E$6:$E$305,"&lt;"&amp;E38)=0,1,0))</f>
        <v/>
      </c>
      <c r="N38">
        <f>IF(AND(C38&lt;&gt;"",F38="Quote",COUNTIFS(Costs!$C$6:$C$305,C38,Costs!$F$6:$F$305,"Hired")+COUNTIFS(Costs!$C$6:$C$305,C38,Costs!$F$6:$F$305,"Bought")=0),1/COUNTIFS(Costs!$C$6:$C$305,C38,Costs!$F$6:$F$305,"Quote"),"")</f>
        <v/>
      </c>
      <c r="O38">
        <f>IF(AND(OR(F38="Hired",F38="Bought"),N(I38)&gt;0,H38&lt;&gt;""),H38+ROW()/100000,"")</f>
        <v/>
      </c>
    </row>
    <row r="39">
      <c r="A39" s="1" t="n"/>
      <c r="B39" s="33" t="n"/>
      <c r="C39" s="33" t="n"/>
      <c r="D39" s="33" t="n"/>
      <c r="E39" s="27" t="n"/>
      <c r="F39" s="34" t="n"/>
      <c r="G39" s="27" t="n"/>
      <c r="H39" s="35" t="n"/>
      <c r="I39" s="14">
        <f>IF(OR(E39="",AND(F39&lt;&gt;"Hired",F39&lt;&gt;"Bought")),"",E39-N(G39))</f>
        <v/>
      </c>
      <c r="J39" s="16">
        <f>IF(C39&amp;E39="","",IF(F39="","Choose a stage",IF(F39="Quote","",IF(E39="","Add the amount",IF(I39&lt;=0,"Paid",IF(H39="","Balance due, no date set",IF(H39&lt;TODAY(),"Overdue by "&amp;(TODAY()-H39)&amp;IF((TODAY()-H39)=1," day"," days"),IF(H39=TODAY(),"Due today",IF((H39-TODAY())&lt;=14,"Due in "&amp;(H39-TODAY())&amp;IF((H39-TODAY())=1," day"," days"),"Next payment in "&amp;(H39-TODAY())&amp;" days")))))))))</f>
        <v/>
      </c>
      <c r="K39" s="16">
        <f>IF(OR(C39="",E39=""),"",IF(COUNTIFS(Costs!$C$6:$C$305,C39,Costs!$E$6:$E$305,"&lt;&gt;")&lt;2,"",IF(M39=1,"Cheapest of "&amp;COUNTIFS(Costs!$C$6:$C$305,C39,Costs!$E$6:$E$305,"&lt;&gt;"),FIXED(E39-SUMIFS(Costs!$E$6:$E$305,Costs!$C$6:$C$305,C39,Costs!$M$6:$M$305,1)/COUNTIFS(Costs!$C$6:$C$305,C39,Costs!$M$6:$M$305,1),0)&amp;" more than the cheapest")))</f>
        <v/>
      </c>
      <c r="L39" s="33" t="n"/>
      <c r="M39" s="1">
        <f>IF(OR(C39="",E39=""),"",IF(COUNTIFS(Costs!$C$6:$C$305,C39,Costs!$E$6:$E$305,"&lt;"&amp;E39)=0,1,0))</f>
        <v/>
      </c>
      <c r="N39">
        <f>IF(AND(C39&lt;&gt;"",F39="Quote",COUNTIFS(Costs!$C$6:$C$305,C39,Costs!$F$6:$F$305,"Hired")+COUNTIFS(Costs!$C$6:$C$305,C39,Costs!$F$6:$F$305,"Bought")=0),1/COUNTIFS(Costs!$C$6:$C$305,C39,Costs!$F$6:$F$305,"Quote"),"")</f>
        <v/>
      </c>
      <c r="O39">
        <f>IF(AND(OR(F39="Hired",F39="Bought"),N(I39)&gt;0,H39&lt;&gt;""),H39+ROW()/100000,"")</f>
        <v/>
      </c>
    </row>
    <row r="40">
      <c r="A40" s="1" t="n"/>
      <c r="B40" s="33" t="n"/>
      <c r="C40" s="33" t="n"/>
      <c r="D40" s="33" t="n"/>
      <c r="E40" s="27" t="n"/>
      <c r="F40" s="34" t="n"/>
      <c r="G40" s="27" t="n"/>
      <c r="H40" s="35" t="n"/>
      <c r="I40" s="14">
        <f>IF(OR(E40="",AND(F40&lt;&gt;"Hired",F40&lt;&gt;"Bought")),"",E40-N(G40))</f>
        <v/>
      </c>
      <c r="J40" s="16">
        <f>IF(C40&amp;E40="","",IF(F40="","Choose a stage",IF(F40="Quote","",IF(E40="","Add the amount",IF(I40&lt;=0,"Paid",IF(H40="","Balance due, no date set",IF(H40&lt;TODAY(),"Overdue by "&amp;(TODAY()-H40)&amp;IF((TODAY()-H40)=1," day"," days"),IF(H40=TODAY(),"Due today",IF((H40-TODAY())&lt;=14,"Due in "&amp;(H40-TODAY())&amp;IF((H40-TODAY())=1," day"," days"),"Next payment in "&amp;(H40-TODAY())&amp;" days")))))))))</f>
        <v/>
      </c>
      <c r="K40" s="16">
        <f>IF(OR(C40="",E40=""),"",IF(COUNTIFS(Costs!$C$6:$C$305,C40,Costs!$E$6:$E$305,"&lt;&gt;")&lt;2,"",IF(M40=1,"Cheapest of "&amp;COUNTIFS(Costs!$C$6:$C$305,C40,Costs!$E$6:$E$305,"&lt;&gt;"),FIXED(E40-SUMIFS(Costs!$E$6:$E$305,Costs!$C$6:$C$305,C40,Costs!$M$6:$M$305,1)/COUNTIFS(Costs!$C$6:$C$305,C40,Costs!$M$6:$M$305,1),0)&amp;" more than the cheapest")))</f>
        <v/>
      </c>
      <c r="L40" s="33" t="n"/>
      <c r="M40" s="1">
        <f>IF(OR(C40="",E40=""),"",IF(COUNTIFS(Costs!$C$6:$C$305,C40,Costs!$E$6:$E$305,"&lt;"&amp;E40)=0,1,0))</f>
        <v/>
      </c>
      <c r="N40">
        <f>IF(AND(C40&lt;&gt;"",F40="Quote",COUNTIFS(Costs!$C$6:$C$305,C40,Costs!$F$6:$F$305,"Hired")+COUNTIFS(Costs!$C$6:$C$305,C40,Costs!$F$6:$F$305,"Bought")=0),1/COUNTIFS(Costs!$C$6:$C$305,C40,Costs!$F$6:$F$305,"Quote"),"")</f>
        <v/>
      </c>
      <c r="O40">
        <f>IF(AND(OR(F40="Hired",F40="Bought"),N(I40)&gt;0,H40&lt;&gt;""),H40+ROW()/100000,"")</f>
        <v/>
      </c>
    </row>
    <row r="41">
      <c r="A41" s="1" t="n"/>
      <c r="B41" s="33" t="n"/>
      <c r="C41" s="33" t="n"/>
      <c r="D41" s="33" t="n"/>
      <c r="E41" s="27" t="n"/>
      <c r="F41" s="34" t="n"/>
      <c r="G41" s="27" t="n"/>
      <c r="H41" s="35" t="n"/>
      <c r="I41" s="14">
        <f>IF(OR(E41="",AND(F41&lt;&gt;"Hired",F41&lt;&gt;"Bought")),"",E41-N(G41))</f>
        <v/>
      </c>
      <c r="J41" s="16">
        <f>IF(C41&amp;E41="","",IF(F41="","Choose a stage",IF(F41="Quote","",IF(E41="","Add the amount",IF(I41&lt;=0,"Paid",IF(H41="","Balance due, no date set",IF(H41&lt;TODAY(),"Overdue by "&amp;(TODAY()-H41)&amp;IF((TODAY()-H41)=1," day"," days"),IF(H41=TODAY(),"Due today",IF((H41-TODAY())&lt;=14,"Due in "&amp;(H41-TODAY())&amp;IF((H41-TODAY())=1," day"," days"),"Next payment in "&amp;(H41-TODAY())&amp;" days")))))))))</f>
        <v/>
      </c>
      <c r="K41" s="16">
        <f>IF(OR(C41="",E41=""),"",IF(COUNTIFS(Costs!$C$6:$C$305,C41,Costs!$E$6:$E$305,"&lt;&gt;")&lt;2,"",IF(M41=1,"Cheapest of "&amp;COUNTIFS(Costs!$C$6:$C$305,C41,Costs!$E$6:$E$305,"&lt;&gt;"),FIXED(E41-SUMIFS(Costs!$E$6:$E$305,Costs!$C$6:$C$305,C41,Costs!$M$6:$M$305,1)/COUNTIFS(Costs!$C$6:$C$305,C41,Costs!$M$6:$M$305,1),0)&amp;" more than the cheapest")))</f>
        <v/>
      </c>
      <c r="L41" s="33" t="n"/>
      <c r="M41" s="1">
        <f>IF(OR(C41="",E41=""),"",IF(COUNTIFS(Costs!$C$6:$C$305,C41,Costs!$E$6:$E$305,"&lt;"&amp;E41)=0,1,0))</f>
        <v/>
      </c>
      <c r="N41">
        <f>IF(AND(C41&lt;&gt;"",F41="Quote",COUNTIFS(Costs!$C$6:$C$305,C41,Costs!$F$6:$F$305,"Hired")+COUNTIFS(Costs!$C$6:$C$305,C41,Costs!$F$6:$F$305,"Bought")=0),1/COUNTIFS(Costs!$C$6:$C$305,C41,Costs!$F$6:$F$305,"Quote"),"")</f>
        <v/>
      </c>
      <c r="O41">
        <f>IF(AND(OR(F41="Hired",F41="Bought"),N(I41)&gt;0,H41&lt;&gt;""),H41+ROW()/100000,"")</f>
        <v/>
      </c>
    </row>
    <row r="42">
      <c r="A42" s="1" t="n"/>
      <c r="B42" s="33" t="n"/>
      <c r="C42" s="33" t="n"/>
      <c r="D42" s="33" t="n"/>
      <c r="E42" s="27" t="n"/>
      <c r="F42" s="34" t="n"/>
      <c r="G42" s="27" t="n"/>
      <c r="H42" s="35" t="n"/>
      <c r="I42" s="14">
        <f>IF(OR(E42="",AND(F42&lt;&gt;"Hired",F42&lt;&gt;"Bought")),"",E42-N(G42))</f>
        <v/>
      </c>
      <c r="J42" s="16">
        <f>IF(C42&amp;E42="","",IF(F42="","Choose a stage",IF(F42="Quote","",IF(E42="","Add the amount",IF(I42&lt;=0,"Paid",IF(H42="","Balance due, no date set",IF(H42&lt;TODAY(),"Overdue by "&amp;(TODAY()-H42)&amp;IF((TODAY()-H42)=1," day"," days"),IF(H42=TODAY(),"Due today",IF((H42-TODAY())&lt;=14,"Due in "&amp;(H42-TODAY())&amp;IF((H42-TODAY())=1," day"," days"),"Next payment in "&amp;(H42-TODAY())&amp;" days")))))))))</f>
        <v/>
      </c>
      <c r="K42" s="16">
        <f>IF(OR(C42="",E42=""),"",IF(COUNTIFS(Costs!$C$6:$C$305,C42,Costs!$E$6:$E$305,"&lt;&gt;")&lt;2,"",IF(M42=1,"Cheapest of "&amp;COUNTIFS(Costs!$C$6:$C$305,C42,Costs!$E$6:$E$305,"&lt;&gt;"),FIXED(E42-SUMIFS(Costs!$E$6:$E$305,Costs!$C$6:$C$305,C42,Costs!$M$6:$M$305,1)/COUNTIFS(Costs!$C$6:$C$305,C42,Costs!$M$6:$M$305,1),0)&amp;" more than the cheapest")))</f>
        <v/>
      </c>
      <c r="L42" s="33" t="n"/>
      <c r="M42" s="1">
        <f>IF(OR(C42="",E42=""),"",IF(COUNTIFS(Costs!$C$6:$C$305,C42,Costs!$E$6:$E$305,"&lt;"&amp;E42)=0,1,0))</f>
        <v/>
      </c>
      <c r="N42">
        <f>IF(AND(C42&lt;&gt;"",F42="Quote",COUNTIFS(Costs!$C$6:$C$305,C42,Costs!$F$6:$F$305,"Hired")+COUNTIFS(Costs!$C$6:$C$305,C42,Costs!$F$6:$F$305,"Bought")=0),1/COUNTIFS(Costs!$C$6:$C$305,C42,Costs!$F$6:$F$305,"Quote"),"")</f>
        <v/>
      </c>
      <c r="O42">
        <f>IF(AND(OR(F42="Hired",F42="Bought"),N(I42)&gt;0,H42&lt;&gt;""),H42+ROW()/100000,"")</f>
        <v/>
      </c>
    </row>
    <row r="43">
      <c r="A43" s="1" t="n"/>
      <c r="B43" s="33" t="n"/>
      <c r="C43" s="33" t="n"/>
      <c r="D43" s="33" t="n"/>
      <c r="E43" s="27" t="n"/>
      <c r="F43" s="34" t="n"/>
      <c r="G43" s="27" t="n"/>
      <c r="H43" s="35" t="n"/>
      <c r="I43" s="14">
        <f>IF(OR(E43="",AND(F43&lt;&gt;"Hired",F43&lt;&gt;"Bought")),"",E43-N(G43))</f>
        <v/>
      </c>
      <c r="J43" s="16">
        <f>IF(C43&amp;E43="","",IF(F43="","Choose a stage",IF(F43="Quote","",IF(E43="","Add the amount",IF(I43&lt;=0,"Paid",IF(H43="","Balance due, no date set",IF(H43&lt;TODAY(),"Overdue by "&amp;(TODAY()-H43)&amp;IF((TODAY()-H43)=1," day"," days"),IF(H43=TODAY(),"Due today",IF((H43-TODAY())&lt;=14,"Due in "&amp;(H43-TODAY())&amp;IF((H43-TODAY())=1," day"," days"),"Next payment in "&amp;(H43-TODAY())&amp;" days")))))))))</f>
        <v/>
      </c>
      <c r="K43" s="16">
        <f>IF(OR(C43="",E43=""),"",IF(COUNTIFS(Costs!$C$6:$C$305,C43,Costs!$E$6:$E$305,"&lt;&gt;")&lt;2,"",IF(M43=1,"Cheapest of "&amp;COUNTIFS(Costs!$C$6:$C$305,C43,Costs!$E$6:$E$305,"&lt;&gt;"),FIXED(E43-SUMIFS(Costs!$E$6:$E$305,Costs!$C$6:$C$305,C43,Costs!$M$6:$M$305,1)/COUNTIFS(Costs!$C$6:$C$305,C43,Costs!$M$6:$M$305,1),0)&amp;" more than the cheapest")))</f>
        <v/>
      </c>
      <c r="L43" s="33" t="n"/>
      <c r="M43" s="1">
        <f>IF(OR(C43="",E43=""),"",IF(COUNTIFS(Costs!$C$6:$C$305,C43,Costs!$E$6:$E$305,"&lt;"&amp;E43)=0,1,0))</f>
        <v/>
      </c>
      <c r="N43">
        <f>IF(AND(C43&lt;&gt;"",F43="Quote",COUNTIFS(Costs!$C$6:$C$305,C43,Costs!$F$6:$F$305,"Hired")+COUNTIFS(Costs!$C$6:$C$305,C43,Costs!$F$6:$F$305,"Bought")=0),1/COUNTIFS(Costs!$C$6:$C$305,C43,Costs!$F$6:$F$305,"Quote"),"")</f>
        <v/>
      </c>
      <c r="O43">
        <f>IF(AND(OR(F43="Hired",F43="Bought"),N(I43)&gt;0,H43&lt;&gt;""),H43+ROW()/100000,"")</f>
        <v/>
      </c>
    </row>
    <row r="44">
      <c r="A44" s="1" t="n"/>
      <c r="B44" s="33" t="n"/>
      <c r="C44" s="33" t="n"/>
      <c r="D44" s="33" t="n"/>
      <c r="E44" s="27" t="n"/>
      <c r="F44" s="34" t="n"/>
      <c r="G44" s="27" t="n"/>
      <c r="H44" s="35" t="n"/>
      <c r="I44" s="14">
        <f>IF(OR(E44="",AND(F44&lt;&gt;"Hired",F44&lt;&gt;"Bought")),"",E44-N(G44))</f>
        <v/>
      </c>
      <c r="J44" s="16">
        <f>IF(C44&amp;E44="","",IF(F44="","Choose a stage",IF(F44="Quote","",IF(E44="","Add the amount",IF(I44&lt;=0,"Paid",IF(H44="","Balance due, no date set",IF(H44&lt;TODAY(),"Overdue by "&amp;(TODAY()-H44)&amp;IF((TODAY()-H44)=1," day"," days"),IF(H44=TODAY(),"Due today",IF((H44-TODAY())&lt;=14,"Due in "&amp;(H44-TODAY())&amp;IF((H44-TODAY())=1," day"," days"),"Next payment in "&amp;(H44-TODAY())&amp;" days")))))))))</f>
        <v/>
      </c>
      <c r="K44" s="16">
        <f>IF(OR(C44="",E44=""),"",IF(COUNTIFS(Costs!$C$6:$C$305,C44,Costs!$E$6:$E$305,"&lt;&gt;")&lt;2,"",IF(M44=1,"Cheapest of "&amp;COUNTIFS(Costs!$C$6:$C$305,C44,Costs!$E$6:$E$305,"&lt;&gt;"),FIXED(E44-SUMIFS(Costs!$E$6:$E$305,Costs!$C$6:$C$305,C44,Costs!$M$6:$M$305,1)/COUNTIFS(Costs!$C$6:$C$305,C44,Costs!$M$6:$M$305,1),0)&amp;" more than the cheapest")))</f>
        <v/>
      </c>
      <c r="L44" s="33" t="n"/>
      <c r="M44" s="1">
        <f>IF(OR(C44="",E44=""),"",IF(COUNTIFS(Costs!$C$6:$C$305,C44,Costs!$E$6:$E$305,"&lt;"&amp;E44)=0,1,0))</f>
        <v/>
      </c>
      <c r="N44">
        <f>IF(AND(C44&lt;&gt;"",F44="Quote",COUNTIFS(Costs!$C$6:$C$305,C44,Costs!$F$6:$F$305,"Hired")+COUNTIFS(Costs!$C$6:$C$305,C44,Costs!$F$6:$F$305,"Bought")=0),1/COUNTIFS(Costs!$C$6:$C$305,C44,Costs!$F$6:$F$305,"Quote"),"")</f>
        <v/>
      </c>
      <c r="O44">
        <f>IF(AND(OR(F44="Hired",F44="Bought"),N(I44)&gt;0,H44&lt;&gt;""),H44+ROW()/100000,"")</f>
        <v/>
      </c>
    </row>
    <row r="45">
      <c r="A45" s="1" t="n"/>
      <c r="B45" s="33" t="n"/>
      <c r="C45" s="33" t="n"/>
      <c r="D45" s="33" t="n"/>
      <c r="E45" s="27" t="n"/>
      <c r="F45" s="34" t="n"/>
      <c r="G45" s="27" t="n"/>
      <c r="H45" s="35" t="n"/>
      <c r="I45" s="14">
        <f>IF(OR(E45="",AND(F45&lt;&gt;"Hired",F45&lt;&gt;"Bought")),"",E45-N(G45))</f>
        <v/>
      </c>
      <c r="J45" s="16">
        <f>IF(C45&amp;E45="","",IF(F45="","Choose a stage",IF(F45="Quote","",IF(E45="","Add the amount",IF(I45&lt;=0,"Paid",IF(H45="","Balance due, no date set",IF(H45&lt;TODAY(),"Overdue by "&amp;(TODAY()-H45)&amp;IF((TODAY()-H45)=1," day"," days"),IF(H45=TODAY(),"Due today",IF((H45-TODAY())&lt;=14,"Due in "&amp;(H45-TODAY())&amp;IF((H45-TODAY())=1," day"," days"),"Next payment in "&amp;(H45-TODAY())&amp;" days")))))))))</f>
        <v/>
      </c>
      <c r="K45" s="16">
        <f>IF(OR(C45="",E45=""),"",IF(COUNTIFS(Costs!$C$6:$C$305,C45,Costs!$E$6:$E$305,"&lt;&gt;")&lt;2,"",IF(M45=1,"Cheapest of "&amp;COUNTIFS(Costs!$C$6:$C$305,C45,Costs!$E$6:$E$305,"&lt;&gt;"),FIXED(E45-SUMIFS(Costs!$E$6:$E$305,Costs!$C$6:$C$305,C45,Costs!$M$6:$M$305,1)/COUNTIFS(Costs!$C$6:$C$305,C45,Costs!$M$6:$M$305,1),0)&amp;" more than the cheapest")))</f>
        <v/>
      </c>
      <c r="L45" s="33" t="n"/>
      <c r="M45" s="1">
        <f>IF(OR(C45="",E45=""),"",IF(COUNTIFS(Costs!$C$6:$C$305,C45,Costs!$E$6:$E$305,"&lt;"&amp;E45)=0,1,0))</f>
        <v/>
      </c>
      <c r="N45">
        <f>IF(AND(C45&lt;&gt;"",F45="Quote",COUNTIFS(Costs!$C$6:$C$305,C45,Costs!$F$6:$F$305,"Hired")+COUNTIFS(Costs!$C$6:$C$305,C45,Costs!$F$6:$F$305,"Bought")=0),1/COUNTIFS(Costs!$C$6:$C$305,C45,Costs!$F$6:$F$305,"Quote"),"")</f>
        <v/>
      </c>
      <c r="O45">
        <f>IF(AND(OR(F45="Hired",F45="Bought"),N(I45)&gt;0,H45&lt;&gt;""),H45+ROW()/100000,"")</f>
        <v/>
      </c>
    </row>
    <row r="46">
      <c r="A46" s="1" t="n"/>
      <c r="B46" s="33" t="n"/>
      <c r="C46" s="33" t="n"/>
      <c r="D46" s="33" t="n"/>
      <c r="E46" s="27" t="n"/>
      <c r="F46" s="34" t="n"/>
      <c r="G46" s="27" t="n"/>
      <c r="H46" s="35" t="n"/>
      <c r="I46" s="14">
        <f>IF(OR(E46="",AND(F46&lt;&gt;"Hired",F46&lt;&gt;"Bought")),"",E46-N(G46))</f>
        <v/>
      </c>
      <c r="J46" s="16">
        <f>IF(C46&amp;E46="","",IF(F46="","Choose a stage",IF(F46="Quote","",IF(E46="","Add the amount",IF(I46&lt;=0,"Paid",IF(H46="","Balance due, no date set",IF(H46&lt;TODAY(),"Overdue by "&amp;(TODAY()-H46)&amp;IF((TODAY()-H46)=1," day"," days"),IF(H46=TODAY(),"Due today",IF((H46-TODAY())&lt;=14,"Due in "&amp;(H46-TODAY())&amp;IF((H46-TODAY())=1," day"," days"),"Next payment in "&amp;(H46-TODAY())&amp;" days")))))))))</f>
        <v/>
      </c>
      <c r="K46" s="16">
        <f>IF(OR(C46="",E46=""),"",IF(COUNTIFS(Costs!$C$6:$C$305,C46,Costs!$E$6:$E$305,"&lt;&gt;")&lt;2,"",IF(M46=1,"Cheapest of "&amp;COUNTIFS(Costs!$C$6:$C$305,C46,Costs!$E$6:$E$305,"&lt;&gt;"),FIXED(E46-SUMIFS(Costs!$E$6:$E$305,Costs!$C$6:$C$305,C46,Costs!$M$6:$M$305,1)/COUNTIFS(Costs!$C$6:$C$305,C46,Costs!$M$6:$M$305,1),0)&amp;" more than the cheapest")))</f>
        <v/>
      </c>
      <c r="L46" s="33" t="n"/>
      <c r="M46" s="1">
        <f>IF(OR(C46="",E46=""),"",IF(COUNTIFS(Costs!$C$6:$C$305,C46,Costs!$E$6:$E$305,"&lt;"&amp;E46)=0,1,0))</f>
        <v/>
      </c>
      <c r="N46">
        <f>IF(AND(C46&lt;&gt;"",F46="Quote",COUNTIFS(Costs!$C$6:$C$305,C46,Costs!$F$6:$F$305,"Hired")+COUNTIFS(Costs!$C$6:$C$305,C46,Costs!$F$6:$F$305,"Bought")=0),1/COUNTIFS(Costs!$C$6:$C$305,C46,Costs!$F$6:$F$305,"Quote"),"")</f>
        <v/>
      </c>
      <c r="O46">
        <f>IF(AND(OR(F46="Hired",F46="Bought"),N(I46)&gt;0,H46&lt;&gt;""),H46+ROW()/100000,"")</f>
        <v/>
      </c>
    </row>
    <row r="47">
      <c r="A47" s="1" t="n"/>
      <c r="B47" s="33" t="n"/>
      <c r="C47" s="33" t="n"/>
      <c r="D47" s="33" t="n"/>
      <c r="E47" s="27" t="n"/>
      <c r="F47" s="34" t="n"/>
      <c r="G47" s="27" t="n"/>
      <c r="H47" s="35" t="n"/>
      <c r="I47" s="14">
        <f>IF(OR(E47="",AND(F47&lt;&gt;"Hired",F47&lt;&gt;"Bought")),"",E47-N(G47))</f>
        <v/>
      </c>
      <c r="J47" s="16">
        <f>IF(C47&amp;E47="","",IF(F47="","Choose a stage",IF(F47="Quote","",IF(E47="","Add the amount",IF(I47&lt;=0,"Paid",IF(H47="","Balance due, no date set",IF(H47&lt;TODAY(),"Overdue by "&amp;(TODAY()-H47)&amp;IF((TODAY()-H47)=1," day"," days"),IF(H47=TODAY(),"Due today",IF((H47-TODAY())&lt;=14,"Due in "&amp;(H47-TODAY())&amp;IF((H47-TODAY())=1," day"," days"),"Next payment in "&amp;(H47-TODAY())&amp;" days")))))))))</f>
        <v/>
      </c>
      <c r="K47" s="16">
        <f>IF(OR(C47="",E47=""),"",IF(COUNTIFS(Costs!$C$6:$C$305,C47,Costs!$E$6:$E$305,"&lt;&gt;")&lt;2,"",IF(M47=1,"Cheapest of "&amp;COUNTIFS(Costs!$C$6:$C$305,C47,Costs!$E$6:$E$305,"&lt;&gt;"),FIXED(E47-SUMIFS(Costs!$E$6:$E$305,Costs!$C$6:$C$305,C47,Costs!$M$6:$M$305,1)/COUNTIFS(Costs!$C$6:$C$305,C47,Costs!$M$6:$M$305,1),0)&amp;" more than the cheapest")))</f>
        <v/>
      </c>
      <c r="L47" s="33" t="n"/>
      <c r="M47" s="1">
        <f>IF(OR(C47="",E47=""),"",IF(COUNTIFS(Costs!$C$6:$C$305,C47,Costs!$E$6:$E$305,"&lt;"&amp;E47)=0,1,0))</f>
        <v/>
      </c>
      <c r="N47">
        <f>IF(AND(C47&lt;&gt;"",F47="Quote",COUNTIFS(Costs!$C$6:$C$305,C47,Costs!$F$6:$F$305,"Hired")+COUNTIFS(Costs!$C$6:$C$305,C47,Costs!$F$6:$F$305,"Bought")=0),1/COUNTIFS(Costs!$C$6:$C$305,C47,Costs!$F$6:$F$305,"Quote"),"")</f>
        <v/>
      </c>
      <c r="O47">
        <f>IF(AND(OR(F47="Hired",F47="Bought"),N(I47)&gt;0,H47&lt;&gt;""),H47+ROW()/100000,"")</f>
        <v/>
      </c>
    </row>
    <row r="48">
      <c r="A48" s="1" t="n"/>
      <c r="B48" s="33" t="n"/>
      <c r="C48" s="33" t="n"/>
      <c r="D48" s="33" t="n"/>
      <c r="E48" s="27" t="n"/>
      <c r="F48" s="34" t="n"/>
      <c r="G48" s="27" t="n"/>
      <c r="H48" s="35" t="n"/>
      <c r="I48" s="14">
        <f>IF(OR(E48="",AND(F48&lt;&gt;"Hired",F48&lt;&gt;"Bought")),"",E48-N(G48))</f>
        <v/>
      </c>
      <c r="J48" s="16">
        <f>IF(C48&amp;E48="","",IF(F48="","Choose a stage",IF(F48="Quote","",IF(E48="","Add the amount",IF(I48&lt;=0,"Paid",IF(H48="","Balance due, no date set",IF(H48&lt;TODAY(),"Overdue by "&amp;(TODAY()-H48)&amp;IF((TODAY()-H48)=1," day"," days"),IF(H48=TODAY(),"Due today",IF((H48-TODAY())&lt;=14,"Due in "&amp;(H48-TODAY())&amp;IF((H48-TODAY())=1," day"," days"),"Next payment in "&amp;(H48-TODAY())&amp;" days")))))))))</f>
        <v/>
      </c>
      <c r="K48" s="16">
        <f>IF(OR(C48="",E48=""),"",IF(COUNTIFS(Costs!$C$6:$C$305,C48,Costs!$E$6:$E$305,"&lt;&gt;")&lt;2,"",IF(M48=1,"Cheapest of "&amp;COUNTIFS(Costs!$C$6:$C$305,C48,Costs!$E$6:$E$305,"&lt;&gt;"),FIXED(E48-SUMIFS(Costs!$E$6:$E$305,Costs!$C$6:$C$305,C48,Costs!$M$6:$M$305,1)/COUNTIFS(Costs!$C$6:$C$305,C48,Costs!$M$6:$M$305,1),0)&amp;" more than the cheapest")))</f>
        <v/>
      </c>
      <c r="L48" s="33" t="n"/>
      <c r="M48" s="1">
        <f>IF(OR(C48="",E48=""),"",IF(COUNTIFS(Costs!$C$6:$C$305,C48,Costs!$E$6:$E$305,"&lt;"&amp;E48)=0,1,0))</f>
        <v/>
      </c>
      <c r="N48">
        <f>IF(AND(C48&lt;&gt;"",F48="Quote",COUNTIFS(Costs!$C$6:$C$305,C48,Costs!$F$6:$F$305,"Hired")+COUNTIFS(Costs!$C$6:$C$305,C48,Costs!$F$6:$F$305,"Bought")=0),1/COUNTIFS(Costs!$C$6:$C$305,C48,Costs!$F$6:$F$305,"Quote"),"")</f>
        <v/>
      </c>
      <c r="O48">
        <f>IF(AND(OR(F48="Hired",F48="Bought"),N(I48)&gt;0,H48&lt;&gt;""),H48+ROW()/100000,"")</f>
        <v/>
      </c>
    </row>
    <row r="49">
      <c r="A49" s="1" t="n"/>
      <c r="B49" s="33" t="n"/>
      <c r="C49" s="33" t="n"/>
      <c r="D49" s="33" t="n"/>
      <c r="E49" s="27" t="n"/>
      <c r="F49" s="34" t="n"/>
      <c r="G49" s="27" t="n"/>
      <c r="H49" s="35" t="n"/>
      <c r="I49" s="14">
        <f>IF(OR(E49="",AND(F49&lt;&gt;"Hired",F49&lt;&gt;"Bought")),"",E49-N(G49))</f>
        <v/>
      </c>
      <c r="J49" s="16">
        <f>IF(C49&amp;E49="","",IF(F49="","Choose a stage",IF(F49="Quote","",IF(E49="","Add the amount",IF(I49&lt;=0,"Paid",IF(H49="","Balance due, no date set",IF(H49&lt;TODAY(),"Overdue by "&amp;(TODAY()-H49)&amp;IF((TODAY()-H49)=1," day"," days"),IF(H49=TODAY(),"Due today",IF((H49-TODAY())&lt;=14,"Due in "&amp;(H49-TODAY())&amp;IF((H49-TODAY())=1," day"," days"),"Next payment in "&amp;(H49-TODAY())&amp;" days")))))))))</f>
        <v/>
      </c>
      <c r="K49" s="16">
        <f>IF(OR(C49="",E49=""),"",IF(COUNTIFS(Costs!$C$6:$C$305,C49,Costs!$E$6:$E$305,"&lt;&gt;")&lt;2,"",IF(M49=1,"Cheapest of "&amp;COUNTIFS(Costs!$C$6:$C$305,C49,Costs!$E$6:$E$305,"&lt;&gt;"),FIXED(E49-SUMIFS(Costs!$E$6:$E$305,Costs!$C$6:$C$305,C49,Costs!$M$6:$M$305,1)/COUNTIFS(Costs!$C$6:$C$305,C49,Costs!$M$6:$M$305,1),0)&amp;" more than the cheapest")))</f>
        <v/>
      </c>
      <c r="L49" s="33" t="n"/>
      <c r="M49" s="1">
        <f>IF(OR(C49="",E49=""),"",IF(COUNTIFS(Costs!$C$6:$C$305,C49,Costs!$E$6:$E$305,"&lt;"&amp;E49)=0,1,0))</f>
        <v/>
      </c>
      <c r="N49">
        <f>IF(AND(C49&lt;&gt;"",F49="Quote",COUNTIFS(Costs!$C$6:$C$305,C49,Costs!$F$6:$F$305,"Hired")+COUNTIFS(Costs!$C$6:$C$305,C49,Costs!$F$6:$F$305,"Bought")=0),1/COUNTIFS(Costs!$C$6:$C$305,C49,Costs!$F$6:$F$305,"Quote"),"")</f>
        <v/>
      </c>
      <c r="O49">
        <f>IF(AND(OR(F49="Hired",F49="Bought"),N(I49)&gt;0,H49&lt;&gt;""),H49+ROW()/100000,"")</f>
        <v/>
      </c>
    </row>
    <row r="50">
      <c r="A50" s="1" t="n"/>
      <c r="B50" s="33" t="n"/>
      <c r="C50" s="33" t="n"/>
      <c r="D50" s="33" t="n"/>
      <c r="E50" s="27" t="n"/>
      <c r="F50" s="34" t="n"/>
      <c r="G50" s="27" t="n"/>
      <c r="H50" s="35" t="n"/>
      <c r="I50" s="14">
        <f>IF(OR(E50="",AND(F50&lt;&gt;"Hired",F50&lt;&gt;"Bought")),"",E50-N(G50))</f>
        <v/>
      </c>
      <c r="J50" s="16">
        <f>IF(C50&amp;E50="","",IF(F50="","Choose a stage",IF(F50="Quote","",IF(E50="","Add the amount",IF(I50&lt;=0,"Paid",IF(H50="","Balance due, no date set",IF(H50&lt;TODAY(),"Overdue by "&amp;(TODAY()-H50)&amp;IF((TODAY()-H50)=1," day"," days"),IF(H50=TODAY(),"Due today",IF((H50-TODAY())&lt;=14,"Due in "&amp;(H50-TODAY())&amp;IF((H50-TODAY())=1," day"," days"),"Next payment in "&amp;(H50-TODAY())&amp;" days")))))))))</f>
        <v/>
      </c>
      <c r="K50" s="16">
        <f>IF(OR(C50="",E50=""),"",IF(COUNTIFS(Costs!$C$6:$C$305,C50,Costs!$E$6:$E$305,"&lt;&gt;")&lt;2,"",IF(M50=1,"Cheapest of "&amp;COUNTIFS(Costs!$C$6:$C$305,C50,Costs!$E$6:$E$305,"&lt;&gt;"),FIXED(E50-SUMIFS(Costs!$E$6:$E$305,Costs!$C$6:$C$305,C50,Costs!$M$6:$M$305,1)/COUNTIFS(Costs!$C$6:$C$305,C50,Costs!$M$6:$M$305,1),0)&amp;" more than the cheapest")))</f>
        <v/>
      </c>
      <c r="L50" s="33" t="n"/>
      <c r="M50" s="1">
        <f>IF(OR(C50="",E50=""),"",IF(COUNTIFS(Costs!$C$6:$C$305,C50,Costs!$E$6:$E$305,"&lt;"&amp;E50)=0,1,0))</f>
        <v/>
      </c>
      <c r="N50">
        <f>IF(AND(C50&lt;&gt;"",F50="Quote",COUNTIFS(Costs!$C$6:$C$305,C50,Costs!$F$6:$F$305,"Hired")+COUNTIFS(Costs!$C$6:$C$305,C50,Costs!$F$6:$F$305,"Bought")=0),1/COUNTIFS(Costs!$C$6:$C$305,C50,Costs!$F$6:$F$305,"Quote"),"")</f>
        <v/>
      </c>
      <c r="O50">
        <f>IF(AND(OR(F50="Hired",F50="Bought"),N(I50)&gt;0,H50&lt;&gt;""),H50+ROW()/100000,"")</f>
        <v/>
      </c>
    </row>
    <row r="51">
      <c r="A51" s="1" t="n"/>
      <c r="B51" s="33" t="n"/>
      <c r="C51" s="33" t="n"/>
      <c r="D51" s="33" t="n"/>
      <c r="E51" s="27" t="n"/>
      <c r="F51" s="34" t="n"/>
      <c r="G51" s="27" t="n"/>
      <c r="H51" s="35" t="n"/>
      <c r="I51" s="14">
        <f>IF(OR(E51="",AND(F51&lt;&gt;"Hired",F51&lt;&gt;"Bought")),"",E51-N(G51))</f>
        <v/>
      </c>
      <c r="J51" s="16">
        <f>IF(C51&amp;E51="","",IF(F51="","Choose a stage",IF(F51="Quote","",IF(E51="","Add the amount",IF(I51&lt;=0,"Paid",IF(H51="","Balance due, no date set",IF(H51&lt;TODAY(),"Overdue by "&amp;(TODAY()-H51)&amp;IF((TODAY()-H51)=1," day"," days"),IF(H51=TODAY(),"Due today",IF((H51-TODAY())&lt;=14,"Due in "&amp;(H51-TODAY())&amp;IF((H51-TODAY())=1," day"," days"),"Next payment in "&amp;(H51-TODAY())&amp;" days")))))))))</f>
        <v/>
      </c>
      <c r="K51" s="16">
        <f>IF(OR(C51="",E51=""),"",IF(COUNTIFS(Costs!$C$6:$C$305,C51,Costs!$E$6:$E$305,"&lt;&gt;")&lt;2,"",IF(M51=1,"Cheapest of "&amp;COUNTIFS(Costs!$C$6:$C$305,C51,Costs!$E$6:$E$305,"&lt;&gt;"),FIXED(E51-SUMIFS(Costs!$E$6:$E$305,Costs!$C$6:$C$305,C51,Costs!$M$6:$M$305,1)/COUNTIFS(Costs!$C$6:$C$305,C51,Costs!$M$6:$M$305,1),0)&amp;" more than the cheapest")))</f>
        <v/>
      </c>
      <c r="L51" s="33" t="n"/>
      <c r="M51" s="1">
        <f>IF(OR(C51="",E51=""),"",IF(COUNTIFS(Costs!$C$6:$C$305,C51,Costs!$E$6:$E$305,"&lt;"&amp;E51)=0,1,0))</f>
        <v/>
      </c>
      <c r="N51">
        <f>IF(AND(C51&lt;&gt;"",F51="Quote",COUNTIFS(Costs!$C$6:$C$305,C51,Costs!$F$6:$F$305,"Hired")+COUNTIFS(Costs!$C$6:$C$305,C51,Costs!$F$6:$F$305,"Bought")=0),1/COUNTIFS(Costs!$C$6:$C$305,C51,Costs!$F$6:$F$305,"Quote"),"")</f>
        <v/>
      </c>
      <c r="O51">
        <f>IF(AND(OR(F51="Hired",F51="Bought"),N(I51)&gt;0,H51&lt;&gt;""),H51+ROW()/100000,"")</f>
        <v/>
      </c>
    </row>
    <row r="52">
      <c r="A52" s="1" t="n"/>
      <c r="B52" s="33" t="n"/>
      <c r="C52" s="33" t="n"/>
      <c r="D52" s="33" t="n"/>
      <c r="E52" s="27" t="n"/>
      <c r="F52" s="34" t="n"/>
      <c r="G52" s="27" t="n"/>
      <c r="H52" s="35" t="n"/>
      <c r="I52" s="14">
        <f>IF(OR(E52="",AND(F52&lt;&gt;"Hired",F52&lt;&gt;"Bought")),"",E52-N(G52))</f>
        <v/>
      </c>
      <c r="J52" s="16">
        <f>IF(C52&amp;E52="","",IF(F52="","Choose a stage",IF(F52="Quote","",IF(E52="","Add the amount",IF(I52&lt;=0,"Paid",IF(H52="","Balance due, no date set",IF(H52&lt;TODAY(),"Overdue by "&amp;(TODAY()-H52)&amp;IF((TODAY()-H52)=1," day"," days"),IF(H52=TODAY(),"Due today",IF((H52-TODAY())&lt;=14,"Due in "&amp;(H52-TODAY())&amp;IF((H52-TODAY())=1," day"," days"),"Next payment in "&amp;(H52-TODAY())&amp;" days")))))))))</f>
        <v/>
      </c>
      <c r="K52" s="16">
        <f>IF(OR(C52="",E52=""),"",IF(COUNTIFS(Costs!$C$6:$C$305,C52,Costs!$E$6:$E$305,"&lt;&gt;")&lt;2,"",IF(M52=1,"Cheapest of "&amp;COUNTIFS(Costs!$C$6:$C$305,C52,Costs!$E$6:$E$305,"&lt;&gt;"),FIXED(E52-SUMIFS(Costs!$E$6:$E$305,Costs!$C$6:$C$305,C52,Costs!$M$6:$M$305,1)/COUNTIFS(Costs!$C$6:$C$305,C52,Costs!$M$6:$M$305,1),0)&amp;" more than the cheapest")))</f>
        <v/>
      </c>
      <c r="L52" s="33" t="n"/>
      <c r="M52" s="1">
        <f>IF(OR(C52="",E52=""),"",IF(COUNTIFS(Costs!$C$6:$C$305,C52,Costs!$E$6:$E$305,"&lt;"&amp;E52)=0,1,0))</f>
        <v/>
      </c>
      <c r="N52">
        <f>IF(AND(C52&lt;&gt;"",F52="Quote",COUNTIFS(Costs!$C$6:$C$305,C52,Costs!$F$6:$F$305,"Hired")+COUNTIFS(Costs!$C$6:$C$305,C52,Costs!$F$6:$F$305,"Bought")=0),1/COUNTIFS(Costs!$C$6:$C$305,C52,Costs!$F$6:$F$305,"Quote"),"")</f>
        <v/>
      </c>
      <c r="O52">
        <f>IF(AND(OR(F52="Hired",F52="Bought"),N(I52)&gt;0,H52&lt;&gt;""),H52+ROW()/100000,"")</f>
        <v/>
      </c>
    </row>
    <row r="53">
      <c r="A53" s="1" t="n"/>
      <c r="B53" s="33" t="n"/>
      <c r="C53" s="33" t="n"/>
      <c r="D53" s="33" t="n"/>
      <c r="E53" s="27" t="n"/>
      <c r="F53" s="34" t="n"/>
      <c r="G53" s="27" t="n"/>
      <c r="H53" s="35" t="n"/>
      <c r="I53" s="14">
        <f>IF(OR(E53="",AND(F53&lt;&gt;"Hired",F53&lt;&gt;"Bought")),"",E53-N(G53))</f>
        <v/>
      </c>
      <c r="J53" s="16">
        <f>IF(C53&amp;E53="","",IF(F53="","Choose a stage",IF(F53="Quote","",IF(E53="","Add the amount",IF(I53&lt;=0,"Paid",IF(H53="","Balance due, no date set",IF(H53&lt;TODAY(),"Overdue by "&amp;(TODAY()-H53)&amp;IF((TODAY()-H53)=1," day"," days"),IF(H53=TODAY(),"Due today",IF((H53-TODAY())&lt;=14,"Due in "&amp;(H53-TODAY())&amp;IF((H53-TODAY())=1," day"," days"),"Next payment in "&amp;(H53-TODAY())&amp;" days")))))))))</f>
        <v/>
      </c>
      <c r="K53" s="16">
        <f>IF(OR(C53="",E53=""),"",IF(COUNTIFS(Costs!$C$6:$C$305,C53,Costs!$E$6:$E$305,"&lt;&gt;")&lt;2,"",IF(M53=1,"Cheapest of "&amp;COUNTIFS(Costs!$C$6:$C$305,C53,Costs!$E$6:$E$305,"&lt;&gt;"),FIXED(E53-SUMIFS(Costs!$E$6:$E$305,Costs!$C$6:$C$305,C53,Costs!$M$6:$M$305,1)/COUNTIFS(Costs!$C$6:$C$305,C53,Costs!$M$6:$M$305,1),0)&amp;" more than the cheapest")))</f>
        <v/>
      </c>
      <c r="L53" s="33" t="n"/>
      <c r="M53" s="1">
        <f>IF(OR(C53="",E53=""),"",IF(COUNTIFS(Costs!$C$6:$C$305,C53,Costs!$E$6:$E$305,"&lt;"&amp;E53)=0,1,0))</f>
        <v/>
      </c>
      <c r="N53">
        <f>IF(AND(C53&lt;&gt;"",F53="Quote",COUNTIFS(Costs!$C$6:$C$305,C53,Costs!$F$6:$F$305,"Hired")+COUNTIFS(Costs!$C$6:$C$305,C53,Costs!$F$6:$F$305,"Bought")=0),1/COUNTIFS(Costs!$C$6:$C$305,C53,Costs!$F$6:$F$305,"Quote"),"")</f>
        <v/>
      </c>
      <c r="O53">
        <f>IF(AND(OR(F53="Hired",F53="Bought"),N(I53)&gt;0,H53&lt;&gt;""),H53+ROW()/100000,"")</f>
        <v/>
      </c>
    </row>
    <row r="54">
      <c r="A54" s="1" t="n"/>
      <c r="B54" s="33" t="n"/>
      <c r="C54" s="33" t="n"/>
      <c r="D54" s="33" t="n"/>
      <c r="E54" s="27" t="n"/>
      <c r="F54" s="34" t="n"/>
      <c r="G54" s="27" t="n"/>
      <c r="H54" s="35" t="n"/>
      <c r="I54" s="14">
        <f>IF(OR(E54="",AND(F54&lt;&gt;"Hired",F54&lt;&gt;"Bought")),"",E54-N(G54))</f>
        <v/>
      </c>
      <c r="J54" s="16">
        <f>IF(C54&amp;E54="","",IF(F54="","Choose a stage",IF(F54="Quote","",IF(E54="","Add the amount",IF(I54&lt;=0,"Paid",IF(H54="","Balance due, no date set",IF(H54&lt;TODAY(),"Overdue by "&amp;(TODAY()-H54)&amp;IF((TODAY()-H54)=1," day"," days"),IF(H54=TODAY(),"Due today",IF((H54-TODAY())&lt;=14,"Due in "&amp;(H54-TODAY())&amp;IF((H54-TODAY())=1," day"," days"),"Next payment in "&amp;(H54-TODAY())&amp;" days")))))))))</f>
        <v/>
      </c>
      <c r="K54" s="16">
        <f>IF(OR(C54="",E54=""),"",IF(COUNTIFS(Costs!$C$6:$C$305,C54,Costs!$E$6:$E$305,"&lt;&gt;")&lt;2,"",IF(M54=1,"Cheapest of "&amp;COUNTIFS(Costs!$C$6:$C$305,C54,Costs!$E$6:$E$305,"&lt;&gt;"),FIXED(E54-SUMIFS(Costs!$E$6:$E$305,Costs!$C$6:$C$305,C54,Costs!$M$6:$M$305,1)/COUNTIFS(Costs!$C$6:$C$305,C54,Costs!$M$6:$M$305,1),0)&amp;" more than the cheapest")))</f>
        <v/>
      </c>
      <c r="L54" s="33" t="n"/>
      <c r="M54" s="1">
        <f>IF(OR(C54="",E54=""),"",IF(COUNTIFS(Costs!$C$6:$C$305,C54,Costs!$E$6:$E$305,"&lt;"&amp;E54)=0,1,0))</f>
        <v/>
      </c>
      <c r="N54">
        <f>IF(AND(C54&lt;&gt;"",F54="Quote",COUNTIFS(Costs!$C$6:$C$305,C54,Costs!$F$6:$F$305,"Hired")+COUNTIFS(Costs!$C$6:$C$305,C54,Costs!$F$6:$F$305,"Bought")=0),1/COUNTIFS(Costs!$C$6:$C$305,C54,Costs!$F$6:$F$305,"Quote"),"")</f>
        <v/>
      </c>
      <c r="O54">
        <f>IF(AND(OR(F54="Hired",F54="Bought"),N(I54)&gt;0,H54&lt;&gt;""),H54+ROW()/100000,"")</f>
        <v/>
      </c>
    </row>
    <row r="55">
      <c r="A55" s="1" t="n"/>
      <c r="B55" s="33" t="n"/>
      <c r="C55" s="33" t="n"/>
      <c r="D55" s="33" t="n"/>
      <c r="E55" s="27" t="n"/>
      <c r="F55" s="34" t="n"/>
      <c r="G55" s="27" t="n"/>
      <c r="H55" s="35" t="n"/>
      <c r="I55" s="14">
        <f>IF(OR(E55="",AND(F55&lt;&gt;"Hired",F55&lt;&gt;"Bought")),"",E55-N(G55))</f>
        <v/>
      </c>
      <c r="J55" s="16">
        <f>IF(C55&amp;E55="","",IF(F55="","Choose a stage",IF(F55="Quote","",IF(E55="","Add the amount",IF(I55&lt;=0,"Paid",IF(H55="","Balance due, no date set",IF(H55&lt;TODAY(),"Overdue by "&amp;(TODAY()-H55)&amp;IF((TODAY()-H55)=1," day"," days"),IF(H55=TODAY(),"Due today",IF((H55-TODAY())&lt;=14,"Due in "&amp;(H55-TODAY())&amp;IF((H55-TODAY())=1," day"," days"),"Next payment in "&amp;(H55-TODAY())&amp;" days")))))))))</f>
        <v/>
      </c>
      <c r="K55" s="16">
        <f>IF(OR(C55="",E55=""),"",IF(COUNTIFS(Costs!$C$6:$C$305,C55,Costs!$E$6:$E$305,"&lt;&gt;")&lt;2,"",IF(M55=1,"Cheapest of "&amp;COUNTIFS(Costs!$C$6:$C$305,C55,Costs!$E$6:$E$305,"&lt;&gt;"),FIXED(E55-SUMIFS(Costs!$E$6:$E$305,Costs!$C$6:$C$305,C55,Costs!$M$6:$M$305,1)/COUNTIFS(Costs!$C$6:$C$305,C55,Costs!$M$6:$M$305,1),0)&amp;" more than the cheapest")))</f>
        <v/>
      </c>
      <c r="L55" s="33" t="n"/>
      <c r="M55" s="1">
        <f>IF(OR(C55="",E55=""),"",IF(COUNTIFS(Costs!$C$6:$C$305,C55,Costs!$E$6:$E$305,"&lt;"&amp;E55)=0,1,0))</f>
        <v/>
      </c>
      <c r="N55">
        <f>IF(AND(C55&lt;&gt;"",F55="Quote",COUNTIFS(Costs!$C$6:$C$305,C55,Costs!$F$6:$F$305,"Hired")+COUNTIFS(Costs!$C$6:$C$305,C55,Costs!$F$6:$F$305,"Bought")=0),1/COUNTIFS(Costs!$C$6:$C$305,C55,Costs!$F$6:$F$305,"Quote"),"")</f>
        <v/>
      </c>
      <c r="O55">
        <f>IF(AND(OR(F55="Hired",F55="Bought"),N(I55)&gt;0,H55&lt;&gt;""),H55+ROW()/100000,"")</f>
        <v/>
      </c>
    </row>
    <row r="56">
      <c r="A56" s="1" t="n"/>
      <c r="B56" s="33" t="n"/>
      <c r="C56" s="33" t="n"/>
      <c r="D56" s="33" t="n"/>
      <c r="E56" s="27" t="n"/>
      <c r="F56" s="34" t="n"/>
      <c r="G56" s="27" t="n"/>
      <c r="H56" s="35" t="n"/>
      <c r="I56" s="14">
        <f>IF(OR(E56="",AND(F56&lt;&gt;"Hired",F56&lt;&gt;"Bought")),"",E56-N(G56))</f>
        <v/>
      </c>
      <c r="J56" s="16">
        <f>IF(C56&amp;E56="","",IF(F56="","Choose a stage",IF(F56="Quote","",IF(E56="","Add the amount",IF(I56&lt;=0,"Paid",IF(H56="","Balance due, no date set",IF(H56&lt;TODAY(),"Overdue by "&amp;(TODAY()-H56)&amp;IF((TODAY()-H56)=1," day"," days"),IF(H56=TODAY(),"Due today",IF((H56-TODAY())&lt;=14,"Due in "&amp;(H56-TODAY())&amp;IF((H56-TODAY())=1," day"," days"),"Next payment in "&amp;(H56-TODAY())&amp;" days")))))))))</f>
        <v/>
      </c>
      <c r="K56" s="16">
        <f>IF(OR(C56="",E56=""),"",IF(COUNTIFS(Costs!$C$6:$C$305,C56,Costs!$E$6:$E$305,"&lt;&gt;")&lt;2,"",IF(M56=1,"Cheapest of "&amp;COUNTIFS(Costs!$C$6:$C$305,C56,Costs!$E$6:$E$305,"&lt;&gt;"),FIXED(E56-SUMIFS(Costs!$E$6:$E$305,Costs!$C$6:$C$305,C56,Costs!$M$6:$M$305,1)/COUNTIFS(Costs!$C$6:$C$305,C56,Costs!$M$6:$M$305,1),0)&amp;" more than the cheapest")))</f>
        <v/>
      </c>
      <c r="L56" s="33" t="n"/>
      <c r="M56" s="1">
        <f>IF(OR(C56="",E56=""),"",IF(COUNTIFS(Costs!$C$6:$C$305,C56,Costs!$E$6:$E$305,"&lt;"&amp;E56)=0,1,0))</f>
        <v/>
      </c>
      <c r="N56">
        <f>IF(AND(C56&lt;&gt;"",F56="Quote",COUNTIFS(Costs!$C$6:$C$305,C56,Costs!$F$6:$F$305,"Hired")+COUNTIFS(Costs!$C$6:$C$305,C56,Costs!$F$6:$F$305,"Bought")=0),1/COUNTIFS(Costs!$C$6:$C$305,C56,Costs!$F$6:$F$305,"Quote"),"")</f>
        <v/>
      </c>
      <c r="O56">
        <f>IF(AND(OR(F56="Hired",F56="Bought"),N(I56)&gt;0,H56&lt;&gt;""),H56+ROW()/100000,"")</f>
        <v/>
      </c>
    </row>
    <row r="57">
      <c r="A57" s="1" t="n"/>
      <c r="B57" s="33" t="n"/>
      <c r="C57" s="33" t="n"/>
      <c r="D57" s="33" t="n"/>
      <c r="E57" s="27" t="n"/>
      <c r="F57" s="34" t="n"/>
      <c r="G57" s="27" t="n"/>
      <c r="H57" s="35" t="n"/>
      <c r="I57" s="14">
        <f>IF(OR(E57="",AND(F57&lt;&gt;"Hired",F57&lt;&gt;"Bought")),"",E57-N(G57))</f>
        <v/>
      </c>
      <c r="J57" s="16">
        <f>IF(C57&amp;E57="","",IF(F57="","Choose a stage",IF(F57="Quote","",IF(E57="","Add the amount",IF(I57&lt;=0,"Paid",IF(H57="","Balance due, no date set",IF(H57&lt;TODAY(),"Overdue by "&amp;(TODAY()-H57)&amp;IF((TODAY()-H57)=1," day"," days"),IF(H57=TODAY(),"Due today",IF((H57-TODAY())&lt;=14,"Due in "&amp;(H57-TODAY())&amp;IF((H57-TODAY())=1," day"," days"),"Next payment in "&amp;(H57-TODAY())&amp;" days")))))))))</f>
        <v/>
      </c>
      <c r="K57" s="16">
        <f>IF(OR(C57="",E57=""),"",IF(COUNTIFS(Costs!$C$6:$C$305,C57,Costs!$E$6:$E$305,"&lt;&gt;")&lt;2,"",IF(M57=1,"Cheapest of "&amp;COUNTIFS(Costs!$C$6:$C$305,C57,Costs!$E$6:$E$305,"&lt;&gt;"),FIXED(E57-SUMIFS(Costs!$E$6:$E$305,Costs!$C$6:$C$305,C57,Costs!$M$6:$M$305,1)/COUNTIFS(Costs!$C$6:$C$305,C57,Costs!$M$6:$M$305,1),0)&amp;" more than the cheapest")))</f>
        <v/>
      </c>
      <c r="L57" s="33" t="n"/>
      <c r="M57" s="1">
        <f>IF(OR(C57="",E57=""),"",IF(COUNTIFS(Costs!$C$6:$C$305,C57,Costs!$E$6:$E$305,"&lt;"&amp;E57)=0,1,0))</f>
        <v/>
      </c>
      <c r="N57">
        <f>IF(AND(C57&lt;&gt;"",F57="Quote",COUNTIFS(Costs!$C$6:$C$305,C57,Costs!$F$6:$F$305,"Hired")+COUNTIFS(Costs!$C$6:$C$305,C57,Costs!$F$6:$F$305,"Bought")=0),1/COUNTIFS(Costs!$C$6:$C$305,C57,Costs!$F$6:$F$305,"Quote"),"")</f>
        <v/>
      </c>
      <c r="O57">
        <f>IF(AND(OR(F57="Hired",F57="Bought"),N(I57)&gt;0,H57&lt;&gt;""),H57+ROW()/100000,"")</f>
        <v/>
      </c>
    </row>
    <row r="58">
      <c r="A58" s="1" t="n"/>
      <c r="B58" s="33" t="n"/>
      <c r="C58" s="33" t="n"/>
      <c r="D58" s="33" t="n"/>
      <c r="E58" s="27" t="n"/>
      <c r="F58" s="34" t="n"/>
      <c r="G58" s="27" t="n"/>
      <c r="H58" s="35" t="n"/>
      <c r="I58" s="14">
        <f>IF(OR(E58="",AND(F58&lt;&gt;"Hired",F58&lt;&gt;"Bought")),"",E58-N(G58))</f>
        <v/>
      </c>
      <c r="J58" s="16">
        <f>IF(C58&amp;E58="","",IF(F58="","Choose a stage",IF(F58="Quote","",IF(E58="","Add the amount",IF(I58&lt;=0,"Paid",IF(H58="","Balance due, no date set",IF(H58&lt;TODAY(),"Overdue by "&amp;(TODAY()-H58)&amp;IF((TODAY()-H58)=1," day"," days"),IF(H58=TODAY(),"Due today",IF((H58-TODAY())&lt;=14,"Due in "&amp;(H58-TODAY())&amp;IF((H58-TODAY())=1," day"," days"),"Next payment in "&amp;(H58-TODAY())&amp;" days")))))))))</f>
        <v/>
      </c>
      <c r="K58" s="16">
        <f>IF(OR(C58="",E58=""),"",IF(COUNTIFS(Costs!$C$6:$C$305,C58,Costs!$E$6:$E$305,"&lt;&gt;")&lt;2,"",IF(M58=1,"Cheapest of "&amp;COUNTIFS(Costs!$C$6:$C$305,C58,Costs!$E$6:$E$305,"&lt;&gt;"),FIXED(E58-SUMIFS(Costs!$E$6:$E$305,Costs!$C$6:$C$305,C58,Costs!$M$6:$M$305,1)/COUNTIFS(Costs!$C$6:$C$305,C58,Costs!$M$6:$M$305,1),0)&amp;" more than the cheapest")))</f>
        <v/>
      </c>
      <c r="L58" s="33" t="n"/>
      <c r="M58" s="1">
        <f>IF(OR(C58="",E58=""),"",IF(COUNTIFS(Costs!$C$6:$C$305,C58,Costs!$E$6:$E$305,"&lt;"&amp;E58)=0,1,0))</f>
        <v/>
      </c>
      <c r="N58">
        <f>IF(AND(C58&lt;&gt;"",F58="Quote",COUNTIFS(Costs!$C$6:$C$305,C58,Costs!$F$6:$F$305,"Hired")+COUNTIFS(Costs!$C$6:$C$305,C58,Costs!$F$6:$F$305,"Bought")=0),1/COUNTIFS(Costs!$C$6:$C$305,C58,Costs!$F$6:$F$305,"Quote"),"")</f>
        <v/>
      </c>
      <c r="O58">
        <f>IF(AND(OR(F58="Hired",F58="Bought"),N(I58)&gt;0,H58&lt;&gt;""),H58+ROW()/100000,"")</f>
        <v/>
      </c>
    </row>
    <row r="59">
      <c r="A59" s="1" t="n"/>
      <c r="B59" s="33" t="n"/>
      <c r="C59" s="33" t="n"/>
      <c r="D59" s="33" t="n"/>
      <c r="E59" s="27" t="n"/>
      <c r="F59" s="34" t="n"/>
      <c r="G59" s="27" t="n"/>
      <c r="H59" s="35" t="n"/>
      <c r="I59" s="14">
        <f>IF(OR(E59="",AND(F59&lt;&gt;"Hired",F59&lt;&gt;"Bought")),"",E59-N(G59))</f>
        <v/>
      </c>
      <c r="J59" s="16">
        <f>IF(C59&amp;E59="","",IF(F59="","Choose a stage",IF(F59="Quote","",IF(E59="","Add the amount",IF(I59&lt;=0,"Paid",IF(H59="","Balance due, no date set",IF(H59&lt;TODAY(),"Overdue by "&amp;(TODAY()-H59)&amp;IF((TODAY()-H59)=1," day"," days"),IF(H59=TODAY(),"Due today",IF((H59-TODAY())&lt;=14,"Due in "&amp;(H59-TODAY())&amp;IF((H59-TODAY())=1," day"," days"),"Next payment in "&amp;(H59-TODAY())&amp;" days")))))))))</f>
        <v/>
      </c>
      <c r="K59" s="16">
        <f>IF(OR(C59="",E59=""),"",IF(COUNTIFS(Costs!$C$6:$C$305,C59,Costs!$E$6:$E$305,"&lt;&gt;")&lt;2,"",IF(M59=1,"Cheapest of "&amp;COUNTIFS(Costs!$C$6:$C$305,C59,Costs!$E$6:$E$305,"&lt;&gt;"),FIXED(E59-SUMIFS(Costs!$E$6:$E$305,Costs!$C$6:$C$305,C59,Costs!$M$6:$M$305,1)/COUNTIFS(Costs!$C$6:$C$305,C59,Costs!$M$6:$M$305,1),0)&amp;" more than the cheapest")))</f>
        <v/>
      </c>
      <c r="L59" s="33" t="n"/>
      <c r="M59" s="1">
        <f>IF(OR(C59="",E59=""),"",IF(COUNTIFS(Costs!$C$6:$C$305,C59,Costs!$E$6:$E$305,"&lt;"&amp;E59)=0,1,0))</f>
        <v/>
      </c>
      <c r="N59">
        <f>IF(AND(C59&lt;&gt;"",F59="Quote",COUNTIFS(Costs!$C$6:$C$305,C59,Costs!$F$6:$F$305,"Hired")+COUNTIFS(Costs!$C$6:$C$305,C59,Costs!$F$6:$F$305,"Bought")=0),1/COUNTIFS(Costs!$C$6:$C$305,C59,Costs!$F$6:$F$305,"Quote"),"")</f>
        <v/>
      </c>
      <c r="O59">
        <f>IF(AND(OR(F59="Hired",F59="Bought"),N(I59)&gt;0,H59&lt;&gt;""),H59+ROW()/100000,"")</f>
        <v/>
      </c>
    </row>
    <row r="60">
      <c r="A60" s="1" t="n"/>
      <c r="B60" s="33" t="n"/>
      <c r="C60" s="33" t="n"/>
      <c r="D60" s="33" t="n"/>
      <c r="E60" s="27" t="n"/>
      <c r="F60" s="34" t="n"/>
      <c r="G60" s="27" t="n"/>
      <c r="H60" s="35" t="n"/>
      <c r="I60" s="14">
        <f>IF(OR(E60="",AND(F60&lt;&gt;"Hired",F60&lt;&gt;"Bought")),"",E60-N(G60))</f>
        <v/>
      </c>
      <c r="J60" s="16">
        <f>IF(C60&amp;E60="","",IF(F60="","Choose a stage",IF(F60="Quote","",IF(E60="","Add the amount",IF(I60&lt;=0,"Paid",IF(H60="","Balance due, no date set",IF(H60&lt;TODAY(),"Overdue by "&amp;(TODAY()-H60)&amp;IF((TODAY()-H60)=1," day"," days"),IF(H60=TODAY(),"Due today",IF((H60-TODAY())&lt;=14,"Due in "&amp;(H60-TODAY())&amp;IF((H60-TODAY())=1," day"," days"),"Next payment in "&amp;(H60-TODAY())&amp;" days")))))))))</f>
        <v/>
      </c>
      <c r="K60" s="16">
        <f>IF(OR(C60="",E60=""),"",IF(COUNTIFS(Costs!$C$6:$C$305,C60,Costs!$E$6:$E$305,"&lt;&gt;")&lt;2,"",IF(M60=1,"Cheapest of "&amp;COUNTIFS(Costs!$C$6:$C$305,C60,Costs!$E$6:$E$305,"&lt;&gt;"),FIXED(E60-SUMIFS(Costs!$E$6:$E$305,Costs!$C$6:$C$305,C60,Costs!$M$6:$M$305,1)/COUNTIFS(Costs!$C$6:$C$305,C60,Costs!$M$6:$M$305,1),0)&amp;" more than the cheapest")))</f>
        <v/>
      </c>
      <c r="L60" s="33" t="n"/>
      <c r="M60" s="1">
        <f>IF(OR(C60="",E60=""),"",IF(COUNTIFS(Costs!$C$6:$C$305,C60,Costs!$E$6:$E$305,"&lt;"&amp;E60)=0,1,0))</f>
        <v/>
      </c>
      <c r="N60">
        <f>IF(AND(C60&lt;&gt;"",F60="Quote",COUNTIFS(Costs!$C$6:$C$305,C60,Costs!$F$6:$F$305,"Hired")+COUNTIFS(Costs!$C$6:$C$305,C60,Costs!$F$6:$F$305,"Bought")=0),1/COUNTIFS(Costs!$C$6:$C$305,C60,Costs!$F$6:$F$305,"Quote"),"")</f>
        <v/>
      </c>
      <c r="O60">
        <f>IF(AND(OR(F60="Hired",F60="Bought"),N(I60)&gt;0,H60&lt;&gt;""),H60+ROW()/100000,"")</f>
        <v/>
      </c>
    </row>
    <row r="61">
      <c r="A61" s="1" t="n"/>
      <c r="B61" s="33" t="n"/>
      <c r="C61" s="33" t="n"/>
      <c r="D61" s="33" t="n"/>
      <c r="E61" s="27" t="n"/>
      <c r="F61" s="34" t="n"/>
      <c r="G61" s="27" t="n"/>
      <c r="H61" s="35" t="n"/>
      <c r="I61" s="14">
        <f>IF(OR(E61="",AND(F61&lt;&gt;"Hired",F61&lt;&gt;"Bought")),"",E61-N(G61))</f>
        <v/>
      </c>
      <c r="J61" s="16">
        <f>IF(C61&amp;E61="","",IF(F61="","Choose a stage",IF(F61="Quote","",IF(E61="","Add the amount",IF(I61&lt;=0,"Paid",IF(H61="","Balance due, no date set",IF(H61&lt;TODAY(),"Overdue by "&amp;(TODAY()-H61)&amp;IF((TODAY()-H61)=1," day"," days"),IF(H61=TODAY(),"Due today",IF((H61-TODAY())&lt;=14,"Due in "&amp;(H61-TODAY())&amp;IF((H61-TODAY())=1," day"," days"),"Next payment in "&amp;(H61-TODAY())&amp;" days")))))))))</f>
        <v/>
      </c>
      <c r="K61" s="16">
        <f>IF(OR(C61="",E61=""),"",IF(COUNTIFS(Costs!$C$6:$C$305,C61,Costs!$E$6:$E$305,"&lt;&gt;")&lt;2,"",IF(M61=1,"Cheapest of "&amp;COUNTIFS(Costs!$C$6:$C$305,C61,Costs!$E$6:$E$305,"&lt;&gt;"),FIXED(E61-SUMIFS(Costs!$E$6:$E$305,Costs!$C$6:$C$305,C61,Costs!$M$6:$M$305,1)/COUNTIFS(Costs!$C$6:$C$305,C61,Costs!$M$6:$M$305,1),0)&amp;" more than the cheapest")))</f>
        <v/>
      </c>
      <c r="L61" s="33" t="n"/>
      <c r="M61" s="1">
        <f>IF(OR(C61="",E61=""),"",IF(COUNTIFS(Costs!$C$6:$C$305,C61,Costs!$E$6:$E$305,"&lt;"&amp;E61)=0,1,0))</f>
        <v/>
      </c>
      <c r="N61">
        <f>IF(AND(C61&lt;&gt;"",F61="Quote",COUNTIFS(Costs!$C$6:$C$305,C61,Costs!$F$6:$F$305,"Hired")+COUNTIFS(Costs!$C$6:$C$305,C61,Costs!$F$6:$F$305,"Bought")=0),1/COUNTIFS(Costs!$C$6:$C$305,C61,Costs!$F$6:$F$305,"Quote"),"")</f>
        <v/>
      </c>
      <c r="O61">
        <f>IF(AND(OR(F61="Hired",F61="Bought"),N(I61)&gt;0,H61&lt;&gt;""),H61+ROW()/100000,"")</f>
        <v/>
      </c>
    </row>
    <row r="62">
      <c r="A62" s="1" t="n"/>
      <c r="B62" s="33" t="n"/>
      <c r="C62" s="33" t="n"/>
      <c r="D62" s="33" t="n"/>
      <c r="E62" s="27" t="n"/>
      <c r="F62" s="34" t="n"/>
      <c r="G62" s="27" t="n"/>
      <c r="H62" s="35" t="n"/>
      <c r="I62" s="14">
        <f>IF(OR(E62="",AND(F62&lt;&gt;"Hired",F62&lt;&gt;"Bought")),"",E62-N(G62))</f>
        <v/>
      </c>
      <c r="J62" s="16">
        <f>IF(C62&amp;E62="","",IF(F62="","Choose a stage",IF(F62="Quote","",IF(E62="","Add the amount",IF(I62&lt;=0,"Paid",IF(H62="","Balance due, no date set",IF(H62&lt;TODAY(),"Overdue by "&amp;(TODAY()-H62)&amp;IF((TODAY()-H62)=1," day"," days"),IF(H62=TODAY(),"Due today",IF((H62-TODAY())&lt;=14,"Due in "&amp;(H62-TODAY())&amp;IF((H62-TODAY())=1," day"," days"),"Next payment in "&amp;(H62-TODAY())&amp;" days")))))))))</f>
        <v/>
      </c>
      <c r="K62" s="16">
        <f>IF(OR(C62="",E62=""),"",IF(COUNTIFS(Costs!$C$6:$C$305,C62,Costs!$E$6:$E$305,"&lt;&gt;")&lt;2,"",IF(M62=1,"Cheapest of "&amp;COUNTIFS(Costs!$C$6:$C$305,C62,Costs!$E$6:$E$305,"&lt;&gt;"),FIXED(E62-SUMIFS(Costs!$E$6:$E$305,Costs!$C$6:$C$305,C62,Costs!$M$6:$M$305,1)/COUNTIFS(Costs!$C$6:$C$305,C62,Costs!$M$6:$M$305,1),0)&amp;" more than the cheapest")))</f>
        <v/>
      </c>
      <c r="L62" s="33" t="n"/>
      <c r="M62" s="1">
        <f>IF(OR(C62="",E62=""),"",IF(COUNTIFS(Costs!$C$6:$C$305,C62,Costs!$E$6:$E$305,"&lt;"&amp;E62)=0,1,0))</f>
        <v/>
      </c>
      <c r="N62">
        <f>IF(AND(C62&lt;&gt;"",F62="Quote",COUNTIFS(Costs!$C$6:$C$305,C62,Costs!$F$6:$F$305,"Hired")+COUNTIFS(Costs!$C$6:$C$305,C62,Costs!$F$6:$F$305,"Bought")=0),1/COUNTIFS(Costs!$C$6:$C$305,C62,Costs!$F$6:$F$305,"Quote"),"")</f>
        <v/>
      </c>
      <c r="O62">
        <f>IF(AND(OR(F62="Hired",F62="Bought"),N(I62)&gt;0,H62&lt;&gt;""),H62+ROW()/100000,"")</f>
        <v/>
      </c>
    </row>
    <row r="63">
      <c r="A63" s="1" t="n"/>
      <c r="B63" s="33" t="n"/>
      <c r="C63" s="33" t="n"/>
      <c r="D63" s="33" t="n"/>
      <c r="E63" s="27" t="n"/>
      <c r="F63" s="34" t="n"/>
      <c r="G63" s="27" t="n"/>
      <c r="H63" s="35" t="n"/>
      <c r="I63" s="14">
        <f>IF(OR(E63="",AND(F63&lt;&gt;"Hired",F63&lt;&gt;"Bought")),"",E63-N(G63))</f>
        <v/>
      </c>
      <c r="J63" s="16">
        <f>IF(C63&amp;E63="","",IF(F63="","Choose a stage",IF(F63="Quote","",IF(E63="","Add the amount",IF(I63&lt;=0,"Paid",IF(H63="","Balance due, no date set",IF(H63&lt;TODAY(),"Overdue by "&amp;(TODAY()-H63)&amp;IF((TODAY()-H63)=1," day"," days"),IF(H63=TODAY(),"Due today",IF((H63-TODAY())&lt;=14,"Due in "&amp;(H63-TODAY())&amp;IF((H63-TODAY())=1," day"," days"),"Next payment in "&amp;(H63-TODAY())&amp;" days")))))))))</f>
        <v/>
      </c>
      <c r="K63" s="16">
        <f>IF(OR(C63="",E63=""),"",IF(COUNTIFS(Costs!$C$6:$C$305,C63,Costs!$E$6:$E$305,"&lt;&gt;")&lt;2,"",IF(M63=1,"Cheapest of "&amp;COUNTIFS(Costs!$C$6:$C$305,C63,Costs!$E$6:$E$305,"&lt;&gt;"),FIXED(E63-SUMIFS(Costs!$E$6:$E$305,Costs!$C$6:$C$305,C63,Costs!$M$6:$M$305,1)/COUNTIFS(Costs!$C$6:$C$305,C63,Costs!$M$6:$M$305,1),0)&amp;" more than the cheapest")))</f>
        <v/>
      </c>
      <c r="L63" s="33" t="n"/>
      <c r="M63" s="1">
        <f>IF(OR(C63="",E63=""),"",IF(COUNTIFS(Costs!$C$6:$C$305,C63,Costs!$E$6:$E$305,"&lt;"&amp;E63)=0,1,0))</f>
        <v/>
      </c>
      <c r="N63">
        <f>IF(AND(C63&lt;&gt;"",F63="Quote",COUNTIFS(Costs!$C$6:$C$305,C63,Costs!$F$6:$F$305,"Hired")+COUNTIFS(Costs!$C$6:$C$305,C63,Costs!$F$6:$F$305,"Bought")=0),1/COUNTIFS(Costs!$C$6:$C$305,C63,Costs!$F$6:$F$305,"Quote"),"")</f>
        <v/>
      </c>
      <c r="O63">
        <f>IF(AND(OR(F63="Hired",F63="Bought"),N(I63)&gt;0,H63&lt;&gt;""),H63+ROW()/100000,"")</f>
        <v/>
      </c>
    </row>
    <row r="64">
      <c r="A64" s="1" t="n"/>
      <c r="B64" s="33" t="n"/>
      <c r="C64" s="33" t="n"/>
      <c r="D64" s="33" t="n"/>
      <c r="E64" s="27" t="n"/>
      <c r="F64" s="34" t="n"/>
      <c r="G64" s="27" t="n"/>
      <c r="H64" s="35" t="n"/>
      <c r="I64" s="14">
        <f>IF(OR(E64="",AND(F64&lt;&gt;"Hired",F64&lt;&gt;"Bought")),"",E64-N(G64))</f>
        <v/>
      </c>
      <c r="J64" s="16">
        <f>IF(C64&amp;E64="","",IF(F64="","Choose a stage",IF(F64="Quote","",IF(E64="","Add the amount",IF(I64&lt;=0,"Paid",IF(H64="","Balance due, no date set",IF(H64&lt;TODAY(),"Overdue by "&amp;(TODAY()-H64)&amp;IF((TODAY()-H64)=1," day"," days"),IF(H64=TODAY(),"Due today",IF((H64-TODAY())&lt;=14,"Due in "&amp;(H64-TODAY())&amp;IF((H64-TODAY())=1," day"," days"),"Next payment in "&amp;(H64-TODAY())&amp;" days")))))))))</f>
        <v/>
      </c>
      <c r="K64" s="16">
        <f>IF(OR(C64="",E64=""),"",IF(COUNTIFS(Costs!$C$6:$C$305,C64,Costs!$E$6:$E$305,"&lt;&gt;")&lt;2,"",IF(M64=1,"Cheapest of "&amp;COUNTIFS(Costs!$C$6:$C$305,C64,Costs!$E$6:$E$305,"&lt;&gt;"),FIXED(E64-SUMIFS(Costs!$E$6:$E$305,Costs!$C$6:$C$305,C64,Costs!$M$6:$M$305,1)/COUNTIFS(Costs!$C$6:$C$305,C64,Costs!$M$6:$M$305,1),0)&amp;" more than the cheapest")))</f>
        <v/>
      </c>
      <c r="L64" s="33" t="n"/>
      <c r="M64" s="1">
        <f>IF(OR(C64="",E64=""),"",IF(COUNTIFS(Costs!$C$6:$C$305,C64,Costs!$E$6:$E$305,"&lt;"&amp;E64)=0,1,0))</f>
        <v/>
      </c>
      <c r="N64">
        <f>IF(AND(C64&lt;&gt;"",F64="Quote",COUNTIFS(Costs!$C$6:$C$305,C64,Costs!$F$6:$F$305,"Hired")+COUNTIFS(Costs!$C$6:$C$305,C64,Costs!$F$6:$F$305,"Bought")=0),1/COUNTIFS(Costs!$C$6:$C$305,C64,Costs!$F$6:$F$305,"Quote"),"")</f>
        <v/>
      </c>
      <c r="O64">
        <f>IF(AND(OR(F64="Hired",F64="Bought"),N(I64)&gt;0,H64&lt;&gt;""),H64+ROW()/100000,"")</f>
        <v/>
      </c>
    </row>
    <row r="65">
      <c r="A65" s="1" t="n"/>
      <c r="B65" s="33" t="n"/>
      <c r="C65" s="33" t="n"/>
      <c r="D65" s="33" t="n"/>
      <c r="E65" s="27" t="n"/>
      <c r="F65" s="34" t="n"/>
      <c r="G65" s="27" t="n"/>
      <c r="H65" s="35" t="n"/>
      <c r="I65" s="14">
        <f>IF(OR(E65="",AND(F65&lt;&gt;"Hired",F65&lt;&gt;"Bought")),"",E65-N(G65))</f>
        <v/>
      </c>
      <c r="J65" s="16">
        <f>IF(C65&amp;E65="","",IF(F65="","Choose a stage",IF(F65="Quote","",IF(E65="","Add the amount",IF(I65&lt;=0,"Paid",IF(H65="","Balance due, no date set",IF(H65&lt;TODAY(),"Overdue by "&amp;(TODAY()-H65)&amp;IF((TODAY()-H65)=1," day"," days"),IF(H65=TODAY(),"Due today",IF((H65-TODAY())&lt;=14,"Due in "&amp;(H65-TODAY())&amp;IF((H65-TODAY())=1," day"," days"),"Next payment in "&amp;(H65-TODAY())&amp;" days")))))))))</f>
        <v/>
      </c>
      <c r="K65" s="16">
        <f>IF(OR(C65="",E65=""),"",IF(COUNTIFS(Costs!$C$6:$C$305,C65,Costs!$E$6:$E$305,"&lt;&gt;")&lt;2,"",IF(M65=1,"Cheapest of "&amp;COUNTIFS(Costs!$C$6:$C$305,C65,Costs!$E$6:$E$305,"&lt;&gt;"),FIXED(E65-SUMIFS(Costs!$E$6:$E$305,Costs!$C$6:$C$305,C65,Costs!$M$6:$M$305,1)/COUNTIFS(Costs!$C$6:$C$305,C65,Costs!$M$6:$M$305,1),0)&amp;" more than the cheapest")))</f>
        <v/>
      </c>
      <c r="L65" s="33" t="n"/>
      <c r="M65" s="1">
        <f>IF(OR(C65="",E65=""),"",IF(COUNTIFS(Costs!$C$6:$C$305,C65,Costs!$E$6:$E$305,"&lt;"&amp;E65)=0,1,0))</f>
        <v/>
      </c>
      <c r="N65">
        <f>IF(AND(C65&lt;&gt;"",F65="Quote",COUNTIFS(Costs!$C$6:$C$305,C65,Costs!$F$6:$F$305,"Hired")+COUNTIFS(Costs!$C$6:$C$305,C65,Costs!$F$6:$F$305,"Bought")=0),1/COUNTIFS(Costs!$C$6:$C$305,C65,Costs!$F$6:$F$305,"Quote"),"")</f>
        <v/>
      </c>
      <c r="O65">
        <f>IF(AND(OR(F65="Hired",F65="Bought"),N(I65)&gt;0,H65&lt;&gt;""),H65+ROW()/100000,"")</f>
        <v/>
      </c>
    </row>
    <row r="66">
      <c r="A66" s="1" t="n"/>
      <c r="B66" s="33" t="n"/>
      <c r="C66" s="33" t="n"/>
      <c r="D66" s="33" t="n"/>
      <c r="E66" s="27" t="n"/>
      <c r="F66" s="34" t="n"/>
      <c r="G66" s="27" t="n"/>
      <c r="H66" s="35" t="n"/>
      <c r="I66" s="14">
        <f>IF(OR(E66="",AND(F66&lt;&gt;"Hired",F66&lt;&gt;"Bought")),"",E66-N(G66))</f>
        <v/>
      </c>
      <c r="J66" s="16">
        <f>IF(C66&amp;E66="","",IF(F66="","Choose a stage",IF(F66="Quote","",IF(E66="","Add the amount",IF(I66&lt;=0,"Paid",IF(H66="","Balance due, no date set",IF(H66&lt;TODAY(),"Overdue by "&amp;(TODAY()-H66)&amp;IF((TODAY()-H66)=1," day"," days"),IF(H66=TODAY(),"Due today",IF((H66-TODAY())&lt;=14,"Due in "&amp;(H66-TODAY())&amp;IF((H66-TODAY())=1," day"," days"),"Next payment in "&amp;(H66-TODAY())&amp;" days")))))))))</f>
        <v/>
      </c>
      <c r="K66" s="16">
        <f>IF(OR(C66="",E66=""),"",IF(COUNTIFS(Costs!$C$6:$C$305,C66,Costs!$E$6:$E$305,"&lt;&gt;")&lt;2,"",IF(M66=1,"Cheapest of "&amp;COUNTIFS(Costs!$C$6:$C$305,C66,Costs!$E$6:$E$305,"&lt;&gt;"),FIXED(E66-SUMIFS(Costs!$E$6:$E$305,Costs!$C$6:$C$305,C66,Costs!$M$6:$M$305,1)/COUNTIFS(Costs!$C$6:$C$305,C66,Costs!$M$6:$M$305,1),0)&amp;" more than the cheapest")))</f>
        <v/>
      </c>
      <c r="L66" s="33" t="n"/>
      <c r="M66" s="1">
        <f>IF(OR(C66="",E66=""),"",IF(COUNTIFS(Costs!$C$6:$C$305,C66,Costs!$E$6:$E$305,"&lt;"&amp;E66)=0,1,0))</f>
        <v/>
      </c>
      <c r="N66">
        <f>IF(AND(C66&lt;&gt;"",F66="Quote",COUNTIFS(Costs!$C$6:$C$305,C66,Costs!$F$6:$F$305,"Hired")+COUNTIFS(Costs!$C$6:$C$305,C66,Costs!$F$6:$F$305,"Bought")=0),1/COUNTIFS(Costs!$C$6:$C$305,C66,Costs!$F$6:$F$305,"Quote"),"")</f>
        <v/>
      </c>
      <c r="O66">
        <f>IF(AND(OR(F66="Hired",F66="Bought"),N(I66)&gt;0,H66&lt;&gt;""),H66+ROW()/100000,"")</f>
        <v/>
      </c>
    </row>
    <row r="67">
      <c r="A67" s="1" t="n"/>
      <c r="B67" s="33" t="n"/>
      <c r="C67" s="33" t="n"/>
      <c r="D67" s="33" t="n"/>
      <c r="E67" s="27" t="n"/>
      <c r="F67" s="34" t="n"/>
      <c r="G67" s="27" t="n"/>
      <c r="H67" s="35" t="n"/>
      <c r="I67" s="14">
        <f>IF(OR(E67="",AND(F67&lt;&gt;"Hired",F67&lt;&gt;"Bought")),"",E67-N(G67))</f>
        <v/>
      </c>
      <c r="J67" s="16">
        <f>IF(C67&amp;E67="","",IF(F67="","Choose a stage",IF(F67="Quote","",IF(E67="","Add the amount",IF(I67&lt;=0,"Paid",IF(H67="","Balance due, no date set",IF(H67&lt;TODAY(),"Overdue by "&amp;(TODAY()-H67)&amp;IF((TODAY()-H67)=1," day"," days"),IF(H67=TODAY(),"Due today",IF((H67-TODAY())&lt;=14,"Due in "&amp;(H67-TODAY())&amp;IF((H67-TODAY())=1," day"," days"),"Next payment in "&amp;(H67-TODAY())&amp;" days")))))))))</f>
        <v/>
      </c>
      <c r="K67" s="16">
        <f>IF(OR(C67="",E67=""),"",IF(COUNTIFS(Costs!$C$6:$C$305,C67,Costs!$E$6:$E$305,"&lt;&gt;")&lt;2,"",IF(M67=1,"Cheapest of "&amp;COUNTIFS(Costs!$C$6:$C$305,C67,Costs!$E$6:$E$305,"&lt;&gt;"),FIXED(E67-SUMIFS(Costs!$E$6:$E$305,Costs!$C$6:$C$305,C67,Costs!$M$6:$M$305,1)/COUNTIFS(Costs!$C$6:$C$305,C67,Costs!$M$6:$M$305,1),0)&amp;" more than the cheapest")))</f>
        <v/>
      </c>
      <c r="L67" s="33" t="n"/>
      <c r="M67" s="1">
        <f>IF(OR(C67="",E67=""),"",IF(COUNTIFS(Costs!$C$6:$C$305,C67,Costs!$E$6:$E$305,"&lt;"&amp;E67)=0,1,0))</f>
        <v/>
      </c>
      <c r="N67">
        <f>IF(AND(C67&lt;&gt;"",F67="Quote",COUNTIFS(Costs!$C$6:$C$305,C67,Costs!$F$6:$F$305,"Hired")+COUNTIFS(Costs!$C$6:$C$305,C67,Costs!$F$6:$F$305,"Bought")=0),1/COUNTIFS(Costs!$C$6:$C$305,C67,Costs!$F$6:$F$305,"Quote"),"")</f>
        <v/>
      </c>
      <c r="O67">
        <f>IF(AND(OR(F67="Hired",F67="Bought"),N(I67)&gt;0,H67&lt;&gt;""),H67+ROW()/100000,"")</f>
        <v/>
      </c>
    </row>
    <row r="68">
      <c r="A68" s="1" t="n"/>
      <c r="B68" s="33" t="n"/>
      <c r="C68" s="33" t="n"/>
      <c r="D68" s="33" t="n"/>
      <c r="E68" s="27" t="n"/>
      <c r="F68" s="34" t="n"/>
      <c r="G68" s="27" t="n"/>
      <c r="H68" s="35" t="n"/>
      <c r="I68" s="14">
        <f>IF(OR(E68="",AND(F68&lt;&gt;"Hired",F68&lt;&gt;"Bought")),"",E68-N(G68))</f>
        <v/>
      </c>
      <c r="J68" s="16">
        <f>IF(C68&amp;E68="","",IF(F68="","Choose a stage",IF(F68="Quote","",IF(E68="","Add the amount",IF(I68&lt;=0,"Paid",IF(H68="","Balance due, no date set",IF(H68&lt;TODAY(),"Overdue by "&amp;(TODAY()-H68)&amp;IF((TODAY()-H68)=1," day"," days"),IF(H68=TODAY(),"Due today",IF((H68-TODAY())&lt;=14,"Due in "&amp;(H68-TODAY())&amp;IF((H68-TODAY())=1," day"," days"),"Next payment in "&amp;(H68-TODAY())&amp;" days")))))))))</f>
        <v/>
      </c>
      <c r="K68" s="16">
        <f>IF(OR(C68="",E68=""),"",IF(COUNTIFS(Costs!$C$6:$C$305,C68,Costs!$E$6:$E$305,"&lt;&gt;")&lt;2,"",IF(M68=1,"Cheapest of "&amp;COUNTIFS(Costs!$C$6:$C$305,C68,Costs!$E$6:$E$305,"&lt;&gt;"),FIXED(E68-SUMIFS(Costs!$E$6:$E$305,Costs!$C$6:$C$305,C68,Costs!$M$6:$M$305,1)/COUNTIFS(Costs!$C$6:$C$305,C68,Costs!$M$6:$M$305,1),0)&amp;" more than the cheapest")))</f>
        <v/>
      </c>
      <c r="L68" s="33" t="n"/>
      <c r="M68" s="1">
        <f>IF(OR(C68="",E68=""),"",IF(COUNTIFS(Costs!$C$6:$C$305,C68,Costs!$E$6:$E$305,"&lt;"&amp;E68)=0,1,0))</f>
        <v/>
      </c>
      <c r="N68">
        <f>IF(AND(C68&lt;&gt;"",F68="Quote",COUNTIFS(Costs!$C$6:$C$305,C68,Costs!$F$6:$F$305,"Hired")+COUNTIFS(Costs!$C$6:$C$305,C68,Costs!$F$6:$F$305,"Bought")=0),1/COUNTIFS(Costs!$C$6:$C$305,C68,Costs!$F$6:$F$305,"Quote"),"")</f>
        <v/>
      </c>
      <c r="O68">
        <f>IF(AND(OR(F68="Hired",F68="Bought"),N(I68)&gt;0,H68&lt;&gt;""),H68+ROW()/100000,"")</f>
        <v/>
      </c>
    </row>
    <row r="69">
      <c r="A69" s="1" t="n"/>
      <c r="B69" s="33" t="n"/>
      <c r="C69" s="33" t="n"/>
      <c r="D69" s="33" t="n"/>
      <c r="E69" s="27" t="n"/>
      <c r="F69" s="34" t="n"/>
      <c r="G69" s="27" t="n"/>
      <c r="H69" s="35" t="n"/>
      <c r="I69" s="14">
        <f>IF(OR(E69="",AND(F69&lt;&gt;"Hired",F69&lt;&gt;"Bought")),"",E69-N(G69))</f>
        <v/>
      </c>
      <c r="J69" s="16">
        <f>IF(C69&amp;E69="","",IF(F69="","Choose a stage",IF(F69="Quote","",IF(E69="","Add the amount",IF(I69&lt;=0,"Paid",IF(H69="","Balance due, no date set",IF(H69&lt;TODAY(),"Overdue by "&amp;(TODAY()-H69)&amp;IF((TODAY()-H69)=1," day"," days"),IF(H69=TODAY(),"Due today",IF((H69-TODAY())&lt;=14,"Due in "&amp;(H69-TODAY())&amp;IF((H69-TODAY())=1," day"," days"),"Next payment in "&amp;(H69-TODAY())&amp;" days")))))))))</f>
        <v/>
      </c>
      <c r="K69" s="16">
        <f>IF(OR(C69="",E69=""),"",IF(COUNTIFS(Costs!$C$6:$C$305,C69,Costs!$E$6:$E$305,"&lt;&gt;")&lt;2,"",IF(M69=1,"Cheapest of "&amp;COUNTIFS(Costs!$C$6:$C$305,C69,Costs!$E$6:$E$305,"&lt;&gt;"),FIXED(E69-SUMIFS(Costs!$E$6:$E$305,Costs!$C$6:$C$305,C69,Costs!$M$6:$M$305,1)/COUNTIFS(Costs!$C$6:$C$305,C69,Costs!$M$6:$M$305,1),0)&amp;" more than the cheapest")))</f>
        <v/>
      </c>
      <c r="L69" s="33" t="n"/>
      <c r="M69" s="1">
        <f>IF(OR(C69="",E69=""),"",IF(COUNTIFS(Costs!$C$6:$C$305,C69,Costs!$E$6:$E$305,"&lt;"&amp;E69)=0,1,0))</f>
        <v/>
      </c>
      <c r="N69">
        <f>IF(AND(C69&lt;&gt;"",F69="Quote",COUNTIFS(Costs!$C$6:$C$305,C69,Costs!$F$6:$F$305,"Hired")+COUNTIFS(Costs!$C$6:$C$305,C69,Costs!$F$6:$F$305,"Bought")=0),1/COUNTIFS(Costs!$C$6:$C$305,C69,Costs!$F$6:$F$305,"Quote"),"")</f>
        <v/>
      </c>
      <c r="O69">
        <f>IF(AND(OR(F69="Hired",F69="Bought"),N(I69)&gt;0,H69&lt;&gt;""),H69+ROW()/100000,"")</f>
        <v/>
      </c>
    </row>
    <row r="70">
      <c r="A70" s="1" t="n"/>
      <c r="B70" s="33" t="n"/>
      <c r="C70" s="33" t="n"/>
      <c r="D70" s="33" t="n"/>
      <c r="E70" s="27" t="n"/>
      <c r="F70" s="34" t="n"/>
      <c r="G70" s="27" t="n"/>
      <c r="H70" s="35" t="n"/>
      <c r="I70" s="14">
        <f>IF(OR(E70="",AND(F70&lt;&gt;"Hired",F70&lt;&gt;"Bought")),"",E70-N(G70))</f>
        <v/>
      </c>
      <c r="J70" s="16">
        <f>IF(C70&amp;E70="","",IF(F70="","Choose a stage",IF(F70="Quote","",IF(E70="","Add the amount",IF(I70&lt;=0,"Paid",IF(H70="","Balance due, no date set",IF(H70&lt;TODAY(),"Overdue by "&amp;(TODAY()-H70)&amp;IF((TODAY()-H70)=1," day"," days"),IF(H70=TODAY(),"Due today",IF((H70-TODAY())&lt;=14,"Due in "&amp;(H70-TODAY())&amp;IF((H70-TODAY())=1," day"," days"),"Next payment in "&amp;(H70-TODAY())&amp;" days")))))))))</f>
        <v/>
      </c>
      <c r="K70" s="16">
        <f>IF(OR(C70="",E70=""),"",IF(COUNTIFS(Costs!$C$6:$C$305,C70,Costs!$E$6:$E$305,"&lt;&gt;")&lt;2,"",IF(M70=1,"Cheapest of "&amp;COUNTIFS(Costs!$C$6:$C$305,C70,Costs!$E$6:$E$305,"&lt;&gt;"),FIXED(E70-SUMIFS(Costs!$E$6:$E$305,Costs!$C$6:$C$305,C70,Costs!$M$6:$M$305,1)/COUNTIFS(Costs!$C$6:$C$305,C70,Costs!$M$6:$M$305,1),0)&amp;" more than the cheapest")))</f>
        <v/>
      </c>
      <c r="L70" s="33" t="n"/>
      <c r="M70" s="1">
        <f>IF(OR(C70="",E70=""),"",IF(COUNTIFS(Costs!$C$6:$C$305,C70,Costs!$E$6:$E$305,"&lt;"&amp;E70)=0,1,0))</f>
        <v/>
      </c>
      <c r="N70">
        <f>IF(AND(C70&lt;&gt;"",F70="Quote",COUNTIFS(Costs!$C$6:$C$305,C70,Costs!$F$6:$F$305,"Hired")+COUNTIFS(Costs!$C$6:$C$305,C70,Costs!$F$6:$F$305,"Bought")=0),1/COUNTIFS(Costs!$C$6:$C$305,C70,Costs!$F$6:$F$305,"Quote"),"")</f>
        <v/>
      </c>
      <c r="O70">
        <f>IF(AND(OR(F70="Hired",F70="Bought"),N(I70)&gt;0,H70&lt;&gt;""),H70+ROW()/100000,"")</f>
        <v/>
      </c>
    </row>
    <row r="71">
      <c r="A71" s="1" t="n"/>
      <c r="B71" s="33" t="n"/>
      <c r="C71" s="33" t="n"/>
      <c r="D71" s="33" t="n"/>
      <c r="E71" s="27" t="n"/>
      <c r="F71" s="34" t="n"/>
      <c r="G71" s="27" t="n"/>
      <c r="H71" s="35" t="n"/>
      <c r="I71" s="14">
        <f>IF(OR(E71="",AND(F71&lt;&gt;"Hired",F71&lt;&gt;"Bought")),"",E71-N(G71))</f>
        <v/>
      </c>
      <c r="J71" s="16">
        <f>IF(C71&amp;E71="","",IF(F71="","Choose a stage",IF(F71="Quote","",IF(E71="","Add the amount",IF(I71&lt;=0,"Paid",IF(H71="","Balance due, no date set",IF(H71&lt;TODAY(),"Overdue by "&amp;(TODAY()-H71)&amp;IF((TODAY()-H71)=1," day"," days"),IF(H71=TODAY(),"Due today",IF((H71-TODAY())&lt;=14,"Due in "&amp;(H71-TODAY())&amp;IF((H71-TODAY())=1," day"," days"),"Next payment in "&amp;(H71-TODAY())&amp;" days")))))))))</f>
        <v/>
      </c>
      <c r="K71" s="16">
        <f>IF(OR(C71="",E71=""),"",IF(COUNTIFS(Costs!$C$6:$C$305,C71,Costs!$E$6:$E$305,"&lt;&gt;")&lt;2,"",IF(M71=1,"Cheapest of "&amp;COUNTIFS(Costs!$C$6:$C$305,C71,Costs!$E$6:$E$305,"&lt;&gt;"),FIXED(E71-SUMIFS(Costs!$E$6:$E$305,Costs!$C$6:$C$305,C71,Costs!$M$6:$M$305,1)/COUNTIFS(Costs!$C$6:$C$305,C71,Costs!$M$6:$M$305,1),0)&amp;" more than the cheapest")))</f>
        <v/>
      </c>
      <c r="L71" s="33" t="n"/>
      <c r="M71" s="1">
        <f>IF(OR(C71="",E71=""),"",IF(COUNTIFS(Costs!$C$6:$C$305,C71,Costs!$E$6:$E$305,"&lt;"&amp;E71)=0,1,0))</f>
        <v/>
      </c>
      <c r="N71">
        <f>IF(AND(C71&lt;&gt;"",F71="Quote",COUNTIFS(Costs!$C$6:$C$305,C71,Costs!$F$6:$F$305,"Hired")+COUNTIFS(Costs!$C$6:$C$305,C71,Costs!$F$6:$F$305,"Bought")=0),1/COUNTIFS(Costs!$C$6:$C$305,C71,Costs!$F$6:$F$305,"Quote"),"")</f>
        <v/>
      </c>
      <c r="O71">
        <f>IF(AND(OR(F71="Hired",F71="Bought"),N(I71)&gt;0,H71&lt;&gt;""),H71+ROW()/100000,"")</f>
        <v/>
      </c>
    </row>
    <row r="72">
      <c r="A72" s="1" t="n"/>
      <c r="B72" s="33" t="n"/>
      <c r="C72" s="33" t="n"/>
      <c r="D72" s="33" t="n"/>
      <c r="E72" s="27" t="n"/>
      <c r="F72" s="34" t="n"/>
      <c r="G72" s="27" t="n"/>
      <c r="H72" s="35" t="n"/>
      <c r="I72" s="14">
        <f>IF(OR(E72="",AND(F72&lt;&gt;"Hired",F72&lt;&gt;"Bought")),"",E72-N(G72))</f>
        <v/>
      </c>
      <c r="J72" s="16">
        <f>IF(C72&amp;E72="","",IF(F72="","Choose a stage",IF(F72="Quote","",IF(E72="","Add the amount",IF(I72&lt;=0,"Paid",IF(H72="","Balance due, no date set",IF(H72&lt;TODAY(),"Overdue by "&amp;(TODAY()-H72)&amp;IF((TODAY()-H72)=1," day"," days"),IF(H72=TODAY(),"Due today",IF((H72-TODAY())&lt;=14,"Due in "&amp;(H72-TODAY())&amp;IF((H72-TODAY())=1," day"," days"),"Next payment in "&amp;(H72-TODAY())&amp;" days")))))))))</f>
        <v/>
      </c>
      <c r="K72" s="16">
        <f>IF(OR(C72="",E72=""),"",IF(COUNTIFS(Costs!$C$6:$C$305,C72,Costs!$E$6:$E$305,"&lt;&gt;")&lt;2,"",IF(M72=1,"Cheapest of "&amp;COUNTIFS(Costs!$C$6:$C$305,C72,Costs!$E$6:$E$305,"&lt;&gt;"),FIXED(E72-SUMIFS(Costs!$E$6:$E$305,Costs!$C$6:$C$305,C72,Costs!$M$6:$M$305,1)/COUNTIFS(Costs!$C$6:$C$305,C72,Costs!$M$6:$M$305,1),0)&amp;" more than the cheapest")))</f>
        <v/>
      </c>
      <c r="L72" s="33" t="n"/>
      <c r="M72" s="1">
        <f>IF(OR(C72="",E72=""),"",IF(COUNTIFS(Costs!$C$6:$C$305,C72,Costs!$E$6:$E$305,"&lt;"&amp;E72)=0,1,0))</f>
        <v/>
      </c>
      <c r="N72">
        <f>IF(AND(C72&lt;&gt;"",F72="Quote",COUNTIFS(Costs!$C$6:$C$305,C72,Costs!$F$6:$F$305,"Hired")+COUNTIFS(Costs!$C$6:$C$305,C72,Costs!$F$6:$F$305,"Bought")=0),1/COUNTIFS(Costs!$C$6:$C$305,C72,Costs!$F$6:$F$305,"Quote"),"")</f>
        <v/>
      </c>
      <c r="O72">
        <f>IF(AND(OR(F72="Hired",F72="Bought"),N(I72)&gt;0,H72&lt;&gt;""),H72+ROW()/100000,"")</f>
        <v/>
      </c>
    </row>
    <row r="73">
      <c r="A73" s="1" t="n"/>
      <c r="B73" s="33" t="n"/>
      <c r="C73" s="33" t="n"/>
      <c r="D73" s="33" t="n"/>
      <c r="E73" s="27" t="n"/>
      <c r="F73" s="34" t="n"/>
      <c r="G73" s="27" t="n"/>
      <c r="H73" s="35" t="n"/>
      <c r="I73" s="14">
        <f>IF(OR(E73="",AND(F73&lt;&gt;"Hired",F73&lt;&gt;"Bought")),"",E73-N(G73))</f>
        <v/>
      </c>
      <c r="J73" s="16">
        <f>IF(C73&amp;E73="","",IF(F73="","Choose a stage",IF(F73="Quote","",IF(E73="","Add the amount",IF(I73&lt;=0,"Paid",IF(H73="","Balance due, no date set",IF(H73&lt;TODAY(),"Overdue by "&amp;(TODAY()-H73)&amp;IF((TODAY()-H73)=1," day"," days"),IF(H73=TODAY(),"Due today",IF((H73-TODAY())&lt;=14,"Due in "&amp;(H73-TODAY())&amp;IF((H73-TODAY())=1," day"," days"),"Next payment in "&amp;(H73-TODAY())&amp;" days")))))))))</f>
        <v/>
      </c>
      <c r="K73" s="16">
        <f>IF(OR(C73="",E73=""),"",IF(COUNTIFS(Costs!$C$6:$C$305,C73,Costs!$E$6:$E$305,"&lt;&gt;")&lt;2,"",IF(M73=1,"Cheapest of "&amp;COUNTIFS(Costs!$C$6:$C$305,C73,Costs!$E$6:$E$305,"&lt;&gt;"),FIXED(E73-SUMIFS(Costs!$E$6:$E$305,Costs!$C$6:$C$305,C73,Costs!$M$6:$M$305,1)/COUNTIFS(Costs!$C$6:$C$305,C73,Costs!$M$6:$M$305,1),0)&amp;" more than the cheapest")))</f>
        <v/>
      </c>
      <c r="L73" s="33" t="n"/>
      <c r="M73" s="1">
        <f>IF(OR(C73="",E73=""),"",IF(COUNTIFS(Costs!$C$6:$C$305,C73,Costs!$E$6:$E$305,"&lt;"&amp;E73)=0,1,0))</f>
        <v/>
      </c>
      <c r="N73">
        <f>IF(AND(C73&lt;&gt;"",F73="Quote",COUNTIFS(Costs!$C$6:$C$305,C73,Costs!$F$6:$F$305,"Hired")+COUNTIFS(Costs!$C$6:$C$305,C73,Costs!$F$6:$F$305,"Bought")=0),1/COUNTIFS(Costs!$C$6:$C$305,C73,Costs!$F$6:$F$305,"Quote"),"")</f>
        <v/>
      </c>
      <c r="O73">
        <f>IF(AND(OR(F73="Hired",F73="Bought"),N(I73)&gt;0,H73&lt;&gt;""),H73+ROW()/100000,"")</f>
        <v/>
      </c>
    </row>
    <row r="74">
      <c r="A74" s="1" t="n"/>
      <c r="B74" s="33" t="n"/>
      <c r="C74" s="33" t="n"/>
      <c r="D74" s="33" t="n"/>
      <c r="E74" s="27" t="n"/>
      <c r="F74" s="34" t="n"/>
      <c r="G74" s="27" t="n"/>
      <c r="H74" s="35" t="n"/>
      <c r="I74" s="14">
        <f>IF(OR(E74="",AND(F74&lt;&gt;"Hired",F74&lt;&gt;"Bought")),"",E74-N(G74))</f>
        <v/>
      </c>
      <c r="J74" s="16">
        <f>IF(C74&amp;E74="","",IF(F74="","Choose a stage",IF(F74="Quote","",IF(E74="","Add the amount",IF(I74&lt;=0,"Paid",IF(H74="","Balance due, no date set",IF(H74&lt;TODAY(),"Overdue by "&amp;(TODAY()-H74)&amp;IF((TODAY()-H74)=1," day"," days"),IF(H74=TODAY(),"Due today",IF((H74-TODAY())&lt;=14,"Due in "&amp;(H74-TODAY())&amp;IF((H74-TODAY())=1," day"," days"),"Next payment in "&amp;(H74-TODAY())&amp;" days")))))))))</f>
        <v/>
      </c>
      <c r="K74" s="16">
        <f>IF(OR(C74="",E74=""),"",IF(COUNTIFS(Costs!$C$6:$C$305,C74,Costs!$E$6:$E$305,"&lt;&gt;")&lt;2,"",IF(M74=1,"Cheapest of "&amp;COUNTIFS(Costs!$C$6:$C$305,C74,Costs!$E$6:$E$305,"&lt;&gt;"),FIXED(E74-SUMIFS(Costs!$E$6:$E$305,Costs!$C$6:$C$305,C74,Costs!$M$6:$M$305,1)/COUNTIFS(Costs!$C$6:$C$305,C74,Costs!$M$6:$M$305,1),0)&amp;" more than the cheapest")))</f>
        <v/>
      </c>
      <c r="L74" s="33" t="n"/>
      <c r="M74" s="1">
        <f>IF(OR(C74="",E74=""),"",IF(COUNTIFS(Costs!$C$6:$C$305,C74,Costs!$E$6:$E$305,"&lt;"&amp;E74)=0,1,0))</f>
        <v/>
      </c>
      <c r="N74">
        <f>IF(AND(C74&lt;&gt;"",F74="Quote",COUNTIFS(Costs!$C$6:$C$305,C74,Costs!$F$6:$F$305,"Hired")+COUNTIFS(Costs!$C$6:$C$305,C74,Costs!$F$6:$F$305,"Bought")=0),1/COUNTIFS(Costs!$C$6:$C$305,C74,Costs!$F$6:$F$305,"Quote"),"")</f>
        <v/>
      </c>
      <c r="O74">
        <f>IF(AND(OR(F74="Hired",F74="Bought"),N(I74)&gt;0,H74&lt;&gt;""),H74+ROW()/100000,"")</f>
        <v/>
      </c>
    </row>
    <row r="75">
      <c r="A75" s="1" t="n"/>
      <c r="B75" s="33" t="n"/>
      <c r="C75" s="33" t="n"/>
      <c r="D75" s="33" t="n"/>
      <c r="E75" s="27" t="n"/>
      <c r="F75" s="34" t="n"/>
      <c r="G75" s="27" t="n"/>
      <c r="H75" s="35" t="n"/>
      <c r="I75" s="14">
        <f>IF(OR(E75="",AND(F75&lt;&gt;"Hired",F75&lt;&gt;"Bought")),"",E75-N(G75))</f>
        <v/>
      </c>
      <c r="J75" s="16">
        <f>IF(C75&amp;E75="","",IF(F75="","Choose a stage",IF(F75="Quote","",IF(E75="","Add the amount",IF(I75&lt;=0,"Paid",IF(H75="","Balance due, no date set",IF(H75&lt;TODAY(),"Overdue by "&amp;(TODAY()-H75)&amp;IF((TODAY()-H75)=1," day"," days"),IF(H75=TODAY(),"Due today",IF((H75-TODAY())&lt;=14,"Due in "&amp;(H75-TODAY())&amp;IF((H75-TODAY())=1," day"," days"),"Next payment in "&amp;(H75-TODAY())&amp;" days")))))))))</f>
        <v/>
      </c>
      <c r="K75" s="16">
        <f>IF(OR(C75="",E75=""),"",IF(COUNTIFS(Costs!$C$6:$C$305,C75,Costs!$E$6:$E$305,"&lt;&gt;")&lt;2,"",IF(M75=1,"Cheapest of "&amp;COUNTIFS(Costs!$C$6:$C$305,C75,Costs!$E$6:$E$305,"&lt;&gt;"),FIXED(E75-SUMIFS(Costs!$E$6:$E$305,Costs!$C$6:$C$305,C75,Costs!$M$6:$M$305,1)/COUNTIFS(Costs!$C$6:$C$305,C75,Costs!$M$6:$M$305,1),0)&amp;" more than the cheapest")))</f>
        <v/>
      </c>
      <c r="L75" s="33" t="n"/>
      <c r="M75" s="1">
        <f>IF(OR(C75="",E75=""),"",IF(COUNTIFS(Costs!$C$6:$C$305,C75,Costs!$E$6:$E$305,"&lt;"&amp;E75)=0,1,0))</f>
        <v/>
      </c>
      <c r="N75">
        <f>IF(AND(C75&lt;&gt;"",F75="Quote",COUNTIFS(Costs!$C$6:$C$305,C75,Costs!$F$6:$F$305,"Hired")+COUNTIFS(Costs!$C$6:$C$305,C75,Costs!$F$6:$F$305,"Bought")=0),1/COUNTIFS(Costs!$C$6:$C$305,C75,Costs!$F$6:$F$305,"Quote"),"")</f>
        <v/>
      </c>
      <c r="O75">
        <f>IF(AND(OR(F75="Hired",F75="Bought"),N(I75)&gt;0,H75&lt;&gt;""),H75+ROW()/100000,"")</f>
        <v/>
      </c>
    </row>
    <row r="76">
      <c r="A76" s="1" t="n"/>
      <c r="B76" s="33" t="n"/>
      <c r="C76" s="33" t="n"/>
      <c r="D76" s="33" t="n"/>
      <c r="E76" s="27" t="n"/>
      <c r="F76" s="34" t="n"/>
      <c r="G76" s="27" t="n"/>
      <c r="H76" s="35" t="n"/>
      <c r="I76" s="14">
        <f>IF(OR(E76="",AND(F76&lt;&gt;"Hired",F76&lt;&gt;"Bought")),"",E76-N(G76))</f>
        <v/>
      </c>
      <c r="J76" s="16">
        <f>IF(C76&amp;E76="","",IF(F76="","Choose a stage",IF(F76="Quote","",IF(E76="","Add the amount",IF(I76&lt;=0,"Paid",IF(H76="","Balance due, no date set",IF(H76&lt;TODAY(),"Overdue by "&amp;(TODAY()-H76)&amp;IF((TODAY()-H76)=1," day"," days"),IF(H76=TODAY(),"Due today",IF((H76-TODAY())&lt;=14,"Due in "&amp;(H76-TODAY())&amp;IF((H76-TODAY())=1," day"," days"),"Next payment in "&amp;(H76-TODAY())&amp;" days")))))))))</f>
        <v/>
      </c>
      <c r="K76" s="16">
        <f>IF(OR(C76="",E76=""),"",IF(COUNTIFS(Costs!$C$6:$C$305,C76,Costs!$E$6:$E$305,"&lt;&gt;")&lt;2,"",IF(M76=1,"Cheapest of "&amp;COUNTIFS(Costs!$C$6:$C$305,C76,Costs!$E$6:$E$305,"&lt;&gt;"),FIXED(E76-SUMIFS(Costs!$E$6:$E$305,Costs!$C$6:$C$305,C76,Costs!$M$6:$M$305,1)/COUNTIFS(Costs!$C$6:$C$305,C76,Costs!$M$6:$M$305,1),0)&amp;" more than the cheapest")))</f>
        <v/>
      </c>
      <c r="L76" s="33" t="n"/>
      <c r="M76" s="1">
        <f>IF(OR(C76="",E76=""),"",IF(COUNTIFS(Costs!$C$6:$C$305,C76,Costs!$E$6:$E$305,"&lt;"&amp;E76)=0,1,0))</f>
        <v/>
      </c>
      <c r="N76">
        <f>IF(AND(C76&lt;&gt;"",F76="Quote",COUNTIFS(Costs!$C$6:$C$305,C76,Costs!$F$6:$F$305,"Hired")+COUNTIFS(Costs!$C$6:$C$305,C76,Costs!$F$6:$F$305,"Bought")=0),1/COUNTIFS(Costs!$C$6:$C$305,C76,Costs!$F$6:$F$305,"Quote"),"")</f>
        <v/>
      </c>
      <c r="O76">
        <f>IF(AND(OR(F76="Hired",F76="Bought"),N(I76)&gt;0,H76&lt;&gt;""),H76+ROW()/100000,"")</f>
        <v/>
      </c>
    </row>
    <row r="77">
      <c r="A77" s="1" t="n"/>
      <c r="B77" s="33" t="n"/>
      <c r="C77" s="33" t="n"/>
      <c r="D77" s="33" t="n"/>
      <c r="E77" s="27" t="n"/>
      <c r="F77" s="34" t="n"/>
      <c r="G77" s="27" t="n"/>
      <c r="H77" s="35" t="n"/>
      <c r="I77" s="14">
        <f>IF(OR(E77="",AND(F77&lt;&gt;"Hired",F77&lt;&gt;"Bought")),"",E77-N(G77))</f>
        <v/>
      </c>
      <c r="J77" s="16">
        <f>IF(C77&amp;E77="","",IF(F77="","Choose a stage",IF(F77="Quote","",IF(E77="","Add the amount",IF(I77&lt;=0,"Paid",IF(H77="","Balance due, no date set",IF(H77&lt;TODAY(),"Overdue by "&amp;(TODAY()-H77)&amp;IF((TODAY()-H77)=1," day"," days"),IF(H77=TODAY(),"Due today",IF((H77-TODAY())&lt;=14,"Due in "&amp;(H77-TODAY())&amp;IF((H77-TODAY())=1," day"," days"),"Next payment in "&amp;(H77-TODAY())&amp;" days")))))))))</f>
        <v/>
      </c>
      <c r="K77" s="16">
        <f>IF(OR(C77="",E77=""),"",IF(COUNTIFS(Costs!$C$6:$C$305,C77,Costs!$E$6:$E$305,"&lt;&gt;")&lt;2,"",IF(M77=1,"Cheapest of "&amp;COUNTIFS(Costs!$C$6:$C$305,C77,Costs!$E$6:$E$305,"&lt;&gt;"),FIXED(E77-SUMIFS(Costs!$E$6:$E$305,Costs!$C$6:$C$305,C77,Costs!$M$6:$M$305,1)/COUNTIFS(Costs!$C$6:$C$305,C77,Costs!$M$6:$M$305,1),0)&amp;" more than the cheapest")))</f>
        <v/>
      </c>
      <c r="L77" s="33" t="n"/>
      <c r="M77" s="1">
        <f>IF(OR(C77="",E77=""),"",IF(COUNTIFS(Costs!$C$6:$C$305,C77,Costs!$E$6:$E$305,"&lt;"&amp;E77)=0,1,0))</f>
        <v/>
      </c>
      <c r="N77">
        <f>IF(AND(C77&lt;&gt;"",F77="Quote",COUNTIFS(Costs!$C$6:$C$305,C77,Costs!$F$6:$F$305,"Hired")+COUNTIFS(Costs!$C$6:$C$305,C77,Costs!$F$6:$F$305,"Bought")=0),1/COUNTIFS(Costs!$C$6:$C$305,C77,Costs!$F$6:$F$305,"Quote"),"")</f>
        <v/>
      </c>
      <c r="O77">
        <f>IF(AND(OR(F77="Hired",F77="Bought"),N(I77)&gt;0,H77&lt;&gt;""),H77+ROW()/100000,"")</f>
        <v/>
      </c>
    </row>
    <row r="78">
      <c r="A78" s="1" t="n"/>
      <c r="B78" s="33" t="n"/>
      <c r="C78" s="33" t="n"/>
      <c r="D78" s="33" t="n"/>
      <c r="E78" s="27" t="n"/>
      <c r="F78" s="34" t="n"/>
      <c r="G78" s="27" t="n"/>
      <c r="H78" s="35" t="n"/>
      <c r="I78" s="14">
        <f>IF(OR(E78="",AND(F78&lt;&gt;"Hired",F78&lt;&gt;"Bought")),"",E78-N(G78))</f>
        <v/>
      </c>
      <c r="J78" s="16">
        <f>IF(C78&amp;E78="","",IF(F78="","Choose a stage",IF(F78="Quote","",IF(E78="","Add the amount",IF(I78&lt;=0,"Paid",IF(H78="","Balance due, no date set",IF(H78&lt;TODAY(),"Overdue by "&amp;(TODAY()-H78)&amp;IF((TODAY()-H78)=1," day"," days"),IF(H78=TODAY(),"Due today",IF((H78-TODAY())&lt;=14,"Due in "&amp;(H78-TODAY())&amp;IF((H78-TODAY())=1," day"," days"),"Next payment in "&amp;(H78-TODAY())&amp;" days")))))))))</f>
        <v/>
      </c>
      <c r="K78" s="16">
        <f>IF(OR(C78="",E78=""),"",IF(COUNTIFS(Costs!$C$6:$C$305,C78,Costs!$E$6:$E$305,"&lt;&gt;")&lt;2,"",IF(M78=1,"Cheapest of "&amp;COUNTIFS(Costs!$C$6:$C$305,C78,Costs!$E$6:$E$305,"&lt;&gt;"),FIXED(E78-SUMIFS(Costs!$E$6:$E$305,Costs!$C$6:$C$305,C78,Costs!$M$6:$M$305,1)/COUNTIFS(Costs!$C$6:$C$305,C78,Costs!$M$6:$M$305,1),0)&amp;" more than the cheapest")))</f>
        <v/>
      </c>
      <c r="L78" s="33" t="n"/>
      <c r="M78" s="1">
        <f>IF(OR(C78="",E78=""),"",IF(COUNTIFS(Costs!$C$6:$C$305,C78,Costs!$E$6:$E$305,"&lt;"&amp;E78)=0,1,0))</f>
        <v/>
      </c>
      <c r="N78">
        <f>IF(AND(C78&lt;&gt;"",F78="Quote",COUNTIFS(Costs!$C$6:$C$305,C78,Costs!$F$6:$F$305,"Hired")+COUNTIFS(Costs!$C$6:$C$305,C78,Costs!$F$6:$F$305,"Bought")=0),1/COUNTIFS(Costs!$C$6:$C$305,C78,Costs!$F$6:$F$305,"Quote"),"")</f>
        <v/>
      </c>
      <c r="O78">
        <f>IF(AND(OR(F78="Hired",F78="Bought"),N(I78)&gt;0,H78&lt;&gt;""),H78+ROW()/100000,"")</f>
        <v/>
      </c>
    </row>
    <row r="79">
      <c r="A79" s="1" t="n"/>
      <c r="B79" s="33" t="n"/>
      <c r="C79" s="33" t="n"/>
      <c r="D79" s="33" t="n"/>
      <c r="E79" s="27" t="n"/>
      <c r="F79" s="34" t="n"/>
      <c r="G79" s="27" t="n"/>
      <c r="H79" s="35" t="n"/>
      <c r="I79" s="14">
        <f>IF(OR(E79="",AND(F79&lt;&gt;"Hired",F79&lt;&gt;"Bought")),"",E79-N(G79))</f>
        <v/>
      </c>
      <c r="J79" s="16">
        <f>IF(C79&amp;E79="","",IF(F79="","Choose a stage",IF(F79="Quote","",IF(E79="","Add the amount",IF(I79&lt;=0,"Paid",IF(H79="","Balance due, no date set",IF(H79&lt;TODAY(),"Overdue by "&amp;(TODAY()-H79)&amp;IF((TODAY()-H79)=1," day"," days"),IF(H79=TODAY(),"Due today",IF((H79-TODAY())&lt;=14,"Due in "&amp;(H79-TODAY())&amp;IF((H79-TODAY())=1," day"," days"),"Next payment in "&amp;(H79-TODAY())&amp;" days")))))))))</f>
        <v/>
      </c>
      <c r="K79" s="16">
        <f>IF(OR(C79="",E79=""),"",IF(COUNTIFS(Costs!$C$6:$C$305,C79,Costs!$E$6:$E$305,"&lt;&gt;")&lt;2,"",IF(M79=1,"Cheapest of "&amp;COUNTIFS(Costs!$C$6:$C$305,C79,Costs!$E$6:$E$305,"&lt;&gt;"),FIXED(E79-SUMIFS(Costs!$E$6:$E$305,Costs!$C$6:$C$305,C79,Costs!$M$6:$M$305,1)/COUNTIFS(Costs!$C$6:$C$305,C79,Costs!$M$6:$M$305,1),0)&amp;" more than the cheapest")))</f>
        <v/>
      </c>
      <c r="L79" s="33" t="n"/>
      <c r="M79" s="1">
        <f>IF(OR(C79="",E79=""),"",IF(COUNTIFS(Costs!$C$6:$C$305,C79,Costs!$E$6:$E$305,"&lt;"&amp;E79)=0,1,0))</f>
        <v/>
      </c>
      <c r="N79">
        <f>IF(AND(C79&lt;&gt;"",F79="Quote",COUNTIFS(Costs!$C$6:$C$305,C79,Costs!$F$6:$F$305,"Hired")+COUNTIFS(Costs!$C$6:$C$305,C79,Costs!$F$6:$F$305,"Bought")=0),1/COUNTIFS(Costs!$C$6:$C$305,C79,Costs!$F$6:$F$305,"Quote"),"")</f>
        <v/>
      </c>
      <c r="O79">
        <f>IF(AND(OR(F79="Hired",F79="Bought"),N(I79)&gt;0,H79&lt;&gt;""),H79+ROW()/100000,"")</f>
        <v/>
      </c>
    </row>
    <row r="80">
      <c r="A80" s="1" t="n"/>
      <c r="B80" s="33" t="n"/>
      <c r="C80" s="33" t="n"/>
      <c r="D80" s="33" t="n"/>
      <c r="E80" s="27" t="n"/>
      <c r="F80" s="34" t="n"/>
      <c r="G80" s="27" t="n"/>
      <c r="H80" s="35" t="n"/>
      <c r="I80" s="14">
        <f>IF(OR(E80="",AND(F80&lt;&gt;"Hired",F80&lt;&gt;"Bought")),"",E80-N(G80))</f>
        <v/>
      </c>
      <c r="J80" s="16">
        <f>IF(C80&amp;E80="","",IF(F80="","Choose a stage",IF(F80="Quote","",IF(E80="","Add the amount",IF(I80&lt;=0,"Paid",IF(H80="","Balance due, no date set",IF(H80&lt;TODAY(),"Overdue by "&amp;(TODAY()-H80)&amp;IF((TODAY()-H80)=1," day"," days"),IF(H80=TODAY(),"Due today",IF((H80-TODAY())&lt;=14,"Due in "&amp;(H80-TODAY())&amp;IF((H80-TODAY())=1," day"," days"),"Next payment in "&amp;(H80-TODAY())&amp;" days")))))))))</f>
        <v/>
      </c>
      <c r="K80" s="16">
        <f>IF(OR(C80="",E80=""),"",IF(COUNTIFS(Costs!$C$6:$C$305,C80,Costs!$E$6:$E$305,"&lt;&gt;")&lt;2,"",IF(M80=1,"Cheapest of "&amp;COUNTIFS(Costs!$C$6:$C$305,C80,Costs!$E$6:$E$305,"&lt;&gt;"),FIXED(E80-SUMIFS(Costs!$E$6:$E$305,Costs!$C$6:$C$305,C80,Costs!$M$6:$M$305,1)/COUNTIFS(Costs!$C$6:$C$305,C80,Costs!$M$6:$M$305,1),0)&amp;" more than the cheapest")))</f>
        <v/>
      </c>
      <c r="L80" s="33" t="n"/>
      <c r="M80" s="1">
        <f>IF(OR(C80="",E80=""),"",IF(COUNTIFS(Costs!$C$6:$C$305,C80,Costs!$E$6:$E$305,"&lt;"&amp;E80)=0,1,0))</f>
        <v/>
      </c>
      <c r="N80">
        <f>IF(AND(C80&lt;&gt;"",F80="Quote",COUNTIFS(Costs!$C$6:$C$305,C80,Costs!$F$6:$F$305,"Hired")+COUNTIFS(Costs!$C$6:$C$305,C80,Costs!$F$6:$F$305,"Bought")=0),1/COUNTIFS(Costs!$C$6:$C$305,C80,Costs!$F$6:$F$305,"Quote"),"")</f>
        <v/>
      </c>
      <c r="O80">
        <f>IF(AND(OR(F80="Hired",F80="Bought"),N(I80)&gt;0,H80&lt;&gt;""),H80+ROW()/100000,"")</f>
        <v/>
      </c>
    </row>
    <row r="81">
      <c r="A81" s="1" t="n"/>
      <c r="B81" s="33" t="n"/>
      <c r="C81" s="33" t="n"/>
      <c r="D81" s="33" t="n"/>
      <c r="E81" s="27" t="n"/>
      <c r="F81" s="34" t="n"/>
      <c r="G81" s="27" t="n"/>
      <c r="H81" s="35" t="n"/>
      <c r="I81" s="14">
        <f>IF(OR(E81="",AND(F81&lt;&gt;"Hired",F81&lt;&gt;"Bought")),"",E81-N(G81))</f>
        <v/>
      </c>
      <c r="J81" s="16">
        <f>IF(C81&amp;E81="","",IF(F81="","Choose a stage",IF(F81="Quote","",IF(E81="","Add the amount",IF(I81&lt;=0,"Paid",IF(H81="","Balance due, no date set",IF(H81&lt;TODAY(),"Overdue by "&amp;(TODAY()-H81)&amp;IF((TODAY()-H81)=1," day"," days"),IF(H81=TODAY(),"Due today",IF((H81-TODAY())&lt;=14,"Due in "&amp;(H81-TODAY())&amp;IF((H81-TODAY())=1," day"," days"),"Next payment in "&amp;(H81-TODAY())&amp;" days")))))))))</f>
        <v/>
      </c>
      <c r="K81" s="16">
        <f>IF(OR(C81="",E81=""),"",IF(COUNTIFS(Costs!$C$6:$C$305,C81,Costs!$E$6:$E$305,"&lt;&gt;")&lt;2,"",IF(M81=1,"Cheapest of "&amp;COUNTIFS(Costs!$C$6:$C$305,C81,Costs!$E$6:$E$305,"&lt;&gt;"),FIXED(E81-SUMIFS(Costs!$E$6:$E$305,Costs!$C$6:$C$305,C81,Costs!$M$6:$M$305,1)/COUNTIFS(Costs!$C$6:$C$305,C81,Costs!$M$6:$M$305,1),0)&amp;" more than the cheapest")))</f>
        <v/>
      </c>
      <c r="L81" s="33" t="n"/>
      <c r="M81" s="1">
        <f>IF(OR(C81="",E81=""),"",IF(COUNTIFS(Costs!$C$6:$C$305,C81,Costs!$E$6:$E$305,"&lt;"&amp;E81)=0,1,0))</f>
        <v/>
      </c>
      <c r="N81">
        <f>IF(AND(C81&lt;&gt;"",F81="Quote",COUNTIFS(Costs!$C$6:$C$305,C81,Costs!$F$6:$F$305,"Hired")+COUNTIFS(Costs!$C$6:$C$305,C81,Costs!$F$6:$F$305,"Bought")=0),1/COUNTIFS(Costs!$C$6:$C$305,C81,Costs!$F$6:$F$305,"Quote"),"")</f>
        <v/>
      </c>
      <c r="O81">
        <f>IF(AND(OR(F81="Hired",F81="Bought"),N(I81)&gt;0,H81&lt;&gt;""),H81+ROW()/100000,"")</f>
        <v/>
      </c>
    </row>
    <row r="82">
      <c r="A82" s="1" t="n"/>
      <c r="B82" s="33" t="n"/>
      <c r="C82" s="33" t="n"/>
      <c r="D82" s="33" t="n"/>
      <c r="E82" s="27" t="n"/>
      <c r="F82" s="34" t="n"/>
      <c r="G82" s="27" t="n"/>
      <c r="H82" s="35" t="n"/>
      <c r="I82" s="14">
        <f>IF(OR(E82="",AND(F82&lt;&gt;"Hired",F82&lt;&gt;"Bought")),"",E82-N(G82))</f>
        <v/>
      </c>
      <c r="J82" s="16">
        <f>IF(C82&amp;E82="","",IF(F82="","Choose a stage",IF(F82="Quote","",IF(E82="","Add the amount",IF(I82&lt;=0,"Paid",IF(H82="","Balance due, no date set",IF(H82&lt;TODAY(),"Overdue by "&amp;(TODAY()-H82)&amp;IF((TODAY()-H82)=1," day"," days"),IF(H82=TODAY(),"Due today",IF((H82-TODAY())&lt;=14,"Due in "&amp;(H82-TODAY())&amp;IF((H82-TODAY())=1," day"," days"),"Next payment in "&amp;(H82-TODAY())&amp;" days")))))))))</f>
        <v/>
      </c>
      <c r="K82" s="16">
        <f>IF(OR(C82="",E82=""),"",IF(COUNTIFS(Costs!$C$6:$C$305,C82,Costs!$E$6:$E$305,"&lt;&gt;")&lt;2,"",IF(M82=1,"Cheapest of "&amp;COUNTIFS(Costs!$C$6:$C$305,C82,Costs!$E$6:$E$305,"&lt;&gt;"),FIXED(E82-SUMIFS(Costs!$E$6:$E$305,Costs!$C$6:$C$305,C82,Costs!$M$6:$M$305,1)/COUNTIFS(Costs!$C$6:$C$305,C82,Costs!$M$6:$M$305,1),0)&amp;" more than the cheapest")))</f>
        <v/>
      </c>
      <c r="L82" s="33" t="n"/>
      <c r="M82" s="1">
        <f>IF(OR(C82="",E82=""),"",IF(COUNTIFS(Costs!$C$6:$C$305,C82,Costs!$E$6:$E$305,"&lt;"&amp;E82)=0,1,0))</f>
        <v/>
      </c>
      <c r="N82">
        <f>IF(AND(C82&lt;&gt;"",F82="Quote",COUNTIFS(Costs!$C$6:$C$305,C82,Costs!$F$6:$F$305,"Hired")+COUNTIFS(Costs!$C$6:$C$305,C82,Costs!$F$6:$F$305,"Bought")=0),1/COUNTIFS(Costs!$C$6:$C$305,C82,Costs!$F$6:$F$305,"Quote"),"")</f>
        <v/>
      </c>
      <c r="O82">
        <f>IF(AND(OR(F82="Hired",F82="Bought"),N(I82)&gt;0,H82&lt;&gt;""),H82+ROW()/100000,"")</f>
        <v/>
      </c>
    </row>
    <row r="83">
      <c r="A83" s="1" t="n"/>
      <c r="B83" s="33" t="n"/>
      <c r="C83" s="33" t="n"/>
      <c r="D83" s="33" t="n"/>
      <c r="E83" s="27" t="n"/>
      <c r="F83" s="34" t="n"/>
      <c r="G83" s="27" t="n"/>
      <c r="H83" s="35" t="n"/>
      <c r="I83" s="14">
        <f>IF(OR(E83="",AND(F83&lt;&gt;"Hired",F83&lt;&gt;"Bought")),"",E83-N(G83))</f>
        <v/>
      </c>
      <c r="J83" s="16">
        <f>IF(C83&amp;E83="","",IF(F83="","Choose a stage",IF(F83="Quote","",IF(E83="","Add the amount",IF(I83&lt;=0,"Paid",IF(H83="","Balance due, no date set",IF(H83&lt;TODAY(),"Overdue by "&amp;(TODAY()-H83)&amp;IF((TODAY()-H83)=1," day"," days"),IF(H83=TODAY(),"Due today",IF((H83-TODAY())&lt;=14,"Due in "&amp;(H83-TODAY())&amp;IF((H83-TODAY())=1," day"," days"),"Next payment in "&amp;(H83-TODAY())&amp;" days")))))))))</f>
        <v/>
      </c>
      <c r="K83" s="16">
        <f>IF(OR(C83="",E83=""),"",IF(COUNTIFS(Costs!$C$6:$C$305,C83,Costs!$E$6:$E$305,"&lt;&gt;")&lt;2,"",IF(M83=1,"Cheapest of "&amp;COUNTIFS(Costs!$C$6:$C$305,C83,Costs!$E$6:$E$305,"&lt;&gt;"),FIXED(E83-SUMIFS(Costs!$E$6:$E$305,Costs!$C$6:$C$305,C83,Costs!$M$6:$M$305,1)/COUNTIFS(Costs!$C$6:$C$305,C83,Costs!$M$6:$M$305,1),0)&amp;" more than the cheapest")))</f>
        <v/>
      </c>
      <c r="L83" s="33" t="n"/>
      <c r="M83" s="1">
        <f>IF(OR(C83="",E83=""),"",IF(COUNTIFS(Costs!$C$6:$C$305,C83,Costs!$E$6:$E$305,"&lt;"&amp;E83)=0,1,0))</f>
        <v/>
      </c>
      <c r="N83">
        <f>IF(AND(C83&lt;&gt;"",F83="Quote",COUNTIFS(Costs!$C$6:$C$305,C83,Costs!$F$6:$F$305,"Hired")+COUNTIFS(Costs!$C$6:$C$305,C83,Costs!$F$6:$F$305,"Bought")=0),1/COUNTIFS(Costs!$C$6:$C$305,C83,Costs!$F$6:$F$305,"Quote"),"")</f>
        <v/>
      </c>
      <c r="O83">
        <f>IF(AND(OR(F83="Hired",F83="Bought"),N(I83)&gt;0,H83&lt;&gt;""),H83+ROW()/100000,"")</f>
        <v/>
      </c>
    </row>
    <row r="84">
      <c r="A84" s="1" t="n"/>
      <c r="B84" s="33" t="n"/>
      <c r="C84" s="33" t="n"/>
      <c r="D84" s="33" t="n"/>
      <c r="E84" s="27" t="n"/>
      <c r="F84" s="34" t="n"/>
      <c r="G84" s="27" t="n"/>
      <c r="H84" s="35" t="n"/>
      <c r="I84" s="14">
        <f>IF(OR(E84="",AND(F84&lt;&gt;"Hired",F84&lt;&gt;"Bought")),"",E84-N(G84))</f>
        <v/>
      </c>
      <c r="J84" s="16">
        <f>IF(C84&amp;E84="","",IF(F84="","Choose a stage",IF(F84="Quote","",IF(E84="","Add the amount",IF(I84&lt;=0,"Paid",IF(H84="","Balance due, no date set",IF(H84&lt;TODAY(),"Overdue by "&amp;(TODAY()-H84)&amp;IF((TODAY()-H84)=1," day"," days"),IF(H84=TODAY(),"Due today",IF((H84-TODAY())&lt;=14,"Due in "&amp;(H84-TODAY())&amp;IF((H84-TODAY())=1," day"," days"),"Next payment in "&amp;(H84-TODAY())&amp;" days")))))))))</f>
        <v/>
      </c>
      <c r="K84" s="16">
        <f>IF(OR(C84="",E84=""),"",IF(COUNTIFS(Costs!$C$6:$C$305,C84,Costs!$E$6:$E$305,"&lt;&gt;")&lt;2,"",IF(M84=1,"Cheapest of "&amp;COUNTIFS(Costs!$C$6:$C$305,C84,Costs!$E$6:$E$305,"&lt;&gt;"),FIXED(E84-SUMIFS(Costs!$E$6:$E$305,Costs!$C$6:$C$305,C84,Costs!$M$6:$M$305,1)/COUNTIFS(Costs!$C$6:$C$305,C84,Costs!$M$6:$M$305,1),0)&amp;" more than the cheapest")))</f>
        <v/>
      </c>
      <c r="L84" s="33" t="n"/>
      <c r="M84" s="1">
        <f>IF(OR(C84="",E84=""),"",IF(COUNTIFS(Costs!$C$6:$C$305,C84,Costs!$E$6:$E$305,"&lt;"&amp;E84)=0,1,0))</f>
        <v/>
      </c>
      <c r="N84">
        <f>IF(AND(C84&lt;&gt;"",F84="Quote",COUNTIFS(Costs!$C$6:$C$305,C84,Costs!$F$6:$F$305,"Hired")+COUNTIFS(Costs!$C$6:$C$305,C84,Costs!$F$6:$F$305,"Bought")=0),1/COUNTIFS(Costs!$C$6:$C$305,C84,Costs!$F$6:$F$305,"Quote"),"")</f>
        <v/>
      </c>
      <c r="O84">
        <f>IF(AND(OR(F84="Hired",F84="Bought"),N(I84)&gt;0,H84&lt;&gt;""),H84+ROW()/100000,"")</f>
        <v/>
      </c>
    </row>
    <row r="85">
      <c r="A85" s="1" t="n"/>
      <c r="B85" s="33" t="n"/>
      <c r="C85" s="33" t="n"/>
      <c r="D85" s="33" t="n"/>
      <c r="E85" s="27" t="n"/>
      <c r="F85" s="34" t="n"/>
      <c r="G85" s="27" t="n"/>
      <c r="H85" s="35" t="n"/>
      <c r="I85" s="14">
        <f>IF(OR(E85="",AND(F85&lt;&gt;"Hired",F85&lt;&gt;"Bought")),"",E85-N(G85))</f>
        <v/>
      </c>
      <c r="J85" s="16">
        <f>IF(C85&amp;E85="","",IF(F85="","Choose a stage",IF(F85="Quote","",IF(E85="","Add the amount",IF(I85&lt;=0,"Paid",IF(H85="","Balance due, no date set",IF(H85&lt;TODAY(),"Overdue by "&amp;(TODAY()-H85)&amp;IF((TODAY()-H85)=1," day"," days"),IF(H85=TODAY(),"Due today",IF((H85-TODAY())&lt;=14,"Due in "&amp;(H85-TODAY())&amp;IF((H85-TODAY())=1," day"," days"),"Next payment in "&amp;(H85-TODAY())&amp;" days")))))))))</f>
        <v/>
      </c>
      <c r="K85" s="16">
        <f>IF(OR(C85="",E85=""),"",IF(COUNTIFS(Costs!$C$6:$C$305,C85,Costs!$E$6:$E$305,"&lt;&gt;")&lt;2,"",IF(M85=1,"Cheapest of "&amp;COUNTIFS(Costs!$C$6:$C$305,C85,Costs!$E$6:$E$305,"&lt;&gt;"),FIXED(E85-SUMIFS(Costs!$E$6:$E$305,Costs!$C$6:$C$305,C85,Costs!$M$6:$M$305,1)/COUNTIFS(Costs!$C$6:$C$305,C85,Costs!$M$6:$M$305,1),0)&amp;" more than the cheapest")))</f>
        <v/>
      </c>
      <c r="L85" s="33" t="n"/>
      <c r="M85" s="1">
        <f>IF(OR(C85="",E85=""),"",IF(COUNTIFS(Costs!$C$6:$C$305,C85,Costs!$E$6:$E$305,"&lt;"&amp;E85)=0,1,0))</f>
        <v/>
      </c>
      <c r="N85">
        <f>IF(AND(C85&lt;&gt;"",F85="Quote",COUNTIFS(Costs!$C$6:$C$305,C85,Costs!$F$6:$F$305,"Hired")+COUNTIFS(Costs!$C$6:$C$305,C85,Costs!$F$6:$F$305,"Bought")=0),1/COUNTIFS(Costs!$C$6:$C$305,C85,Costs!$F$6:$F$305,"Quote"),"")</f>
        <v/>
      </c>
      <c r="O85">
        <f>IF(AND(OR(F85="Hired",F85="Bought"),N(I85)&gt;0,H85&lt;&gt;""),H85+ROW()/100000,"")</f>
        <v/>
      </c>
    </row>
    <row r="86">
      <c r="A86" s="1" t="n"/>
      <c r="B86" s="33" t="n"/>
      <c r="C86" s="33" t="n"/>
      <c r="D86" s="33" t="n"/>
      <c r="E86" s="27" t="n"/>
      <c r="F86" s="34" t="n"/>
      <c r="G86" s="27" t="n"/>
      <c r="H86" s="35" t="n"/>
      <c r="I86" s="14">
        <f>IF(OR(E86="",AND(F86&lt;&gt;"Hired",F86&lt;&gt;"Bought")),"",E86-N(G86))</f>
        <v/>
      </c>
      <c r="J86" s="16">
        <f>IF(C86&amp;E86="","",IF(F86="","Choose a stage",IF(F86="Quote","",IF(E86="","Add the amount",IF(I86&lt;=0,"Paid",IF(H86="","Balance due, no date set",IF(H86&lt;TODAY(),"Overdue by "&amp;(TODAY()-H86)&amp;IF((TODAY()-H86)=1," day"," days"),IF(H86=TODAY(),"Due today",IF((H86-TODAY())&lt;=14,"Due in "&amp;(H86-TODAY())&amp;IF((H86-TODAY())=1," day"," days"),"Next payment in "&amp;(H86-TODAY())&amp;" days")))))))))</f>
        <v/>
      </c>
      <c r="K86" s="16">
        <f>IF(OR(C86="",E86=""),"",IF(COUNTIFS(Costs!$C$6:$C$305,C86,Costs!$E$6:$E$305,"&lt;&gt;")&lt;2,"",IF(M86=1,"Cheapest of "&amp;COUNTIFS(Costs!$C$6:$C$305,C86,Costs!$E$6:$E$305,"&lt;&gt;"),FIXED(E86-SUMIFS(Costs!$E$6:$E$305,Costs!$C$6:$C$305,C86,Costs!$M$6:$M$305,1)/COUNTIFS(Costs!$C$6:$C$305,C86,Costs!$M$6:$M$305,1),0)&amp;" more than the cheapest")))</f>
        <v/>
      </c>
      <c r="L86" s="33" t="n"/>
      <c r="M86" s="1">
        <f>IF(OR(C86="",E86=""),"",IF(COUNTIFS(Costs!$C$6:$C$305,C86,Costs!$E$6:$E$305,"&lt;"&amp;E86)=0,1,0))</f>
        <v/>
      </c>
      <c r="N86">
        <f>IF(AND(C86&lt;&gt;"",F86="Quote",COUNTIFS(Costs!$C$6:$C$305,C86,Costs!$F$6:$F$305,"Hired")+COUNTIFS(Costs!$C$6:$C$305,C86,Costs!$F$6:$F$305,"Bought")=0),1/COUNTIFS(Costs!$C$6:$C$305,C86,Costs!$F$6:$F$305,"Quote"),"")</f>
        <v/>
      </c>
      <c r="O86">
        <f>IF(AND(OR(F86="Hired",F86="Bought"),N(I86)&gt;0,H86&lt;&gt;""),H86+ROW()/100000,"")</f>
        <v/>
      </c>
    </row>
    <row r="87">
      <c r="A87" s="1" t="n"/>
      <c r="B87" s="33" t="n"/>
      <c r="C87" s="33" t="n"/>
      <c r="D87" s="33" t="n"/>
      <c r="E87" s="27" t="n"/>
      <c r="F87" s="34" t="n"/>
      <c r="G87" s="27" t="n"/>
      <c r="H87" s="35" t="n"/>
      <c r="I87" s="14">
        <f>IF(OR(E87="",AND(F87&lt;&gt;"Hired",F87&lt;&gt;"Bought")),"",E87-N(G87))</f>
        <v/>
      </c>
      <c r="J87" s="16">
        <f>IF(C87&amp;E87="","",IF(F87="","Choose a stage",IF(F87="Quote","",IF(E87="","Add the amount",IF(I87&lt;=0,"Paid",IF(H87="","Balance due, no date set",IF(H87&lt;TODAY(),"Overdue by "&amp;(TODAY()-H87)&amp;IF((TODAY()-H87)=1," day"," days"),IF(H87=TODAY(),"Due today",IF((H87-TODAY())&lt;=14,"Due in "&amp;(H87-TODAY())&amp;IF((H87-TODAY())=1," day"," days"),"Next payment in "&amp;(H87-TODAY())&amp;" days")))))))))</f>
        <v/>
      </c>
      <c r="K87" s="16">
        <f>IF(OR(C87="",E87=""),"",IF(COUNTIFS(Costs!$C$6:$C$305,C87,Costs!$E$6:$E$305,"&lt;&gt;")&lt;2,"",IF(M87=1,"Cheapest of "&amp;COUNTIFS(Costs!$C$6:$C$305,C87,Costs!$E$6:$E$305,"&lt;&gt;"),FIXED(E87-SUMIFS(Costs!$E$6:$E$305,Costs!$C$6:$C$305,C87,Costs!$M$6:$M$305,1)/COUNTIFS(Costs!$C$6:$C$305,C87,Costs!$M$6:$M$305,1),0)&amp;" more than the cheapest")))</f>
        <v/>
      </c>
      <c r="L87" s="33" t="n"/>
      <c r="M87" s="1">
        <f>IF(OR(C87="",E87=""),"",IF(COUNTIFS(Costs!$C$6:$C$305,C87,Costs!$E$6:$E$305,"&lt;"&amp;E87)=0,1,0))</f>
        <v/>
      </c>
      <c r="N87">
        <f>IF(AND(C87&lt;&gt;"",F87="Quote",COUNTIFS(Costs!$C$6:$C$305,C87,Costs!$F$6:$F$305,"Hired")+COUNTIFS(Costs!$C$6:$C$305,C87,Costs!$F$6:$F$305,"Bought")=0),1/COUNTIFS(Costs!$C$6:$C$305,C87,Costs!$F$6:$F$305,"Quote"),"")</f>
        <v/>
      </c>
      <c r="O87">
        <f>IF(AND(OR(F87="Hired",F87="Bought"),N(I87)&gt;0,H87&lt;&gt;""),H87+ROW()/100000,"")</f>
        <v/>
      </c>
    </row>
    <row r="88">
      <c r="A88" s="1" t="n"/>
      <c r="B88" s="33" t="n"/>
      <c r="C88" s="33" t="n"/>
      <c r="D88" s="33" t="n"/>
      <c r="E88" s="27" t="n"/>
      <c r="F88" s="34" t="n"/>
      <c r="G88" s="27" t="n"/>
      <c r="H88" s="35" t="n"/>
      <c r="I88" s="14">
        <f>IF(OR(E88="",AND(F88&lt;&gt;"Hired",F88&lt;&gt;"Bought")),"",E88-N(G88))</f>
        <v/>
      </c>
      <c r="J88" s="16">
        <f>IF(C88&amp;E88="","",IF(F88="","Choose a stage",IF(F88="Quote","",IF(E88="","Add the amount",IF(I88&lt;=0,"Paid",IF(H88="","Balance due, no date set",IF(H88&lt;TODAY(),"Overdue by "&amp;(TODAY()-H88)&amp;IF((TODAY()-H88)=1," day"," days"),IF(H88=TODAY(),"Due today",IF((H88-TODAY())&lt;=14,"Due in "&amp;(H88-TODAY())&amp;IF((H88-TODAY())=1," day"," days"),"Next payment in "&amp;(H88-TODAY())&amp;" days")))))))))</f>
        <v/>
      </c>
      <c r="K88" s="16">
        <f>IF(OR(C88="",E88=""),"",IF(COUNTIFS(Costs!$C$6:$C$305,C88,Costs!$E$6:$E$305,"&lt;&gt;")&lt;2,"",IF(M88=1,"Cheapest of "&amp;COUNTIFS(Costs!$C$6:$C$305,C88,Costs!$E$6:$E$305,"&lt;&gt;"),FIXED(E88-SUMIFS(Costs!$E$6:$E$305,Costs!$C$6:$C$305,C88,Costs!$M$6:$M$305,1)/COUNTIFS(Costs!$C$6:$C$305,C88,Costs!$M$6:$M$305,1),0)&amp;" more than the cheapest")))</f>
        <v/>
      </c>
      <c r="L88" s="33" t="n"/>
      <c r="M88" s="1">
        <f>IF(OR(C88="",E88=""),"",IF(COUNTIFS(Costs!$C$6:$C$305,C88,Costs!$E$6:$E$305,"&lt;"&amp;E88)=0,1,0))</f>
        <v/>
      </c>
      <c r="N88">
        <f>IF(AND(C88&lt;&gt;"",F88="Quote",COUNTIFS(Costs!$C$6:$C$305,C88,Costs!$F$6:$F$305,"Hired")+COUNTIFS(Costs!$C$6:$C$305,C88,Costs!$F$6:$F$305,"Bought")=0),1/COUNTIFS(Costs!$C$6:$C$305,C88,Costs!$F$6:$F$305,"Quote"),"")</f>
        <v/>
      </c>
      <c r="O88">
        <f>IF(AND(OR(F88="Hired",F88="Bought"),N(I88)&gt;0,H88&lt;&gt;""),H88+ROW()/100000,"")</f>
        <v/>
      </c>
    </row>
    <row r="89">
      <c r="A89" s="1" t="n"/>
      <c r="B89" s="33" t="n"/>
      <c r="C89" s="33" t="n"/>
      <c r="D89" s="33" t="n"/>
      <c r="E89" s="27" t="n"/>
      <c r="F89" s="34" t="n"/>
      <c r="G89" s="27" t="n"/>
      <c r="H89" s="35" t="n"/>
      <c r="I89" s="14">
        <f>IF(OR(E89="",AND(F89&lt;&gt;"Hired",F89&lt;&gt;"Bought")),"",E89-N(G89))</f>
        <v/>
      </c>
      <c r="J89" s="16">
        <f>IF(C89&amp;E89="","",IF(F89="","Choose a stage",IF(F89="Quote","",IF(E89="","Add the amount",IF(I89&lt;=0,"Paid",IF(H89="","Balance due, no date set",IF(H89&lt;TODAY(),"Overdue by "&amp;(TODAY()-H89)&amp;IF((TODAY()-H89)=1," day"," days"),IF(H89=TODAY(),"Due today",IF((H89-TODAY())&lt;=14,"Due in "&amp;(H89-TODAY())&amp;IF((H89-TODAY())=1," day"," days"),"Next payment in "&amp;(H89-TODAY())&amp;" days")))))))))</f>
        <v/>
      </c>
      <c r="K89" s="16">
        <f>IF(OR(C89="",E89=""),"",IF(COUNTIFS(Costs!$C$6:$C$305,C89,Costs!$E$6:$E$305,"&lt;&gt;")&lt;2,"",IF(M89=1,"Cheapest of "&amp;COUNTIFS(Costs!$C$6:$C$305,C89,Costs!$E$6:$E$305,"&lt;&gt;"),FIXED(E89-SUMIFS(Costs!$E$6:$E$305,Costs!$C$6:$C$305,C89,Costs!$M$6:$M$305,1)/COUNTIFS(Costs!$C$6:$C$305,C89,Costs!$M$6:$M$305,1),0)&amp;" more than the cheapest")))</f>
        <v/>
      </c>
      <c r="L89" s="33" t="n"/>
      <c r="M89" s="1">
        <f>IF(OR(C89="",E89=""),"",IF(COUNTIFS(Costs!$C$6:$C$305,C89,Costs!$E$6:$E$305,"&lt;"&amp;E89)=0,1,0))</f>
        <v/>
      </c>
      <c r="N89">
        <f>IF(AND(C89&lt;&gt;"",F89="Quote",COUNTIFS(Costs!$C$6:$C$305,C89,Costs!$F$6:$F$305,"Hired")+COUNTIFS(Costs!$C$6:$C$305,C89,Costs!$F$6:$F$305,"Bought")=0),1/COUNTIFS(Costs!$C$6:$C$305,C89,Costs!$F$6:$F$305,"Quote"),"")</f>
        <v/>
      </c>
      <c r="O89">
        <f>IF(AND(OR(F89="Hired",F89="Bought"),N(I89)&gt;0,H89&lt;&gt;""),H89+ROW()/100000,"")</f>
        <v/>
      </c>
    </row>
    <row r="90">
      <c r="A90" s="1" t="n"/>
      <c r="B90" s="33" t="n"/>
      <c r="C90" s="33" t="n"/>
      <c r="D90" s="33" t="n"/>
      <c r="E90" s="27" t="n"/>
      <c r="F90" s="34" t="n"/>
      <c r="G90" s="27" t="n"/>
      <c r="H90" s="35" t="n"/>
      <c r="I90" s="14">
        <f>IF(OR(E90="",AND(F90&lt;&gt;"Hired",F90&lt;&gt;"Bought")),"",E90-N(G90))</f>
        <v/>
      </c>
      <c r="J90" s="16">
        <f>IF(C90&amp;E90="","",IF(F90="","Choose a stage",IF(F90="Quote","",IF(E90="","Add the amount",IF(I90&lt;=0,"Paid",IF(H90="","Balance due, no date set",IF(H90&lt;TODAY(),"Overdue by "&amp;(TODAY()-H90)&amp;IF((TODAY()-H90)=1," day"," days"),IF(H90=TODAY(),"Due today",IF((H90-TODAY())&lt;=14,"Due in "&amp;(H90-TODAY())&amp;IF((H90-TODAY())=1," day"," days"),"Next payment in "&amp;(H90-TODAY())&amp;" days")))))))))</f>
        <v/>
      </c>
      <c r="K90" s="16">
        <f>IF(OR(C90="",E90=""),"",IF(COUNTIFS(Costs!$C$6:$C$305,C90,Costs!$E$6:$E$305,"&lt;&gt;")&lt;2,"",IF(M90=1,"Cheapest of "&amp;COUNTIFS(Costs!$C$6:$C$305,C90,Costs!$E$6:$E$305,"&lt;&gt;"),FIXED(E90-SUMIFS(Costs!$E$6:$E$305,Costs!$C$6:$C$305,C90,Costs!$M$6:$M$305,1)/COUNTIFS(Costs!$C$6:$C$305,C90,Costs!$M$6:$M$305,1),0)&amp;" more than the cheapest")))</f>
        <v/>
      </c>
      <c r="L90" s="33" t="n"/>
      <c r="M90" s="1">
        <f>IF(OR(C90="",E90=""),"",IF(COUNTIFS(Costs!$C$6:$C$305,C90,Costs!$E$6:$E$305,"&lt;"&amp;E90)=0,1,0))</f>
        <v/>
      </c>
      <c r="N90">
        <f>IF(AND(C90&lt;&gt;"",F90="Quote",COUNTIFS(Costs!$C$6:$C$305,C90,Costs!$F$6:$F$305,"Hired")+COUNTIFS(Costs!$C$6:$C$305,C90,Costs!$F$6:$F$305,"Bought")=0),1/COUNTIFS(Costs!$C$6:$C$305,C90,Costs!$F$6:$F$305,"Quote"),"")</f>
        <v/>
      </c>
      <c r="O90">
        <f>IF(AND(OR(F90="Hired",F90="Bought"),N(I90)&gt;0,H90&lt;&gt;""),H90+ROW()/100000,"")</f>
        <v/>
      </c>
    </row>
    <row r="91">
      <c r="A91" s="1" t="n"/>
      <c r="B91" s="33" t="n"/>
      <c r="C91" s="33" t="n"/>
      <c r="D91" s="33" t="n"/>
      <c r="E91" s="27" t="n"/>
      <c r="F91" s="34" t="n"/>
      <c r="G91" s="27" t="n"/>
      <c r="H91" s="35" t="n"/>
      <c r="I91" s="14">
        <f>IF(OR(E91="",AND(F91&lt;&gt;"Hired",F91&lt;&gt;"Bought")),"",E91-N(G91))</f>
        <v/>
      </c>
      <c r="J91" s="16">
        <f>IF(C91&amp;E91="","",IF(F91="","Choose a stage",IF(F91="Quote","",IF(E91="","Add the amount",IF(I91&lt;=0,"Paid",IF(H91="","Balance due, no date set",IF(H91&lt;TODAY(),"Overdue by "&amp;(TODAY()-H91)&amp;IF((TODAY()-H91)=1," day"," days"),IF(H91=TODAY(),"Due today",IF((H91-TODAY())&lt;=14,"Due in "&amp;(H91-TODAY())&amp;IF((H91-TODAY())=1," day"," days"),"Next payment in "&amp;(H91-TODAY())&amp;" days")))))))))</f>
        <v/>
      </c>
      <c r="K91" s="16">
        <f>IF(OR(C91="",E91=""),"",IF(COUNTIFS(Costs!$C$6:$C$305,C91,Costs!$E$6:$E$305,"&lt;&gt;")&lt;2,"",IF(M91=1,"Cheapest of "&amp;COUNTIFS(Costs!$C$6:$C$305,C91,Costs!$E$6:$E$305,"&lt;&gt;"),FIXED(E91-SUMIFS(Costs!$E$6:$E$305,Costs!$C$6:$C$305,C91,Costs!$M$6:$M$305,1)/COUNTIFS(Costs!$C$6:$C$305,C91,Costs!$M$6:$M$305,1),0)&amp;" more than the cheapest")))</f>
        <v/>
      </c>
      <c r="L91" s="33" t="n"/>
      <c r="M91" s="1">
        <f>IF(OR(C91="",E91=""),"",IF(COUNTIFS(Costs!$C$6:$C$305,C91,Costs!$E$6:$E$305,"&lt;"&amp;E91)=0,1,0))</f>
        <v/>
      </c>
      <c r="N91">
        <f>IF(AND(C91&lt;&gt;"",F91="Quote",COUNTIFS(Costs!$C$6:$C$305,C91,Costs!$F$6:$F$305,"Hired")+COUNTIFS(Costs!$C$6:$C$305,C91,Costs!$F$6:$F$305,"Bought")=0),1/COUNTIFS(Costs!$C$6:$C$305,C91,Costs!$F$6:$F$305,"Quote"),"")</f>
        <v/>
      </c>
      <c r="O91">
        <f>IF(AND(OR(F91="Hired",F91="Bought"),N(I91)&gt;0,H91&lt;&gt;""),H91+ROW()/100000,"")</f>
        <v/>
      </c>
    </row>
    <row r="92">
      <c r="A92" s="1" t="n"/>
      <c r="B92" s="33" t="n"/>
      <c r="C92" s="33" t="n"/>
      <c r="D92" s="33" t="n"/>
      <c r="E92" s="27" t="n"/>
      <c r="F92" s="34" t="n"/>
      <c r="G92" s="27" t="n"/>
      <c r="H92" s="35" t="n"/>
      <c r="I92" s="14">
        <f>IF(OR(E92="",AND(F92&lt;&gt;"Hired",F92&lt;&gt;"Bought")),"",E92-N(G92))</f>
        <v/>
      </c>
      <c r="J92" s="16">
        <f>IF(C92&amp;E92="","",IF(F92="","Choose a stage",IF(F92="Quote","",IF(E92="","Add the amount",IF(I92&lt;=0,"Paid",IF(H92="","Balance due, no date set",IF(H92&lt;TODAY(),"Overdue by "&amp;(TODAY()-H92)&amp;IF((TODAY()-H92)=1," day"," days"),IF(H92=TODAY(),"Due today",IF((H92-TODAY())&lt;=14,"Due in "&amp;(H92-TODAY())&amp;IF((H92-TODAY())=1," day"," days"),"Next payment in "&amp;(H92-TODAY())&amp;" days")))))))))</f>
        <v/>
      </c>
      <c r="K92" s="16">
        <f>IF(OR(C92="",E92=""),"",IF(COUNTIFS(Costs!$C$6:$C$305,C92,Costs!$E$6:$E$305,"&lt;&gt;")&lt;2,"",IF(M92=1,"Cheapest of "&amp;COUNTIFS(Costs!$C$6:$C$305,C92,Costs!$E$6:$E$305,"&lt;&gt;"),FIXED(E92-SUMIFS(Costs!$E$6:$E$305,Costs!$C$6:$C$305,C92,Costs!$M$6:$M$305,1)/COUNTIFS(Costs!$C$6:$C$305,C92,Costs!$M$6:$M$305,1),0)&amp;" more than the cheapest")))</f>
        <v/>
      </c>
      <c r="L92" s="33" t="n"/>
      <c r="M92" s="1">
        <f>IF(OR(C92="",E92=""),"",IF(COUNTIFS(Costs!$C$6:$C$305,C92,Costs!$E$6:$E$305,"&lt;"&amp;E92)=0,1,0))</f>
        <v/>
      </c>
      <c r="N92">
        <f>IF(AND(C92&lt;&gt;"",F92="Quote",COUNTIFS(Costs!$C$6:$C$305,C92,Costs!$F$6:$F$305,"Hired")+COUNTIFS(Costs!$C$6:$C$305,C92,Costs!$F$6:$F$305,"Bought")=0),1/COUNTIFS(Costs!$C$6:$C$305,C92,Costs!$F$6:$F$305,"Quote"),"")</f>
        <v/>
      </c>
      <c r="O92">
        <f>IF(AND(OR(F92="Hired",F92="Bought"),N(I92)&gt;0,H92&lt;&gt;""),H92+ROW()/100000,"")</f>
        <v/>
      </c>
    </row>
    <row r="93">
      <c r="A93" s="1" t="n"/>
      <c r="B93" s="33" t="n"/>
      <c r="C93" s="33" t="n"/>
      <c r="D93" s="33" t="n"/>
      <c r="E93" s="27" t="n"/>
      <c r="F93" s="34" t="n"/>
      <c r="G93" s="27" t="n"/>
      <c r="H93" s="35" t="n"/>
      <c r="I93" s="14">
        <f>IF(OR(E93="",AND(F93&lt;&gt;"Hired",F93&lt;&gt;"Bought")),"",E93-N(G93))</f>
        <v/>
      </c>
      <c r="J93" s="16">
        <f>IF(C93&amp;E93="","",IF(F93="","Choose a stage",IF(F93="Quote","",IF(E93="","Add the amount",IF(I93&lt;=0,"Paid",IF(H93="","Balance due, no date set",IF(H93&lt;TODAY(),"Overdue by "&amp;(TODAY()-H93)&amp;IF((TODAY()-H93)=1," day"," days"),IF(H93=TODAY(),"Due today",IF((H93-TODAY())&lt;=14,"Due in "&amp;(H93-TODAY())&amp;IF((H93-TODAY())=1," day"," days"),"Next payment in "&amp;(H93-TODAY())&amp;" days")))))))))</f>
        <v/>
      </c>
      <c r="K93" s="16">
        <f>IF(OR(C93="",E93=""),"",IF(COUNTIFS(Costs!$C$6:$C$305,C93,Costs!$E$6:$E$305,"&lt;&gt;")&lt;2,"",IF(M93=1,"Cheapest of "&amp;COUNTIFS(Costs!$C$6:$C$305,C93,Costs!$E$6:$E$305,"&lt;&gt;"),FIXED(E93-SUMIFS(Costs!$E$6:$E$305,Costs!$C$6:$C$305,C93,Costs!$M$6:$M$305,1)/COUNTIFS(Costs!$C$6:$C$305,C93,Costs!$M$6:$M$305,1),0)&amp;" more than the cheapest")))</f>
        <v/>
      </c>
      <c r="L93" s="33" t="n"/>
      <c r="M93" s="1">
        <f>IF(OR(C93="",E93=""),"",IF(COUNTIFS(Costs!$C$6:$C$305,C93,Costs!$E$6:$E$305,"&lt;"&amp;E93)=0,1,0))</f>
        <v/>
      </c>
      <c r="N93">
        <f>IF(AND(C93&lt;&gt;"",F93="Quote",COUNTIFS(Costs!$C$6:$C$305,C93,Costs!$F$6:$F$305,"Hired")+COUNTIFS(Costs!$C$6:$C$305,C93,Costs!$F$6:$F$305,"Bought")=0),1/COUNTIFS(Costs!$C$6:$C$305,C93,Costs!$F$6:$F$305,"Quote"),"")</f>
        <v/>
      </c>
      <c r="O93">
        <f>IF(AND(OR(F93="Hired",F93="Bought"),N(I93)&gt;0,H93&lt;&gt;""),H93+ROW()/100000,"")</f>
        <v/>
      </c>
    </row>
    <row r="94">
      <c r="A94" s="1" t="n"/>
      <c r="B94" s="33" t="n"/>
      <c r="C94" s="33" t="n"/>
      <c r="D94" s="33" t="n"/>
      <c r="E94" s="27" t="n"/>
      <c r="F94" s="34" t="n"/>
      <c r="G94" s="27" t="n"/>
      <c r="H94" s="35" t="n"/>
      <c r="I94" s="14">
        <f>IF(OR(E94="",AND(F94&lt;&gt;"Hired",F94&lt;&gt;"Bought")),"",E94-N(G94))</f>
        <v/>
      </c>
      <c r="J94" s="16">
        <f>IF(C94&amp;E94="","",IF(F94="","Choose a stage",IF(F94="Quote","",IF(E94="","Add the amount",IF(I94&lt;=0,"Paid",IF(H94="","Balance due, no date set",IF(H94&lt;TODAY(),"Overdue by "&amp;(TODAY()-H94)&amp;IF((TODAY()-H94)=1," day"," days"),IF(H94=TODAY(),"Due today",IF((H94-TODAY())&lt;=14,"Due in "&amp;(H94-TODAY())&amp;IF((H94-TODAY())=1," day"," days"),"Next payment in "&amp;(H94-TODAY())&amp;" days")))))))))</f>
        <v/>
      </c>
      <c r="K94" s="16">
        <f>IF(OR(C94="",E94=""),"",IF(COUNTIFS(Costs!$C$6:$C$305,C94,Costs!$E$6:$E$305,"&lt;&gt;")&lt;2,"",IF(M94=1,"Cheapest of "&amp;COUNTIFS(Costs!$C$6:$C$305,C94,Costs!$E$6:$E$305,"&lt;&gt;"),FIXED(E94-SUMIFS(Costs!$E$6:$E$305,Costs!$C$6:$C$305,C94,Costs!$M$6:$M$305,1)/COUNTIFS(Costs!$C$6:$C$305,C94,Costs!$M$6:$M$305,1),0)&amp;" more than the cheapest")))</f>
        <v/>
      </c>
      <c r="L94" s="33" t="n"/>
      <c r="M94" s="1">
        <f>IF(OR(C94="",E94=""),"",IF(COUNTIFS(Costs!$C$6:$C$305,C94,Costs!$E$6:$E$305,"&lt;"&amp;E94)=0,1,0))</f>
        <v/>
      </c>
      <c r="N94">
        <f>IF(AND(C94&lt;&gt;"",F94="Quote",COUNTIFS(Costs!$C$6:$C$305,C94,Costs!$F$6:$F$305,"Hired")+COUNTIFS(Costs!$C$6:$C$305,C94,Costs!$F$6:$F$305,"Bought")=0),1/COUNTIFS(Costs!$C$6:$C$305,C94,Costs!$F$6:$F$305,"Quote"),"")</f>
        <v/>
      </c>
      <c r="O94">
        <f>IF(AND(OR(F94="Hired",F94="Bought"),N(I94)&gt;0,H94&lt;&gt;""),H94+ROW()/100000,"")</f>
        <v/>
      </c>
    </row>
    <row r="95">
      <c r="A95" s="1" t="n"/>
      <c r="B95" s="33" t="n"/>
      <c r="C95" s="33" t="n"/>
      <c r="D95" s="33" t="n"/>
      <c r="E95" s="27" t="n"/>
      <c r="F95" s="34" t="n"/>
      <c r="G95" s="27" t="n"/>
      <c r="H95" s="35" t="n"/>
      <c r="I95" s="14">
        <f>IF(OR(E95="",AND(F95&lt;&gt;"Hired",F95&lt;&gt;"Bought")),"",E95-N(G95))</f>
        <v/>
      </c>
      <c r="J95" s="16">
        <f>IF(C95&amp;E95="","",IF(F95="","Choose a stage",IF(F95="Quote","",IF(E95="","Add the amount",IF(I95&lt;=0,"Paid",IF(H95="","Balance due, no date set",IF(H95&lt;TODAY(),"Overdue by "&amp;(TODAY()-H95)&amp;IF((TODAY()-H95)=1," day"," days"),IF(H95=TODAY(),"Due today",IF((H95-TODAY())&lt;=14,"Due in "&amp;(H95-TODAY())&amp;IF((H95-TODAY())=1," day"," days"),"Next payment in "&amp;(H95-TODAY())&amp;" days")))))))))</f>
        <v/>
      </c>
      <c r="K95" s="16">
        <f>IF(OR(C95="",E95=""),"",IF(COUNTIFS(Costs!$C$6:$C$305,C95,Costs!$E$6:$E$305,"&lt;&gt;")&lt;2,"",IF(M95=1,"Cheapest of "&amp;COUNTIFS(Costs!$C$6:$C$305,C95,Costs!$E$6:$E$305,"&lt;&gt;"),FIXED(E95-SUMIFS(Costs!$E$6:$E$305,Costs!$C$6:$C$305,C95,Costs!$M$6:$M$305,1)/COUNTIFS(Costs!$C$6:$C$305,C95,Costs!$M$6:$M$305,1),0)&amp;" more than the cheapest")))</f>
        <v/>
      </c>
      <c r="L95" s="33" t="n"/>
      <c r="M95" s="1">
        <f>IF(OR(C95="",E95=""),"",IF(COUNTIFS(Costs!$C$6:$C$305,C95,Costs!$E$6:$E$305,"&lt;"&amp;E95)=0,1,0))</f>
        <v/>
      </c>
      <c r="N95">
        <f>IF(AND(C95&lt;&gt;"",F95="Quote",COUNTIFS(Costs!$C$6:$C$305,C95,Costs!$F$6:$F$305,"Hired")+COUNTIFS(Costs!$C$6:$C$305,C95,Costs!$F$6:$F$305,"Bought")=0),1/COUNTIFS(Costs!$C$6:$C$305,C95,Costs!$F$6:$F$305,"Quote"),"")</f>
        <v/>
      </c>
      <c r="O95">
        <f>IF(AND(OR(F95="Hired",F95="Bought"),N(I95)&gt;0,H95&lt;&gt;""),H95+ROW()/100000,"")</f>
        <v/>
      </c>
    </row>
    <row r="96">
      <c r="A96" s="1" t="n"/>
      <c r="B96" s="33" t="n"/>
      <c r="C96" s="33" t="n"/>
      <c r="D96" s="33" t="n"/>
      <c r="E96" s="27" t="n"/>
      <c r="F96" s="34" t="n"/>
      <c r="G96" s="27" t="n"/>
      <c r="H96" s="35" t="n"/>
      <c r="I96" s="14">
        <f>IF(OR(E96="",AND(F96&lt;&gt;"Hired",F96&lt;&gt;"Bought")),"",E96-N(G96))</f>
        <v/>
      </c>
      <c r="J96" s="16">
        <f>IF(C96&amp;E96="","",IF(F96="","Choose a stage",IF(F96="Quote","",IF(E96="","Add the amount",IF(I96&lt;=0,"Paid",IF(H96="","Balance due, no date set",IF(H96&lt;TODAY(),"Overdue by "&amp;(TODAY()-H96)&amp;IF((TODAY()-H96)=1," day"," days"),IF(H96=TODAY(),"Due today",IF((H96-TODAY())&lt;=14,"Due in "&amp;(H96-TODAY())&amp;IF((H96-TODAY())=1," day"," days"),"Next payment in "&amp;(H96-TODAY())&amp;" days")))))))))</f>
        <v/>
      </c>
      <c r="K96" s="16">
        <f>IF(OR(C96="",E96=""),"",IF(COUNTIFS(Costs!$C$6:$C$305,C96,Costs!$E$6:$E$305,"&lt;&gt;")&lt;2,"",IF(M96=1,"Cheapest of "&amp;COUNTIFS(Costs!$C$6:$C$305,C96,Costs!$E$6:$E$305,"&lt;&gt;"),FIXED(E96-SUMIFS(Costs!$E$6:$E$305,Costs!$C$6:$C$305,C96,Costs!$M$6:$M$305,1)/COUNTIFS(Costs!$C$6:$C$305,C96,Costs!$M$6:$M$305,1),0)&amp;" more than the cheapest")))</f>
        <v/>
      </c>
      <c r="L96" s="33" t="n"/>
      <c r="M96" s="1">
        <f>IF(OR(C96="",E96=""),"",IF(COUNTIFS(Costs!$C$6:$C$305,C96,Costs!$E$6:$E$305,"&lt;"&amp;E96)=0,1,0))</f>
        <v/>
      </c>
      <c r="N96">
        <f>IF(AND(C96&lt;&gt;"",F96="Quote",COUNTIFS(Costs!$C$6:$C$305,C96,Costs!$F$6:$F$305,"Hired")+COUNTIFS(Costs!$C$6:$C$305,C96,Costs!$F$6:$F$305,"Bought")=0),1/COUNTIFS(Costs!$C$6:$C$305,C96,Costs!$F$6:$F$305,"Quote"),"")</f>
        <v/>
      </c>
      <c r="O96">
        <f>IF(AND(OR(F96="Hired",F96="Bought"),N(I96)&gt;0,H96&lt;&gt;""),H96+ROW()/100000,"")</f>
        <v/>
      </c>
    </row>
    <row r="97">
      <c r="A97" s="1" t="n"/>
      <c r="B97" s="33" t="n"/>
      <c r="C97" s="33" t="n"/>
      <c r="D97" s="33" t="n"/>
      <c r="E97" s="27" t="n"/>
      <c r="F97" s="34" t="n"/>
      <c r="G97" s="27" t="n"/>
      <c r="H97" s="35" t="n"/>
      <c r="I97" s="14">
        <f>IF(OR(E97="",AND(F97&lt;&gt;"Hired",F97&lt;&gt;"Bought")),"",E97-N(G97))</f>
        <v/>
      </c>
      <c r="J97" s="16">
        <f>IF(C97&amp;E97="","",IF(F97="","Choose a stage",IF(F97="Quote","",IF(E97="","Add the amount",IF(I97&lt;=0,"Paid",IF(H97="","Balance due, no date set",IF(H97&lt;TODAY(),"Overdue by "&amp;(TODAY()-H97)&amp;IF((TODAY()-H97)=1," day"," days"),IF(H97=TODAY(),"Due today",IF((H97-TODAY())&lt;=14,"Due in "&amp;(H97-TODAY())&amp;IF((H97-TODAY())=1," day"," days"),"Next payment in "&amp;(H97-TODAY())&amp;" days")))))))))</f>
        <v/>
      </c>
      <c r="K97" s="16">
        <f>IF(OR(C97="",E97=""),"",IF(COUNTIFS(Costs!$C$6:$C$305,C97,Costs!$E$6:$E$305,"&lt;&gt;")&lt;2,"",IF(M97=1,"Cheapest of "&amp;COUNTIFS(Costs!$C$6:$C$305,C97,Costs!$E$6:$E$305,"&lt;&gt;"),FIXED(E97-SUMIFS(Costs!$E$6:$E$305,Costs!$C$6:$C$305,C97,Costs!$M$6:$M$305,1)/COUNTIFS(Costs!$C$6:$C$305,C97,Costs!$M$6:$M$305,1),0)&amp;" more than the cheapest")))</f>
        <v/>
      </c>
      <c r="L97" s="33" t="n"/>
      <c r="M97" s="1">
        <f>IF(OR(C97="",E97=""),"",IF(COUNTIFS(Costs!$C$6:$C$305,C97,Costs!$E$6:$E$305,"&lt;"&amp;E97)=0,1,0))</f>
        <v/>
      </c>
      <c r="N97">
        <f>IF(AND(C97&lt;&gt;"",F97="Quote",COUNTIFS(Costs!$C$6:$C$305,C97,Costs!$F$6:$F$305,"Hired")+COUNTIFS(Costs!$C$6:$C$305,C97,Costs!$F$6:$F$305,"Bought")=0),1/COUNTIFS(Costs!$C$6:$C$305,C97,Costs!$F$6:$F$305,"Quote"),"")</f>
        <v/>
      </c>
      <c r="O97">
        <f>IF(AND(OR(F97="Hired",F97="Bought"),N(I97)&gt;0,H97&lt;&gt;""),H97+ROW()/100000,"")</f>
        <v/>
      </c>
    </row>
    <row r="98">
      <c r="A98" s="1" t="n"/>
      <c r="B98" s="33" t="n"/>
      <c r="C98" s="33" t="n"/>
      <c r="D98" s="33" t="n"/>
      <c r="E98" s="27" t="n"/>
      <c r="F98" s="34" t="n"/>
      <c r="G98" s="27" t="n"/>
      <c r="H98" s="35" t="n"/>
      <c r="I98" s="14">
        <f>IF(OR(E98="",AND(F98&lt;&gt;"Hired",F98&lt;&gt;"Bought")),"",E98-N(G98))</f>
        <v/>
      </c>
      <c r="J98" s="16">
        <f>IF(C98&amp;E98="","",IF(F98="","Choose a stage",IF(F98="Quote","",IF(E98="","Add the amount",IF(I98&lt;=0,"Paid",IF(H98="","Balance due, no date set",IF(H98&lt;TODAY(),"Overdue by "&amp;(TODAY()-H98)&amp;IF((TODAY()-H98)=1," day"," days"),IF(H98=TODAY(),"Due today",IF((H98-TODAY())&lt;=14,"Due in "&amp;(H98-TODAY())&amp;IF((H98-TODAY())=1," day"," days"),"Next payment in "&amp;(H98-TODAY())&amp;" days")))))))))</f>
        <v/>
      </c>
      <c r="K98" s="16">
        <f>IF(OR(C98="",E98=""),"",IF(COUNTIFS(Costs!$C$6:$C$305,C98,Costs!$E$6:$E$305,"&lt;&gt;")&lt;2,"",IF(M98=1,"Cheapest of "&amp;COUNTIFS(Costs!$C$6:$C$305,C98,Costs!$E$6:$E$305,"&lt;&gt;"),FIXED(E98-SUMIFS(Costs!$E$6:$E$305,Costs!$C$6:$C$305,C98,Costs!$M$6:$M$305,1)/COUNTIFS(Costs!$C$6:$C$305,C98,Costs!$M$6:$M$305,1),0)&amp;" more than the cheapest")))</f>
        <v/>
      </c>
      <c r="L98" s="33" t="n"/>
      <c r="M98" s="1">
        <f>IF(OR(C98="",E98=""),"",IF(COUNTIFS(Costs!$C$6:$C$305,C98,Costs!$E$6:$E$305,"&lt;"&amp;E98)=0,1,0))</f>
        <v/>
      </c>
      <c r="N98">
        <f>IF(AND(C98&lt;&gt;"",F98="Quote",COUNTIFS(Costs!$C$6:$C$305,C98,Costs!$F$6:$F$305,"Hired")+COUNTIFS(Costs!$C$6:$C$305,C98,Costs!$F$6:$F$305,"Bought")=0),1/COUNTIFS(Costs!$C$6:$C$305,C98,Costs!$F$6:$F$305,"Quote"),"")</f>
        <v/>
      </c>
      <c r="O98">
        <f>IF(AND(OR(F98="Hired",F98="Bought"),N(I98)&gt;0,H98&lt;&gt;""),H98+ROW()/100000,"")</f>
        <v/>
      </c>
    </row>
    <row r="99">
      <c r="A99" s="1" t="n"/>
      <c r="B99" s="33" t="n"/>
      <c r="C99" s="33" t="n"/>
      <c r="D99" s="33" t="n"/>
      <c r="E99" s="27" t="n"/>
      <c r="F99" s="34" t="n"/>
      <c r="G99" s="27" t="n"/>
      <c r="H99" s="35" t="n"/>
      <c r="I99" s="14">
        <f>IF(OR(E99="",AND(F99&lt;&gt;"Hired",F99&lt;&gt;"Bought")),"",E99-N(G99))</f>
        <v/>
      </c>
      <c r="J99" s="16">
        <f>IF(C99&amp;E99="","",IF(F99="","Choose a stage",IF(F99="Quote","",IF(E99="","Add the amount",IF(I99&lt;=0,"Paid",IF(H99="","Balance due, no date set",IF(H99&lt;TODAY(),"Overdue by "&amp;(TODAY()-H99)&amp;IF((TODAY()-H99)=1," day"," days"),IF(H99=TODAY(),"Due today",IF((H99-TODAY())&lt;=14,"Due in "&amp;(H99-TODAY())&amp;IF((H99-TODAY())=1," day"," days"),"Next payment in "&amp;(H99-TODAY())&amp;" days")))))))))</f>
        <v/>
      </c>
      <c r="K99" s="16">
        <f>IF(OR(C99="",E99=""),"",IF(COUNTIFS(Costs!$C$6:$C$305,C99,Costs!$E$6:$E$305,"&lt;&gt;")&lt;2,"",IF(M99=1,"Cheapest of "&amp;COUNTIFS(Costs!$C$6:$C$305,C99,Costs!$E$6:$E$305,"&lt;&gt;"),FIXED(E99-SUMIFS(Costs!$E$6:$E$305,Costs!$C$6:$C$305,C99,Costs!$M$6:$M$305,1)/COUNTIFS(Costs!$C$6:$C$305,C99,Costs!$M$6:$M$305,1),0)&amp;" more than the cheapest")))</f>
        <v/>
      </c>
      <c r="L99" s="33" t="n"/>
      <c r="M99" s="1">
        <f>IF(OR(C99="",E99=""),"",IF(COUNTIFS(Costs!$C$6:$C$305,C99,Costs!$E$6:$E$305,"&lt;"&amp;E99)=0,1,0))</f>
        <v/>
      </c>
      <c r="N99">
        <f>IF(AND(C99&lt;&gt;"",F99="Quote",COUNTIFS(Costs!$C$6:$C$305,C99,Costs!$F$6:$F$305,"Hired")+COUNTIFS(Costs!$C$6:$C$305,C99,Costs!$F$6:$F$305,"Bought")=0),1/COUNTIFS(Costs!$C$6:$C$305,C99,Costs!$F$6:$F$305,"Quote"),"")</f>
        <v/>
      </c>
      <c r="O99">
        <f>IF(AND(OR(F99="Hired",F99="Bought"),N(I99)&gt;0,H99&lt;&gt;""),H99+ROW()/100000,"")</f>
        <v/>
      </c>
    </row>
    <row r="100">
      <c r="A100" s="1" t="n"/>
      <c r="B100" s="33" t="n"/>
      <c r="C100" s="33" t="n"/>
      <c r="D100" s="33" t="n"/>
      <c r="E100" s="27" t="n"/>
      <c r="F100" s="34" t="n"/>
      <c r="G100" s="27" t="n"/>
      <c r="H100" s="35" t="n"/>
      <c r="I100" s="14">
        <f>IF(OR(E100="",AND(F100&lt;&gt;"Hired",F100&lt;&gt;"Bought")),"",E100-N(G100))</f>
        <v/>
      </c>
      <c r="J100" s="16">
        <f>IF(C100&amp;E100="","",IF(F100="","Choose a stage",IF(F100="Quote","",IF(E100="","Add the amount",IF(I100&lt;=0,"Paid",IF(H100="","Balance due, no date set",IF(H100&lt;TODAY(),"Overdue by "&amp;(TODAY()-H100)&amp;IF((TODAY()-H100)=1," day"," days"),IF(H100=TODAY(),"Due today",IF((H100-TODAY())&lt;=14,"Due in "&amp;(H100-TODAY())&amp;IF((H100-TODAY())=1," day"," days"),"Next payment in "&amp;(H100-TODAY())&amp;" days")))))))))</f>
        <v/>
      </c>
      <c r="K100" s="16">
        <f>IF(OR(C100="",E100=""),"",IF(COUNTIFS(Costs!$C$6:$C$305,C100,Costs!$E$6:$E$305,"&lt;&gt;")&lt;2,"",IF(M100=1,"Cheapest of "&amp;COUNTIFS(Costs!$C$6:$C$305,C100,Costs!$E$6:$E$305,"&lt;&gt;"),FIXED(E100-SUMIFS(Costs!$E$6:$E$305,Costs!$C$6:$C$305,C100,Costs!$M$6:$M$305,1)/COUNTIFS(Costs!$C$6:$C$305,C100,Costs!$M$6:$M$305,1),0)&amp;" more than the cheapest")))</f>
        <v/>
      </c>
      <c r="L100" s="33" t="n"/>
      <c r="M100" s="1">
        <f>IF(OR(C100="",E100=""),"",IF(COUNTIFS(Costs!$C$6:$C$305,C100,Costs!$E$6:$E$305,"&lt;"&amp;E100)=0,1,0))</f>
        <v/>
      </c>
      <c r="N100">
        <f>IF(AND(C100&lt;&gt;"",F100="Quote",COUNTIFS(Costs!$C$6:$C$305,C100,Costs!$F$6:$F$305,"Hired")+COUNTIFS(Costs!$C$6:$C$305,C100,Costs!$F$6:$F$305,"Bought")=0),1/COUNTIFS(Costs!$C$6:$C$305,C100,Costs!$F$6:$F$305,"Quote"),"")</f>
        <v/>
      </c>
      <c r="O100">
        <f>IF(AND(OR(F100="Hired",F100="Bought"),N(I100)&gt;0,H100&lt;&gt;""),H100+ROW()/100000,"")</f>
        <v/>
      </c>
    </row>
    <row r="101">
      <c r="A101" s="1" t="n"/>
      <c r="B101" s="33" t="n"/>
      <c r="C101" s="33" t="n"/>
      <c r="D101" s="33" t="n"/>
      <c r="E101" s="27" t="n"/>
      <c r="F101" s="34" t="n"/>
      <c r="G101" s="27" t="n"/>
      <c r="H101" s="35" t="n"/>
      <c r="I101" s="14">
        <f>IF(OR(E101="",AND(F101&lt;&gt;"Hired",F101&lt;&gt;"Bought")),"",E101-N(G101))</f>
        <v/>
      </c>
      <c r="J101" s="16">
        <f>IF(C101&amp;E101="","",IF(F101="","Choose a stage",IF(F101="Quote","",IF(E101="","Add the amount",IF(I101&lt;=0,"Paid",IF(H101="","Balance due, no date set",IF(H101&lt;TODAY(),"Overdue by "&amp;(TODAY()-H101)&amp;IF((TODAY()-H101)=1," day"," days"),IF(H101=TODAY(),"Due today",IF((H101-TODAY())&lt;=14,"Due in "&amp;(H101-TODAY())&amp;IF((H101-TODAY())=1," day"," days"),"Next payment in "&amp;(H101-TODAY())&amp;" days")))))))))</f>
        <v/>
      </c>
      <c r="K101" s="16">
        <f>IF(OR(C101="",E101=""),"",IF(COUNTIFS(Costs!$C$6:$C$305,C101,Costs!$E$6:$E$305,"&lt;&gt;")&lt;2,"",IF(M101=1,"Cheapest of "&amp;COUNTIFS(Costs!$C$6:$C$305,C101,Costs!$E$6:$E$305,"&lt;&gt;"),FIXED(E101-SUMIFS(Costs!$E$6:$E$305,Costs!$C$6:$C$305,C101,Costs!$M$6:$M$305,1)/COUNTIFS(Costs!$C$6:$C$305,C101,Costs!$M$6:$M$305,1),0)&amp;" more than the cheapest")))</f>
        <v/>
      </c>
      <c r="L101" s="33" t="n"/>
      <c r="M101" s="1">
        <f>IF(OR(C101="",E101=""),"",IF(COUNTIFS(Costs!$C$6:$C$305,C101,Costs!$E$6:$E$305,"&lt;"&amp;E101)=0,1,0))</f>
        <v/>
      </c>
      <c r="N101">
        <f>IF(AND(C101&lt;&gt;"",F101="Quote",COUNTIFS(Costs!$C$6:$C$305,C101,Costs!$F$6:$F$305,"Hired")+COUNTIFS(Costs!$C$6:$C$305,C101,Costs!$F$6:$F$305,"Bought")=0),1/COUNTIFS(Costs!$C$6:$C$305,C101,Costs!$F$6:$F$305,"Quote"),"")</f>
        <v/>
      </c>
      <c r="O101">
        <f>IF(AND(OR(F101="Hired",F101="Bought"),N(I101)&gt;0,H101&lt;&gt;""),H101+ROW()/100000,"")</f>
        <v/>
      </c>
    </row>
    <row r="102">
      <c r="A102" s="1" t="n"/>
      <c r="B102" s="33" t="n"/>
      <c r="C102" s="33" t="n"/>
      <c r="D102" s="33" t="n"/>
      <c r="E102" s="27" t="n"/>
      <c r="F102" s="34" t="n"/>
      <c r="G102" s="27" t="n"/>
      <c r="H102" s="35" t="n"/>
      <c r="I102" s="14">
        <f>IF(OR(E102="",AND(F102&lt;&gt;"Hired",F102&lt;&gt;"Bought")),"",E102-N(G102))</f>
        <v/>
      </c>
      <c r="J102" s="16">
        <f>IF(C102&amp;E102="","",IF(F102="","Choose a stage",IF(F102="Quote","",IF(E102="","Add the amount",IF(I102&lt;=0,"Paid",IF(H102="","Balance due, no date set",IF(H102&lt;TODAY(),"Overdue by "&amp;(TODAY()-H102)&amp;IF((TODAY()-H102)=1," day"," days"),IF(H102=TODAY(),"Due today",IF((H102-TODAY())&lt;=14,"Due in "&amp;(H102-TODAY())&amp;IF((H102-TODAY())=1," day"," days"),"Next payment in "&amp;(H102-TODAY())&amp;" days")))))))))</f>
        <v/>
      </c>
      <c r="K102" s="16">
        <f>IF(OR(C102="",E102=""),"",IF(COUNTIFS(Costs!$C$6:$C$305,C102,Costs!$E$6:$E$305,"&lt;&gt;")&lt;2,"",IF(M102=1,"Cheapest of "&amp;COUNTIFS(Costs!$C$6:$C$305,C102,Costs!$E$6:$E$305,"&lt;&gt;"),FIXED(E102-SUMIFS(Costs!$E$6:$E$305,Costs!$C$6:$C$305,C102,Costs!$M$6:$M$305,1)/COUNTIFS(Costs!$C$6:$C$305,C102,Costs!$M$6:$M$305,1),0)&amp;" more than the cheapest")))</f>
        <v/>
      </c>
      <c r="L102" s="33" t="n"/>
      <c r="M102" s="1">
        <f>IF(OR(C102="",E102=""),"",IF(COUNTIFS(Costs!$C$6:$C$305,C102,Costs!$E$6:$E$305,"&lt;"&amp;E102)=0,1,0))</f>
        <v/>
      </c>
      <c r="N102">
        <f>IF(AND(C102&lt;&gt;"",F102="Quote",COUNTIFS(Costs!$C$6:$C$305,C102,Costs!$F$6:$F$305,"Hired")+COUNTIFS(Costs!$C$6:$C$305,C102,Costs!$F$6:$F$305,"Bought")=0),1/COUNTIFS(Costs!$C$6:$C$305,C102,Costs!$F$6:$F$305,"Quote"),"")</f>
        <v/>
      </c>
      <c r="O102">
        <f>IF(AND(OR(F102="Hired",F102="Bought"),N(I102)&gt;0,H102&lt;&gt;""),H102+ROW()/100000,"")</f>
        <v/>
      </c>
    </row>
    <row r="103">
      <c r="A103" s="1" t="n"/>
      <c r="B103" s="33" t="n"/>
      <c r="C103" s="33" t="n"/>
      <c r="D103" s="33" t="n"/>
      <c r="E103" s="27" t="n"/>
      <c r="F103" s="34" t="n"/>
      <c r="G103" s="27" t="n"/>
      <c r="H103" s="35" t="n"/>
      <c r="I103" s="14">
        <f>IF(OR(E103="",AND(F103&lt;&gt;"Hired",F103&lt;&gt;"Bought")),"",E103-N(G103))</f>
        <v/>
      </c>
      <c r="J103" s="16">
        <f>IF(C103&amp;E103="","",IF(F103="","Choose a stage",IF(F103="Quote","",IF(E103="","Add the amount",IF(I103&lt;=0,"Paid",IF(H103="","Balance due, no date set",IF(H103&lt;TODAY(),"Overdue by "&amp;(TODAY()-H103)&amp;IF((TODAY()-H103)=1," day"," days"),IF(H103=TODAY(),"Due today",IF((H103-TODAY())&lt;=14,"Due in "&amp;(H103-TODAY())&amp;IF((H103-TODAY())=1," day"," days"),"Next payment in "&amp;(H103-TODAY())&amp;" days")))))))))</f>
        <v/>
      </c>
      <c r="K103" s="16">
        <f>IF(OR(C103="",E103=""),"",IF(COUNTIFS(Costs!$C$6:$C$305,C103,Costs!$E$6:$E$305,"&lt;&gt;")&lt;2,"",IF(M103=1,"Cheapest of "&amp;COUNTIFS(Costs!$C$6:$C$305,C103,Costs!$E$6:$E$305,"&lt;&gt;"),FIXED(E103-SUMIFS(Costs!$E$6:$E$305,Costs!$C$6:$C$305,C103,Costs!$M$6:$M$305,1)/COUNTIFS(Costs!$C$6:$C$305,C103,Costs!$M$6:$M$305,1),0)&amp;" more than the cheapest")))</f>
        <v/>
      </c>
      <c r="L103" s="33" t="n"/>
      <c r="M103" s="1">
        <f>IF(OR(C103="",E103=""),"",IF(COUNTIFS(Costs!$C$6:$C$305,C103,Costs!$E$6:$E$305,"&lt;"&amp;E103)=0,1,0))</f>
        <v/>
      </c>
      <c r="N103">
        <f>IF(AND(C103&lt;&gt;"",F103="Quote",COUNTIFS(Costs!$C$6:$C$305,C103,Costs!$F$6:$F$305,"Hired")+COUNTIFS(Costs!$C$6:$C$305,C103,Costs!$F$6:$F$305,"Bought")=0),1/COUNTIFS(Costs!$C$6:$C$305,C103,Costs!$F$6:$F$305,"Quote"),"")</f>
        <v/>
      </c>
      <c r="O103">
        <f>IF(AND(OR(F103="Hired",F103="Bought"),N(I103)&gt;0,H103&lt;&gt;""),H103+ROW()/100000,"")</f>
        <v/>
      </c>
    </row>
    <row r="104">
      <c r="A104" s="1" t="n"/>
      <c r="B104" s="33" t="n"/>
      <c r="C104" s="33" t="n"/>
      <c r="D104" s="33" t="n"/>
      <c r="E104" s="27" t="n"/>
      <c r="F104" s="34" t="n"/>
      <c r="G104" s="27" t="n"/>
      <c r="H104" s="35" t="n"/>
      <c r="I104" s="14">
        <f>IF(OR(E104="",AND(F104&lt;&gt;"Hired",F104&lt;&gt;"Bought")),"",E104-N(G104))</f>
        <v/>
      </c>
      <c r="J104" s="16">
        <f>IF(C104&amp;E104="","",IF(F104="","Choose a stage",IF(F104="Quote","",IF(E104="","Add the amount",IF(I104&lt;=0,"Paid",IF(H104="","Balance due, no date set",IF(H104&lt;TODAY(),"Overdue by "&amp;(TODAY()-H104)&amp;IF((TODAY()-H104)=1," day"," days"),IF(H104=TODAY(),"Due today",IF((H104-TODAY())&lt;=14,"Due in "&amp;(H104-TODAY())&amp;IF((H104-TODAY())=1," day"," days"),"Next payment in "&amp;(H104-TODAY())&amp;" days")))))))))</f>
        <v/>
      </c>
      <c r="K104" s="16">
        <f>IF(OR(C104="",E104=""),"",IF(COUNTIFS(Costs!$C$6:$C$305,C104,Costs!$E$6:$E$305,"&lt;&gt;")&lt;2,"",IF(M104=1,"Cheapest of "&amp;COUNTIFS(Costs!$C$6:$C$305,C104,Costs!$E$6:$E$305,"&lt;&gt;"),FIXED(E104-SUMIFS(Costs!$E$6:$E$305,Costs!$C$6:$C$305,C104,Costs!$M$6:$M$305,1)/COUNTIFS(Costs!$C$6:$C$305,C104,Costs!$M$6:$M$305,1),0)&amp;" more than the cheapest")))</f>
        <v/>
      </c>
      <c r="L104" s="33" t="n"/>
      <c r="M104" s="1">
        <f>IF(OR(C104="",E104=""),"",IF(COUNTIFS(Costs!$C$6:$C$305,C104,Costs!$E$6:$E$305,"&lt;"&amp;E104)=0,1,0))</f>
        <v/>
      </c>
      <c r="N104">
        <f>IF(AND(C104&lt;&gt;"",F104="Quote",COUNTIFS(Costs!$C$6:$C$305,C104,Costs!$F$6:$F$305,"Hired")+COUNTIFS(Costs!$C$6:$C$305,C104,Costs!$F$6:$F$305,"Bought")=0),1/COUNTIFS(Costs!$C$6:$C$305,C104,Costs!$F$6:$F$305,"Quote"),"")</f>
        <v/>
      </c>
      <c r="O104">
        <f>IF(AND(OR(F104="Hired",F104="Bought"),N(I104)&gt;0,H104&lt;&gt;""),H104+ROW()/100000,"")</f>
        <v/>
      </c>
    </row>
    <row r="105">
      <c r="A105" s="1" t="n"/>
      <c r="B105" s="33" t="n"/>
      <c r="C105" s="33" t="n"/>
      <c r="D105" s="33" t="n"/>
      <c r="E105" s="27" t="n"/>
      <c r="F105" s="34" t="n"/>
      <c r="G105" s="27" t="n"/>
      <c r="H105" s="35" t="n"/>
      <c r="I105" s="14">
        <f>IF(OR(E105="",AND(F105&lt;&gt;"Hired",F105&lt;&gt;"Bought")),"",E105-N(G105))</f>
        <v/>
      </c>
      <c r="J105" s="16">
        <f>IF(C105&amp;E105="","",IF(F105="","Choose a stage",IF(F105="Quote","",IF(E105="","Add the amount",IF(I105&lt;=0,"Paid",IF(H105="","Balance due, no date set",IF(H105&lt;TODAY(),"Overdue by "&amp;(TODAY()-H105)&amp;IF((TODAY()-H105)=1," day"," days"),IF(H105=TODAY(),"Due today",IF((H105-TODAY())&lt;=14,"Due in "&amp;(H105-TODAY())&amp;IF((H105-TODAY())=1," day"," days"),"Next payment in "&amp;(H105-TODAY())&amp;" days")))))))))</f>
        <v/>
      </c>
      <c r="K105" s="16">
        <f>IF(OR(C105="",E105=""),"",IF(COUNTIFS(Costs!$C$6:$C$305,C105,Costs!$E$6:$E$305,"&lt;&gt;")&lt;2,"",IF(M105=1,"Cheapest of "&amp;COUNTIFS(Costs!$C$6:$C$305,C105,Costs!$E$6:$E$305,"&lt;&gt;"),FIXED(E105-SUMIFS(Costs!$E$6:$E$305,Costs!$C$6:$C$305,C105,Costs!$M$6:$M$305,1)/COUNTIFS(Costs!$C$6:$C$305,C105,Costs!$M$6:$M$305,1),0)&amp;" more than the cheapest")))</f>
        <v/>
      </c>
      <c r="L105" s="33" t="n"/>
      <c r="M105" s="1">
        <f>IF(OR(C105="",E105=""),"",IF(COUNTIFS(Costs!$C$6:$C$305,C105,Costs!$E$6:$E$305,"&lt;"&amp;E105)=0,1,0))</f>
        <v/>
      </c>
      <c r="N105">
        <f>IF(AND(C105&lt;&gt;"",F105="Quote",COUNTIFS(Costs!$C$6:$C$305,C105,Costs!$F$6:$F$305,"Hired")+COUNTIFS(Costs!$C$6:$C$305,C105,Costs!$F$6:$F$305,"Bought")=0),1/COUNTIFS(Costs!$C$6:$C$305,C105,Costs!$F$6:$F$305,"Quote"),"")</f>
        <v/>
      </c>
      <c r="O105">
        <f>IF(AND(OR(F105="Hired",F105="Bought"),N(I105)&gt;0,H105&lt;&gt;""),H105+ROW()/100000,"")</f>
        <v/>
      </c>
    </row>
    <row r="106">
      <c r="A106" s="1" t="n"/>
      <c r="B106" s="33" t="n"/>
      <c r="C106" s="33" t="n"/>
      <c r="D106" s="33" t="n"/>
      <c r="E106" s="27" t="n"/>
      <c r="F106" s="34" t="n"/>
      <c r="G106" s="27" t="n"/>
      <c r="H106" s="35" t="n"/>
      <c r="I106" s="14">
        <f>IF(OR(E106="",AND(F106&lt;&gt;"Hired",F106&lt;&gt;"Bought")),"",E106-N(G106))</f>
        <v/>
      </c>
      <c r="J106" s="16">
        <f>IF(C106&amp;E106="","",IF(F106="","Choose a stage",IF(F106="Quote","",IF(E106="","Add the amount",IF(I106&lt;=0,"Paid",IF(H106="","Balance due, no date set",IF(H106&lt;TODAY(),"Overdue by "&amp;(TODAY()-H106)&amp;IF((TODAY()-H106)=1," day"," days"),IF(H106=TODAY(),"Due today",IF((H106-TODAY())&lt;=14,"Due in "&amp;(H106-TODAY())&amp;IF((H106-TODAY())=1," day"," days"),"Next payment in "&amp;(H106-TODAY())&amp;" days")))))))))</f>
        <v/>
      </c>
      <c r="K106" s="16">
        <f>IF(OR(C106="",E106=""),"",IF(COUNTIFS(Costs!$C$6:$C$305,C106,Costs!$E$6:$E$305,"&lt;&gt;")&lt;2,"",IF(M106=1,"Cheapest of "&amp;COUNTIFS(Costs!$C$6:$C$305,C106,Costs!$E$6:$E$305,"&lt;&gt;"),FIXED(E106-SUMIFS(Costs!$E$6:$E$305,Costs!$C$6:$C$305,C106,Costs!$M$6:$M$305,1)/COUNTIFS(Costs!$C$6:$C$305,C106,Costs!$M$6:$M$305,1),0)&amp;" more than the cheapest")))</f>
        <v/>
      </c>
      <c r="L106" s="33" t="n"/>
      <c r="M106" s="1">
        <f>IF(OR(C106="",E106=""),"",IF(COUNTIFS(Costs!$C$6:$C$305,C106,Costs!$E$6:$E$305,"&lt;"&amp;E106)=0,1,0))</f>
        <v/>
      </c>
      <c r="N106">
        <f>IF(AND(C106&lt;&gt;"",F106="Quote",COUNTIFS(Costs!$C$6:$C$305,C106,Costs!$F$6:$F$305,"Hired")+COUNTIFS(Costs!$C$6:$C$305,C106,Costs!$F$6:$F$305,"Bought")=0),1/COUNTIFS(Costs!$C$6:$C$305,C106,Costs!$F$6:$F$305,"Quote"),"")</f>
        <v/>
      </c>
      <c r="O106">
        <f>IF(AND(OR(F106="Hired",F106="Bought"),N(I106)&gt;0,H106&lt;&gt;""),H106+ROW()/100000,"")</f>
        <v/>
      </c>
    </row>
    <row r="107">
      <c r="A107" s="1" t="n"/>
      <c r="B107" s="33" t="n"/>
      <c r="C107" s="33" t="n"/>
      <c r="D107" s="33" t="n"/>
      <c r="E107" s="27" t="n"/>
      <c r="F107" s="34" t="n"/>
      <c r="G107" s="27" t="n"/>
      <c r="H107" s="35" t="n"/>
      <c r="I107" s="14">
        <f>IF(OR(E107="",AND(F107&lt;&gt;"Hired",F107&lt;&gt;"Bought")),"",E107-N(G107))</f>
        <v/>
      </c>
      <c r="J107" s="16">
        <f>IF(C107&amp;E107="","",IF(F107="","Choose a stage",IF(F107="Quote","",IF(E107="","Add the amount",IF(I107&lt;=0,"Paid",IF(H107="","Balance due, no date set",IF(H107&lt;TODAY(),"Overdue by "&amp;(TODAY()-H107)&amp;IF((TODAY()-H107)=1," day"," days"),IF(H107=TODAY(),"Due today",IF((H107-TODAY())&lt;=14,"Due in "&amp;(H107-TODAY())&amp;IF((H107-TODAY())=1," day"," days"),"Next payment in "&amp;(H107-TODAY())&amp;" days")))))))))</f>
        <v/>
      </c>
      <c r="K107" s="16">
        <f>IF(OR(C107="",E107=""),"",IF(COUNTIFS(Costs!$C$6:$C$305,C107,Costs!$E$6:$E$305,"&lt;&gt;")&lt;2,"",IF(M107=1,"Cheapest of "&amp;COUNTIFS(Costs!$C$6:$C$305,C107,Costs!$E$6:$E$305,"&lt;&gt;"),FIXED(E107-SUMIFS(Costs!$E$6:$E$305,Costs!$C$6:$C$305,C107,Costs!$M$6:$M$305,1)/COUNTIFS(Costs!$C$6:$C$305,C107,Costs!$M$6:$M$305,1),0)&amp;" more than the cheapest")))</f>
        <v/>
      </c>
      <c r="L107" s="33" t="n"/>
      <c r="M107" s="1">
        <f>IF(OR(C107="",E107=""),"",IF(COUNTIFS(Costs!$C$6:$C$305,C107,Costs!$E$6:$E$305,"&lt;"&amp;E107)=0,1,0))</f>
        <v/>
      </c>
      <c r="N107">
        <f>IF(AND(C107&lt;&gt;"",F107="Quote",COUNTIFS(Costs!$C$6:$C$305,C107,Costs!$F$6:$F$305,"Hired")+COUNTIFS(Costs!$C$6:$C$305,C107,Costs!$F$6:$F$305,"Bought")=0),1/COUNTIFS(Costs!$C$6:$C$305,C107,Costs!$F$6:$F$305,"Quote"),"")</f>
        <v/>
      </c>
      <c r="O107">
        <f>IF(AND(OR(F107="Hired",F107="Bought"),N(I107)&gt;0,H107&lt;&gt;""),H107+ROW()/100000,"")</f>
        <v/>
      </c>
    </row>
    <row r="108">
      <c r="A108" s="1" t="n"/>
      <c r="B108" s="33" t="n"/>
      <c r="C108" s="33" t="n"/>
      <c r="D108" s="33" t="n"/>
      <c r="E108" s="27" t="n"/>
      <c r="F108" s="34" t="n"/>
      <c r="G108" s="27" t="n"/>
      <c r="H108" s="35" t="n"/>
      <c r="I108" s="14">
        <f>IF(OR(E108="",AND(F108&lt;&gt;"Hired",F108&lt;&gt;"Bought")),"",E108-N(G108))</f>
        <v/>
      </c>
      <c r="J108" s="16">
        <f>IF(C108&amp;E108="","",IF(F108="","Choose a stage",IF(F108="Quote","",IF(E108="","Add the amount",IF(I108&lt;=0,"Paid",IF(H108="","Balance due, no date set",IF(H108&lt;TODAY(),"Overdue by "&amp;(TODAY()-H108)&amp;IF((TODAY()-H108)=1," day"," days"),IF(H108=TODAY(),"Due today",IF((H108-TODAY())&lt;=14,"Due in "&amp;(H108-TODAY())&amp;IF((H108-TODAY())=1," day"," days"),"Next payment in "&amp;(H108-TODAY())&amp;" days")))))))))</f>
        <v/>
      </c>
      <c r="K108" s="16">
        <f>IF(OR(C108="",E108=""),"",IF(COUNTIFS(Costs!$C$6:$C$305,C108,Costs!$E$6:$E$305,"&lt;&gt;")&lt;2,"",IF(M108=1,"Cheapest of "&amp;COUNTIFS(Costs!$C$6:$C$305,C108,Costs!$E$6:$E$305,"&lt;&gt;"),FIXED(E108-SUMIFS(Costs!$E$6:$E$305,Costs!$C$6:$C$305,C108,Costs!$M$6:$M$305,1)/COUNTIFS(Costs!$C$6:$C$305,C108,Costs!$M$6:$M$305,1),0)&amp;" more than the cheapest")))</f>
        <v/>
      </c>
      <c r="L108" s="33" t="n"/>
      <c r="M108" s="1">
        <f>IF(OR(C108="",E108=""),"",IF(COUNTIFS(Costs!$C$6:$C$305,C108,Costs!$E$6:$E$305,"&lt;"&amp;E108)=0,1,0))</f>
        <v/>
      </c>
      <c r="N108">
        <f>IF(AND(C108&lt;&gt;"",F108="Quote",COUNTIFS(Costs!$C$6:$C$305,C108,Costs!$F$6:$F$305,"Hired")+COUNTIFS(Costs!$C$6:$C$305,C108,Costs!$F$6:$F$305,"Bought")=0),1/COUNTIFS(Costs!$C$6:$C$305,C108,Costs!$F$6:$F$305,"Quote"),"")</f>
        <v/>
      </c>
      <c r="O108">
        <f>IF(AND(OR(F108="Hired",F108="Bought"),N(I108)&gt;0,H108&lt;&gt;""),H108+ROW()/100000,"")</f>
        <v/>
      </c>
    </row>
    <row r="109">
      <c r="A109" s="1" t="n"/>
      <c r="B109" s="33" t="n"/>
      <c r="C109" s="33" t="n"/>
      <c r="D109" s="33" t="n"/>
      <c r="E109" s="27" t="n"/>
      <c r="F109" s="34" t="n"/>
      <c r="G109" s="27" t="n"/>
      <c r="H109" s="35" t="n"/>
      <c r="I109" s="14">
        <f>IF(OR(E109="",AND(F109&lt;&gt;"Hired",F109&lt;&gt;"Bought")),"",E109-N(G109))</f>
        <v/>
      </c>
      <c r="J109" s="16">
        <f>IF(C109&amp;E109="","",IF(F109="","Choose a stage",IF(F109="Quote","",IF(E109="","Add the amount",IF(I109&lt;=0,"Paid",IF(H109="","Balance due, no date set",IF(H109&lt;TODAY(),"Overdue by "&amp;(TODAY()-H109)&amp;IF((TODAY()-H109)=1," day"," days"),IF(H109=TODAY(),"Due today",IF((H109-TODAY())&lt;=14,"Due in "&amp;(H109-TODAY())&amp;IF((H109-TODAY())=1," day"," days"),"Next payment in "&amp;(H109-TODAY())&amp;" days")))))))))</f>
        <v/>
      </c>
      <c r="K109" s="16">
        <f>IF(OR(C109="",E109=""),"",IF(COUNTIFS(Costs!$C$6:$C$305,C109,Costs!$E$6:$E$305,"&lt;&gt;")&lt;2,"",IF(M109=1,"Cheapest of "&amp;COUNTIFS(Costs!$C$6:$C$305,C109,Costs!$E$6:$E$305,"&lt;&gt;"),FIXED(E109-SUMIFS(Costs!$E$6:$E$305,Costs!$C$6:$C$305,C109,Costs!$M$6:$M$305,1)/COUNTIFS(Costs!$C$6:$C$305,C109,Costs!$M$6:$M$305,1),0)&amp;" more than the cheapest")))</f>
        <v/>
      </c>
      <c r="L109" s="33" t="n"/>
      <c r="M109" s="1">
        <f>IF(OR(C109="",E109=""),"",IF(COUNTIFS(Costs!$C$6:$C$305,C109,Costs!$E$6:$E$305,"&lt;"&amp;E109)=0,1,0))</f>
        <v/>
      </c>
      <c r="N109">
        <f>IF(AND(C109&lt;&gt;"",F109="Quote",COUNTIFS(Costs!$C$6:$C$305,C109,Costs!$F$6:$F$305,"Hired")+COUNTIFS(Costs!$C$6:$C$305,C109,Costs!$F$6:$F$305,"Bought")=0),1/COUNTIFS(Costs!$C$6:$C$305,C109,Costs!$F$6:$F$305,"Quote"),"")</f>
        <v/>
      </c>
      <c r="O109">
        <f>IF(AND(OR(F109="Hired",F109="Bought"),N(I109)&gt;0,H109&lt;&gt;""),H109+ROW()/100000,"")</f>
        <v/>
      </c>
    </row>
    <row r="110">
      <c r="A110" s="1" t="n"/>
      <c r="B110" s="33" t="n"/>
      <c r="C110" s="33" t="n"/>
      <c r="D110" s="33" t="n"/>
      <c r="E110" s="27" t="n"/>
      <c r="F110" s="34" t="n"/>
      <c r="G110" s="27" t="n"/>
      <c r="H110" s="35" t="n"/>
      <c r="I110" s="14">
        <f>IF(OR(E110="",AND(F110&lt;&gt;"Hired",F110&lt;&gt;"Bought")),"",E110-N(G110))</f>
        <v/>
      </c>
      <c r="J110" s="16">
        <f>IF(C110&amp;E110="","",IF(F110="","Choose a stage",IF(F110="Quote","",IF(E110="","Add the amount",IF(I110&lt;=0,"Paid",IF(H110="","Balance due, no date set",IF(H110&lt;TODAY(),"Overdue by "&amp;(TODAY()-H110)&amp;IF((TODAY()-H110)=1," day"," days"),IF(H110=TODAY(),"Due today",IF((H110-TODAY())&lt;=14,"Due in "&amp;(H110-TODAY())&amp;IF((H110-TODAY())=1," day"," days"),"Next payment in "&amp;(H110-TODAY())&amp;" days")))))))))</f>
        <v/>
      </c>
      <c r="K110" s="16">
        <f>IF(OR(C110="",E110=""),"",IF(COUNTIFS(Costs!$C$6:$C$305,C110,Costs!$E$6:$E$305,"&lt;&gt;")&lt;2,"",IF(M110=1,"Cheapest of "&amp;COUNTIFS(Costs!$C$6:$C$305,C110,Costs!$E$6:$E$305,"&lt;&gt;"),FIXED(E110-SUMIFS(Costs!$E$6:$E$305,Costs!$C$6:$C$305,C110,Costs!$M$6:$M$305,1)/COUNTIFS(Costs!$C$6:$C$305,C110,Costs!$M$6:$M$305,1),0)&amp;" more than the cheapest")))</f>
        <v/>
      </c>
      <c r="L110" s="33" t="n"/>
      <c r="M110" s="1">
        <f>IF(OR(C110="",E110=""),"",IF(COUNTIFS(Costs!$C$6:$C$305,C110,Costs!$E$6:$E$305,"&lt;"&amp;E110)=0,1,0))</f>
        <v/>
      </c>
      <c r="N110">
        <f>IF(AND(C110&lt;&gt;"",F110="Quote",COUNTIFS(Costs!$C$6:$C$305,C110,Costs!$F$6:$F$305,"Hired")+COUNTIFS(Costs!$C$6:$C$305,C110,Costs!$F$6:$F$305,"Bought")=0),1/COUNTIFS(Costs!$C$6:$C$305,C110,Costs!$F$6:$F$305,"Quote"),"")</f>
        <v/>
      </c>
      <c r="O110">
        <f>IF(AND(OR(F110="Hired",F110="Bought"),N(I110)&gt;0,H110&lt;&gt;""),H110+ROW()/100000,"")</f>
        <v/>
      </c>
    </row>
    <row r="111">
      <c r="A111" s="1" t="n"/>
      <c r="B111" s="33" t="n"/>
      <c r="C111" s="33" t="n"/>
      <c r="D111" s="33" t="n"/>
      <c r="E111" s="27" t="n"/>
      <c r="F111" s="34" t="n"/>
      <c r="G111" s="27" t="n"/>
      <c r="H111" s="35" t="n"/>
      <c r="I111" s="14">
        <f>IF(OR(E111="",AND(F111&lt;&gt;"Hired",F111&lt;&gt;"Bought")),"",E111-N(G111))</f>
        <v/>
      </c>
      <c r="J111" s="16">
        <f>IF(C111&amp;E111="","",IF(F111="","Choose a stage",IF(F111="Quote","",IF(E111="","Add the amount",IF(I111&lt;=0,"Paid",IF(H111="","Balance due, no date set",IF(H111&lt;TODAY(),"Overdue by "&amp;(TODAY()-H111)&amp;IF((TODAY()-H111)=1," day"," days"),IF(H111=TODAY(),"Due today",IF((H111-TODAY())&lt;=14,"Due in "&amp;(H111-TODAY())&amp;IF((H111-TODAY())=1," day"," days"),"Next payment in "&amp;(H111-TODAY())&amp;" days")))))))))</f>
        <v/>
      </c>
      <c r="K111" s="16">
        <f>IF(OR(C111="",E111=""),"",IF(COUNTIFS(Costs!$C$6:$C$305,C111,Costs!$E$6:$E$305,"&lt;&gt;")&lt;2,"",IF(M111=1,"Cheapest of "&amp;COUNTIFS(Costs!$C$6:$C$305,C111,Costs!$E$6:$E$305,"&lt;&gt;"),FIXED(E111-SUMIFS(Costs!$E$6:$E$305,Costs!$C$6:$C$305,C111,Costs!$M$6:$M$305,1)/COUNTIFS(Costs!$C$6:$C$305,C111,Costs!$M$6:$M$305,1),0)&amp;" more than the cheapest")))</f>
        <v/>
      </c>
      <c r="L111" s="33" t="n"/>
      <c r="M111" s="1">
        <f>IF(OR(C111="",E111=""),"",IF(COUNTIFS(Costs!$C$6:$C$305,C111,Costs!$E$6:$E$305,"&lt;"&amp;E111)=0,1,0))</f>
        <v/>
      </c>
      <c r="N111">
        <f>IF(AND(C111&lt;&gt;"",F111="Quote",COUNTIFS(Costs!$C$6:$C$305,C111,Costs!$F$6:$F$305,"Hired")+COUNTIFS(Costs!$C$6:$C$305,C111,Costs!$F$6:$F$305,"Bought")=0),1/COUNTIFS(Costs!$C$6:$C$305,C111,Costs!$F$6:$F$305,"Quote"),"")</f>
        <v/>
      </c>
      <c r="O111">
        <f>IF(AND(OR(F111="Hired",F111="Bought"),N(I111)&gt;0,H111&lt;&gt;""),H111+ROW()/100000,"")</f>
        <v/>
      </c>
    </row>
    <row r="112">
      <c r="A112" s="1" t="n"/>
      <c r="B112" s="33" t="n"/>
      <c r="C112" s="33" t="n"/>
      <c r="D112" s="33" t="n"/>
      <c r="E112" s="27" t="n"/>
      <c r="F112" s="34" t="n"/>
      <c r="G112" s="27" t="n"/>
      <c r="H112" s="35" t="n"/>
      <c r="I112" s="14">
        <f>IF(OR(E112="",AND(F112&lt;&gt;"Hired",F112&lt;&gt;"Bought")),"",E112-N(G112))</f>
        <v/>
      </c>
      <c r="J112" s="16">
        <f>IF(C112&amp;E112="","",IF(F112="","Choose a stage",IF(F112="Quote","",IF(E112="","Add the amount",IF(I112&lt;=0,"Paid",IF(H112="","Balance due, no date set",IF(H112&lt;TODAY(),"Overdue by "&amp;(TODAY()-H112)&amp;IF((TODAY()-H112)=1," day"," days"),IF(H112=TODAY(),"Due today",IF((H112-TODAY())&lt;=14,"Due in "&amp;(H112-TODAY())&amp;IF((H112-TODAY())=1," day"," days"),"Next payment in "&amp;(H112-TODAY())&amp;" days")))))))))</f>
        <v/>
      </c>
      <c r="K112" s="16">
        <f>IF(OR(C112="",E112=""),"",IF(COUNTIFS(Costs!$C$6:$C$305,C112,Costs!$E$6:$E$305,"&lt;&gt;")&lt;2,"",IF(M112=1,"Cheapest of "&amp;COUNTIFS(Costs!$C$6:$C$305,C112,Costs!$E$6:$E$305,"&lt;&gt;"),FIXED(E112-SUMIFS(Costs!$E$6:$E$305,Costs!$C$6:$C$305,C112,Costs!$M$6:$M$305,1)/COUNTIFS(Costs!$C$6:$C$305,C112,Costs!$M$6:$M$305,1),0)&amp;" more than the cheapest")))</f>
        <v/>
      </c>
      <c r="L112" s="33" t="n"/>
      <c r="M112" s="1">
        <f>IF(OR(C112="",E112=""),"",IF(COUNTIFS(Costs!$C$6:$C$305,C112,Costs!$E$6:$E$305,"&lt;"&amp;E112)=0,1,0))</f>
        <v/>
      </c>
      <c r="N112">
        <f>IF(AND(C112&lt;&gt;"",F112="Quote",COUNTIFS(Costs!$C$6:$C$305,C112,Costs!$F$6:$F$305,"Hired")+COUNTIFS(Costs!$C$6:$C$305,C112,Costs!$F$6:$F$305,"Bought")=0),1/COUNTIFS(Costs!$C$6:$C$305,C112,Costs!$F$6:$F$305,"Quote"),"")</f>
        <v/>
      </c>
      <c r="O112">
        <f>IF(AND(OR(F112="Hired",F112="Bought"),N(I112)&gt;0,H112&lt;&gt;""),H112+ROW()/100000,"")</f>
        <v/>
      </c>
    </row>
    <row r="113">
      <c r="A113" s="1" t="n"/>
      <c r="B113" s="33" t="n"/>
      <c r="C113" s="33" t="n"/>
      <c r="D113" s="33" t="n"/>
      <c r="E113" s="27" t="n"/>
      <c r="F113" s="34" t="n"/>
      <c r="G113" s="27" t="n"/>
      <c r="H113" s="35" t="n"/>
      <c r="I113" s="14">
        <f>IF(OR(E113="",AND(F113&lt;&gt;"Hired",F113&lt;&gt;"Bought")),"",E113-N(G113))</f>
        <v/>
      </c>
      <c r="J113" s="16">
        <f>IF(C113&amp;E113="","",IF(F113="","Choose a stage",IF(F113="Quote","",IF(E113="","Add the amount",IF(I113&lt;=0,"Paid",IF(H113="","Balance due, no date set",IF(H113&lt;TODAY(),"Overdue by "&amp;(TODAY()-H113)&amp;IF((TODAY()-H113)=1," day"," days"),IF(H113=TODAY(),"Due today",IF((H113-TODAY())&lt;=14,"Due in "&amp;(H113-TODAY())&amp;IF((H113-TODAY())=1," day"," days"),"Next payment in "&amp;(H113-TODAY())&amp;" days")))))))))</f>
        <v/>
      </c>
      <c r="K113" s="16">
        <f>IF(OR(C113="",E113=""),"",IF(COUNTIFS(Costs!$C$6:$C$305,C113,Costs!$E$6:$E$305,"&lt;&gt;")&lt;2,"",IF(M113=1,"Cheapest of "&amp;COUNTIFS(Costs!$C$6:$C$305,C113,Costs!$E$6:$E$305,"&lt;&gt;"),FIXED(E113-SUMIFS(Costs!$E$6:$E$305,Costs!$C$6:$C$305,C113,Costs!$M$6:$M$305,1)/COUNTIFS(Costs!$C$6:$C$305,C113,Costs!$M$6:$M$305,1),0)&amp;" more than the cheapest")))</f>
        <v/>
      </c>
      <c r="L113" s="33" t="n"/>
      <c r="M113" s="1">
        <f>IF(OR(C113="",E113=""),"",IF(COUNTIFS(Costs!$C$6:$C$305,C113,Costs!$E$6:$E$305,"&lt;"&amp;E113)=0,1,0))</f>
        <v/>
      </c>
      <c r="N113">
        <f>IF(AND(C113&lt;&gt;"",F113="Quote",COUNTIFS(Costs!$C$6:$C$305,C113,Costs!$F$6:$F$305,"Hired")+COUNTIFS(Costs!$C$6:$C$305,C113,Costs!$F$6:$F$305,"Bought")=0),1/COUNTIFS(Costs!$C$6:$C$305,C113,Costs!$F$6:$F$305,"Quote"),"")</f>
        <v/>
      </c>
      <c r="O113">
        <f>IF(AND(OR(F113="Hired",F113="Bought"),N(I113)&gt;0,H113&lt;&gt;""),H113+ROW()/100000,"")</f>
        <v/>
      </c>
    </row>
    <row r="114">
      <c r="A114" s="1" t="n"/>
      <c r="B114" s="33" t="n"/>
      <c r="C114" s="33" t="n"/>
      <c r="D114" s="33" t="n"/>
      <c r="E114" s="27" t="n"/>
      <c r="F114" s="34" t="n"/>
      <c r="G114" s="27" t="n"/>
      <c r="H114" s="35" t="n"/>
      <c r="I114" s="14">
        <f>IF(OR(E114="",AND(F114&lt;&gt;"Hired",F114&lt;&gt;"Bought")),"",E114-N(G114))</f>
        <v/>
      </c>
      <c r="J114" s="16">
        <f>IF(C114&amp;E114="","",IF(F114="","Choose a stage",IF(F114="Quote","",IF(E114="","Add the amount",IF(I114&lt;=0,"Paid",IF(H114="","Balance due, no date set",IF(H114&lt;TODAY(),"Overdue by "&amp;(TODAY()-H114)&amp;IF((TODAY()-H114)=1," day"," days"),IF(H114=TODAY(),"Due today",IF((H114-TODAY())&lt;=14,"Due in "&amp;(H114-TODAY())&amp;IF((H114-TODAY())=1," day"," days"),"Next payment in "&amp;(H114-TODAY())&amp;" days")))))))))</f>
        <v/>
      </c>
      <c r="K114" s="16">
        <f>IF(OR(C114="",E114=""),"",IF(COUNTIFS(Costs!$C$6:$C$305,C114,Costs!$E$6:$E$305,"&lt;&gt;")&lt;2,"",IF(M114=1,"Cheapest of "&amp;COUNTIFS(Costs!$C$6:$C$305,C114,Costs!$E$6:$E$305,"&lt;&gt;"),FIXED(E114-SUMIFS(Costs!$E$6:$E$305,Costs!$C$6:$C$305,C114,Costs!$M$6:$M$305,1)/COUNTIFS(Costs!$C$6:$C$305,C114,Costs!$M$6:$M$305,1),0)&amp;" more than the cheapest")))</f>
        <v/>
      </c>
      <c r="L114" s="33" t="n"/>
      <c r="M114" s="1">
        <f>IF(OR(C114="",E114=""),"",IF(COUNTIFS(Costs!$C$6:$C$305,C114,Costs!$E$6:$E$305,"&lt;"&amp;E114)=0,1,0))</f>
        <v/>
      </c>
      <c r="N114">
        <f>IF(AND(C114&lt;&gt;"",F114="Quote",COUNTIFS(Costs!$C$6:$C$305,C114,Costs!$F$6:$F$305,"Hired")+COUNTIFS(Costs!$C$6:$C$305,C114,Costs!$F$6:$F$305,"Bought")=0),1/COUNTIFS(Costs!$C$6:$C$305,C114,Costs!$F$6:$F$305,"Quote"),"")</f>
        <v/>
      </c>
      <c r="O114">
        <f>IF(AND(OR(F114="Hired",F114="Bought"),N(I114)&gt;0,H114&lt;&gt;""),H114+ROW()/100000,"")</f>
        <v/>
      </c>
    </row>
    <row r="115">
      <c r="A115" s="1" t="n"/>
      <c r="B115" s="33" t="n"/>
      <c r="C115" s="33" t="n"/>
      <c r="D115" s="33" t="n"/>
      <c r="E115" s="27" t="n"/>
      <c r="F115" s="34" t="n"/>
      <c r="G115" s="27" t="n"/>
      <c r="H115" s="35" t="n"/>
      <c r="I115" s="14">
        <f>IF(OR(E115="",AND(F115&lt;&gt;"Hired",F115&lt;&gt;"Bought")),"",E115-N(G115))</f>
        <v/>
      </c>
      <c r="J115" s="16">
        <f>IF(C115&amp;E115="","",IF(F115="","Choose a stage",IF(F115="Quote","",IF(E115="","Add the amount",IF(I115&lt;=0,"Paid",IF(H115="","Balance due, no date set",IF(H115&lt;TODAY(),"Overdue by "&amp;(TODAY()-H115)&amp;IF((TODAY()-H115)=1," day"," days"),IF(H115=TODAY(),"Due today",IF((H115-TODAY())&lt;=14,"Due in "&amp;(H115-TODAY())&amp;IF((H115-TODAY())=1," day"," days"),"Next payment in "&amp;(H115-TODAY())&amp;" days")))))))))</f>
        <v/>
      </c>
      <c r="K115" s="16">
        <f>IF(OR(C115="",E115=""),"",IF(COUNTIFS(Costs!$C$6:$C$305,C115,Costs!$E$6:$E$305,"&lt;&gt;")&lt;2,"",IF(M115=1,"Cheapest of "&amp;COUNTIFS(Costs!$C$6:$C$305,C115,Costs!$E$6:$E$305,"&lt;&gt;"),FIXED(E115-SUMIFS(Costs!$E$6:$E$305,Costs!$C$6:$C$305,C115,Costs!$M$6:$M$305,1)/COUNTIFS(Costs!$C$6:$C$305,C115,Costs!$M$6:$M$305,1),0)&amp;" more than the cheapest")))</f>
        <v/>
      </c>
      <c r="L115" s="33" t="n"/>
      <c r="M115" s="1">
        <f>IF(OR(C115="",E115=""),"",IF(COUNTIFS(Costs!$C$6:$C$305,C115,Costs!$E$6:$E$305,"&lt;"&amp;E115)=0,1,0))</f>
        <v/>
      </c>
      <c r="N115">
        <f>IF(AND(C115&lt;&gt;"",F115="Quote",COUNTIFS(Costs!$C$6:$C$305,C115,Costs!$F$6:$F$305,"Hired")+COUNTIFS(Costs!$C$6:$C$305,C115,Costs!$F$6:$F$305,"Bought")=0),1/COUNTIFS(Costs!$C$6:$C$305,C115,Costs!$F$6:$F$305,"Quote"),"")</f>
        <v/>
      </c>
      <c r="O115">
        <f>IF(AND(OR(F115="Hired",F115="Bought"),N(I115)&gt;0,H115&lt;&gt;""),H115+ROW()/100000,"")</f>
        <v/>
      </c>
    </row>
    <row r="116">
      <c r="A116" s="1" t="n"/>
      <c r="B116" s="33" t="n"/>
      <c r="C116" s="33" t="n"/>
      <c r="D116" s="33" t="n"/>
      <c r="E116" s="27" t="n"/>
      <c r="F116" s="34" t="n"/>
      <c r="G116" s="27" t="n"/>
      <c r="H116" s="35" t="n"/>
      <c r="I116" s="14">
        <f>IF(OR(E116="",AND(F116&lt;&gt;"Hired",F116&lt;&gt;"Bought")),"",E116-N(G116))</f>
        <v/>
      </c>
      <c r="J116" s="16">
        <f>IF(C116&amp;E116="","",IF(F116="","Choose a stage",IF(F116="Quote","",IF(E116="","Add the amount",IF(I116&lt;=0,"Paid",IF(H116="","Balance due, no date set",IF(H116&lt;TODAY(),"Overdue by "&amp;(TODAY()-H116)&amp;IF((TODAY()-H116)=1," day"," days"),IF(H116=TODAY(),"Due today",IF((H116-TODAY())&lt;=14,"Due in "&amp;(H116-TODAY())&amp;IF((H116-TODAY())=1," day"," days"),"Next payment in "&amp;(H116-TODAY())&amp;" days")))))))))</f>
        <v/>
      </c>
      <c r="K116" s="16">
        <f>IF(OR(C116="",E116=""),"",IF(COUNTIFS(Costs!$C$6:$C$305,C116,Costs!$E$6:$E$305,"&lt;&gt;")&lt;2,"",IF(M116=1,"Cheapest of "&amp;COUNTIFS(Costs!$C$6:$C$305,C116,Costs!$E$6:$E$305,"&lt;&gt;"),FIXED(E116-SUMIFS(Costs!$E$6:$E$305,Costs!$C$6:$C$305,C116,Costs!$M$6:$M$305,1)/COUNTIFS(Costs!$C$6:$C$305,C116,Costs!$M$6:$M$305,1),0)&amp;" more than the cheapest")))</f>
        <v/>
      </c>
      <c r="L116" s="33" t="n"/>
      <c r="M116" s="1">
        <f>IF(OR(C116="",E116=""),"",IF(COUNTIFS(Costs!$C$6:$C$305,C116,Costs!$E$6:$E$305,"&lt;"&amp;E116)=0,1,0))</f>
        <v/>
      </c>
      <c r="N116">
        <f>IF(AND(C116&lt;&gt;"",F116="Quote",COUNTIFS(Costs!$C$6:$C$305,C116,Costs!$F$6:$F$305,"Hired")+COUNTIFS(Costs!$C$6:$C$305,C116,Costs!$F$6:$F$305,"Bought")=0),1/COUNTIFS(Costs!$C$6:$C$305,C116,Costs!$F$6:$F$305,"Quote"),"")</f>
        <v/>
      </c>
      <c r="O116">
        <f>IF(AND(OR(F116="Hired",F116="Bought"),N(I116)&gt;0,H116&lt;&gt;""),H116+ROW()/100000,"")</f>
        <v/>
      </c>
    </row>
    <row r="117">
      <c r="A117" s="1" t="n"/>
      <c r="B117" s="33" t="n"/>
      <c r="C117" s="33" t="n"/>
      <c r="D117" s="33" t="n"/>
      <c r="E117" s="27" t="n"/>
      <c r="F117" s="34" t="n"/>
      <c r="G117" s="27" t="n"/>
      <c r="H117" s="35" t="n"/>
      <c r="I117" s="14">
        <f>IF(OR(E117="",AND(F117&lt;&gt;"Hired",F117&lt;&gt;"Bought")),"",E117-N(G117))</f>
        <v/>
      </c>
      <c r="J117" s="16">
        <f>IF(C117&amp;E117="","",IF(F117="","Choose a stage",IF(F117="Quote","",IF(E117="","Add the amount",IF(I117&lt;=0,"Paid",IF(H117="","Balance due, no date set",IF(H117&lt;TODAY(),"Overdue by "&amp;(TODAY()-H117)&amp;IF((TODAY()-H117)=1," day"," days"),IF(H117=TODAY(),"Due today",IF((H117-TODAY())&lt;=14,"Due in "&amp;(H117-TODAY())&amp;IF((H117-TODAY())=1," day"," days"),"Next payment in "&amp;(H117-TODAY())&amp;" days")))))))))</f>
        <v/>
      </c>
      <c r="K117" s="16">
        <f>IF(OR(C117="",E117=""),"",IF(COUNTIFS(Costs!$C$6:$C$305,C117,Costs!$E$6:$E$305,"&lt;&gt;")&lt;2,"",IF(M117=1,"Cheapest of "&amp;COUNTIFS(Costs!$C$6:$C$305,C117,Costs!$E$6:$E$305,"&lt;&gt;"),FIXED(E117-SUMIFS(Costs!$E$6:$E$305,Costs!$C$6:$C$305,C117,Costs!$M$6:$M$305,1)/COUNTIFS(Costs!$C$6:$C$305,C117,Costs!$M$6:$M$305,1),0)&amp;" more than the cheapest")))</f>
        <v/>
      </c>
      <c r="L117" s="33" t="n"/>
      <c r="M117" s="1">
        <f>IF(OR(C117="",E117=""),"",IF(COUNTIFS(Costs!$C$6:$C$305,C117,Costs!$E$6:$E$305,"&lt;"&amp;E117)=0,1,0))</f>
        <v/>
      </c>
      <c r="N117">
        <f>IF(AND(C117&lt;&gt;"",F117="Quote",COUNTIFS(Costs!$C$6:$C$305,C117,Costs!$F$6:$F$305,"Hired")+COUNTIFS(Costs!$C$6:$C$305,C117,Costs!$F$6:$F$305,"Bought")=0),1/COUNTIFS(Costs!$C$6:$C$305,C117,Costs!$F$6:$F$305,"Quote"),"")</f>
        <v/>
      </c>
      <c r="O117">
        <f>IF(AND(OR(F117="Hired",F117="Bought"),N(I117)&gt;0,H117&lt;&gt;""),H117+ROW()/100000,"")</f>
        <v/>
      </c>
    </row>
    <row r="118">
      <c r="A118" s="1" t="n"/>
      <c r="B118" s="33" t="n"/>
      <c r="C118" s="33" t="n"/>
      <c r="D118" s="33" t="n"/>
      <c r="E118" s="27" t="n"/>
      <c r="F118" s="34" t="n"/>
      <c r="G118" s="27" t="n"/>
      <c r="H118" s="35" t="n"/>
      <c r="I118" s="14">
        <f>IF(OR(E118="",AND(F118&lt;&gt;"Hired",F118&lt;&gt;"Bought")),"",E118-N(G118))</f>
        <v/>
      </c>
      <c r="J118" s="16">
        <f>IF(C118&amp;E118="","",IF(F118="","Choose a stage",IF(F118="Quote","",IF(E118="","Add the amount",IF(I118&lt;=0,"Paid",IF(H118="","Balance due, no date set",IF(H118&lt;TODAY(),"Overdue by "&amp;(TODAY()-H118)&amp;IF((TODAY()-H118)=1," day"," days"),IF(H118=TODAY(),"Due today",IF((H118-TODAY())&lt;=14,"Due in "&amp;(H118-TODAY())&amp;IF((H118-TODAY())=1," day"," days"),"Next payment in "&amp;(H118-TODAY())&amp;" days")))))))))</f>
        <v/>
      </c>
      <c r="K118" s="16">
        <f>IF(OR(C118="",E118=""),"",IF(COUNTIFS(Costs!$C$6:$C$305,C118,Costs!$E$6:$E$305,"&lt;&gt;")&lt;2,"",IF(M118=1,"Cheapest of "&amp;COUNTIFS(Costs!$C$6:$C$305,C118,Costs!$E$6:$E$305,"&lt;&gt;"),FIXED(E118-SUMIFS(Costs!$E$6:$E$305,Costs!$C$6:$C$305,C118,Costs!$M$6:$M$305,1)/COUNTIFS(Costs!$C$6:$C$305,C118,Costs!$M$6:$M$305,1),0)&amp;" more than the cheapest")))</f>
        <v/>
      </c>
      <c r="L118" s="33" t="n"/>
      <c r="M118" s="1">
        <f>IF(OR(C118="",E118=""),"",IF(COUNTIFS(Costs!$C$6:$C$305,C118,Costs!$E$6:$E$305,"&lt;"&amp;E118)=0,1,0))</f>
        <v/>
      </c>
      <c r="N118">
        <f>IF(AND(C118&lt;&gt;"",F118="Quote",COUNTIFS(Costs!$C$6:$C$305,C118,Costs!$F$6:$F$305,"Hired")+COUNTIFS(Costs!$C$6:$C$305,C118,Costs!$F$6:$F$305,"Bought")=0),1/COUNTIFS(Costs!$C$6:$C$305,C118,Costs!$F$6:$F$305,"Quote"),"")</f>
        <v/>
      </c>
      <c r="O118">
        <f>IF(AND(OR(F118="Hired",F118="Bought"),N(I118)&gt;0,H118&lt;&gt;""),H118+ROW()/100000,"")</f>
        <v/>
      </c>
    </row>
    <row r="119">
      <c r="A119" s="1" t="n"/>
      <c r="B119" s="33" t="n"/>
      <c r="C119" s="33" t="n"/>
      <c r="D119" s="33" t="n"/>
      <c r="E119" s="27" t="n"/>
      <c r="F119" s="34" t="n"/>
      <c r="G119" s="27" t="n"/>
      <c r="H119" s="35" t="n"/>
      <c r="I119" s="14">
        <f>IF(OR(E119="",AND(F119&lt;&gt;"Hired",F119&lt;&gt;"Bought")),"",E119-N(G119))</f>
        <v/>
      </c>
      <c r="J119" s="16">
        <f>IF(C119&amp;E119="","",IF(F119="","Choose a stage",IF(F119="Quote","",IF(E119="","Add the amount",IF(I119&lt;=0,"Paid",IF(H119="","Balance due, no date set",IF(H119&lt;TODAY(),"Overdue by "&amp;(TODAY()-H119)&amp;IF((TODAY()-H119)=1," day"," days"),IF(H119=TODAY(),"Due today",IF((H119-TODAY())&lt;=14,"Due in "&amp;(H119-TODAY())&amp;IF((H119-TODAY())=1," day"," days"),"Next payment in "&amp;(H119-TODAY())&amp;" days")))))))))</f>
        <v/>
      </c>
      <c r="K119" s="16">
        <f>IF(OR(C119="",E119=""),"",IF(COUNTIFS(Costs!$C$6:$C$305,C119,Costs!$E$6:$E$305,"&lt;&gt;")&lt;2,"",IF(M119=1,"Cheapest of "&amp;COUNTIFS(Costs!$C$6:$C$305,C119,Costs!$E$6:$E$305,"&lt;&gt;"),FIXED(E119-SUMIFS(Costs!$E$6:$E$305,Costs!$C$6:$C$305,C119,Costs!$M$6:$M$305,1)/COUNTIFS(Costs!$C$6:$C$305,C119,Costs!$M$6:$M$305,1),0)&amp;" more than the cheapest")))</f>
        <v/>
      </c>
      <c r="L119" s="33" t="n"/>
      <c r="M119" s="1">
        <f>IF(OR(C119="",E119=""),"",IF(COUNTIFS(Costs!$C$6:$C$305,C119,Costs!$E$6:$E$305,"&lt;"&amp;E119)=0,1,0))</f>
        <v/>
      </c>
      <c r="N119">
        <f>IF(AND(C119&lt;&gt;"",F119="Quote",COUNTIFS(Costs!$C$6:$C$305,C119,Costs!$F$6:$F$305,"Hired")+COUNTIFS(Costs!$C$6:$C$305,C119,Costs!$F$6:$F$305,"Bought")=0),1/COUNTIFS(Costs!$C$6:$C$305,C119,Costs!$F$6:$F$305,"Quote"),"")</f>
        <v/>
      </c>
      <c r="O119">
        <f>IF(AND(OR(F119="Hired",F119="Bought"),N(I119)&gt;0,H119&lt;&gt;""),H119+ROW()/100000,"")</f>
        <v/>
      </c>
    </row>
    <row r="120">
      <c r="A120" s="1" t="n"/>
      <c r="B120" s="33" t="n"/>
      <c r="C120" s="33" t="n"/>
      <c r="D120" s="33" t="n"/>
      <c r="E120" s="27" t="n"/>
      <c r="F120" s="34" t="n"/>
      <c r="G120" s="27" t="n"/>
      <c r="H120" s="35" t="n"/>
      <c r="I120" s="14">
        <f>IF(OR(E120="",AND(F120&lt;&gt;"Hired",F120&lt;&gt;"Bought")),"",E120-N(G120))</f>
        <v/>
      </c>
      <c r="J120" s="16">
        <f>IF(C120&amp;E120="","",IF(F120="","Choose a stage",IF(F120="Quote","",IF(E120="","Add the amount",IF(I120&lt;=0,"Paid",IF(H120="","Balance due, no date set",IF(H120&lt;TODAY(),"Overdue by "&amp;(TODAY()-H120)&amp;IF((TODAY()-H120)=1," day"," days"),IF(H120=TODAY(),"Due today",IF((H120-TODAY())&lt;=14,"Due in "&amp;(H120-TODAY())&amp;IF((H120-TODAY())=1," day"," days"),"Next payment in "&amp;(H120-TODAY())&amp;" days")))))))))</f>
        <v/>
      </c>
      <c r="K120" s="16">
        <f>IF(OR(C120="",E120=""),"",IF(COUNTIFS(Costs!$C$6:$C$305,C120,Costs!$E$6:$E$305,"&lt;&gt;")&lt;2,"",IF(M120=1,"Cheapest of "&amp;COUNTIFS(Costs!$C$6:$C$305,C120,Costs!$E$6:$E$305,"&lt;&gt;"),FIXED(E120-SUMIFS(Costs!$E$6:$E$305,Costs!$C$6:$C$305,C120,Costs!$M$6:$M$305,1)/COUNTIFS(Costs!$C$6:$C$305,C120,Costs!$M$6:$M$305,1),0)&amp;" more than the cheapest")))</f>
        <v/>
      </c>
      <c r="L120" s="33" t="n"/>
      <c r="M120" s="1">
        <f>IF(OR(C120="",E120=""),"",IF(COUNTIFS(Costs!$C$6:$C$305,C120,Costs!$E$6:$E$305,"&lt;"&amp;E120)=0,1,0))</f>
        <v/>
      </c>
      <c r="N120">
        <f>IF(AND(C120&lt;&gt;"",F120="Quote",COUNTIFS(Costs!$C$6:$C$305,C120,Costs!$F$6:$F$305,"Hired")+COUNTIFS(Costs!$C$6:$C$305,C120,Costs!$F$6:$F$305,"Bought")=0),1/COUNTIFS(Costs!$C$6:$C$305,C120,Costs!$F$6:$F$305,"Quote"),"")</f>
        <v/>
      </c>
      <c r="O120">
        <f>IF(AND(OR(F120="Hired",F120="Bought"),N(I120)&gt;0,H120&lt;&gt;""),H120+ROW()/100000,"")</f>
        <v/>
      </c>
    </row>
    <row r="121">
      <c r="A121" s="1" t="n"/>
      <c r="B121" s="33" t="n"/>
      <c r="C121" s="33" t="n"/>
      <c r="D121" s="33" t="n"/>
      <c r="E121" s="27" t="n"/>
      <c r="F121" s="34" t="n"/>
      <c r="G121" s="27" t="n"/>
      <c r="H121" s="35" t="n"/>
      <c r="I121" s="14">
        <f>IF(OR(E121="",AND(F121&lt;&gt;"Hired",F121&lt;&gt;"Bought")),"",E121-N(G121))</f>
        <v/>
      </c>
      <c r="J121" s="16">
        <f>IF(C121&amp;E121="","",IF(F121="","Choose a stage",IF(F121="Quote","",IF(E121="","Add the amount",IF(I121&lt;=0,"Paid",IF(H121="","Balance due, no date set",IF(H121&lt;TODAY(),"Overdue by "&amp;(TODAY()-H121)&amp;IF((TODAY()-H121)=1," day"," days"),IF(H121=TODAY(),"Due today",IF((H121-TODAY())&lt;=14,"Due in "&amp;(H121-TODAY())&amp;IF((H121-TODAY())=1," day"," days"),"Next payment in "&amp;(H121-TODAY())&amp;" days")))))))))</f>
        <v/>
      </c>
      <c r="K121" s="16">
        <f>IF(OR(C121="",E121=""),"",IF(COUNTIFS(Costs!$C$6:$C$305,C121,Costs!$E$6:$E$305,"&lt;&gt;")&lt;2,"",IF(M121=1,"Cheapest of "&amp;COUNTIFS(Costs!$C$6:$C$305,C121,Costs!$E$6:$E$305,"&lt;&gt;"),FIXED(E121-SUMIFS(Costs!$E$6:$E$305,Costs!$C$6:$C$305,C121,Costs!$M$6:$M$305,1)/COUNTIFS(Costs!$C$6:$C$305,C121,Costs!$M$6:$M$305,1),0)&amp;" more than the cheapest")))</f>
        <v/>
      </c>
      <c r="L121" s="33" t="n"/>
      <c r="M121" s="1">
        <f>IF(OR(C121="",E121=""),"",IF(COUNTIFS(Costs!$C$6:$C$305,C121,Costs!$E$6:$E$305,"&lt;"&amp;E121)=0,1,0))</f>
        <v/>
      </c>
      <c r="N121">
        <f>IF(AND(C121&lt;&gt;"",F121="Quote",COUNTIFS(Costs!$C$6:$C$305,C121,Costs!$F$6:$F$305,"Hired")+COUNTIFS(Costs!$C$6:$C$305,C121,Costs!$F$6:$F$305,"Bought")=0),1/COUNTIFS(Costs!$C$6:$C$305,C121,Costs!$F$6:$F$305,"Quote"),"")</f>
        <v/>
      </c>
      <c r="O121">
        <f>IF(AND(OR(F121="Hired",F121="Bought"),N(I121)&gt;0,H121&lt;&gt;""),H121+ROW()/100000,"")</f>
        <v/>
      </c>
    </row>
    <row r="122">
      <c r="A122" s="1" t="n"/>
      <c r="B122" s="33" t="n"/>
      <c r="C122" s="33" t="n"/>
      <c r="D122" s="33" t="n"/>
      <c r="E122" s="27" t="n"/>
      <c r="F122" s="34" t="n"/>
      <c r="G122" s="27" t="n"/>
      <c r="H122" s="35" t="n"/>
      <c r="I122" s="14">
        <f>IF(OR(E122="",AND(F122&lt;&gt;"Hired",F122&lt;&gt;"Bought")),"",E122-N(G122))</f>
        <v/>
      </c>
      <c r="J122" s="16">
        <f>IF(C122&amp;E122="","",IF(F122="","Choose a stage",IF(F122="Quote","",IF(E122="","Add the amount",IF(I122&lt;=0,"Paid",IF(H122="","Balance due, no date set",IF(H122&lt;TODAY(),"Overdue by "&amp;(TODAY()-H122)&amp;IF((TODAY()-H122)=1," day"," days"),IF(H122=TODAY(),"Due today",IF((H122-TODAY())&lt;=14,"Due in "&amp;(H122-TODAY())&amp;IF((H122-TODAY())=1," day"," days"),"Next payment in "&amp;(H122-TODAY())&amp;" days")))))))))</f>
        <v/>
      </c>
      <c r="K122" s="16">
        <f>IF(OR(C122="",E122=""),"",IF(COUNTIFS(Costs!$C$6:$C$305,C122,Costs!$E$6:$E$305,"&lt;&gt;")&lt;2,"",IF(M122=1,"Cheapest of "&amp;COUNTIFS(Costs!$C$6:$C$305,C122,Costs!$E$6:$E$305,"&lt;&gt;"),FIXED(E122-SUMIFS(Costs!$E$6:$E$305,Costs!$C$6:$C$305,C122,Costs!$M$6:$M$305,1)/COUNTIFS(Costs!$C$6:$C$305,C122,Costs!$M$6:$M$305,1),0)&amp;" more than the cheapest")))</f>
        <v/>
      </c>
      <c r="L122" s="33" t="n"/>
      <c r="M122" s="1">
        <f>IF(OR(C122="",E122=""),"",IF(COUNTIFS(Costs!$C$6:$C$305,C122,Costs!$E$6:$E$305,"&lt;"&amp;E122)=0,1,0))</f>
        <v/>
      </c>
      <c r="N122">
        <f>IF(AND(C122&lt;&gt;"",F122="Quote",COUNTIFS(Costs!$C$6:$C$305,C122,Costs!$F$6:$F$305,"Hired")+COUNTIFS(Costs!$C$6:$C$305,C122,Costs!$F$6:$F$305,"Bought")=0),1/COUNTIFS(Costs!$C$6:$C$305,C122,Costs!$F$6:$F$305,"Quote"),"")</f>
        <v/>
      </c>
      <c r="O122">
        <f>IF(AND(OR(F122="Hired",F122="Bought"),N(I122)&gt;0,H122&lt;&gt;""),H122+ROW()/100000,"")</f>
        <v/>
      </c>
    </row>
    <row r="123">
      <c r="A123" s="1" t="n"/>
      <c r="B123" s="33" t="n"/>
      <c r="C123" s="33" t="n"/>
      <c r="D123" s="33" t="n"/>
      <c r="E123" s="27" t="n"/>
      <c r="F123" s="34" t="n"/>
      <c r="G123" s="27" t="n"/>
      <c r="H123" s="35" t="n"/>
      <c r="I123" s="14">
        <f>IF(OR(E123="",AND(F123&lt;&gt;"Hired",F123&lt;&gt;"Bought")),"",E123-N(G123))</f>
        <v/>
      </c>
      <c r="J123" s="16">
        <f>IF(C123&amp;E123="","",IF(F123="","Choose a stage",IF(F123="Quote","",IF(E123="","Add the amount",IF(I123&lt;=0,"Paid",IF(H123="","Balance due, no date set",IF(H123&lt;TODAY(),"Overdue by "&amp;(TODAY()-H123)&amp;IF((TODAY()-H123)=1," day"," days"),IF(H123=TODAY(),"Due today",IF((H123-TODAY())&lt;=14,"Due in "&amp;(H123-TODAY())&amp;IF((H123-TODAY())=1," day"," days"),"Next payment in "&amp;(H123-TODAY())&amp;" days")))))))))</f>
        <v/>
      </c>
      <c r="K123" s="16">
        <f>IF(OR(C123="",E123=""),"",IF(COUNTIFS(Costs!$C$6:$C$305,C123,Costs!$E$6:$E$305,"&lt;&gt;")&lt;2,"",IF(M123=1,"Cheapest of "&amp;COUNTIFS(Costs!$C$6:$C$305,C123,Costs!$E$6:$E$305,"&lt;&gt;"),FIXED(E123-SUMIFS(Costs!$E$6:$E$305,Costs!$C$6:$C$305,C123,Costs!$M$6:$M$305,1)/COUNTIFS(Costs!$C$6:$C$305,C123,Costs!$M$6:$M$305,1),0)&amp;" more than the cheapest")))</f>
        <v/>
      </c>
      <c r="L123" s="33" t="n"/>
      <c r="M123" s="1">
        <f>IF(OR(C123="",E123=""),"",IF(COUNTIFS(Costs!$C$6:$C$305,C123,Costs!$E$6:$E$305,"&lt;"&amp;E123)=0,1,0))</f>
        <v/>
      </c>
      <c r="N123">
        <f>IF(AND(C123&lt;&gt;"",F123="Quote",COUNTIFS(Costs!$C$6:$C$305,C123,Costs!$F$6:$F$305,"Hired")+COUNTIFS(Costs!$C$6:$C$305,C123,Costs!$F$6:$F$305,"Bought")=0),1/COUNTIFS(Costs!$C$6:$C$305,C123,Costs!$F$6:$F$305,"Quote"),"")</f>
        <v/>
      </c>
      <c r="O123">
        <f>IF(AND(OR(F123="Hired",F123="Bought"),N(I123)&gt;0,H123&lt;&gt;""),H123+ROW()/100000,"")</f>
        <v/>
      </c>
    </row>
    <row r="124">
      <c r="A124" s="1" t="n"/>
      <c r="B124" s="33" t="n"/>
      <c r="C124" s="33" t="n"/>
      <c r="D124" s="33" t="n"/>
      <c r="E124" s="27" t="n"/>
      <c r="F124" s="34" t="n"/>
      <c r="G124" s="27" t="n"/>
      <c r="H124" s="35" t="n"/>
      <c r="I124" s="14">
        <f>IF(OR(E124="",AND(F124&lt;&gt;"Hired",F124&lt;&gt;"Bought")),"",E124-N(G124))</f>
        <v/>
      </c>
      <c r="J124" s="16">
        <f>IF(C124&amp;E124="","",IF(F124="","Choose a stage",IF(F124="Quote","",IF(E124="","Add the amount",IF(I124&lt;=0,"Paid",IF(H124="","Balance due, no date set",IF(H124&lt;TODAY(),"Overdue by "&amp;(TODAY()-H124)&amp;IF((TODAY()-H124)=1," day"," days"),IF(H124=TODAY(),"Due today",IF((H124-TODAY())&lt;=14,"Due in "&amp;(H124-TODAY())&amp;IF((H124-TODAY())=1," day"," days"),"Next payment in "&amp;(H124-TODAY())&amp;" days")))))))))</f>
        <v/>
      </c>
      <c r="K124" s="16">
        <f>IF(OR(C124="",E124=""),"",IF(COUNTIFS(Costs!$C$6:$C$305,C124,Costs!$E$6:$E$305,"&lt;&gt;")&lt;2,"",IF(M124=1,"Cheapest of "&amp;COUNTIFS(Costs!$C$6:$C$305,C124,Costs!$E$6:$E$305,"&lt;&gt;"),FIXED(E124-SUMIFS(Costs!$E$6:$E$305,Costs!$C$6:$C$305,C124,Costs!$M$6:$M$305,1)/COUNTIFS(Costs!$C$6:$C$305,C124,Costs!$M$6:$M$305,1),0)&amp;" more than the cheapest")))</f>
        <v/>
      </c>
      <c r="L124" s="33" t="n"/>
      <c r="M124" s="1">
        <f>IF(OR(C124="",E124=""),"",IF(COUNTIFS(Costs!$C$6:$C$305,C124,Costs!$E$6:$E$305,"&lt;"&amp;E124)=0,1,0))</f>
        <v/>
      </c>
      <c r="N124">
        <f>IF(AND(C124&lt;&gt;"",F124="Quote",COUNTIFS(Costs!$C$6:$C$305,C124,Costs!$F$6:$F$305,"Hired")+COUNTIFS(Costs!$C$6:$C$305,C124,Costs!$F$6:$F$305,"Bought")=0),1/COUNTIFS(Costs!$C$6:$C$305,C124,Costs!$F$6:$F$305,"Quote"),"")</f>
        <v/>
      </c>
      <c r="O124">
        <f>IF(AND(OR(F124="Hired",F124="Bought"),N(I124)&gt;0,H124&lt;&gt;""),H124+ROW()/100000,"")</f>
        <v/>
      </c>
    </row>
    <row r="125">
      <c r="A125" s="1" t="n"/>
      <c r="B125" s="33" t="n"/>
      <c r="C125" s="33" t="n"/>
      <c r="D125" s="33" t="n"/>
      <c r="E125" s="27" t="n"/>
      <c r="F125" s="34" t="n"/>
      <c r="G125" s="27" t="n"/>
      <c r="H125" s="35" t="n"/>
      <c r="I125" s="14">
        <f>IF(OR(E125="",AND(F125&lt;&gt;"Hired",F125&lt;&gt;"Bought")),"",E125-N(G125))</f>
        <v/>
      </c>
      <c r="J125" s="16">
        <f>IF(C125&amp;E125="","",IF(F125="","Choose a stage",IF(F125="Quote","",IF(E125="","Add the amount",IF(I125&lt;=0,"Paid",IF(H125="","Balance due, no date set",IF(H125&lt;TODAY(),"Overdue by "&amp;(TODAY()-H125)&amp;IF((TODAY()-H125)=1," day"," days"),IF(H125=TODAY(),"Due today",IF((H125-TODAY())&lt;=14,"Due in "&amp;(H125-TODAY())&amp;IF((H125-TODAY())=1," day"," days"),"Next payment in "&amp;(H125-TODAY())&amp;" days")))))))))</f>
        <v/>
      </c>
      <c r="K125" s="16">
        <f>IF(OR(C125="",E125=""),"",IF(COUNTIFS(Costs!$C$6:$C$305,C125,Costs!$E$6:$E$305,"&lt;&gt;")&lt;2,"",IF(M125=1,"Cheapest of "&amp;COUNTIFS(Costs!$C$6:$C$305,C125,Costs!$E$6:$E$305,"&lt;&gt;"),FIXED(E125-SUMIFS(Costs!$E$6:$E$305,Costs!$C$6:$C$305,C125,Costs!$M$6:$M$305,1)/COUNTIFS(Costs!$C$6:$C$305,C125,Costs!$M$6:$M$305,1),0)&amp;" more than the cheapest")))</f>
        <v/>
      </c>
      <c r="L125" s="33" t="n"/>
      <c r="M125" s="1">
        <f>IF(OR(C125="",E125=""),"",IF(COUNTIFS(Costs!$C$6:$C$305,C125,Costs!$E$6:$E$305,"&lt;"&amp;E125)=0,1,0))</f>
        <v/>
      </c>
      <c r="N125">
        <f>IF(AND(C125&lt;&gt;"",F125="Quote",COUNTIFS(Costs!$C$6:$C$305,C125,Costs!$F$6:$F$305,"Hired")+COUNTIFS(Costs!$C$6:$C$305,C125,Costs!$F$6:$F$305,"Bought")=0),1/COUNTIFS(Costs!$C$6:$C$305,C125,Costs!$F$6:$F$305,"Quote"),"")</f>
        <v/>
      </c>
      <c r="O125">
        <f>IF(AND(OR(F125="Hired",F125="Bought"),N(I125)&gt;0,H125&lt;&gt;""),H125+ROW()/100000,"")</f>
        <v/>
      </c>
    </row>
    <row r="126">
      <c r="A126" s="1" t="n"/>
      <c r="B126" s="33" t="n"/>
      <c r="C126" s="33" t="n"/>
      <c r="D126" s="33" t="n"/>
      <c r="E126" s="27" t="n"/>
      <c r="F126" s="34" t="n"/>
      <c r="G126" s="27" t="n"/>
      <c r="H126" s="35" t="n"/>
      <c r="I126" s="14">
        <f>IF(OR(E126="",AND(F126&lt;&gt;"Hired",F126&lt;&gt;"Bought")),"",E126-N(G126))</f>
        <v/>
      </c>
      <c r="J126" s="16">
        <f>IF(C126&amp;E126="","",IF(F126="","Choose a stage",IF(F126="Quote","",IF(E126="","Add the amount",IF(I126&lt;=0,"Paid",IF(H126="","Balance due, no date set",IF(H126&lt;TODAY(),"Overdue by "&amp;(TODAY()-H126)&amp;IF((TODAY()-H126)=1," day"," days"),IF(H126=TODAY(),"Due today",IF((H126-TODAY())&lt;=14,"Due in "&amp;(H126-TODAY())&amp;IF((H126-TODAY())=1," day"," days"),"Next payment in "&amp;(H126-TODAY())&amp;" days")))))))))</f>
        <v/>
      </c>
      <c r="K126" s="16">
        <f>IF(OR(C126="",E126=""),"",IF(COUNTIFS(Costs!$C$6:$C$305,C126,Costs!$E$6:$E$305,"&lt;&gt;")&lt;2,"",IF(M126=1,"Cheapest of "&amp;COUNTIFS(Costs!$C$6:$C$305,C126,Costs!$E$6:$E$305,"&lt;&gt;"),FIXED(E126-SUMIFS(Costs!$E$6:$E$305,Costs!$C$6:$C$305,C126,Costs!$M$6:$M$305,1)/COUNTIFS(Costs!$C$6:$C$305,C126,Costs!$M$6:$M$305,1),0)&amp;" more than the cheapest")))</f>
        <v/>
      </c>
      <c r="L126" s="33" t="n"/>
      <c r="M126" s="1">
        <f>IF(OR(C126="",E126=""),"",IF(COUNTIFS(Costs!$C$6:$C$305,C126,Costs!$E$6:$E$305,"&lt;"&amp;E126)=0,1,0))</f>
        <v/>
      </c>
      <c r="N126">
        <f>IF(AND(C126&lt;&gt;"",F126="Quote",COUNTIFS(Costs!$C$6:$C$305,C126,Costs!$F$6:$F$305,"Hired")+COUNTIFS(Costs!$C$6:$C$305,C126,Costs!$F$6:$F$305,"Bought")=0),1/COUNTIFS(Costs!$C$6:$C$305,C126,Costs!$F$6:$F$305,"Quote"),"")</f>
        <v/>
      </c>
      <c r="O126">
        <f>IF(AND(OR(F126="Hired",F126="Bought"),N(I126)&gt;0,H126&lt;&gt;""),H126+ROW()/100000,"")</f>
        <v/>
      </c>
    </row>
    <row r="127">
      <c r="A127" s="1" t="n"/>
      <c r="B127" s="33" t="n"/>
      <c r="C127" s="33" t="n"/>
      <c r="D127" s="33" t="n"/>
      <c r="E127" s="27" t="n"/>
      <c r="F127" s="34" t="n"/>
      <c r="G127" s="27" t="n"/>
      <c r="H127" s="35" t="n"/>
      <c r="I127" s="14">
        <f>IF(OR(E127="",AND(F127&lt;&gt;"Hired",F127&lt;&gt;"Bought")),"",E127-N(G127))</f>
        <v/>
      </c>
      <c r="J127" s="16">
        <f>IF(C127&amp;E127="","",IF(F127="","Choose a stage",IF(F127="Quote","",IF(E127="","Add the amount",IF(I127&lt;=0,"Paid",IF(H127="","Balance due, no date set",IF(H127&lt;TODAY(),"Overdue by "&amp;(TODAY()-H127)&amp;IF((TODAY()-H127)=1," day"," days"),IF(H127=TODAY(),"Due today",IF((H127-TODAY())&lt;=14,"Due in "&amp;(H127-TODAY())&amp;IF((H127-TODAY())=1," day"," days"),"Next payment in "&amp;(H127-TODAY())&amp;" days")))))))))</f>
        <v/>
      </c>
      <c r="K127" s="16">
        <f>IF(OR(C127="",E127=""),"",IF(COUNTIFS(Costs!$C$6:$C$305,C127,Costs!$E$6:$E$305,"&lt;&gt;")&lt;2,"",IF(M127=1,"Cheapest of "&amp;COUNTIFS(Costs!$C$6:$C$305,C127,Costs!$E$6:$E$305,"&lt;&gt;"),FIXED(E127-SUMIFS(Costs!$E$6:$E$305,Costs!$C$6:$C$305,C127,Costs!$M$6:$M$305,1)/COUNTIFS(Costs!$C$6:$C$305,C127,Costs!$M$6:$M$305,1),0)&amp;" more than the cheapest")))</f>
        <v/>
      </c>
      <c r="L127" s="33" t="n"/>
      <c r="M127" s="1">
        <f>IF(OR(C127="",E127=""),"",IF(COUNTIFS(Costs!$C$6:$C$305,C127,Costs!$E$6:$E$305,"&lt;"&amp;E127)=0,1,0))</f>
        <v/>
      </c>
      <c r="N127">
        <f>IF(AND(C127&lt;&gt;"",F127="Quote",COUNTIFS(Costs!$C$6:$C$305,C127,Costs!$F$6:$F$305,"Hired")+COUNTIFS(Costs!$C$6:$C$305,C127,Costs!$F$6:$F$305,"Bought")=0),1/COUNTIFS(Costs!$C$6:$C$305,C127,Costs!$F$6:$F$305,"Quote"),"")</f>
        <v/>
      </c>
      <c r="O127">
        <f>IF(AND(OR(F127="Hired",F127="Bought"),N(I127)&gt;0,H127&lt;&gt;""),H127+ROW()/100000,"")</f>
        <v/>
      </c>
    </row>
    <row r="128">
      <c r="A128" s="1" t="n"/>
      <c r="B128" s="33" t="n"/>
      <c r="C128" s="33" t="n"/>
      <c r="D128" s="33" t="n"/>
      <c r="E128" s="27" t="n"/>
      <c r="F128" s="34" t="n"/>
      <c r="G128" s="27" t="n"/>
      <c r="H128" s="35" t="n"/>
      <c r="I128" s="14">
        <f>IF(OR(E128="",AND(F128&lt;&gt;"Hired",F128&lt;&gt;"Bought")),"",E128-N(G128))</f>
        <v/>
      </c>
      <c r="J128" s="16">
        <f>IF(C128&amp;E128="","",IF(F128="","Choose a stage",IF(F128="Quote","",IF(E128="","Add the amount",IF(I128&lt;=0,"Paid",IF(H128="","Balance due, no date set",IF(H128&lt;TODAY(),"Overdue by "&amp;(TODAY()-H128)&amp;IF((TODAY()-H128)=1," day"," days"),IF(H128=TODAY(),"Due today",IF((H128-TODAY())&lt;=14,"Due in "&amp;(H128-TODAY())&amp;IF((H128-TODAY())=1," day"," days"),"Next payment in "&amp;(H128-TODAY())&amp;" days")))))))))</f>
        <v/>
      </c>
      <c r="K128" s="16">
        <f>IF(OR(C128="",E128=""),"",IF(COUNTIFS(Costs!$C$6:$C$305,C128,Costs!$E$6:$E$305,"&lt;&gt;")&lt;2,"",IF(M128=1,"Cheapest of "&amp;COUNTIFS(Costs!$C$6:$C$305,C128,Costs!$E$6:$E$305,"&lt;&gt;"),FIXED(E128-SUMIFS(Costs!$E$6:$E$305,Costs!$C$6:$C$305,C128,Costs!$M$6:$M$305,1)/COUNTIFS(Costs!$C$6:$C$305,C128,Costs!$M$6:$M$305,1),0)&amp;" more than the cheapest")))</f>
        <v/>
      </c>
      <c r="L128" s="33" t="n"/>
      <c r="M128" s="1">
        <f>IF(OR(C128="",E128=""),"",IF(COUNTIFS(Costs!$C$6:$C$305,C128,Costs!$E$6:$E$305,"&lt;"&amp;E128)=0,1,0))</f>
        <v/>
      </c>
      <c r="N128">
        <f>IF(AND(C128&lt;&gt;"",F128="Quote",COUNTIFS(Costs!$C$6:$C$305,C128,Costs!$F$6:$F$305,"Hired")+COUNTIFS(Costs!$C$6:$C$305,C128,Costs!$F$6:$F$305,"Bought")=0),1/COUNTIFS(Costs!$C$6:$C$305,C128,Costs!$F$6:$F$305,"Quote"),"")</f>
        <v/>
      </c>
      <c r="O128">
        <f>IF(AND(OR(F128="Hired",F128="Bought"),N(I128)&gt;0,H128&lt;&gt;""),H128+ROW()/100000,"")</f>
        <v/>
      </c>
    </row>
    <row r="129">
      <c r="A129" s="1" t="n"/>
      <c r="B129" s="33" t="n"/>
      <c r="C129" s="33" t="n"/>
      <c r="D129" s="33" t="n"/>
      <c r="E129" s="27" t="n"/>
      <c r="F129" s="34" t="n"/>
      <c r="G129" s="27" t="n"/>
      <c r="H129" s="35" t="n"/>
      <c r="I129" s="14">
        <f>IF(OR(E129="",AND(F129&lt;&gt;"Hired",F129&lt;&gt;"Bought")),"",E129-N(G129))</f>
        <v/>
      </c>
      <c r="J129" s="16">
        <f>IF(C129&amp;E129="","",IF(F129="","Choose a stage",IF(F129="Quote","",IF(E129="","Add the amount",IF(I129&lt;=0,"Paid",IF(H129="","Balance due, no date set",IF(H129&lt;TODAY(),"Overdue by "&amp;(TODAY()-H129)&amp;IF((TODAY()-H129)=1," day"," days"),IF(H129=TODAY(),"Due today",IF((H129-TODAY())&lt;=14,"Due in "&amp;(H129-TODAY())&amp;IF((H129-TODAY())=1," day"," days"),"Next payment in "&amp;(H129-TODAY())&amp;" days")))))))))</f>
        <v/>
      </c>
      <c r="K129" s="16">
        <f>IF(OR(C129="",E129=""),"",IF(COUNTIFS(Costs!$C$6:$C$305,C129,Costs!$E$6:$E$305,"&lt;&gt;")&lt;2,"",IF(M129=1,"Cheapest of "&amp;COUNTIFS(Costs!$C$6:$C$305,C129,Costs!$E$6:$E$305,"&lt;&gt;"),FIXED(E129-SUMIFS(Costs!$E$6:$E$305,Costs!$C$6:$C$305,C129,Costs!$M$6:$M$305,1)/COUNTIFS(Costs!$C$6:$C$305,C129,Costs!$M$6:$M$305,1),0)&amp;" more than the cheapest")))</f>
        <v/>
      </c>
      <c r="L129" s="33" t="n"/>
      <c r="M129" s="1">
        <f>IF(OR(C129="",E129=""),"",IF(COUNTIFS(Costs!$C$6:$C$305,C129,Costs!$E$6:$E$305,"&lt;"&amp;E129)=0,1,0))</f>
        <v/>
      </c>
      <c r="N129">
        <f>IF(AND(C129&lt;&gt;"",F129="Quote",COUNTIFS(Costs!$C$6:$C$305,C129,Costs!$F$6:$F$305,"Hired")+COUNTIFS(Costs!$C$6:$C$305,C129,Costs!$F$6:$F$305,"Bought")=0),1/COUNTIFS(Costs!$C$6:$C$305,C129,Costs!$F$6:$F$305,"Quote"),"")</f>
        <v/>
      </c>
      <c r="O129">
        <f>IF(AND(OR(F129="Hired",F129="Bought"),N(I129)&gt;0,H129&lt;&gt;""),H129+ROW()/100000,"")</f>
        <v/>
      </c>
    </row>
    <row r="130">
      <c r="A130" s="1" t="n"/>
      <c r="B130" s="33" t="n"/>
      <c r="C130" s="33" t="n"/>
      <c r="D130" s="33" t="n"/>
      <c r="E130" s="27" t="n"/>
      <c r="F130" s="34" t="n"/>
      <c r="G130" s="27" t="n"/>
      <c r="H130" s="35" t="n"/>
      <c r="I130" s="14">
        <f>IF(OR(E130="",AND(F130&lt;&gt;"Hired",F130&lt;&gt;"Bought")),"",E130-N(G130))</f>
        <v/>
      </c>
      <c r="J130" s="16">
        <f>IF(C130&amp;E130="","",IF(F130="","Choose a stage",IF(F130="Quote","",IF(E130="","Add the amount",IF(I130&lt;=0,"Paid",IF(H130="","Balance due, no date set",IF(H130&lt;TODAY(),"Overdue by "&amp;(TODAY()-H130)&amp;IF((TODAY()-H130)=1," day"," days"),IF(H130=TODAY(),"Due today",IF((H130-TODAY())&lt;=14,"Due in "&amp;(H130-TODAY())&amp;IF((H130-TODAY())=1," day"," days"),"Next payment in "&amp;(H130-TODAY())&amp;" days")))))))))</f>
        <v/>
      </c>
      <c r="K130" s="16">
        <f>IF(OR(C130="",E130=""),"",IF(COUNTIFS(Costs!$C$6:$C$305,C130,Costs!$E$6:$E$305,"&lt;&gt;")&lt;2,"",IF(M130=1,"Cheapest of "&amp;COUNTIFS(Costs!$C$6:$C$305,C130,Costs!$E$6:$E$305,"&lt;&gt;"),FIXED(E130-SUMIFS(Costs!$E$6:$E$305,Costs!$C$6:$C$305,C130,Costs!$M$6:$M$305,1)/COUNTIFS(Costs!$C$6:$C$305,C130,Costs!$M$6:$M$305,1),0)&amp;" more than the cheapest")))</f>
        <v/>
      </c>
      <c r="L130" s="33" t="n"/>
      <c r="M130" s="1">
        <f>IF(OR(C130="",E130=""),"",IF(COUNTIFS(Costs!$C$6:$C$305,C130,Costs!$E$6:$E$305,"&lt;"&amp;E130)=0,1,0))</f>
        <v/>
      </c>
      <c r="N130">
        <f>IF(AND(C130&lt;&gt;"",F130="Quote",COUNTIFS(Costs!$C$6:$C$305,C130,Costs!$F$6:$F$305,"Hired")+COUNTIFS(Costs!$C$6:$C$305,C130,Costs!$F$6:$F$305,"Bought")=0),1/COUNTIFS(Costs!$C$6:$C$305,C130,Costs!$F$6:$F$305,"Quote"),"")</f>
        <v/>
      </c>
      <c r="O130">
        <f>IF(AND(OR(F130="Hired",F130="Bought"),N(I130)&gt;0,H130&lt;&gt;""),H130+ROW()/100000,"")</f>
        <v/>
      </c>
    </row>
    <row r="131">
      <c r="A131" s="1" t="n"/>
      <c r="B131" s="33" t="n"/>
      <c r="C131" s="33" t="n"/>
      <c r="D131" s="33" t="n"/>
      <c r="E131" s="27" t="n"/>
      <c r="F131" s="34" t="n"/>
      <c r="G131" s="27" t="n"/>
      <c r="H131" s="35" t="n"/>
      <c r="I131" s="14">
        <f>IF(OR(E131="",AND(F131&lt;&gt;"Hired",F131&lt;&gt;"Bought")),"",E131-N(G131))</f>
        <v/>
      </c>
      <c r="J131" s="16">
        <f>IF(C131&amp;E131="","",IF(F131="","Choose a stage",IF(F131="Quote","",IF(E131="","Add the amount",IF(I131&lt;=0,"Paid",IF(H131="","Balance due, no date set",IF(H131&lt;TODAY(),"Overdue by "&amp;(TODAY()-H131)&amp;IF((TODAY()-H131)=1," day"," days"),IF(H131=TODAY(),"Due today",IF((H131-TODAY())&lt;=14,"Due in "&amp;(H131-TODAY())&amp;IF((H131-TODAY())=1," day"," days"),"Next payment in "&amp;(H131-TODAY())&amp;" days")))))))))</f>
        <v/>
      </c>
      <c r="K131" s="16">
        <f>IF(OR(C131="",E131=""),"",IF(COUNTIFS(Costs!$C$6:$C$305,C131,Costs!$E$6:$E$305,"&lt;&gt;")&lt;2,"",IF(M131=1,"Cheapest of "&amp;COUNTIFS(Costs!$C$6:$C$305,C131,Costs!$E$6:$E$305,"&lt;&gt;"),FIXED(E131-SUMIFS(Costs!$E$6:$E$305,Costs!$C$6:$C$305,C131,Costs!$M$6:$M$305,1)/COUNTIFS(Costs!$C$6:$C$305,C131,Costs!$M$6:$M$305,1),0)&amp;" more than the cheapest")))</f>
        <v/>
      </c>
      <c r="L131" s="33" t="n"/>
      <c r="M131" s="1">
        <f>IF(OR(C131="",E131=""),"",IF(COUNTIFS(Costs!$C$6:$C$305,C131,Costs!$E$6:$E$305,"&lt;"&amp;E131)=0,1,0))</f>
        <v/>
      </c>
      <c r="N131">
        <f>IF(AND(C131&lt;&gt;"",F131="Quote",COUNTIFS(Costs!$C$6:$C$305,C131,Costs!$F$6:$F$305,"Hired")+COUNTIFS(Costs!$C$6:$C$305,C131,Costs!$F$6:$F$305,"Bought")=0),1/COUNTIFS(Costs!$C$6:$C$305,C131,Costs!$F$6:$F$305,"Quote"),"")</f>
        <v/>
      </c>
      <c r="O131">
        <f>IF(AND(OR(F131="Hired",F131="Bought"),N(I131)&gt;0,H131&lt;&gt;""),H131+ROW()/100000,"")</f>
        <v/>
      </c>
    </row>
    <row r="132">
      <c r="A132" s="1" t="n"/>
      <c r="B132" s="33" t="n"/>
      <c r="C132" s="33" t="n"/>
      <c r="D132" s="33" t="n"/>
      <c r="E132" s="27" t="n"/>
      <c r="F132" s="34" t="n"/>
      <c r="G132" s="27" t="n"/>
      <c r="H132" s="35" t="n"/>
      <c r="I132" s="14">
        <f>IF(OR(E132="",AND(F132&lt;&gt;"Hired",F132&lt;&gt;"Bought")),"",E132-N(G132))</f>
        <v/>
      </c>
      <c r="J132" s="16">
        <f>IF(C132&amp;E132="","",IF(F132="","Choose a stage",IF(F132="Quote","",IF(E132="","Add the amount",IF(I132&lt;=0,"Paid",IF(H132="","Balance due, no date set",IF(H132&lt;TODAY(),"Overdue by "&amp;(TODAY()-H132)&amp;IF((TODAY()-H132)=1," day"," days"),IF(H132=TODAY(),"Due today",IF((H132-TODAY())&lt;=14,"Due in "&amp;(H132-TODAY())&amp;IF((H132-TODAY())=1," day"," days"),"Next payment in "&amp;(H132-TODAY())&amp;" days")))))))))</f>
        <v/>
      </c>
      <c r="K132" s="16">
        <f>IF(OR(C132="",E132=""),"",IF(COUNTIFS(Costs!$C$6:$C$305,C132,Costs!$E$6:$E$305,"&lt;&gt;")&lt;2,"",IF(M132=1,"Cheapest of "&amp;COUNTIFS(Costs!$C$6:$C$305,C132,Costs!$E$6:$E$305,"&lt;&gt;"),FIXED(E132-SUMIFS(Costs!$E$6:$E$305,Costs!$C$6:$C$305,C132,Costs!$M$6:$M$305,1)/COUNTIFS(Costs!$C$6:$C$305,C132,Costs!$M$6:$M$305,1),0)&amp;" more than the cheapest")))</f>
        <v/>
      </c>
      <c r="L132" s="33" t="n"/>
      <c r="M132" s="1">
        <f>IF(OR(C132="",E132=""),"",IF(COUNTIFS(Costs!$C$6:$C$305,C132,Costs!$E$6:$E$305,"&lt;"&amp;E132)=0,1,0))</f>
        <v/>
      </c>
      <c r="N132">
        <f>IF(AND(C132&lt;&gt;"",F132="Quote",COUNTIFS(Costs!$C$6:$C$305,C132,Costs!$F$6:$F$305,"Hired")+COUNTIFS(Costs!$C$6:$C$305,C132,Costs!$F$6:$F$305,"Bought")=0),1/COUNTIFS(Costs!$C$6:$C$305,C132,Costs!$F$6:$F$305,"Quote"),"")</f>
        <v/>
      </c>
      <c r="O132">
        <f>IF(AND(OR(F132="Hired",F132="Bought"),N(I132)&gt;0,H132&lt;&gt;""),H132+ROW()/100000,"")</f>
        <v/>
      </c>
    </row>
    <row r="133">
      <c r="A133" s="1" t="n"/>
      <c r="B133" s="33" t="n"/>
      <c r="C133" s="33" t="n"/>
      <c r="D133" s="33" t="n"/>
      <c r="E133" s="27" t="n"/>
      <c r="F133" s="34" t="n"/>
      <c r="G133" s="27" t="n"/>
      <c r="H133" s="35" t="n"/>
      <c r="I133" s="14">
        <f>IF(OR(E133="",AND(F133&lt;&gt;"Hired",F133&lt;&gt;"Bought")),"",E133-N(G133))</f>
        <v/>
      </c>
      <c r="J133" s="16">
        <f>IF(C133&amp;E133="","",IF(F133="","Choose a stage",IF(F133="Quote","",IF(E133="","Add the amount",IF(I133&lt;=0,"Paid",IF(H133="","Balance due, no date set",IF(H133&lt;TODAY(),"Overdue by "&amp;(TODAY()-H133)&amp;IF((TODAY()-H133)=1," day"," days"),IF(H133=TODAY(),"Due today",IF((H133-TODAY())&lt;=14,"Due in "&amp;(H133-TODAY())&amp;IF((H133-TODAY())=1," day"," days"),"Next payment in "&amp;(H133-TODAY())&amp;" days")))))))))</f>
        <v/>
      </c>
      <c r="K133" s="16">
        <f>IF(OR(C133="",E133=""),"",IF(COUNTIFS(Costs!$C$6:$C$305,C133,Costs!$E$6:$E$305,"&lt;&gt;")&lt;2,"",IF(M133=1,"Cheapest of "&amp;COUNTIFS(Costs!$C$6:$C$305,C133,Costs!$E$6:$E$305,"&lt;&gt;"),FIXED(E133-SUMIFS(Costs!$E$6:$E$305,Costs!$C$6:$C$305,C133,Costs!$M$6:$M$305,1)/COUNTIFS(Costs!$C$6:$C$305,C133,Costs!$M$6:$M$305,1),0)&amp;" more than the cheapest")))</f>
        <v/>
      </c>
      <c r="L133" s="33" t="n"/>
      <c r="M133" s="1">
        <f>IF(OR(C133="",E133=""),"",IF(COUNTIFS(Costs!$C$6:$C$305,C133,Costs!$E$6:$E$305,"&lt;"&amp;E133)=0,1,0))</f>
        <v/>
      </c>
      <c r="N133">
        <f>IF(AND(C133&lt;&gt;"",F133="Quote",COUNTIFS(Costs!$C$6:$C$305,C133,Costs!$F$6:$F$305,"Hired")+COUNTIFS(Costs!$C$6:$C$305,C133,Costs!$F$6:$F$305,"Bought")=0),1/COUNTIFS(Costs!$C$6:$C$305,C133,Costs!$F$6:$F$305,"Quote"),"")</f>
        <v/>
      </c>
      <c r="O133">
        <f>IF(AND(OR(F133="Hired",F133="Bought"),N(I133)&gt;0,H133&lt;&gt;""),H133+ROW()/100000,"")</f>
        <v/>
      </c>
    </row>
    <row r="134">
      <c r="A134" s="1" t="n"/>
      <c r="B134" s="33" t="n"/>
      <c r="C134" s="33" t="n"/>
      <c r="D134" s="33" t="n"/>
      <c r="E134" s="27" t="n"/>
      <c r="F134" s="34" t="n"/>
      <c r="G134" s="27" t="n"/>
      <c r="H134" s="35" t="n"/>
      <c r="I134" s="14">
        <f>IF(OR(E134="",AND(F134&lt;&gt;"Hired",F134&lt;&gt;"Bought")),"",E134-N(G134))</f>
        <v/>
      </c>
      <c r="J134" s="16">
        <f>IF(C134&amp;E134="","",IF(F134="","Choose a stage",IF(F134="Quote","",IF(E134="","Add the amount",IF(I134&lt;=0,"Paid",IF(H134="","Balance due, no date set",IF(H134&lt;TODAY(),"Overdue by "&amp;(TODAY()-H134)&amp;IF((TODAY()-H134)=1," day"," days"),IF(H134=TODAY(),"Due today",IF((H134-TODAY())&lt;=14,"Due in "&amp;(H134-TODAY())&amp;IF((H134-TODAY())=1," day"," days"),"Next payment in "&amp;(H134-TODAY())&amp;" days")))))))))</f>
        <v/>
      </c>
      <c r="K134" s="16">
        <f>IF(OR(C134="",E134=""),"",IF(COUNTIFS(Costs!$C$6:$C$305,C134,Costs!$E$6:$E$305,"&lt;&gt;")&lt;2,"",IF(M134=1,"Cheapest of "&amp;COUNTIFS(Costs!$C$6:$C$305,C134,Costs!$E$6:$E$305,"&lt;&gt;"),FIXED(E134-SUMIFS(Costs!$E$6:$E$305,Costs!$C$6:$C$305,C134,Costs!$M$6:$M$305,1)/COUNTIFS(Costs!$C$6:$C$305,C134,Costs!$M$6:$M$305,1),0)&amp;" more than the cheapest")))</f>
        <v/>
      </c>
      <c r="L134" s="33" t="n"/>
      <c r="M134" s="1">
        <f>IF(OR(C134="",E134=""),"",IF(COUNTIFS(Costs!$C$6:$C$305,C134,Costs!$E$6:$E$305,"&lt;"&amp;E134)=0,1,0))</f>
        <v/>
      </c>
      <c r="N134">
        <f>IF(AND(C134&lt;&gt;"",F134="Quote",COUNTIFS(Costs!$C$6:$C$305,C134,Costs!$F$6:$F$305,"Hired")+COUNTIFS(Costs!$C$6:$C$305,C134,Costs!$F$6:$F$305,"Bought")=0),1/COUNTIFS(Costs!$C$6:$C$305,C134,Costs!$F$6:$F$305,"Quote"),"")</f>
        <v/>
      </c>
      <c r="O134">
        <f>IF(AND(OR(F134="Hired",F134="Bought"),N(I134)&gt;0,H134&lt;&gt;""),H134+ROW()/100000,"")</f>
        <v/>
      </c>
    </row>
    <row r="135">
      <c r="A135" s="1" t="n"/>
      <c r="B135" s="33" t="n"/>
      <c r="C135" s="33" t="n"/>
      <c r="D135" s="33" t="n"/>
      <c r="E135" s="27" t="n"/>
      <c r="F135" s="34" t="n"/>
      <c r="G135" s="27" t="n"/>
      <c r="H135" s="35" t="n"/>
      <c r="I135" s="14">
        <f>IF(OR(E135="",AND(F135&lt;&gt;"Hired",F135&lt;&gt;"Bought")),"",E135-N(G135))</f>
        <v/>
      </c>
      <c r="J135" s="16">
        <f>IF(C135&amp;E135="","",IF(F135="","Choose a stage",IF(F135="Quote","",IF(E135="","Add the amount",IF(I135&lt;=0,"Paid",IF(H135="","Balance due, no date set",IF(H135&lt;TODAY(),"Overdue by "&amp;(TODAY()-H135)&amp;IF((TODAY()-H135)=1," day"," days"),IF(H135=TODAY(),"Due today",IF((H135-TODAY())&lt;=14,"Due in "&amp;(H135-TODAY())&amp;IF((H135-TODAY())=1," day"," days"),"Next payment in "&amp;(H135-TODAY())&amp;" days")))))))))</f>
        <v/>
      </c>
      <c r="K135" s="16">
        <f>IF(OR(C135="",E135=""),"",IF(COUNTIFS(Costs!$C$6:$C$305,C135,Costs!$E$6:$E$305,"&lt;&gt;")&lt;2,"",IF(M135=1,"Cheapest of "&amp;COUNTIFS(Costs!$C$6:$C$305,C135,Costs!$E$6:$E$305,"&lt;&gt;"),FIXED(E135-SUMIFS(Costs!$E$6:$E$305,Costs!$C$6:$C$305,C135,Costs!$M$6:$M$305,1)/COUNTIFS(Costs!$C$6:$C$305,C135,Costs!$M$6:$M$305,1),0)&amp;" more than the cheapest")))</f>
        <v/>
      </c>
      <c r="L135" s="33" t="n"/>
      <c r="M135" s="1">
        <f>IF(OR(C135="",E135=""),"",IF(COUNTIFS(Costs!$C$6:$C$305,C135,Costs!$E$6:$E$305,"&lt;"&amp;E135)=0,1,0))</f>
        <v/>
      </c>
      <c r="N135">
        <f>IF(AND(C135&lt;&gt;"",F135="Quote",COUNTIFS(Costs!$C$6:$C$305,C135,Costs!$F$6:$F$305,"Hired")+COUNTIFS(Costs!$C$6:$C$305,C135,Costs!$F$6:$F$305,"Bought")=0),1/COUNTIFS(Costs!$C$6:$C$305,C135,Costs!$F$6:$F$305,"Quote"),"")</f>
        <v/>
      </c>
      <c r="O135">
        <f>IF(AND(OR(F135="Hired",F135="Bought"),N(I135)&gt;0,H135&lt;&gt;""),H135+ROW()/100000,"")</f>
        <v/>
      </c>
    </row>
    <row r="136">
      <c r="A136" s="1" t="n"/>
      <c r="B136" s="33" t="n"/>
      <c r="C136" s="33" t="n"/>
      <c r="D136" s="33" t="n"/>
      <c r="E136" s="27" t="n"/>
      <c r="F136" s="34" t="n"/>
      <c r="G136" s="27" t="n"/>
      <c r="H136" s="35" t="n"/>
      <c r="I136" s="14">
        <f>IF(OR(E136="",AND(F136&lt;&gt;"Hired",F136&lt;&gt;"Bought")),"",E136-N(G136))</f>
        <v/>
      </c>
      <c r="J136" s="16">
        <f>IF(C136&amp;E136="","",IF(F136="","Choose a stage",IF(F136="Quote","",IF(E136="","Add the amount",IF(I136&lt;=0,"Paid",IF(H136="","Balance due, no date set",IF(H136&lt;TODAY(),"Overdue by "&amp;(TODAY()-H136)&amp;IF((TODAY()-H136)=1," day"," days"),IF(H136=TODAY(),"Due today",IF((H136-TODAY())&lt;=14,"Due in "&amp;(H136-TODAY())&amp;IF((H136-TODAY())=1," day"," days"),"Next payment in "&amp;(H136-TODAY())&amp;" days")))))))))</f>
        <v/>
      </c>
      <c r="K136" s="16">
        <f>IF(OR(C136="",E136=""),"",IF(COUNTIFS(Costs!$C$6:$C$305,C136,Costs!$E$6:$E$305,"&lt;&gt;")&lt;2,"",IF(M136=1,"Cheapest of "&amp;COUNTIFS(Costs!$C$6:$C$305,C136,Costs!$E$6:$E$305,"&lt;&gt;"),FIXED(E136-SUMIFS(Costs!$E$6:$E$305,Costs!$C$6:$C$305,C136,Costs!$M$6:$M$305,1)/COUNTIFS(Costs!$C$6:$C$305,C136,Costs!$M$6:$M$305,1),0)&amp;" more than the cheapest")))</f>
        <v/>
      </c>
      <c r="L136" s="33" t="n"/>
      <c r="M136" s="1">
        <f>IF(OR(C136="",E136=""),"",IF(COUNTIFS(Costs!$C$6:$C$305,C136,Costs!$E$6:$E$305,"&lt;"&amp;E136)=0,1,0))</f>
        <v/>
      </c>
      <c r="N136">
        <f>IF(AND(C136&lt;&gt;"",F136="Quote",COUNTIFS(Costs!$C$6:$C$305,C136,Costs!$F$6:$F$305,"Hired")+COUNTIFS(Costs!$C$6:$C$305,C136,Costs!$F$6:$F$305,"Bought")=0),1/COUNTIFS(Costs!$C$6:$C$305,C136,Costs!$F$6:$F$305,"Quote"),"")</f>
        <v/>
      </c>
      <c r="O136">
        <f>IF(AND(OR(F136="Hired",F136="Bought"),N(I136)&gt;0,H136&lt;&gt;""),H136+ROW()/100000,"")</f>
        <v/>
      </c>
    </row>
    <row r="137">
      <c r="A137" s="1" t="n"/>
      <c r="B137" s="33" t="n"/>
      <c r="C137" s="33" t="n"/>
      <c r="D137" s="33" t="n"/>
      <c r="E137" s="27" t="n"/>
      <c r="F137" s="34" t="n"/>
      <c r="G137" s="27" t="n"/>
      <c r="H137" s="35" t="n"/>
      <c r="I137" s="14">
        <f>IF(OR(E137="",AND(F137&lt;&gt;"Hired",F137&lt;&gt;"Bought")),"",E137-N(G137))</f>
        <v/>
      </c>
      <c r="J137" s="16">
        <f>IF(C137&amp;E137="","",IF(F137="","Choose a stage",IF(F137="Quote","",IF(E137="","Add the amount",IF(I137&lt;=0,"Paid",IF(H137="","Balance due, no date set",IF(H137&lt;TODAY(),"Overdue by "&amp;(TODAY()-H137)&amp;IF((TODAY()-H137)=1," day"," days"),IF(H137=TODAY(),"Due today",IF((H137-TODAY())&lt;=14,"Due in "&amp;(H137-TODAY())&amp;IF((H137-TODAY())=1," day"," days"),"Next payment in "&amp;(H137-TODAY())&amp;" days")))))))))</f>
        <v/>
      </c>
      <c r="K137" s="16">
        <f>IF(OR(C137="",E137=""),"",IF(COUNTIFS(Costs!$C$6:$C$305,C137,Costs!$E$6:$E$305,"&lt;&gt;")&lt;2,"",IF(M137=1,"Cheapest of "&amp;COUNTIFS(Costs!$C$6:$C$305,C137,Costs!$E$6:$E$305,"&lt;&gt;"),FIXED(E137-SUMIFS(Costs!$E$6:$E$305,Costs!$C$6:$C$305,C137,Costs!$M$6:$M$305,1)/COUNTIFS(Costs!$C$6:$C$305,C137,Costs!$M$6:$M$305,1),0)&amp;" more than the cheapest")))</f>
        <v/>
      </c>
      <c r="L137" s="33" t="n"/>
      <c r="M137" s="1">
        <f>IF(OR(C137="",E137=""),"",IF(COUNTIFS(Costs!$C$6:$C$305,C137,Costs!$E$6:$E$305,"&lt;"&amp;E137)=0,1,0))</f>
        <v/>
      </c>
      <c r="N137">
        <f>IF(AND(C137&lt;&gt;"",F137="Quote",COUNTIFS(Costs!$C$6:$C$305,C137,Costs!$F$6:$F$305,"Hired")+COUNTIFS(Costs!$C$6:$C$305,C137,Costs!$F$6:$F$305,"Bought")=0),1/COUNTIFS(Costs!$C$6:$C$305,C137,Costs!$F$6:$F$305,"Quote"),"")</f>
        <v/>
      </c>
      <c r="O137">
        <f>IF(AND(OR(F137="Hired",F137="Bought"),N(I137)&gt;0,H137&lt;&gt;""),H137+ROW()/100000,"")</f>
        <v/>
      </c>
    </row>
    <row r="138">
      <c r="A138" s="1" t="n"/>
      <c r="B138" s="33" t="n"/>
      <c r="C138" s="33" t="n"/>
      <c r="D138" s="33" t="n"/>
      <c r="E138" s="27" t="n"/>
      <c r="F138" s="34" t="n"/>
      <c r="G138" s="27" t="n"/>
      <c r="H138" s="35" t="n"/>
      <c r="I138" s="14">
        <f>IF(OR(E138="",AND(F138&lt;&gt;"Hired",F138&lt;&gt;"Bought")),"",E138-N(G138))</f>
        <v/>
      </c>
      <c r="J138" s="16">
        <f>IF(C138&amp;E138="","",IF(F138="","Choose a stage",IF(F138="Quote","",IF(E138="","Add the amount",IF(I138&lt;=0,"Paid",IF(H138="","Balance due, no date set",IF(H138&lt;TODAY(),"Overdue by "&amp;(TODAY()-H138)&amp;IF((TODAY()-H138)=1," day"," days"),IF(H138=TODAY(),"Due today",IF((H138-TODAY())&lt;=14,"Due in "&amp;(H138-TODAY())&amp;IF((H138-TODAY())=1," day"," days"),"Next payment in "&amp;(H138-TODAY())&amp;" days")))))))))</f>
        <v/>
      </c>
      <c r="K138" s="16">
        <f>IF(OR(C138="",E138=""),"",IF(COUNTIFS(Costs!$C$6:$C$305,C138,Costs!$E$6:$E$305,"&lt;&gt;")&lt;2,"",IF(M138=1,"Cheapest of "&amp;COUNTIFS(Costs!$C$6:$C$305,C138,Costs!$E$6:$E$305,"&lt;&gt;"),FIXED(E138-SUMIFS(Costs!$E$6:$E$305,Costs!$C$6:$C$305,C138,Costs!$M$6:$M$305,1)/COUNTIFS(Costs!$C$6:$C$305,C138,Costs!$M$6:$M$305,1),0)&amp;" more than the cheapest")))</f>
        <v/>
      </c>
      <c r="L138" s="33" t="n"/>
      <c r="M138" s="1">
        <f>IF(OR(C138="",E138=""),"",IF(COUNTIFS(Costs!$C$6:$C$305,C138,Costs!$E$6:$E$305,"&lt;"&amp;E138)=0,1,0))</f>
        <v/>
      </c>
      <c r="N138">
        <f>IF(AND(C138&lt;&gt;"",F138="Quote",COUNTIFS(Costs!$C$6:$C$305,C138,Costs!$F$6:$F$305,"Hired")+COUNTIFS(Costs!$C$6:$C$305,C138,Costs!$F$6:$F$305,"Bought")=0),1/COUNTIFS(Costs!$C$6:$C$305,C138,Costs!$F$6:$F$305,"Quote"),"")</f>
        <v/>
      </c>
      <c r="O138">
        <f>IF(AND(OR(F138="Hired",F138="Bought"),N(I138)&gt;0,H138&lt;&gt;""),H138+ROW()/100000,"")</f>
        <v/>
      </c>
    </row>
    <row r="139">
      <c r="A139" s="1" t="n"/>
      <c r="B139" s="33" t="n"/>
      <c r="C139" s="33" t="n"/>
      <c r="D139" s="33" t="n"/>
      <c r="E139" s="27" t="n"/>
      <c r="F139" s="34" t="n"/>
      <c r="G139" s="27" t="n"/>
      <c r="H139" s="35" t="n"/>
      <c r="I139" s="14">
        <f>IF(OR(E139="",AND(F139&lt;&gt;"Hired",F139&lt;&gt;"Bought")),"",E139-N(G139))</f>
        <v/>
      </c>
      <c r="J139" s="16">
        <f>IF(C139&amp;E139="","",IF(F139="","Choose a stage",IF(F139="Quote","",IF(E139="","Add the amount",IF(I139&lt;=0,"Paid",IF(H139="","Balance due, no date set",IF(H139&lt;TODAY(),"Overdue by "&amp;(TODAY()-H139)&amp;IF((TODAY()-H139)=1," day"," days"),IF(H139=TODAY(),"Due today",IF((H139-TODAY())&lt;=14,"Due in "&amp;(H139-TODAY())&amp;IF((H139-TODAY())=1," day"," days"),"Next payment in "&amp;(H139-TODAY())&amp;" days")))))))))</f>
        <v/>
      </c>
      <c r="K139" s="16">
        <f>IF(OR(C139="",E139=""),"",IF(COUNTIFS(Costs!$C$6:$C$305,C139,Costs!$E$6:$E$305,"&lt;&gt;")&lt;2,"",IF(M139=1,"Cheapest of "&amp;COUNTIFS(Costs!$C$6:$C$305,C139,Costs!$E$6:$E$305,"&lt;&gt;"),FIXED(E139-SUMIFS(Costs!$E$6:$E$305,Costs!$C$6:$C$305,C139,Costs!$M$6:$M$305,1)/COUNTIFS(Costs!$C$6:$C$305,C139,Costs!$M$6:$M$305,1),0)&amp;" more than the cheapest")))</f>
        <v/>
      </c>
      <c r="L139" s="33" t="n"/>
      <c r="M139" s="1">
        <f>IF(OR(C139="",E139=""),"",IF(COUNTIFS(Costs!$C$6:$C$305,C139,Costs!$E$6:$E$305,"&lt;"&amp;E139)=0,1,0))</f>
        <v/>
      </c>
      <c r="N139">
        <f>IF(AND(C139&lt;&gt;"",F139="Quote",COUNTIFS(Costs!$C$6:$C$305,C139,Costs!$F$6:$F$305,"Hired")+COUNTIFS(Costs!$C$6:$C$305,C139,Costs!$F$6:$F$305,"Bought")=0),1/COUNTIFS(Costs!$C$6:$C$305,C139,Costs!$F$6:$F$305,"Quote"),"")</f>
        <v/>
      </c>
      <c r="O139">
        <f>IF(AND(OR(F139="Hired",F139="Bought"),N(I139)&gt;0,H139&lt;&gt;""),H139+ROW()/100000,"")</f>
        <v/>
      </c>
    </row>
    <row r="140">
      <c r="A140" s="1" t="n"/>
      <c r="B140" s="33" t="n"/>
      <c r="C140" s="33" t="n"/>
      <c r="D140" s="33" t="n"/>
      <c r="E140" s="27" t="n"/>
      <c r="F140" s="34" t="n"/>
      <c r="G140" s="27" t="n"/>
      <c r="H140" s="35" t="n"/>
      <c r="I140" s="14">
        <f>IF(OR(E140="",AND(F140&lt;&gt;"Hired",F140&lt;&gt;"Bought")),"",E140-N(G140))</f>
        <v/>
      </c>
      <c r="J140" s="16">
        <f>IF(C140&amp;E140="","",IF(F140="","Choose a stage",IF(F140="Quote","",IF(E140="","Add the amount",IF(I140&lt;=0,"Paid",IF(H140="","Balance due, no date set",IF(H140&lt;TODAY(),"Overdue by "&amp;(TODAY()-H140)&amp;IF((TODAY()-H140)=1," day"," days"),IF(H140=TODAY(),"Due today",IF((H140-TODAY())&lt;=14,"Due in "&amp;(H140-TODAY())&amp;IF((H140-TODAY())=1," day"," days"),"Next payment in "&amp;(H140-TODAY())&amp;" days")))))))))</f>
        <v/>
      </c>
      <c r="K140" s="16">
        <f>IF(OR(C140="",E140=""),"",IF(COUNTIFS(Costs!$C$6:$C$305,C140,Costs!$E$6:$E$305,"&lt;&gt;")&lt;2,"",IF(M140=1,"Cheapest of "&amp;COUNTIFS(Costs!$C$6:$C$305,C140,Costs!$E$6:$E$305,"&lt;&gt;"),FIXED(E140-SUMIFS(Costs!$E$6:$E$305,Costs!$C$6:$C$305,C140,Costs!$M$6:$M$305,1)/COUNTIFS(Costs!$C$6:$C$305,C140,Costs!$M$6:$M$305,1),0)&amp;" more than the cheapest")))</f>
        <v/>
      </c>
      <c r="L140" s="33" t="n"/>
      <c r="M140" s="1">
        <f>IF(OR(C140="",E140=""),"",IF(COUNTIFS(Costs!$C$6:$C$305,C140,Costs!$E$6:$E$305,"&lt;"&amp;E140)=0,1,0))</f>
        <v/>
      </c>
      <c r="N140">
        <f>IF(AND(C140&lt;&gt;"",F140="Quote",COUNTIFS(Costs!$C$6:$C$305,C140,Costs!$F$6:$F$305,"Hired")+COUNTIFS(Costs!$C$6:$C$305,C140,Costs!$F$6:$F$305,"Bought")=0),1/COUNTIFS(Costs!$C$6:$C$305,C140,Costs!$F$6:$F$305,"Quote"),"")</f>
        <v/>
      </c>
      <c r="O140">
        <f>IF(AND(OR(F140="Hired",F140="Bought"),N(I140)&gt;0,H140&lt;&gt;""),H140+ROW()/100000,"")</f>
        <v/>
      </c>
    </row>
    <row r="141">
      <c r="A141" s="1" t="n"/>
      <c r="B141" s="33" t="n"/>
      <c r="C141" s="33" t="n"/>
      <c r="D141" s="33" t="n"/>
      <c r="E141" s="27" t="n"/>
      <c r="F141" s="34" t="n"/>
      <c r="G141" s="27" t="n"/>
      <c r="H141" s="35" t="n"/>
      <c r="I141" s="14">
        <f>IF(OR(E141="",AND(F141&lt;&gt;"Hired",F141&lt;&gt;"Bought")),"",E141-N(G141))</f>
        <v/>
      </c>
      <c r="J141" s="16">
        <f>IF(C141&amp;E141="","",IF(F141="","Choose a stage",IF(F141="Quote","",IF(E141="","Add the amount",IF(I141&lt;=0,"Paid",IF(H141="","Balance due, no date set",IF(H141&lt;TODAY(),"Overdue by "&amp;(TODAY()-H141)&amp;IF((TODAY()-H141)=1," day"," days"),IF(H141=TODAY(),"Due today",IF((H141-TODAY())&lt;=14,"Due in "&amp;(H141-TODAY())&amp;IF((H141-TODAY())=1," day"," days"),"Next payment in "&amp;(H141-TODAY())&amp;" days")))))))))</f>
        <v/>
      </c>
      <c r="K141" s="16">
        <f>IF(OR(C141="",E141=""),"",IF(COUNTIFS(Costs!$C$6:$C$305,C141,Costs!$E$6:$E$305,"&lt;&gt;")&lt;2,"",IF(M141=1,"Cheapest of "&amp;COUNTIFS(Costs!$C$6:$C$305,C141,Costs!$E$6:$E$305,"&lt;&gt;"),FIXED(E141-SUMIFS(Costs!$E$6:$E$305,Costs!$C$6:$C$305,C141,Costs!$M$6:$M$305,1)/COUNTIFS(Costs!$C$6:$C$305,C141,Costs!$M$6:$M$305,1),0)&amp;" more than the cheapest")))</f>
        <v/>
      </c>
      <c r="L141" s="33" t="n"/>
      <c r="M141" s="1">
        <f>IF(OR(C141="",E141=""),"",IF(COUNTIFS(Costs!$C$6:$C$305,C141,Costs!$E$6:$E$305,"&lt;"&amp;E141)=0,1,0))</f>
        <v/>
      </c>
      <c r="N141">
        <f>IF(AND(C141&lt;&gt;"",F141="Quote",COUNTIFS(Costs!$C$6:$C$305,C141,Costs!$F$6:$F$305,"Hired")+COUNTIFS(Costs!$C$6:$C$305,C141,Costs!$F$6:$F$305,"Bought")=0),1/COUNTIFS(Costs!$C$6:$C$305,C141,Costs!$F$6:$F$305,"Quote"),"")</f>
        <v/>
      </c>
      <c r="O141">
        <f>IF(AND(OR(F141="Hired",F141="Bought"),N(I141)&gt;0,H141&lt;&gt;""),H141+ROW()/100000,"")</f>
        <v/>
      </c>
    </row>
    <row r="142">
      <c r="A142" s="1" t="n"/>
      <c r="B142" s="33" t="n"/>
      <c r="C142" s="33" t="n"/>
      <c r="D142" s="33" t="n"/>
      <c r="E142" s="27" t="n"/>
      <c r="F142" s="34" t="n"/>
      <c r="G142" s="27" t="n"/>
      <c r="H142" s="35" t="n"/>
      <c r="I142" s="14">
        <f>IF(OR(E142="",AND(F142&lt;&gt;"Hired",F142&lt;&gt;"Bought")),"",E142-N(G142))</f>
        <v/>
      </c>
      <c r="J142" s="16">
        <f>IF(C142&amp;E142="","",IF(F142="","Choose a stage",IF(F142="Quote","",IF(E142="","Add the amount",IF(I142&lt;=0,"Paid",IF(H142="","Balance due, no date set",IF(H142&lt;TODAY(),"Overdue by "&amp;(TODAY()-H142)&amp;IF((TODAY()-H142)=1," day"," days"),IF(H142=TODAY(),"Due today",IF((H142-TODAY())&lt;=14,"Due in "&amp;(H142-TODAY())&amp;IF((H142-TODAY())=1," day"," days"),"Next payment in "&amp;(H142-TODAY())&amp;" days")))))))))</f>
        <v/>
      </c>
      <c r="K142" s="16">
        <f>IF(OR(C142="",E142=""),"",IF(COUNTIFS(Costs!$C$6:$C$305,C142,Costs!$E$6:$E$305,"&lt;&gt;")&lt;2,"",IF(M142=1,"Cheapest of "&amp;COUNTIFS(Costs!$C$6:$C$305,C142,Costs!$E$6:$E$305,"&lt;&gt;"),FIXED(E142-SUMIFS(Costs!$E$6:$E$305,Costs!$C$6:$C$305,C142,Costs!$M$6:$M$305,1)/COUNTIFS(Costs!$C$6:$C$305,C142,Costs!$M$6:$M$305,1),0)&amp;" more than the cheapest")))</f>
        <v/>
      </c>
      <c r="L142" s="33" t="n"/>
      <c r="M142" s="1">
        <f>IF(OR(C142="",E142=""),"",IF(COUNTIFS(Costs!$C$6:$C$305,C142,Costs!$E$6:$E$305,"&lt;"&amp;E142)=0,1,0))</f>
        <v/>
      </c>
      <c r="N142">
        <f>IF(AND(C142&lt;&gt;"",F142="Quote",COUNTIFS(Costs!$C$6:$C$305,C142,Costs!$F$6:$F$305,"Hired")+COUNTIFS(Costs!$C$6:$C$305,C142,Costs!$F$6:$F$305,"Bought")=0),1/COUNTIFS(Costs!$C$6:$C$305,C142,Costs!$F$6:$F$305,"Quote"),"")</f>
        <v/>
      </c>
      <c r="O142">
        <f>IF(AND(OR(F142="Hired",F142="Bought"),N(I142)&gt;0,H142&lt;&gt;""),H142+ROW()/100000,"")</f>
        <v/>
      </c>
    </row>
    <row r="143">
      <c r="A143" s="1" t="n"/>
      <c r="B143" s="33" t="n"/>
      <c r="C143" s="33" t="n"/>
      <c r="D143" s="33" t="n"/>
      <c r="E143" s="27" t="n"/>
      <c r="F143" s="34" t="n"/>
      <c r="G143" s="27" t="n"/>
      <c r="H143" s="35" t="n"/>
      <c r="I143" s="14">
        <f>IF(OR(E143="",AND(F143&lt;&gt;"Hired",F143&lt;&gt;"Bought")),"",E143-N(G143))</f>
        <v/>
      </c>
      <c r="J143" s="16">
        <f>IF(C143&amp;E143="","",IF(F143="","Choose a stage",IF(F143="Quote","",IF(E143="","Add the amount",IF(I143&lt;=0,"Paid",IF(H143="","Balance due, no date set",IF(H143&lt;TODAY(),"Overdue by "&amp;(TODAY()-H143)&amp;IF((TODAY()-H143)=1," day"," days"),IF(H143=TODAY(),"Due today",IF((H143-TODAY())&lt;=14,"Due in "&amp;(H143-TODAY())&amp;IF((H143-TODAY())=1," day"," days"),"Next payment in "&amp;(H143-TODAY())&amp;" days")))))))))</f>
        <v/>
      </c>
      <c r="K143" s="16">
        <f>IF(OR(C143="",E143=""),"",IF(COUNTIFS(Costs!$C$6:$C$305,C143,Costs!$E$6:$E$305,"&lt;&gt;")&lt;2,"",IF(M143=1,"Cheapest of "&amp;COUNTIFS(Costs!$C$6:$C$305,C143,Costs!$E$6:$E$305,"&lt;&gt;"),FIXED(E143-SUMIFS(Costs!$E$6:$E$305,Costs!$C$6:$C$305,C143,Costs!$M$6:$M$305,1)/COUNTIFS(Costs!$C$6:$C$305,C143,Costs!$M$6:$M$305,1),0)&amp;" more than the cheapest")))</f>
        <v/>
      </c>
      <c r="L143" s="33" t="n"/>
      <c r="M143" s="1">
        <f>IF(OR(C143="",E143=""),"",IF(COUNTIFS(Costs!$C$6:$C$305,C143,Costs!$E$6:$E$305,"&lt;"&amp;E143)=0,1,0))</f>
        <v/>
      </c>
      <c r="N143">
        <f>IF(AND(C143&lt;&gt;"",F143="Quote",COUNTIFS(Costs!$C$6:$C$305,C143,Costs!$F$6:$F$305,"Hired")+COUNTIFS(Costs!$C$6:$C$305,C143,Costs!$F$6:$F$305,"Bought")=0),1/COUNTIFS(Costs!$C$6:$C$305,C143,Costs!$F$6:$F$305,"Quote"),"")</f>
        <v/>
      </c>
      <c r="O143">
        <f>IF(AND(OR(F143="Hired",F143="Bought"),N(I143)&gt;0,H143&lt;&gt;""),H143+ROW()/100000,"")</f>
        <v/>
      </c>
    </row>
    <row r="144">
      <c r="A144" s="1" t="n"/>
      <c r="B144" s="33" t="n"/>
      <c r="C144" s="33" t="n"/>
      <c r="D144" s="33" t="n"/>
      <c r="E144" s="27" t="n"/>
      <c r="F144" s="34" t="n"/>
      <c r="G144" s="27" t="n"/>
      <c r="H144" s="35" t="n"/>
      <c r="I144" s="14">
        <f>IF(OR(E144="",AND(F144&lt;&gt;"Hired",F144&lt;&gt;"Bought")),"",E144-N(G144))</f>
        <v/>
      </c>
      <c r="J144" s="16">
        <f>IF(C144&amp;E144="","",IF(F144="","Choose a stage",IF(F144="Quote","",IF(E144="","Add the amount",IF(I144&lt;=0,"Paid",IF(H144="","Balance due, no date set",IF(H144&lt;TODAY(),"Overdue by "&amp;(TODAY()-H144)&amp;IF((TODAY()-H144)=1," day"," days"),IF(H144=TODAY(),"Due today",IF((H144-TODAY())&lt;=14,"Due in "&amp;(H144-TODAY())&amp;IF((H144-TODAY())=1," day"," days"),"Next payment in "&amp;(H144-TODAY())&amp;" days")))))))))</f>
        <v/>
      </c>
      <c r="K144" s="16">
        <f>IF(OR(C144="",E144=""),"",IF(COUNTIFS(Costs!$C$6:$C$305,C144,Costs!$E$6:$E$305,"&lt;&gt;")&lt;2,"",IF(M144=1,"Cheapest of "&amp;COUNTIFS(Costs!$C$6:$C$305,C144,Costs!$E$6:$E$305,"&lt;&gt;"),FIXED(E144-SUMIFS(Costs!$E$6:$E$305,Costs!$C$6:$C$305,C144,Costs!$M$6:$M$305,1)/COUNTIFS(Costs!$C$6:$C$305,C144,Costs!$M$6:$M$305,1),0)&amp;" more than the cheapest")))</f>
        <v/>
      </c>
      <c r="L144" s="33" t="n"/>
      <c r="M144" s="1">
        <f>IF(OR(C144="",E144=""),"",IF(COUNTIFS(Costs!$C$6:$C$305,C144,Costs!$E$6:$E$305,"&lt;"&amp;E144)=0,1,0))</f>
        <v/>
      </c>
      <c r="N144">
        <f>IF(AND(C144&lt;&gt;"",F144="Quote",COUNTIFS(Costs!$C$6:$C$305,C144,Costs!$F$6:$F$305,"Hired")+COUNTIFS(Costs!$C$6:$C$305,C144,Costs!$F$6:$F$305,"Bought")=0),1/COUNTIFS(Costs!$C$6:$C$305,C144,Costs!$F$6:$F$305,"Quote"),"")</f>
        <v/>
      </c>
      <c r="O144">
        <f>IF(AND(OR(F144="Hired",F144="Bought"),N(I144)&gt;0,H144&lt;&gt;""),H144+ROW()/100000,"")</f>
        <v/>
      </c>
    </row>
    <row r="145">
      <c r="A145" s="1" t="n"/>
      <c r="B145" s="33" t="n"/>
      <c r="C145" s="33" t="n"/>
      <c r="D145" s="33" t="n"/>
      <c r="E145" s="27" t="n"/>
      <c r="F145" s="34" t="n"/>
      <c r="G145" s="27" t="n"/>
      <c r="H145" s="35" t="n"/>
      <c r="I145" s="14">
        <f>IF(OR(E145="",AND(F145&lt;&gt;"Hired",F145&lt;&gt;"Bought")),"",E145-N(G145))</f>
        <v/>
      </c>
      <c r="J145" s="16">
        <f>IF(C145&amp;E145="","",IF(F145="","Choose a stage",IF(F145="Quote","",IF(E145="","Add the amount",IF(I145&lt;=0,"Paid",IF(H145="","Balance due, no date set",IF(H145&lt;TODAY(),"Overdue by "&amp;(TODAY()-H145)&amp;IF((TODAY()-H145)=1," day"," days"),IF(H145=TODAY(),"Due today",IF((H145-TODAY())&lt;=14,"Due in "&amp;(H145-TODAY())&amp;IF((H145-TODAY())=1," day"," days"),"Next payment in "&amp;(H145-TODAY())&amp;" days")))))))))</f>
        <v/>
      </c>
      <c r="K145" s="16">
        <f>IF(OR(C145="",E145=""),"",IF(COUNTIFS(Costs!$C$6:$C$305,C145,Costs!$E$6:$E$305,"&lt;&gt;")&lt;2,"",IF(M145=1,"Cheapest of "&amp;COUNTIFS(Costs!$C$6:$C$305,C145,Costs!$E$6:$E$305,"&lt;&gt;"),FIXED(E145-SUMIFS(Costs!$E$6:$E$305,Costs!$C$6:$C$305,C145,Costs!$M$6:$M$305,1)/COUNTIFS(Costs!$C$6:$C$305,C145,Costs!$M$6:$M$305,1),0)&amp;" more than the cheapest")))</f>
        <v/>
      </c>
      <c r="L145" s="33" t="n"/>
      <c r="M145" s="1">
        <f>IF(OR(C145="",E145=""),"",IF(COUNTIFS(Costs!$C$6:$C$305,C145,Costs!$E$6:$E$305,"&lt;"&amp;E145)=0,1,0))</f>
        <v/>
      </c>
      <c r="N145">
        <f>IF(AND(C145&lt;&gt;"",F145="Quote",COUNTIFS(Costs!$C$6:$C$305,C145,Costs!$F$6:$F$305,"Hired")+COUNTIFS(Costs!$C$6:$C$305,C145,Costs!$F$6:$F$305,"Bought")=0),1/COUNTIFS(Costs!$C$6:$C$305,C145,Costs!$F$6:$F$305,"Quote"),"")</f>
        <v/>
      </c>
      <c r="O145">
        <f>IF(AND(OR(F145="Hired",F145="Bought"),N(I145)&gt;0,H145&lt;&gt;""),H145+ROW()/100000,"")</f>
        <v/>
      </c>
    </row>
    <row r="146">
      <c r="A146" s="1" t="n"/>
      <c r="B146" s="33" t="n"/>
      <c r="C146" s="33" t="n"/>
      <c r="D146" s="33" t="n"/>
      <c r="E146" s="27" t="n"/>
      <c r="F146" s="34" t="n"/>
      <c r="G146" s="27" t="n"/>
      <c r="H146" s="35" t="n"/>
      <c r="I146" s="14">
        <f>IF(OR(E146="",AND(F146&lt;&gt;"Hired",F146&lt;&gt;"Bought")),"",E146-N(G146))</f>
        <v/>
      </c>
      <c r="J146" s="16">
        <f>IF(C146&amp;E146="","",IF(F146="","Choose a stage",IF(F146="Quote","",IF(E146="","Add the amount",IF(I146&lt;=0,"Paid",IF(H146="","Balance due, no date set",IF(H146&lt;TODAY(),"Overdue by "&amp;(TODAY()-H146)&amp;IF((TODAY()-H146)=1," day"," days"),IF(H146=TODAY(),"Due today",IF((H146-TODAY())&lt;=14,"Due in "&amp;(H146-TODAY())&amp;IF((H146-TODAY())=1," day"," days"),"Next payment in "&amp;(H146-TODAY())&amp;" days")))))))))</f>
        <v/>
      </c>
      <c r="K146" s="16">
        <f>IF(OR(C146="",E146=""),"",IF(COUNTIFS(Costs!$C$6:$C$305,C146,Costs!$E$6:$E$305,"&lt;&gt;")&lt;2,"",IF(M146=1,"Cheapest of "&amp;COUNTIFS(Costs!$C$6:$C$305,C146,Costs!$E$6:$E$305,"&lt;&gt;"),FIXED(E146-SUMIFS(Costs!$E$6:$E$305,Costs!$C$6:$C$305,C146,Costs!$M$6:$M$305,1)/COUNTIFS(Costs!$C$6:$C$305,C146,Costs!$M$6:$M$305,1),0)&amp;" more than the cheapest")))</f>
        <v/>
      </c>
      <c r="L146" s="33" t="n"/>
      <c r="M146" s="1">
        <f>IF(OR(C146="",E146=""),"",IF(COUNTIFS(Costs!$C$6:$C$305,C146,Costs!$E$6:$E$305,"&lt;"&amp;E146)=0,1,0))</f>
        <v/>
      </c>
      <c r="N146">
        <f>IF(AND(C146&lt;&gt;"",F146="Quote",COUNTIFS(Costs!$C$6:$C$305,C146,Costs!$F$6:$F$305,"Hired")+COUNTIFS(Costs!$C$6:$C$305,C146,Costs!$F$6:$F$305,"Bought")=0),1/COUNTIFS(Costs!$C$6:$C$305,C146,Costs!$F$6:$F$305,"Quote"),"")</f>
        <v/>
      </c>
      <c r="O146">
        <f>IF(AND(OR(F146="Hired",F146="Bought"),N(I146)&gt;0,H146&lt;&gt;""),H146+ROW()/100000,"")</f>
        <v/>
      </c>
    </row>
    <row r="147">
      <c r="A147" s="1" t="n"/>
      <c r="B147" s="33" t="n"/>
      <c r="C147" s="33" t="n"/>
      <c r="D147" s="33" t="n"/>
      <c r="E147" s="27" t="n"/>
      <c r="F147" s="34" t="n"/>
      <c r="G147" s="27" t="n"/>
      <c r="H147" s="35" t="n"/>
      <c r="I147" s="14">
        <f>IF(OR(E147="",AND(F147&lt;&gt;"Hired",F147&lt;&gt;"Bought")),"",E147-N(G147))</f>
        <v/>
      </c>
      <c r="J147" s="16">
        <f>IF(C147&amp;E147="","",IF(F147="","Choose a stage",IF(F147="Quote","",IF(E147="","Add the amount",IF(I147&lt;=0,"Paid",IF(H147="","Balance due, no date set",IF(H147&lt;TODAY(),"Overdue by "&amp;(TODAY()-H147)&amp;IF((TODAY()-H147)=1," day"," days"),IF(H147=TODAY(),"Due today",IF((H147-TODAY())&lt;=14,"Due in "&amp;(H147-TODAY())&amp;IF((H147-TODAY())=1," day"," days"),"Next payment in "&amp;(H147-TODAY())&amp;" days")))))))))</f>
        <v/>
      </c>
      <c r="K147" s="16">
        <f>IF(OR(C147="",E147=""),"",IF(COUNTIFS(Costs!$C$6:$C$305,C147,Costs!$E$6:$E$305,"&lt;&gt;")&lt;2,"",IF(M147=1,"Cheapest of "&amp;COUNTIFS(Costs!$C$6:$C$305,C147,Costs!$E$6:$E$305,"&lt;&gt;"),FIXED(E147-SUMIFS(Costs!$E$6:$E$305,Costs!$C$6:$C$305,C147,Costs!$M$6:$M$305,1)/COUNTIFS(Costs!$C$6:$C$305,C147,Costs!$M$6:$M$305,1),0)&amp;" more than the cheapest")))</f>
        <v/>
      </c>
      <c r="L147" s="33" t="n"/>
      <c r="M147" s="1">
        <f>IF(OR(C147="",E147=""),"",IF(COUNTIFS(Costs!$C$6:$C$305,C147,Costs!$E$6:$E$305,"&lt;"&amp;E147)=0,1,0))</f>
        <v/>
      </c>
      <c r="N147">
        <f>IF(AND(C147&lt;&gt;"",F147="Quote",COUNTIFS(Costs!$C$6:$C$305,C147,Costs!$F$6:$F$305,"Hired")+COUNTIFS(Costs!$C$6:$C$305,C147,Costs!$F$6:$F$305,"Bought")=0),1/COUNTIFS(Costs!$C$6:$C$305,C147,Costs!$F$6:$F$305,"Quote"),"")</f>
        <v/>
      </c>
      <c r="O147">
        <f>IF(AND(OR(F147="Hired",F147="Bought"),N(I147)&gt;0,H147&lt;&gt;""),H147+ROW()/100000,"")</f>
        <v/>
      </c>
    </row>
    <row r="148">
      <c r="A148" s="1" t="n"/>
      <c r="B148" s="33" t="n"/>
      <c r="C148" s="33" t="n"/>
      <c r="D148" s="33" t="n"/>
      <c r="E148" s="27" t="n"/>
      <c r="F148" s="34" t="n"/>
      <c r="G148" s="27" t="n"/>
      <c r="H148" s="35" t="n"/>
      <c r="I148" s="14">
        <f>IF(OR(E148="",AND(F148&lt;&gt;"Hired",F148&lt;&gt;"Bought")),"",E148-N(G148))</f>
        <v/>
      </c>
      <c r="J148" s="16">
        <f>IF(C148&amp;E148="","",IF(F148="","Choose a stage",IF(F148="Quote","",IF(E148="","Add the amount",IF(I148&lt;=0,"Paid",IF(H148="","Balance due, no date set",IF(H148&lt;TODAY(),"Overdue by "&amp;(TODAY()-H148)&amp;IF((TODAY()-H148)=1," day"," days"),IF(H148=TODAY(),"Due today",IF((H148-TODAY())&lt;=14,"Due in "&amp;(H148-TODAY())&amp;IF((H148-TODAY())=1," day"," days"),"Next payment in "&amp;(H148-TODAY())&amp;" days")))))))))</f>
        <v/>
      </c>
      <c r="K148" s="16">
        <f>IF(OR(C148="",E148=""),"",IF(COUNTIFS(Costs!$C$6:$C$305,C148,Costs!$E$6:$E$305,"&lt;&gt;")&lt;2,"",IF(M148=1,"Cheapest of "&amp;COUNTIFS(Costs!$C$6:$C$305,C148,Costs!$E$6:$E$305,"&lt;&gt;"),FIXED(E148-SUMIFS(Costs!$E$6:$E$305,Costs!$C$6:$C$305,C148,Costs!$M$6:$M$305,1)/COUNTIFS(Costs!$C$6:$C$305,C148,Costs!$M$6:$M$305,1),0)&amp;" more than the cheapest")))</f>
        <v/>
      </c>
      <c r="L148" s="33" t="n"/>
      <c r="M148" s="1">
        <f>IF(OR(C148="",E148=""),"",IF(COUNTIFS(Costs!$C$6:$C$305,C148,Costs!$E$6:$E$305,"&lt;"&amp;E148)=0,1,0))</f>
        <v/>
      </c>
      <c r="N148">
        <f>IF(AND(C148&lt;&gt;"",F148="Quote",COUNTIFS(Costs!$C$6:$C$305,C148,Costs!$F$6:$F$305,"Hired")+COUNTIFS(Costs!$C$6:$C$305,C148,Costs!$F$6:$F$305,"Bought")=0),1/COUNTIFS(Costs!$C$6:$C$305,C148,Costs!$F$6:$F$305,"Quote"),"")</f>
        <v/>
      </c>
      <c r="O148">
        <f>IF(AND(OR(F148="Hired",F148="Bought"),N(I148)&gt;0,H148&lt;&gt;""),H148+ROW()/100000,"")</f>
        <v/>
      </c>
    </row>
    <row r="149">
      <c r="A149" s="1" t="n"/>
      <c r="B149" s="33" t="n"/>
      <c r="C149" s="33" t="n"/>
      <c r="D149" s="33" t="n"/>
      <c r="E149" s="27" t="n"/>
      <c r="F149" s="34" t="n"/>
      <c r="G149" s="27" t="n"/>
      <c r="H149" s="35" t="n"/>
      <c r="I149" s="14">
        <f>IF(OR(E149="",AND(F149&lt;&gt;"Hired",F149&lt;&gt;"Bought")),"",E149-N(G149))</f>
        <v/>
      </c>
      <c r="J149" s="16">
        <f>IF(C149&amp;E149="","",IF(F149="","Choose a stage",IF(F149="Quote","",IF(E149="","Add the amount",IF(I149&lt;=0,"Paid",IF(H149="","Balance due, no date set",IF(H149&lt;TODAY(),"Overdue by "&amp;(TODAY()-H149)&amp;IF((TODAY()-H149)=1," day"," days"),IF(H149=TODAY(),"Due today",IF((H149-TODAY())&lt;=14,"Due in "&amp;(H149-TODAY())&amp;IF((H149-TODAY())=1," day"," days"),"Next payment in "&amp;(H149-TODAY())&amp;" days")))))))))</f>
        <v/>
      </c>
      <c r="K149" s="16">
        <f>IF(OR(C149="",E149=""),"",IF(COUNTIFS(Costs!$C$6:$C$305,C149,Costs!$E$6:$E$305,"&lt;&gt;")&lt;2,"",IF(M149=1,"Cheapest of "&amp;COUNTIFS(Costs!$C$6:$C$305,C149,Costs!$E$6:$E$305,"&lt;&gt;"),FIXED(E149-SUMIFS(Costs!$E$6:$E$305,Costs!$C$6:$C$305,C149,Costs!$M$6:$M$305,1)/COUNTIFS(Costs!$C$6:$C$305,C149,Costs!$M$6:$M$305,1),0)&amp;" more than the cheapest")))</f>
        <v/>
      </c>
      <c r="L149" s="33" t="n"/>
      <c r="M149" s="1">
        <f>IF(OR(C149="",E149=""),"",IF(COUNTIFS(Costs!$C$6:$C$305,C149,Costs!$E$6:$E$305,"&lt;"&amp;E149)=0,1,0))</f>
        <v/>
      </c>
      <c r="N149">
        <f>IF(AND(C149&lt;&gt;"",F149="Quote",COUNTIFS(Costs!$C$6:$C$305,C149,Costs!$F$6:$F$305,"Hired")+COUNTIFS(Costs!$C$6:$C$305,C149,Costs!$F$6:$F$305,"Bought")=0),1/COUNTIFS(Costs!$C$6:$C$305,C149,Costs!$F$6:$F$305,"Quote"),"")</f>
        <v/>
      </c>
      <c r="O149">
        <f>IF(AND(OR(F149="Hired",F149="Bought"),N(I149)&gt;0,H149&lt;&gt;""),H149+ROW()/100000,"")</f>
        <v/>
      </c>
    </row>
    <row r="150">
      <c r="A150" s="1" t="n"/>
      <c r="B150" s="33" t="n"/>
      <c r="C150" s="33" t="n"/>
      <c r="D150" s="33" t="n"/>
      <c r="E150" s="27" t="n"/>
      <c r="F150" s="34" t="n"/>
      <c r="G150" s="27" t="n"/>
      <c r="H150" s="35" t="n"/>
      <c r="I150" s="14">
        <f>IF(OR(E150="",AND(F150&lt;&gt;"Hired",F150&lt;&gt;"Bought")),"",E150-N(G150))</f>
        <v/>
      </c>
      <c r="J150" s="16">
        <f>IF(C150&amp;E150="","",IF(F150="","Choose a stage",IF(F150="Quote","",IF(E150="","Add the amount",IF(I150&lt;=0,"Paid",IF(H150="","Balance due, no date set",IF(H150&lt;TODAY(),"Overdue by "&amp;(TODAY()-H150)&amp;IF((TODAY()-H150)=1," day"," days"),IF(H150=TODAY(),"Due today",IF((H150-TODAY())&lt;=14,"Due in "&amp;(H150-TODAY())&amp;IF((H150-TODAY())=1," day"," days"),"Next payment in "&amp;(H150-TODAY())&amp;" days")))))))))</f>
        <v/>
      </c>
      <c r="K150" s="16">
        <f>IF(OR(C150="",E150=""),"",IF(COUNTIFS(Costs!$C$6:$C$305,C150,Costs!$E$6:$E$305,"&lt;&gt;")&lt;2,"",IF(M150=1,"Cheapest of "&amp;COUNTIFS(Costs!$C$6:$C$305,C150,Costs!$E$6:$E$305,"&lt;&gt;"),FIXED(E150-SUMIFS(Costs!$E$6:$E$305,Costs!$C$6:$C$305,C150,Costs!$M$6:$M$305,1)/COUNTIFS(Costs!$C$6:$C$305,C150,Costs!$M$6:$M$305,1),0)&amp;" more than the cheapest")))</f>
        <v/>
      </c>
      <c r="L150" s="33" t="n"/>
      <c r="M150" s="1">
        <f>IF(OR(C150="",E150=""),"",IF(COUNTIFS(Costs!$C$6:$C$305,C150,Costs!$E$6:$E$305,"&lt;"&amp;E150)=0,1,0))</f>
        <v/>
      </c>
      <c r="N150">
        <f>IF(AND(C150&lt;&gt;"",F150="Quote",COUNTIFS(Costs!$C$6:$C$305,C150,Costs!$F$6:$F$305,"Hired")+COUNTIFS(Costs!$C$6:$C$305,C150,Costs!$F$6:$F$305,"Bought")=0),1/COUNTIFS(Costs!$C$6:$C$305,C150,Costs!$F$6:$F$305,"Quote"),"")</f>
        <v/>
      </c>
      <c r="O150">
        <f>IF(AND(OR(F150="Hired",F150="Bought"),N(I150)&gt;0,H150&lt;&gt;""),H150+ROW()/100000,"")</f>
        <v/>
      </c>
    </row>
    <row r="151">
      <c r="A151" s="1" t="n"/>
      <c r="B151" s="33" t="n"/>
      <c r="C151" s="33" t="n"/>
      <c r="D151" s="33" t="n"/>
      <c r="E151" s="27" t="n"/>
      <c r="F151" s="34" t="n"/>
      <c r="G151" s="27" t="n"/>
      <c r="H151" s="35" t="n"/>
      <c r="I151" s="14">
        <f>IF(OR(E151="",AND(F151&lt;&gt;"Hired",F151&lt;&gt;"Bought")),"",E151-N(G151))</f>
        <v/>
      </c>
      <c r="J151" s="16">
        <f>IF(C151&amp;E151="","",IF(F151="","Choose a stage",IF(F151="Quote","",IF(E151="","Add the amount",IF(I151&lt;=0,"Paid",IF(H151="","Balance due, no date set",IF(H151&lt;TODAY(),"Overdue by "&amp;(TODAY()-H151)&amp;IF((TODAY()-H151)=1," day"," days"),IF(H151=TODAY(),"Due today",IF((H151-TODAY())&lt;=14,"Due in "&amp;(H151-TODAY())&amp;IF((H151-TODAY())=1," day"," days"),"Next payment in "&amp;(H151-TODAY())&amp;" days")))))))))</f>
        <v/>
      </c>
      <c r="K151" s="16">
        <f>IF(OR(C151="",E151=""),"",IF(COUNTIFS(Costs!$C$6:$C$305,C151,Costs!$E$6:$E$305,"&lt;&gt;")&lt;2,"",IF(M151=1,"Cheapest of "&amp;COUNTIFS(Costs!$C$6:$C$305,C151,Costs!$E$6:$E$305,"&lt;&gt;"),FIXED(E151-SUMIFS(Costs!$E$6:$E$305,Costs!$C$6:$C$305,C151,Costs!$M$6:$M$305,1)/COUNTIFS(Costs!$C$6:$C$305,C151,Costs!$M$6:$M$305,1),0)&amp;" more than the cheapest")))</f>
        <v/>
      </c>
      <c r="L151" s="33" t="n"/>
      <c r="M151" s="1">
        <f>IF(OR(C151="",E151=""),"",IF(COUNTIFS(Costs!$C$6:$C$305,C151,Costs!$E$6:$E$305,"&lt;"&amp;E151)=0,1,0))</f>
        <v/>
      </c>
      <c r="N151">
        <f>IF(AND(C151&lt;&gt;"",F151="Quote",COUNTIFS(Costs!$C$6:$C$305,C151,Costs!$F$6:$F$305,"Hired")+COUNTIFS(Costs!$C$6:$C$305,C151,Costs!$F$6:$F$305,"Bought")=0),1/COUNTIFS(Costs!$C$6:$C$305,C151,Costs!$F$6:$F$305,"Quote"),"")</f>
        <v/>
      </c>
      <c r="O151">
        <f>IF(AND(OR(F151="Hired",F151="Bought"),N(I151)&gt;0,H151&lt;&gt;""),H151+ROW()/100000,"")</f>
        <v/>
      </c>
    </row>
    <row r="152">
      <c r="A152" s="1" t="n"/>
      <c r="B152" s="33" t="n"/>
      <c r="C152" s="33" t="n"/>
      <c r="D152" s="33" t="n"/>
      <c r="E152" s="27" t="n"/>
      <c r="F152" s="34" t="n"/>
      <c r="G152" s="27" t="n"/>
      <c r="H152" s="35" t="n"/>
      <c r="I152" s="14">
        <f>IF(OR(E152="",AND(F152&lt;&gt;"Hired",F152&lt;&gt;"Bought")),"",E152-N(G152))</f>
        <v/>
      </c>
      <c r="J152" s="16">
        <f>IF(C152&amp;E152="","",IF(F152="","Choose a stage",IF(F152="Quote","",IF(E152="","Add the amount",IF(I152&lt;=0,"Paid",IF(H152="","Balance due, no date set",IF(H152&lt;TODAY(),"Overdue by "&amp;(TODAY()-H152)&amp;IF((TODAY()-H152)=1," day"," days"),IF(H152=TODAY(),"Due today",IF((H152-TODAY())&lt;=14,"Due in "&amp;(H152-TODAY())&amp;IF((H152-TODAY())=1," day"," days"),"Next payment in "&amp;(H152-TODAY())&amp;" days")))))))))</f>
        <v/>
      </c>
      <c r="K152" s="16">
        <f>IF(OR(C152="",E152=""),"",IF(COUNTIFS(Costs!$C$6:$C$305,C152,Costs!$E$6:$E$305,"&lt;&gt;")&lt;2,"",IF(M152=1,"Cheapest of "&amp;COUNTIFS(Costs!$C$6:$C$305,C152,Costs!$E$6:$E$305,"&lt;&gt;"),FIXED(E152-SUMIFS(Costs!$E$6:$E$305,Costs!$C$6:$C$305,C152,Costs!$M$6:$M$305,1)/COUNTIFS(Costs!$C$6:$C$305,C152,Costs!$M$6:$M$305,1),0)&amp;" more than the cheapest")))</f>
        <v/>
      </c>
      <c r="L152" s="33" t="n"/>
      <c r="M152" s="1">
        <f>IF(OR(C152="",E152=""),"",IF(COUNTIFS(Costs!$C$6:$C$305,C152,Costs!$E$6:$E$305,"&lt;"&amp;E152)=0,1,0))</f>
        <v/>
      </c>
      <c r="N152">
        <f>IF(AND(C152&lt;&gt;"",F152="Quote",COUNTIFS(Costs!$C$6:$C$305,C152,Costs!$F$6:$F$305,"Hired")+COUNTIFS(Costs!$C$6:$C$305,C152,Costs!$F$6:$F$305,"Bought")=0),1/COUNTIFS(Costs!$C$6:$C$305,C152,Costs!$F$6:$F$305,"Quote"),"")</f>
        <v/>
      </c>
      <c r="O152">
        <f>IF(AND(OR(F152="Hired",F152="Bought"),N(I152)&gt;0,H152&lt;&gt;""),H152+ROW()/100000,"")</f>
        <v/>
      </c>
    </row>
    <row r="153">
      <c r="A153" s="1" t="n"/>
      <c r="B153" s="33" t="n"/>
      <c r="C153" s="33" t="n"/>
      <c r="D153" s="33" t="n"/>
      <c r="E153" s="27" t="n"/>
      <c r="F153" s="34" t="n"/>
      <c r="G153" s="27" t="n"/>
      <c r="H153" s="35" t="n"/>
      <c r="I153" s="14">
        <f>IF(OR(E153="",AND(F153&lt;&gt;"Hired",F153&lt;&gt;"Bought")),"",E153-N(G153))</f>
        <v/>
      </c>
      <c r="J153" s="16">
        <f>IF(C153&amp;E153="","",IF(F153="","Choose a stage",IF(F153="Quote","",IF(E153="","Add the amount",IF(I153&lt;=0,"Paid",IF(H153="","Balance due, no date set",IF(H153&lt;TODAY(),"Overdue by "&amp;(TODAY()-H153)&amp;IF((TODAY()-H153)=1," day"," days"),IF(H153=TODAY(),"Due today",IF((H153-TODAY())&lt;=14,"Due in "&amp;(H153-TODAY())&amp;IF((H153-TODAY())=1," day"," days"),"Next payment in "&amp;(H153-TODAY())&amp;" days")))))))))</f>
        <v/>
      </c>
      <c r="K153" s="16">
        <f>IF(OR(C153="",E153=""),"",IF(COUNTIFS(Costs!$C$6:$C$305,C153,Costs!$E$6:$E$305,"&lt;&gt;")&lt;2,"",IF(M153=1,"Cheapest of "&amp;COUNTIFS(Costs!$C$6:$C$305,C153,Costs!$E$6:$E$305,"&lt;&gt;"),FIXED(E153-SUMIFS(Costs!$E$6:$E$305,Costs!$C$6:$C$305,C153,Costs!$M$6:$M$305,1)/COUNTIFS(Costs!$C$6:$C$305,C153,Costs!$M$6:$M$305,1),0)&amp;" more than the cheapest")))</f>
        <v/>
      </c>
      <c r="L153" s="33" t="n"/>
      <c r="M153" s="1">
        <f>IF(OR(C153="",E153=""),"",IF(COUNTIFS(Costs!$C$6:$C$305,C153,Costs!$E$6:$E$305,"&lt;"&amp;E153)=0,1,0))</f>
        <v/>
      </c>
      <c r="N153">
        <f>IF(AND(C153&lt;&gt;"",F153="Quote",COUNTIFS(Costs!$C$6:$C$305,C153,Costs!$F$6:$F$305,"Hired")+COUNTIFS(Costs!$C$6:$C$305,C153,Costs!$F$6:$F$305,"Bought")=0),1/COUNTIFS(Costs!$C$6:$C$305,C153,Costs!$F$6:$F$305,"Quote"),"")</f>
        <v/>
      </c>
      <c r="O153">
        <f>IF(AND(OR(F153="Hired",F153="Bought"),N(I153)&gt;0,H153&lt;&gt;""),H153+ROW()/100000,"")</f>
        <v/>
      </c>
    </row>
    <row r="154">
      <c r="A154" s="1" t="n"/>
      <c r="B154" s="33" t="n"/>
      <c r="C154" s="33" t="n"/>
      <c r="D154" s="33" t="n"/>
      <c r="E154" s="27" t="n"/>
      <c r="F154" s="34" t="n"/>
      <c r="G154" s="27" t="n"/>
      <c r="H154" s="35" t="n"/>
      <c r="I154" s="14">
        <f>IF(OR(E154="",AND(F154&lt;&gt;"Hired",F154&lt;&gt;"Bought")),"",E154-N(G154))</f>
        <v/>
      </c>
      <c r="J154" s="16">
        <f>IF(C154&amp;E154="","",IF(F154="","Choose a stage",IF(F154="Quote","",IF(E154="","Add the amount",IF(I154&lt;=0,"Paid",IF(H154="","Balance due, no date set",IF(H154&lt;TODAY(),"Overdue by "&amp;(TODAY()-H154)&amp;IF((TODAY()-H154)=1," day"," days"),IF(H154=TODAY(),"Due today",IF((H154-TODAY())&lt;=14,"Due in "&amp;(H154-TODAY())&amp;IF((H154-TODAY())=1," day"," days"),"Next payment in "&amp;(H154-TODAY())&amp;" days")))))))))</f>
        <v/>
      </c>
      <c r="K154" s="16">
        <f>IF(OR(C154="",E154=""),"",IF(COUNTIFS(Costs!$C$6:$C$305,C154,Costs!$E$6:$E$305,"&lt;&gt;")&lt;2,"",IF(M154=1,"Cheapest of "&amp;COUNTIFS(Costs!$C$6:$C$305,C154,Costs!$E$6:$E$305,"&lt;&gt;"),FIXED(E154-SUMIFS(Costs!$E$6:$E$305,Costs!$C$6:$C$305,C154,Costs!$M$6:$M$305,1)/COUNTIFS(Costs!$C$6:$C$305,C154,Costs!$M$6:$M$305,1),0)&amp;" more than the cheapest")))</f>
        <v/>
      </c>
      <c r="L154" s="33" t="n"/>
      <c r="M154" s="1">
        <f>IF(OR(C154="",E154=""),"",IF(COUNTIFS(Costs!$C$6:$C$305,C154,Costs!$E$6:$E$305,"&lt;"&amp;E154)=0,1,0))</f>
        <v/>
      </c>
      <c r="N154">
        <f>IF(AND(C154&lt;&gt;"",F154="Quote",COUNTIFS(Costs!$C$6:$C$305,C154,Costs!$F$6:$F$305,"Hired")+COUNTIFS(Costs!$C$6:$C$305,C154,Costs!$F$6:$F$305,"Bought")=0),1/COUNTIFS(Costs!$C$6:$C$305,C154,Costs!$F$6:$F$305,"Quote"),"")</f>
        <v/>
      </c>
      <c r="O154">
        <f>IF(AND(OR(F154="Hired",F154="Bought"),N(I154)&gt;0,H154&lt;&gt;""),H154+ROW()/100000,"")</f>
        <v/>
      </c>
    </row>
    <row r="155">
      <c r="A155" s="1" t="n"/>
      <c r="B155" s="33" t="n"/>
      <c r="C155" s="33" t="n"/>
      <c r="D155" s="33" t="n"/>
      <c r="E155" s="27" t="n"/>
      <c r="F155" s="34" t="n"/>
      <c r="G155" s="27" t="n"/>
      <c r="H155" s="35" t="n"/>
      <c r="I155" s="14">
        <f>IF(OR(E155="",AND(F155&lt;&gt;"Hired",F155&lt;&gt;"Bought")),"",E155-N(G155))</f>
        <v/>
      </c>
      <c r="J155" s="16">
        <f>IF(C155&amp;E155="","",IF(F155="","Choose a stage",IF(F155="Quote","",IF(E155="","Add the amount",IF(I155&lt;=0,"Paid",IF(H155="","Balance due, no date set",IF(H155&lt;TODAY(),"Overdue by "&amp;(TODAY()-H155)&amp;IF((TODAY()-H155)=1," day"," days"),IF(H155=TODAY(),"Due today",IF((H155-TODAY())&lt;=14,"Due in "&amp;(H155-TODAY())&amp;IF((H155-TODAY())=1," day"," days"),"Next payment in "&amp;(H155-TODAY())&amp;" days")))))))))</f>
        <v/>
      </c>
      <c r="K155" s="16">
        <f>IF(OR(C155="",E155=""),"",IF(COUNTIFS(Costs!$C$6:$C$305,C155,Costs!$E$6:$E$305,"&lt;&gt;")&lt;2,"",IF(M155=1,"Cheapest of "&amp;COUNTIFS(Costs!$C$6:$C$305,C155,Costs!$E$6:$E$305,"&lt;&gt;"),FIXED(E155-SUMIFS(Costs!$E$6:$E$305,Costs!$C$6:$C$305,C155,Costs!$M$6:$M$305,1)/COUNTIFS(Costs!$C$6:$C$305,C155,Costs!$M$6:$M$305,1),0)&amp;" more than the cheapest")))</f>
        <v/>
      </c>
      <c r="L155" s="33" t="n"/>
      <c r="M155" s="1">
        <f>IF(OR(C155="",E155=""),"",IF(COUNTIFS(Costs!$C$6:$C$305,C155,Costs!$E$6:$E$305,"&lt;"&amp;E155)=0,1,0))</f>
        <v/>
      </c>
      <c r="N155">
        <f>IF(AND(C155&lt;&gt;"",F155="Quote",COUNTIFS(Costs!$C$6:$C$305,C155,Costs!$F$6:$F$305,"Hired")+COUNTIFS(Costs!$C$6:$C$305,C155,Costs!$F$6:$F$305,"Bought")=0),1/COUNTIFS(Costs!$C$6:$C$305,C155,Costs!$F$6:$F$305,"Quote"),"")</f>
        <v/>
      </c>
      <c r="O155">
        <f>IF(AND(OR(F155="Hired",F155="Bought"),N(I155)&gt;0,H155&lt;&gt;""),H155+ROW()/100000,"")</f>
        <v/>
      </c>
    </row>
    <row r="156">
      <c r="A156" s="1" t="n"/>
      <c r="B156" s="33" t="n"/>
      <c r="C156" s="33" t="n"/>
      <c r="D156" s="33" t="n"/>
      <c r="E156" s="27" t="n"/>
      <c r="F156" s="34" t="n"/>
      <c r="G156" s="27" t="n"/>
      <c r="H156" s="35" t="n"/>
      <c r="I156" s="14">
        <f>IF(OR(E156="",AND(F156&lt;&gt;"Hired",F156&lt;&gt;"Bought")),"",E156-N(G156))</f>
        <v/>
      </c>
      <c r="J156" s="16">
        <f>IF(C156&amp;E156="","",IF(F156="","Choose a stage",IF(F156="Quote","",IF(E156="","Add the amount",IF(I156&lt;=0,"Paid",IF(H156="","Balance due, no date set",IF(H156&lt;TODAY(),"Overdue by "&amp;(TODAY()-H156)&amp;IF((TODAY()-H156)=1," day"," days"),IF(H156=TODAY(),"Due today",IF((H156-TODAY())&lt;=14,"Due in "&amp;(H156-TODAY())&amp;IF((H156-TODAY())=1," day"," days"),"Next payment in "&amp;(H156-TODAY())&amp;" days")))))))))</f>
        <v/>
      </c>
      <c r="K156" s="16">
        <f>IF(OR(C156="",E156=""),"",IF(COUNTIFS(Costs!$C$6:$C$305,C156,Costs!$E$6:$E$305,"&lt;&gt;")&lt;2,"",IF(M156=1,"Cheapest of "&amp;COUNTIFS(Costs!$C$6:$C$305,C156,Costs!$E$6:$E$305,"&lt;&gt;"),FIXED(E156-SUMIFS(Costs!$E$6:$E$305,Costs!$C$6:$C$305,C156,Costs!$M$6:$M$305,1)/COUNTIFS(Costs!$C$6:$C$305,C156,Costs!$M$6:$M$305,1),0)&amp;" more than the cheapest")))</f>
        <v/>
      </c>
      <c r="L156" s="33" t="n"/>
      <c r="M156" s="1">
        <f>IF(OR(C156="",E156=""),"",IF(COUNTIFS(Costs!$C$6:$C$305,C156,Costs!$E$6:$E$305,"&lt;"&amp;E156)=0,1,0))</f>
        <v/>
      </c>
      <c r="N156">
        <f>IF(AND(C156&lt;&gt;"",F156="Quote",COUNTIFS(Costs!$C$6:$C$305,C156,Costs!$F$6:$F$305,"Hired")+COUNTIFS(Costs!$C$6:$C$305,C156,Costs!$F$6:$F$305,"Bought")=0),1/COUNTIFS(Costs!$C$6:$C$305,C156,Costs!$F$6:$F$305,"Quote"),"")</f>
        <v/>
      </c>
      <c r="O156">
        <f>IF(AND(OR(F156="Hired",F156="Bought"),N(I156)&gt;0,H156&lt;&gt;""),H156+ROW()/100000,"")</f>
        <v/>
      </c>
    </row>
    <row r="157">
      <c r="A157" s="1" t="n"/>
      <c r="B157" s="33" t="n"/>
      <c r="C157" s="33" t="n"/>
      <c r="D157" s="33" t="n"/>
      <c r="E157" s="27" t="n"/>
      <c r="F157" s="34" t="n"/>
      <c r="G157" s="27" t="n"/>
      <c r="H157" s="35" t="n"/>
      <c r="I157" s="14">
        <f>IF(OR(E157="",AND(F157&lt;&gt;"Hired",F157&lt;&gt;"Bought")),"",E157-N(G157))</f>
        <v/>
      </c>
      <c r="J157" s="16">
        <f>IF(C157&amp;E157="","",IF(F157="","Choose a stage",IF(F157="Quote","",IF(E157="","Add the amount",IF(I157&lt;=0,"Paid",IF(H157="","Balance due, no date set",IF(H157&lt;TODAY(),"Overdue by "&amp;(TODAY()-H157)&amp;IF((TODAY()-H157)=1," day"," days"),IF(H157=TODAY(),"Due today",IF((H157-TODAY())&lt;=14,"Due in "&amp;(H157-TODAY())&amp;IF((H157-TODAY())=1," day"," days"),"Next payment in "&amp;(H157-TODAY())&amp;" days")))))))))</f>
        <v/>
      </c>
      <c r="K157" s="16">
        <f>IF(OR(C157="",E157=""),"",IF(COUNTIFS(Costs!$C$6:$C$305,C157,Costs!$E$6:$E$305,"&lt;&gt;")&lt;2,"",IF(M157=1,"Cheapest of "&amp;COUNTIFS(Costs!$C$6:$C$305,C157,Costs!$E$6:$E$305,"&lt;&gt;"),FIXED(E157-SUMIFS(Costs!$E$6:$E$305,Costs!$C$6:$C$305,C157,Costs!$M$6:$M$305,1)/COUNTIFS(Costs!$C$6:$C$305,C157,Costs!$M$6:$M$305,1),0)&amp;" more than the cheapest")))</f>
        <v/>
      </c>
      <c r="L157" s="33" t="n"/>
      <c r="M157" s="1">
        <f>IF(OR(C157="",E157=""),"",IF(COUNTIFS(Costs!$C$6:$C$305,C157,Costs!$E$6:$E$305,"&lt;"&amp;E157)=0,1,0))</f>
        <v/>
      </c>
      <c r="N157">
        <f>IF(AND(C157&lt;&gt;"",F157="Quote",COUNTIFS(Costs!$C$6:$C$305,C157,Costs!$F$6:$F$305,"Hired")+COUNTIFS(Costs!$C$6:$C$305,C157,Costs!$F$6:$F$305,"Bought")=0),1/COUNTIFS(Costs!$C$6:$C$305,C157,Costs!$F$6:$F$305,"Quote"),"")</f>
        <v/>
      </c>
      <c r="O157">
        <f>IF(AND(OR(F157="Hired",F157="Bought"),N(I157)&gt;0,H157&lt;&gt;""),H157+ROW()/100000,"")</f>
        <v/>
      </c>
    </row>
    <row r="158">
      <c r="A158" s="1" t="n"/>
      <c r="B158" s="33" t="n"/>
      <c r="C158" s="33" t="n"/>
      <c r="D158" s="33" t="n"/>
      <c r="E158" s="27" t="n"/>
      <c r="F158" s="34" t="n"/>
      <c r="G158" s="27" t="n"/>
      <c r="H158" s="35" t="n"/>
      <c r="I158" s="14">
        <f>IF(OR(E158="",AND(F158&lt;&gt;"Hired",F158&lt;&gt;"Bought")),"",E158-N(G158))</f>
        <v/>
      </c>
      <c r="J158" s="16">
        <f>IF(C158&amp;E158="","",IF(F158="","Choose a stage",IF(F158="Quote","",IF(E158="","Add the amount",IF(I158&lt;=0,"Paid",IF(H158="","Balance due, no date set",IF(H158&lt;TODAY(),"Overdue by "&amp;(TODAY()-H158)&amp;IF((TODAY()-H158)=1," day"," days"),IF(H158=TODAY(),"Due today",IF((H158-TODAY())&lt;=14,"Due in "&amp;(H158-TODAY())&amp;IF((H158-TODAY())=1," day"," days"),"Next payment in "&amp;(H158-TODAY())&amp;" days")))))))))</f>
        <v/>
      </c>
      <c r="K158" s="16">
        <f>IF(OR(C158="",E158=""),"",IF(COUNTIFS(Costs!$C$6:$C$305,C158,Costs!$E$6:$E$305,"&lt;&gt;")&lt;2,"",IF(M158=1,"Cheapest of "&amp;COUNTIFS(Costs!$C$6:$C$305,C158,Costs!$E$6:$E$305,"&lt;&gt;"),FIXED(E158-SUMIFS(Costs!$E$6:$E$305,Costs!$C$6:$C$305,C158,Costs!$M$6:$M$305,1)/COUNTIFS(Costs!$C$6:$C$305,C158,Costs!$M$6:$M$305,1),0)&amp;" more than the cheapest")))</f>
        <v/>
      </c>
      <c r="L158" s="33" t="n"/>
      <c r="M158" s="1">
        <f>IF(OR(C158="",E158=""),"",IF(COUNTIFS(Costs!$C$6:$C$305,C158,Costs!$E$6:$E$305,"&lt;"&amp;E158)=0,1,0))</f>
        <v/>
      </c>
      <c r="N158">
        <f>IF(AND(C158&lt;&gt;"",F158="Quote",COUNTIFS(Costs!$C$6:$C$305,C158,Costs!$F$6:$F$305,"Hired")+COUNTIFS(Costs!$C$6:$C$305,C158,Costs!$F$6:$F$305,"Bought")=0),1/COUNTIFS(Costs!$C$6:$C$305,C158,Costs!$F$6:$F$305,"Quote"),"")</f>
        <v/>
      </c>
      <c r="O158">
        <f>IF(AND(OR(F158="Hired",F158="Bought"),N(I158)&gt;0,H158&lt;&gt;""),H158+ROW()/100000,"")</f>
        <v/>
      </c>
    </row>
    <row r="159">
      <c r="A159" s="1" t="n"/>
      <c r="B159" s="33" t="n"/>
      <c r="C159" s="33" t="n"/>
      <c r="D159" s="33" t="n"/>
      <c r="E159" s="27" t="n"/>
      <c r="F159" s="34" t="n"/>
      <c r="G159" s="27" t="n"/>
      <c r="H159" s="35" t="n"/>
      <c r="I159" s="14">
        <f>IF(OR(E159="",AND(F159&lt;&gt;"Hired",F159&lt;&gt;"Bought")),"",E159-N(G159))</f>
        <v/>
      </c>
      <c r="J159" s="16">
        <f>IF(C159&amp;E159="","",IF(F159="","Choose a stage",IF(F159="Quote","",IF(E159="","Add the amount",IF(I159&lt;=0,"Paid",IF(H159="","Balance due, no date set",IF(H159&lt;TODAY(),"Overdue by "&amp;(TODAY()-H159)&amp;IF((TODAY()-H159)=1," day"," days"),IF(H159=TODAY(),"Due today",IF((H159-TODAY())&lt;=14,"Due in "&amp;(H159-TODAY())&amp;IF((H159-TODAY())=1," day"," days"),"Next payment in "&amp;(H159-TODAY())&amp;" days")))))))))</f>
        <v/>
      </c>
      <c r="K159" s="16">
        <f>IF(OR(C159="",E159=""),"",IF(COUNTIFS(Costs!$C$6:$C$305,C159,Costs!$E$6:$E$305,"&lt;&gt;")&lt;2,"",IF(M159=1,"Cheapest of "&amp;COUNTIFS(Costs!$C$6:$C$305,C159,Costs!$E$6:$E$305,"&lt;&gt;"),FIXED(E159-SUMIFS(Costs!$E$6:$E$305,Costs!$C$6:$C$305,C159,Costs!$M$6:$M$305,1)/COUNTIFS(Costs!$C$6:$C$305,C159,Costs!$M$6:$M$305,1),0)&amp;" more than the cheapest")))</f>
        <v/>
      </c>
      <c r="L159" s="33" t="n"/>
      <c r="M159" s="1">
        <f>IF(OR(C159="",E159=""),"",IF(COUNTIFS(Costs!$C$6:$C$305,C159,Costs!$E$6:$E$305,"&lt;"&amp;E159)=0,1,0))</f>
        <v/>
      </c>
      <c r="N159">
        <f>IF(AND(C159&lt;&gt;"",F159="Quote",COUNTIFS(Costs!$C$6:$C$305,C159,Costs!$F$6:$F$305,"Hired")+COUNTIFS(Costs!$C$6:$C$305,C159,Costs!$F$6:$F$305,"Bought")=0),1/COUNTIFS(Costs!$C$6:$C$305,C159,Costs!$F$6:$F$305,"Quote"),"")</f>
        <v/>
      </c>
      <c r="O159">
        <f>IF(AND(OR(F159="Hired",F159="Bought"),N(I159)&gt;0,H159&lt;&gt;""),H159+ROW()/100000,"")</f>
        <v/>
      </c>
    </row>
    <row r="160">
      <c r="A160" s="1" t="n"/>
      <c r="B160" s="33" t="n"/>
      <c r="C160" s="33" t="n"/>
      <c r="D160" s="33" t="n"/>
      <c r="E160" s="27" t="n"/>
      <c r="F160" s="34" t="n"/>
      <c r="G160" s="27" t="n"/>
      <c r="H160" s="35" t="n"/>
      <c r="I160" s="14">
        <f>IF(OR(E160="",AND(F160&lt;&gt;"Hired",F160&lt;&gt;"Bought")),"",E160-N(G160))</f>
        <v/>
      </c>
      <c r="J160" s="16">
        <f>IF(C160&amp;E160="","",IF(F160="","Choose a stage",IF(F160="Quote","",IF(E160="","Add the amount",IF(I160&lt;=0,"Paid",IF(H160="","Balance due, no date set",IF(H160&lt;TODAY(),"Overdue by "&amp;(TODAY()-H160)&amp;IF((TODAY()-H160)=1," day"," days"),IF(H160=TODAY(),"Due today",IF((H160-TODAY())&lt;=14,"Due in "&amp;(H160-TODAY())&amp;IF((H160-TODAY())=1," day"," days"),"Next payment in "&amp;(H160-TODAY())&amp;" days")))))))))</f>
        <v/>
      </c>
      <c r="K160" s="16">
        <f>IF(OR(C160="",E160=""),"",IF(COUNTIFS(Costs!$C$6:$C$305,C160,Costs!$E$6:$E$305,"&lt;&gt;")&lt;2,"",IF(M160=1,"Cheapest of "&amp;COUNTIFS(Costs!$C$6:$C$305,C160,Costs!$E$6:$E$305,"&lt;&gt;"),FIXED(E160-SUMIFS(Costs!$E$6:$E$305,Costs!$C$6:$C$305,C160,Costs!$M$6:$M$305,1)/COUNTIFS(Costs!$C$6:$C$305,C160,Costs!$M$6:$M$305,1),0)&amp;" more than the cheapest")))</f>
        <v/>
      </c>
      <c r="L160" s="33" t="n"/>
      <c r="M160" s="1">
        <f>IF(OR(C160="",E160=""),"",IF(COUNTIFS(Costs!$C$6:$C$305,C160,Costs!$E$6:$E$305,"&lt;"&amp;E160)=0,1,0))</f>
        <v/>
      </c>
      <c r="N160">
        <f>IF(AND(C160&lt;&gt;"",F160="Quote",COUNTIFS(Costs!$C$6:$C$305,C160,Costs!$F$6:$F$305,"Hired")+COUNTIFS(Costs!$C$6:$C$305,C160,Costs!$F$6:$F$305,"Bought")=0),1/COUNTIFS(Costs!$C$6:$C$305,C160,Costs!$F$6:$F$305,"Quote"),"")</f>
        <v/>
      </c>
      <c r="O160">
        <f>IF(AND(OR(F160="Hired",F160="Bought"),N(I160)&gt;0,H160&lt;&gt;""),H160+ROW()/100000,"")</f>
        <v/>
      </c>
    </row>
    <row r="161">
      <c r="A161" s="1" t="n"/>
      <c r="B161" s="33" t="n"/>
      <c r="C161" s="33" t="n"/>
      <c r="D161" s="33" t="n"/>
      <c r="E161" s="27" t="n"/>
      <c r="F161" s="34" t="n"/>
      <c r="G161" s="27" t="n"/>
      <c r="H161" s="35" t="n"/>
      <c r="I161" s="14">
        <f>IF(OR(E161="",AND(F161&lt;&gt;"Hired",F161&lt;&gt;"Bought")),"",E161-N(G161))</f>
        <v/>
      </c>
      <c r="J161" s="16">
        <f>IF(C161&amp;E161="","",IF(F161="","Choose a stage",IF(F161="Quote","",IF(E161="","Add the amount",IF(I161&lt;=0,"Paid",IF(H161="","Balance due, no date set",IF(H161&lt;TODAY(),"Overdue by "&amp;(TODAY()-H161)&amp;IF((TODAY()-H161)=1," day"," days"),IF(H161=TODAY(),"Due today",IF((H161-TODAY())&lt;=14,"Due in "&amp;(H161-TODAY())&amp;IF((H161-TODAY())=1," day"," days"),"Next payment in "&amp;(H161-TODAY())&amp;" days")))))))))</f>
        <v/>
      </c>
      <c r="K161" s="16">
        <f>IF(OR(C161="",E161=""),"",IF(COUNTIFS(Costs!$C$6:$C$305,C161,Costs!$E$6:$E$305,"&lt;&gt;")&lt;2,"",IF(M161=1,"Cheapest of "&amp;COUNTIFS(Costs!$C$6:$C$305,C161,Costs!$E$6:$E$305,"&lt;&gt;"),FIXED(E161-SUMIFS(Costs!$E$6:$E$305,Costs!$C$6:$C$305,C161,Costs!$M$6:$M$305,1)/COUNTIFS(Costs!$C$6:$C$305,C161,Costs!$M$6:$M$305,1),0)&amp;" more than the cheapest")))</f>
        <v/>
      </c>
      <c r="L161" s="33" t="n"/>
      <c r="M161" s="1">
        <f>IF(OR(C161="",E161=""),"",IF(COUNTIFS(Costs!$C$6:$C$305,C161,Costs!$E$6:$E$305,"&lt;"&amp;E161)=0,1,0))</f>
        <v/>
      </c>
      <c r="N161">
        <f>IF(AND(C161&lt;&gt;"",F161="Quote",COUNTIFS(Costs!$C$6:$C$305,C161,Costs!$F$6:$F$305,"Hired")+COUNTIFS(Costs!$C$6:$C$305,C161,Costs!$F$6:$F$305,"Bought")=0),1/COUNTIFS(Costs!$C$6:$C$305,C161,Costs!$F$6:$F$305,"Quote"),"")</f>
        <v/>
      </c>
      <c r="O161">
        <f>IF(AND(OR(F161="Hired",F161="Bought"),N(I161)&gt;0,H161&lt;&gt;""),H161+ROW()/100000,"")</f>
        <v/>
      </c>
    </row>
    <row r="162">
      <c r="A162" s="1" t="n"/>
      <c r="B162" s="33" t="n"/>
      <c r="C162" s="33" t="n"/>
      <c r="D162" s="33" t="n"/>
      <c r="E162" s="27" t="n"/>
      <c r="F162" s="34" t="n"/>
      <c r="G162" s="27" t="n"/>
      <c r="H162" s="35" t="n"/>
      <c r="I162" s="14">
        <f>IF(OR(E162="",AND(F162&lt;&gt;"Hired",F162&lt;&gt;"Bought")),"",E162-N(G162))</f>
        <v/>
      </c>
      <c r="J162" s="16">
        <f>IF(C162&amp;E162="","",IF(F162="","Choose a stage",IF(F162="Quote","",IF(E162="","Add the amount",IF(I162&lt;=0,"Paid",IF(H162="","Balance due, no date set",IF(H162&lt;TODAY(),"Overdue by "&amp;(TODAY()-H162)&amp;IF((TODAY()-H162)=1," day"," days"),IF(H162=TODAY(),"Due today",IF((H162-TODAY())&lt;=14,"Due in "&amp;(H162-TODAY())&amp;IF((H162-TODAY())=1," day"," days"),"Next payment in "&amp;(H162-TODAY())&amp;" days")))))))))</f>
        <v/>
      </c>
      <c r="K162" s="16">
        <f>IF(OR(C162="",E162=""),"",IF(COUNTIFS(Costs!$C$6:$C$305,C162,Costs!$E$6:$E$305,"&lt;&gt;")&lt;2,"",IF(M162=1,"Cheapest of "&amp;COUNTIFS(Costs!$C$6:$C$305,C162,Costs!$E$6:$E$305,"&lt;&gt;"),FIXED(E162-SUMIFS(Costs!$E$6:$E$305,Costs!$C$6:$C$305,C162,Costs!$M$6:$M$305,1)/COUNTIFS(Costs!$C$6:$C$305,C162,Costs!$M$6:$M$305,1),0)&amp;" more than the cheapest")))</f>
        <v/>
      </c>
      <c r="L162" s="33" t="n"/>
      <c r="M162" s="1">
        <f>IF(OR(C162="",E162=""),"",IF(COUNTIFS(Costs!$C$6:$C$305,C162,Costs!$E$6:$E$305,"&lt;"&amp;E162)=0,1,0))</f>
        <v/>
      </c>
      <c r="N162">
        <f>IF(AND(C162&lt;&gt;"",F162="Quote",COUNTIFS(Costs!$C$6:$C$305,C162,Costs!$F$6:$F$305,"Hired")+COUNTIFS(Costs!$C$6:$C$305,C162,Costs!$F$6:$F$305,"Bought")=0),1/COUNTIFS(Costs!$C$6:$C$305,C162,Costs!$F$6:$F$305,"Quote"),"")</f>
        <v/>
      </c>
      <c r="O162">
        <f>IF(AND(OR(F162="Hired",F162="Bought"),N(I162)&gt;0,H162&lt;&gt;""),H162+ROW()/100000,"")</f>
        <v/>
      </c>
    </row>
    <row r="163">
      <c r="A163" s="1" t="n"/>
      <c r="B163" s="33" t="n"/>
      <c r="C163" s="33" t="n"/>
      <c r="D163" s="33" t="n"/>
      <c r="E163" s="27" t="n"/>
      <c r="F163" s="34" t="n"/>
      <c r="G163" s="27" t="n"/>
      <c r="H163" s="35" t="n"/>
      <c r="I163" s="14">
        <f>IF(OR(E163="",AND(F163&lt;&gt;"Hired",F163&lt;&gt;"Bought")),"",E163-N(G163))</f>
        <v/>
      </c>
      <c r="J163" s="16">
        <f>IF(C163&amp;E163="","",IF(F163="","Choose a stage",IF(F163="Quote","",IF(E163="","Add the amount",IF(I163&lt;=0,"Paid",IF(H163="","Balance due, no date set",IF(H163&lt;TODAY(),"Overdue by "&amp;(TODAY()-H163)&amp;IF((TODAY()-H163)=1," day"," days"),IF(H163=TODAY(),"Due today",IF((H163-TODAY())&lt;=14,"Due in "&amp;(H163-TODAY())&amp;IF((H163-TODAY())=1," day"," days"),"Next payment in "&amp;(H163-TODAY())&amp;" days")))))))))</f>
        <v/>
      </c>
      <c r="K163" s="16">
        <f>IF(OR(C163="",E163=""),"",IF(COUNTIFS(Costs!$C$6:$C$305,C163,Costs!$E$6:$E$305,"&lt;&gt;")&lt;2,"",IF(M163=1,"Cheapest of "&amp;COUNTIFS(Costs!$C$6:$C$305,C163,Costs!$E$6:$E$305,"&lt;&gt;"),FIXED(E163-SUMIFS(Costs!$E$6:$E$305,Costs!$C$6:$C$305,C163,Costs!$M$6:$M$305,1)/COUNTIFS(Costs!$C$6:$C$305,C163,Costs!$M$6:$M$305,1),0)&amp;" more than the cheapest")))</f>
        <v/>
      </c>
      <c r="L163" s="33" t="n"/>
      <c r="M163" s="1">
        <f>IF(OR(C163="",E163=""),"",IF(COUNTIFS(Costs!$C$6:$C$305,C163,Costs!$E$6:$E$305,"&lt;"&amp;E163)=0,1,0))</f>
        <v/>
      </c>
      <c r="N163">
        <f>IF(AND(C163&lt;&gt;"",F163="Quote",COUNTIFS(Costs!$C$6:$C$305,C163,Costs!$F$6:$F$305,"Hired")+COUNTIFS(Costs!$C$6:$C$305,C163,Costs!$F$6:$F$305,"Bought")=0),1/COUNTIFS(Costs!$C$6:$C$305,C163,Costs!$F$6:$F$305,"Quote"),"")</f>
        <v/>
      </c>
      <c r="O163">
        <f>IF(AND(OR(F163="Hired",F163="Bought"),N(I163)&gt;0,H163&lt;&gt;""),H163+ROW()/100000,"")</f>
        <v/>
      </c>
    </row>
    <row r="164">
      <c r="A164" s="1" t="n"/>
      <c r="B164" s="33" t="n"/>
      <c r="C164" s="33" t="n"/>
      <c r="D164" s="33" t="n"/>
      <c r="E164" s="27" t="n"/>
      <c r="F164" s="34" t="n"/>
      <c r="G164" s="27" t="n"/>
      <c r="H164" s="35" t="n"/>
      <c r="I164" s="14">
        <f>IF(OR(E164="",AND(F164&lt;&gt;"Hired",F164&lt;&gt;"Bought")),"",E164-N(G164))</f>
        <v/>
      </c>
      <c r="J164" s="16">
        <f>IF(C164&amp;E164="","",IF(F164="","Choose a stage",IF(F164="Quote","",IF(E164="","Add the amount",IF(I164&lt;=0,"Paid",IF(H164="","Balance due, no date set",IF(H164&lt;TODAY(),"Overdue by "&amp;(TODAY()-H164)&amp;IF((TODAY()-H164)=1," day"," days"),IF(H164=TODAY(),"Due today",IF((H164-TODAY())&lt;=14,"Due in "&amp;(H164-TODAY())&amp;IF((H164-TODAY())=1," day"," days"),"Next payment in "&amp;(H164-TODAY())&amp;" days")))))))))</f>
        <v/>
      </c>
      <c r="K164" s="16">
        <f>IF(OR(C164="",E164=""),"",IF(COUNTIFS(Costs!$C$6:$C$305,C164,Costs!$E$6:$E$305,"&lt;&gt;")&lt;2,"",IF(M164=1,"Cheapest of "&amp;COUNTIFS(Costs!$C$6:$C$305,C164,Costs!$E$6:$E$305,"&lt;&gt;"),FIXED(E164-SUMIFS(Costs!$E$6:$E$305,Costs!$C$6:$C$305,C164,Costs!$M$6:$M$305,1)/COUNTIFS(Costs!$C$6:$C$305,C164,Costs!$M$6:$M$305,1),0)&amp;" more than the cheapest")))</f>
        <v/>
      </c>
      <c r="L164" s="33" t="n"/>
      <c r="M164" s="1">
        <f>IF(OR(C164="",E164=""),"",IF(COUNTIFS(Costs!$C$6:$C$305,C164,Costs!$E$6:$E$305,"&lt;"&amp;E164)=0,1,0))</f>
        <v/>
      </c>
      <c r="N164">
        <f>IF(AND(C164&lt;&gt;"",F164="Quote",COUNTIFS(Costs!$C$6:$C$305,C164,Costs!$F$6:$F$305,"Hired")+COUNTIFS(Costs!$C$6:$C$305,C164,Costs!$F$6:$F$305,"Bought")=0),1/COUNTIFS(Costs!$C$6:$C$305,C164,Costs!$F$6:$F$305,"Quote"),"")</f>
        <v/>
      </c>
      <c r="O164">
        <f>IF(AND(OR(F164="Hired",F164="Bought"),N(I164)&gt;0,H164&lt;&gt;""),H164+ROW()/100000,"")</f>
        <v/>
      </c>
    </row>
    <row r="165">
      <c r="A165" s="1" t="n"/>
      <c r="B165" s="33" t="n"/>
      <c r="C165" s="33" t="n"/>
      <c r="D165" s="33" t="n"/>
      <c r="E165" s="27" t="n"/>
      <c r="F165" s="34" t="n"/>
      <c r="G165" s="27" t="n"/>
      <c r="H165" s="35" t="n"/>
      <c r="I165" s="14">
        <f>IF(OR(E165="",AND(F165&lt;&gt;"Hired",F165&lt;&gt;"Bought")),"",E165-N(G165))</f>
        <v/>
      </c>
      <c r="J165" s="16">
        <f>IF(C165&amp;E165="","",IF(F165="","Choose a stage",IF(F165="Quote","",IF(E165="","Add the amount",IF(I165&lt;=0,"Paid",IF(H165="","Balance due, no date set",IF(H165&lt;TODAY(),"Overdue by "&amp;(TODAY()-H165)&amp;IF((TODAY()-H165)=1," day"," days"),IF(H165=TODAY(),"Due today",IF((H165-TODAY())&lt;=14,"Due in "&amp;(H165-TODAY())&amp;IF((H165-TODAY())=1," day"," days"),"Next payment in "&amp;(H165-TODAY())&amp;" days")))))))))</f>
        <v/>
      </c>
      <c r="K165" s="16">
        <f>IF(OR(C165="",E165=""),"",IF(COUNTIFS(Costs!$C$6:$C$305,C165,Costs!$E$6:$E$305,"&lt;&gt;")&lt;2,"",IF(M165=1,"Cheapest of "&amp;COUNTIFS(Costs!$C$6:$C$305,C165,Costs!$E$6:$E$305,"&lt;&gt;"),FIXED(E165-SUMIFS(Costs!$E$6:$E$305,Costs!$C$6:$C$305,C165,Costs!$M$6:$M$305,1)/COUNTIFS(Costs!$C$6:$C$305,C165,Costs!$M$6:$M$305,1),0)&amp;" more than the cheapest")))</f>
        <v/>
      </c>
      <c r="L165" s="33" t="n"/>
      <c r="M165" s="1">
        <f>IF(OR(C165="",E165=""),"",IF(COUNTIFS(Costs!$C$6:$C$305,C165,Costs!$E$6:$E$305,"&lt;"&amp;E165)=0,1,0))</f>
        <v/>
      </c>
      <c r="N165">
        <f>IF(AND(C165&lt;&gt;"",F165="Quote",COUNTIFS(Costs!$C$6:$C$305,C165,Costs!$F$6:$F$305,"Hired")+COUNTIFS(Costs!$C$6:$C$305,C165,Costs!$F$6:$F$305,"Bought")=0),1/COUNTIFS(Costs!$C$6:$C$305,C165,Costs!$F$6:$F$305,"Quote"),"")</f>
        <v/>
      </c>
      <c r="O165">
        <f>IF(AND(OR(F165="Hired",F165="Bought"),N(I165)&gt;0,H165&lt;&gt;""),H165+ROW()/100000,"")</f>
        <v/>
      </c>
    </row>
    <row r="166">
      <c r="A166" s="1" t="n"/>
      <c r="B166" s="33" t="n"/>
      <c r="C166" s="33" t="n"/>
      <c r="D166" s="33" t="n"/>
      <c r="E166" s="27" t="n"/>
      <c r="F166" s="34" t="n"/>
      <c r="G166" s="27" t="n"/>
      <c r="H166" s="35" t="n"/>
      <c r="I166" s="14">
        <f>IF(OR(E166="",AND(F166&lt;&gt;"Hired",F166&lt;&gt;"Bought")),"",E166-N(G166))</f>
        <v/>
      </c>
      <c r="J166" s="16">
        <f>IF(C166&amp;E166="","",IF(F166="","Choose a stage",IF(F166="Quote","",IF(E166="","Add the amount",IF(I166&lt;=0,"Paid",IF(H166="","Balance due, no date set",IF(H166&lt;TODAY(),"Overdue by "&amp;(TODAY()-H166)&amp;IF((TODAY()-H166)=1," day"," days"),IF(H166=TODAY(),"Due today",IF((H166-TODAY())&lt;=14,"Due in "&amp;(H166-TODAY())&amp;IF((H166-TODAY())=1," day"," days"),"Next payment in "&amp;(H166-TODAY())&amp;" days")))))))))</f>
        <v/>
      </c>
      <c r="K166" s="16">
        <f>IF(OR(C166="",E166=""),"",IF(COUNTIFS(Costs!$C$6:$C$305,C166,Costs!$E$6:$E$305,"&lt;&gt;")&lt;2,"",IF(M166=1,"Cheapest of "&amp;COUNTIFS(Costs!$C$6:$C$305,C166,Costs!$E$6:$E$305,"&lt;&gt;"),FIXED(E166-SUMIFS(Costs!$E$6:$E$305,Costs!$C$6:$C$305,C166,Costs!$M$6:$M$305,1)/COUNTIFS(Costs!$C$6:$C$305,C166,Costs!$M$6:$M$305,1),0)&amp;" more than the cheapest")))</f>
        <v/>
      </c>
      <c r="L166" s="33" t="n"/>
      <c r="M166" s="1">
        <f>IF(OR(C166="",E166=""),"",IF(COUNTIFS(Costs!$C$6:$C$305,C166,Costs!$E$6:$E$305,"&lt;"&amp;E166)=0,1,0))</f>
        <v/>
      </c>
      <c r="N166">
        <f>IF(AND(C166&lt;&gt;"",F166="Quote",COUNTIFS(Costs!$C$6:$C$305,C166,Costs!$F$6:$F$305,"Hired")+COUNTIFS(Costs!$C$6:$C$305,C166,Costs!$F$6:$F$305,"Bought")=0),1/COUNTIFS(Costs!$C$6:$C$305,C166,Costs!$F$6:$F$305,"Quote"),"")</f>
        <v/>
      </c>
      <c r="O166">
        <f>IF(AND(OR(F166="Hired",F166="Bought"),N(I166)&gt;0,H166&lt;&gt;""),H166+ROW()/100000,"")</f>
        <v/>
      </c>
    </row>
    <row r="167">
      <c r="A167" s="1" t="n"/>
      <c r="B167" s="33" t="n"/>
      <c r="C167" s="33" t="n"/>
      <c r="D167" s="33" t="n"/>
      <c r="E167" s="27" t="n"/>
      <c r="F167" s="34" t="n"/>
      <c r="G167" s="27" t="n"/>
      <c r="H167" s="35" t="n"/>
      <c r="I167" s="14">
        <f>IF(OR(E167="",AND(F167&lt;&gt;"Hired",F167&lt;&gt;"Bought")),"",E167-N(G167))</f>
        <v/>
      </c>
      <c r="J167" s="16">
        <f>IF(C167&amp;E167="","",IF(F167="","Choose a stage",IF(F167="Quote","",IF(E167="","Add the amount",IF(I167&lt;=0,"Paid",IF(H167="","Balance due, no date set",IF(H167&lt;TODAY(),"Overdue by "&amp;(TODAY()-H167)&amp;IF((TODAY()-H167)=1," day"," days"),IF(H167=TODAY(),"Due today",IF((H167-TODAY())&lt;=14,"Due in "&amp;(H167-TODAY())&amp;IF((H167-TODAY())=1," day"," days"),"Next payment in "&amp;(H167-TODAY())&amp;" days")))))))))</f>
        <v/>
      </c>
      <c r="K167" s="16">
        <f>IF(OR(C167="",E167=""),"",IF(COUNTIFS(Costs!$C$6:$C$305,C167,Costs!$E$6:$E$305,"&lt;&gt;")&lt;2,"",IF(M167=1,"Cheapest of "&amp;COUNTIFS(Costs!$C$6:$C$305,C167,Costs!$E$6:$E$305,"&lt;&gt;"),FIXED(E167-SUMIFS(Costs!$E$6:$E$305,Costs!$C$6:$C$305,C167,Costs!$M$6:$M$305,1)/COUNTIFS(Costs!$C$6:$C$305,C167,Costs!$M$6:$M$305,1),0)&amp;" more than the cheapest")))</f>
        <v/>
      </c>
      <c r="L167" s="33" t="n"/>
      <c r="M167" s="1">
        <f>IF(OR(C167="",E167=""),"",IF(COUNTIFS(Costs!$C$6:$C$305,C167,Costs!$E$6:$E$305,"&lt;"&amp;E167)=0,1,0))</f>
        <v/>
      </c>
      <c r="N167">
        <f>IF(AND(C167&lt;&gt;"",F167="Quote",COUNTIFS(Costs!$C$6:$C$305,C167,Costs!$F$6:$F$305,"Hired")+COUNTIFS(Costs!$C$6:$C$305,C167,Costs!$F$6:$F$305,"Bought")=0),1/COUNTIFS(Costs!$C$6:$C$305,C167,Costs!$F$6:$F$305,"Quote"),"")</f>
        <v/>
      </c>
      <c r="O167">
        <f>IF(AND(OR(F167="Hired",F167="Bought"),N(I167)&gt;0,H167&lt;&gt;""),H167+ROW()/100000,"")</f>
        <v/>
      </c>
    </row>
    <row r="168">
      <c r="A168" s="1" t="n"/>
      <c r="B168" s="33" t="n"/>
      <c r="C168" s="33" t="n"/>
      <c r="D168" s="33" t="n"/>
      <c r="E168" s="27" t="n"/>
      <c r="F168" s="34" t="n"/>
      <c r="G168" s="27" t="n"/>
      <c r="H168" s="35" t="n"/>
      <c r="I168" s="14">
        <f>IF(OR(E168="",AND(F168&lt;&gt;"Hired",F168&lt;&gt;"Bought")),"",E168-N(G168))</f>
        <v/>
      </c>
      <c r="J168" s="16">
        <f>IF(C168&amp;E168="","",IF(F168="","Choose a stage",IF(F168="Quote","",IF(E168="","Add the amount",IF(I168&lt;=0,"Paid",IF(H168="","Balance due, no date set",IF(H168&lt;TODAY(),"Overdue by "&amp;(TODAY()-H168)&amp;IF((TODAY()-H168)=1," day"," days"),IF(H168=TODAY(),"Due today",IF((H168-TODAY())&lt;=14,"Due in "&amp;(H168-TODAY())&amp;IF((H168-TODAY())=1," day"," days"),"Next payment in "&amp;(H168-TODAY())&amp;" days")))))))))</f>
        <v/>
      </c>
      <c r="K168" s="16">
        <f>IF(OR(C168="",E168=""),"",IF(COUNTIFS(Costs!$C$6:$C$305,C168,Costs!$E$6:$E$305,"&lt;&gt;")&lt;2,"",IF(M168=1,"Cheapest of "&amp;COUNTIFS(Costs!$C$6:$C$305,C168,Costs!$E$6:$E$305,"&lt;&gt;"),FIXED(E168-SUMIFS(Costs!$E$6:$E$305,Costs!$C$6:$C$305,C168,Costs!$M$6:$M$305,1)/COUNTIFS(Costs!$C$6:$C$305,C168,Costs!$M$6:$M$305,1),0)&amp;" more than the cheapest")))</f>
        <v/>
      </c>
      <c r="L168" s="33" t="n"/>
      <c r="M168" s="1">
        <f>IF(OR(C168="",E168=""),"",IF(COUNTIFS(Costs!$C$6:$C$305,C168,Costs!$E$6:$E$305,"&lt;"&amp;E168)=0,1,0))</f>
        <v/>
      </c>
      <c r="N168">
        <f>IF(AND(C168&lt;&gt;"",F168="Quote",COUNTIFS(Costs!$C$6:$C$305,C168,Costs!$F$6:$F$305,"Hired")+COUNTIFS(Costs!$C$6:$C$305,C168,Costs!$F$6:$F$305,"Bought")=0),1/COUNTIFS(Costs!$C$6:$C$305,C168,Costs!$F$6:$F$305,"Quote"),"")</f>
        <v/>
      </c>
      <c r="O168">
        <f>IF(AND(OR(F168="Hired",F168="Bought"),N(I168)&gt;0,H168&lt;&gt;""),H168+ROW()/100000,"")</f>
        <v/>
      </c>
    </row>
    <row r="169">
      <c r="A169" s="1" t="n"/>
      <c r="B169" s="33" t="n"/>
      <c r="C169" s="33" t="n"/>
      <c r="D169" s="33" t="n"/>
      <c r="E169" s="27" t="n"/>
      <c r="F169" s="34" t="n"/>
      <c r="G169" s="27" t="n"/>
      <c r="H169" s="35" t="n"/>
      <c r="I169" s="14">
        <f>IF(OR(E169="",AND(F169&lt;&gt;"Hired",F169&lt;&gt;"Bought")),"",E169-N(G169))</f>
        <v/>
      </c>
      <c r="J169" s="16">
        <f>IF(C169&amp;E169="","",IF(F169="","Choose a stage",IF(F169="Quote","",IF(E169="","Add the amount",IF(I169&lt;=0,"Paid",IF(H169="","Balance due, no date set",IF(H169&lt;TODAY(),"Overdue by "&amp;(TODAY()-H169)&amp;IF((TODAY()-H169)=1," day"," days"),IF(H169=TODAY(),"Due today",IF((H169-TODAY())&lt;=14,"Due in "&amp;(H169-TODAY())&amp;IF((H169-TODAY())=1," day"," days"),"Next payment in "&amp;(H169-TODAY())&amp;" days")))))))))</f>
        <v/>
      </c>
      <c r="K169" s="16">
        <f>IF(OR(C169="",E169=""),"",IF(COUNTIFS(Costs!$C$6:$C$305,C169,Costs!$E$6:$E$305,"&lt;&gt;")&lt;2,"",IF(M169=1,"Cheapest of "&amp;COUNTIFS(Costs!$C$6:$C$305,C169,Costs!$E$6:$E$305,"&lt;&gt;"),FIXED(E169-SUMIFS(Costs!$E$6:$E$305,Costs!$C$6:$C$305,C169,Costs!$M$6:$M$305,1)/COUNTIFS(Costs!$C$6:$C$305,C169,Costs!$M$6:$M$305,1),0)&amp;" more than the cheapest")))</f>
        <v/>
      </c>
      <c r="L169" s="33" t="n"/>
      <c r="M169" s="1">
        <f>IF(OR(C169="",E169=""),"",IF(COUNTIFS(Costs!$C$6:$C$305,C169,Costs!$E$6:$E$305,"&lt;"&amp;E169)=0,1,0))</f>
        <v/>
      </c>
      <c r="N169">
        <f>IF(AND(C169&lt;&gt;"",F169="Quote",COUNTIFS(Costs!$C$6:$C$305,C169,Costs!$F$6:$F$305,"Hired")+COUNTIFS(Costs!$C$6:$C$305,C169,Costs!$F$6:$F$305,"Bought")=0),1/COUNTIFS(Costs!$C$6:$C$305,C169,Costs!$F$6:$F$305,"Quote"),"")</f>
        <v/>
      </c>
      <c r="O169">
        <f>IF(AND(OR(F169="Hired",F169="Bought"),N(I169)&gt;0,H169&lt;&gt;""),H169+ROW()/100000,"")</f>
        <v/>
      </c>
    </row>
    <row r="170">
      <c r="A170" s="1" t="n"/>
      <c r="B170" s="33" t="n"/>
      <c r="C170" s="33" t="n"/>
      <c r="D170" s="33" t="n"/>
      <c r="E170" s="27" t="n"/>
      <c r="F170" s="34" t="n"/>
      <c r="G170" s="27" t="n"/>
      <c r="H170" s="35" t="n"/>
      <c r="I170" s="14">
        <f>IF(OR(E170="",AND(F170&lt;&gt;"Hired",F170&lt;&gt;"Bought")),"",E170-N(G170))</f>
        <v/>
      </c>
      <c r="J170" s="16">
        <f>IF(C170&amp;E170="","",IF(F170="","Choose a stage",IF(F170="Quote","",IF(E170="","Add the amount",IF(I170&lt;=0,"Paid",IF(H170="","Balance due, no date set",IF(H170&lt;TODAY(),"Overdue by "&amp;(TODAY()-H170)&amp;IF((TODAY()-H170)=1," day"," days"),IF(H170=TODAY(),"Due today",IF((H170-TODAY())&lt;=14,"Due in "&amp;(H170-TODAY())&amp;IF((H170-TODAY())=1," day"," days"),"Next payment in "&amp;(H170-TODAY())&amp;" days")))))))))</f>
        <v/>
      </c>
      <c r="K170" s="16">
        <f>IF(OR(C170="",E170=""),"",IF(COUNTIFS(Costs!$C$6:$C$305,C170,Costs!$E$6:$E$305,"&lt;&gt;")&lt;2,"",IF(M170=1,"Cheapest of "&amp;COUNTIFS(Costs!$C$6:$C$305,C170,Costs!$E$6:$E$305,"&lt;&gt;"),FIXED(E170-SUMIFS(Costs!$E$6:$E$305,Costs!$C$6:$C$305,C170,Costs!$M$6:$M$305,1)/COUNTIFS(Costs!$C$6:$C$305,C170,Costs!$M$6:$M$305,1),0)&amp;" more than the cheapest")))</f>
        <v/>
      </c>
      <c r="L170" s="33" t="n"/>
      <c r="M170" s="1">
        <f>IF(OR(C170="",E170=""),"",IF(COUNTIFS(Costs!$C$6:$C$305,C170,Costs!$E$6:$E$305,"&lt;"&amp;E170)=0,1,0))</f>
        <v/>
      </c>
      <c r="N170">
        <f>IF(AND(C170&lt;&gt;"",F170="Quote",COUNTIFS(Costs!$C$6:$C$305,C170,Costs!$F$6:$F$305,"Hired")+COUNTIFS(Costs!$C$6:$C$305,C170,Costs!$F$6:$F$305,"Bought")=0),1/COUNTIFS(Costs!$C$6:$C$305,C170,Costs!$F$6:$F$305,"Quote"),"")</f>
        <v/>
      </c>
      <c r="O170">
        <f>IF(AND(OR(F170="Hired",F170="Bought"),N(I170)&gt;0,H170&lt;&gt;""),H170+ROW()/100000,"")</f>
        <v/>
      </c>
    </row>
    <row r="171">
      <c r="A171" s="1" t="n"/>
      <c r="B171" s="33" t="n"/>
      <c r="C171" s="33" t="n"/>
      <c r="D171" s="33" t="n"/>
      <c r="E171" s="27" t="n"/>
      <c r="F171" s="34" t="n"/>
      <c r="G171" s="27" t="n"/>
      <c r="H171" s="35" t="n"/>
      <c r="I171" s="14">
        <f>IF(OR(E171="",AND(F171&lt;&gt;"Hired",F171&lt;&gt;"Bought")),"",E171-N(G171))</f>
        <v/>
      </c>
      <c r="J171" s="16">
        <f>IF(C171&amp;E171="","",IF(F171="","Choose a stage",IF(F171="Quote","",IF(E171="","Add the amount",IF(I171&lt;=0,"Paid",IF(H171="","Balance due, no date set",IF(H171&lt;TODAY(),"Overdue by "&amp;(TODAY()-H171)&amp;IF((TODAY()-H171)=1," day"," days"),IF(H171=TODAY(),"Due today",IF((H171-TODAY())&lt;=14,"Due in "&amp;(H171-TODAY())&amp;IF((H171-TODAY())=1," day"," days"),"Next payment in "&amp;(H171-TODAY())&amp;" days")))))))))</f>
        <v/>
      </c>
      <c r="K171" s="16">
        <f>IF(OR(C171="",E171=""),"",IF(COUNTIFS(Costs!$C$6:$C$305,C171,Costs!$E$6:$E$305,"&lt;&gt;")&lt;2,"",IF(M171=1,"Cheapest of "&amp;COUNTIFS(Costs!$C$6:$C$305,C171,Costs!$E$6:$E$305,"&lt;&gt;"),FIXED(E171-SUMIFS(Costs!$E$6:$E$305,Costs!$C$6:$C$305,C171,Costs!$M$6:$M$305,1)/COUNTIFS(Costs!$C$6:$C$305,C171,Costs!$M$6:$M$305,1),0)&amp;" more than the cheapest")))</f>
        <v/>
      </c>
      <c r="L171" s="33" t="n"/>
      <c r="M171" s="1">
        <f>IF(OR(C171="",E171=""),"",IF(COUNTIFS(Costs!$C$6:$C$305,C171,Costs!$E$6:$E$305,"&lt;"&amp;E171)=0,1,0))</f>
        <v/>
      </c>
      <c r="N171">
        <f>IF(AND(C171&lt;&gt;"",F171="Quote",COUNTIFS(Costs!$C$6:$C$305,C171,Costs!$F$6:$F$305,"Hired")+COUNTIFS(Costs!$C$6:$C$305,C171,Costs!$F$6:$F$305,"Bought")=0),1/COUNTIFS(Costs!$C$6:$C$305,C171,Costs!$F$6:$F$305,"Quote"),"")</f>
        <v/>
      </c>
      <c r="O171">
        <f>IF(AND(OR(F171="Hired",F171="Bought"),N(I171)&gt;0,H171&lt;&gt;""),H171+ROW()/100000,"")</f>
        <v/>
      </c>
    </row>
    <row r="172">
      <c r="A172" s="1" t="n"/>
      <c r="B172" s="33" t="n"/>
      <c r="C172" s="33" t="n"/>
      <c r="D172" s="33" t="n"/>
      <c r="E172" s="27" t="n"/>
      <c r="F172" s="34" t="n"/>
      <c r="G172" s="27" t="n"/>
      <c r="H172" s="35" t="n"/>
      <c r="I172" s="14">
        <f>IF(OR(E172="",AND(F172&lt;&gt;"Hired",F172&lt;&gt;"Bought")),"",E172-N(G172))</f>
        <v/>
      </c>
      <c r="J172" s="16">
        <f>IF(C172&amp;E172="","",IF(F172="","Choose a stage",IF(F172="Quote","",IF(E172="","Add the amount",IF(I172&lt;=0,"Paid",IF(H172="","Balance due, no date set",IF(H172&lt;TODAY(),"Overdue by "&amp;(TODAY()-H172)&amp;IF((TODAY()-H172)=1," day"," days"),IF(H172=TODAY(),"Due today",IF((H172-TODAY())&lt;=14,"Due in "&amp;(H172-TODAY())&amp;IF((H172-TODAY())=1," day"," days"),"Next payment in "&amp;(H172-TODAY())&amp;" days")))))))))</f>
        <v/>
      </c>
      <c r="K172" s="16">
        <f>IF(OR(C172="",E172=""),"",IF(COUNTIFS(Costs!$C$6:$C$305,C172,Costs!$E$6:$E$305,"&lt;&gt;")&lt;2,"",IF(M172=1,"Cheapest of "&amp;COUNTIFS(Costs!$C$6:$C$305,C172,Costs!$E$6:$E$305,"&lt;&gt;"),FIXED(E172-SUMIFS(Costs!$E$6:$E$305,Costs!$C$6:$C$305,C172,Costs!$M$6:$M$305,1)/COUNTIFS(Costs!$C$6:$C$305,C172,Costs!$M$6:$M$305,1),0)&amp;" more than the cheapest")))</f>
        <v/>
      </c>
      <c r="L172" s="33" t="n"/>
      <c r="M172" s="1">
        <f>IF(OR(C172="",E172=""),"",IF(COUNTIFS(Costs!$C$6:$C$305,C172,Costs!$E$6:$E$305,"&lt;"&amp;E172)=0,1,0))</f>
        <v/>
      </c>
      <c r="N172">
        <f>IF(AND(C172&lt;&gt;"",F172="Quote",COUNTIFS(Costs!$C$6:$C$305,C172,Costs!$F$6:$F$305,"Hired")+COUNTIFS(Costs!$C$6:$C$305,C172,Costs!$F$6:$F$305,"Bought")=0),1/COUNTIFS(Costs!$C$6:$C$305,C172,Costs!$F$6:$F$305,"Quote"),"")</f>
        <v/>
      </c>
      <c r="O172">
        <f>IF(AND(OR(F172="Hired",F172="Bought"),N(I172)&gt;0,H172&lt;&gt;""),H172+ROW()/100000,"")</f>
        <v/>
      </c>
    </row>
    <row r="173">
      <c r="A173" s="1" t="n"/>
      <c r="B173" s="33" t="n"/>
      <c r="C173" s="33" t="n"/>
      <c r="D173" s="33" t="n"/>
      <c r="E173" s="27" t="n"/>
      <c r="F173" s="34" t="n"/>
      <c r="G173" s="27" t="n"/>
      <c r="H173" s="35" t="n"/>
      <c r="I173" s="14">
        <f>IF(OR(E173="",AND(F173&lt;&gt;"Hired",F173&lt;&gt;"Bought")),"",E173-N(G173))</f>
        <v/>
      </c>
      <c r="J173" s="16">
        <f>IF(C173&amp;E173="","",IF(F173="","Choose a stage",IF(F173="Quote","",IF(E173="","Add the amount",IF(I173&lt;=0,"Paid",IF(H173="","Balance due, no date set",IF(H173&lt;TODAY(),"Overdue by "&amp;(TODAY()-H173)&amp;IF((TODAY()-H173)=1," day"," days"),IF(H173=TODAY(),"Due today",IF((H173-TODAY())&lt;=14,"Due in "&amp;(H173-TODAY())&amp;IF((H173-TODAY())=1," day"," days"),"Next payment in "&amp;(H173-TODAY())&amp;" days")))))))))</f>
        <v/>
      </c>
      <c r="K173" s="16">
        <f>IF(OR(C173="",E173=""),"",IF(COUNTIFS(Costs!$C$6:$C$305,C173,Costs!$E$6:$E$305,"&lt;&gt;")&lt;2,"",IF(M173=1,"Cheapest of "&amp;COUNTIFS(Costs!$C$6:$C$305,C173,Costs!$E$6:$E$305,"&lt;&gt;"),FIXED(E173-SUMIFS(Costs!$E$6:$E$305,Costs!$C$6:$C$305,C173,Costs!$M$6:$M$305,1)/COUNTIFS(Costs!$C$6:$C$305,C173,Costs!$M$6:$M$305,1),0)&amp;" more than the cheapest")))</f>
        <v/>
      </c>
      <c r="L173" s="33" t="n"/>
      <c r="M173" s="1">
        <f>IF(OR(C173="",E173=""),"",IF(COUNTIFS(Costs!$C$6:$C$305,C173,Costs!$E$6:$E$305,"&lt;"&amp;E173)=0,1,0))</f>
        <v/>
      </c>
      <c r="N173">
        <f>IF(AND(C173&lt;&gt;"",F173="Quote",COUNTIFS(Costs!$C$6:$C$305,C173,Costs!$F$6:$F$305,"Hired")+COUNTIFS(Costs!$C$6:$C$305,C173,Costs!$F$6:$F$305,"Bought")=0),1/COUNTIFS(Costs!$C$6:$C$305,C173,Costs!$F$6:$F$305,"Quote"),"")</f>
        <v/>
      </c>
      <c r="O173">
        <f>IF(AND(OR(F173="Hired",F173="Bought"),N(I173)&gt;0,H173&lt;&gt;""),H173+ROW()/100000,"")</f>
        <v/>
      </c>
    </row>
    <row r="174">
      <c r="A174" s="1" t="n"/>
      <c r="B174" s="33" t="n"/>
      <c r="C174" s="33" t="n"/>
      <c r="D174" s="33" t="n"/>
      <c r="E174" s="27" t="n"/>
      <c r="F174" s="34" t="n"/>
      <c r="G174" s="27" t="n"/>
      <c r="H174" s="35" t="n"/>
      <c r="I174" s="14">
        <f>IF(OR(E174="",AND(F174&lt;&gt;"Hired",F174&lt;&gt;"Bought")),"",E174-N(G174))</f>
        <v/>
      </c>
      <c r="J174" s="16">
        <f>IF(C174&amp;E174="","",IF(F174="","Choose a stage",IF(F174="Quote","",IF(E174="","Add the amount",IF(I174&lt;=0,"Paid",IF(H174="","Balance due, no date set",IF(H174&lt;TODAY(),"Overdue by "&amp;(TODAY()-H174)&amp;IF((TODAY()-H174)=1," day"," days"),IF(H174=TODAY(),"Due today",IF((H174-TODAY())&lt;=14,"Due in "&amp;(H174-TODAY())&amp;IF((H174-TODAY())=1," day"," days"),"Next payment in "&amp;(H174-TODAY())&amp;" days")))))))))</f>
        <v/>
      </c>
      <c r="K174" s="16">
        <f>IF(OR(C174="",E174=""),"",IF(COUNTIFS(Costs!$C$6:$C$305,C174,Costs!$E$6:$E$305,"&lt;&gt;")&lt;2,"",IF(M174=1,"Cheapest of "&amp;COUNTIFS(Costs!$C$6:$C$305,C174,Costs!$E$6:$E$305,"&lt;&gt;"),FIXED(E174-SUMIFS(Costs!$E$6:$E$305,Costs!$C$6:$C$305,C174,Costs!$M$6:$M$305,1)/COUNTIFS(Costs!$C$6:$C$305,C174,Costs!$M$6:$M$305,1),0)&amp;" more than the cheapest")))</f>
        <v/>
      </c>
      <c r="L174" s="33" t="n"/>
      <c r="M174" s="1">
        <f>IF(OR(C174="",E174=""),"",IF(COUNTIFS(Costs!$C$6:$C$305,C174,Costs!$E$6:$E$305,"&lt;"&amp;E174)=0,1,0))</f>
        <v/>
      </c>
      <c r="N174">
        <f>IF(AND(C174&lt;&gt;"",F174="Quote",COUNTIFS(Costs!$C$6:$C$305,C174,Costs!$F$6:$F$305,"Hired")+COUNTIFS(Costs!$C$6:$C$305,C174,Costs!$F$6:$F$305,"Bought")=0),1/COUNTIFS(Costs!$C$6:$C$305,C174,Costs!$F$6:$F$305,"Quote"),"")</f>
        <v/>
      </c>
      <c r="O174">
        <f>IF(AND(OR(F174="Hired",F174="Bought"),N(I174)&gt;0,H174&lt;&gt;""),H174+ROW()/100000,"")</f>
        <v/>
      </c>
    </row>
    <row r="175">
      <c r="A175" s="1" t="n"/>
      <c r="B175" s="33" t="n"/>
      <c r="C175" s="33" t="n"/>
      <c r="D175" s="33" t="n"/>
      <c r="E175" s="27" t="n"/>
      <c r="F175" s="34" t="n"/>
      <c r="G175" s="27" t="n"/>
      <c r="H175" s="35" t="n"/>
      <c r="I175" s="14">
        <f>IF(OR(E175="",AND(F175&lt;&gt;"Hired",F175&lt;&gt;"Bought")),"",E175-N(G175))</f>
        <v/>
      </c>
      <c r="J175" s="16">
        <f>IF(C175&amp;E175="","",IF(F175="","Choose a stage",IF(F175="Quote","",IF(E175="","Add the amount",IF(I175&lt;=0,"Paid",IF(H175="","Balance due, no date set",IF(H175&lt;TODAY(),"Overdue by "&amp;(TODAY()-H175)&amp;IF((TODAY()-H175)=1," day"," days"),IF(H175=TODAY(),"Due today",IF((H175-TODAY())&lt;=14,"Due in "&amp;(H175-TODAY())&amp;IF((H175-TODAY())=1," day"," days"),"Next payment in "&amp;(H175-TODAY())&amp;" days")))))))))</f>
        <v/>
      </c>
      <c r="K175" s="16">
        <f>IF(OR(C175="",E175=""),"",IF(COUNTIFS(Costs!$C$6:$C$305,C175,Costs!$E$6:$E$305,"&lt;&gt;")&lt;2,"",IF(M175=1,"Cheapest of "&amp;COUNTIFS(Costs!$C$6:$C$305,C175,Costs!$E$6:$E$305,"&lt;&gt;"),FIXED(E175-SUMIFS(Costs!$E$6:$E$305,Costs!$C$6:$C$305,C175,Costs!$M$6:$M$305,1)/COUNTIFS(Costs!$C$6:$C$305,C175,Costs!$M$6:$M$305,1),0)&amp;" more than the cheapest")))</f>
        <v/>
      </c>
      <c r="L175" s="33" t="n"/>
      <c r="M175" s="1">
        <f>IF(OR(C175="",E175=""),"",IF(COUNTIFS(Costs!$C$6:$C$305,C175,Costs!$E$6:$E$305,"&lt;"&amp;E175)=0,1,0))</f>
        <v/>
      </c>
      <c r="N175">
        <f>IF(AND(C175&lt;&gt;"",F175="Quote",COUNTIFS(Costs!$C$6:$C$305,C175,Costs!$F$6:$F$305,"Hired")+COUNTIFS(Costs!$C$6:$C$305,C175,Costs!$F$6:$F$305,"Bought")=0),1/COUNTIFS(Costs!$C$6:$C$305,C175,Costs!$F$6:$F$305,"Quote"),"")</f>
        <v/>
      </c>
      <c r="O175">
        <f>IF(AND(OR(F175="Hired",F175="Bought"),N(I175)&gt;0,H175&lt;&gt;""),H175+ROW()/100000,"")</f>
        <v/>
      </c>
    </row>
    <row r="176">
      <c r="A176" s="1" t="n"/>
      <c r="B176" s="33" t="n"/>
      <c r="C176" s="33" t="n"/>
      <c r="D176" s="33" t="n"/>
      <c r="E176" s="27" t="n"/>
      <c r="F176" s="34" t="n"/>
      <c r="G176" s="27" t="n"/>
      <c r="H176" s="35" t="n"/>
      <c r="I176" s="14">
        <f>IF(OR(E176="",AND(F176&lt;&gt;"Hired",F176&lt;&gt;"Bought")),"",E176-N(G176))</f>
        <v/>
      </c>
      <c r="J176" s="16">
        <f>IF(C176&amp;E176="","",IF(F176="","Choose a stage",IF(F176="Quote","",IF(E176="","Add the amount",IF(I176&lt;=0,"Paid",IF(H176="","Balance due, no date set",IF(H176&lt;TODAY(),"Overdue by "&amp;(TODAY()-H176)&amp;IF((TODAY()-H176)=1," day"," days"),IF(H176=TODAY(),"Due today",IF((H176-TODAY())&lt;=14,"Due in "&amp;(H176-TODAY())&amp;IF((H176-TODAY())=1," day"," days"),"Next payment in "&amp;(H176-TODAY())&amp;" days")))))))))</f>
        <v/>
      </c>
      <c r="K176" s="16">
        <f>IF(OR(C176="",E176=""),"",IF(COUNTIFS(Costs!$C$6:$C$305,C176,Costs!$E$6:$E$305,"&lt;&gt;")&lt;2,"",IF(M176=1,"Cheapest of "&amp;COUNTIFS(Costs!$C$6:$C$305,C176,Costs!$E$6:$E$305,"&lt;&gt;"),FIXED(E176-SUMIFS(Costs!$E$6:$E$305,Costs!$C$6:$C$305,C176,Costs!$M$6:$M$305,1)/COUNTIFS(Costs!$C$6:$C$305,C176,Costs!$M$6:$M$305,1),0)&amp;" more than the cheapest")))</f>
        <v/>
      </c>
      <c r="L176" s="33" t="n"/>
      <c r="M176" s="1">
        <f>IF(OR(C176="",E176=""),"",IF(COUNTIFS(Costs!$C$6:$C$305,C176,Costs!$E$6:$E$305,"&lt;"&amp;E176)=0,1,0))</f>
        <v/>
      </c>
      <c r="N176">
        <f>IF(AND(C176&lt;&gt;"",F176="Quote",COUNTIFS(Costs!$C$6:$C$305,C176,Costs!$F$6:$F$305,"Hired")+COUNTIFS(Costs!$C$6:$C$305,C176,Costs!$F$6:$F$305,"Bought")=0),1/COUNTIFS(Costs!$C$6:$C$305,C176,Costs!$F$6:$F$305,"Quote"),"")</f>
        <v/>
      </c>
      <c r="O176">
        <f>IF(AND(OR(F176="Hired",F176="Bought"),N(I176)&gt;0,H176&lt;&gt;""),H176+ROW()/100000,"")</f>
        <v/>
      </c>
    </row>
    <row r="177">
      <c r="A177" s="1" t="n"/>
      <c r="B177" s="33" t="n"/>
      <c r="C177" s="33" t="n"/>
      <c r="D177" s="33" t="n"/>
      <c r="E177" s="27" t="n"/>
      <c r="F177" s="34" t="n"/>
      <c r="G177" s="27" t="n"/>
      <c r="H177" s="35" t="n"/>
      <c r="I177" s="14">
        <f>IF(OR(E177="",AND(F177&lt;&gt;"Hired",F177&lt;&gt;"Bought")),"",E177-N(G177))</f>
        <v/>
      </c>
      <c r="J177" s="16">
        <f>IF(C177&amp;E177="","",IF(F177="","Choose a stage",IF(F177="Quote","",IF(E177="","Add the amount",IF(I177&lt;=0,"Paid",IF(H177="","Balance due, no date set",IF(H177&lt;TODAY(),"Overdue by "&amp;(TODAY()-H177)&amp;IF((TODAY()-H177)=1," day"," days"),IF(H177=TODAY(),"Due today",IF((H177-TODAY())&lt;=14,"Due in "&amp;(H177-TODAY())&amp;IF((H177-TODAY())=1," day"," days"),"Next payment in "&amp;(H177-TODAY())&amp;" days")))))))))</f>
        <v/>
      </c>
      <c r="K177" s="16">
        <f>IF(OR(C177="",E177=""),"",IF(COUNTIFS(Costs!$C$6:$C$305,C177,Costs!$E$6:$E$305,"&lt;&gt;")&lt;2,"",IF(M177=1,"Cheapest of "&amp;COUNTIFS(Costs!$C$6:$C$305,C177,Costs!$E$6:$E$305,"&lt;&gt;"),FIXED(E177-SUMIFS(Costs!$E$6:$E$305,Costs!$C$6:$C$305,C177,Costs!$M$6:$M$305,1)/COUNTIFS(Costs!$C$6:$C$305,C177,Costs!$M$6:$M$305,1),0)&amp;" more than the cheapest")))</f>
        <v/>
      </c>
      <c r="L177" s="33" t="n"/>
      <c r="M177" s="1">
        <f>IF(OR(C177="",E177=""),"",IF(COUNTIFS(Costs!$C$6:$C$305,C177,Costs!$E$6:$E$305,"&lt;"&amp;E177)=0,1,0))</f>
        <v/>
      </c>
      <c r="N177">
        <f>IF(AND(C177&lt;&gt;"",F177="Quote",COUNTIFS(Costs!$C$6:$C$305,C177,Costs!$F$6:$F$305,"Hired")+COUNTIFS(Costs!$C$6:$C$305,C177,Costs!$F$6:$F$305,"Bought")=0),1/COUNTIFS(Costs!$C$6:$C$305,C177,Costs!$F$6:$F$305,"Quote"),"")</f>
        <v/>
      </c>
      <c r="O177">
        <f>IF(AND(OR(F177="Hired",F177="Bought"),N(I177)&gt;0,H177&lt;&gt;""),H177+ROW()/100000,"")</f>
        <v/>
      </c>
    </row>
    <row r="178">
      <c r="A178" s="1" t="n"/>
      <c r="B178" s="33" t="n"/>
      <c r="C178" s="33" t="n"/>
      <c r="D178" s="33" t="n"/>
      <c r="E178" s="27" t="n"/>
      <c r="F178" s="34" t="n"/>
      <c r="G178" s="27" t="n"/>
      <c r="H178" s="35" t="n"/>
      <c r="I178" s="14">
        <f>IF(OR(E178="",AND(F178&lt;&gt;"Hired",F178&lt;&gt;"Bought")),"",E178-N(G178))</f>
        <v/>
      </c>
      <c r="J178" s="16">
        <f>IF(C178&amp;E178="","",IF(F178="","Choose a stage",IF(F178="Quote","",IF(E178="","Add the amount",IF(I178&lt;=0,"Paid",IF(H178="","Balance due, no date set",IF(H178&lt;TODAY(),"Overdue by "&amp;(TODAY()-H178)&amp;IF((TODAY()-H178)=1," day"," days"),IF(H178=TODAY(),"Due today",IF((H178-TODAY())&lt;=14,"Due in "&amp;(H178-TODAY())&amp;IF((H178-TODAY())=1," day"," days"),"Next payment in "&amp;(H178-TODAY())&amp;" days")))))))))</f>
        <v/>
      </c>
      <c r="K178" s="16">
        <f>IF(OR(C178="",E178=""),"",IF(COUNTIFS(Costs!$C$6:$C$305,C178,Costs!$E$6:$E$305,"&lt;&gt;")&lt;2,"",IF(M178=1,"Cheapest of "&amp;COUNTIFS(Costs!$C$6:$C$305,C178,Costs!$E$6:$E$305,"&lt;&gt;"),FIXED(E178-SUMIFS(Costs!$E$6:$E$305,Costs!$C$6:$C$305,C178,Costs!$M$6:$M$305,1)/COUNTIFS(Costs!$C$6:$C$305,C178,Costs!$M$6:$M$305,1),0)&amp;" more than the cheapest")))</f>
        <v/>
      </c>
      <c r="L178" s="33" t="n"/>
      <c r="M178" s="1">
        <f>IF(OR(C178="",E178=""),"",IF(COUNTIFS(Costs!$C$6:$C$305,C178,Costs!$E$6:$E$305,"&lt;"&amp;E178)=0,1,0))</f>
        <v/>
      </c>
      <c r="N178">
        <f>IF(AND(C178&lt;&gt;"",F178="Quote",COUNTIFS(Costs!$C$6:$C$305,C178,Costs!$F$6:$F$305,"Hired")+COUNTIFS(Costs!$C$6:$C$305,C178,Costs!$F$6:$F$305,"Bought")=0),1/COUNTIFS(Costs!$C$6:$C$305,C178,Costs!$F$6:$F$305,"Quote"),"")</f>
        <v/>
      </c>
      <c r="O178">
        <f>IF(AND(OR(F178="Hired",F178="Bought"),N(I178)&gt;0,H178&lt;&gt;""),H178+ROW()/100000,"")</f>
        <v/>
      </c>
    </row>
    <row r="179">
      <c r="A179" s="1" t="n"/>
      <c r="B179" s="33" t="n"/>
      <c r="C179" s="33" t="n"/>
      <c r="D179" s="33" t="n"/>
      <c r="E179" s="27" t="n"/>
      <c r="F179" s="34" t="n"/>
      <c r="G179" s="27" t="n"/>
      <c r="H179" s="35" t="n"/>
      <c r="I179" s="14">
        <f>IF(OR(E179="",AND(F179&lt;&gt;"Hired",F179&lt;&gt;"Bought")),"",E179-N(G179))</f>
        <v/>
      </c>
      <c r="J179" s="16">
        <f>IF(C179&amp;E179="","",IF(F179="","Choose a stage",IF(F179="Quote","",IF(E179="","Add the amount",IF(I179&lt;=0,"Paid",IF(H179="","Balance due, no date set",IF(H179&lt;TODAY(),"Overdue by "&amp;(TODAY()-H179)&amp;IF((TODAY()-H179)=1," day"," days"),IF(H179=TODAY(),"Due today",IF((H179-TODAY())&lt;=14,"Due in "&amp;(H179-TODAY())&amp;IF((H179-TODAY())=1," day"," days"),"Next payment in "&amp;(H179-TODAY())&amp;" days")))))))))</f>
        <v/>
      </c>
      <c r="K179" s="16">
        <f>IF(OR(C179="",E179=""),"",IF(COUNTIFS(Costs!$C$6:$C$305,C179,Costs!$E$6:$E$305,"&lt;&gt;")&lt;2,"",IF(M179=1,"Cheapest of "&amp;COUNTIFS(Costs!$C$6:$C$305,C179,Costs!$E$6:$E$305,"&lt;&gt;"),FIXED(E179-SUMIFS(Costs!$E$6:$E$305,Costs!$C$6:$C$305,C179,Costs!$M$6:$M$305,1)/COUNTIFS(Costs!$C$6:$C$305,C179,Costs!$M$6:$M$305,1),0)&amp;" more than the cheapest")))</f>
        <v/>
      </c>
      <c r="L179" s="33" t="n"/>
      <c r="M179" s="1">
        <f>IF(OR(C179="",E179=""),"",IF(COUNTIFS(Costs!$C$6:$C$305,C179,Costs!$E$6:$E$305,"&lt;"&amp;E179)=0,1,0))</f>
        <v/>
      </c>
      <c r="N179">
        <f>IF(AND(C179&lt;&gt;"",F179="Quote",COUNTIFS(Costs!$C$6:$C$305,C179,Costs!$F$6:$F$305,"Hired")+COUNTIFS(Costs!$C$6:$C$305,C179,Costs!$F$6:$F$305,"Bought")=0),1/COUNTIFS(Costs!$C$6:$C$305,C179,Costs!$F$6:$F$305,"Quote"),"")</f>
        <v/>
      </c>
      <c r="O179">
        <f>IF(AND(OR(F179="Hired",F179="Bought"),N(I179)&gt;0,H179&lt;&gt;""),H179+ROW()/100000,"")</f>
        <v/>
      </c>
    </row>
    <row r="180">
      <c r="A180" s="1" t="n"/>
      <c r="B180" s="33" t="n"/>
      <c r="C180" s="33" t="n"/>
      <c r="D180" s="33" t="n"/>
      <c r="E180" s="27" t="n"/>
      <c r="F180" s="34" t="n"/>
      <c r="G180" s="27" t="n"/>
      <c r="H180" s="35" t="n"/>
      <c r="I180" s="14">
        <f>IF(OR(E180="",AND(F180&lt;&gt;"Hired",F180&lt;&gt;"Bought")),"",E180-N(G180))</f>
        <v/>
      </c>
      <c r="J180" s="16">
        <f>IF(C180&amp;E180="","",IF(F180="","Choose a stage",IF(F180="Quote","",IF(E180="","Add the amount",IF(I180&lt;=0,"Paid",IF(H180="","Balance due, no date set",IF(H180&lt;TODAY(),"Overdue by "&amp;(TODAY()-H180)&amp;IF((TODAY()-H180)=1," day"," days"),IF(H180=TODAY(),"Due today",IF((H180-TODAY())&lt;=14,"Due in "&amp;(H180-TODAY())&amp;IF((H180-TODAY())=1," day"," days"),"Next payment in "&amp;(H180-TODAY())&amp;" days")))))))))</f>
        <v/>
      </c>
      <c r="K180" s="16">
        <f>IF(OR(C180="",E180=""),"",IF(COUNTIFS(Costs!$C$6:$C$305,C180,Costs!$E$6:$E$305,"&lt;&gt;")&lt;2,"",IF(M180=1,"Cheapest of "&amp;COUNTIFS(Costs!$C$6:$C$305,C180,Costs!$E$6:$E$305,"&lt;&gt;"),FIXED(E180-SUMIFS(Costs!$E$6:$E$305,Costs!$C$6:$C$305,C180,Costs!$M$6:$M$305,1)/COUNTIFS(Costs!$C$6:$C$305,C180,Costs!$M$6:$M$305,1),0)&amp;" more than the cheapest")))</f>
        <v/>
      </c>
      <c r="L180" s="33" t="n"/>
      <c r="M180" s="1">
        <f>IF(OR(C180="",E180=""),"",IF(COUNTIFS(Costs!$C$6:$C$305,C180,Costs!$E$6:$E$305,"&lt;"&amp;E180)=0,1,0))</f>
        <v/>
      </c>
      <c r="N180">
        <f>IF(AND(C180&lt;&gt;"",F180="Quote",COUNTIFS(Costs!$C$6:$C$305,C180,Costs!$F$6:$F$305,"Hired")+COUNTIFS(Costs!$C$6:$C$305,C180,Costs!$F$6:$F$305,"Bought")=0),1/COUNTIFS(Costs!$C$6:$C$305,C180,Costs!$F$6:$F$305,"Quote"),"")</f>
        <v/>
      </c>
      <c r="O180">
        <f>IF(AND(OR(F180="Hired",F180="Bought"),N(I180)&gt;0,H180&lt;&gt;""),H180+ROW()/100000,"")</f>
        <v/>
      </c>
    </row>
    <row r="181">
      <c r="A181" s="1" t="n"/>
      <c r="B181" s="33" t="n"/>
      <c r="C181" s="33" t="n"/>
      <c r="D181" s="33" t="n"/>
      <c r="E181" s="27" t="n"/>
      <c r="F181" s="34" t="n"/>
      <c r="G181" s="27" t="n"/>
      <c r="H181" s="35" t="n"/>
      <c r="I181" s="14">
        <f>IF(OR(E181="",AND(F181&lt;&gt;"Hired",F181&lt;&gt;"Bought")),"",E181-N(G181))</f>
        <v/>
      </c>
      <c r="J181" s="16">
        <f>IF(C181&amp;E181="","",IF(F181="","Choose a stage",IF(F181="Quote","",IF(E181="","Add the amount",IF(I181&lt;=0,"Paid",IF(H181="","Balance due, no date set",IF(H181&lt;TODAY(),"Overdue by "&amp;(TODAY()-H181)&amp;IF((TODAY()-H181)=1," day"," days"),IF(H181=TODAY(),"Due today",IF((H181-TODAY())&lt;=14,"Due in "&amp;(H181-TODAY())&amp;IF((H181-TODAY())=1," day"," days"),"Next payment in "&amp;(H181-TODAY())&amp;" days")))))))))</f>
        <v/>
      </c>
      <c r="K181" s="16">
        <f>IF(OR(C181="",E181=""),"",IF(COUNTIFS(Costs!$C$6:$C$305,C181,Costs!$E$6:$E$305,"&lt;&gt;")&lt;2,"",IF(M181=1,"Cheapest of "&amp;COUNTIFS(Costs!$C$6:$C$305,C181,Costs!$E$6:$E$305,"&lt;&gt;"),FIXED(E181-SUMIFS(Costs!$E$6:$E$305,Costs!$C$6:$C$305,C181,Costs!$M$6:$M$305,1)/COUNTIFS(Costs!$C$6:$C$305,C181,Costs!$M$6:$M$305,1),0)&amp;" more than the cheapest")))</f>
        <v/>
      </c>
      <c r="L181" s="33" t="n"/>
      <c r="M181" s="1">
        <f>IF(OR(C181="",E181=""),"",IF(COUNTIFS(Costs!$C$6:$C$305,C181,Costs!$E$6:$E$305,"&lt;"&amp;E181)=0,1,0))</f>
        <v/>
      </c>
      <c r="N181">
        <f>IF(AND(C181&lt;&gt;"",F181="Quote",COUNTIFS(Costs!$C$6:$C$305,C181,Costs!$F$6:$F$305,"Hired")+COUNTIFS(Costs!$C$6:$C$305,C181,Costs!$F$6:$F$305,"Bought")=0),1/COUNTIFS(Costs!$C$6:$C$305,C181,Costs!$F$6:$F$305,"Quote"),"")</f>
        <v/>
      </c>
      <c r="O181">
        <f>IF(AND(OR(F181="Hired",F181="Bought"),N(I181)&gt;0,H181&lt;&gt;""),H181+ROW()/100000,"")</f>
        <v/>
      </c>
    </row>
    <row r="182">
      <c r="A182" s="1" t="n"/>
      <c r="B182" s="33" t="n"/>
      <c r="C182" s="33" t="n"/>
      <c r="D182" s="33" t="n"/>
      <c r="E182" s="27" t="n"/>
      <c r="F182" s="34" t="n"/>
      <c r="G182" s="27" t="n"/>
      <c r="H182" s="35" t="n"/>
      <c r="I182" s="14">
        <f>IF(OR(E182="",AND(F182&lt;&gt;"Hired",F182&lt;&gt;"Bought")),"",E182-N(G182))</f>
        <v/>
      </c>
      <c r="J182" s="16">
        <f>IF(C182&amp;E182="","",IF(F182="","Choose a stage",IF(F182="Quote","",IF(E182="","Add the amount",IF(I182&lt;=0,"Paid",IF(H182="","Balance due, no date set",IF(H182&lt;TODAY(),"Overdue by "&amp;(TODAY()-H182)&amp;IF((TODAY()-H182)=1," day"," days"),IF(H182=TODAY(),"Due today",IF((H182-TODAY())&lt;=14,"Due in "&amp;(H182-TODAY())&amp;IF((H182-TODAY())=1," day"," days"),"Next payment in "&amp;(H182-TODAY())&amp;" days")))))))))</f>
        <v/>
      </c>
      <c r="K182" s="16">
        <f>IF(OR(C182="",E182=""),"",IF(COUNTIFS(Costs!$C$6:$C$305,C182,Costs!$E$6:$E$305,"&lt;&gt;")&lt;2,"",IF(M182=1,"Cheapest of "&amp;COUNTIFS(Costs!$C$6:$C$305,C182,Costs!$E$6:$E$305,"&lt;&gt;"),FIXED(E182-SUMIFS(Costs!$E$6:$E$305,Costs!$C$6:$C$305,C182,Costs!$M$6:$M$305,1)/COUNTIFS(Costs!$C$6:$C$305,C182,Costs!$M$6:$M$305,1),0)&amp;" more than the cheapest")))</f>
        <v/>
      </c>
      <c r="L182" s="33" t="n"/>
      <c r="M182" s="1">
        <f>IF(OR(C182="",E182=""),"",IF(COUNTIFS(Costs!$C$6:$C$305,C182,Costs!$E$6:$E$305,"&lt;"&amp;E182)=0,1,0))</f>
        <v/>
      </c>
      <c r="N182">
        <f>IF(AND(C182&lt;&gt;"",F182="Quote",COUNTIFS(Costs!$C$6:$C$305,C182,Costs!$F$6:$F$305,"Hired")+COUNTIFS(Costs!$C$6:$C$305,C182,Costs!$F$6:$F$305,"Bought")=0),1/COUNTIFS(Costs!$C$6:$C$305,C182,Costs!$F$6:$F$305,"Quote"),"")</f>
        <v/>
      </c>
      <c r="O182">
        <f>IF(AND(OR(F182="Hired",F182="Bought"),N(I182)&gt;0,H182&lt;&gt;""),H182+ROW()/100000,"")</f>
        <v/>
      </c>
    </row>
    <row r="183">
      <c r="A183" s="1" t="n"/>
      <c r="B183" s="33" t="n"/>
      <c r="C183" s="33" t="n"/>
      <c r="D183" s="33" t="n"/>
      <c r="E183" s="27" t="n"/>
      <c r="F183" s="34" t="n"/>
      <c r="G183" s="27" t="n"/>
      <c r="H183" s="35" t="n"/>
      <c r="I183" s="14">
        <f>IF(OR(E183="",AND(F183&lt;&gt;"Hired",F183&lt;&gt;"Bought")),"",E183-N(G183))</f>
        <v/>
      </c>
      <c r="J183" s="16">
        <f>IF(C183&amp;E183="","",IF(F183="","Choose a stage",IF(F183="Quote","",IF(E183="","Add the amount",IF(I183&lt;=0,"Paid",IF(H183="","Balance due, no date set",IF(H183&lt;TODAY(),"Overdue by "&amp;(TODAY()-H183)&amp;IF((TODAY()-H183)=1," day"," days"),IF(H183=TODAY(),"Due today",IF((H183-TODAY())&lt;=14,"Due in "&amp;(H183-TODAY())&amp;IF((H183-TODAY())=1," day"," days"),"Next payment in "&amp;(H183-TODAY())&amp;" days")))))))))</f>
        <v/>
      </c>
      <c r="K183" s="16">
        <f>IF(OR(C183="",E183=""),"",IF(COUNTIFS(Costs!$C$6:$C$305,C183,Costs!$E$6:$E$305,"&lt;&gt;")&lt;2,"",IF(M183=1,"Cheapest of "&amp;COUNTIFS(Costs!$C$6:$C$305,C183,Costs!$E$6:$E$305,"&lt;&gt;"),FIXED(E183-SUMIFS(Costs!$E$6:$E$305,Costs!$C$6:$C$305,C183,Costs!$M$6:$M$305,1)/COUNTIFS(Costs!$C$6:$C$305,C183,Costs!$M$6:$M$305,1),0)&amp;" more than the cheapest")))</f>
        <v/>
      </c>
      <c r="L183" s="33" t="n"/>
      <c r="M183" s="1">
        <f>IF(OR(C183="",E183=""),"",IF(COUNTIFS(Costs!$C$6:$C$305,C183,Costs!$E$6:$E$305,"&lt;"&amp;E183)=0,1,0))</f>
        <v/>
      </c>
      <c r="N183">
        <f>IF(AND(C183&lt;&gt;"",F183="Quote",COUNTIFS(Costs!$C$6:$C$305,C183,Costs!$F$6:$F$305,"Hired")+COUNTIFS(Costs!$C$6:$C$305,C183,Costs!$F$6:$F$305,"Bought")=0),1/COUNTIFS(Costs!$C$6:$C$305,C183,Costs!$F$6:$F$305,"Quote"),"")</f>
        <v/>
      </c>
      <c r="O183">
        <f>IF(AND(OR(F183="Hired",F183="Bought"),N(I183)&gt;0,H183&lt;&gt;""),H183+ROW()/100000,"")</f>
        <v/>
      </c>
    </row>
    <row r="184">
      <c r="A184" s="1" t="n"/>
      <c r="B184" s="33" t="n"/>
      <c r="C184" s="33" t="n"/>
      <c r="D184" s="33" t="n"/>
      <c r="E184" s="27" t="n"/>
      <c r="F184" s="34" t="n"/>
      <c r="G184" s="27" t="n"/>
      <c r="H184" s="35" t="n"/>
      <c r="I184" s="14">
        <f>IF(OR(E184="",AND(F184&lt;&gt;"Hired",F184&lt;&gt;"Bought")),"",E184-N(G184))</f>
        <v/>
      </c>
      <c r="J184" s="16">
        <f>IF(C184&amp;E184="","",IF(F184="","Choose a stage",IF(F184="Quote","",IF(E184="","Add the amount",IF(I184&lt;=0,"Paid",IF(H184="","Balance due, no date set",IF(H184&lt;TODAY(),"Overdue by "&amp;(TODAY()-H184)&amp;IF((TODAY()-H184)=1," day"," days"),IF(H184=TODAY(),"Due today",IF((H184-TODAY())&lt;=14,"Due in "&amp;(H184-TODAY())&amp;IF((H184-TODAY())=1," day"," days"),"Next payment in "&amp;(H184-TODAY())&amp;" days")))))))))</f>
        <v/>
      </c>
      <c r="K184" s="16">
        <f>IF(OR(C184="",E184=""),"",IF(COUNTIFS(Costs!$C$6:$C$305,C184,Costs!$E$6:$E$305,"&lt;&gt;")&lt;2,"",IF(M184=1,"Cheapest of "&amp;COUNTIFS(Costs!$C$6:$C$305,C184,Costs!$E$6:$E$305,"&lt;&gt;"),FIXED(E184-SUMIFS(Costs!$E$6:$E$305,Costs!$C$6:$C$305,C184,Costs!$M$6:$M$305,1)/COUNTIFS(Costs!$C$6:$C$305,C184,Costs!$M$6:$M$305,1),0)&amp;" more than the cheapest")))</f>
        <v/>
      </c>
      <c r="L184" s="33" t="n"/>
      <c r="M184" s="1">
        <f>IF(OR(C184="",E184=""),"",IF(COUNTIFS(Costs!$C$6:$C$305,C184,Costs!$E$6:$E$305,"&lt;"&amp;E184)=0,1,0))</f>
        <v/>
      </c>
      <c r="N184">
        <f>IF(AND(C184&lt;&gt;"",F184="Quote",COUNTIFS(Costs!$C$6:$C$305,C184,Costs!$F$6:$F$305,"Hired")+COUNTIFS(Costs!$C$6:$C$305,C184,Costs!$F$6:$F$305,"Bought")=0),1/COUNTIFS(Costs!$C$6:$C$305,C184,Costs!$F$6:$F$305,"Quote"),"")</f>
        <v/>
      </c>
      <c r="O184">
        <f>IF(AND(OR(F184="Hired",F184="Bought"),N(I184)&gt;0,H184&lt;&gt;""),H184+ROW()/100000,"")</f>
        <v/>
      </c>
    </row>
    <row r="185">
      <c r="A185" s="1" t="n"/>
      <c r="B185" s="33" t="n"/>
      <c r="C185" s="33" t="n"/>
      <c r="D185" s="33" t="n"/>
      <c r="E185" s="27" t="n"/>
      <c r="F185" s="34" t="n"/>
      <c r="G185" s="27" t="n"/>
      <c r="H185" s="35" t="n"/>
      <c r="I185" s="14">
        <f>IF(OR(E185="",AND(F185&lt;&gt;"Hired",F185&lt;&gt;"Bought")),"",E185-N(G185))</f>
        <v/>
      </c>
      <c r="J185" s="16">
        <f>IF(C185&amp;E185="","",IF(F185="","Choose a stage",IF(F185="Quote","",IF(E185="","Add the amount",IF(I185&lt;=0,"Paid",IF(H185="","Balance due, no date set",IF(H185&lt;TODAY(),"Overdue by "&amp;(TODAY()-H185)&amp;IF((TODAY()-H185)=1," day"," days"),IF(H185=TODAY(),"Due today",IF((H185-TODAY())&lt;=14,"Due in "&amp;(H185-TODAY())&amp;IF((H185-TODAY())=1," day"," days"),"Next payment in "&amp;(H185-TODAY())&amp;" days")))))))))</f>
        <v/>
      </c>
      <c r="K185" s="16">
        <f>IF(OR(C185="",E185=""),"",IF(COUNTIFS(Costs!$C$6:$C$305,C185,Costs!$E$6:$E$305,"&lt;&gt;")&lt;2,"",IF(M185=1,"Cheapest of "&amp;COUNTIFS(Costs!$C$6:$C$305,C185,Costs!$E$6:$E$305,"&lt;&gt;"),FIXED(E185-SUMIFS(Costs!$E$6:$E$305,Costs!$C$6:$C$305,C185,Costs!$M$6:$M$305,1)/COUNTIFS(Costs!$C$6:$C$305,C185,Costs!$M$6:$M$305,1),0)&amp;" more than the cheapest")))</f>
        <v/>
      </c>
      <c r="L185" s="33" t="n"/>
      <c r="M185" s="1">
        <f>IF(OR(C185="",E185=""),"",IF(COUNTIFS(Costs!$C$6:$C$305,C185,Costs!$E$6:$E$305,"&lt;"&amp;E185)=0,1,0))</f>
        <v/>
      </c>
      <c r="N185">
        <f>IF(AND(C185&lt;&gt;"",F185="Quote",COUNTIFS(Costs!$C$6:$C$305,C185,Costs!$F$6:$F$305,"Hired")+COUNTIFS(Costs!$C$6:$C$305,C185,Costs!$F$6:$F$305,"Bought")=0),1/COUNTIFS(Costs!$C$6:$C$305,C185,Costs!$F$6:$F$305,"Quote"),"")</f>
        <v/>
      </c>
      <c r="O185">
        <f>IF(AND(OR(F185="Hired",F185="Bought"),N(I185)&gt;0,H185&lt;&gt;""),H185+ROW()/100000,"")</f>
        <v/>
      </c>
    </row>
    <row r="186">
      <c r="A186" s="1" t="n"/>
      <c r="B186" s="33" t="n"/>
      <c r="C186" s="33" t="n"/>
      <c r="D186" s="33" t="n"/>
      <c r="E186" s="27" t="n"/>
      <c r="F186" s="34" t="n"/>
      <c r="G186" s="27" t="n"/>
      <c r="H186" s="35" t="n"/>
      <c r="I186" s="14">
        <f>IF(OR(E186="",AND(F186&lt;&gt;"Hired",F186&lt;&gt;"Bought")),"",E186-N(G186))</f>
        <v/>
      </c>
      <c r="J186" s="16">
        <f>IF(C186&amp;E186="","",IF(F186="","Choose a stage",IF(F186="Quote","",IF(E186="","Add the amount",IF(I186&lt;=0,"Paid",IF(H186="","Balance due, no date set",IF(H186&lt;TODAY(),"Overdue by "&amp;(TODAY()-H186)&amp;IF((TODAY()-H186)=1," day"," days"),IF(H186=TODAY(),"Due today",IF((H186-TODAY())&lt;=14,"Due in "&amp;(H186-TODAY())&amp;IF((H186-TODAY())=1," day"," days"),"Next payment in "&amp;(H186-TODAY())&amp;" days")))))))))</f>
        <v/>
      </c>
      <c r="K186" s="16">
        <f>IF(OR(C186="",E186=""),"",IF(COUNTIFS(Costs!$C$6:$C$305,C186,Costs!$E$6:$E$305,"&lt;&gt;")&lt;2,"",IF(M186=1,"Cheapest of "&amp;COUNTIFS(Costs!$C$6:$C$305,C186,Costs!$E$6:$E$305,"&lt;&gt;"),FIXED(E186-SUMIFS(Costs!$E$6:$E$305,Costs!$C$6:$C$305,C186,Costs!$M$6:$M$305,1)/COUNTIFS(Costs!$C$6:$C$305,C186,Costs!$M$6:$M$305,1),0)&amp;" more than the cheapest")))</f>
        <v/>
      </c>
      <c r="L186" s="33" t="n"/>
      <c r="M186" s="1">
        <f>IF(OR(C186="",E186=""),"",IF(COUNTIFS(Costs!$C$6:$C$305,C186,Costs!$E$6:$E$305,"&lt;"&amp;E186)=0,1,0))</f>
        <v/>
      </c>
      <c r="N186">
        <f>IF(AND(C186&lt;&gt;"",F186="Quote",COUNTIFS(Costs!$C$6:$C$305,C186,Costs!$F$6:$F$305,"Hired")+COUNTIFS(Costs!$C$6:$C$305,C186,Costs!$F$6:$F$305,"Bought")=0),1/COUNTIFS(Costs!$C$6:$C$305,C186,Costs!$F$6:$F$305,"Quote"),"")</f>
        <v/>
      </c>
      <c r="O186">
        <f>IF(AND(OR(F186="Hired",F186="Bought"),N(I186)&gt;0,H186&lt;&gt;""),H186+ROW()/100000,"")</f>
        <v/>
      </c>
    </row>
    <row r="187">
      <c r="A187" s="1" t="n"/>
      <c r="B187" s="33" t="n"/>
      <c r="C187" s="33" t="n"/>
      <c r="D187" s="33" t="n"/>
      <c r="E187" s="27" t="n"/>
      <c r="F187" s="34" t="n"/>
      <c r="G187" s="27" t="n"/>
      <c r="H187" s="35" t="n"/>
      <c r="I187" s="14">
        <f>IF(OR(E187="",AND(F187&lt;&gt;"Hired",F187&lt;&gt;"Bought")),"",E187-N(G187))</f>
        <v/>
      </c>
      <c r="J187" s="16">
        <f>IF(C187&amp;E187="","",IF(F187="","Choose a stage",IF(F187="Quote","",IF(E187="","Add the amount",IF(I187&lt;=0,"Paid",IF(H187="","Balance due, no date set",IF(H187&lt;TODAY(),"Overdue by "&amp;(TODAY()-H187)&amp;IF((TODAY()-H187)=1," day"," days"),IF(H187=TODAY(),"Due today",IF((H187-TODAY())&lt;=14,"Due in "&amp;(H187-TODAY())&amp;IF((H187-TODAY())=1," day"," days"),"Next payment in "&amp;(H187-TODAY())&amp;" days")))))))))</f>
        <v/>
      </c>
      <c r="K187" s="16">
        <f>IF(OR(C187="",E187=""),"",IF(COUNTIFS(Costs!$C$6:$C$305,C187,Costs!$E$6:$E$305,"&lt;&gt;")&lt;2,"",IF(M187=1,"Cheapest of "&amp;COUNTIFS(Costs!$C$6:$C$305,C187,Costs!$E$6:$E$305,"&lt;&gt;"),FIXED(E187-SUMIFS(Costs!$E$6:$E$305,Costs!$C$6:$C$305,C187,Costs!$M$6:$M$305,1)/COUNTIFS(Costs!$C$6:$C$305,C187,Costs!$M$6:$M$305,1),0)&amp;" more than the cheapest")))</f>
        <v/>
      </c>
      <c r="L187" s="33" t="n"/>
      <c r="M187" s="1">
        <f>IF(OR(C187="",E187=""),"",IF(COUNTIFS(Costs!$C$6:$C$305,C187,Costs!$E$6:$E$305,"&lt;"&amp;E187)=0,1,0))</f>
        <v/>
      </c>
      <c r="N187">
        <f>IF(AND(C187&lt;&gt;"",F187="Quote",COUNTIFS(Costs!$C$6:$C$305,C187,Costs!$F$6:$F$305,"Hired")+COUNTIFS(Costs!$C$6:$C$305,C187,Costs!$F$6:$F$305,"Bought")=0),1/COUNTIFS(Costs!$C$6:$C$305,C187,Costs!$F$6:$F$305,"Quote"),"")</f>
        <v/>
      </c>
      <c r="O187">
        <f>IF(AND(OR(F187="Hired",F187="Bought"),N(I187)&gt;0,H187&lt;&gt;""),H187+ROW()/100000,"")</f>
        <v/>
      </c>
    </row>
    <row r="188">
      <c r="A188" s="1" t="n"/>
      <c r="B188" s="33" t="n"/>
      <c r="C188" s="33" t="n"/>
      <c r="D188" s="33" t="n"/>
      <c r="E188" s="27" t="n"/>
      <c r="F188" s="34" t="n"/>
      <c r="G188" s="27" t="n"/>
      <c r="H188" s="35" t="n"/>
      <c r="I188" s="14">
        <f>IF(OR(E188="",AND(F188&lt;&gt;"Hired",F188&lt;&gt;"Bought")),"",E188-N(G188))</f>
        <v/>
      </c>
      <c r="J188" s="16">
        <f>IF(C188&amp;E188="","",IF(F188="","Choose a stage",IF(F188="Quote","",IF(E188="","Add the amount",IF(I188&lt;=0,"Paid",IF(H188="","Balance due, no date set",IF(H188&lt;TODAY(),"Overdue by "&amp;(TODAY()-H188)&amp;IF((TODAY()-H188)=1," day"," days"),IF(H188=TODAY(),"Due today",IF((H188-TODAY())&lt;=14,"Due in "&amp;(H188-TODAY())&amp;IF((H188-TODAY())=1," day"," days"),"Next payment in "&amp;(H188-TODAY())&amp;" days")))))))))</f>
        <v/>
      </c>
      <c r="K188" s="16">
        <f>IF(OR(C188="",E188=""),"",IF(COUNTIFS(Costs!$C$6:$C$305,C188,Costs!$E$6:$E$305,"&lt;&gt;")&lt;2,"",IF(M188=1,"Cheapest of "&amp;COUNTIFS(Costs!$C$6:$C$305,C188,Costs!$E$6:$E$305,"&lt;&gt;"),FIXED(E188-SUMIFS(Costs!$E$6:$E$305,Costs!$C$6:$C$305,C188,Costs!$M$6:$M$305,1)/COUNTIFS(Costs!$C$6:$C$305,C188,Costs!$M$6:$M$305,1),0)&amp;" more than the cheapest")))</f>
        <v/>
      </c>
      <c r="L188" s="33" t="n"/>
      <c r="M188" s="1">
        <f>IF(OR(C188="",E188=""),"",IF(COUNTIFS(Costs!$C$6:$C$305,C188,Costs!$E$6:$E$305,"&lt;"&amp;E188)=0,1,0))</f>
        <v/>
      </c>
      <c r="N188">
        <f>IF(AND(C188&lt;&gt;"",F188="Quote",COUNTIFS(Costs!$C$6:$C$305,C188,Costs!$F$6:$F$305,"Hired")+COUNTIFS(Costs!$C$6:$C$305,C188,Costs!$F$6:$F$305,"Bought")=0),1/COUNTIFS(Costs!$C$6:$C$305,C188,Costs!$F$6:$F$305,"Quote"),"")</f>
        <v/>
      </c>
      <c r="O188">
        <f>IF(AND(OR(F188="Hired",F188="Bought"),N(I188)&gt;0,H188&lt;&gt;""),H188+ROW()/100000,"")</f>
        <v/>
      </c>
    </row>
    <row r="189">
      <c r="A189" s="1" t="n"/>
      <c r="B189" s="33" t="n"/>
      <c r="C189" s="33" t="n"/>
      <c r="D189" s="33" t="n"/>
      <c r="E189" s="27" t="n"/>
      <c r="F189" s="34" t="n"/>
      <c r="G189" s="27" t="n"/>
      <c r="H189" s="35" t="n"/>
      <c r="I189" s="14">
        <f>IF(OR(E189="",AND(F189&lt;&gt;"Hired",F189&lt;&gt;"Bought")),"",E189-N(G189))</f>
        <v/>
      </c>
      <c r="J189" s="16">
        <f>IF(C189&amp;E189="","",IF(F189="","Choose a stage",IF(F189="Quote","",IF(E189="","Add the amount",IF(I189&lt;=0,"Paid",IF(H189="","Balance due, no date set",IF(H189&lt;TODAY(),"Overdue by "&amp;(TODAY()-H189)&amp;IF((TODAY()-H189)=1," day"," days"),IF(H189=TODAY(),"Due today",IF((H189-TODAY())&lt;=14,"Due in "&amp;(H189-TODAY())&amp;IF((H189-TODAY())=1," day"," days"),"Next payment in "&amp;(H189-TODAY())&amp;" days")))))))))</f>
        <v/>
      </c>
      <c r="K189" s="16">
        <f>IF(OR(C189="",E189=""),"",IF(COUNTIFS(Costs!$C$6:$C$305,C189,Costs!$E$6:$E$305,"&lt;&gt;")&lt;2,"",IF(M189=1,"Cheapest of "&amp;COUNTIFS(Costs!$C$6:$C$305,C189,Costs!$E$6:$E$305,"&lt;&gt;"),FIXED(E189-SUMIFS(Costs!$E$6:$E$305,Costs!$C$6:$C$305,C189,Costs!$M$6:$M$305,1)/COUNTIFS(Costs!$C$6:$C$305,C189,Costs!$M$6:$M$305,1),0)&amp;" more than the cheapest")))</f>
        <v/>
      </c>
      <c r="L189" s="33" t="n"/>
      <c r="M189" s="1">
        <f>IF(OR(C189="",E189=""),"",IF(COUNTIFS(Costs!$C$6:$C$305,C189,Costs!$E$6:$E$305,"&lt;"&amp;E189)=0,1,0))</f>
        <v/>
      </c>
      <c r="N189">
        <f>IF(AND(C189&lt;&gt;"",F189="Quote",COUNTIFS(Costs!$C$6:$C$305,C189,Costs!$F$6:$F$305,"Hired")+COUNTIFS(Costs!$C$6:$C$305,C189,Costs!$F$6:$F$305,"Bought")=0),1/COUNTIFS(Costs!$C$6:$C$305,C189,Costs!$F$6:$F$305,"Quote"),"")</f>
        <v/>
      </c>
      <c r="O189">
        <f>IF(AND(OR(F189="Hired",F189="Bought"),N(I189)&gt;0,H189&lt;&gt;""),H189+ROW()/100000,"")</f>
        <v/>
      </c>
    </row>
    <row r="190">
      <c r="A190" s="1" t="n"/>
      <c r="B190" s="33" t="n"/>
      <c r="C190" s="33" t="n"/>
      <c r="D190" s="33" t="n"/>
      <c r="E190" s="27" t="n"/>
      <c r="F190" s="34" t="n"/>
      <c r="G190" s="27" t="n"/>
      <c r="H190" s="35" t="n"/>
      <c r="I190" s="14">
        <f>IF(OR(E190="",AND(F190&lt;&gt;"Hired",F190&lt;&gt;"Bought")),"",E190-N(G190))</f>
        <v/>
      </c>
      <c r="J190" s="16">
        <f>IF(C190&amp;E190="","",IF(F190="","Choose a stage",IF(F190="Quote","",IF(E190="","Add the amount",IF(I190&lt;=0,"Paid",IF(H190="","Balance due, no date set",IF(H190&lt;TODAY(),"Overdue by "&amp;(TODAY()-H190)&amp;IF((TODAY()-H190)=1," day"," days"),IF(H190=TODAY(),"Due today",IF((H190-TODAY())&lt;=14,"Due in "&amp;(H190-TODAY())&amp;IF((H190-TODAY())=1," day"," days"),"Next payment in "&amp;(H190-TODAY())&amp;" days")))))))))</f>
        <v/>
      </c>
      <c r="K190" s="16">
        <f>IF(OR(C190="",E190=""),"",IF(COUNTIFS(Costs!$C$6:$C$305,C190,Costs!$E$6:$E$305,"&lt;&gt;")&lt;2,"",IF(M190=1,"Cheapest of "&amp;COUNTIFS(Costs!$C$6:$C$305,C190,Costs!$E$6:$E$305,"&lt;&gt;"),FIXED(E190-SUMIFS(Costs!$E$6:$E$305,Costs!$C$6:$C$305,C190,Costs!$M$6:$M$305,1)/COUNTIFS(Costs!$C$6:$C$305,C190,Costs!$M$6:$M$305,1),0)&amp;" more than the cheapest")))</f>
        <v/>
      </c>
      <c r="L190" s="33" t="n"/>
      <c r="M190" s="1">
        <f>IF(OR(C190="",E190=""),"",IF(COUNTIFS(Costs!$C$6:$C$305,C190,Costs!$E$6:$E$305,"&lt;"&amp;E190)=0,1,0))</f>
        <v/>
      </c>
      <c r="N190">
        <f>IF(AND(C190&lt;&gt;"",F190="Quote",COUNTIFS(Costs!$C$6:$C$305,C190,Costs!$F$6:$F$305,"Hired")+COUNTIFS(Costs!$C$6:$C$305,C190,Costs!$F$6:$F$305,"Bought")=0),1/COUNTIFS(Costs!$C$6:$C$305,C190,Costs!$F$6:$F$305,"Quote"),"")</f>
        <v/>
      </c>
      <c r="O190">
        <f>IF(AND(OR(F190="Hired",F190="Bought"),N(I190)&gt;0,H190&lt;&gt;""),H190+ROW()/100000,"")</f>
        <v/>
      </c>
    </row>
    <row r="191">
      <c r="A191" s="1" t="n"/>
      <c r="B191" s="33" t="n"/>
      <c r="C191" s="33" t="n"/>
      <c r="D191" s="33" t="n"/>
      <c r="E191" s="27" t="n"/>
      <c r="F191" s="34" t="n"/>
      <c r="G191" s="27" t="n"/>
      <c r="H191" s="35" t="n"/>
      <c r="I191" s="14">
        <f>IF(OR(E191="",AND(F191&lt;&gt;"Hired",F191&lt;&gt;"Bought")),"",E191-N(G191))</f>
        <v/>
      </c>
      <c r="J191" s="16">
        <f>IF(C191&amp;E191="","",IF(F191="","Choose a stage",IF(F191="Quote","",IF(E191="","Add the amount",IF(I191&lt;=0,"Paid",IF(H191="","Balance due, no date set",IF(H191&lt;TODAY(),"Overdue by "&amp;(TODAY()-H191)&amp;IF((TODAY()-H191)=1," day"," days"),IF(H191=TODAY(),"Due today",IF((H191-TODAY())&lt;=14,"Due in "&amp;(H191-TODAY())&amp;IF((H191-TODAY())=1," day"," days"),"Next payment in "&amp;(H191-TODAY())&amp;" days")))))))))</f>
        <v/>
      </c>
      <c r="K191" s="16">
        <f>IF(OR(C191="",E191=""),"",IF(COUNTIFS(Costs!$C$6:$C$305,C191,Costs!$E$6:$E$305,"&lt;&gt;")&lt;2,"",IF(M191=1,"Cheapest of "&amp;COUNTIFS(Costs!$C$6:$C$305,C191,Costs!$E$6:$E$305,"&lt;&gt;"),FIXED(E191-SUMIFS(Costs!$E$6:$E$305,Costs!$C$6:$C$305,C191,Costs!$M$6:$M$305,1)/COUNTIFS(Costs!$C$6:$C$305,C191,Costs!$M$6:$M$305,1),0)&amp;" more than the cheapest")))</f>
        <v/>
      </c>
      <c r="L191" s="33" t="n"/>
      <c r="M191" s="1">
        <f>IF(OR(C191="",E191=""),"",IF(COUNTIFS(Costs!$C$6:$C$305,C191,Costs!$E$6:$E$305,"&lt;"&amp;E191)=0,1,0))</f>
        <v/>
      </c>
      <c r="N191">
        <f>IF(AND(C191&lt;&gt;"",F191="Quote",COUNTIFS(Costs!$C$6:$C$305,C191,Costs!$F$6:$F$305,"Hired")+COUNTIFS(Costs!$C$6:$C$305,C191,Costs!$F$6:$F$305,"Bought")=0),1/COUNTIFS(Costs!$C$6:$C$305,C191,Costs!$F$6:$F$305,"Quote"),"")</f>
        <v/>
      </c>
      <c r="O191">
        <f>IF(AND(OR(F191="Hired",F191="Bought"),N(I191)&gt;0,H191&lt;&gt;""),H191+ROW()/100000,"")</f>
        <v/>
      </c>
    </row>
    <row r="192">
      <c r="A192" s="1" t="n"/>
      <c r="B192" s="33" t="n"/>
      <c r="C192" s="33" t="n"/>
      <c r="D192" s="33" t="n"/>
      <c r="E192" s="27" t="n"/>
      <c r="F192" s="34" t="n"/>
      <c r="G192" s="27" t="n"/>
      <c r="H192" s="35" t="n"/>
      <c r="I192" s="14">
        <f>IF(OR(E192="",AND(F192&lt;&gt;"Hired",F192&lt;&gt;"Bought")),"",E192-N(G192))</f>
        <v/>
      </c>
      <c r="J192" s="16">
        <f>IF(C192&amp;E192="","",IF(F192="","Choose a stage",IF(F192="Quote","",IF(E192="","Add the amount",IF(I192&lt;=0,"Paid",IF(H192="","Balance due, no date set",IF(H192&lt;TODAY(),"Overdue by "&amp;(TODAY()-H192)&amp;IF((TODAY()-H192)=1," day"," days"),IF(H192=TODAY(),"Due today",IF((H192-TODAY())&lt;=14,"Due in "&amp;(H192-TODAY())&amp;IF((H192-TODAY())=1," day"," days"),"Next payment in "&amp;(H192-TODAY())&amp;" days")))))))))</f>
        <v/>
      </c>
      <c r="K192" s="16">
        <f>IF(OR(C192="",E192=""),"",IF(COUNTIFS(Costs!$C$6:$C$305,C192,Costs!$E$6:$E$305,"&lt;&gt;")&lt;2,"",IF(M192=1,"Cheapest of "&amp;COUNTIFS(Costs!$C$6:$C$305,C192,Costs!$E$6:$E$305,"&lt;&gt;"),FIXED(E192-SUMIFS(Costs!$E$6:$E$305,Costs!$C$6:$C$305,C192,Costs!$M$6:$M$305,1)/COUNTIFS(Costs!$C$6:$C$305,C192,Costs!$M$6:$M$305,1),0)&amp;" more than the cheapest")))</f>
        <v/>
      </c>
      <c r="L192" s="33" t="n"/>
      <c r="M192" s="1">
        <f>IF(OR(C192="",E192=""),"",IF(COUNTIFS(Costs!$C$6:$C$305,C192,Costs!$E$6:$E$305,"&lt;"&amp;E192)=0,1,0))</f>
        <v/>
      </c>
      <c r="N192">
        <f>IF(AND(C192&lt;&gt;"",F192="Quote",COUNTIFS(Costs!$C$6:$C$305,C192,Costs!$F$6:$F$305,"Hired")+COUNTIFS(Costs!$C$6:$C$305,C192,Costs!$F$6:$F$305,"Bought")=0),1/COUNTIFS(Costs!$C$6:$C$305,C192,Costs!$F$6:$F$305,"Quote"),"")</f>
        <v/>
      </c>
      <c r="O192">
        <f>IF(AND(OR(F192="Hired",F192="Bought"),N(I192)&gt;0,H192&lt;&gt;""),H192+ROW()/100000,"")</f>
        <v/>
      </c>
    </row>
    <row r="193">
      <c r="A193" s="1" t="n"/>
      <c r="B193" s="33" t="n"/>
      <c r="C193" s="33" t="n"/>
      <c r="D193" s="33" t="n"/>
      <c r="E193" s="27" t="n"/>
      <c r="F193" s="34" t="n"/>
      <c r="G193" s="27" t="n"/>
      <c r="H193" s="35" t="n"/>
      <c r="I193" s="14">
        <f>IF(OR(E193="",AND(F193&lt;&gt;"Hired",F193&lt;&gt;"Bought")),"",E193-N(G193))</f>
        <v/>
      </c>
      <c r="J193" s="16">
        <f>IF(C193&amp;E193="","",IF(F193="","Choose a stage",IF(F193="Quote","",IF(E193="","Add the amount",IF(I193&lt;=0,"Paid",IF(H193="","Balance due, no date set",IF(H193&lt;TODAY(),"Overdue by "&amp;(TODAY()-H193)&amp;IF((TODAY()-H193)=1," day"," days"),IF(H193=TODAY(),"Due today",IF((H193-TODAY())&lt;=14,"Due in "&amp;(H193-TODAY())&amp;IF((H193-TODAY())=1," day"," days"),"Next payment in "&amp;(H193-TODAY())&amp;" days")))))))))</f>
        <v/>
      </c>
      <c r="K193" s="16">
        <f>IF(OR(C193="",E193=""),"",IF(COUNTIFS(Costs!$C$6:$C$305,C193,Costs!$E$6:$E$305,"&lt;&gt;")&lt;2,"",IF(M193=1,"Cheapest of "&amp;COUNTIFS(Costs!$C$6:$C$305,C193,Costs!$E$6:$E$305,"&lt;&gt;"),FIXED(E193-SUMIFS(Costs!$E$6:$E$305,Costs!$C$6:$C$305,C193,Costs!$M$6:$M$305,1)/COUNTIFS(Costs!$C$6:$C$305,C193,Costs!$M$6:$M$305,1),0)&amp;" more than the cheapest")))</f>
        <v/>
      </c>
      <c r="L193" s="33" t="n"/>
      <c r="M193" s="1">
        <f>IF(OR(C193="",E193=""),"",IF(COUNTIFS(Costs!$C$6:$C$305,C193,Costs!$E$6:$E$305,"&lt;"&amp;E193)=0,1,0))</f>
        <v/>
      </c>
      <c r="N193">
        <f>IF(AND(C193&lt;&gt;"",F193="Quote",COUNTIFS(Costs!$C$6:$C$305,C193,Costs!$F$6:$F$305,"Hired")+COUNTIFS(Costs!$C$6:$C$305,C193,Costs!$F$6:$F$305,"Bought")=0),1/COUNTIFS(Costs!$C$6:$C$305,C193,Costs!$F$6:$F$305,"Quote"),"")</f>
        <v/>
      </c>
      <c r="O193">
        <f>IF(AND(OR(F193="Hired",F193="Bought"),N(I193)&gt;0,H193&lt;&gt;""),H193+ROW()/100000,"")</f>
        <v/>
      </c>
    </row>
    <row r="194">
      <c r="A194" s="1" t="n"/>
      <c r="B194" s="33" t="n"/>
      <c r="C194" s="33" t="n"/>
      <c r="D194" s="33" t="n"/>
      <c r="E194" s="27" t="n"/>
      <c r="F194" s="34" t="n"/>
      <c r="G194" s="27" t="n"/>
      <c r="H194" s="35" t="n"/>
      <c r="I194" s="14">
        <f>IF(OR(E194="",AND(F194&lt;&gt;"Hired",F194&lt;&gt;"Bought")),"",E194-N(G194))</f>
        <v/>
      </c>
      <c r="J194" s="16">
        <f>IF(C194&amp;E194="","",IF(F194="","Choose a stage",IF(F194="Quote","",IF(E194="","Add the amount",IF(I194&lt;=0,"Paid",IF(H194="","Balance due, no date set",IF(H194&lt;TODAY(),"Overdue by "&amp;(TODAY()-H194)&amp;IF((TODAY()-H194)=1," day"," days"),IF(H194=TODAY(),"Due today",IF((H194-TODAY())&lt;=14,"Due in "&amp;(H194-TODAY())&amp;IF((H194-TODAY())=1," day"," days"),"Next payment in "&amp;(H194-TODAY())&amp;" days")))))))))</f>
        <v/>
      </c>
      <c r="K194" s="16">
        <f>IF(OR(C194="",E194=""),"",IF(COUNTIFS(Costs!$C$6:$C$305,C194,Costs!$E$6:$E$305,"&lt;&gt;")&lt;2,"",IF(M194=1,"Cheapest of "&amp;COUNTIFS(Costs!$C$6:$C$305,C194,Costs!$E$6:$E$305,"&lt;&gt;"),FIXED(E194-SUMIFS(Costs!$E$6:$E$305,Costs!$C$6:$C$305,C194,Costs!$M$6:$M$305,1)/COUNTIFS(Costs!$C$6:$C$305,C194,Costs!$M$6:$M$305,1),0)&amp;" more than the cheapest")))</f>
        <v/>
      </c>
      <c r="L194" s="33" t="n"/>
      <c r="M194" s="1">
        <f>IF(OR(C194="",E194=""),"",IF(COUNTIFS(Costs!$C$6:$C$305,C194,Costs!$E$6:$E$305,"&lt;"&amp;E194)=0,1,0))</f>
        <v/>
      </c>
      <c r="N194">
        <f>IF(AND(C194&lt;&gt;"",F194="Quote",COUNTIFS(Costs!$C$6:$C$305,C194,Costs!$F$6:$F$305,"Hired")+COUNTIFS(Costs!$C$6:$C$305,C194,Costs!$F$6:$F$305,"Bought")=0),1/COUNTIFS(Costs!$C$6:$C$305,C194,Costs!$F$6:$F$305,"Quote"),"")</f>
        <v/>
      </c>
      <c r="O194">
        <f>IF(AND(OR(F194="Hired",F194="Bought"),N(I194)&gt;0,H194&lt;&gt;""),H194+ROW()/100000,"")</f>
        <v/>
      </c>
    </row>
    <row r="195">
      <c r="A195" s="1" t="n"/>
      <c r="B195" s="33" t="n"/>
      <c r="C195" s="33" t="n"/>
      <c r="D195" s="33" t="n"/>
      <c r="E195" s="27" t="n"/>
      <c r="F195" s="34" t="n"/>
      <c r="G195" s="27" t="n"/>
      <c r="H195" s="35" t="n"/>
      <c r="I195" s="14">
        <f>IF(OR(E195="",AND(F195&lt;&gt;"Hired",F195&lt;&gt;"Bought")),"",E195-N(G195))</f>
        <v/>
      </c>
      <c r="J195" s="16">
        <f>IF(C195&amp;E195="","",IF(F195="","Choose a stage",IF(F195="Quote","",IF(E195="","Add the amount",IF(I195&lt;=0,"Paid",IF(H195="","Balance due, no date set",IF(H195&lt;TODAY(),"Overdue by "&amp;(TODAY()-H195)&amp;IF((TODAY()-H195)=1," day"," days"),IF(H195=TODAY(),"Due today",IF((H195-TODAY())&lt;=14,"Due in "&amp;(H195-TODAY())&amp;IF((H195-TODAY())=1," day"," days"),"Next payment in "&amp;(H195-TODAY())&amp;" days")))))))))</f>
        <v/>
      </c>
      <c r="K195" s="16">
        <f>IF(OR(C195="",E195=""),"",IF(COUNTIFS(Costs!$C$6:$C$305,C195,Costs!$E$6:$E$305,"&lt;&gt;")&lt;2,"",IF(M195=1,"Cheapest of "&amp;COUNTIFS(Costs!$C$6:$C$305,C195,Costs!$E$6:$E$305,"&lt;&gt;"),FIXED(E195-SUMIFS(Costs!$E$6:$E$305,Costs!$C$6:$C$305,C195,Costs!$M$6:$M$305,1)/COUNTIFS(Costs!$C$6:$C$305,C195,Costs!$M$6:$M$305,1),0)&amp;" more than the cheapest")))</f>
        <v/>
      </c>
      <c r="L195" s="33" t="n"/>
      <c r="M195" s="1">
        <f>IF(OR(C195="",E195=""),"",IF(COUNTIFS(Costs!$C$6:$C$305,C195,Costs!$E$6:$E$305,"&lt;"&amp;E195)=0,1,0))</f>
        <v/>
      </c>
      <c r="N195">
        <f>IF(AND(C195&lt;&gt;"",F195="Quote",COUNTIFS(Costs!$C$6:$C$305,C195,Costs!$F$6:$F$305,"Hired")+COUNTIFS(Costs!$C$6:$C$305,C195,Costs!$F$6:$F$305,"Bought")=0),1/COUNTIFS(Costs!$C$6:$C$305,C195,Costs!$F$6:$F$305,"Quote"),"")</f>
        <v/>
      </c>
      <c r="O195">
        <f>IF(AND(OR(F195="Hired",F195="Bought"),N(I195)&gt;0,H195&lt;&gt;""),H195+ROW()/100000,"")</f>
        <v/>
      </c>
    </row>
    <row r="196">
      <c r="A196" s="1" t="n"/>
      <c r="B196" s="33" t="n"/>
      <c r="C196" s="33" t="n"/>
      <c r="D196" s="33" t="n"/>
      <c r="E196" s="27" t="n"/>
      <c r="F196" s="34" t="n"/>
      <c r="G196" s="27" t="n"/>
      <c r="H196" s="35" t="n"/>
      <c r="I196" s="14">
        <f>IF(OR(E196="",AND(F196&lt;&gt;"Hired",F196&lt;&gt;"Bought")),"",E196-N(G196))</f>
        <v/>
      </c>
      <c r="J196" s="16">
        <f>IF(C196&amp;E196="","",IF(F196="","Choose a stage",IF(F196="Quote","",IF(E196="","Add the amount",IF(I196&lt;=0,"Paid",IF(H196="","Balance due, no date set",IF(H196&lt;TODAY(),"Overdue by "&amp;(TODAY()-H196)&amp;IF((TODAY()-H196)=1," day"," days"),IF(H196=TODAY(),"Due today",IF((H196-TODAY())&lt;=14,"Due in "&amp;(H196-TODAY())&amp;IF((H196-TODAY())=1," day"," days"),"Next payment in "&amp;(H196-TODAY())&amp;" days")))))))))</f>
        <v/>
      </c>
      <c r="K196" s="16">
        <f>IF(OR(C196="",E196=""),"",IF(COUNTIFS(Costs!$C$6:$C$305,C196,Costs!$E$6:$E$305,"&lt;&gt;")&lt;2,"",IF(M196=1,"Cheapest of "&amp;COUNTIFS(Costs!$C$6:$C$305,C196,Costs!$E$6:$E$305,"&lt;&gt;"),FIXED(E196-SUMIFS(Costs!$E$6:$E$305,Costs!$C$6:$C$305,C196,Costs!$M$6:$M$305,1)/COUNTIFS(Costs!$C$6:$C$305,C196,Costs!$M$6:$M$305,1),0)&amp;" more than the cheapest")))</f>
        <v/>
      </c>
      <c r="L196" s="33" t="n"/>
      <c r="M196" s="1">
        <f>IF(OR(C196="",E196=""),"",IF(COUNTIFS(Costs!$C$6:$C$305,C196,Costs!$E$6:$E$305,"&lt;"&amp;E196)=0,1,0))</f>
        <v/>
      </c>
      <c r="N196">
        <f>IF(AND(C196&lt;&gt;"",F196="Quote",COUNTIFS(Costs!$C$6:$C$305,C196,Costs!$F$6:$F$305,"Hired")+COUNTIFS(Costs!$C$6:$C$305,C196,Costs!$F$6:$F$305,"Bought")=0),1/COUNTIFS(Costs!$C$6:$C$305,C196,Costs!$F$6:$F$305,"Quote"),"")</f>
        <v/>
      </c>
      <c r="O196">
        <f>IF(AND(OR(F196="Hired",F196="Bought"),N(I196)&gt;0,H196&lt;&gt;""),H196+ROW()/100000,"")</f>
        <v/>
      </c>
    </row>
    <row r="197">
      <c r="A197" s="1" t="n"/>
      <c r="B197" s="33" t="n"/>
      <c r="C197" s="33" t="n"/>
      <c r="D197" s="33" t="n"/>
      <c r="E197" s="27" t="n"/>
      <c r="F197" s="34" t="n"/>
      <c r="G197" s="27" t="n"/>
      <c r="H197" s="35" t="n"/>
      <c r="I197" s="14">
        <f>IF(OR(E197="",AND(F197&lt;&gt;"Hired",F197&lt;&gt;"Bought")),"",E197-N(G197))</f>
        <v/>
      </c>
      <c r="J197" s="16">
        <f>IF(C197&amp;E197="","",IF(F197="","Choose a stage",IF(F197="Quote","",IF(E197="","Add the amount",IF(I197&lt;=0,"Paid",IF(H197="","Balance due, no date set",IF(H197&lt;TODAY(),"Overdue by "&amp;(TODAY()-H197)&amp;IF((TODAY()-H197)=1," day"," days"),IF(H197=TODAY(),"Due today",IF((H197-TODAY())&lt;=14,"Due in "&amp;(H197-TODAY())&amp;IF((H197-TODAY())=1," day"," days"),"Next payment in "&amp;(H197-TODAY())&amp;" days")))))))))</f>
        <v/>
      </c>
      <c r="K197" s="16">
        <f>IF(OR(C197="",E197=""),"",IF(COUNTIFS(Costs!$C$6:$C$305,C197,Costs!$E$6:$E$305,"&lt;&gt;")&lt;2,"",IF(M197=1,"Cheapest of "&amp;COUNTIFS(Costs!$C$6:$C$305,C197,Costs!$E$6:$E$305,"&lt;&gt;"),FIXED(E197-SUMIFS(Costs!$E$6:$E$305,Costs!$C$6:$C$305,C197,Costs!$M$6:$M$305,1)/COUNTIFS(Costs!$C$6:$C$305,C197,Costs!$M$6:$M$305,1),0)&amp;" more than the cheapest")))</f>
        <v/>
      </c>
      <c r="L197" s="33" t="n"/>
      <c r="M197" s="1">
        <f>IF(OR(C197="",E197=""),"",IF(COUNTIFS(Costs!$C$6:$C$305,C197,Costs!$E$6:$E$305,"&lt;"&amp;E197)=0,1,0))</f>
        <v/>
      </c>
      <c r="N197">
        <f>IF(AND(C197&lt;&gt;"",F197="Quote",COUNTIFS(Costs!$C$6:$C$305,C197,Costs!$F$6:$F$305,"Hired")+COUNTIFS(Costs!$C$6:$C$305,C197,Costs!$F$6:$F$305,"Bought")=0),1/COUNTIFS(Costs!$C$6:$C$305,C197,Costs!$F$6:$F$305,"Quote"),"")</f>
        <v/>
      </c>
      <c r="O197">
        <f>IF(AND(OR(F197="Hired",F197="Bought"),N(I197)&gt;0,H197&lt;&gt;""),H197+ROW()/100000,"")</f>
        <v/>
      </c>
    </row>
    <row r="198">
      <c r="A198" s="1" t="n"/>
      <c r="B198" s="33" t="n"/>
      <c r="C198" s="33" t="n"/>
      <c r="D198" s="33" t="n"/>
      <c r="E198" s="27" t="n"/>
      <c r="F198" s="34" t="n"/>
      <c r="G198" s="27" t="n"/>
      <c r="H198" s="35" t="n"/>
      <c r="I198" s="14">
        <f>IF(OR(E198="",AND(F198&lt;&gt;"Hired",F198&lt;&gt;"Bought")),"",E198-N(G198))</f>
        <v/>
      </c>
      <c r="J198" s="16">
        <f>IF(C198&amp;E198="","",IF(F198="","Choose a stage",IF(F198="Quote","",IF(E198="","Add the amount",IF(I198&lt;=0,"Paid",IF(H198="","Balance due, no date set",IF(H198&lt;TODAY(),"Overdue by "&amp;(TODAY()-H198)&amp;IF((TODAY()-H198)=1," day"," days"),IF(H198=TODAY(),"Due today",IF((H198-TODAY())&lt;=14,"Due in "&amp;(H198-TODAY())&amp;IF((H198-TODAY())=1," day"," days"),"Next payment in "&amp;(H198-TODAY())&amp;" days")))))))))</f>
        <v/>
      </c>
      <c r="K198" s="16">
        <f>IF(OR(C198="",E198=""),"",IF(COUNTIFS(Costs!$C$6:$C$305,C198,Costs!$E$6:$E$305,"&lt;&gt;")&lt;2,"",IF(M198=1,"Cheapest of "&amp;COUNTIFS(Costs!$C$6:$C$305,C198,Costs!$E$6:$E$305,"&lt;&gt;"),FIXED(E198-SUMIFS(Costs!$E$6:$E$305,Costs!$C$6:$C$305,C198,Costs!$M$6:$M$305,1)/COUNTIFS(Costs!$C$6:$C$305,C198,Costs!$M$6:$M$305,1),0)&amp;" more than the cheapest")))</f>
        <v/>
      </c>
      <c r="L198" s="33" t="n"/>
      <c r="M198" s="1">
        <f>IF(OR(C198="",E198=""),"",IF(COUNTIFS(Costs!$C$6:$C$305,C198,Costs!$E$6:$E$305,"&lt;"&amp;E198)=0,1,0))</f>
        <v/>
      </c>
      <c r="N198">
        <f>IF(AND(C198&lt;&gt;"",F198="Quote",COUNTIFS(Costs!$C$6:$C$305,C198,Costs!$F$6:$F$305,"Hired")+COUNTIFS(Costs!$C$6:$C$305,C198,Costs!$F$6:$F$305,"Bought")=0),1/COUNTIFS(Costs!$C$6:$C$305,C198,Costs!$F$6:$F$305,"Quote"),"")</f>
        <v/>
      </c>
      <c r="O198">
        <f>IF(AND(OR(F198="Hired",F198="Bought"),N(I198)&gt;0,H198&lt;&gt;""),H198+ROW()/100000,"")</f>
        <v/>
      </c>
    </row>
    <row r="199">
      <c r="A199" s="1" t="n"/>
      <c r="B199" s="33" t="n"/>
      <c r="C199" s="33" t="n"/>
      <c r="D199" s="33" t="n"/>
      <c r="E199" s="27" t="n"/>
      <c r="F199" s="34" t="n"/>
      <c r="G199" s="27" t="n"/>
      <c r="H199" s="35" t="n"/>
      <c r="I199" s="14">
        <f>IF(OR(E199="",AND(F199&lt;&gt;"Hired",F199&lt;&gt;"Bought")),"",E199-N(G199))</f>
        <v/>
      </c>
      <c r="J199" s="16">
        <f>IF(C199&amp;E199="","",IF(F199="","Choose a stage",IF(F199="Quote","",IF(E199="","Add the amount",IF(I199&lt;=0,"Paid",IF(H199="","Balance due, no date set",IF(H199&lt;TODAY(),"Overdue by "&amp;(TODAY()-H199)&amp;IF((TODAY()-H199)=1," day"," days"),IF(H199=TODAY(),"Due today",IF((H199-TODAY())&lt;=14,"Due in "&amp;(H199-TODAY())&amp;IF((H199-TODAY())=1," day"," days"),"Next payment in "&amp;(H199-TODAY())&amp;" days")))))))))</f>
        <v/>
      </c>
      <c r="K199" s="16">
        <f>IF(OR(C199="",E199=""),"",IF(COUNTIFS(Costs!$C$6:$C$305,C199,Costs!$E$6:$E$305,"&lt;&gt;")&lt;2,"",IF(M199=1,"Cheapest of "&amp;COUNTIFS(Costs!$C$6:$C$305,C199,Costs!$E$6:$E$305,"&lt;&gt;"),FIXED(E199-SUMIFS(Costs!$E$6:$E$305,Costs!$C$6:$C$305,C199,Costs!$M$6:$M$305,1)/COUNTIFS(Costs!$C$6:$C$305,C199,Costs!$M$6:$M$305,1),0)&amp;" more than the cheapest")))</f>
        <v/>
      </c>
      <c r="L199" s="33" t="n"/>
      <c r="M199" s="1">
        <f>IF(OR(C199="",E199=""),"",IF(COUNTIFS(Costs!$C$6:$C$305,C199,Costs!$E$6:$E$305,"&lt;"&amp;E199)=0,1,0))</f>
        <v/>
      </c>
      <c r="N199">
        <f>IF(AND(C199&lt;&gt;"",F199="Quote",COUNTIFS(Costs!$C$6:$C$305,C199,Costs!$F$6:$F$305,"Hired")+COUNTIFS(Costs!$C$6:$C$305,C199,Costs!$F$6:$F$305,"Bought")=0),1/COUNTIFS(Costs!$C$6:$C$305,C199,Costs!$F$6:$F$305,"Quote"),"")</f>
        <v/>
      </c>
      <c r="O199">
        <f>IF(AND(OR(F199="Hired",F199="Bought"),N(I199)&gt;0,H199&lt;&gt;""),H199+ROW()/100000,"")</f>
        <v/>
      </c>
    </row>
    <row r="200">
      <c r="A200" s="1" t="n"/>
      <c r="B200" s="33" t="n"/>
      <c r="C200" s="33" t="n"/>
      <c r="D200" s="33" t="n"/>
      <c r="E200" s="27" t="n"/>
      <c r="F200" s="34" t="n"/>
      <c r="G200" s="27" t="n"/>
      <c r="H200" s="35" t="n"/>
      <c r="I200" s="14">
        <f>IF(OR(E200="",AND(F200&lt;&gt;"Hired",F200&lt;&gt;"Bought")),"",E200-N(G200))</f>
        <v/>
      </c>
      <c r="J200" s="16">
        <f>IF(C200&amp;E200="","",IF(F200="","Choose a stage",IF(F200="Quote","",IF(E200="","Add the amount",IF(I200&lt;=0,"Paid",IF(H200="","Balance due, no date set",IF(H200&lt;TODAY(),"Overdue by "&amp;(TODAY()-H200)&amp;IF((TODAY()-H200)=1," day"," days"),IF(H200=TODAY(),"Due today",IF((H200-TODAY())&lt;=14,"Due in "&amp;(H200-TODAY())&amp;IF((H200-TODAY())=1," day"," days"),"Next payment in "&amp;(H200-TODAY())&amp;" days")))))))))</f>
        <v/>
      </c>
      <c r="K200" s="16">
        <f>IF(OR(C200="",E200=""),"",IF(COUNTIFS(Costs!$C$6:$C$305,C200,Costs!$E$6:$E$305,"&lt;&gt;")&lt;2,"",IF(M200=1,"Cheapest of "&amp;COUNTIFS(Costs!$C$6:$C$305,C200,Costs!$E$6:$E$305,"&lt;&gt;"),FIXED(E200-SUMIFS(Costs!$E$6:$E$305,Costs!$C$6:$C$305,C200,Costs!$M$6:$M$305,1)/COUNTIFS(Costs!$C$6:$C$305,C200,Costs!$M$6:$M$305,1),0)&amp;" more than the cheapest")))</f>
        <v/>
      </c>
      <c r="L200" s="33" t="n"/>
      <c r="M200" s="1">
        <f>IF(OR(C200="",E200=""),"",IF(COUNTIFS(Costs!$C$6:$C$305,C200,Costs!$E$6:$E$305,"&lt;"&amp;E200)=0,1,0))</f>
        <v/>
      </c>
      <c r="N200">
        <f>IF(AND(C200&lt;&gt;"",F200="Quote",COUNTIFS(Costs!$C$6:$C$305,C200,Costs!$F$6:$F$305,"Hired")+COUNTIFS(Costs!$C$6:$C$305,C200,Costs!$F$6:$F$305,"Bought")=0),1/COUNTIFS(Costs!$C$6:$C$305,C200,Costs!$F$6:$F$305,"Quote"),"")</f>
        <v/>
      </c>
      <c r="O200">
        <f>IF(AND(OR(F200="Hired",F200="Bought"),N(I200)&gt;0,H200&lt;&gt;""),H200+ROW()/100000,"")</f>
        <v/>
      </c>
    </row>
    <row r="201">
      <c r="A201" s="1" t="n"/>
      <c r="B201" s="33" t="n"/>
      <c r="C201" s="33" t="n"/>
      <c r="D201" s="33" t="n"/>
      <c r="E201" s="27" t="n"/>
      <c r="F201" s="34" t="n"/>
      <c r="G201" s="27" t="n"/>
      <c r="H201" s="35" t="n"/>
      <c r="I201" s="14">
        <f>IF(OR(E201="",AND(F201&lt;&gt;"Hired",F201&lt;&gt;"Bought")),"",E201-N(G201))</f>
        <v/>
      </c>
      <c r="J201" s="16">
        <f>IF(C201&amp;E201="","",IF(F201="","Choose a stage",IF(F201="Quote","",IF(E201="","Add the amount",IF(I201&lt;=0,"Paid",IF(H201="","Balance due, no date set",IF(H201&lt;TODAY(),"Overdue by "&amp;(TODAY()-H201)&amp;IF((TODAY()-H201)=1," day"," days"),IF(H201=TODAY(),"Due today",IF((H201-TODAY())&lt;=14,"Due in "&amp;(H201-TODAY())&amp;IF((H201-TODAY())=1," day"," days"),"Next payment in "&amp;(H201-TODAY())&amp;" days")))))))))</f>
        <v/>
      </c>
      <c r="K201" s="16">
        <f>IF(OR(C201="",E201=""),"",IF(COUNTIFS(Costs!$C$6:$C$305,C201,Costs!$E$6:$E$305,"&lt;&gt;")&lt;2,"",IF(M201=1,"Cheapest of "&amp;COUNTIFS(Costs!$C$6:$C$305,C201,Costs!$E$6:$E$305,"&lt;&gt;"),FIXED(E201-SUMIFS(Costs!$E$6:$E$305,Costs!$C$6:$C$305,C201,Costs!$M$6:$M$305,1)/COUNTIFS(Costs!$C$6:$C$305,C201,Costs!$M$6:$M$305,1),0)&amp;" more than the cheapest")))</f>
        <v/>
      </c>
      <c r="L201" s="33" t="n"/>
      <c r="M201" s="1">
        <f>IF(OR(C201="",E201=""),"",IF(COUNTIFS(Costs!$C$6:$C$305,C201,Costs!$E$6:$E$305,"&lt;"&amp;E201)=0,1,0))</f>
        <v/>
      </c>
      <c r="N201">
        <f>IF(AND(C201&lt;&gt;"",F201="Quote",COUNTIFS(Costs!$C$6:$C$305,C201,Costs!$F$6:$F$305,"Hired")+COUNTIFS(Costs!$C$6:$C$305,C201,Costs!$F$6:$F$305,"Bought")=0),1/COUNTIFS(Costs!$C$6:$C$305,C201,Costs!$F$6:$F$305,"Quote"),"")</f>
        <v/>
      </c>
      <c r="O201">
        <f>IF(AND(OR(F201="Hired",F201="Bought"),N(I201)&gt;0,H201&lt;&gt;""),H201+ROW()/100000,"")</f>
        <v/>
      </c>
    </row>
    <row r="202">
      <c r="A202" s="1" t="n"/>
      <c r="B202" s="33" t="n"/>
      <c r="C202" s="33" t="n"/>
      <c r="D202" s="33" t="n"/>
      <c r="E202" s="27" t="n"/>
      <c r="F202" s="34" t="n"/>
      <c r="G202" s="27" t="n"/>
      <c r="H202" s="35" t="n"/>
      <c r="I202" s="14">
        <f>IF(OR(E202="",AND(F202&lt;&gt;"Hired",F202&lt;&gt;"Bought")),"",E202-N(G202))</f>
        <v/>
      </c>
      <c r="J202" s="16">
        <f>IF(C202&amp;E202="","",IF(F202="","Choose a stage",IF(F202="Quote","",IF(E202="","Add the amount",IF(I202&lt;=0,"Paid",IF(H202="","Balance due, no date set",IF(H202&lt;TODAY(),"Overdue by "&amp;(TODAY()-H202)&amp;IF((TODAY()-H202)=1," day"," days"),IF(H202=TODAY(),"Due today",IF((H202-TODAY())&lt;=14,"Due in "&amp;(H202-TODAY())&amp;IF((H202-TODAY())=1," day"," days"),"Next payment in "&amp;(H202-TODAY())&amp;" days")))))))))</f>
        <v/>
      </c>
      <c r="K202" s="16">
        <f>IF(OR(C202="",E202=""),"",IF(COUNTIFS(Costs!$C$6:$C$305,C202,Costs!$E$6:$E$305,"&lt;&gt;")&lt;2,"",IF(M202=1,"Cheapest of "&amp;COUNTIFS(Costs!$C$6:$C$305,C202,Costs!$E$6:$E$305,"&lt;&gt;"),FIXED(E202-SUMIFS(Costs!$E$6:$E$305,Costs!$C$6:$C$305,C202,Costs!$M$6:$M$305,1)/COUNTIFS(Costs!$C$6:$C$305,C202,Costs!$M$6:$M$305,1),0)&amp;" more than the cheapest")))</f>
        <v/>
      </c>
      <c r="L202" s="33" t="n"/>
      <c r="M202" s="1">
        <f>IF(OR(C202="",E202=""),"",IF(COUNTIFS(Costs!$C$6:$C$305,C202,Costs!$E$6:$E$305,"&lt;"&amp;E202)=0,1,0))</f>
        <v/>
      </c>
      <c r="N202">
        <f>IF(AND(C202&lt;&gt;"",F202="Quote",COUNTIFS(Costs!$C$6:$C$305,C202,Costs!$F$6:$F$305,"Hired")+COUNTIFS(Costs!$C$6:$C$305,C202,Costs!$F$6:$F$305,"Bought")=0),1/COUNTIFS(Costs!$C$6:$C$305,C202,Costs!$F$6:$F$305,"Quote"),"")</f>
        <v/>
      </c>
      <c r="O202">
        <f>IF(AND(OR(F202="Hired",F202="Bought"),N(I202)&gt;0,H202&lt;&gt;""),H202+ROW()/100000,"")</f>
        <v/>
      </c>
    </row>
    <row r="203">
      <c r="A203" s="1" t="n"/>
      <c r="B203" s="33" t="n"/>
      <c r="C203" s="33" t="n"/>
      <c r="D203" s="33" t="n"/>
      <c r="E203" s="27" t="n"/>
      <c r="F203" s="34" t="n"/>
      <c r="G203" s="27" t="n"/>
      <c r="H203" s="35" t="n"/>
      <c r="I203" s="14">
        <f>IF(OR(E203="",AND(F203&lt;&gt;"Hired",F203&lt;&gt;"Bought")),"",E203-N(G203))</f>
        <v/>
      </c>
      <c r="J203" s="16">
        <f>IF(C203&amp;E203="","",IF(F203="","Choose a stage",IF(F203="Quote","",IF(E203="","Add the amount",IF(I203&lt;=0,"Paid",IF(H203="","Balance due, no date set",IF(H203&lt;TODAY(),"Overdue by "&amp;(TODAY()-H203)&amp;IF((TODAY()-H203)=1," day"," days"),IF(H203=TODAY(),"Due today",IF((H203-TODAY())&lt;=14,"Due in "&amp;(H203-TODAY())&amp;IF((H203-TODAY())=1," day"," days"),"Next payment in "&amp;(H203-TODAY())&amp;" days")))))))))</f>
        <v/>
      </c>
      <c r="K203" s="16">
        <f>IF(OR(C203="",E203=""),"",IF(COUNTIFS(Costs!$C$6:$C$305,C203,Costs!$E$6:$E$305,"&lt;&gt;")&lt;2,"",IF(M203=1,"Cheapest of "&amp;COUNTIFS(Costs!$C$6:$C$305,C203,Costs!$E$6:$E$305,"&lt;&gt;"),FIXED(E203-SUMIFS(Costs!$E$6:$E$305,Costs!$C$6:$C$305,C203,Costs!$M$6:$M$305,1)/COUNTIFS(Costs!$C$6:$C$305,C203,Costs!$M$6:$M$305,1),0)&amp;" more than the cheapest")))</f>
        <v/>
      </c>
      <c r="L203" s="33" t="n"/>
      <c r="M203" s="1">
        <f>IF(OR(C203="",E203=""),"",IF(COUNTIFS(Costs!$C$6:$C$305,C203,Costs!$E$6:$E$305,"&lt;"&amp;E203)=0,1,0))</f>
        <v/>
      </c>
      <c r="N203">
        <f>IF(AND(C203&lt;&gt;"",F203="Quote",COUNTIFS(Costs!$C$6:$C$305,C203,Costs!$F$6:$F$305,"Hired")+COUNTIFS(Costs!$C$6:$C$305,C203,Costs!$F$6:$F$305,"Bought")=0),1/COUNTIFS(Costs!$C$6:$C$305,C203,Costs!$F$6:$F$305,"Quote"),"")</f>
        <v/>
      </c>
      <c r="O203">
        <f>IF(AND(OR(F203="Hired",F203="Bought"),N(I203)&gt;0,H203&lt;&gt;""),H203+ROW()/100000,"")</f>
        <v/>
      </c>
    </row>
    <row r="204">
      <c r="A204" s="1" t="n"/>
      <c r="B204" s="33" t="n"/>
      <c r="C204" s="33" t="n"/>
      <c r="D204" s="33" t="n"/>
      <c r="E204" s="27" t="n"/>
      <c r="F204" s="34" t="n"/>
      <c r="G204" s="27" t="n"/>
      <c r="H204" s="35" t="n"/>
      <c r="I204" s="14">
        <f>IF(OR(E204="",AND(F204&lt;&gt;"Hired",F204&lt;&gt;"Bought")),"",E204-N(G204))</f>
        <v/>
      </c>
      <c r="J204" s="16">
        <f>IF(C204&amp;E204="","",IF(F204="","Choose a stage",IF(F204="Quote","",IF(E204="","Add the amount",IF(I204&lt;=0,"Paid",IF(H204="","Balance due, no date set",IF(H204&lt;TODAY(),"Overdue by "&amp;(TODAY()-H204)&amp;IF((TODAY()-H204)=1," day"," days"),IF(H204=TODAY(),"Due today",IF((H204-TODAY())&lt;=14,"Due in "&amp;(H204-TODAY())&amp;IF((H204-TODAY())=1," day"," days"),"Next payment in "&amp;(H204-TODAY())&amp;" days")))))))))</f>
        <v/>
      </c>
      <c r="K204" s="16">
        <f>IF(OR(C204="",E204=""),"",IF(COUNTIFS(Costs!$C$6:$C$305,C204,Costs!$E$6:$E$305,"&lt;&gt;")&lt;2,"",IF(M204=1,"Cheapest of "&amp;COUNTIFS(Costs!$C$6:$C$305,C204,Costs!$E$6:$E$305,"&lt;&gt;"),FIXED(E204-SUMIFS(Costs!$E$6:$E$305,Costs!$C$6:$C$305,C204,Costs!$M$6:$M$305,1)/COUNTIFS(Costs!$C$6:$C$305,C204,Costs!$M$6:$M$305,1),0)&amp;" more than the cheapest")))</f>
        <v/>
      </c>
      <c r="L204" s="33" t="n"/>
      <c r="M204" s="1">
        <f>IF(OR(C204="",E204=""),"",IF(COUNTIFS(Costs!$C$6:$C$305,C204,Costs!$E$6:$E$305,"&lt;"&amp;E204)=0,1,0))</f>
        <v/>
      </c>
      <c r="N204">
        <f>IF(AND(C204&lt;&gt;"",F204="Quote",COUNTIFS(Costs!$C$6:$C$305,C204,Costs!$F$6:$F$305,"Hired")+COUNTIFS(Costs!$C$6:$C$305,C204,Costs!$F$6:$F$305,"Bought")=0),1/COUNTIFS(Costs!$C$6:$C$305,C204,Costs!$F$6:$F$305,"Quote"),"")</f>
        <v/>
      </c>
      <c r="O204">
        <f>IF(AND(OR(F204="Hired",F204="Bought"),N(I204)&gt;0,H204&lt;&gt;""),H204+ROW()/100000,"")</f>
        <v/>
      </c>
    </row>
    <row r="205">
      <c r="A205" s="1" t="n"/>
      <c r="B205" s="33" t="n"/>
      <c r="C205" s="33" t="n"/>
      <c r="D205" s="33" t="n"/>
      <c r="E205" s="27" t="n"/>
      <c r="F205" s="34" t="n"/>
      <c r="G205" s="27" t="n"/>
      <c r="H205" s="35" t="n"/>
      <c r="I205" s="14">
        <f>IF(OR(E205="",AND(F205&lt;&gt;"Hired",F205&lt;&gt;"Bought")),"",E205-N(G205))</f>
        <v/>
      </c>
      <c r="J205" s="16">
        <f>IF(C205&amp;E205="","",IF(F205="","Choose a stage",IF(F205="Quote","",IF(E205="","Add the amount",IF(I205&lt;=0,"Paid",IF(H205="","Balance due, no date set",IF(H205&lt;TODAY(),"Overdue by "&amp;(TODAY()-H205)&amp;IF((TODAY()-H205)=1," day"," days"),IF(H205=TODAY(),"Due today",IF((H205-TODAY())&lt;=14,"Due in "&amp;(H205-TODAY())&amp;IF((H205-TODAY())=1," day"," days"),"Next payment in "&amp;(H205-TODAY())&amp;" days")))))))))</f>
        <v/>
      </c>
      <c r="K205" s="16">
        <f>IF(OR(C205="",E205=""),"",IF(COUNTIFS(Costs!$C$6:$C$305,C205,Costs!$E$6:$E$305,"&lt;&gt;")&lt;2,"",IF(M205=1,"Cheapest of "&amp;COUNTIFS(Costs!$C$6:$C$305,C205,Costs!$E$6:$E$305,"&lt;&gt;"),FIXED(E205-SUMIFS(Costs!$E$6:$E$305,Costs!$C$6:$C$305,C205,Costs!$M$6:$M$305,1)/COUNTIFS(Costs!$C$6:$C$305,C205,Costs!$M$6:$M$305,1),0)&amp;" more than the cheapest")))</f>
        <v/>
      </c>
      <c r="L205" s="33" t="n"/>
      <c r="M205" s="1">
        <f>IF(OR(C205="",E205=""),"",IF(COUNTIFS(Costs!$C$6:$C$305,C205,Costs!$E$6:$E$305,"&lt;"&amp;E205)=0,1,0))</f>
        <v/>
      </c>
      <c r="N205">
        <f>IF(AND(C205&lt;&gt;"",F205="Quote",COUNTIFS(Costs!$C$6:$C$305,C205,Costs!$F$6:$F$305,"Hired")+COUNTIFS(Costs!$C$6:$C$305,C205,Costs!$F$6:$F$305,"Bought")=0),1/COUNTIFS(Costs!$C$6:$C$305,C205,Costs!$F$6:$F$305,"Quote"),"")</f>
        <v/>
      </c>
      <c r="O205">
        <f>IF(AND(OR(F205="Hired",F205="Bought"),N(I205)&gt;0,H205&lt;&gt;""),H205+ROW()/100000,"")</f>
        <v/>
      </c>
    </row>
    <row r="206">
      <c r="A206" s="1" t="n"/>
      <c r="B206" s="33" t="n"/>
      <c r="C206" s="33" t="n"/>
      <c r="D206" s="33" t="n"/>
      <c r="E206" s="27" t="n"/>
      <c r="F206" s="34" t="n"/>
      <c r="G206" s="27" t="n"/>
      <c r="H206" s="35" t="n"/>
      <c r="I206" s="14">
        <f>IF(OR(E206="",AND(F206&lt;&gt;"Hired",F206&lt;&gt;"Bought")),"",E206-N(G206))</f>
        <v/>
      </c>
      <c r="J206" s="16">
        <f>IF(C206&amp;E206="","",IF(F206="","Choose a stage",IF(F206="Quote","",IF(E206="","Add the amount",IF(I206&lt;=0,"Paid",IF(H206="","Balance due, no date set",IF(H206&lt;TODAY(),"Overdue by "&amp;(TODAY()-H206)&amp;IF((TODAY()-H206)=1," day"," days"),IF(H206=TODAY(),"Due today",IF((H206-TODAY())&lt;=14,"Due in "&amp;(H206-TODAY())&amp;IF((H206-TODAY())=1," day"," days"),"Next payment in "&amp;(H206-TODAY())&amp;" days")))))))))</f>
        <v/>
      </c>
      <c r="K206" s="16">
        <f>IF(OR(C206="",E206=""),"",IF(COUNTIFS(Costs!$C$6:$C$305,C206,Costs!$E$6:$E$305,"&lt;&gt;")&lt;2,"",IF(M206=1,"Cheapest of "&amp;COUNTIFS(Costs!$C$6:$C$305,C206,Costs!$E$6:$E$305,"&lt;&gt;"),FIXED(E206-SUMIFS(Costs!$E$6:$E$305,Costs!$C$6:$C$305,C206,Costs!$M$6:$M$305,1)/COUNTIFS(Costs!$C$6:$C$305,C206,Costs!$M$6:$M$305,1),0)&amp;" more than the cheapest")))</f>
        <v/>
      </c>
      <c r="L206" s="33" t="n"/>
      <c r="M206" s="1">
        <f>IF(OR(C206="",E206=""),"",IF(COUNTIFS(Costs!$C$6:$C$305,C206,Costs!$E$6:$E$305,"&lt;"&amp;E206)=0,1,0))</f>
        <v/>
      </c>
      <c r="N206">
        <f>IF(AND(C206&lt;&gt;"",F206="Quote",COUNTIFS(Costs!$C$6:$C$305,C206,Costs!$F$6:$F$305,"Hired")+COUNTIFS(Costs!$C$6:$C$305,C206,Costs!$F$6:$F$305,"Bought")=0),1/COUNTIFS(Costs!$C$6:$C$305,C206,Costs!$F$6:$F$305,"Quote"),"")</f>
        <v/>
      </c>
      <c r="O206">
        <f>IF(AND(OR(F206="Hired",F206="Bought"),N(I206)&gt;0,H206&lt;&gt;""),H206+ROW()/100000,"")</f>
        <v/>
      </c>
    </row>
    <row r="207">
      <c r="A207" s="1" t="n"/>
      <c r="B207" s="33" t="n"/>
      <c r="C207" s="33" t="n"/>
      <c r="D207" s="33" t="n"/>
      <c r="E207" s="27" t="n"/>
      <c r="F207" s="34" t="n"/>
      <c r="G207" s="27" t="n"/>
      <c r="H207" s="35" t="n"/>
      <c r="I207" s="14">
        <f>IF(OR(E207="",AND(F207&lt;&gt;"Hired",F207&lt;&gt;"Bought")),"",E207-N(G207))</f>
        <v/>
      </c>
      <c r="J207" s="16">
        <f>IF(C207&amp;E207="","",IF(F207="","Choose a stage",IF(F207="Quote","",IF(E207="","Add the amount",IF(I207&lt;=0,"Paid",IF(H207="","Balance due, no date set",IF(H207&lt;TODAY(),"Overdue by "&amp;(TODAY()-H207)&amp;IF((TODAY()-H207)=1," day"," days"),IF(H207=TODAY(),"Due today",IF((H207-TODAY())&lt;=14,"Due in "&amp;(H207-TODAY())&amp;IF((H207-TODAY())=1," day"," days"),"Next payment in "&amp;(H207-TODAY())&amp;" days")))))))))</f>
        <v/>
      </c>
      <c r="K207" s="16">
        <f>IF(OR(C207="",E207=""),"",IF(COUNTIFS(Costs!$C$6:$C$305,C207,Costs!$E$6:$E$305,"&lt;&gt;")&lt;2,"",IF(M207=1,"Cheapest of "&amp;COUNTIFS(Costs!$C$6:$C$305,C207,Costs!$E$6:$E$305,"&lt;&gt;"),FIXED(E207-SUMIFS(Costs!$E$6:$E$305,Costs!$C$6:$C$305,C207,Costs!$M$6:$M$305,1)/COUNTIFS(Costs!$C$6:$C$305,C207,Costs!$M$6:$M$305,1),0)&amp;" more than the cheapest")))</f>
        <v/>
      </c>
      <c r="L207" s="33" t="n"/>
      <c r="M207" s="1">
        <f>IF(OR(C207="",E207=""),"",IF(COUNTIFS(Costs!$C$6:$C$305,C207,Costs!$E$6:$E$305,"&lt;"&amp;E207)=0,1,0))</f>
        <v/>
      </c>
      <c r="N207">
        <f>IF(AND(C207&lt;&gt;"",F207="Quote",COUNTIFS(Costs!$C$6:$C$305,C207,Costs!$F$6:$F$305,"Hired")+COUNTIFS(Costs!$C$6:$C$305,C207,Costs!$F$6:$F$305,"Bought")=0),1/COUNTIFS(Costs!$C$6:$C$305,C207,Costs!$F$6:$F$305,"Quote"),"")</f>
        <v/>
      </c>
      <c r="O207">
        <f>IF(AND(OR(F207="Hired",F207="Bought"),N(I207)&gt;0,H207&lt;&gt;""),H207+ROW()/100000,"")</f>
        <v/>
      </c>
    </row>
    <row r="208">
      <c r="A208" s="1" t="n"/>
      <c r="B208" s="33" t="n"/>
      <c r="C208" s="33" t="n"/>
      <c r="D208" s="33" t="n"/>
      <c r="E208" s="27" t="n"/>
      <c r="F208" s="34" t="n"/>
      <c r="G208" s="27" t="n"/>
      <c r="H208" s="35" t="n"/>
      <c r="I208" s="14">
        <f>IF(OR(E208="",AND(F208&lt;&gt;"Hired",F208&lt;&gt;"Bought")),"",E208-N(G208))</f>
        <v/>
      </c>
      <c r="J208" s="16">
        <f>IF(C208&amp;E208="","",IF(F208="","Choose a stage",IF(F208="Quote","",IF(E208="","Add the amount",IF(I208&lt;=0,"Paid",IF(H208="","Balance due, no date set",IF(H208&lt;TODAY(),"Overdue by "&amp;(TODAY()-H208)&amp;IF((TODAY()-H208)=1," day"," days"),IF(H208=TODAY(),"Due today",IF((H208-TODAY())&lt;=14,"Due in "&amp;(H208-TODAY())&amp;IF((H208-TODAY())=1," day"," days"),"Next payment in "&amp;(H208-TODAY())&amp;" days")))))))))</f>
        <v/>
      </c>
      <c r="K208" s="16">
        <f>IF(OR(C208="",E208=""),"",IF(COUNTIFS(Costs!$C$6:$C$305,C208,Costs!$E$6:$E$305,"&lt;&gt;")&lt;2,"",IF(M208=1,"Cheapest of "&amp;COUNTIFS(Costs!$C$6:$C$305,C208,Costs!$E$6:$E$305,"&lt;&gt;"),FIXED(E208-SUMIFS(Costs!$E$6:$E$305,Costs!$C$6:$C$305,C208,Costs!$M$6:$M$305,1)/COUNTIFS(Costs!$C$6:$C$305,C208,Costs!$M$6:$M$305,1),0)&amp;" more than the cheapest")))</f>
        <v/>
      </c>
      <c r="L208" s="33" t="n"/>
      <c r="M208" s="1">
        <f>IF(OR(C208="",E208=""),"",IF(COUNTIFS(Costs!$C$6:$C$305,C208,Costs!$E$6:$E$305,"&lt;"&amp;E208)=0,1,0))</f>
        <v/>
      </c>
      <c r="N208">
        <f>IF(AND(C208&lt;&gt;"",F208="Quote",COUNTIFS(Costs!$C$6:$C$305,C208,Costs!$F$6:$F$305,"Hired")+COUNTIFS(Costs!$C$6:$C$305,C208,Costs!$F$6:$F$305,"Bought")=0),1/COUNTIFS(Costs!$C$6:$C$305,C208,Costs!$F$6:$F$305,"Quote"),"")</f>
        <v/>
      </c>
      <c r="O208">
        <f>IF(AND(OR(F208="Hired",F208="Bought"),N(I208)&gt;0,H208&lt;&gt;""),H208+ROW()/100000,"")</f>
        <v/>
      </c>
    </row>
    <row r="209">
      <c r="A209" s="1" t="n"/>
      <c r="B209" s="33" t="n"/>
      <c r="C209" s="33" t="n"/>
      <c r="D209" s="33" t="n"/>
      <c r="E209" s="27" t="n"/>
      <c r="F209" s="34" t="n"/>
      <c r="G209" s="27" t="n"/>
      <c r="H209" s="35" t="n"/>
      <c r="I209" s="14">
        <f>IF(OR(E209="",AND(F209&lt;&gt;"Hired",F209&lt;&gt;"Bought")),"",E209-N(G209))</f>
        <v/>
      </c>
      <c r="J209" s="16">
        <f>IF(C209&amp;E209="","",IF(F209="","Choose a stage",IF(F209="Quote","",IF(E209="","Add the amount",IF(I209&lt;=0,"Paid",IF(H209="","Balance due, no date set",IF(H209&lt;TODAY(),"Overdue by "&amp;(TODAY()-H209)&amp;IF((TODAY()-H209)=1," day"," days"),IF(H209=TODAY(),"Due today",IF((H209-TODAY())&lt;=14,"Due in "&amp;(H209-TODAY())&amp;IF((H209-TODAY())=1," day"," days"),"Next payment in "&amp;(H209-TODAY())&amp;" days")))))))))</f>
        <v/>
      </c>
      <c r="K209" s="16">
        <f>IF(OR(C209="",E209=""),"",IF(COUNTIFS(Costs!$C$6:$C$305,C209,Costs!$E$6:$E$305,"&lt;&gt;")&lt;2,"",IF(M209=1,"Cheapest of "&amp;COUNTIFS(Costs!$C$6:$C$305,C209,Costs!$E$6:$E$305,"&lt;&gt;"),FIXED(E209-SUMIFS(Costs!$E$6:$E$305,Costs!$C$6:$C$305,C209,Costs!$M$6:$M$305,1)/COUNTIFS(Costs!$C$6:$C$305,C209,Costs!$M$6:$M$305,1),0)&amp;" more than the cheapest")))</f>
        <v/>
      </c>
      <c r="L209" s="33" t="n"/>
      <c r="M209" s="1">
        <f>IF(OR(C209="",E209=""),"",IF(COUNTIFS(Costs!$C$6:$C$305,C209,Costs!$E$6:$E$305,"&lt;"&amp;E209)=0,1,0))</f>
        <v/>
      </c>
      <c r="N209">
        <f>IF(AND(C209&lt;&gt;"",F209="Quote",COUNTIFS(Costs!$C$6:$C$305,C209,Costs!$F$6:$F$305,"Hired")+COUNTIFS(Costs!$C$6:$C$305,C209,Costs!$F$6:$F$305,"Bought")=0),1/COUNTIFS(Costs!$C$6:$C$305,C209,Costs!$F$6:$F$305,"Quote"),"")</f>
        <v/>
      </c>
      <c r="O209">
        <f>IF(AND(OR(F209="Hired",F209="Bought"),N(I209)&gt;0,H209&lt;&gt;""),H209+ROW()/100000,"")</f>
        <v/>
      </c>
    </row>
    <row r="210">
      <c r="A210" s="1" t="n"/>
      <c r="B210" s="33" t="n"/>
      <c r="C210" s="33" t="n"/>
      <c r="D210" s="33" t="n"/>
      <c r="E210" s="27" t="n"/>
      <c r="F210" s="34" t="n"/>
      <c r="G210" s="27" t="n"/>
      <c r="H210" s="35" t="n"/>
      <c r="I210" s="14">
        <f>IF(OR(E210="",AND(F210&lt;&gt;"Hired",F210&lt;&gt;"Bought")),"",E210-N(G210))</f>
        <v/>
      </c>
      <c r="J210" s="16">
        <f>IF(C210&amp;E210="","",IF(F210="","Choose a stage",IF(F210="Quote","",IF(E210="","Add the amount",IF(I210&lt;=0,"Paid",IF(H210="","Balance due, no date set",IF(H210&lt;TODAY(),"Overdue by "&amp;(TODAY()-H210)&amp;IF((TODAY()-H210)=1," day"," days"),IF(H210=TODAY(),"Due today",IF((H210-TODAY())&lt;=14,"Due in "&amp;(H210-TODAY())&amp;IF((H210-TODAY())=1," day"," days"),"Next payment in "&amp;(H210-TODAY())&amp;" days")))))))))</f>
        <v/>
      </c>
      <c r="K210" s="16">
        <f>IF(OR(C210="",E210=""),"",IF(COUNTIFS(Costs!$C$6:$C$305,C210,Costs!$E$6:$E$305,"&lt;&gt;")&lt;2,"",IF(M210=1,"Cheapest of "&amp;COUNTIFS(Costs!$C$6:$C$305,C210,Costs!$E$6:$E$305,"&lt;&gt;"),FIXED(E210-SUMIFS(Costs!$E$6:$E$305,Costs!$C$6:$C$305,C210,Costs!$M$6:$M$305,1)/COUNTIFS(Costs!$C$6:$C$305,C210,Costs!$M$6:$M$305,1),0)&amp;" more than the cheapest")))</f>
        <v/>
      </c>
      <c r="L210" s="33" t="n"/>
      <c r="M210" s="1">
        <f>IF(OR(C210="",E210=""),"",IF(COUNTIFS(Costs!$C$6:$C$305,C210,Costs!$E$6:$E$305,"&lt;"&amp;E210)=0,1,0))</f>
        <v/>
      </c>
      <c r="N210">
        <f>IF(AND(C210&lt;&gt;"",F210="Quote",COUNTIFS(Costs!$C$6:$C$305,C210,Costs!$F$6:$F$305,"Hired")+COUNTIFS(Costs!$C$6:$C$305,C210,Costs!$F$6:$F$305,"Bought")=0),1/COUNTIFS(Costs!$C$6:$C$305,C210,Costs!$F$6:$F$305,"Quote"),"")</f>
        <v/>
      </c>
      <c r="O210">
        <f>IF(AND(OR(F210="Hired",F210="Bought"),N(I210)&gt;0,H210&lt;&gt;""),H210+ROW()/100000,"")</f>
        <v/>
      </c>
    </row>
    <row r="211">
      <c r="A211" s="1" t="n"/>
      <c r="B211" s="33" t="n"/>
      <c r="C211" s="33" t="n"/>
      <c r="D211" s="33" t="n"/>
      <c r="E211" s="27" t="n"/>
      <c r="F211" s="34" t="n"/>
      <c r="G211" s="27" t="n"/>
      <c r="H211" s="35" t="n"/>
      <c r="I211" s="14">
        <f>IF(OR(E211="",AND(F211&lt;&gt;"Hired",F211&lt;&gt;"Bought")),"",E211-N(G211))</f>
        <v/>
      </c>
      <c r="J211" s="16">
        <f>IF(C211&amp;E211="","",IF(F211="","Choose a stage",IF(F211="Quote","",IF(E211="","Add the amount",IF(I211&lt;=0,"Paid",IF(H211="","Balance due, no date set",IF(H211&lt;TODAY(),"Overdue by "&amp;(TODAY()-H211)&amp;IF((TODAY()-H211)=1," day"," days"),IF(H211=TODAY(),"Due today",IF((H211-TODAY())&lt;=14,"Due in "&amp;(H211-TODAY())&amp;IF((H211-TODAY())=1," day"," days"),"Next payment in "&amp;(H211-TODAY())&amp;" days")))))))))</f>
        <v/>
      </c>
      <c r="K211" s="16">
        <f>IF(OR(C211="",E211=""),"",IF(COUNTIFS(Costs!$C$6:$C$305,C211,Costs!$E$6:$E$305,"&lt;&gt;")&lt;2,"",IF(M211=1,"Cheapest of "&amp;COUNTIFS(Costs!$C$6:$C$305,C211,Costs!$E$6:$E$305,"&lt;&gt;"),FIXED(E211-SUMIFS(Costs!$E$6:$E$305,Costs!$C$6:$C$305,C211,Costs!$M$6:$M$305,1)/COUNTIFS(Costs!$C$6:$C$305,C211,Costs!$M$6:$M$305,1),0)&amp;" more than the cheapest")))</f>
        <v/>
      </c>
      <c r="L211" s="33" t="n"/>
      <c r="M211" s="1">
        <f>IF(OR(C211="",E211=""),"",IF(COUNTIFS(Costs!$C$6:$C$305,C211,Costs!$E$6:$E$305,"&lt;"&amp;E211)=0,1,0))</f>
        <v/>
      </c>
      <c r="N211">
        <f>IF(AND(C211&lt;&gt;"",F211="Quote",COUNTIFS(Costs!$C$6:$C$305,C211,Costs!$F$6:$F$305,"Hired")+COUNTIFS(Costs!$C$6:$C$305,C211,Costs!$F$6:$F$305,"Bought")=0),1/COUNTIFS(Costs!$C$6:$C$305,C211,Costs!$F$6:$F$305,"Quote"),"")</f>
        <v/>
      </c>
      <c r="O211">
        <f>IF(AND(OR(F211="Hired",F211="Bought"),N(I211)&gt;0,H211&lt;&gt;""),H211+ROW()/100000,"")</f>
        <v/>
      </c>
    </row>
    <row r="212">
      <c r="A212" s="1" t="n"/>
      <c r="B212" s="33" t="n"/>
      <c r="C212" s="33" t="n"/>
      <c r="D212" s="33" t="n"/>
      <c r="E212" s="27" t="n"/>
      <c r="F212" s="34" t="n"/>
      <c r="G212" s="27" t="n"/>
      <c r="H212" s="35" t="n"/>
      <c r="I212" s="14">
        <f>IF(OR(E212="",AND(F212&lt;&gt;"Hired",F212&lt;&gt;"Bought")),"",E212-N(G212))</f>
        <v/>
      </c>
      <c r="J212" s="16">
        <f>IF(C212&amp;E212="","",IF(F212="","Choose a stage",IF(F212="Quote","",IF(E212="","Add the amount",IF(I212&lt;=0,"Paid",IF(H212="","Balance due, no date set",IF(H212&lt;TODAY(),"Overdue by "&amp;(TODAY()-H212)&amp;IF((TODAY()-H212)=1," day"," days"),IF(H212=TODAY(),"Due today",IF((H212-TODAY())&lt;=14,"Due in "&amp;(H212-TODAY())&amp;IF((H212-TODAY())=1," day"," days"),"Next payment in "&amp;(H212-TODAY())&amp;" days")))))))))</f>
        <v/>
      </c>
      <c r="K212" s="16">
        <f>IF(OR(C212="",E212=""),"",IF(COUNTIFS(Costs!$C$6:$C$305,C212,Costs!$E$6:$E$305,"&lt;&gt;")&lt;2,"",IF(M212=1,"Cheapest of "&amp;COUNTIFS(Costs!$C$6:$C$305,C212,Costs!$E$6:$E$305,"&lt;&gt;"),FIXED(E212-SUMIFS(Costs!$E$6:$E$305,Costs!$C$6:$C$305,C212,Costs!$M$6:$M$305,1)/COUNTIFS(Costs!$C$6:$C$305,C212,Costs!$M$6:$M$305,1),0)&amp;" more than the cheapest")))</f>
        <v/>
      </c>
      <c r="L212" s="33" t="n"/>
      <c r="M212" s="1">
        <f>IF(OR(C212="",E212=""),"",IF(COUNTIFS(Costs!$C$6:$C$305,C212,Costs!$E$6:$E$305,"&lt;"&amp;E212)=0,1,0))</f>
        <v/>
      </c>
      <c r="N212">
        <f>IF(AND(C212&lt;&gt;"",F212="Quote",COUNTIFS(Costs!$C$6:$C$305,C212,Costs!$F$6:$F$305,"Hired")+COUNTIFS(Costs!$C$6:$C$305,C212,Costs!$F$6:$F$305,"Bought")=0),1/COUNTIFS(Costs!$C$6:$C$305,C212,Costs!$F$6:$F$305,"Quote"),"")</f>
        <v/>
      </c>
      <c r="O212">
        <f>IF(AND(OR(F212="Hired",F212="Bought"),N(I212)&gt;0,H212&lt;&gt;""),H212+ROW()/100000,"")</f>
        <v/>
      </c>
    </row>
    <row r="213">
      <c r="A213" s="1" t="n"/>
      <c r="B213" s="33" t="n"/>
      <c r="C213" s="33" t="n"/>
      <c r="D213" s="33" t="n"/>
      <c r="E213" s="27" t="n"/>
      <c r="F213" s="34" t="n"/>
      <c r="G213" s="27" t="n"/>
      <c r="H213" s="35" t="n"/>
      <c r="I213" s="14">
        <f>IF(OR(E213="",AND(F213&lt;&gt;"Hired",F213&lt;&gt;"Bought")),"",E213-N(G213))</f>
        <v/>
      </c>
      <c r="J213" s="16">
        <f>IF(C213&amp;E213="","",IF(F213="","Choose a stage",IF(F213="Quote","",IF(E213="","Add the amount",IF(I213&lt;=0,"Paid",IF(H213="","Balance due, no date set",IF(H213&lt;TODAY(),"Overdue by "&amp;(TODAY()-H213)&amp;IF((TODAY()-H213)=1," day"," days"),IF(H213=TODAY(),"Due today",IF((H213-TODAY())&lt;=14,"Due in "&amp;(H213-TODAY())&amp;IF((H213-TODAY())=1," day"," days"),"Next payment in "&amp;(H213-TODAY())&amp;" days")))))))))</f>
        <v/>
      </c>
      <c r="K213" s="16">
        <f>IF(OR(C213="",E213=""),"",IF(COUNTIFS(Costs!$C$6:$C$305,C213,Costs!$E$6:$E$305,"&lt;&gt;")&lt;2,"",IF(M213=1,"Cheapest of "&amp;COUNTIFS(Costs!$C$6:$C$305,C213,Costs!$E$6:$E$305,"&lt;&gt;"),FIXED(E213-SUMIFS(Costs!$E$6:$E$305,Costs!$C$6:$C$305,C213,Costs!$M$6:$M$305,1)/COUNTIFS(Costs!$C$6:$C$305,C213,Costs!$M$6:$M$305,1),0)&amp;" more than the cheapest")))</f>
        <v/>
      </c>
      <c r="L213" s="33" t="n"/>
      <c r="M213" s="1">
        <f>IF(OR(C213="",E213=""),"",IF(COUNTIFS(Costs!$C$6:$C$305,C213,Costs!$E$6:$E$305,"&lt;"&amp;E213)=0,1,0))</f>
        <v/>
      </c>
      <c r="N213">
        <f>IF(AND(C213&lt;&gt;"",F213="Quote",COUNTIFS(Costs!$C$6:$C$305,C213,Costs!$F$6:$F$305,"Hired")+COUNTIFS(Costs!$C$6:$C$305,C213,Costs!$F$6:$F$305,"Bought")=0),1/COUNTIFS(Costs!$C$6:$C$305,C213,Costs!$F$6:$F$305,"Quote"),"")</f>
        <v/>
      </c>
      <c r="O213">
        <f>IF(AND(OR(F213="Hired",F213="Bought"),N(I213)&gt;0,H213&lt;&gt;""),H213+ROW()/100000,"")</f>
        <v/>
      </c>
    </row>
    <row r="214">
      <c r="A214" s="1" t="n"/>
      <c r="B214" s="33" t="n"/>
      <c r="C214" s="33" t="n"/>
      <c r="D214" s="33" t="n"/>
      <c r="E214" s="27" t="n"/>
      <c r="F214" s="34" t="n"/>
      <c r="G214" s="27" t="n"/>
      <c r="H214" s="35" t="n"/>
      <c r="I214" s="14">
        <f>IF(OR(E214="",AND(F214&lt;&gt;"Hired",F214&lt;&gt;"Bought")),"",E214-N(G214))</f>
        <v/>
      </c>
      <c r="J214" s="16">
        <f>IF(C214&amp;E214="","",IF(F214="","Choose a stage",IF(F214="Quote","",IF(E214="","Add the amount",IF(I214&lt;=0,"Paid",IF(H214="","Balance due, no date set",IF(H214&lt;TODAY(),"Overdue by "&amp;(TODAY()-H214)&amp;IF((TODAY()-H214)=1," day"," days"),IF(H214=TODAY(),"Due today",IF((H214-TODAY())&lt;=14,"Due in "&amp;(H214-TODAY())&amp;IF((H214-TODAY())=1," day"," days"),"Next payment in "&amp;(H214-TODAY())&amp;" days")))))))))</f>
        <v/>
      </c>
      <c r="K214" s="16">
        <f>IF(OR(C214="",E214=""),"",IF(COUNTIFS(Costs!$C$6:$C$305,C214,Costs!$E$6:$E$305,"&lt;&gt;")&lt;2,"",IF(M214=1,"Cheapest of "&amp;COUNTIFS(Costs!$C$6:$C$305,C214,Costs!$E$6:$E$305,"&lt;&gt;"),FIXED(E214-SUMIFS(Costs!$E$6:$E$305,Costs!$C$6:$C$305,C214,Costs!$M$6:$M$305,1)/COUNTIFS(Costs!$C$6:$C$305,C214,Costs!$M$6:$M$305,1),0)&amp;" more than the cheapest")))</f>
        <v/>
      </c>
      <c r="L214" s="33" t="n"/>
      <c r="M214" s="1">
        <f>IF(OR(C214="",E214=""),"",IF(COUNTIFS(Costs!$C$6:$C$305,C214,Costs!$E$6:$E$305,"&lt;"&amp;E214)=0,1,0))</f>
        <v/>
      </c>
      <c r="N214">
        <f>IF(AND(C214&lt;&gt;"",F214="Quote",COUNTIFS(Costs!$C$6:$C$305,C214,Costs!$F$6:$F$305,"Hired")+COUNTIFS(Costs!$C$6:$C$305,C214,Costs!$F$6:$F$305,"Bought")=0),1/COUNTIFS(Costs!$C$6:$C$305,C214,Costs!$F$6:$F$305,"Quote"),"")</f>
        <v/>
      </c>
      <c r="O214">
        <f>IF(AND(OR(F214="Hired",F214="Bought"),N(I214)&gt;0,H214&lt;&gt;""),H214+ROW()/100000,"")</f>
        <v/>
      </c>
    </row>
    <row r="215">
      <c r="A215" s="1" t="n"/>
      <c r="B215" s="33" t="n"/>
      <c r="C215" s="33" t="n"/>
      <c r="D215" s="33" t="n"/>
      <c r="E215" s="27" t="n"/>
      <c r="F215" s="34" t="n"/>
      <c r="G215" s="27" t="n"/>
      <c r="H215" s="35" t="n"/>
      <c r="I215" s="14">
        <f>IF(OR(E215="",AND(F215&lt;&gt;"Hired",F215&lt;&gt;"Bought")),"",E215-N(G215))</f>
        <v/>
      </c>
      <c r="J215" s="16">
        <f>IF(C215&amp;E215="","",IF(F215="","Choose a stage",IF(F215="Quote","",IF(E215="","Add the amount",IF(I215&lt;=0,"Paid",IF(H215="","Balance due, no date set",IF(H215&lt;TODAY(),"Overdue by "&amp;(TODAY()-H215)&amp;IF((TODAY()-H215)=1," day"," days"),IF(H215=TODAY(),"Due today",IF((H215-TODAY())&lt;=14,"Due in "&amp;(H215-TODAY())&amp;IF((H215-TODAY())=1," day"," days"),"Next payment in "&amp;(H215-TODAY())&amp;" days")))))))))</f>
        <v/>
      </c>
      <c r="K215" s="16">
        <f>IF(OR(C215="",E215=""),"",IF(COUNTIFS(Costs!$C$6:$C$305,C215,Costs!$E$6:$E$305,"&lt;&gt;")&lt;2,"",IF(M215=1,"Cheapest of "&amp;COUNTIFS(Costs!$C$6:$C$305,C215,Costs!$E$6:$E$305,"&lt;&gt;"),FIXED(E215-SUMIFS(Costs!$E$6:$E$305,Costs!$C$6:$C$305,C215,Costs!$M$6:$M$305,1)/COUNTIFS(Costs!$C$6:$C$305,C215,Costs!$M$6:$M$305,1),0)&amp;" more than the cheapest")))</f>
        <v/>
      </c>
      <c r="L215" s="33" t="n"/>
      <c r="M215" s="1">
        <f>IF(OR(C215="",E215=""),"",IF(COUNTIFS(Costs!$C$6:$C$305,C215,Costs!$E$6:$E$305,"&lt;"&amp;E215)=0,1,0))</f>
        <v/>
      </c>
      <c r="N215">
        <f>IF(AND(C215&lt;&gt;"",F215="Quote",COUNTIFS(Costs!$C$6:$C$305,C215,Costs!$F$6:$F$305,"Hired")+COUNTIFS(Costs!$C$6:$C$305,C215,Costs!$F$6:$F$305,"Bought")=0),1/COUNTIFS(Costs!$C$6:$C$305,C215,Costs!$F$6:$F$305,"Quote"),"")</f>
        <v/>
      </c>
      <c r="O215">
        <f>IF(AND(OR(F215="Hired",F215="Bought"),N(I215)&gt;0,H215&lt;&gt;""),H215+ROW()/100000,"")</f>
        <v/>
      </c>
    </row>
    <row r="216">
      <c r="A216" s="1" t="n"/>
      <c r="B216" s="33" t="n"/>
      <c r="C216" s="33" t="n"/>
      <c r="D216" s="33" t="n"/>
      <c r="E216" s="27" t="n"/>
      <c r="F216" s="34" t="n"/>
      <c r="G216" s="27" t="n"/>
      <c r="H216" s="35" t="n"/>
      <c r="I216" s="14">
        <f>IF(OR(E216="",AND(F216&lt;&gt;"Hired",F216&lt;&gt;"Bought")),"",E216-N(G216))</f>
        <v/>
      </c>
      <c r="J216" s="16">
        <f>IF(C216&amp;E216="","",IF(F216="","Choose a stage",IF(F216="Quote","",IF(E216="","Add the amount",IF(I216&lt;=0,"Paid",IF(H216="","Balance due, no date set",IF(H216&lt;TODAY(),"Overdue by "&amp;(TODAY()-H216)&amp;IF((TODAY()-H216)=1," day"," days"),IF(H216=TODAY(),"Due today",IF((H216-TODAY())&lt;=14,"Due in "&amp;(H216-TODAY())&amp;IF((H216-TODAY())=1," day"," days"),"Next payment in "&amp;(H216-TODAY())&amp;" days")))))))))</f>
        <v/>
      </c>
      <c r="K216" s="16">
        <f>IF(OR(C216="",E216=""),"",IF(COUNTIFS(Costs!$C$6:$C$305,C216,Costs!$E$6:$E$305,"&lt;&gt;")&lt;2,"",IF(M216=1,"Cheapest of "&amp;COUNTIFS(Costs!$C$6:$C$305,C216,Costs!$E$6:$E$305,"&lt;&gt;"),FIXED(E216-SUMIFS(Costs!$E$6:$E$305,Costs!$C$6:$C$305,C216,Costs!$M$6:$M$305,1)/COUNTIFS(Costs!$C$6:$C$305,C216,Costs!$M$6:$M$305,1),0)&amp;" more than the cheapest")))</f>
        <v/>
      </c>
      <c r="L216" s="33" t="n"/>
      <c r="M216" s="1">
        <f>IF(OR(C216="",E216=""),"",IF(COUNTIFS(Costs!$C$6:$C$305,C216,Costs!$E$6:$E$305,"&lt;"&amp;E216)=0,1,0))</f>
        <v/>
      </c>
      <c r="N216">
        <f>IF(AND(C216&lt;&gt;"",F216="Quote",COUNTIFS(Costs!$C$6:$C$305,C216,Costs!$F$6:$F$305,"Hired")+COUNTIFS(Costs!$C$6:$C$305,C216,Costs!$F$6:$F$305,"Bought")=0),1/COUNTIFS(Costs!$C$6:$C$305,C216,Costs!$F$6:$F$305,"Quote"),"")</f>
        <v/>
      </c>
      <c r="O216">
        <f>IF(AND(OR(F216="Hired",F216="Bought"),N(I216)&gt;0,H216&lt;&gt;""),H216+ROW()/100000,"")</f>
        <v/>
      </c>
    </row>
    <row r="217">
      <c r="A217" s="1" t="n"/>
      <c r="B217" s="33" t="n"/>
      <c r="C217" s="33" t="n"/>
      <c r="D217" s="33" t="n"/>
      <c r="E217" s="27" t="n"/>
      <c r="F217" s="34" t="n"/>
      <c r="G217" s="27" t="n"/>
      <c r="H217" s="35" t="n"/>
      <c r="I217" s="14">
        <f>IF(OR(E217="",AND(F217&lt;&gt;"Hired",F217&lt;&gt;"Bought")),"",E217-N(G217))</f>
        <v/>
      </c>
      <c r="J217" s="16">
        <f>IF(C217&amp;E217="","",IF(F217="","Choose a stage",IF(F217="Quote","",IF(E217="","Add the amount",IF(I217&lt;=0,"Paid",IF(H217="","Balance due, no date set",IF(H217&lt;TODAY(),"Overdue by "&amp;(TODAY()-H217)&amp;IF((TODAY()-H217)=1," day"," days"),IF(H217=TODAY(),"Due today",IF((H217-TODAY())&lt;=14,"Due in "&amp;(H217-TODAY())&amp;IF((H217-TODAY())=1," day"," days"),"Next payment in "&amp;(H217-TODAY())&amp;" days")))))))))</f>
        <v/>
      </c>
      <c r="K217" s="16">
        <f>IF(OR(C217="",E217=""),"",IF(COUNTIFS(Costs!$C$6:$C$305,C217,Costs!$E$6:$E$305,"&lt;&gt;")&lt;2,"",IF(M217=1,"Cheapest of "&amp;COUNTIFS(Costs!$C$6:$C$305,C217,Costs!$E$6:$E$305,"&lt;&gt;"),FIXED(E217-SUMIFS(Costs!$E$6:$E$305,Costs!$C$6:$C$305,C217,Costs!$M$6:$M$305,1)/COUNTIFS(Costs!$C$6:$C$305,C217,Costs!$M$6:$M$305,1),0)&amp;" more than the cheapest")))</f>
        <v/>
      </c>
      <c r="L217" s="33" t="n"/>
      <c r="M217" s="1">
        <f>IF(OR(C217="",E217=""),"",IF(COUNTIFS(Costs!$C$6:$C$305,C217,Costs!$E$6:$E$305,"&lt;"&amp;E217)=0,1,0))</f>
        <v/>
      </c>
      <c r="N217">
        <f>IF(AND(C217&lt;&gt;"",F217="Quote",COUNTIFS(Costs!$C$6:$C$305,C217,Costs!$F$6:$F$305,"Hired")+COUNTIFS(Costs!$C$6:$C$305,C217,Costs!$F$6:$F$305,"Bought")=0),1/COUNTIFS(Costs!$C$6:$C$305,C217,Costs!$F$6:$F$305,"Quote"),"")</f>
        <v/>
      </c>
      <c r="O217">
        <f>IF(AND(OR(F217="Hired",F217="Bought"),N(I217)&gt;0,H217&lt;&gt;""),H217+ROW()/100000,"")</f>
        <v/>
      </c>
    </row>
    <row r="218">
      <c r="A218" s="1" t="n"/>
      <c r="B218" s="33" t="n"/>
      <c r="C218" s="33" t="n"/>
      <c r="D218" s="33" t="n"/>
      <c r="E218" s="27" t="n"/>
      <c r="F218" s="34" t="n"/>
      <c r="G218" s="27" t="n"/>
      <c r="H218" s="35" t="n"/>
      <c r="I218" s="14">
        <f>IF(OR(E218="",AND(F218&lt;&gt;"Hired",F218&lt;&gt;"Bought")),"",E218-N(G218))</f>
        <v/>
      </c>
      <c r="J218" s="16">
        <f>IF(C218&amp;E218="","",IF(F218="","Choose a stage",IF(F218="Quote","",IF(E218="","Add the amount",IF(I218&lt;=0,"Paid",IF(H218="","Balance due, no date set",IF(H218&lt;TODAY(),"Overdue by "&amp;(TODAY()-H218)&amp;IF((TODAY()-H218)=1," day"," days"),IF(H218=TODAY(),"Due today",IF((H218-TODAY())&lt;=14,"Due in "&amp;(H218-TODAY())&amp;IF((H218-TODAY())=1," day"," days"),"Next payment in "&amp;(H218-TODAY())&amp;" days")))))))))</f>
        <v/>
      </c>
      <c r="K218" s="16">
        <f>IF(OR(C218="",E218=""),"",IF(COUNTIFS(Costs!$C$6:$C$305,C218,Costs!$E$6:$E$305,"&lt;&gt;")&lt;2,"",IF(M218=1,"Cheapest of "&amp;COUNTIFS(Costs!$C$6:$C$305,C218,Costs!$E$6:$E$305,"&lt;&gt;"),FIXED(E218-SUMIFS(Costs!$E$6:$E$305,Costs!$C$6:$C$305,C218,Costs!$M$6:$M$305,1)/COUNTIFS(Costs!$C$6:$C$305,C218,Costs!$M$6:$M$305,1),0)&amp;" more than the cheapest")))</f>
        <v/>
      </c>
      <c r="L218" s="33" t="n"/>
      <c r="M218" s="1">
        <f>IF(OR(C218="",E218=""),"",IF(COUNTIFS(Costs!$C$6:$C$305,C218,Costs!$E$6:$E$305,"&lt;"&amp;E218)=0,1,0))</f>
        <v/>
      </c>
      <c r="N218">
        <f>IF(AND(C218&lt;&gt;"",F218="Quote",COUNTIFS(Costs!$C$6:$C$305,C218,Costs!$F$6:$F$305,"Hired")+COUNTIFS(Costs!$C$6:$C$305,C218,Costs!$F$6:$F$305,"Bought")=0),1/COUNTIFS(Costs!$C$6:$C$305,C218,Costs!$F$6:$F$305,"Quote"),"")</f>
        <v/>
      </c>
      <c r="O218">
        <f>IF(AND(OR(F218="Hired",F218="Bought"),N(I218)&gt;0,H218&lt;&gt;""),H218+ROW()/100000,"")</f>
        <v/>
      </c>
    </row>
    <row r="219">
      <c r="A219" s="1" t="n"/>
      <c r="B219" s="33" t="n"/>
      <c r="C219" s="33" t="n"/>
      <c r="D219" s="33" t="n"/>
      <c r="E219" s="27" t="n"/>
      <c r="F219" s="34" t="n"/>
      <c r="G219" s="27" t="n"/>
      <c r="H219" s="35" t="n"/>
      <c r="I219" s="14">
        <f>IF(OR(E219="",AND(F219&lt;&gt;"Hired",F219&lt;&gt;"Bought")),"",E219-N(G219))</f>
        <v/>
      </c>
      <c r="J219" s="16">
        <f>IF(C219&amp;E219="","",IF(F219="","Choose a stage",IF(F219="Quote","",IF(E219="","Add the amount",IF(I219&lt;=0,"Paid",IF(H219="","Balance due, no date set",IF(H219&lt;TODAY(),"Overdue by "&amp;(TODAY()-H219)&amp;IF((TODAY()-H219)=1," day"," days"),IF(H219=TODAY(),"Due today",IF((H219-TODAY())&lt;=14,"Due in "&amp;(H219-TODAY())&amp;IF((H219-TODAY())=1," day"," days"),"Next payment in "&amp;(H219-TODAY())&amp;" days")))))))))</f>
        <v/>
      </c>
      <c r="K219" s="16">
        <f>IF(OR(C219="",E219=""),"",IF(COUNTIFS(Costs!$C$6:$C$305,C219,Costs!$E$6:$E$305,"&lt;&gt;")&lt;2,"",IF(M219=1,"Cheapest of "&amp;COUNTIFS(Costs!$C$6:$C$305,C219,Costs!$E$6:$E$305,"&lt;&gt;"),FIXED(E219-SUMIFS(Costs!$E$6:$E$305,Costs!$C$6:$C$305,C219,Costs!$M$6:$M$305,1)/COUNTIFS(Costs!$C$6:$C$305,C219,Costs!$M$6:$M$305,1),0)&amp;" more than the cheapest")))</f>
        <v/>
      </c>
      <c r="L219" s="33" t="n"/>
      <c r="M219" s="1">
        <f>IF(OR(C219="",E219=""),"",IF(COUNTIFS(Costs!$C$6:$C$305,C219,Costs!$E$6:$E$305,"&lt;"&amp;E219)=0,1,0))</f>
        <v/>
      </c>
      <c r="N219">
        <f>IF(AND(C219&lt;&gt;"",F219="Quote",COUNTIFS(Costs!$C$6:$C$305,C219,Costs!$F$6:$F$305,"Hired")+COUNTIFS(Costs!$C$6:$C$305,C219,Costs!$F$6:$F$305,"Bought")=0),1/COUNTIFS(Costs!$C$6:$C$305,C219,Costs!$F$6:$F$305,"Quote"),"")</f>
        <v/>
      </c>
      <c r="O219">
        <f>IF(AND(OR(F219="Hired",F219="Bought"),N(I219)&gt;0,H219&lt;&gt;""),H219+ROW()/100000,"")</f>
        <v/>
      </c>
    </row>
    <row r="220">
      <c r="A220" s="1" t="n"/>
      <c r="B220" s="33" t="n"/>
      <c r="C220" s="33" t="n"/>
      <c r="D220" s="33" t="n"/>
      <c r="E220" s="27" t="n"/>
      <c r="F220" s="34" t="n"/>
      <c r="G220" s="27" t="n"/>
      <c r="H220" s="35" t="n"/>
      <c r="I220" s="14">
        <f>IF(OR(E220="",AND(F220&lt;&gt;"Hired",F220&lt;&gt;"Bought")),"",E220-N(G220))</f>
        <v/>
      </c>
      <c r="J220" s="16">
        <f>IF(C220&amp;E220="","",IF(F220="","Choose a stage",IF(F220="Quote","",IF(E220="","Add the amount",IF(I220&lt;=0,"Paid",IF(H220="","Balance due, no date set",IF(H220&lt;TODAY(),"Overdue by "&amp;(TODAY()-H220)&amp;IF((TODAY()-H220)=1," day"," days"),IF(H220=TODAY(),"Due today",IF((H220-TODAY())&lt;=14,"Due in "&amp;(H220-TODAY())&amp;IF((H220-TODAY())=1," day"," days"),"Next payment in "&amp;(H220-TODAY())&amp;" days")))))))))</f>
        <v/>
      </c>
      <c r="K220" s="16">
        <f>IF(OR(C220="",E220=""),"",IF(COUNTIFS(Costs!$C$6:$C$305,C220,Costs!$E$6:$E$305,"&lt;&gt;")&lt;2,"",IF(M220=1,"Cheapest of "&amp;COUNTIFS(Costs!$C$6:$C$305,C220,Costs!$E$6:$E$305,"&lt;&gt;"),FIXED(E220-SUMIFS(Costs!$E$6:$E$305,Costs!$C$6:$C$305,C220,Costs!$M$6:$M$305,1)/COUNTIFS(Costs!$C$6:$C$305,C220,Costs!$M$6:$M$305,1),0)&amp;" more than the cheapest")))</f>
        <v/>
      </c>
      <c r="L220" s="33" t="n"/>
      <c r="M220" s="1">
        <f>IF(OR(C220="",E220=""),"",IF(COUNTIFS(Costs!$C$6:$C$305,C220,Costs!$E$6:$E$305,"&lt;"&amp;E220)=0,1,0))</f>
        <v/>
      </c>
      <c r="N220">
        <f>IF(AND(C220&lt;&gt;"",F220="Quote",COUNTIFS(Costs!$C$6:$C$305,C220,Costs!$F$6:$F$305,"Hired")+COUNTIFS(Costs!$C$6:$C$305,C220,Costs!$F$6:$F$305,"Bought")=0),1/COUNTIFS(Costs!$C$6:$C$305,C220,Costs!$F$6:$F$305,"Quote"),"")</f>
        <v/>
      </c>
      <c r="O220">
        <f>IF(AND(OR(F220="Hired",F220="Bought"),N(I220)&gt;0,H220&lt;&gt;""),H220+ROW()/100000,"")</f>
        <v/>
      </c>
    </row>
    <row r="221">
      <c r="A221" s="1" t="n"/>
      <c r="B221" s="33" t="n"/>
      <c r="C221" s="33" t="n"/>
      <c r="D221" s="33" t="n"/>
      <c r="E221" s="27" t="n"/>
      <c r="F221" s="34" t="n"/>
      <c r="G221" s="27" t="n"/>
      <c r="H221" s="35" t="n"/>
      <c r="I221" s="14">
        <f>IF(OR(E221="",AND(F221&lt;&gt;"Hired",F221&lt;&gt;"Bought")),"",E221-N(G221))</f>
        <v/>
      </c>
      <c r="J221" s="16">
        <f>IF(C221&amp;E221="","",IF(F221="","Choose a stage",IF(F221="Quote","",IF(E221="","Add the amount",IF(I221&lt;=0,"Paid",IF(H221="","Balance due, no date set",IF(H221&lt;TODAY(),"Overdue by "&amp;(TODAY()-H221)&amp;IF((TODAY()-H221)=1," day"," days"),IF(H221=TODAY(),"Due today",IF((H221-TODAY())&lt;=14,"Due in "&amp;(H221-TODAY())&amp;IF((H221-TODAY())=1," day"," days"),"Next payment in "&amp;(H221-TODAY())&amp;" days")))))))))</f>
        <v/>
      </c>
      <c r="K221" s="16">
        <f>IF(OR(C221="",E221=""),"",IF(COUNTIFS(Costs!$C$6:$C$305,C221,Costs!$E$6:$E$305,"&lt;&gt;")&lt;2,"",IF(M221=1,"Cheapest of "&amp;COUNTIFS(Costs!$C$6:$C$305,C221,Costs!$E$6:$E$305,"&lt;&gt;"),FIXED(E221-SUMIFS(Costs!$E$6:$E$305,Costs!$C$6:$C$305,C221,Costs!$M$6:$M$305,1)/COUNTIFS(Costs!$C$6:$C$305,C221,Costs!$M$6:$M$305,1),0)&amp;" more than the cheapest")))</f>
        <v/>
      </c>
      <c r="L221" s="33" t="n"/>
      <c r="M221" s="1">
        <f>IF(OR(C221="",E221=""),"",IF(COUNTIFS(Costs!$C$6:$C$305,C221,Costs!$E$6:$E$305,"&lt;"&amp;E221)=0,1,0))</f>
        <v/>
      </c>
      <c r="N221">
        <f>IF(AND(C221&lt;&gt;"",F221="Quote",COUNTIFS(Costs!$C$6:$C$305,C221,Costs!$F$6:$F$305,"Hired")+COUNTIFS(Costs!$C$6:$C$305,C221,Costs!$F$6:$F$305,"Bought")=0),1/COUNTIFS(Costs!$C$6:$C$305,C221,Costs!$F$6:$F$305,"Quote"),"")</f>
        <v/>
      </c>
      <c r="O221">
        <f>IF(AND(OR(F221="Hired",F221="Bought"),N(I221)&gt;0,H221&lt;&gt;""),H221+ROW()/100000,"")</f>
        <v/>
      </c>
    </row>
    <row r="222">
      <c r="A222" s="1" t="n"/>
      <c r="B222" s="33" t="n"/>
      <c r="C222" s="33" t="n"/>
      <c r="D222" s="33" t="n"/>
      <c r="E222" s="27" t="n"/>
      <c r="F222" s="34" t="n"/>
      <c r="G222" s="27" t="n"/>
      <c r="H222" s="35" t="n"/>
      <c r="I222" s="14">
        <f>IF(OR(E222="",AND(F222&lt;&gt;"Hired",F222&lt;&gt;"Bought")),"",E222-N(G222))</f>
        <v/>
      </c>
      <c r="J222" s="16">
        <f>IF(C222&amp;E222="","",IF(F222="","Choose a stage",IF(F222="Quote","",IF(E222="","Add the amount",IF(I222&lt;=0,"Paid",IF(H222="","Balance due, no date set",IF(H222&lt;TODAY(),"Overdue by "&amp;(TODAY()-H222)&amp;IF((TODAY()-H222)=1," day"," days"),IF(H222=TODAY(),"Due today",IF((H222-TODAY())&lt;=14,"Due in "&amp;(H222-TODAY())&amp;IF((H222-TODAY())=1," day"," days"),"Next payment in "&amp;(H222-TODAY())&amp;" days")))))))))</f>
        <v/>
      </c>
      <c r="K222" s="16">
        <f>IF(OR(C222="",E222=""),"",IF(COUNTIFS(Costs!$C$6:$C$305,C222,Costs!$E$6:$E$305,"&lt;&gt;")&lt;2,"",IF(M222=1,"Cheapest of "&amp;COUNTIFS(Costs!$C$6:$C$305,C222,Costs!$E$6:$E$305,"&lt;&gt;"),FIXED(E222-SUMIFS(Costs!$E$6:$E$305,Costs!$C$6:$C$305,C222,Costs!$M$6:$M$305,1)/COUNTIFS(Costs!$C$6:$C$305,C222,Costs!$M$6:$M$305,1),0)&amp;" more than the cheapest")))</f>
        <v/>
      </c>
      <c r="L222" s="33" t="n"/>
      <c r="M222" s="1">
        <f>IF(OR(C222="",E222=""),"",IF(COUNTIFS(Costs!$C$6:$C$305,C222,Costs!$E$6:$E$305,"&lt;"&amp;E222)=0,1,0))</f>
        <v/>
      </c>
      <c r="N222">
        <f>IF(AND(C222&lt;&gt;"",F222="Quote",COUNTIFS(Costs!$C$6:$C$305,C222,Costs!$F$6:$F$305,"Hired")+COUNTIFS(Costs!$C$6:$C$305,C222,Costs!$F$6:$F$305,"Bought")=0),1/COUNTIFS(Costs!$C$6:$C$305,C222,Costs!$F$6:$F$305,"Quote"),"")</f>
        <v/>
      </c>
      <c r="O222">
        <f>IF(AND(OR(F222="Hired",F222="Bought"),N(I222)&gt;0,H222&lt;&gt;""),H222+ROW()/100000,"")</f>
        <v/>
      </c>
    </row>
    <row r="223">
      <c r="A223" s="1" t="n"/>
      <c r="B223" s="33" t="n"/>
      <c r="C223" s="33" t="n"/>
      <c r="D223" s="33" t="n"/>
      <c r="E223" s="27" t="n"/>
      <c r="F223" s="34" t="n"/>
      <c r="G223" s="27" t="n"/>
      <c r="H223" s="35" t="n"/>
      <c r="I223" s="14">
        <f>IF(OR(E223="",AND(F223&lt;&gt;"Hired",F223&lt;&gt;"Bought")),"",E223-N(G223))</f>
        <v/>
      </c>
      <c r="J223" s="16">
        <f>IF(C223&amp;E223="","",IF(F223="","Choose a stage",IF(F223="Quote","",IF(E223="","Add the amount",IF(I223&lt;=0,"Paid",IF(H223="","Balance due, no date set",IF(H223&lt;TODAY(),"Overdue by "&amp;(TODAY()-H223)&amp;IF((TODAY()-H223)=1," day"," days"),IF(H223=TODAY(),"Due today",IF((H223-TODAY())&lt;=14,"Due in "&amp;(H223-TODAY())&amp;IF((H223-TODAY())=1," day"," days"),"Next payment in "&amp;(H223-TODAY())&amp;" days")))))))))</f>
        <v/>
      </c>
      <c r="K223" s="16">
        <f>IF(OR(C223="",E223=""),"",IF(COUNTIFS(Costs!$C$6:$C$305,C223,Costs!$E$6:$E$305,"&lt;&gt;")&lt;2,"",IF(M223=1,"Cheapest of "&amp;COUNTIFS(Costs!$C$6:$C$305,C223,Costs!$E$6:$E$305,"&lt;&gt;"),FIXED(E223-SUMIFS(Costs!$E$6:$E$305,Costs!$C$6:$C$305,C223,Costs!$M$6:$M$305,1)/COUNTIFS(Costs!$C$6:$C$305,C223,Costs!$M$6:$M$305,1),0)&amp;" more than the cheapest")))</f>
        <v/>
      </c>
      <c r="L223" s="33" t="n"/>
      <c r="M223" s="1">
        <f>IF(OR(C223="",E223=""),"",IF(COUNTIFS(Costs!$C$6:$C$305,C223,Costs!$E$6:$E$305,"&lt;"&amp;E223)=0,1,0))</f>
        <v/>
      </c>
      <c r="N223">
        <f>IF(AND(C223&lt;&gt;"",F223="Quote",COUNTIFS(Costs!$C$6:$C$305,C223,Costs!$F$6:$F$305,"Hired")+COUNTIFS(Costs!$C$6:$C$305,C223,Costs!$F$6:$F$305,"Bought")=0),1/COUNTIFS(Costs!$C$6:$C$305,C223,Costs!$F$6:$F$305,"Quote"),"")</f>
        <v/>
      </c>
      <c r="O223">
        <f>IF(AND(OR(F223="Hired",F223="Bought"),N(I223)&gt;0,H223&lt;&gt;""),H223+ROW()/100000,"")</f>
        <v/>
      </c>
    </row>
    <row r="224">
      <c r="A224" s="1" t="n"/>
      <c r="B224" s="33" t="n"/>
      <c r="C224" s="33" t="n"/>
      <c r="D224" s="33" t="n"/>
      <c r="E224" s="27" t="n"/>
      <c r="F224" s="34" t="n"/>
      <c r="G224" s="27" t="n"/>
      <c r="H224" s="35" t="n"/>
      <c r="I224" s="14">
        <f>IF(OR(E224="",AND(F224&lt;&gt;"Hired",F224&lt;&gt;"Bought")),"",E224-N(G224))</f>
        <v/>
      </c>
      <c r="J224" s="16">
        <f>IF(C224&amp;E224="","",IF(F224="","Choose a stage",IF(F224="Quote","",IF(E224="","Add the amount",IF(I224&lt;=0,"Paid",IF(H224="","Balance due, no date set",IF(H224&lt;TODAY(),"Overdue by "&amp;(TODAY()-H224)&amp;IF((TODAY()-H224)=1," day"," days"),IF(H224=TODAY(),"Due today",IF((H224-TODAY())&lt;=14,"Due in "&amp;(H224-TODAY())&amp;IF((H224-TODAY())=1," day"," days"),"Next payment in "&amp;(H224-TODAY())&amp;" days")))))))))</f>
        <v/>
      </c>
      <c r="K224" s="16">
        <f>IF(OR(C224="",E224=""),"",IF(COUNTIFS(Costs!$C$6:$C$305,C224,Costs!$E$6:$E$305,"&lt;&gt;")&lt;2,"",IF(M224=1,"Cheapest of "&amp;COUNTIFS(Costs!$C$6:$C$305,C224,Costs!$E$6:$E$305,"&lt;&gt;"),FIXED(E224-SUMIFS(Costs!$E$6:$E$305,Costs!$C$6:$C$305,C224,Costs!$M$6:$M$305,1)/COUNTIFS(Costs!$C$6:$C$305,C224,Costs!$M$6:$M$305,1),0)&amp;" more than the cheapest")))</f>
        <v/>
      </c>
      <c r="L224" s="33" t="n"/>
      <c r="M224" s="1">
        <f>IF(OR(C224="",E224=""),"",IF(COUNTIFS(Costs!$C$6:$C$305,C224,Costs!$E$6:$E$305,"&lt;"&amp;E224)=0,1,0))</f>
        <v/>
      </c>
      <c r="N224">
        <f>IF(AND(C224&lt;&gt;"",F224="Quote",COUNTIFS(Costs!$C$6:$C$305,C224,Costs!$F$6:$F$305,"Hired")+COUNTIFS(Costs!$C$6:$C$305,C224,Costs!$F$6:$F$305,"Bought")=0),1/COUNTIFS(Costs!$C$6:$C$305,C224,Costs!$F$6:$F$305,"Quote"),"")</f>
        <v/>
      </c>
      <c r="O224">
        <f>IF(AND(OR(F224="Hired",F224="Bought"),N(I224)&gt;0,H224&lt;&gt;""),H224+ROW()/100000,"")</f>
        <v/>
      </c>
    </row>
    <row r="225">
      <c r="A225" s="1" t="n"/>
      <c r="B225" s="33" t="n"/>
      <c r="C225" s="33" t="n"/>
      <c r="D225" s="33" t="n"/>
      <c r="E225" s="27" t="n"/>
      <c r="F225" s="34" t="n"/>
      <c r="G225" s="27" t="n"/>
      <c r="H225" s="35" t="n"/>
      <c r="I225" s="14">
        <f>IF(OR(E225="",AND(F225&lt;&gt;"Hired",F225&lt;&gt;"Bought")),"",E225-N(G225))</f>
        <v/>
      </c>
      <c r="J225" s="16">
        <f>IF(C225&amp;E225="","",IF(F225="","Choose a stage",IF(F225="Quote","",IF(E225="","Add the amount",IF(I225&lt;=0,"Paid",IF(H225="","Balance due, no date set",IF(H225&lt;TODAY(),"Overdue by "&amp;(TODAY()-H225)&amp;IF((TODAY()-H225)=1," day"," days"),IF(H225=TODAY(),"Due today",IF((H225-TODAY())&lt;=14,"Due in "&amp;(H225-TODAY())&amp;IF((H225-TODAY())=1," day"," days"),"Next payment in "&amp;(H225-TODAY())&amp;" days")))))))))</f>
        <v/>
      </c>
      <c r="K225" s="16">
        <f>IF(OR(C225="",E225=""),"",IF(COUNTIFS(Costs!$C$6:$C$305,C225,Costs!$E$6:$E$305,"&lt;&gt;")&lt;2,"",IF(M225=1,"Cheapest of "&amp;COUNTIFS(Costs!$C$6:$C$305,C225,Costs!$E$6:$E$305,"&lt;&gt;"),FIXED(E225-SUMIFS(Costs!$E$6:$E$305,Costs!$C$6:$C$305,C225,Costs!$M$6:$M$305,1)/COUNTIFS(Costs!$C$6:$C$305,C225,Costs!$M$6:$M$305,1),0)&amp;" more than the cheapest")))</f>
        <v/>
      </c>
      <c r="L225" s="33" t="n"/>
      <c r="M225" s="1">
        <f>IF(OR(C225="",E225=""),"",IF(COUNTIFS(Costs!$C$6:$C$305,C225,Costs!$E$6:$E$305,"&lt;"&amp;E225)=0,1,0))</f>
        <v/>
      </c>
      <c r="N225">
        <f>IF(AND(C225&lt;&gt;"",F225="Quote",COUNTIFS(Costs!$C$6:$C$305,C225,Costs!$F$6:$F$305,"Hired")+COUNTIFS(Costs!$C$6:$C$305,C225,Costs!$F$6:$F$305,"Bought")=0),1/COUNTIFS(Costs!$C$6:$C$305,C225,Costs!$F$6:$F$305,"Quote"),"")</f>
        <v/>
      </c>
      <c r="O225">
        <f>IF(AND(OR(F225="Hired",F225="Bought"),N(I225)&gt;0,H225&lt;&gt;""),H225+ROW()/100000,"")</f>
        <v/>
      </c>
    </row>
    <row r="226">
      <c r="A226" s="1" t="n"/>
      <c r="B226" s="33" t="n"/>
      <c r="C226" s="33" t="n"/>
      <c r="D226" s="33" t="n"/>
      <c r="E226" s="27" t="n"/>
      <c r="F226" s="34" t="n"/>
      <c r="G226" s="27" t="n"/>
      <c r="H226" s="35" t="n"/>
      <c r="I226" s="14">
        <f>IF(OR(E226="",AND(F226&lt;&gt;"Hired",F226&lt;&gt;"Bought")),"",E226-N(G226))</f>
        <v/>
      </c>
      <c r="J226" s="16">
        <f>IF(C226&amp;E226="","",IF(F226="","Choose a stage",IF(F226="Quote","",IF(E226="","Add the amount",IF(I226&lt;=0,"Paid",IF(H226="","Balance due, no date set",IF(H226&lt;TODAY(),"Overdue by "&amp;(TODAY()-H226)&amp;IF((TODAY()-H226)=1," day"," days"),IF(H226=TODAY(),"Due today",IF((H226-TODAY())&lt;=14,"Due in "&amp;(H226-TODAY())&amp;IF((H226-TODAY())=1," day"," days"),"Next payment in "&amp;(H226-TODAY())&amp;" days")))))))))</f>
        <v/>
      </c>
      <c r="K226" s="16">
        <f>IF(OR(C226="",E226=""),"",IF(COUNTIFS(Costs!$C$6:$C$305,C226,Costs!$E$6:$E$305,"&lt;&gt;")&lt;2,"",IF(M226=1,"Cheapest of "&amp;COUNTIFS(Costs!$C$6:$C$305,C226,Costs!$E$6:$E$305,"&lt;&gt;"),FIXED(E226-SUMIFS(Costs!$E$6:$E$305,Costs!$C$6:$C$305,C226,Costs!$M$6:$M$305,1)/COUNTIFS(Costs!$C$6:$C$305,C226,Costs!$M$6:$M$305,1),0)&amp;" more than the cheapest")))</f>
        <v/>
      </c>
      <c r="L226" s="33" t="n"/>
      <c r="M226" s="1">
        <f>IF(OR(C226="",E226=""),"",IF(COUNTIFS(Costs!$C$6:$C$305,C226,Costs!$E$6:$E$305,"&lt;"&amp;E226)=0,1,0))</f>
        <v/>
      </c>
      <c r="N226">
        <f>IF(AND(C226&lt;&gt;"",F226="Quote",COUNTIFS(Costs!$C$6:$C$305,C226,Costs!$F$6:$F$305,"Hired")+COUNTIFS(Costs!$C$6:$C$305,C226,Costs!$F$6:$F$305,"Bought")=0),1/COUNTIFS(Costs!$C$6:$C$305,C226,Costs!$F$6:$F$305,"Quote"),"")</f>
        <v/>
      </c>
      <c r="O226">
        <f>IF(AND(OR(F226="Hired",F226="Bought"),N(I226)&gt;0,H226&lt;&gt;""),H226+ROW()/100000,"")</f>
        <v/>
      </c>
    </row>
    <row r="227">
      <c r="A227" s="1" t="n"/>
      <c r="B227" s="33" t="n"/>
      <c r="C227" s="33" t="n"/>
      <c r="D227" s="33" t="n"/>
      <c r="E227" s="27" t="n"/>
      <c r="F227" s="34" t="n"/>
      <c r="G227" s="27" t="n"/>
      <c r="H227" s="35" t="n"/>
      <c r="I227" s="14">
        <f>IF(OR(E227="",AND(F227&lt;&gt;"Hired",F227&lt;&gt;"Bought")),"",E227-N(G227))</f>
        <v/>
      </c>
      <c r="J227" s="16">
        <f>IF(C227&amp;E227="","",IF(F227="","Choose a stage",IF(F227="Quote","",IF(E227="","Add the amount",IF(I227&lt;=0,"Paid",IF(H227="","Balance due, no date set",IF(H227&lt;TODAY(),"Overdue by "&amp;(TODAY()-H227)&amp;IF((TODAY()-H227)=1," day"," days"),IF(H227=TODAY(),"Due today",IF((H227-TODAY())&lt;=14,"Due in "&amp;(H227-TODAY())&amp;IF((H227-TODAY())=1," day"," days"),"Next payment in "&amp;(H227-TODAY())&amp;" days")))))))))</f>
        <v/>
      </c>
      <c r="K227" s="16">
        <f>IF(OR(C227="",E227=""),"",IF(COUNTIFS(Costs!$C$6:$C$305,C227,Costs!$E$6:$E$305,"&lt;&gt;")&lt;2,"",IF(M227=1,"Cheapest of "&amp;COUNTIFS(Costs!$C$6:$C$305,C227,Costs!$E$6:$E$305,"&lt;&gt;"),FIXED(E227-SUMIFS(Costs!$E$6:$E$305,Costs!$C$6:$C$305,C227,Costs!$M$6:$M$305,1)/COUNTIFS(Costs!$C$6:$C$305,C227,Costs!$M$6:$M$305,1),0)&amp;" more than the cheapest")))</f>
        <v/>
      </c>
      <c r="L227" s="33" t="n"/>
      <c r="M227" s="1">
        <f>IF(OR(C227="",E227=""),"",IF(COUNTIFS(Costs!$C$6:$C$305,C227,Costs!$E$6:$E$305,"&lt;"&amp;E227)=0,1,0))</f>
        <v/>
      </c>
      <c r="N227">
        <f>IF(AND(C227&lt;&gt;"",F227="Quote",COUNTIFS(Costs!$C$6:$C$305,C227,Costs!$F$6:$F$305,"Hired")+COUNTIFS(Costs!$C$6:$C$305,C227,Costs!$F$6:$F$305,"Bought")=0),1/COUNTIFS(Costs!$C$6:$C$305,C227,Costs!$F$6:$F$305,"Quote"),"")</f>
        <v/>
      </c>
      <c r="O227">
        <f>IF(AND(OR(F227="Hired",F227="Bought"),N(I227)&gt;0,H227&lt;&gt;""),H227+ROW()/100000,"")</f>
        <v/>
      </c>
    </row>
    <row r="228">
      <c r="A228" s="1" t="n"/>
      <c r="B228" s="33" t="n"/>
      <c r="C228" s="33" t="n"/>
      <c r="D228" s="33" t="n"/>
      <c r="E228" s="27" t="n"/>
      <c r="F228" s="34" t="n"/>
      <c r="G228" s="27" t="n"/>
      <c r="H228" s="35" t="n"/>
      <c r="I228" s="14">
        <f>IF(OR(E228="",AND(F228&lt;&gt;"Hired",F228&lt;&gt;"Bought")),"",E228-N(G228))</f>
        <v/>
      </c>
      <c r="J228" s="16">
        <f>IF(C228&amp;E228="","",IF(F228="","Choose a stage",IF(F228="Quote","",IF(E228="","Add the amount",IF(I228&lt;=0,"Paid",IF(H228="","Balance due, no date set",IF(H228&lt;TODAY(),"Overdue by "&amp;(TODAY()-H228)&amp;IF((TODAY()-H228)=1," day"," days"),IF(H228=TODAY(),"Due today",IF((H228-TODAY())&lt;=14,"Due in "&amp;(H228-TODAY())&amp;IF((H228-TODAY())=1," day"," days"),"Next payment in "&amp;(H228-TODAY())&amp;" days")))))))))</f>
        <v/>
      </c>
      <c r="K228" s="16">
        <f>IF(OR(C228="",E228=""),"",IF(COUNTIFS(Costs!$C$6:$C$305,C228,Costs!$E$6:$E$305,"&lt;&gt;")&lt;2,"",IF(M228=1,"Cheapest of "&amp;COUNTIFS(Costs!$C$6:$C$305,C228,Costs!$E$6:$E$305,"&lt;&gt;"),FIXED(E228-SUMIFS(Costs!$E$6:$E$305,Costs!$C$6:$C$305,C228,Costs!$M$6:$M$305,1)/COUNTIFS(Costs!$C$6:$C$305,C228,Costs!$M$6:$M$305,1),0)&amp;" more than the cheapest")))</f>
        <v/>
      </c>
      <c r="L228" s="33" t="n"/>
      <c r="M228" s="1">
        <f>IF(OR(C228="",E228=""),"",IF(COUNTIFS(Costs!$C$6:$C$305,C228,Costs!$E$6:$E$305,"&lt;"&amp;E228)=0,1,0))</f>
        <v/>
      </c>
      <c r="N228">
        <f>IF(AND(C228&lt;&gt;"",F228="Quote",COUNTIFS(Costs!$C$6:$C$305,C228,Costs!$F$6:$F$305,"Hired")+COUNTIFS(Costs!$C$6:$C$305,C228,Costs!$F$6:$F$305,"Bought")=0),1/COUNTIFS(Costs!$C$6:$C$305,C228,Costs!$F$6:$F$305,"Quote"),"")</f>
        <v/>
      </c>
      <c r="O228">
        <f>IF(AND(OR(F228="Hired",F228="Bought"),N(I228)&gt;0,H228&lt;&gt;""),H228+ROW()/100000,"")</f>
        <v/>
      </c>
    </row>
    <row r="229">
      <c r="A229" s="1" t="n"/>
      <c r="B229" s="33" t="n"/>
      <c r="C229" s="33" t="n"/>
      <c r="D229" s="33" t="n"/>
      <c r="E229" s="27" t="n"/>
      <c r="F229" s="34" t="n"/>
      <c r="G229" s="27" t="n"/>
      <c r="H229" s="35" t="n"/>
      <c r="I229" s="14">
        <f>IF(OR(E229="",AND(F229&lt;&gt;"Hired",F229&lt;&gt;"Bought")),"",E229-N(G229))</f>
        <v/>
      </c>
      <c r="J229" s="16">
        <f>IF(C229&amp;E229="","",IF(F229="","Choose a stage",IF(F229="Quote","",IF(E229="","Add the amount",IF(I229&lt;=0,"Paid",IF(H229="","Balance due, no date set",IF(H229&lt;TODAY(),"Overdue by "&amp;(TODAY()-H229)&amp;IF((TODAY()-H229)=1," day"," days"),IF(H229=TODAY(),"Due today",IF((H229-TODAY())&lt;=14,"Due in "&amp;(H229-TODAY())&amp;IF((H229-TODAY())=1," day"," days"),"Next payment in "&amp;(H229-TODAY())&amp;" days")))))))))</f>
        <v/>
      </c>
      <c r="K229" s="16">
        <f>IF(OR(C229="",E229=""),"",IF(COUNTIFS(Costs!$C$6:$C$305,C229,Costs!$E$6:$E$305,"&lt;&gt;")&lt;2,"",IF(M229=1,"Cheapest of "&amp;COUNTIFS(Costs!$C$6:$C$305,C229,Costs!$E$6:$E$305,"&lt;&gt;"),FIXED(E229-SUMIFS(Costs!$E$6:$E$305,Costs!$C$6:$C$305,C229,Costs!$M$6:$M$305,1)/COUNTIFS(Costs!$C$6:$C$305,C229,Costs!$M$6:$M$305,1),0)&amp;" more than the cheapest")))</f>
        <v/>
      </c>
      <c r="L229" s="33" t="n"/>
      <c r="M229" s="1">
        <f>IF(OR(C229="",E229=""),"",IF(COUNTIFS(Costs!$C$6:$C$305,C229,Costs!$E$6:$E$305,"&lt;"&amp;E229)=0,1,0))</f>
        <v/>
      </c>
      <c r="N229">
        <f>IF(AND(C229&lt;&gt;"",F229="Quote",COUNTIFS(Costs!$C$6:$C$305,C229,Costs!$F$6:$F$305,"Hired")+COUNTIFS(Costs!$C$6:$C$305,C229,Costs!$F$6:$F$305,"Bought")=0),1/COUNTIFS(Costs!$C$6:$C$305,C229,Costs!$F$6:$F$305,"Quote"),"")</f>
        <v/>
      </c>
      <c r="O229">
        <f>IF(AND(OR(F229="Hired",F229="Bought"),N(I229)&gt;0,H229&lt;&gt;""),H229+ROW()/100000,"")</f>
        <v/>
      </c>
    </row>
    <row r="230">
      <c r="A230" s="1" t="n"/>
      <c r="B230" s="33" t="n"/>
      <c r="C230" s="33" t="n"/>
      <c r="D230" s="33" t="n"/>
      <c r="E230" s="27" t="n"/>
      <c r="F230" s="34" t="n"/>
      <c r="G230" s="27" t="n"/>
      <c r="H230" s="35" t="n"/>
      <c r="I230" s="14">
        <f>IF(OR(E230="",AND(F230&lt;&gt;"Hired",F230&lt;&gt;"Bought")),"",E230-N(G230))</f>
        <v/>
      </c>
      <c r="J230" s="16">
        <f>IF(C230&amp;E230="","",IF(F230="","Choose a stage",IF(F230="Quote","",IF(E230="","Add the amount",IF(I230&lt;=0,"Paid",IF(H230="","Balance due, no date set",IF(H230&lt;TODAY(),"Overdue by "&amp;(TODAY()-H230)&amp;IF((TODAY()-H230)=1," day"," days"),IF(H230=TODAY(),"Due today",IF((H230-TODAY())&lt;=14,"Due in "&amp;(H230-TODAY())&amp;IF((H230-TODAY())=1," day"," days"),"Next payment in "&amp;(H230-TODAY())&amp;" days")))))))))</f>
        <v/>
      </c>
      <c r="K230" s="16">
        <f>IF(OR(C230="",E230=""),"",IF(COUNTIFS(Costs!$C$6:$C$305,C230,Costs!$E$6:$E$305,"&lt;&gt;")&lt;2,"",IF(M230=1,"Cheapest of "&amp;COUNTIFS(Costs!$C$6:$C$305,C230,Costs!$E$6:$E$305,"&lt;&gt;"),FIXED(E230-SUMIFS(Costs!$E$6:$E$305,Costs!$C$6:$C$305,C230,Costs!$M$6:$M$305,1)/COUNTIFS(Costs!$C$6:$C$305,C230,Costs!$M$6:$M$305,1),0)&amp;" more than the cheapest")))</f>
        <v/>
      </c>
      <c r="L230" s="33" t="n"/>
      <c r="M230" s="1">
        <f>IF(OR(C230="",E230=""),"",IF(COUNTIFS(Costs!$C$6:$C$305,C230,Costs!$E$6:$E$305,"&lt;"&amp;E230)=0,1,0))</f>
        <v/>
      </c>
      <c r="N230">
        <f>IF(AND(C230&lt;&gt;"",F230="Quote",COUNTIFS(Costs!$C$6:$C$305,C230,Costs!$F$6:$F$305,"Hired")+COUNTIFS(Costs!$C$6:$C$305,C230,Costs!$F$6:$F$305,"Bought")=0),1/COUNTIFS(Costs!$C$6:$C$305,C230,Costs!$F$6:$F$305,"Quote"),"")</f>
        <v/>
      </c>
      <c r="O230">
        <f>IF(AND(OR(F230="Hired",F230="Bought"),N(I230)&gt;0,H230&lt;&gt;""),H230+ROW()/100000,"")</f>
        <v/>
      </c>
    </row>
    <row r="231">
      <c r="A231" s="1" t="n"/>
      <c r="B231" s="33" t="n"/>
      <c r="C231" s="33" t="n"/>
      <c r="D231" s="33" t="n"/>
      <c r="E231" s="27" t="n"/>
      <c r="F231" s="34" t="n"/>
      <c r="G231" s="27" t="n"/>
      <c r="H231" s="35" t="n"/>
      <c r="I231" s="14">
        <f>IF(OR(E231="",AND(F231&lt;&gt;"Hired",F231&lt;&gt;"Bought")),"",E231-N(G231))</f>
        <v/>
      </c>
      <c r="J231" s="16">
        <f>IF(C231&amp;E231="","",IF(F231="","Choose a stage",IF(F231="Quote","",IF(E231="","Add the amount",IF(I231&lt;=0,"Paid",IF(H231="","Balance due, no date set",IF(H231&lt;TODAY(),"Overdue by "&amp;(TODAY()-H231)&amp;IF((TODAY()-H231)=1," day"," days"),IF(H231=TODAY(),"Due today",IF((H231-TODAY())&lt;=14,"Due in "&amp;(H231-TODAY())&amp;IF((H231-TODAY())=1," day"," days"),"Next payment in "&amp;(H231-TODAY())&amp;" days")))))))))</f>
        <v/>
      </c>
      <c r="K231" s="16">
        <f>IF(OR(C231="",E231=""),"",IF(COUNTIFS(Costs!$C$6:$C$305,C231,Costs!$E$6:$E$305,"&lt;&gt;")&lt;2,"",IF(M231=1,"Cheapest of "&amp;COUNTIFS(Costs!$C$6:$C$305,C231,Costs!$E$6:$E$305,"&lt;&gt;"),FIXED(E231-SUMIFS(Costs!$E$6:$E$305,Costs!$C$6:$C$305,C231,Costs!$M$6:$M$305,1)/COUNTIFS(Costs!$C$6:$C$305,C231,Costs!$M$6:$M$305,1),0)&amp;" more than the cheapest")))</f>
        <v/>
      </c>
      <c r="L231" s="33" t="n"/>
      <c r="M231" s="1">
        <f>IF(OR(C231="",E231=""),"",IF(COUNTIFS(Costs!$C$6:$C$305,C231,Costs!$E$6:$E$305,"&lt;"&amp;E231)=0,1,0))</f>
        <v/>
      </c>
      <c r="N231">
        <f>IF(AND(C231&lt;&gt;"",F231="Quote",COUNTIFS(Costs!$C$6:$C$305,C231,Costs!$F$6:$F$305,"Hired")+COUNTIFS(Costs!$C$6:$C$305,C231,Costs!$F$6:$F$305,"Bought")=0),1/COUNTIFS(Costs!$C$6:$C$305,C231,Costs!$F$6:$F$305,"Quote"),"")</f>
        <v/>
      </c>
      <c r="O231">
        <f>IF(AND(OR(F231="Hired",F231="Bought"),N(I231)&gt;0,H231&lt;&gt;""),H231+ROW()/100000,"")</f>
        <v/>
      </c>
    </row>
    <row r="232">
      <c r="A232" s="1" t="n"/>
      <c r="B232" s="33" t="n"/>
      <c r="C232" s="33" t="n"/>
      <c r="D232" s="33" t="n"/>
      <c r="E232" s="27" t="n"/>
      <c r="F232" s="34" t="n"/>
      <c r="G232" s="27" t="n"/>
      <c r="H232" s="35" t="n"/>
      <c r="I232" s="14">
        <f>IF(OR(E232="",AND(F232&lt;&gt;"Hired",F232&lt;&gt;"Bought")),"",E232-N(G232))</f>
        <v/>
      </c>
      <c r="J232" s="16">
        <f>IF(C232&amp;E232="","",IF(F232="","Choose a stage",IF(F232="Quote","",IF(E232="","Add the amount",IF(I232&lt;=0,"Paid",IF(H232="","Balance due, no date set",IF(H232&lt;TODAY(),"Overdue by "&amp;(TODAY()-H232)&amp;IF((TODAY()-H232)=1," day"," days"),IF(H232=TODAY(),"Due today",IF((H232-TODAY())&lt;=14,"Due in "&amp;(H232-TODAY())&amp;IF((H232-TODAY())=1," day"," days"),"Next payment in "&amp;(H232-TODAY())&amp;" days")))))))))</f>
        <v/>
      </c>
      <c r="K232" s="16">
        <f>IF(OR(C232="",E232=""),"",IF(COUNTIFS(Costs!$C$6:$C$305,C232,Costs!$E$6:$E$305,"&lt;&gt;")&lt;2,"",IF(M232=1,"Cheapest of "&amp;COUNTIFS(Costs!$C$6:$C$305,C232,Costs!$E$6:$E$305,"&lt;&gt;"),FIXED(E232-SUMIFS(Costs!$E$6:$E$305,Costs!$C$6:$C$305,C232,Costs!$M$6:$M$305,1)/COUNTIFS(Costs!$C$6:$C$305,C232,Costs!$M$6:$M$305,1),0)&amp;" more than the cheapest")))</f>
        <v/>
      </c>
      <c r="L232" s="33" t="n"/>
      <c r="M232" s="1">
        <f>IF(OR(C232="",E232=""),"",IF(COUNTIFS(Costs!$C$6:$C$305,C232,Costs!$E$6:$E$305,"&lt;"&amp;E232)=0,1,0))</f>
        <v/>
      </c>
      <c r="N232">
        <f>IF(AND(C232&lt;&gt;"",F232="Quote",COUNTIFS(Costs!$C$6:$C$305,C232,Costs!$F$6:$F$305,"Hired")+COUNTIFS(Costs!$C$6:$C$305,C232,Costs!$F$6:$F$305,"Bought")=0),1/COUNTIFS(Costs!$C$6:$C$305,C232,Costs!$F$6:$F$305,"Quote"),"")</f>
        <v/>
      </c>
      <c r="O232">
        <f>IF(AND(OR(F232="Hired",F232="Bought"),N(I232)&gt;0,H232&lt;&gt;""),H232+ROW()/100000,"")</f>
        <v/>
      </c>
    </row>
    <row r="233">
      <c r="A233" s="1" t="n"/>
      <c r="B233" s="33" t="n"/>
      <c r="C233" s="33" t="n"/>
      <c r="D233" s="33" t="n"/>
      <c r="E233" s="27" t="n"/>
      <c r="F233" s="34" t="n"/>
      <c r="G233" s="27" t="n"/>
      <c r="H233" s="35" t="n"/>
      <c r="I233" s="14">
        <f>IF(OR(E233="",AND(F233&lt;&gt;"Hired",F233&lt;&gt;"Bought")),"",E233-N(G233))</f>
        <v/>
      </c>
      <c r="J233" s="16">
        <f>IF(C233&amp;E233="","",IF(F233="","Choose a stage",IF(F233="Quote","",IF(E233="","Add the amount",IF(I233&lt;=0,"Paid",IF(H233="","Balance due, no date set",IF(H233&lt;TODAY(),"Overdue by "&amp;(TODAY()-H233)&amp;IF((TODAY()-H233)=1," day"," days"),IF(H233=TODAY(),"Due today",IF((H233-TODAY())&lt;=14,"Due in "&amp;(H233-TODAY())&amp;IF((H233-TODAY())=1," day"," days"),"Next payment in "&amp;(H233-TODAY())&amp;" days")))))))))</f>
        <v/>
      </c>
      <c r="K233" s="16">
        <f>IF(OR(C233="",E233=""),"",IF(COUNTIFS(Costs!$C$6:$C$305,C233,Costs!$E$6:$E$305,"&lt;&gt;")&lt;2,"",IF(M233=1,"Cheapest of "&amp;COUNTIFS(Costs!$C$6:$C$305,C233,Costs!$E$6:$E$305,"&lt;&gt;"),FIXED(E233-SUMIFS(Costs!$E$6:$E$305,Costs!$C$6:$C$305,C233,Costs!$M$6:$M$305,1)/COUNTIFS(Costs!$C$6:$C$305,C233,Costs!$M$6:$M$305,1),0)&amp;" more than the cheapest")))</f>
        <v/>
      </c>
      <c r="L233" s="33" t="n"/>
      <c r="M233" s="1">
        <f>IF(OR(C233="",E233=""),"",IF(COUNTIFS(Costs!$C$6:$C$305,C233,Costs!$E$6:$E$305,"&lt;"&amp;E233)=0,1,0))</f>
        <v/>
      </c>
      <c r="N233">
        <f>IF(AND(C233&lt;&gt;"",F233="Quote",COUNTIFS(Costs!$C$6:$C$305,C233,Costs!$F$6:$F$305,"Hired")+COUNTIFS(Costs!$C$6:$C$305,C233,Costs!$F$6:$F$305,"Bought")=0),1/COUNTIFS(Costs!$C$6:$C$305,C233,Costs!$F$6:$F$305,"Quote"),"")</f>
        <v/>
      </c>
      <c r="O233">
        <f>IF(AND(OR(F233="Hired",F233="Bought"),N(I233)&gt;0,H233&lt;&gt;""),H233+ROW()/100000,"")</f>
        <v/>
      </c>
    </row>
    <row r="234">
      <c r="A234" s="1" t="n"/>
      <c r="B234" s="33" t="n"/>
      <c r="C234" s="33" t="n"/>
      <c r="D234" s="33" t="n"/>
      <c r="E234" s="27" t="n"/>
      <c r="F234" s="34" t="n"/>
      <c r="G234" s="27" t="n"/>
      <c r="H234" s="35" t="n"/>
      <c r="I234" s="14">
        <f>IF(OR(E234="",AND(F234&lt;&gt;"Hired",F234&lt;&gt;"Bought")),"",E234-N(G234))</f>
        <v/>
      </c>
      <c r="J234" s="16">
        <f>IF(C234&amp;E234="","",IF(F234="","Choose a stage",IF(F234="Quote","",IF(E234="","Add the amount",IF(I234&lt;=0,"Paid",IF(H234="","Balance due, no date set",IF(H234&lt;TODAY(),"Overdue by "&amp;(TODAY()-H234)&amp;IF((TODAY()-H234)=1," day"," days"),IF(H234=TODAY(),"Due today",IF((H234-TODAY())&lt;=14,"Due in "&amp;(H234-TODAY())&amp;IF((H234-TODAY())=1," day"," days"),"Next payment in "&amp;(H234-TODAY())&amp;" days")))))))))</f>
        <v/>
      </c>
      <c r="K234" s="16">
        <f>IF(OR(C234="",E234=""),"",IF(COUNTIFS(Costs!$C$6:$C$305,C234,Costs!$E$6:$E$305,"&lt;&gt;")&lt;2,"",IF(M234=1,"Cheapest of "&amp;COUNTIFS(Costs!$C$6:$C$305,C234,Costs!$E$6:$E$305,"&lt;&gt;"),FIXED(E234-SUMIFS(Costs!$E$6:$E$305,Costs!$C$6:$C$305,C234,Costs!$M$6:$M$305,1)/COUNTIFS(Costs!$C$6:$C$305,C234,Costs!$M$6:$M$305,1),0)&amp;" more than the cheapest")))</f>
        <v/>
      </c>
      <c r="L234" s="33" t="n"/>
      <c r="M234" s="1">
        <f>IF(OR(C234="",E234=""),"",IF(COUNTIFS(Costs!$C$6:$C$305,C234,Costs!$E$6:$E$305,"&lt;"&amp;E234)=0,1,0))</f>
        <v/>
      </c>
      <c r="N234">
        <f>IF(AND(C234&lt;&gt;"",F234="Quote",COUNTIFS(Costs!$C$6:$C$305,C234,Costs!$F$6:$F$305,"Hired")+COUNTIFS(Costs!$C$6:$C$305,C234,Costs!$F$6:$F$305,"Bought")=0),1/COUNTIFS(Costs!$C$6:$C$305,C234,Costs!$F$6:$F$305,"Quote"),"")</f>
        <v/>
      </c>
      <c r="O234">
        <f>IF(AND(OR(F234="Hired",F234="Bought"),N(I234)&gt;0,H234&lt;&gt;""),H234+ROW()/100000,"")</f>
        <v/>
      </c>
    </row>
    <row r="235">
      <c r="A235" s="1" t="n"/>
      <c r="B235" s="33" t="n"/>
      <c r="C235" s="33" t="n"/>
      <c r="D235" s="33" t="n"/>
      <c r="E235" s="27" t="n"/>
      <c r="F235" s="34" t="n"/>
      <c r="G235" s="27" t="n"/>
      <c r="H235" s="35" t="n"/>
      <c r="I235" s="14">
        <f>IF(OR(E235="",AND(F235&lt;&gt;"Hired",F235&lt;&gt;"Bought")),"",E235-N(G235))</f>
        <v/>
      </c>
      <c r="J235" s="16">
        <f>IF(C235&amp;E235="","",IF(F235="","Choose a stage",IF(F235="Quote","",IF(E235="","Add the amount",IF(I235&lt;=0,"Paid",IF(H235="","Balance due, no date set",IF(H235&lt;TODAY(),"Overdue by "&amp;(TODAY()-H235)&amp;IF((TODAY()-H235)=1," day"," days"),IF(H235=TODAY(),"Due today",IF((H235-TODAY())&lt;=14,"Due in "&amp;(H235-TODAY())&amp;IF((H235-TODAY())=1," day"," days"),"Next payment in "&amp;(H235-TODAY())&amp;" days")))))))))</f>
        <v/>
      </c>
      <c r="K235" s="16">
        <f>IF(OR(C235="",E235=""),"",IF(COUNTIFS(Costs!$C$6:$C$305,C235,Costs!$E$6:$E$305,"&lt;&gt;")&lt;2,"",IF(M235=1,"Cheapest of "&amp;COUNTIFS(Costs!$C$6:$C$305,C235,Costs!$E$6:$E$305,"&lt;&gt;"),FIXED(E235-SUMIFS(Costs!$E$6:$E$305,Costs!$C$6:$C$305,C235,Costs!$M$6:$M$305,1)/COUNTIFS(Costs!$C$6:$C$305,C235,Costs!$M$6:$M$305,1),0)&amp;" more than the cheapest")))</f>
        <v/>
      </c>
      <c r="L235" s="33" t="n"/>
      <c r="M235" s="1">
        <f>IF(OR(C235="",E235=""),"",IF(COUNTIFS(Costs!$C$6:$C$305,C235,Costs!$E$6:$E$305,"&lt;"&amp;E235)=0,1,0))</f>
        <v/>
      </c>
      <c r="N235">
        <f>IF(AND(C235&lt;&gt;"",F235="Quote",COUNTIFS(Costs!$C$6:$C$305,C235,Costs!$F$6:$F$305,"Hired")+COUNTIFS(Costs!$C$6:$C$305,C235,Costs!$F$6:$F$305,"Bought")=0),1/COUNTIFS(Costs!$C$6:$C$305,C235,Costs!$F$6:$F$305,"Quote"),"")</f>
        <v/>
      </c>
      <c r="O235">
        <f>IF(AND(OR(F235="Hired",F235="Bought"),N(I235)&gt;0,H235&lt;&gt;""),H235+ROW()/100000,"")</f>
        <v/>
      </c>
    </row>
    <row r="236">
      <c r="A236" s="1" t="n"/>
      <c r="B236" s="33" t="n"/>
      <c r="C236" s="33" t="n"/>
      <c r="D236" s="33" t="n"/>
      <c r="E236" s="27" t="n"/>
      <c r="F236" s="34" t="n"/>
      <c r="G236" s="27" t="n"/>
      <c r="H236" s="35" t="n"/>
      <c r="I236" s="14">
        <f>IF(OR(E236="",AND(F236&lt;&gt;"Hired",F236&lt;&gt;"Bought")),"",E236-N(G236))</f>
        <v/>
      </c>
      <c r="J236" s="16">
        <f>IF(C236&amp;E236="","",IF(F236="","Choose a stage",IF(F236="Quote","",IF(E236="","Add the amount",IF(I236&lt;=0,"Paid",IF(H236="","Balance due, no date set",IF(H236&lt;TODAY(),"Overdue by "&amp;(TODAY()-H236)&amp;IF((TODAY()-H236)=1," day"," days"),IF(H236=TODAY(),"Due today",IF((H236-TODAY())&lt;=14,"Due in "&amp;(H236-TODAY())&amp;IF((H236-TODAY())=1," day"," days"),"Next payment in "&amp;(H236-TODAY())&amp;" days")))))))))</f>
        <v/>
      </c>
      <c r="K236" s="16">
        <f>IF(OR(C236="",E236=""),"",IF(COUNTIFS(Costs!$C$6:$C$305,C236,Costs!$E$6:$E$305,"&lt;&gt;")&lt;2,"",IF(M236=1,"Cheapest of "&amp;COUNTIFS(Costs!$C$6:$C$305,C236,Costs!$E$6:$E$305,"&lt;&gt;"),FIXED(E236-SUMIFS(Costs!$E$6:$E$305,Costs!$C$6:$C$305,C236,Costs!$M$6:$M$305,1)/COUNTIFS(Costs!$C$6:$C$305,C236,Costs!$M$6:$M$305,1),0)&amp;" more than the cheapest")))</f>
        <v/>
      </c>
      <c r="L236" s="33" t="n"/>
      <c r="M236" s="1">
        <f>IF(OR(C236="",E236=""),"",IF(COUNTIFS(Costs!$C$6:$C$305,C236,Costs!$E$6:$E$305,"&lt;"&amp;E236)=0,1,0))</f>
        <v/>
      </c>
      <c r="N236">
        <f>IF(AND(C236&lt;&gt;"",F236="Quote",COUNTIFS(Costs!$C$6:$C$305,C236,Costs!$F$6:$F$305,"Hired")+COUNTIFS(Costs!$C$6:$C$305,C236,Costs!$F$6:$F$305,"Bought")=0),1/COUNTIFS(Costs!$C$6:$C$305,C236,Costs!$F$6:$F$305,"Quote"),"")</f>
        <v/>
      </c>
      <c r="O236">
        <f>IF(AND(OR(F236="Hired",F236="Bought"),N(I236)&gt;0,H236&lt;&gt;""),H236+ROW()/100000,"")</f>
        <v/>
      </c>
    </row>
    <row r="237">
      <c r="A237" s="1" t="n"/>
      <c r="B237" s="33" t="n"/>
      <c r="C237" s="33" t="n"/>
      <c r="D237" s="33" t="n"/>
      <c r="E237" s="27" t="n"/>
      <c r="F237" s="34" t="n"/>
      <c r="G237" s="27" t="n"/>
      <c r="H237" s="35" t="n"/>
      <c r="I237" s="14">
        <f>IF(OR(E237="",AND(F237&lt;&gt;"Hired",F237&lt;&gt;"Bought")),"",E237-N(G237))</f>
        <v/>
      </c>
      <c r="J237" s="16">
        <f>IF(C237&amp;E237="","",IF(F237="","Choose a stage",IF(F237="Quote","",IF(E237="","Add the amount",IF(I237&lt;=0,"Paid",IF(H237="","Balance due, no date set",IF(H237&lt;TODAY(),"Overdue by "&amp;(TODAY()-H237)&amp;IF((TODAY()-H237)=1," day"," days"),IF(H237=TODAY(),"Due today",IF((H237-TODAY())&lt;=14,"Due in "&amp;(H237-TODAY())&amp;IF((H237-TODAY())=1," day"," days"),"Next payment in "&amp;(H237-TODAY())&amp;" days")))))))))</f>
        <v/>
      </c>
      <c r="K237" s="16">
        <f>IF(OR(C237="",E237=""),"",IF(COUNTIFS(Costs!$C$6:$C$305,C237,Costs!$E$6:$E$305,"&lt;&gt;")&lt;2,"",IF(M237=1,"Cheapest of "&amp;COUNTIFS(Costs!$C$6:$C$305,C237,Costs!$E$6:$E$305,"&lt;&gt;"),FIXED(E237-SUMIFS(Costs!$E$6:$E$305,Costs!$C$6:$C$305,C237,Costs!$M$6:$M$305,1)/COUNTIFS(Costs!$C$6:$C$305,C237,Costs!$M$6:$M$305,1),0)&amp;" more than the cheapest")))</f>
        <v/>
      </c>
      <c r="L237" s="33" t="n"/>
      <c r="M237" s="1">
        <f>IF(OR(C237="",E237=""),"",IF(COUNTIFS(Costs!$C$6:$C$305,C237,Costs!$E$6:$E$305,"&lt;"&amp;E237)=0,1,0))</f>
        <v/>
      </c>
      <c r="N237">
        <f>IF(AND(C237&lt;&gt;"",F237="Quote",COUNTIFS(Costs!$C$6:$C$305,C237,Costs!$F$6:$F$305,"Hired")+COUNTIFS(Costs!$C$6:$C$305,C237,Costs!$F$6:$F$305,"Bought")=0),1/COUNTIFS(Costs!$C$6:$C$305,C237,Costs!$F$6:$F$305,"Quote"),"")</f>
        <v/>
      </c>
      <c r="O237">
        <f>IF(AND(OR(F237="Hired",F237="Bought"),N(I237)&gt;0,H237&lt;&gt;""),H237+ROW()/100000,"")</f>
        <v/>
      </c>
    </row>
    <row r="238">
      <c r="A238" s="1" t="n"/>
      <c r="B238" s="33" t="n"/>
      <c r="C238" s="33" t="n"/>
      <c r="D238" s="33" t="n"/>
      <c r="E238" s="27" t="n"/>
      <c r="F238" s="34" t="n"/>
      <c r="G238" s="27" t="n"/>
      <c r="H238" s="35" t="n"/>
      <c r="I238" s="14">
        <f>IF(OR(E238="",AND(F238&lt;&gt;"Hired",F238&lt;&gt;"Bought")),"",E238-N(G238))</f>
        <v/>
      </c>
      <c r="J238" s="16">
        <f>IF(C238&amp;E238="","",IF(F238="","Choose a stage",IF(F238="Quote","",IF(E238="","Add the amount",IF(I238&lt;=0,"Paid",IF(H238="","Balance due, no date set",IF(H238&lt;TODAY(),"Overdue by "&amp;(TODAY()-H238)&amp;IF((TODAY()-H238)=1," day"," days"),IF(H238=TODAY(),"Due today",IF((H238-TODAY())&lt;=14,"Due in "&amp;(H238-TODAY())&amp;IF((H238-TODAY())=1," day"," days"),"Next payment in "&amp;(H238-TODAY())&amp;" days")))))))))</f>
        <v/>
      </c>
      <c r="K238" s="16">
        <f>IF(OR(C238="",E238=""),"",IF(COUNTIFS(Costs!$C$6:$C$305,C238,Costs!$E$6:$E$305,"&lt;&gt;")&lt;2,"",IF(M238=1,"Cheapest of "&amp;COUNTIFS(Costs!$C$6:$C$305,C238,Costs!$E$6:$E$305,"&lt;&gt;"),FIXED(E238-SUMIFS(Costs!$E$6:$E$305,Costs!$C$6:$C$305,C238,Costs!$M$6:$M$305,1)/COUNTIFS(Costs!$C$6:$C$305,C238,Costs!$M$6:$M$305,1),0)&amp;" more than the cheapest")))</f>
        <v/>
      </c>
      <c r="L238" s="33" t="n"/>
      <c r="M238" s="1">
        <f>IF(OR(C238="",E238=""),"",IF(COUNTIFS(Costs!$C$6:$C$305,C238,Costs!$E$6:$E$305,"&lt;"&amp;E238)=0,1,0))</f>
        <v/>
      </c>
      <c r="N238">
        <f>IF(AND(C238&lt;&gt;"",F238="Quote",COUNTIFS(Costs!$C$6:$C$305,C238,Costs!$F$6:$F$305,"Hired")+COUNTIFS(Costs!$C$6:$C$305,C238,Costs!$F$6:$F$305,"Bought")=0),1/COUNTIFS(Costs!$C$6:$C$305,C238,Costs!$F$6:$F$305,"Quote"),"")</f>
        <v/>
      </c>
      <c r="O238">
        <f>IF(AND(OR(F238="Hired",F238="Bought"),N(I238)&gt;0,H238&lt;&gt;""),H238+ROW()/100000,"")</f>
        <v/>
      </c>
    </row>
    <row r="239">
      <c r="A239" s="1" t="n"/>
      <c r="B239" s="33" t="n"/>
      <c r="C239" s="33" t="n"/>
      <c r="D239" s="33" t="n"/>
      <c r="E239" s="27" t="n"/>
      <c r="F239" s="34" t="n"/>
      <c r="G239" s="27" t="n"/>
      <c r="H239" s="35" t="n"/>
      <c r="I239" s="14">
        <f>IF(OR(E239="",AND(F239&lt;&gt;"Hired",F239&lt;&gt;"Bought")),"",E239-N(G239))</f>
        <v/>
      </c>
      <c r="J239" s="16">
        <f>IF(C239&amp;E239="","",IF(F239="","Choose a stage",IF(F239="Quote","",IF(E239="","Add the amount",IF(I239&lt;=0,"Paid",IF(H239="","Balance due, no date set",IF(H239&lt;TODAY(),"Overdue by "&amp;(TODAY()-H239)&amp;IF((TODAY()-H239)=1," day"," days"),IF(H239=TODAY(),"Due today",IF((H239-TODAY())&lt;=14,"Due in "&amp;(H239-TODAY())&amp;IF((H239-TODAY())=1," day"," days"),"Next payment in "&amp;(H239-TODAY())&amp;" days")))))))))</f>
        <v/>
      </c>
      <c r="K239" s="16">
        <f>IF(OR(C239="",E239=""),"",IF(COUNTIFS(Costs!$C$6:$C$305,C239,Costs!$E$6:$E$305,"&lt;&gt;")&lt;2,"",IF(M239=1,"Cheapest of "&amp;COUNTIFS(Costs!$C$6:$C$305,C239,Costs!$E$6:$E$305,"&lt;&gt;"),FIXED(E239-SUMIFS(Costs!$E$6:$E$305,Costs!$C$6:$C$305,C239,Costs!$M$6:$M$305,1)/COUNTIFS(Costs!$C$6:$C$305,C239,Costs!$M$6:$M$305,1),0)&amp;" more than the cheapest")))</f>
        <v/>
      </c>
      <c r="L239" s="33" t="n"/>
      <c r="M239" s="1">
        <f>IF(OR(C239="",E239=""),"",IF(COUNTIFS(Costs!$C$6:$C$305,C239,Costs!$E$6:$E$305,"&lt;"&amp;E239)=0,1,0))</f>
        <v/>
      </c>
      <c r="N239">
        <f>IF(AND(C239&lt;&gt;"",F239="Quote",COUNTIFS(Costs!$C$6:$C$305,C239,Costs!$F$6:$F$305,"Hired")+COUNTIFS(Costs!$C$6:$C$305,C239,Costs!$F$6:$F$305,"Bought")=0),1/COUNTIFS(Costs!$C$6:$C$305,C239,Costs!$F$6:$F$305,"Quote"),"")</f>
        <v/>
      </c>
      <c r="O239">
        <f>IF(AND(OR(F239="Hired",F239="Bought"),N(I239)&gt;0,H239&lt;&gt;""),H239+ROW()/100000,"")</f>
        <v/>
      </c>
    </row>
    <row r="240">
      <c r="A240" s="1" t="n"/>
      <c r="B240" s="33" t="n"/>
      <c r="C240" s="33" t="n"/>
      <c r="D240" s="33" t="n"/>
      <c r="E240" s="27" t="n"/>
      <c r="F240" s="34" t="n"/>
      <c r="G240" s="27" t="n"/>
      <c r="H240" s="35" t="n"/>
      <c r="I240" s="14">
        <f>IF(OR(E240="",AND(F240&lt;&gt;"Hired",F240&lt;&gt;"Bought")),"",E240-N(G240))</f>
        <v/>
      </c>
      <c r="J240" s="16">
        <f>IF(C240&amp;E240="","",IF(F240="","Choose a stage",IF(F240="Quote","",IF(E240="","Add the amount",IF(I240&lt;=0,"Paid",IF(H240="","Balance due, no date set",IF(H240&lt;TODAY(),"Overdue by "&amp;(TODAY()-H240)&amp;IF((TODAY()-H240)=1," day"," days"),IF(H240=TODAY(),"Due today",IF((H240-TODAY())&lt;=14,"Due in "&amp;(H240-TODAY())&amp;IF((H240-TODAY())=1," day"," days"),"Next payment in "&amp;(H240-TODAY())&amp;" days")))))))))</f>
        <v/>
      </c>
      <c r="K240" s="16">
        <f>IF(OR(C240="",E240=""),"",IF(COUNTIFS(Costs!$C$6:$C$305,C240,Costs!$E$6:$E$305,"&lt;&gt;")&lt;2,"",IF(M240=1,"Cheapest of "&amp;COUNTIFS(Costs!$C$6:$C$305,C240,Costs!$E$6:$E$305,"&lt;&gt;"),FIXED(E240-SUMIFS(Costs!$E$6:$E$305,Costs!$C$6:$C$305,C240,Costs!$M$6:$M$305,1)/COUNTIFS(Costs!$C$6:$C$305,C240,Costs!$M$6:$M$305,1),0)&amp;" more than the cheapest")))</f>
        <v/>
      </c>
      <c r="L240" s="33" t="n"/>
      <c r="M240" s="1">
        <f>IF(OR(C240="",E240=""),"",IF(COUNTIFS(Costs!$C$6:$C$305,C240,Costs!$E$6:$E$305,"&lt;"&amp;E240)=0,1,0))</f>
        <v/>
      </c>
      <c r="N240">
        <f>IF(AND(C240&lt;&gt;"",F240="Quote",COUNTIFS(Costs!$C$6:$C$305,C240,Costs!$F$6:$F$305,"Hired")+COUNTIFS(Costs!$C$6:$C$305,C240,Costs!$F$6:$F$305,"Bought")=0),1/COUNTIFS(Costs!$C$6:$C$305,C240,Costs!$F$6:$F$305,"Quote"),"")</f>
        <v/>
      </c>
      <c r="O240">
        <f>IF(AND(OR(F240="Hired",F240="Bought"),N(I240)&gt;0,H240&lt;&gt;""),H240+ROW()/100000,"")</f>
        <v/>
      </c>
    </row>
    <row r="241">
      <c r="A241" s="1" t="n"/>
      <c r="B241" s="33" t="n"/>
      <c r="C241" s="33" t="n"/>
      <c r="D241" s="33" t="n"/>
      <c r="E241" s="27" t="n"/>
      <c r="F241" s="34" t="n"/>
      <c r="G241" s="27" t="n"/>
      <c r="H241" s="35" t="n"/>
      <c r="I241" s="14">
        <f>IF(OR(E241="",AND(F241&lt;&gt;"Hired",F241&lt;&gt;"Bought")),"",E241-N(G241))</f>
        <v/>
      </c>
      <c r="J241" s="16">
        <f>IF(C241&amp;E241="","",IF(F241="","Choose a stage",IF(F241="Quote","",IF(E241="","Add the amount",IF(I241&lt;=0,"Paid",IF(H241="","Balance due, no date set",IF(H241&lt;TODAY(),"Overdue by "&amp;(TODAY()-H241)&amp;IF((TODAY()-H241)=1," day"," days"),IF(H241=TODAY(),"Due today",IF((H241-TODAY())&lt;=14,"Due in "&amp;(H241-TODAY())&amp;IF((H241-TODAY())=1," day"," days"),"Next payment in "&amp;(H241-TODAY())&amp;" days")))))))))</f>
        <v/>
      </c>
      <c r="K241" s="16">
        <f>IF(OR(C241="",E241=""),"",IF(COUNTIFS(Costs!$C$6:$C$305,C241,Costs!$E$6:$E$305,"&lt;&gt;")&lt;2,"",IF(M241=1,"Cheapest of "&amp;COUNTIFS(Costs!$C$6:$C$305,C241,Costs!$E$6:$E$305,"&lt;&gt;"),FIXED(E241-SUMIFS(Costs!$E$6:$E$305,Costs!$C$6:$C$305,C241,Costs!$M$6:$M$305,1)/COUNTIFS(Costs!$C$6:$C$305,C241,Costs!$M$6:$M$305,1),0)&amp;" more than the cheapest")))</f>
        <v/>
      </c>
      <c r="L241" s="33" t="n"/>
      <c r="M241" s="1">
        <f>IF(OR(C241="",E241=""),"",IF(COUNTIFS(Costs!$C$6:$C$305,C241,Costs!$E$6:$E$305,"&lt;"&amp;E241)=0,1,0))</f>
        <v/>
      </c>
      <c r="N241">
        <f>IF(AND(C241&lt;&gt;"",F241="Quote",COUNTIFS(Costs!$C$6:$C$305,C241,Costs!$F$6:$F$305,"Hired")+COUNTIFS(Costs!$C$6:$C$305,C241,Costs!$F$6:$F$305,"Bought")=0),1/COUNTIFS(Costs!$C$6:$C$305,C241,Costs!$F$6:$F$305,"Quote"),"")</f>
        <v/>
      </c>
      <c r="O241">
        <f>IF(AND(OR(F241="Hired",F241="Bought"),N(I241)&gt;0,H241&lt;&gt;""),H241+ROW()/100000,"")</f>
        <v/>
      </c>
    </row>
    <row r="242">
      <c r="A242" s="1" t="n"/>
      <c r="B242" s="33" t="n"/>
      <c r="C242" s="33" t="n"/>
      <c r="D242" s="33" t="n"/>
      <c r="E242" s="27" t="n"/>
      <c r="F242" s="34" t="n"/>
      <c r="G242" s="27" t="n"/>
      <c r="H242" s="35" t="n"/>
      <c r="I242" s="14">
        <f>IF(OR(E242="",AND(F242&lt;&gt;"Hired",F242&lt;&gt;"Bought")),"",E242-N(G242))</f>
        <v/>
      </c>
      <c r="J242" s="16">
        <f>IF(C242&amp;E242="","",IF(F242="","Choose a stage",IF(F242="Quote","",IF(E242="","Add the amount",IF(I242&lt;=0,"Paid",IF(H242="","Balance due, no date set",IF(H242&lt;TODAY(),"Overdue by "&amp;(TODAY()-H242)&amp;IF((TODAY()-H242)=1," day"," days"),IF(H242=TODAY(),"Due today",IF((H242-TODAY())&lt;=14,"Due in "&amp;(H242-TODAY())&amp;IF((H242-TODAY())=1," day"," days"),"Next payment in "&amp;(H242-TODAY())&amp;" days")))))))))</f>
        <v/>
      </c>
      <c r="K242" s="16">
        <f>IF(OR(C242="",E242=""),"",IF(COUNTIFS(Costs!$C$6:$C$305,C242,Costs!$E$6:$E$305,"&lt;&gt;")&lt;2,"",IF(M242=1,"Cheapest of "&amp;COUNTIFS(Costs!$C$6:$C$305,C242,Costs!$E$6:$E$305,"&lt;&gt;"),FIXED(E242-SUMIFS(Costs!$E$6:$E$305,Costs!$C$6:$C$305,C242,Costs!$M$6:$M$305,1)/COUNTIFS(Costs!$C$6:$C$305,C242,Costs!$M$6:$M$305,1),0)&amp;" more than the cheapest")))</f>
        <v/>
      </c>
      <c r="L242" s="33" t="n"/>
      <c r="M242" s="1">
        <f>IF(OR(C242="",E242=""),"",IF(COUNTIFS(Costs!$C$6:$C$305,C242,Costs!$E$6:$E$305,"&lt;"&amp;E242)=0,1,0))</f>
        <v/>
      </c>
      <c r="N242">
        <f>IF(AND(C242&lt;&gt;"",F242="Quote",COUNTIFS(Costs!$C$6:$C$305,C242,Costs!$F$6:$F$305,"Hired")+COUNTIFS(Costs!$C$6:$C$305,C242,Costs!$F$6:$F$305,"Bought")=0),1/COUNTIFS(Costs!$C$6:$C$305,C242,Costs!$F$6:$F$305,"Quote"),"")</f>
        <v/>
      </c>
      <c r="O242">
        <f>IF(AND(OR(F242="Hired",F242="Bought"),N(I242)&gt;0,H242&lt;&gt;""),H242+ROW()/100000,"")</f>
        <v/>
      </c>
    </row>
    <row r="243">
      <c r="A243" s="1" t="n"/>
      <c r="B243" s="33" t="n"/>
      <c r="C243" s="33" t="n"/>
      <c r="D243" s="33" t="n"/>
      <c r="E243" s="27" t="n"/>
      <c r="F243" s="34" t="n"/>
      <c r="G243" s="27" t="n"/>
      <c r="H243" s="35" t="n"/>
      <c r="I243" s="14">
        <f>IF(OR(E243="",AND(F243&lt;&gt;"Hired",F243&lt;&gt;"Bought")),"",E243-N(G243))</f>
        <v/>
      </c>
      <c r="J243" s="16">
        <f>IF(C243&amp;E243="","",IF(F243="","Choose a stage",IF(F243="Quote","",IF(E243="","Add the amount",IF(I243&lt;=0,"Paid",IF(H243="","Balance due, no date set",IF(H243&lt;TODAY(),"Overdue by "&amp;(TODAY()-H243)&amp;IF((TODAY()-H243)=1," day"," days"),IF(H243=TODAY(),"Due today",IF((H243-TODAY())&lt;=14,"Due in "&amp;(H243-TODAY())&amp;IF((H243-TODAY())=1," day"," days"),"Next payment in "&amp;(H243-TODAY())&amp;" days")))))))))</f>
        <v/>
      </c>
      <c r="K243" s="16">
        <f>IF(OR(C243="",E243=""),"",IF(COUNTIFS(Costs!$C$6:$C$305,C243,Costs!$E$6:$E$305,"&lt;&gt;")&lt;2,"",IF(M243=1,"Cheapest of "&amp;COUNTIFS(Costs!$C$6:$C$305,C243,Costs!$E$6:$E$305,"&lt;&gt;"),FIXED(E243-SUMIFS(Costs!$E$6:$E$305,Costs!$C$6:$C$305,C243,Costs!$M$6:$M$305,1)/COUNTIFS(Costs!$C$6:$C$305,C243,Costs!$M$6:$M$305,1),0)&amp;" more than the cheapest")))</f>
        <v/>
      </c>
      <c r="L243" s="33" t="n"/>
      <c r="M243" s="1">
        <f>IF(OR(C243="",E243=""),"",IF(COUNTIFS(Costs!$C$6:$C$305,C243,Costs!$E$6:$E$305,"&lt;"&amp;E243)=0,1,0))</f>
        <v/>
      </c>
      <c r="N243">
        <f>IF(AND(C243&lt;&gt;"",F243="Quote",COUNTIFS(Costs!$C$6:$C$305,C243,Costs!$F$6:$F$305,"Hired")+COUNTIFS(Costs!$C$6:$C$305,C243,Costs!$F$6:$F$305,"Bought")=0),1/COUNTIFS(Costs!$C$6:$C$305,C243,Costs!$F$6:$F$305,"Quote"),"")</f>
        <v/>
      </c>
      <c r="O243">
        <f>IF(AND(OR(F243="Hired",F243="Bought"),N(I243)&gt;0,H243&lt;&gt;""),H243+ROW()/100000,"")</f>
        <v/>
      </c>
    </row>
    <row r="244">
      <c r="A244" s="1" t="n"/>
      <c r="B244" s="33" t="n"/>
      <c r="C244" s="33" t="n"/>
      <c r="D244" s="33" t="n"/>
      <c r="E244" s="27" t="n"/>
      <c r="F244" s="34" t="n"/>
      <c r="G244" s="27" t="n"/>
      <c r="H244" s="35" t="n"/>
      <c r="I244" s="14">
        <f>IF(OR(E244="",AND(F244&lt;&gt;"Hired",F244&lt;&gt;"Bought")),"",E244-N(G244))</f>
        <v/>
      </c>
      <c r="J244" s="16">
        <f>IF(C244&amp;E244="","",IF(F244="","Choose a stage",IF(F244="Quote","",IF(E244="","Add the amount",IF(I244&lt;=0,"Paid",IF(H244="","Balance due, no date set",IF(H244&lt;TODAY(),"Overdue by "&amp;(TODAY()-H244)&amp;IF((TODAY()-H244)=1," day"," days"),IF(H244=TODAY(),"Due today",IF((H244-TODAY())&lt;=14,"Due in "&amp;(H244-TODAY())&amp;IF((H244-TODAY())=1," day"," days"),"Next payment in "&amp;(H244-TODAY())&amp;" days")))))))))</f>
        <v/>
      </c>
      <c r="K244" s="16">
        <f>IF(OR(C244="",E244=""),"",IF(COUNTIFS(Costs!$C$6:$C$305,C244,Costs!$E$6:$E$305,"&lt;&gt;")&lt;2,"",IF(M244=1,"Cheapest of "&amp;COUNTIFS(Costs!$C$6:$C$305,C244,Costs!$E$6:$E$305,"&lt;&gt;"),FIXED(E244-SUMIFS(Costs!$E$6:$E$305,Costs!$C$6:$C$305,C244,Costs!$M$6:$M$305,1)/COUNTIFS(Costs!$C$6:$C$305,C244,Costs!$M$6:$M$305,1),0)&amp;" more than the cheapest")))</f>
        <v/>
      </c>
      <c r="L244" s="33" t="n"/>
      <c r="M244" s="1">
        <f>IF(OR(C244="",E244=""),"",IF(COUNTIFS(Costs!$C$6:$C$305,C244,Costs!$E$6:$E$305,"&lt;"&amp;E244)=0,1,0))</f>
        <v/>
      </c>
      <c r="N244">
        <f>IF(AND(C244&lt;&gt;"",F244="Quote",COUNTIFS(Costs!$C$6:$C$305,C244,Costs!$F$6:$F$305,"Hired")+COUNTIFS(Costs!$C$6:$C$305,C244,Costs!$F$6:$F$305,"Bought")=0),1/COUNTIFS(Costs!$C$6:$C$305,C244,Costs!$F$6:$F$305,"Quote"),"")</f>
        <v/>
      </c>
      <c r="O244">
        <f>IF(AND(OR(F244="Hired",F244="Bought"),N(I244)&gt;0,H244&lt;&gt;""),H244+ROW()/100000,"")</f>
        <v/>
      </c>
    </row>
    <row r="245">
      <c r="A245" s="1" t="n"/>
      <c r="B245" s="33" t="n"/>
      <c r="C245" s="33" t="n"/>
      <c r="D245" s="33" t="n"/>
      <c r="E245" s="27" t="n"/>
      <c r="F245" s="34" t="n"/>
      <c r="G245" s="27" t="n"/>
      <c r="H245" s="35" t="n"/>
      <c r="I245" s="14">
        <f>IF(OR(E245="",AND(F245&lt;&gt;"Hired",F245&lt;&gt;"Bought")),"",E245-N(G245))</f>
        <v/>
      </c>
      <c r="J245" s="16">
        <f>IF(C245&amp;E245="","",IF(F245="","Choose a stage",IF(F245="Quote","",IF(E245="","Add the amount",IF(I245&lt;=0,"Paid",IF(H245="","Balance due, no date set",IF(H245&lt;TODAY(),"Overdue by "&amp;(TODAY()-H245)&amp;IF((TODAY()-H245)=1," day"," days"),IF(H245=TODAY(),"Due today",IF((H245-TODAY())&lt;=14,"Due in "&amp;(H245-TODAY())&amp;IF((H245-TODAY())=1," day"," days"),"Next payment in "&amp;(H245-TODAY())&amp;" days")))))))))</f>
        <v/>
      </c>
      <c r="K245" s="16">
        <f>IF(OR(C245="",E245=""),"",IF(COUNTIFS(Costs!$C$6:$C$305,C245,Costs!$E$6:$E$305,"&lt;&gt;")&lt;2,"",IF(M245=1,"Cheapest of "&amp;COUNTIFS(Costs!$C$6:$C$305,C245,Costs!$E$6:$E$305,"&lt;&gt;"),FIXED(E245-SUMIFS(Costs!$E$6:$E$305,Costs!$C$6:$C$305,C245,Costs!$M$6:$M$305,1)/COUNTIFS(Costs!$C$6:$C$305,C245,Costs!$M$6:$M$305,1),0)&amp;" more than the cheapest")))</f>
        <v/>
      </c>
      <c r="L245" s="33" t="n"/>
      <c r="M245" s="1">
        <f>IF(OR(C245="",E245=""),"",IF(COUNTIFS(Costs!$C$6:$C$305,C245,Costs!$E$6:$E$305,"&lt;"&amp;E245)=0,1,0))</f>
        <v/>
      </c>
      <c r="N245">
        <f>IF(AND(C245&lt;&gt;"",F245="Quote",COUNTIFS(Costs!$C$6:$C$305,C245,Costs!$F$6:$F$305,"Hired")+COUNTIFS(Costs!$C$6:$C$305,C245,Costs!$F$6:$F$305,"Bought")=0),1/COUNTIFS(Costs!$C$6:$C$305,C245,Costs!$F$6:$F$305,"Quote"),"")</f>
        <v/>
      </c>
      <c r="O245">
        <f>IF(AND(OR(F245="Hired",F245="Bought"),N(I245)&gt;0,H245&lt;&gt;""),H245+ROW()/100000,"")</f>
        <v/>
      </c>
    </row>
    <row r="246">
      <c r="A246" s="1" t="n"/>
      <c r="B246" s="33" t="n"/>
      <c r="C246" s="33" t="n"/>
      <c r="D246" s="33" t="n"/>
      <c r="E246" s="27" t="n"/>
      <c r="F246" s="34" t="n"/>
      <c r="G246" s="27" t="n"/>
      <c r="H246" s="35" t="n"/>
      <c r="I246" s="14">
        <f>IF(OR(E246="",AND(F246&lt;&gt;"Hired",F246&lt;&gt;"Bought")),"",E246-N(G246))</f>
        <v/>
      </c>
      <c r="J246" s="16">
        <f>IF(C246&amp;E246="","",IF(F246="","Choose a stage",IF(F246="Quote","",IF(E246="","Add the amount",IF(I246&lt;=0,"Paid",IF(H246="","Balance due, no date set",IF(H246&lt;TODAY(),"Overdue by "&amp;(TODAY()-H246)&amp;IF((TODAY()-H246)=1," day"," days"),IF(H246=TODAY(),"Due today",IF((H246-TODAY())&lt;=14,"Due in "&amp;(H246-TODAY())&amp;IF((H246-TODAY())=1," day"," days"),"Next payment in "&amp;(H246-TODAY())&amp;" days")))))))))</f>
        <v/>
      </c>
      <c r="K246" s="16">
        <f>IF(OR(C246="",E246=""),"",IF(COUNTIFS(Costs!$C$6:$C$305,C246,Costs!$E$6:$E$305,"&lt;&gt;")&lt;2,"",IF(M246=1,"Cheapest of "&amp;COUNTIFS(Costs!$C$6:$C$305,C246,Costs!$E$6:$E$305,"&lt;&gt;"),FIXED(E246-SUMIFS(Costs!$E$6:$E$305,Costs!$C$6:$C$305,C246,Costs!$M$6:$M$305,1)/COUNTIFS(Costs!$C$6:$C$305,C246,Costs!$M$6:$M$305,1),0)&amp;" more than the cheapest")))</f>
        <v/>
      </c>
      <c r="L246" s="33" t="n"/>
      <c r="M246" s="1">
        <f>IF(OR(C246="",E246=""),"",IF(COUNTIFS(Costs!$C$6:$C$305,C246,Costs!$E$6:$E$305,"&lt;"&amp;E246)=0,1,0))</f>
        <v/>
      </c>
      <c r="N246">
        <f>IF(AND(C246&lt;&gt;"",F246="Quote",COUNTIFS(Costs!$C$6:$C$305,C246,Costs!$F$6:$F$305,"Hired")+COUNTIFS(Costs!$C$6:$C$305,C246,Costs!$F$6:$F$305,"Bought")=0),1/COUNTIFS(Costs!$C$6:$C$305,C246,Costs!$F$6:$F$305,"Quote"),"")</f>
        <v/>
      </c>
      <c r="O246">
        <f>IF(AND(OR(F246="Hired",F246="Bought"),N(I246)&gt;0,H246&lt;&gt;""),H246+ROW()/100000,"")</f>
        <v/>
      </c>
    </row>
    <row r="247">
      <c r="A247" s="1" t="n"/>
      <c r="B247" s="33" t="n"/>
      <c r="C247" s="33" t="n"/>
      <c r="D247" s="33" t="n"/>
      <c r="E247" s="27" t="n"/>
      <c r="F247" s="34" t="n"/>
      <c r="G247" s="27" t="n"/>
      <c r="H247" s="35" t="n"/>
      <c r="I247" s="14">
        <f>IF(OR(E247="",AND(F247&lt;&gt;"Hired",F247&lt;&gt;"Bought")),"",E247-N(G247))</f>
        <v/>
      </c>
      <c r="J247" s="16">
        <f>IF(C247&amp;E247="","",IF(F247="","Choose a stage",IF(F247="Quote","",IF(E247="","Add the amount",IF(I247&lt;=0,"Paid",IF(H247="","Balance due, no date set",IF(H247&lt;TODAY(),"Overdue by "&amp;(TODAY()-H247)&amp;IF((TODAY()-H247)=1," day"," days"),IF(H247=TODAY(),"Due today",IF((H247-TODAY())&lt;=14,"Due in "&amp;(H247-TODAY())&amp;IF((H247-TODAY())=1," day"," days"),"Next payment in "&amp;(H247-TODAY())&amp;" days")))))))))</f>
        <v/>
      </c>
      <c r="K247" s="16">
        <f>IF(OR(C247="",E247=""),"",IF(COUNTIFS(Costs!$C$6:$C$305,C247,Costs!$E$6:$E$305,"&lt;&gt;")&lt;2,"",IF(M247=1,"Cheapest of "&amp;COUNTIFS(Costs!$C$6:$C$305,C247,Costs!$E$6:$E$305,"&lt;&gt;"),FIXED(E247-SUMIFS(Costs!$E$6:$E$305,Costs!$C$6:$C$305,C247,Costs!$M$6:$M$305,1)/COUNTIFS(Costs!$C$6:$C$305,C247,Costs!$M$6:$M$305,1),0)&amp;" more than the cheapest")))</f>
        <v/>
      </c>
      <c r="L247" s="33" t="n"/>
      <c r="M247" s="1">
        <f>IF(OR(C247="",E247=""),"",IF(COUNTIFS(Costs!$C$6:$C$305,C247,Costs!$E$6:$E$305,"&lt;"&amp;E247)=0,1,0))</f>
        <v/>
      </c>
      <c r="N247">
        <f>IF(AND(C247&lt;&gt;"",F247="Quote",COUNTIFS(Costs!$C$6:$C$305,C247,Costs!$F$6:$F$305,"Hired")+COUNTIFS(Costs!$C$6:$C$305,C247,Costs!$F$6:$F$305,"Bought")=0),1/COUNTIFS(Costs!$C$6:$C$305,C247,Costs!$F$6:$F$305,"Quote"),"")</f>
        <v/>
      </c>
      <c r="O247">
        <f>IF(AND(OR(F247="Hired",F247="Bought"),N(I247)&gt;0,H247&lt;&gt;""),H247+ROW()/100000,"")</f>
        <v/>
      </c>
    </row>
    <row r="248">
      <c r="A248" s="1" t="n"/>
      <c r="B248" s="33" t="n"/>
      <c r="C248" s="33" t="n"/>
      <c r="D248" s="33" t="n"/>
      <c r="E248" s="27" t="n"/>
      <c r="F248" s="34" t="n"/>
      <c r="G248" s="27" t="n"/>
      <c r="H248" s="35" t="n"/>
      <c r="I248" s="14">
        <f>IF(OR(E248="",AND(F248&lt;&gt;"Hired",F248&lt;&gt;"Bought")),"",E248-N(G248))</f>
        <v/>
      </c>
      <c r="J248" s="16">
        <f>IF(C248&amp;E248="","",IF(F248="","Choose a stage",IF(F248="Quote","",IF(E248="","Add the amount",IF(I248&lt;=0,"Paid",IF(H248="","Balance due, no date set",IF(H248&lt;TODAY(),"Overdue by "&amp;(TODAY()-H248)&amp;IF((TODAY()-H248)=1," day"," days"),IF(H248=TODAY(),"Due today",IF((H248-TODAY())&lt;=14,"Due in "&amp;(H248-TODAY())&amp;IF((H248-TODAY())=1," day"," days"),"Next payment in "&amp;(H248-TODAY())&amp;" days")))))))))</f>
        <v/>
      </c>
      <c r="K248" s="16">
        <f>IF(OR(C248="",E248=""),"",IF(COUNTIFS(Costs!$C$6:$C$305,C248,Costs!$E$6:$E$305,"&lt;&gt;")&lt;2,"",IF(M248=1,"Cheapest of "&amp;COUNTIFS(Costs!$C$6:$C$305,C248,Costs!$E$6:$E$305,"&lt;&gt;"),FIXED(E248-SUMIFS(Costs!$E$6:$E$305,Costs!$C$6:$C$305,C248,Costs!$M$6:$M$305,1)/COUNTIFS(Costs!$C$6:$C$305,C248,Costs!$M$6:$M$305,1),0)&amp;" more than the cheapest")))</f>
        <v/>
      </c>
      <c r="L248" s="33" t="n"/>
      <c r="M248" s="1">
        <f>IF(OR(C248="",E248=""),"",IF(COUNTIFS(Costs!$C$6:$C$305,C248,Costs!$E$6:$E$305,"&lt;"&amp;E248)=0,1,0))</f>
        <v/>
      </c>
      <c r="N248">
        <f>IF(AND(C248&lt;&gt;"",F248="Quote",COUNTIFS(Costs!$C$6:$C$305,C248,Costs!$F$6:$F$305,"Hired")+COUNTIFS(Costs!$C$6:$C$305,C248,Costs!$F$6:$F$305,"Bought")=0),1/COUNTIFS(Costs!$C$6:$C$305,C248,Costs!$F$6:$F$305,"Quote"),"")</f>
        <v/>
      </c>
      <c r="O248">
        <f>IF(AND(OR(F248="Hired",F248="Bought"),N(I248)&gt;0,H248&lt;&gt;""),H248+ROW()/100000,"")</f>
        <v/>
      </c>
    </row>
    <row r="249">
      <c r="A249" s="1" t="n"/>
      <c r="B249" s="33" t="n"/>
      <c r="C249" s="33" t="n"/>
      <c r="D249" s="33" t="n"/>
      <c r="E249" s="27" t="n"/>
      <c r="F249" s="34" t="n"/>
      <c r="G249" s="27" t="n"/>
      <c r="H249" s="35" t="n"/>
      <c r="I249" s="14">
        <f>IF(OR(E249="",AND(F249&lt;&gt;"Hired",F249&lt;&gt;"Bought")),"",E249-N(G249))</f>
        <v/>
      </c>
      <c r="J249" s="16">
        <f>IF(C249&amp;E249="","",IF(F249="","Choose a stage",IF(F249="Quote","",IF(E249="","Add the amount",IF(I249&lt;=0,"Paid",IF(H249="","Balance due, no date set",IF(H249&lt;TODAY(),"Overdue by "&amp;(TODAY()-H249)&amp;IF((TODAY()-H249)=1," day"," days"),IF(H249=TODAY(),"Due today",IF((H249-TODAY())&lt;=14,"Due in "&amp;(H249-TODAY())&amp;IF((H249-TODAY())=1," day"," days"),"Next payment in "&amp;(H249-TODAY())&amp;" days")))))))))</f>
        <v/>
      </c>
      <c r="K249" s="16">
        <f>IF(OR(C249="",E249=""),"",IF(COUNTIFS(Costs!$C$6:$C$305,C249,Costs!$E$6:$E$305,"&lt;&gt;")&lt;2,"",IF(M249=1,"Cheapest of "&amp;COUNTIFS(Costs!$C$6:$C$305,C249,Costs!$E$6:$E$305,"&lt;&gt;"),FIXED(E249-SUMIFS(Costs!$E$6:$E$305,Costs!$C$6:$C$305,C249,Costs!$M$6:$M$305,1)/COUNTIFS(Costs!$C$6:$C$305,C249,Costs!$M$6:$M$305,1),0)&amp;" more than the cheapest")))</f>
        <v/>
      </c>
      <c r="L249" s="33" t="n"/>
      <c r="M249" s="1">
        <f>IF(OR(C249="",E249=""),"",IF(COUNTIFS(Costs!$C$6:$C$305,C249,Costs!$E$6:$E$305,"&lt;"&amp;E249)=0,1,0))</f>
        <v/>
      </c>
      <c r="N249">
        <f>IF(AND(C249&lt;&gt;"",F249="Quote",COUNTIFS(Costs!$C$6:$C$305,C249,Costs!$F$6:$F$305,"Hired")+COUNTIFS(Costs!$C$6:$C$305,C249,Costs!$F$6:$F$305,"Bought")=0),1/COUNTIFS(Costs!$C$6:$C$305,C249,Costs!$F$6:$F$305,"Quote"),"")</f>
        <v/>
      </c>
      <c r="O249">
        <f>IF(AND(OR(F249="Hired",F249="Bought"),N(I249)&gt;0,H249&lt;&gt;""),H249+ROW()/100000,"")</f>
        <v/>
      </c>
    </row>
    <row r="250">
      <c r="A250" s="1" t="n"/>
      <c r="B250" s="33" t="n"/>
      <c r="C250" s="33" t="n"/>
      <c r="D250" s="33" t="n"/>
      <c r="E250" s="27" t="n"/>
      <c r="F250" s="34" t="n"/>
      <c r="G250" s="27" t="n"/>
      <c r="H250" s="35" t="n"/>
      <c r="I250" s="14">
        <f>IF(OR(E250="",AND(F250&lt;&gt;"Hired",F250&lt;&gt;"Bought")),"",E250-N(G250))</f>
        <v/>
      </c>
      <c r="J250" s="16">
        <f>IF(C250&amp;E250="","",IF(F250="","Choose a stage",IF(F250="Quote","",IF(E250="","Add the amount",IF(I250&lt;=0,"Paid",IF(H250="","Balance due, no date set",IF(H250&lt;TODAY(),"Overdue by "&amp;(TODAY()-H250)&amp;IF((TODAY()-H250)=1," day"," days"),IF(H250=TODAY(),"Due today",IF((H250-TODAY())&lt;=14,"Due in "&amp;(H250-TODAY())&amp;IF((H250-TODAY())=1," day"," days"),"Next payment in "&amp;(H250-TODAY())&amp;" days")))))))))</f>
        <v/>
      </c>
      <c r="K250" s="16">
        <f>IF(OR(C250="",E250=""),"",IF(COUNTIFS(Costs!$C$6:$C$305,C250,Costs!$E$6:$E$305,"&lt;&gt;")&lt;2,"",IF(M250=1,"Cheapest of "&amp;COUNTIFS(Costs!$C$6:$C$305,C250,Costs!$E$6:$E$305,"&lt;&gt;"),FIXED(E250-SUMIFS(Costs!$E$6:$E$305,Costs!$C$6:$C$305,C250,Costs!$M$6:$M$305,1)/COUNTIFS(Costs!$C$6:$C$305,C250,Costs!$M$6:$M$305,1),0)&amp;" more than the cheapest")))</f>
        <v/>
      </c>
      <c r="L250" s="33" t="n"/>
      <c r="M250" s="1">
        <f>IF(OR(C250="",E250=""),"",IF(COUNTIFS(Costs!$C$6:$C$305,C250,Costs!$E$6:$E$305,"&lt;"&amp;E250)=0,1,0))</f>
        <v/>
      </c>
      <c r="N250">
        <f>IF(AND(C250&lt;&gt;"",F250="Quote",COUNTIFS(Costs!$C$6:$C$305,C250,Costs!$F$6:$F$305,"Hired")+COUNTIFS(Costs!$C$6:$C$305,C250,Costs!$F$6:$F$305,"Bought")=0),1/COUNTIFS(Costs!$C$6:$C$305,C250,Costs!$F$6:$F$305,"Quote"),"")</f>
        <v/>
      </c>
      <c r="O250">
        <f>IF(AND(OR(F250="Hired",F250="Bought"),N(I250)&gt;0,H250&lt;&gt;""),H250+ROW()/100000,"")</f>
        <v/>
      </c>
    </row>
    <row r="251">
      <c r="A251" s="1" t="n"/>
      <c r="B251" s="33" t="n"/>
      <c r="C251" s="33" t="n"/>
      <c r="D251" s="33" t="n"/>
      <c r="E251" s="27" t="n"/>
      <c r="F251" s="34" t="n"/>
      <c r="G251" s="27" t="n"/>
      <c r="H251" s="35" t="n"/>
      <c r="I251" s="14">
        <f>IF(OR(E251="",AND(F251&lt;&gt;"Hired",F251&lt;&gt;"Bought")),"",E251-N(G251))</f>
        <v/>
      </c>
      <c r="J251" s="16">
        <f>IF(C251&amp;E251="","",IF(F251="","Choose a stage",IF(F251="Quote","",IF(E251="","Add the amount",IF(I251&lt;=0,"Paid",IF(H251="","Balance due, no date set",IF(H251&lt;TODAY(),"Overdue by "&amp;(TODAY()-H251)&amp;IF((TODAY()-H251)=1," day"," days"),IF(H251=TODAY(),"Due today",IF((H251-TODAY())&lt;=14,"Due in "&amp;(H251-TODAY())&amp;IF((H251-TODAY())=1," day"," days"),"Next payment in "&amp;(H251-TODAY())&amp;" days")))))))))</f>
        <v/>
      </c>
      <c r="K251" s="16">
        <f>IF(OR(C251="",E251=""),"",IF(COUNTIFS(Costs!$C$6:$C$305,C251,Costs!$E$6:$E$305,"&lt;&gt;")&lt;2,"",IF(M251=1,"Cheapest of "&amp;COUNTIFS(Costs!$C$6:$C$305,C251,Costs!$E$6:$E$305,"&lt;&gt;"),FIXED(E251-SUMIFS(Costs!$E$6:$E$305,Costs!$C$6:$C$305,C251,Costs!$M$6:$M$305,1)/COUNTIFS(Costs!$C$6:$C$305,C251,Costs!$M$6:$M$305,1),0)&amp;" more than the cheapest")))</f>
        <v/>
      </c>
      <c r="L251" s="33" t="n"/>
      <c r="M251" s="1">
        <f>IF(OR(C251="",E251=""),"",IF(COUNTIFS(Costs!$C$6:$C$305,C251,Costs!$E$6:$E$305,"&lt;"&amp;E251)=0,1,0))</f>
        <v/>
      </c>
      <c r="N251">
        <f>IF(AND(C251&lt;&gt;"",F251="Quote",COUNTIFS(Costs!$C$6:$C$305,C251,Costs!$F$6:$F$305,"Hired")+COUNTIFS(Costs!$C$6:$C$305,C251,Costs!$F$6:$F$305,"Bought")=0),1/COUNTIFS(Costs!$C$6:$C$305,C251,Costs!$F$6:$F$305,"Quote"),"")</f>
        <v/>
      </c>
      <c r="O251">
        <f>IF(AND(OR(F251="Hired",F251="Bought"),N(I251)&gt;0,H251&lt;&gt;""),H251+ROW()/100000,"")</f>
        <v/>
      </c>
    </row>
    <row r="252">
      <c r="A252" s="1" t="n"/>
      <c r="B252" s="33" t="n"/>
      <c r="C252" s="33" t="n"/>
      <c r="D252" s="33" t="n"/>
      <c r="E252" s="27" t="n"/>
      <c r="F252" s="34" t="n"/>
      <c r="G252" s="27" t="n"/>
      <c r="H252" s="35" t="n"/>
      <c r="I252" s="14">
        <f>IF(OR(E252="",AND(F252&lt;&gt;"Hired",F252&lt;&gt;"Bought")),"",E252-N(G252))</f>
        <v/>
      </c>
      <c r="J252" s="16">
        <f>IF(C252&amp;E252="","",IF(F252="","Choose a stage",IF(F252="Quote","",IF(E252="","Add the amount",IF(I252&lt;=0,"Paid",IF(H252="","Balance due, no date set",IF(H252&lt;TODAY(),"Overdue by "&amp;(TODAY()-H252)&amp;IF((TODAY()-H252)=1," day"," days"),IF(H252=TODAY(),"Due today",IF((H252-TODAY())&lt;=14,"Due in "&amp;(H252-TODAY())&amp;IF((H252-TODAY())=1," day"," days"),"Next payment in "&amp;(H252-TODAY())&amp;" days")))))))))</f>
        <v/>
      </c>
      <c r="K252" s="16">
        <f>IF(OR(C252="",E252=""),"",IF(COUNTIFS(Costs!$C$6:$C$305,C252,Costs!$E$6:$E$305,"&lt;&gt;")&lt;2,"",IF(M252=1,"Cheapest of "&amp;COUNTIFS(Costs!$C$6:$C$305,C252,Costs!$E$6:$E$305,"&lt;&gt;"),FIXED(E252-SUMIFS(Costs!$E$6:$E$305,Costs!$C$6:$C$305,C252,Costs!$M$6:$M$305,1)/COUNTIFS(Costs!$C$6:$C$305,C252,Costs!$M$6:$M$305,1),0)&amp;" more than the cheapest")))</f>
        <v/>
      </c>
      <c r="L252" s="33" t="n"/>
      <c r="M252" s="1">
        <f>IF(OR(C252="",E252=""),"",IF(COUNTIFS(Costs!$C$6:$C$305,C252,Costs!$E$6:$E$305,"&lt;"&amp;E252)=0,1,0))</f>
        <v/>
      </c>
      <c r="N252">
        <f>IF(AND(C252&lt;&gt;"",F252="Quote",COUNTIFS(Costs!$C$6:$C$305,C252,Costs!$F$6:$F$305,"Hired")+COUNTIFS(Costs!$C$6:$C$305,C252,Costs!$F$6:$F$305,"Bought")=0),1/COUNTIFS(Costs!$C$6:$C$305,C252,Costs!$F$6:$F$305,"Quote"),"")</f>
        <v/>
      </c>
      <c r="O252">
        <f>IF(AND(OR(F252="Hired",F252="Bought"),N(I252)&gt;0,H252&lt;&gt;""),H252+ROW()/100000,"")</f>
        <v/>
      </c>
    </row>
    <row r="253">
      <c r="A253" s="1" t="n"/>
      <c r="B253" s="33" t="n"/>
      <c r="C253" s="33" t="n"/>
      <c r="D253" s="33" t="n"/>
      <c r="E253" s="27" t="n"/>
      <c r="F253" s="34" t="n"/>
      <c r="G253" s="27" t="n"/>
      <c r="H253" s="35" t="n"/>
      <c r="I253" s="14">
        <f>IF(OR(E253="",AND(F253&lt;&gt;"Hired",F253&lt;&gt;"Bought")),"",E253-N(G253))</f>
        <v/>
      </c>
      <c r="J253" s="16">
        <f>IF(C253&amp;E253="","",IF(F253="","Choose a stage",IF(F253="Quote","",IF(E253="","Add the amount",IF(I253&lt;=0,"Paid",IF(H253="","Balance due, no date set",IF(H253&lt;TODAY(),"Overdue by "&amp;(TODAY()-H253)&amp;IF((TODAY()-H253)=1," day"," days"),IF(H253=TODAY(),"Due today",IF((H253-TODAY())&lt;=14,"Due in "&amp;(H253-TODAY())&amp;IF((H253-TODAY())=1," day"," days"),"Next payment in "&amp;(H253-TODAY())&amp;" days")))))))))</f>
        <v/>
      </c>
      <c r="K253" s="16">
        <f>IF(OR(C253="",E253=""),"",IF(COUNTIFS(Costs!$C$6:$C$305,C253,Costs!$E$6:$E$305,"&lt;&gt;")&lt;2,"",IF(M253=1,"Cheapest of "&amp;COUNTIFS(Costs!$C$6:$C$305,C253,Costs!$E$6:$E$305,"&lt;&gt;"),FIXED(E253-SUMIFS(Costs!$E$6:$E$305,Costs!$C$6:$C$305,C253,Costs!$M$6:$M$305,1)/COUNTIFS(Costs!$C$6:$C$305,C253,Costs!$M$6:$M$305,1),0)&amp;" more than the cheapest")))</f>
        <v/>
      </c>
      <c r="L253" s="33" t="n"/>
      <c r="M253" s="1">
        <f>IF(OR(C253="",E253=""),"",IF(COUNTIFS(Costs!$C$6:$C$305,C253,Costs!$E$6:$E$305,"&lt;"&amp;E253)=0,1,0))</f>
        <v/>
      </c>
      <c r="N253">
        <f>IF(AND(C253&lt;&gt;"",F253="Quote",COUNTIFS(Costs!$C$6:$C$305,C253,Costs!$F$6:$F$305,"Hired")+COUNTIFS(Costs!$C$6:$C$305,C253,Costs!$F$6:$F$305,"Bought")=0),1/COUNTIFS(Costs!$C$6:$C$305,C253,Costs!$F$6:$F$305,"Quote"),"")</f>
        <v/>
      </c>
      <c r="O253">
        <f>IF(AND(OR(F253="Hired",F253="Bought"),N(I253)&gt;0,H253&lt;&gt;""),H253+ROW()/100000,"")</f>
        <v/>
      </c>
    </row>
    <row r="254">
      <c r="A254" s="1" t="n"/>
      <c r="B254" s="33" t="n"/>
      <c r="C254" s="33" t="n"/>
      <c r="D254" s="33" t="n"/>
      <c r="E254" s="27" t="n"/>
      <c r="F254" s="34" t="n"/>
      <c r="G254" s="27" t="n"/>
      <c r="H254" s="35" t="n"/>
      <c r="I254" s="14">
        <f>IF(OR(E254="",AND(F254&lt;&gt;"Hired",F254&lt;&gt;"Bought")),"",E254-N(G254))</f>
        <v/>
      </c>
      <c r="J254" s="16">
        <f>IF(C254&amp;E254="","",IF(F254="","Choose a stage",IF(F254="Quote","",IF(E254="","Add the amount",IF(I254&lt;=0,"Paid",IF(H254="","Balance due, no date set",IF(H254&lt;TODAY(),"Overdue by "&amp;(TODAY()-H254)&amp;IF((TODAY()-H254)=1," day"," days"),IF(H254=TODAY(),"Due today",IF((H254-TODAY())&lt;=14,"Due in "&amp;(H254-TODAY())&amp;IF((H254-TODAY())=1," day"," days"),"Next payment in "&amp;(H254-TODAY())&amp;" days")))))))))</f>
        <v/>
      </c>
      <c r="K254" s="16">
        <f>IF(OR(C254="",E254=""),"",IF(COUNTIFS(Costs!$C$6:$C$305,C254,Costs!$E$6:$E$305,"&lt;&gt;")&lt;2,"",IF(M254=1,"Cheapest of "&amp;COUNTIFS(Costs!$C$6:$C$305,C254,Costs!$E$6:$E$305,"&lt;&gt;"),FIXED(E254-SUMIFS(Costs!$E$6:$E$305,Costs!$C$6:$C$305,C254,Costs!$M$6:$M$305,1)/COUNTIFS(Costs!$C$6:$C$305,C254,Costs!$M$6:$M$305,1),0)&amp;" more than the cheapest")))</f>
        <v/>
      </c>
      <c r="L254" s="33" t="n"/>
      <c r="M254" s="1">
        <f>IF(OR(C254="",E254=""),"",IF(COUNTIFS(Costs!$C$6:$C$305,C254,Costs!$E$6:$E$305,"&lt;"&amp;E254)=0,1,0))</f>
        <v/>
      </c>
      <c r="N254">
        <f>IF(AND(C254&lt;&gt;"",F254="Quote",COUNTIFS(Costs!$C$6:$C$305,C254,Costs!$F$6:$F$305,"Hired")+COUNTIFS(Costs!$C$6:$C$305,C254,Costs!$F$6:$F$305,"Bought")=0),1/COUNTIFS(Costs!$C$6:$C$305,C254,Costs!$F$6:$F$305,"Quote"),"")</f>
        <v/>
      </c>
      <c r="O254">
        <f>IF(AND(OR(F254="Hired",F254="Bought"),N(I254)&gt;0,H254&lt;&gt;""),H254+ROW()/100000,"")</f>
        <v/>
      </c>
    </row>
    <row r="255">
      <c r="A255" s="1" t="n"/>
      <c r="B255" s="33" t="n"/>
      <c r="C255" s="33" t="n"/>
      <c r="D255" s="33" t="n"/>
      <c r="E255" s="27" t="n"/>
      <c r="F255" s="34" t="n"/>
      <c r="G255" s="27" t="n"/>
      <c r="H255" s="35" t="n"/>
      <c r="I255" s="14">
        <f>IF(OR(E255="",AND(F255&lt;&gt;"Hired",F255&lt;&gt;"Bought")),"",E255-N(G255))</f>
        <v/>
      </c>
      <c r="J255" s="16">
        <f>IF(C255&amp;E255="","",IF(F255="","Choose a stage",IF(F255="Quote","",IF(E255="","Add the amount",IF(I255&lt;=0,"Paid",IF(H255="","Balance due, no date set",IF(H255&lt;TODAY(),"Overdue by "&amp;(TODAY()-H255)&amp;IF((TODAY()-H255)=1," day"," days"),IF(H255=TODAY(),"Due today",IF((H255-TODAY())&lt;=14,"Due in "&amp;(H255-TODAY())&amp;IF((H255-TODAY())=1," day"," days"),"Next payment in "&amp;(H255-TODAY())&amp;" days")))))))))</f>
        <v/>
      </c>
      <c r="K255" s="16">
        <f>IF(OR(C255="",E255=""),"",IF(COUNTIFS(Costs!$C$6:$C$305,C255,Costs!$E$6:$E$305,"&lt;&gt;")&lt;2,"",IF(M255=1,"Cheapest of "&amp;COUNTIFS(Costs!$C$6:$C$305,C255,Costs!$E$6:$E$305,"&lt;&gt;"),FIXED(E255-SUMIFS(Costs!$E$6:$E$305,Costs!$C$6:$C$305,C255,Costs!$M$6:$M$305,1)/COUNTIFS(Costs!$C$6:$C$305,C255,Costs!$M$6:$M$305,1),0)&amp;" more than the cheapest")))</f>
        <v/>
      </c>
      <c r="L255" s="33" t="n"/>
      <c r="M255" s="1">
        <f>IF(OR(C255="",E255=""),"",IF(COUNTIFS(Costs!$C$6:$C$305,C255,Costs!$E$6:$E$305,"&lt;"&amp;E255)=0,1,0))</f>
        <v/>
      </c>
      <c r="N255">
        <f>IF(AND(C255&lt;&gt;"",F255="Quote",COUNTIFS(Costs!$C$6:$C$305,C255,Costs!$F$6:$F$305,"Hired")+COUNTIFS(Costs!$C$6:$C$305,C255,Costs!$F$6:$F$305,"Bought")=0),1/COUNTIFS(Costs!$C$6:$C$305,C255,Costs!$F$6:$F$305,"Quote"),"")</f>
        <v/>
      </c>
      <c r="O255">
        <f>IF(AND(OR(F255="Hired",F255="Bought"),N(I255)&gt;0,H255&lt;&gt;""),H255+ROW()/100000,"")</f>
        <v/>
      </c>
    </row>
    <row r="256">
      <c r="A256" s="1" t="n"/>
      <c r="B256" s="33" t="n"/>
      <c r="C256" s="33" t="n"/>
      <c r="D256" s="33" t="n"/>
      <c r="E256" s="27" t="n"/>
      <c r="F256" s="34" t="n"/>
      <c r="G256" s="27" t="n"/>
      <c r="H256" s="35" t="n"/>
      <c r="I256" s="14">
        <f>IF(OR(E256="",AND(F256&lt;&gt;"Hired",F256&lt;&gt;"Bought")),"",E256-N(G256))</f>
        <v/>
      </c>
      <c r="J256" s="16">
        <f>IF(C256&amp;E256="","",IF(F256="","Choose a stage",IF(F256="Quote","",IF(E256="","Add the amount",IF(I256&lt;=0,"Paid",IF(H256="","Balance due, no date set",IF(H256&lt;TODAY(),"Overdue by "&amp;(TODAY()-H256)&amp;IF((TODAY()-H256)=1," day"," days"),IF(H256=TODAY(),"Due today",IF((H256-TODAY())&lt;=14,"Due in "&amp;(H256-TODAY())&amp;IF((H256-TODAY())=1," day"," days"),"Next payment in "&amp;(H256-TODAY())&amp;" days")))))))))</f>
        <v/>
      </c>
      <c r="K256" s="16">
        <f>IF(OR(C256="",E256=""),"",IF(COUNTIFS(Costs!$C$6:$C$305,C256,Costs!$E$6:$E$305,"&lt;&gt;")&lt;2,"",IF(M256=1,"Cheapest of "&amp;COUNTIFS(Costs!$C$6:$C$305,C256,Costs!$E$6:$E$305,"&lt;&gt;"),FIXED(E256-SUMIFS(Costs!$E$6:$E$305,Costs!$C$6:$C$305,C256,Costs!$M$6:$M$305,1)/COUNTIFS(Costs!$C$6:$C$305,C256,Costs!$M$6:$M$305,1),0)&amp;" more than the cheapest")))</f>
        <v/>
      </c>
      <c r="L256" s="33" t="n"/>
      <c r="M256" s="1">
        <f>IF(OR(C256="",E256=""),"",IF(COUNTIFS(Costs!$C$6:$C$305,C256,Costs!$E$6:$E$305,"&lt;"&amp;E256)=0,1,0))</f>
        <v/>
      </c>
      <c r="N256">
        <f>IF(AND(C256&lt;&gt;"",F256="Quote",COUNTIFS(Costs!$C$6:$C$305,C256,Costs!$F$6:$F$305,"Hired")+COUNTIFS(Costs!$C$6:$C$305,C256,Costs!$F$6:$F$305,"Bought")=0),1/COUNTIFS(Costs!$C$6:$C$305,C256,Costs!$F$6:$F$305,"Quote"),"")</f>
        <v/>
      </c>
      <c r="O256">
        <f>IF(AND(OR(F256="Hired",F256="Bought"),N(I256)&gt;0,H256&lt;&gt;""),H256+ROW()/100000,"")</f>
        <v/>
      </c>
    </row>
    <row r="257">
      <c r="A257" s="1" t="n"/>
      <c r="B257" s="33" t="n"/>
      <c r="C257" s="33" t="n"/>
      <c r="D257" s="33" t="n"/>
      <c r="E257" s="27" t="n"/>
      <c r="F257" s="34" t="n"/>
      <c r="G257" s="27" t="n"/>
      <c r="H257" s="35" t="n"/>
      <c r="I257" s="14">
        <f>IF(OR(E257="",AND(F257&lt;&gt;"Hired",F257&lt;&gt;"Bought")),"",E257-N(G257))</f>
        <v/>
      </c>
      <c r="J257" s="16">
        <f>IF(C257&amp;E257="","",IF(F257="","Choose a stage",IF(F257="Quote","",IF(E257="","Add the amount",IF(I257&lt;=0,"Paid",IF(H257="","Balance due, no date set",IF(H257&lt;TODAY(),"Overdue by "&amp;(TODAY()-H257)&amp;IF((TODAY()-H257)=1," day"," days"),IF(H257=TODAY(),"Due today",IF((H257-TODAY())&lt;=14,"Due in "&amp;(H257-TODAY())&amp;IF((H257-TODAY())=1," day"," days"),"Next payment in "&amp;(H257-TODAY())&amp;" days")))))))))</f>
        <v/>
      </c>
      <c r="K257" s="16">
        <f>IF(OR(C257="",E257=""),"",IF(COUNTIFS(Costs!$C$6:$C$305,C257,Costs!$E$6:$E$305,"&lt;&gt;")&lt;2,"",IF(M257=1,"Cheapest of "&amp;COUNTIFS(Costs!$C$6:$C$305,C257,Costs!$E$6:$E$305,"&lt;&gt;"),FIXED(E257-SUMIFS(Costs!$E$6:$E$305,Costs!$C$6:$C$305,C257,Costs!$M$6:$M$305,1)/COUNTIFS(Costs!$C$6:$C$305,C257,Costs!$M$6:$M$305,1),0)&amp;" more than the cheapest")))</f>
        <v/>
      </c>
      <c r="L257" s="33" t="n"/>
      <c r="M257" s="1">
        <f>IF(OR(C257="",E257=""),"",IF(COUNTIFS(Costs!$C$6:$C$305,C257,Costs!$E$6:$E$305,"&lt;"&amp;E257)=0,1,0))</f>
        <v/>
      </c>
      <c r="N257">
        <f>IF(AND(C257&lt;&gt;"",F257="Quote",COUNTIFS(Costs!$C$6:$C$305,C257,Costs!$F$6:$F$305,"Hired")+COUNTIFS(Costs!$C$6:$C$305,C257,Costs!$F$6:$F$305,"Bought")=0),1/COUNTIFS(Costs!$C$6:$C$305,C257,Costs!$F$6:$F$305,"Quote"),"")</f>
        <v/>
      </c>
      <c r="O257">
        <f>IF(AND(OR(F257="Hired",F257="Bought"),N(I257)&gt;0,H257&lt;&gt;""),H257+ROW()/100000,"")</f>
        <v/>
      </c>
    </row>
    <row r="258">
      <c r="A258" s="1" t="n"/>
      <c r="B258" s="33" t="n"/>
      <c r="C258" s="33" t="n"/>
      <c r="D258" s="33" t="n"/>
      <c r="E258" s="27" t="n"/>
      <c r="F258" s="34" t="n"/>
      <c r="G258" s="27" t="n"/>
      <c r="H258" s="35" t="n"/>
      <c r="I258" s="14">
        <f>IF(OR(E258="",AND(F258&lt;&gt;"Hired",F258&lt;&gt;"Bought")),"",E258-N(G258))</f>
        <v/>
      </c>
      <c r="J258" s="16">
        <f>IF(C258&amp;E258="","",IF(F258="","Choose a stage",IF(F258="Quote","",IF(E258="","Add the amount",IF(I258&lt;=0,"Paid",IF(H258="","Balance due, no date set",IF(H258&lt;TODAY(),"Overdue by "&amp;(TODAY()-H258)&amp;IF((TODAY()-H258)=1," day"," days"),IF(H258=TODAY(),"Due today",IF((H258-TODAY())&lt;=14,"Due in "&amp;(H258-TODAY())&amp;IF((H258-TODAY())=1," day"," days"),"Next payment in "&amp;(H258-TODAY())&amp;" days")))))))))</f>
        <v/>
      </c>
      <c r="K258" s="16">
        <f>IF(OR(C258="",E258=""),"",IF(COUNTIFS(Costs!$C$6:$C$305,C258,Costs!$E$6:$E$305,"&lt;&gt;")&lt;2,"",IF(M258=1,"Cheapest of "&amp;COUNTIFS(Costs!$C$6:$C$305,C258,Costs!$E$6:$E$305,"&lt;&gt;"),FIXED(E258-SUMIFS(Costs!$E$6:$E$305,Costs!$C$6:$C$305,C258,Costs!$M$6:$M$305,1)/COUNTIFS(Costs!$C$6:$C$305,C258,Costs!$M$6:$M$305,1),0)&amp;" more than the cheapest")))</f>
        <v/>
      </c>
      <c r="L258" s="33" t="n"/>
      <c r="M258" s="1">
        <f>IF(OR(C258="",E258=""),"",IF(COUNTIFS(Costs!$C$6:$C$305,C258,Costs!$E$6:$E$305,"&lt;"&amp;E258)=0,1,0))</f>
        <v/>
      </c>
      <c r="N258">
        <f>IF(AND(C258&lt;&gt;"",F258="Quote",COUNTIFS(Costs!$C$6:$C$305,C258,Costs!$F$6:$F$305,"Hired")+COUNTIFS(Costs!$C$6:$C$305,C258,Costs!$F$6:$F$305,"Bought")=0),1/COUNTIFS(Costs!$C$6:$C$305,C258,Costs!$F$6:$F$305,"Quote"),"")</f>
        <v/>
      </c>
      <c r="O258">
        <f>IF(AND(OR(F258="Hired",F258="Bought"),N(I258)&gt;0,H258&lt;&gt;""),H258+ROW()/100000,"")</f>
        <v/>
      </c>
    </row>
    <row r="259">
      <c r="A259" s="1" t="n"/>
      <c r="B259" s="33" t="n"/>
      <c r="C259" s="33" t="n"/>
      <c r="D259" s="33" t="n"/>
      <c r="E259" s="27" t="n"/>
      <c r="F259" s="34" t="n"/>
      <c r="G259" s="27" t="n"/>
      <c r="H259" s="35" t="n"/>
      <c r="I259" s="14">
        <f>IF(OR(E259="",AND(F259&lt;&gt;"Hired",F259&lt;&gt;"Bought")),"",E259-N(G259))</f>
        <v/>
      </c>
      <c r="J259" s="16">
        <f>IF(C259&amp;E259="","",IF(F259="","Choose a stage",IF(F259="Quote","",IF(E259="","Add the amount",IF(I259&lt;=0,"Paid",IF(H259="","Balance due, no date set",IF(H259&lt;TODAY(),"Overdue by "&amp;(TODAY()-H259)&amp;IF((TODAY()-H259)=1," day"," days"),IF(H259=TODAY(),"Due today",IF((H259-TODAY())&lt;=14,"Due in "&amp;(H259-TODAY())&amp;IF((H259-TODAY())=1," day"," days"),"Next payment in "&amp;(H259-TODAY())&amp;" days")))))))))</f>
        <v/>
      </c>
      <c r="K259" s="16">
        <f>IF(OR(C259="",E259=""),"",IF(COUNTIFS(Costs!$C$6:$C$305,C259,Costs!$E$6:$E$305,"&lt;&gt;")&lt;2,"",IF(M259=1,"Cheapest of "&amp;COUNTIFS(Costs!$C$6:$C$305,C259,Costs!$E$6:$E$305,"&lt;&gt;"),FIXED(E259-SUMIFS(Costs!$E$6:$E$305,Costs!$C$6:$C$305,C259,Costs!$M$6:$M$305,1)/COUNTIFS(Costs!$C$6:$C$305,C259,Costs!$M$6:$M$305,1),0)&amp;" more than the cheapest")))</f>
        <v/>
      </c>
      <c r="L259" s="33" t="n"/>
      <c r="M259" s="1">
        <f>IF(OR(C259="",E259=""),"",IF(COUNTIFS(Costs!$C$6:$C$305,C259,Costs!$E$6:$E$305,"&lt;"&amp;E259)=0,1,0))</f>
        <v/>
      </c>
      <c r="N259">
        <f>IF(AND(C259&lt;&gt;"",F259="Quote",COUNTIFS(Costs!$C$6:$C$305,C259,Costs!$F$6:$F$305,"Hired")+COUNTIFS(Costs!$C$6:$C$305,C259,Costs!$F$6:$F$305,"Bought")=0),1/COUNTIFS(Costs!$C$6:$C$305,C259,Costs!$F$6:$F$305,"Quote"),"")</f>
        <v/>
      </c>
      <c r="O259">
        <f>IF(AND(OR(F259="Hired",F259="Bought"),N(I259)&gt;0,H259&lt;&gt;""),H259+ROW()/100000,"")</f>
        <v/>
      </c>
    </row>
    <row r="260">
      <c r="A260" s="1" t="n"/>
      <c r="B260" s="33" t="n"/>
      <c r="C260" s="33" t="n"/>
      <c r="D260" s="33" t="n"/>
      <c r="E260" s="27" t="n"/>
      <c r="F260" s="34" t="n"/>
      <c r="G260" s="27" t="n"/>
      <c r="H260" s="35" t="n"/>
      <c r="I260" s="14">
        <f>IF(OR(E260="",AND(F260&lt;&gt;"Hired",F260&lt;&gt;"Bought")),"",E260-N(G260))</f>
        <v/>
      </c>
      <c r="J260" s="16">
        <f>IF(C260&amp;E260="","",IF(F260="","Choose a stage",IF(F260="Quote","",IF(E260="","Add the amount",IF(I260&lt;=0,"Paid",IF(H260="","Balance due, no date set",IF(H260&lt;TODAY(),"Overdue by "&amp;(TODAY()-H260)&amp;IF((TODAY()-H260)=1," day"," days"),IF(H260=TODAY(),"Due today",IF((H260-TODAY())&lt;=14,"Due in "&amp;(H260-TODAY())&amp;IF((H260-TODAY())=1," day"," days"),"Next payment in "&amp;(H260-TODAY())&amp;" days")))))))))</f>
        <v/>
      </c>
      <c r="K260" s="16">
        <f>IF(OR(C260="",E260=""),"",IF(COUNTIFS(Costs!$C$6:$C$305,C260,Costs!$E$6:$E$305,"&lt;&gt;")&lt;2,"",IF(M260=1,"Cheapest of "&amp;COUNTIFS(Costs!$C$6:$C$305,C260,Costs!$E$6:$E$305,"&lt;&gt;"),FIXED(E260-SUMIFS(Costs!$E$6:$E$305,Costs!$C$6:$C$305,C260,Costs!$M$6:$M$305,1)/COUNTIFS(Costs!$C$6:$C$305,C260,Costs!$M$6:$M$305,1),0)&amp;" more than the cheapest")))</f>
        <v/>
      </c>
      <c r="L260" s="33" t="n"/>
      <c r="M260" s="1">
        <f>IF(OR(C260="",E260=""),"",IF(COUNTIFS(Costs!$C$6:$C$305,C260,Costs!$E$6:$E$305,"&lt;"&amp;E260)=0,1,0))</f>
        <v/>
      </c>
      <c r="N260">
        <f>IF(AND(C260&lt;&gt;"",F260="Quote",COUNTIFS(Costs!$C$6:$C$305,C260,Costs!$F$6:$F$305,"Hired")+COUNTIFS(Costs!$C$6:$C$305,C260,Costs!$F$6:$F$305,"Bought")=0),1/COUNTIFS(Costs!$C$6:$C$305,C260,Costs!$F$6:$F$305,"Quote"),"")</f>
        <v/>
      </c>
      <c r="O260">
        <f>IF(AND(OR(F260="Hired",F260="Bought"),N(I260)&gt;0,H260&lt;&gt;""),H260+ROW()/100000,"")</f>
        <v/>
      </c>
    </row>
    <row r="261">
      <c r="A261" s="1" t="n"/>
      <c r="B261" s="33" t="n"/>
      <c r="C261" s="33" t="n"/>
      <c r="D261" s="33" t="n"/>
      <c r="E261" s="27" t="n"/>
      <c r="F261" s="34" t="n"/>
      <c r="G261" s="27" t="n"/>
      <c r="H261" s="35" t="n"/>
      <c r="I261" s="14">
        <f>IF(OR(E261="",AND(F261&lt;&gt;"Hired",F261&lt;&gt;"Bought")),"",E261-N(G261))</f>
        <v/>
      </c>
      <c r="J261" s="16">
        <f>IF(C261&amp;E261="","",IF(F261="","Choose a stage",IF(F261="Quote","",IF(E261="","Add the amount",IF(I261&lt;=0,"Paid",IF(H261="","Balance due, no date set",IF(H261&lt;TODAY(),"Overdue by "&amp;(TODAY()-H261)&amp;IF((TODAY()-H261)=1," day"," days"),IF(H261=TODAY(),"Due today",IF((H261-TODAY())&lt;=14,"Due in "&amp;(H261-TODAY())&amp;IF((H261-TODAY())=1," day"," days"),"Next payment in "&amp;(H261-TODAY())&amp;" days")))))))))</f>
        <v/>
      </c>
      <c r="K261" s="16">
        <f>IF(OR(C261="",E261=""),"",IF(COUNTIFS(Costs!$C$6:$C$305,C261,Costs!$E$6:$E$305,"&lt;&gt;")&lt;2,"",IF(M261=1,"Cheapest of "&amp;COUNTIFS(Costs!$C$6:$C$305,C261,Costs!$E$6:$E$305,"&lt;&gt;"),FIXED(E261-SUMIFS(Costs!$E$6:$E$305,Costs!$C$6:$C$305,C261,Costs!$M$6:$M$305,1)/COUNTIFS(Costs!$C$6:$C$305,C261,Costs!$M$6:$M$305,1),0)&amp;" more than the cheapest")))</f>
        <v/>
      </c>
      <c r="L261" s="33" t="n"/>
      <c r="M261" s="1">
        <f>IF(OR(C261="",E261=""),"",IF(COUNTIFS(Costs!$C$6:$C$305,C261,Costs!$E$6:$E$305,"&lt;"&amp;E261)=0,1,0))</f>
        <v/>
      </c>
      <c r="N261">
        <f>IF(AND(C261&lt;&gt;"",F261="Quote",COUNTIFS(Costs!$C$6:$C$305,C261,Costs!$F$6:$F$305,"Hired")+COUNTIFS(Costs!$C$6:$C$305,C261,Costs!$F$6:$F$305,"Bought")=0),1/COUNTIFS(Costs!$C$6:$C$305,C261,Costs!$F$6:$F$305,"Quote"),"")</f>
        <v/>
      </c>
      <c r="O261">
        <f>IF(AND(OR(F261="Hired",F261="Bought"),N(I261)&gt;0,H261&lt;&gt;""),H261+ROW()/100000,"")</f>
        <v/>
      </c>
    </row>
    <row r="262">
      <c r="A262" s="1" t="n"/>
      <c r="B262" s="33" t="n"/>
      <c r="C262" s="33" t="n"/>
      <c r="D262" s="33" t="n"/>
      <c r="E262" s="27" t="n"/>
      <c r="F262" s="34" t="n"/>
      <c r="G262" s="27" t="n"/>
      <c r="H262" s="35" t="n"/>
      <c r="I262" s="14">
        <f>IF(OR(E262="",AND(F262&lt;&gt;"Hired",F262&lt;&gt;"Bought")),"",E262-N(G262))</f>
        <v/>
      </c>
      <c r="J262" s="16">
        <f>IF(C262&amp;E262="","",IF(F262="","Choose a stage",IF(F262="Quote","",IF(E262="","Add the amount",IF(I262&lt;=0,"Paid",IF(H262="","Balance due, no date set",IF(H262&lt;TODAY(),"Overdue by "&amp;(TODAY()-H262)&amp;IF((TODAY()-H262)=1," day"," days"),IF(H262=TODAY(),"Due today",IF((H262-TODAY())&lt;=14,"Due in "&amp;(H262-TODAY())&amp;IF((H262-TODAY())=1," day"," days"),"Next payment in "&amp;(H262-TODAY())&amp;" days")))))))))</f>
        <v/>
      </c>
      <c r="K262" s="16">
        <f>IF(OR(C262="",E262=""),"",IF(COUNTIFS(Costs!$C$6:$C$305,C262,Costs!$E$6:$E$305,"&lt;&gt;")&lt;2,"",IF(M262=1,"Cheapest of "&amp;COUNTIFS(Costs!$C$6:$C$305,C262,Costs!$E$6:$E$305,"&lt;&gt;"),FIXED(E262-SUMIFS(Costs!$E$6:$E$305,Costs!$C$6:$C$305,C262,Costs!$M$6:$M$305,1)/COUNTIFS(Costs!$C$6:$C$305,C262,Costs!$M$6:$M$305,1),0)&amp;" more than the cheapest")))</f>
        <v/>
      </c>
      <c r="L262" s="33" t="n"/>
      <c r="M262" s="1">
        <f>IF(OR(C262="",E262=""),"",IF(COUNTIFS(Costs!$C$6:$C$305,C262,Costs!$E$6:$E$305,"&lt;"&amp;E262)=0,1,0))</f>
        <v/>
      </c>
      <c r="N262">
        <f>IF(AND(C262&lt;&gt;"",F262="Quote",COUNTIFS(Costs!$C$6:$C$305,C262,Costs!$F$6:$F$305,"Hired")+COUNTIFS(Costs!$C$6:$C$305,C262,Costs!$F$6:$F$305,"Bought")=0),1/COUNTIFS(Costs!$C$6:$C$305,C262,Costs!$F$6:$F$305,"Quote"),"")</f>
        <v/>
      </c>
      <c r="O262">
        <f>IF(AND(OR(F262="Hired",F262="Bought"),N(I262)&gt;0,H262&lt;&gt;""),H262+ROW()/100000,"")</f>
        <v/>
      </c>
    </row>
    <row r="263">
      <c r="A263" s="1" t="n"/>
      <c r="B263" s="33" t="n"/>
      <c r="C263" s="33" t="n"/>
      <c r="D263" s="33" t="n"/>
      <c r="E263" s="27" t="n"/>
      <c r="F263" s="34" t="n"/>
      <c r="G263" s="27" t="n"/>
      <c r="H263" s="35" t="n"/>
      <c r="I263" s="14">
        <f>IF(OR(E263="",AND(F263&lt;&gt;"Hired",F263&lt;&gt;"Bought")),"",E263-N(G263))</f>
        <v/>
      </c>
      <c r="J263" s="16">
        <f>IF(C263&amp;E263="","",IF(F263="","Choose a stage",IF(F263="Quote","",IF(E263="","Add the amount",IF(I263&lt;=0,"Paid",IF(H263="","Balance due, no date set",IF(H263&lt;TODAY(),"Overdue by "&amp;(TODAY()-H263)&amp;IF((TODAY()-H263)=1," day"," days"),IF(H263=TODAY(),"Due today",IF((H263-TODAY())&lt;=14,"Due in "&amp;(H263-TODAY())&amp;IF((H263-TODAY())=1," day"," days"),"Next payment in "&amp;(H263-TODAY())&amp;" days")))))))))</f>
        <v/>
      </c>
      <c r="K263" s="16">
        <f>IF(OR(C263="",E263=""),"",IF(COUNTIFS(Costs!$C$6:$C$305,C263,Costs!$E$6:$E$305,"&lt;&gt;")&lt;2,"",IF(M263=1,"Cheapest of "&amp;COUNTIFS(Costs!$C$6:$C$305,C263,Costs!$E$6:$E$305,"&lt;&gt;"),FIXED(E263-SUMIFS(Costs!$E$6:$E$305,Costs!$C$6:$C$305,C263,Costs!$M$6:$M$305,1)/COUNTIFS(Costs!$C$6:$C$305,C263,Costs!$M$6:$M$305,1),0)&amp;" more than the cheapest")))</f>
        <v/>
      </c>
      <c r="L263" s="33" t="n"/>
      <c r="M263" s="1">
        <f>IF(OR(C263="",E263=""),"",IF(COUNTIFS(Costs!$C$6:$C$305,C263,Costs!$E$6:$E$305,"&lt;"&amp;E263)=0,1,0))</f>
        <v/>
      </c>
      <c r="N263">
        <f>IF(AND(C263&lt;&gt;"",F263="Quote",COUNTIFS(Costs!$C$6:$C$305,C263,Costs!$F$6:$F$305,"Hired")+COUNTIFS(Costs!$C$6:$C$305,C263,Costs!$F$6:$F$305,"Bought")=0),1/COUNTIFS(Costs!$C$6:$C$305,C263,Costs!$F$6:$F$305,"Quote"),"")</f>
        <v/>
      </c>
      <c r="O263">
        <f>IF(AND(OR(F263="Hired",F263="Bought"),N(I263)&gt;0,H263&lt;&gt;""),H263+ROW()/100000,"")</f>
        <v/>
      </c>
    </row>
    <row r="264">
      <c r="A264" s="1" t="n"/>
      <c r="B264" s="33" t="n"/>
      <c r="C264" s="33" t="n"/>
      <c r="D264" s="33" t="n"/>
      <c r="E264" s="27" t="n"/>
      <c r="F264" s="34" t="n"/>
      <c r="G264" s="27" t="n"/>
      <c r="H264" s="35" t="n"/>
      <c r="I264" s="14">
        <f>IF(OR(E264="",AND(F264&lt;&gt;"Hired",F264&lt;&gt;"Bought")),"",E264-N(G264))</f>
        <v/>
      </c>
      <c r="J264" s="16">
        <f>IF(C264&amp;E264="","",IF(F264="","Choose a stage",IF(F264="Quote","",IF(E264="","Add the amount",IF(I264&lt;=0,"Paid",IF(H264="","Balance due, no date set",IF(H264&lt;TODAY(),"Overdue by "&amp;(TODAY()-H264)&amp;IF((TODAY()-H264)=1," day"," days"),IF(H264=TODAY(),"Due today",IF((H264-TODAY())&lt;=14,"Due in "&amp;(H264-TODAY())&amp;IF((H264-TODAY())=1," day"," days"),"Next payment in "&amp;(H264-TODAY())&amp;" days")))))))))</f>
        <v/>
      </c>
      <c r="K264" s="16">
        <f>IF(OR(C264="",E264=""),"",IF(COUNTIFS(Costs!$C$6:$C$305,C264,Costs!$E$6:$E$305,"&lt;&gt;")&lt;2,"",IF(M264=1,"Cheapest of "&amp;COUNTIFS(Costs!$C$6:$C$305,C264,Costs!$E$6:$E$305,"&lt;&gt;"),FIXED(E264-SUMIFS(Costs!$E$6:$E$305,Costs!$C$6:$C$305,C264,Costs!$M$6:$M$305,1)/COUNTIFS(Costs!$C$6:$C$305,C264,Costs!$M$6:$M$305,1),0)&amp;" more than the cheapest")))</f>
        <v/>
      </c>
      <c r="L264" s="33" t="n"/>
      <c r="M264" s="1">
        <f>IF(OR(C264="",E264=""),"",IF(COUNTIFS(Costs!$C$6:$C$305,C264,Costs!$E$6:$E$305,"&lt;"&amp;E264)=0,1,0))</f>
        <v/>
      </c>
      <c r="N264">
        <f>IF(AND(C264&lt;&gt;"",F264="Quote",COUNTIFS(Costs!$C$6:$C$305,C264,Costs!$F$6:$F$305,"Hired")+COUNTIFS(Costs!$C$6:$C$305,C264,Costs!$F$6:$F$305,"Bought")=0),1/COUNTIFS(Costs!$C$6:$C$305,C264,Costs!$F$6:$F$305,"Quote"),"")</f>
        <v/>
      </c>
      <c r="O264">
        <f>IF(AND(OR(F264="Hired",F264="Bought"),N(I264)&gt;0,H264&lt;&gt;""),H264+ROW()/100000,"")</f>
        <v/>
      </c>
    </row>
    <row r="265">
      <c r="A265" s="1" t="n"/>
      <c r="B265" s="33" t="n"/>
      <c r="C265" s="33" t="n"/>
      <c r="D265" s="33" t="n"/>
      <c r="E265" s="27" t="n"/>
      <c r="F265" s="34" t="n"/>
      <c r="G265" s="27" t="n"/>
      <c r="H265" s="35" t="n"/>
      <c r="I265" s="14">
        <f>IF(OR(E265="",AND(F265&lt;&gt;"Hired",F265&lt;&gt;"Bought")),"",E265-N(G265))</f>
        <v/>
      </c>
      <c r="J265" s="16">
        <f>IF(C265&amp;E265="","",IF(F265="","Choose a stage",IF(F265="Quote","",IF(E265="","Add the amount",IF(I265&lt;=0,"Paid",IF(H265="","Balance due, no date set",IF(H265&lt;TODAY(),"Overdue by "&amp;(TODAY()-H265)&amp;IF((TODAY()-H265)=1," day"," days"),IF(H265=TODAY(),"Due today",IF((H265-TODAY())&lt;=14,"Due in "&amp;(H265-TODAY())&amp;IF((H265-TODAY())=1," day"," days"),"Next payment in "&amp;(H265-TODAY())&amp;" days")))))))))</f>
        <v/>
      </c>
      <c r="K265" s="16">
        <f>IF(OR(C265="",E265=""),"",IF(COUNTIFS(Costs!$C$6:$C$305,C265,Costs!$E$6:$E$305,"&lt;&gt;")&lt;2,"",IF(M265=1,"Cheapest of "&amp;COUNTIFS(Costs!$C$6:$C$305,C265,Costs!$E$6:$E$305,"&lt;&gt;"),FIXED(E265-SUMIFS(Costs!$E$6:$E$305,Costs!$C$6:$C$305,C265,Costs!$M$6:$M$305,1)/COUNTIFS(Costs!$C$6:$C$305,C265,Costs!$M$6:$M$305,1),0)&amp;" more than the cheapest")))</f>
        <v/>
      </c>
      <c r="L265" s="33" t="n"/>
      <c r="M265" s="1">
        <f>IF(OR(C265="",E265=""),"",IF(COUNTIFS(Costs!$C$6:$C$305,C265,Costs!$E$6:$E$305,"&lt;"&amp;E265)=0,1,0))</f>
        <v/>
      </c>
      <c r="N265">
        <f>IF(AND(C265&lt;&gt;"",F265="Quote",COUNTIFS(Costs!$C$6:$C$305,C265,Costs!$F$6:$F$305,"Hired")+COUNTIFS(Costs!$C$6:$C$305,C265,Costs!$F$6:$F$305,"Bought")=0),1/COUNTIFS(Costs!$C$6:$C$305,C265,Costs!$F$6:$F$305,"Quote"),"")</f>
        <v/>
      </c>
      <c r="O265">
        <f>IF(AND(OR(F265="Hired",F265="Bought"),N(I265)&gt;0,H265&lt;&gt;""),H265+ROW()/100000,"")</f>
        <v/>
      </c>
    </row>
    <row r="266">
      <c r="A266" s="1" t="n"/>
      <c r="B266" s="33" t="n"/>
      <c r="C266" s="33" t="n"/>
      <c r="D266" s="33" t="n"/>
      <c r="E266" s="27" t="n"/>
      <c r="F266" s="34" t="n"/>
      <c r="G266" s="27" t="n"/>
      <c r="H266" s="35" t="n"/>
      <c r="I266" s="14">
        <f>IF(OR(E266="",AND(F266&lt;&gt;"Hired",F266&lt;&gt;"Bought")),"",E266-N(G266))</f>
        <v/>
      </c>
      <c r="J266" s="16">
        <f>IF(C266&amp;E266="","",IF(F266="","Choose a stage",IF(F266="Quote","",IF(E266="","Add the amount",IF(I266&lt;=0,"Paid",IF(H266="","Balance due, no date set",IF(H266&lt;TODAY(),"Overdue by "&amp;(TODAY()-H266)&amp;IF((TODAY()-H266)=1," day"," days"),IF(H266=TODAY(),"Due today",IF((H266-TODAY())&lt;=14,"Due in "&amp;(H266-TODAY())&amp;IF((H266-TODAY())=1," day"," days"),"Next payment in "&amp;(H266-TODAY())&amp;" days")))))))))</f>
        <v/>
      </c>
      <c r="K266" s="16">
        <f>IF(OR(C266="",E266=""),"",IF(COUNTIFS(Costs!$C$6:$C$305,C266,Costs!$E$6:$E$305,"&lt;&gt;")&lt;2,"",IF(M266=1,"Cheapest of "&amp;COUNTIFS(Costs!$C$6:$C$305,C266,Costs!$E$6:$E$305,"&lt;&gt;"),FIXED(E266-SUMIFS(Costs!$E$6:$E$305,Costs!$C$6:$C$305,C266,Costs!$M$6:$M$305,1)/COUNTIFS(Costs!$C$6:$C$305,C266,Costs!$M$6:$M$305,1),0)&amp;" more than the cheapest")))</f>
        <v/>
      </c>
      <c r="L266" s="33" t="n"/>
      <c r="M266" s="1">
        <f>IF(OR(C266="",E266=""),"",IF(COUNTIFS(Costs!$C$6:$C$305,C266,Costs!$E$6:$E$305,"&lt;"&amp;E266)=0,1,0))</f>
        <v/>
      </c>
      <c r="N266">
        <f>IF(AND(C266&lt;&gt;"",F266="Quote",COUNTIFS(Costs!$C$6:$C$305,C266,Costs!$F$6:$F$305,"Hired")+COUNTIFS(Costs!$C$6:$C$305,C266,Costs!$F$6:$F$305,"Bought")=0),1/COUNTIFS(Costs!$C$6:$C$305,C266,Costs!$F$6:$F$305,"Quote"),"")</f>
        <v/>
      </c>
      <c r="O266">
        <f>IF(AND(OR(F266="Hired",F266="Bought"),N(I266)&gt;0,H266&lt;&gt;""),H266+ROW()/100000,"")</f>
        <v/>
      </c>
    </row>
    <row r="267">
      <c r="A267" s="1" t="n"/>
      <c r="B267" s="33" t="n"/>
      <c r="C267" s="33" t="n"/>
      <c r="D267" s="33" t="n"/>
      <c r="E267" s="27" t="n"/>
      <c r="F267" s="34" t="n"/>
      <c r="G267" s="27" t="n"/>
      <c r="H267" s="35" t="n"/>
      <c r="I267" s="14">
        <f>IF(OR(E267="",AND(F267&lt;&gt;"Hired",F267&lt;&gt;"Bought")),"",E267-N(G267))</f>
        <v/>
      </c>
      <c r="J267" s="16">
        <f>IF(C267&amp;E267="","",IF(F267="","Choose a stage",IF(F267="Quote","",IF(E267="","Add the amount",IF(I267&lt;=0,"Paid",IF(H267="","Balance due, no date set",IF(H267&lt;TODAY(),"Overdue by "&amp;(TODAY()-H267)&amp;IF((TODAY()-H267)=1," day"," days"),IF(H267=TODAY(),"Due today",IF((H267-TODAY())&lt;=14,"Due in "&amp;(H267-TODAY())&amp;IF((H267-TODAY())=1," day"," days"),"Next payment in "&amp;(H267-TODAY())&amp;" days")))))))))</f>
        <v/>
      </c>
      <c r="K267" s="16">
        <f>IF(OR(C267="",E267=""),"",IF(COUNTIFS(Costs!$C$6:$C$305,C267,Costs!$E$6:$E$305,"&lt;&gt;")&lt;2,"",IF(M267=1,"Cheapest of "&amp;COUNTIFS(Costs!$C$6:$C$305,C267,Costs!$E$6:$E$305,"&lt;&gt;"),FIXED(E267-SUMIFS(Costs!$E$6:$E$305,Costs!$C$6:$C$305,C267,Costs!$M$6:$M$305,1)/COUNTIFS(Costs!$C$6:$C$305,C267,Costs!$M$6:$M$305,1),0)&amp;" more than the cheapest")))</f>
        <v/>
      </c>
      <c r="L267" s="33" t="n"/>
      <c r="M267" s="1">
        <f>IF(OR(C267="",E267=""),"",IF(COUNTIFS(Costs!$C$6:$C$305,C267,Costs!$E$6:$E$305,"&lt;"&amp;E267)=0,1,0))</f>
        <v/>
      </c>
      <c r="N267">
        <f>IF(AND(C267&lt;&gt;"",F267="Quote",COUNTIFS(Costs!$C$6:$C$305,C267,Costs!$F$6:$F$305,"Hired")+COUNTIFS(Costs!$C$6:$C$305,C267,Costs!$F$6:$F$305,"Bought")=0),1/COUNTIFS(Costs!$C$6:$C$305,C267,Costs!$F$6:$F$305,"Quote"),"")</f>
        <v/>
      </c>
      <c r="O267">
        <f>IF(AND(OR(F267="Hired",F267="Bought"),N(I267)&gt;0,H267&lt;&gt;""),H267+ROW()/100000,"")</f>
        <v/>
      </c>
    </row>
    <row r="268">
      <c r="A268" s="1" t="n"/>
      <c r="B268" s="33" t="n"/>
      <c r="C268" s="33" t="n"/>
      <c r="D268" s="33" t="n"/>
      <c r="E268" s="27" t="n"/>
      <c r="F268" s="34" t="n"/>
      <c r="G268" s="27" t="n"/>
      <c r="H268" s="35" t="n"/>
      <c r="I268" s="14">
        <f>IF(OR(E268="",AND(F268&lt;&gt;"Hired",F268&lt;&gt;"Bought")),"",E268-N(G268))</f>
        <v/>
      </c>
      <c r="J268" s="16">
        <f>IF(C268&amp;E268="","",IF(F268="","Choose a stage",IF(F268="Quote","",IF(E268="","Add the amount",IF(I268&lt;=0,"Paid",IF(H268="","Balance due, no date set",IF(H268&lt;TODAY(),"Overdue by "&amp;(TODAY()-H268)&amp;IF((TODAY()-H268)=1," day"," days"),IF(H268=TODAY(),"Due today",IF((H268-TODAY())&lt;=14,"Due in "&amp;(H268-TODAY())&amp;IF((H268-TODAY())=1," day"," days"),"Next payment in "&amp;(H268-TODAY())&amp;" days")))))))))</f>
        <v/>
      </c>
      <c r="K268" s="16">
        <f>IF(OR(C268="",E268=""),"",IF(COUNTIFS(Costs!$C$6:$C$305,C268,Costs!$E$6:$E$305,"&lt;&gt;")&lt;2,"",IF(M268=1,"Cheapest of "&amp;COUNTIFS(Costs!$C$6:$C$305,C268,Costs!$E$6:$E$305,"&lt;&gt;"),FIXED(E268-SUMIFS(Costs!$E$6:$E$305,Costs!$C$6:$C$305,C268,Costs!$M$6:$M$305,1)/COUNTIFS(Costs!$C$6:$C$305,C268,Costs!$M$6:$M$305,1),0)&amp;" more than the cheapest")))</f>
        <v/>
      </c>
      <c r="L268" s="33" t="n"/>
      <c r="M268" s="1">
        <f>IF(OR(C268="",E268=""),"",IF(COUNTIFS(Costs!$C$6:$C$305,C268,Costs!$E$6:$E$305,"&lt;"&amp;E268)=0,1,0))</f>
        <v/>
      </c>
      <c r="N268">
        <f>IF(AND(C268&lt;&gt;"",F268="Quote",COUNTIFS(Costs!$C$6:$C$305,C268,Costs!$F$6:$F$305,"Hired")+COUNTIFS(Costs!$C$6:$C$305,C268,Costs!$F$6:$F$305,"Bought")=0),1/COUNTIFS(Costs!$C$6:$C$305,C268,Costs!$F$6:$F$305,"Quote"),"")</f>
        <v/>
      </c>
      <c r="O268">
        <f>IF(AND(OR(F268="Hired",F268="Bought"),N(I268)&gt;0,H268&lt;&gt;""),H268+ROW()/100000,"")</f>
        <v/>
      </c>
    </row>
    <row r="269">
      <c r="A269" s="1" t="n"/>
      <c r="B269" s="33" t="n"/>
      <c r="C269" s="33" t="n"/>
      <c r="D269" s="33" t="n"/>
      <c r="E269" s="27" t="n"/>
      <c r="F269" s="34" t="n"/>
      <c r="G269" s="27" t="n"/>
      <c r="H269" s="35" t="n"/>
      <c r="I269" s="14">
        <f>IF(OR(E269="",AND(F269&lt;&gt;"Hired",F269&lt;&gt;"Bought")),"",E269-N(G269))</f>
        <v/>
      </c>
      <c r="J269" s="16">
        <f>IF(C269&amp;E269="","",IF(F269="","Choose a stage",IF(F269="Quote","",IF(E269="","Add the amount",IF(I269&lt;=0,"Paid",IF(H269="","Balance due, no date set",IF(H269&lt;TODAY(),"Overdue by "&amp;(TODAY()-H269)&amp;IF((TODAY()-H269)=1," day"," days"),IF(H269=TODAY(),"Due today",IF((H269-TODAY())&lt;=14,"Due in "&amp;(H269-TODAY())&amp;IF((H269-TODAY())=1," day"," days"),"Next payment in "&amp;(H269-TODAY())&amp;" days")))))))))</f>
        <v/>
      </c>
      <c r="K269" s="16">
        <f>IF(OR(C269="",E269=""),"",IF(COUNTIFS(Costs!$C$6:$C$305,C269,Costs!$E$6:$E$305,"&lt;&gt;")&lt;2,"",IF(M269=1,"Cheapest of "&amp;COUNTIFS(Costs!$C$6:$C$305,C269,Costs!$E$6:$E$305,"&lt;&gt;"),FIXED(E269-SUMIFS(Costs!$E$6:$E$305,Costs!$C$6:$C$305,C269,Costs!$M$6:$M$305,1)/COUNTIFS(Costs!$C$6:$C$305,C269,Costs!$M$6:$M$305,1),0)&amp;" more than the cheapest")))</f>
        <v/>
      </c>
      <c r="L269" s="33" t="n"/>
      <c r="M269" s="1">
        <f>IF(OR(C269="",E269=""),"",IF(COUNTIFS(Costs!$C$6:$C$305,C269,Costs!$E$6:$E$305,"&lt;"&amp;E269)=0,1,0))</f>
        <v/>
      </c>
      <c r="N269">
        <f>IF(AND(C269&lt;&gt;"",F269="Quote",COUNTIFS(Costs!$C$6:$C$305,C269,Costs!$F$6:$F$305,"Hired")+COUNTIFS(Costs!$C$6:$C$305,C269,Costs!$F$6:$F$305,"Bought")=0),1/COUNTIFS(Costs!$C$6:$C$305,C269,Costs!$F$6:$F$305,"Quote"),"")</f>
        <v/>
      </c>
      <c r="O269">
        <f>IF(AND(OR(F269="Hired",F269="Bought"),N(I269)&gt;0,H269&lt;&gt;""),H269+ROW()/100000,"")</f>
        <v/>
      </c>
    </row>
    <row r="270">
      <c r="A270" s="1" t="n"/>
      <c r="B270" s="33" t="n"/>
      <c r="C270" s="33" t="n"/>
      <c r="D270" s="33" t="n"/>
      <c r="E270" s="27" t="n"/>
      <c r="F270" s="34" t="n"/>
      <c r="G270" s="27" t="n"/>
      <c r="H270" s="35" t="n"/>
      <c r="I270" s="14">
        <f>IF(OR(E270="",AND(F270&lt;&gt;"Hired",F270&lt;&gt;"Bought")),"",E270-N(G270))</f>
        <v/>
      </c>
      <c r="J270" s="16">
        <f>IF(C270&amp;E270="","",IF(F270="","Choose a stage",IF(F270="Quote","",IF(E270="","Add the amount",IF(I270&lt;=0,"Paid",IF(H270="","Balance due, no date set",IF(H270&lt;TODAY(),"Overdue by "&amp;(TODAY()-H270)&amp;IF((TODAY()-H270)=1," day"," days"),IF(H270=TODAY(),"Due today",IF((H270-TODAY())&lt;=14,"Due in "&amp;(H270-TODAY())&amp;IF((H270-TODAY())=1," day"," days"),"Next payment in "&amp;(H270-TODAY())&amp;" days")))))))))</f>
        <v/>
      </c>
      <c r="K270" s="16">
        <f>IF(OR(C270="",E270=""),"",IF(COUNTIFS(Costs!$C$6:$C$305,C270,Costs!$E$6:$E$305,"&lt;&gt;")&lt;2,"",IF(M270=1,"Cheapest of "&amp;COUNTIFS(Costs!$C$6:$C$305,C270,Costs!$E$6:$E$305,"&lt;&gt;"),FIXED(E270-SUMIFS(Costs!$E$6:$E$305,Costs!$C$6:$C$305,C270,Costs!$M$6:$M$305,1)/COUNTIFS(Costs!$C$6:$C$305,C270,Costs!$M$6:$M$305,1),0)&amp;" more than the cheapest")))</f>
        <v/>
      </c>
      <c r="L270" s="33" t="n"/>
      <c r="M270" s="1">
        <f>IF(OR(C270="",E270=""),"",IF(COUNTIFS(Costs!$C$6:$C$305,C270,Costs!$E$6:$E$305,"&lt;"&amp;E270)=0,1,0))</f>
        <v/>
      </c>
      <c r="N270">
        <f>IF(AND(C270&lt;&gt;"",F270="Quote",COUNTIFS(Costs!$C$6:$C$305,C270,Costs!$F$6:$F$305,"Hired")+COUNTIFS(Costs!$C$6:$C$305,C270,Costs!$F$6:$F$305,"Bought")=0),1/COUNTIFS(Costs!$C$6:$C$305,C270,Costs!$F$6:$F$305,"Quote"),"")</f>
        <v/>
      </c>
      <c r="O270">
        <f>IF(AND(OR(F270="Hired",F270="Bought"),N(I270)&gt;0,H270&lt;&gt;""),H270+ROW()/100000,"")</f>
        <v/>
      </c>
    </row>
    <row r="271">
      <c r="A271" s="1" t="n"/>
      <c r="B271" s="33" t="n"/>
      <c r="C271" s="33" t="n"/>
      <c r="D271" s="33" t="n"/>
      <c r="E271" s="27" t="n"/>
      <c r="F271" s="34" t="n"/>
      <c r="G271" s="27" t="n"/>
      <c r="H271" s="35" t="n"/>
      <c r="I271" s="14">
        <f>IF(OR(E271="",AND(F271&lt;&gt;"Hired",F271&lt;&gt;"Bought")),"",E271-N(G271))</f>
        <v/>
      </c>
      <c r="J271" s="16">
        <f>IF(C271&amp;E271="","",IF(F271="","Choose a stage",IF(F271="Quote","",IF(E271="","Add the amount",IF(I271&lt;=0,"Paid",IF(H271="","Balance due, no date set",IF(H271&lt;TODAY(),"Overdue by "&amp;(TODAY()-H271)&amp;IF((TODAY()-H271)=1," day"," days"),IF(H271=TODAY(),"Due today",IF((H271-TODAY())&lt;=14,"Due in "&amp;(H271-TODAY())&amp;IF((H271-TODAY())=1," day"," days"),"Next payment in "&amp;(H271-TODAY())&amp;" days")))))))))</f>
        <v/>
      </c>
      <c r="K271" s="16">
        <f>IF(OR(C271="",E271=""),"",IF(COUNTIFS(Costs!$C$6:$C$305,C271,Costs!$E$6:$E$305,"&lt;&gt;")&lt;2,"",IF(M271=1,"Cheapest of "&amp;COUNTIFS(Costs!$C$6:$C$305,C271,Costs!$E$6:$E$305,"&lt;&gt;"),FIXED(E271-SUMIFS(Costs!$E$6:$E$305,Costs!$C$6:$C$305,C271,Costs!$M$6:$M$305,1)/COUNTIFS(Costs!$C$6:$C$305,C271,Costs!$M$6:$M$305,1),0)&amp;" more than the cheapest")))</f>
        <v/>
      </c>
      <c r="L271" s="33" t="n"/>
      <c r="M271" s="1">
        <f>IF(OR(C271="",E271=""),"",IF(COUNTIFS(Costs!$C$6:$C$305,C271,Costs!$E$6:$E$305,"&lt;"&amp;E271)=0,1,0))</f>
        <v/>
      </c>
      <c r="N271">
        <f>IF(AND(C271&lt;&gt;"",F271="Quote",COUNTIFS(Costs!$C$6:$C$305,C271,Costs!$F$6:$F$305,"Hired")+COUNTIFS(Costs!$C$6:$C$305,C271,Costs!$F$6:$F$305,"Bought")=0),1/COUNTIFS(Costs!$C$6:$C$305,C271,Costs!$F$6:$F$305,"Quote"),"")</f>
        <v/>
      </c>
      <c r="O271">
        <f>IF(AND(OR(F271="Hired",F271="Bought"),N(I271)&gt;0,H271&lt;&gt;""),H271+ROW()/100000,"")</f>
        <v/>
      </c>
    </row>
    <row r="272">
      <c r="A272" s="1" t="n"/>
      <c r="B272" s="33" t="n"/>
      <c r="C272" s="33" t="n"/>
      <c r="D272" s="33" t="n"/>
      <c r="E272" s="27" t="n"/>
      <c r="F272" s="34" t="n"/>
      <c r="G272" s="27" t="n"/>
      <c r="H272" s="35" t="n"/>
      <c r="I272" s="14">
        <f>IF(OR(E272="",AND(F272&lt;&gt;"Hired",F272&lt;&gt;"Bought")),"",E272-N(G272))</f>
        <v/>
      </c>
      <c r="J272" s="16">
        <f>IF(C272&amp;E272="","",IF(F272="","Choose a stage",IF(F272="Quote","",IF(E272="","Add the amount",IF(I272&lt;=0,"Paid",IF(H272="","Balance due, no date set",IF(H272&lt;TODAY(),"Overdue by "&amp;(TODAY()-H272)&amp;IF((TODAY()-H272)=1," day"," days"),IF(H272=TODAY(),"Due today",IF((H272-TODAY())&lt;=14,"Due in "&amp;(H272-TODAY())&amp;IF((H272-TODAY())=1," day"," days"),"Next payment in "&amp;(H272-TODAY())&amp;" days")))))))))</f>
        <v/>
      </c>
      <c r="K272" s="16">
        <f>IF(OR(C272="",E272=""),"",IF(COUNTIFS(Costs!$C$6:$C$305,C272,Costs!$E$6:$E$305,"&lt;&gt;")&lt;2,"",IF(M272=1,"Cheapest of "&amp;COUNTIFS(Costs!$C$6:$C$305,C272,Costs!$E$6:$E$305,"&lt;&gt;"),FIXED(E272-SUMIFS(Costs!$E$6:$E$305,Costs!$C$6:$C$305,C272,Costs!$M$6:$M$305,1)/COUNTIFS(Costs!$C$6:$C$305,C272,Costs!$M$6:$M$305,1),0)&amp;" more than the cheapest")))</f>
        <v/>
      </c>
      <c r="L272" s="33" t="n"/>
      <c r="M272" s="1">
        <f>IF(OR(C272="",E272=""),"",IF(COUNTIFS(Costs!$C$6:$C$305,C272,Costs!$E$6:$E$305,"&lt;"&amp;E272)=0,1,0))</f>
        <v/>
      </c>
      <c r="N272">
        <f>IF(AND(C272&lt;&gt;"",F272="Quote",COUNTIFS(Costs!$C$6:$C$305,C272,Costs!$F$6:$F$305,"Hired")+COUNTIFS(Costs!$C$6:$C$305,C272,Costs!$F$6:$F$305,"Bought")=0),1/COUNTIFS(Costs!$C$6:$C$305,C272,Costs!$F$6:$F$305,"Quote"),"")</f>
        <v/>
      </c>
      <c r="O272">
        <f>IF(AND(OR(F272="Hired",F272="Bought"),N(I272)&gt;0,H272&lt;&gt;""),H272+ROW()/100000,"")</f>
        <v/>
      </c>
    </row>
    <row r="273">
      <c r="A273" s="1" t="n"/>
      <c r="B273" s="33" t="n"/>
      <c r="C273" s="33" t="n"/>
      <c r="D273" s="33" t="n"/>
      <c r="E273" s="27" t="n"/>
      <c r="F273" s="34" t="n"/>
      <c r="G273" s="27" t="n"/>
      <c r="H273" s="35" t="n"/>
      <c r="I273" s="14">
        <f>IF(OR(E273="",AND(F273&lt;&gt;"Hired",F273&lt;&gt;"Bought")),"",E273-N(G273))</f>
        <v/>
      </c>
      <c r="J273" s="16">
        <f>IF(C273&amp;E273="","",IF(F273="","Choose a stage",IF(F273="Quote","",IF(E273="","Add the amount",IF(I273&lt;=0,"Paid",IF(H273="","Balance due, no date set",IF(H273&lt;TODAY(),"Overdue by "&amp;(TODAY()-H273)&amp;IF((TODAY()-H273)=1," day"," days"),IF(H273=TODAY(),"Due today",IF((H273-TODAY())&lt;=14,"Due in "&amp;(H273-TODAY())&amp;IF((H273-TODAY())=1," day"," days"),"Next payment in "&amp;(H273-TODAY())&amp;" days")))))))))</f>
        <v/>
      </c>
      <c r="K273" s="16">
        <f>IF(OR(C273="",E273=""),"",IF(COUNTIFS(Costs!$C$6:$C$305,C273,Costs!$E$6:$E$305,"&lt;&gt;")&lt;2,"",IF(M273=1,"Cheapest of "&amp;COUNTIFS(Costs!$C$6:$C$305,C273,Costs!$E$6:$E$305,"&lt;&gt;"),FIXED(E273-SUMIFS(Costs!$E$6:$E$305,Costs!$C$6:$C$305,C273,Costs!$M$6:$M$305,1)/COUNTIFS(Costs!$C$6:$C$305,C273,Costs!$M$6:$M$305,1),0)&amp;" more than the cheapest")))</f>
        <v/>
      </c>
      <c r="L273" s="33" t="n"/>
      <c r="M273" s="1">
        <f>IF(OR(C273="",E273=""),"",IF(COUNTIFS(Costs!$C$6:$C$305,C273,Costs!$E$6:$E$305,"&lt;"&amp;E273)=0,1,0))</f>
        <v/>
      </c>
      <c r="N273">
        <f>IF(AND(C273&lt;&gt;"",F273="Quote",COUNTIFS(Costs!$C$6:$C$305,C273,Costs!$F$6:$F$305,"Hired")+COUNTIFS(Costs!$C$6:$C$305,C273,Costs!$F$6:$F$305,"Bought")=0),1/COUNTIFS(Costs!$C$6:$C$305,C273,Costs!$F$6:$F$305,"Quote"),"")</f>
        <v/>
      </c>
      <c r="O273">
        <f>IF(AND(OR(F273="Hired",F273="Bought"),N(I273)&gt;0,H273&lt;&gt;""),H273+ROW()/100000,"")</f>
        <v/>
      </c>
    </row>
    <row r="274">
      <c r="A274" s="1" t="n"/>
      <c r="B274" s="33" t="n"/>
      <c r="C274" s="33" t="n"/>
      <c r="D274" s="33" t="n"/>
      <c r="E274" s="27" t="n"/>
      <c r="F274" s="34" t="n"/>
      <c r="G274" s="27" t="n"/>
      <c r="H274" s="35" t="n"/>
      <c r="I274" s="14">
        <f>IF(OR(E274="",AND(F274&lt;&gt;"Hired",F274&lt;&gt;"Bought")),"",E274-N(G274))</f>
        <v/>
      </c>
      <c r="J274" s="16">
        <f>IF(C274&amp;E274="","",IF(F274="","Choose a stage",IF(F274="Quote","",IF(E274="","Add the amount",IF(I274&lt;=0,"Paid",IF(H274="","Balance due, no date set",IF(H274&lt;TODAY(),"Overdue by "&amp;(TODAY()-H274)&amp;IF((TODAY()-H274)=1," day"," days"),IF(H274=TODAY(),"Due today",IF((H274-TODAY())&lt;=14,"Due in "&amp;(H274-TODAY())&amp;IF((H274-TODAY())=1," day"," days"),"Next payment in "&amp;(H274-TODAY())&amp;" days")))))))))</f>
        <v/>
      </c>
      <c r="K274" s="16">
        <f>IF(OR(C274="",E274=""),"",IF(COUNTIFS(Costs!$C$6:$C$305,C274,Costs!$E$6:$E$305,"&lt;&gt;")&lt;2,"",IF(M274=1,"Cheapest of "&amp;COUNTIFS(Costs!$C$6:$C$305,C274,Costs!$E$6:$E$305,"&lt;&gt;"),FIXED(E274-SUMIFS(Costs!$E$6:$E$305,Costs!$C$6:$C$305,C274,Costs!$M$6:$M$305,1)/COUNTIFS(Costs!$C$6:$C$305,C274,Costs!$M$6:$M$305,1),0)&amp;" more than the cheapest")))</f>
        <v/>
      </c>
      <c r="L274" s="33" t="n"/>
      <c r="M274" s="1">
        <f>IF(OR(C274="",E274=""),"",IF(COUNTIFS(Costs!$C$6:$C$305,C274,Costs!$E$6:$E$305,"&lt;"&amp;E274)=0,1,0))</f>
        <v/>
      </c>
      <c r="N274">
        <f>IF(AND(C274&lt;&gt;"",F274="Quote",COUNTIFS(Costs!$C$6:$C$305,C274,Costs!$F$6:$F$305,"Hired")+COUNTIFS(Costs!$C$6:$C$305,C274,Costs!$F$6:$F$305,"Bought")=0),1/COUNTIFS(Costs!$C$6:$C$305,C274,Costs!$F$6:$F$305,"Quote"),"")</f>
        <v/>
      </c>
      <c r="O274">
        <f>IF(AND(OR(F274="Hired",F274="Bought"),N(I274)&gt;0,H274&lt;&gt;""),H274+ROW()/100000,"")</f>
        <v/>
      </c>
    </row>
    <row r="275">
      <c r="A275" s="1" t="n"/>
      <c r="B275" s="33" t="n"/>
      <c r="C275" s="33" t="n"/>
      <c r="D275" s="33" t="n"/>
      <c r="E275" s="27" t="n"/>
      <c r="F275" s="34" t="n"/>
      <c r="G275" s="27" t="n"/>
      <c r="H275" s="35" t="n"/>
      <c r="I275" s="14">
        <f>IF(OR(E275="",AND(F275&lt;&gt;"Hired",F275&lt;&gt;"Bought")),"",E275-N(G275))</f>
        <v/>
      </c>
      <c r="J275" s="16">
        <f>IF(C275&amp;E275="","",IF(F275="","Choose a stage",IF(F275="Quote","",IF(E275="","Add the amount",IF(I275&lt;=0,"Paid",IF(H275="","Balance due, no date set",IF(H275&lt;TODAY(),"Overdue by "&amp;(TODAY()-H275)&amp;IF((TODAY()-H275)=1," day"," days"),IF(H275=TODAY(),"Due today",IF((H275-TODAY())&lt;=14,"Due in "&amp;(H275-TODAY())&amp;IF((H275-TODAY())=1," day"," days"),"Next payment in "&amp;(H275-TODAY())&amp;" days")))))))))</f>
        <v/>
      </c>
      <c r="K275" s="16">
        <f>IF(OR(C275="",E275=""),"",IF(COUNTIFS(Costs!$C$6:$C$305,C275,Costs!$E$6:$E$305,"&lt;&gt;")&lt;2,"",IF(M275=1,"Cheapest of "&amp;COUNTIFS(Costs!$C$6:$C$305,C275,Costs!$E$6:$E$305,"&lt;&gt;"),FIXED(E275-SUMIFS(Costs!$E$6:$E$305,Costs!$C$6:$C$305,C275,Costs!$M$6:$M$305,1)/COUNTIFS(Costs!$C$6:$C$305,C275,Costs!$M$6:$M$305,1),0)&amp;" more than the cheapest")))</f>
        <v/>
      </c>
      <c r="L275" s="33" t="n"/>
      <c r="M275" s="1">
        <f>IF(OR(C275="",E275=""),"",IF(COUNTIFS(Costs!$C$6:$C$305,C275,Costs!$E$6:$E$305,"&lt;"&amp;E275)=0,1,0))</f>
        <v/>
      </c>
      <c r="N275">
        <f>IF(AND(C275&lt;&gt;"",F275="Quote",COUNTIFS(Costs!$C$6:$C$305,C275,Costs!$F$6:$F$305,"Hired")+COUNTIFS(Costs!$C$6:$C$305,C275,Costs!$F$6:$F$305,"Bought")=0),1/COUNTIFS(Costs!$C$6:$C$305,C275,Costs!$F$6:$F$305,"Quote"),"")</f>
        <v/>
      </c>
      <c r="O275">
        <f>IF(AND(OR(F275="Hired",F275="Bought"),N(I275)&gt;0,H275&lt;&gt;""),H275+ROW()/100000,"")</f>
        <v/>
      </c>
    </row>
    <row r="276">
      <c r="A276" s="1" t="n"/>
      <c r="B276" s="33" t="n"/>
      <c r="C276" s="33" t="n"/>
      <c r="D276" s="33" t="n"/>
      <c r="E276" s="27" t="n"/>
      <c r="F276" s="34" t="n"/>
      <c r="G276" s="27" t="n"/>
      <c r="H276" s="35" t="n"/>
      <c r="I276" s="14">
        <f>IF(OR(E276="",AND(F276&lt;&gt;"Hired",F276&lt;&gt;"Bought")),"",E276-N(G276))</f>
        <v/>
      </c>
      <c r="J276" s="16">
        <f>IF(C276&amp;E276="","",IF(F276="","Choose a stage",IF(F276="Quote","",IF(E276="","Add the amount",IF(I276&lt;=0,"Paid",IF(H276="","Balance due, no date set",IF(H276&lt;TODAY(),"Overdue by "&amp;(TODAY()-H276)&amp;IF((TODAY()-H276)=1," day"," days"),IF(H276=TODAY(),"Due today",IF((H276-TODAY())&lt;=14,"Due in "&amp;(H276-TODAY())&amp;IF((H276-TODAY())=1," day"," days"),"Next payment in "&amp;(H276-TODAY())&amp;" days")))))))))</f>
        <v/>
      </c>
      <c r="K276" s="16">
        <f>IF(OR(C276="",E276=""),"",IF(COUNTIFS(Costs!$C$6:$C$305,C276,Costs!$E$6:$E$305,"&lt;&gt;")&lt;2,"",IF(M276=1,"Cheapest of "&amp;COUNTIFS(Costs!$C$6:$C$305,C276,Costs!$E$6:$E$305,"&lt;&gt;"),FIXED(E276-SUMIFS(Costs!$E$6:$E$305,Costs!$C$6:$C$305,C276,Costs!$M$6:$M$305,1)/COUNTIFS(Costs!$C$6:$C$305,C276,Costs!$M$6:$M$305,1),0)&amp;" more than the cheapest")))</f>
        <v/>
      </c>
      <c r="L276" s="33" t="n"/>
      <c r="M276" s="1">
        <f>IF(OR(C276="",E276=""),"",IF(COUNTIFS(Costs!$C$6:$C$305,C276,Costs!$E$6:$E$305,"&lt;"&amp;E276)=0,1,0))</f>
        <v/>
      </c>
      <c r="N276">
        <f>IF(AND(C276&lt;&gt;"",F276="Quote",COUNTIFS(Costs!$C$6:$C$305,C276,Costs!$F$6:$F$305,"Hired")+COUNTIFS(Costs!$C$6:$C$305,C276,Costs!$F$6:$F$305,"Bought")=0),1/COUNTIFS(Costs!$C$6:$C$305,C276,Costs!$F$6:$F$305,"Quote"),"")</f>
        <v/>
      </c>
      <c r="O276">
        <f>IF(AND(OR(F276="Hired",F276="Bought"),N(I276)&gt;0,H276&lt;&gt;""),H276+ROW()/100000,"")</f>
        <v/>
      </c>
    </row>
    <row r="277">
      <c r="A277" s="1" t="n"/>
      <c r="B277" s="33" t="n"/>
      <c r="C277" s="33" t="n"/>
      <c r="D277" s="33" t="n"/>
      <c r="E277" s="27" t="n"/>
      <c r="F277" s="34" t="n"/>
      <c r="G277" s="27" t="n"/>
      <c r="H277" s="35" t="n"/>
      <c r="I277" s="14">
        <f>IF(OR(E277="",AND(F277&lt;&gt;"Hired",F277&lt;&gt;"Bought")),"",E277-N(G277))</f>
        <v/>
      </c>
      <c r="J277" s="16">
        <f>IF(C277&amp;E277="","",IF(F277="","Choose a stage",IF(F277="Quote","",IF(E277="","Add the amount",IF(I277&lt;=0,"Paid",IF(H277="","Balance due, no date set",IF(H277&lt;TODAY(),"Overdue by "&amp;(TODAY()-H277)&amp;IF((TODAY()-H277)=1," day"," days"),IF(H277=TODAY(),"Due today",IF((H277-TODAY())&lt;=14,"Due in "&amp;(H277-TODAY())&amp;IF((H277-TODAY())=1," day"," days"),"Next payment in "&amp;(H277-TODAY())&amp;" days")))))))))</f>
        <v/>
      </c>
      <c r="K277" s="16">
        <f>IF(OR(C277="",E277=""),"",IF(COUNTIFS(Costs!$C$6:$C$305,C277,Costs!$E$6:$E$305,"&lt;&gt;")&lt;2,"",IF(M277=1,"Cheapest of "&amp;COUNTIFS(Costs!$C$6:$C$305,C277,Costs!$E$6:$E$305,"&lt;&gt;"),FIXED(E277-SUMIFS(Costs!$E$6:$E$305,Costs!$C$6:$C$305,C277,Costs!$M$6:$M$305,1)/COUNTIFS(Costs!$C$6:$C$305,C277,Costs!$M$6:$M$305,1),0)&amp;" more than the cheapest")))</f>
        <v/>
      </c>
      <c r="L277" s="33" t="n"/>
      <c r="M277" s="1">
        <f>IF(OR(C277="",E277=""),"",IF(COUNTIFS(Costs!$C$6:$C$305,C277,Costs!$E$6:$E$305,"&lt;"&amp;E277)=0,1,0))</f>
        <v/>
      </c>
      <c r="N277">
        <f>IF(AND(C277&lt;&gt;"",F277="Quote",COUNTIFS(Costs!$C$6:$C$305,C277,Costs!$F$6:$F$305,"Hired")+COUNTIFS(Costs!$C$6:$C$305,C277,Costs!$F$6:$F$305,"Bought")=0),1/COUNTIFS(Costs!$C$6:$C$305,C277,Costs!$F$6:$F$305,"Quote"),"")</f>
        <v/>
      </c>
      <c r="O277">
        <f>IF(AND(OR(F277="Hired",F277="Bought"),N(I277)&gt;0,H277&lt;&gt;""),H277+ROW()/100000,"")</f>
        <v/>
      </c>
    </row>
    <row r="278">
      <c r="A278" s="1" t="n"/>
      <c r="B278" s="33" t="n"/>
      <c r="C278" s="33" t="n"/>
      <c r="D278" s="33" t="n"/>
      <c r="E278" s="27" t="n"/>
      <c r="F278" s="34" t="n"/>
      <c r="G278" s="27" t="n"/>
      <c r="H278" s="35" t="n"/>
      <c r="I278" s="14">
        <f>IF(OR(E278="",AND(F278&lt;&gt;"Hired",F278&lt;&gt;"Bought")),"",E278-N(G278))</f>
        <v/>
      </c>
      <c r="J278" s="16">
        <f>IF(C278&amp;E278="","",IF(F278="","Choose a stage",IF(F278="Quote","",IF(E278="","Add the amount",IF(I278&lt;=0,"Paid",IF(H278="","Balance due, no date set",IF(H278&lt;TODAY(),"Overdue by "&amp;(TODAY()-H278)&amp;IF((TODAY()-H278)=1," day"," days"),IF(H278=TODAY(),"Due today",IF((H278-TODAY())&lt;=14,"Due in "&amp;(H278-TODAY())&amp;IF((H278-TODAY())=1," day"," days"),"Next payment in "&amp;(H278-TODAY())&amp;" days")))))))))</f>
        <v/>
      </c>
      <c r="K278" s="16">
        <f>IF(OR(C278="",E278=""),"",IF(COUNTIFS(Costs!$C$6:$C$305,C278,Costs!$E$6:$E$305,"&lt;&gt;")&lt;2,"",IF(M278=1,"Cheapest of "&amp;COUNTIFS(Costs!$C$6:$C$305,C278,Costs!$E$6:$E$305,"&lt;&gt;"),FIXED(E278-SUMIFS(Costs!$E$6:$E$305,Costs!$C$6:$C$305,C278,Costs!$M$6:$M$305,1)/COUNTIFS(Costs!$C$6:$C$305,C278,Costs!$M$6:$M$305,1),0)&amp;" more than the cheapest")))</f>
        <v/>
      </c>
      <c r="L278" s="33" t="n"/>
      <c r="M278" s="1">
        <f>IF(OR(C278="",E278=""),"",IF(COUNTIFS(Costs!$C$6:$C$305,C278,Costs!$E$6:$E$305,"&lt;"&amp;E278)=0,1,0))</f>
        <v/>
      </c>
      <c r="N278">
        <f>IF(AND(C278&lt;&gt;"",F278="Quote",COUNTIFS(Costs!$C$6:$C$305,C278,Costs!$F$6:$F$305,"Hired")+COUNTIFS(Costs!$C$6:$C$305,C278,Costs!$F$6:$F$305,"Bought")=0),1/COUNTIFS(Costs!$C$6:$C$305,C278,Costs!$F$6:$F$305,"Quote"),"")</f>
        <v/>
      </c>
      <c r="O278">
        <f>IF(AND(OR(F278="Hired",F278="Bought"),N(I278)&gt;0,H278&lt;&gt;""),H278+ROW()/100000,"")</f>
        <v/>
      </c>
    </row>
    <row r="279">
      <c r="A279" s="1" t="n"/>
      <c r="B279" s="33" t="n"/>
      <c r="C279" s="33" t="n"/>
      <c r="D279" s="33" t="n"/>
      <c r="E279" s="27" t="n"/>
      <c r="F279" s="34" t="n"/>
      <c r="G279" s="27" t="n"/>
      <c r="H279" s="35" t="n"/>
      <c r="I279" s="14">
        <f>IF(OR(E279="",AND(F279&lt;&gt;"Hired",F279&lt;&gt;"Bought")),"",E279-N(G279))</f>
        <v/>
      </c>
      <c r="J279" s="16">
        <f>IF(C279&amp;E279="","",IF(F279="","Choose a stage",IF(F279="Quote","",IF(E279="","Add the amount",IF(I279&lt;=0,"Paid",IF(H279="","Balance due, no date set",IF(H279&lt;TODAY(),"Overdue by "&amp;(TODAY()-H279)&amp;IF((TODAY()-H279)=1," day"," days"),IF(H279=TODAY(),"Due today",IF((H279-TODAY())&lt;=14,"Due in "&amp;(H279-TODAY())&amp;IF((H279-TODAY())=1," day"," days"),"Next payment in "&amp;(H279-TODAY())&amp;" days")))))))))</f>
        <v/>
      </c>
      <c r="K279" s="16">
        <f>IF(OR(C279="",E279=""),"",IF(COUNTIFS(Costs!$C$6:$C$305,C279,Costs!$E$6:$E$305,"&lt;&gt;")&lt;2,"",IF(M279=1,"Cheapest of "&amp;COUNTIFS(Costs!$C$6:$C$305,C279,Costs!$E$6:$E$305,"&lt;&gt;"),FIXED(E279-SUMIFS(Costs!$E$6:$E$305,Costs!$C$6:$C$305,C279,Costs!$M$6:$M$305,1)/COUNTIFS(Costs!$C$6:$C$305,C279,Costs!$M$6:$M$305,1),0)&amp;" more than the cheapest")))</f>
        <v/>
      </c>
      <c r="L279" s="33" t="n"/>
      <c r="M279" s="1">
        <f>IF(OR(C279="",E279=""),"",IF(COUNTIFS(Costs!$C$6:$C$305,C279,Costs!$E$6:$E$305,"&lt;"&amp;E279)=0,1,0))</f>
        <v/>
      </c>
      <c r="N279">
        <f>IF(AND(C279&lt;&gt;"",F279="Quote",COUNTIFS(Costs!$C$6:$C$305,C279,Costs!$F$6:$F$305,"Hired")+COUNTIFS(Costs!$C$6:$C$305,C279,Costs!$F$6:$F$305,"Bought")=0),1/COUNTIFS(Costs!$C$6:$C$305,C279,Costs!$F$6:$F$305,"Quote"),"")</f>
        <v/>
      </c>
      <c r="O279">
        <f>IF(AND(OR(F279="Hired",F279="Bought"),N(I279)&gt;0,H279&lt;&gt;""),H279+ROW()/100000,"")</f>
        <v/>
      </c>
    </row>
    <row r="280">
      <c r="A280" s="1" t="n"/>
      <c r="B280" s="33" t="n"/>
      <c r="C280" s="33" t="n"/>
      <c r="D280" s="33" t="n"/>
      <c r="E280" s="27" t="n"/>
      <c r="F280" s="34" t="n"/>
      <c r="G280" s="27" t="n"/>
      <c r="H280" s="35" t="n"/>
      <c r="I280" s="14">
        <f>IF(OR(E280="",AND(F280&lt;&gt;"Hired",F280&lt;&gt;"Bought")),"",E280-N(G280))</f>
        <v/>
      </c>
      <c r="J280" s="16">
        <f>IF(C280&amp;E280="","",IF(F280="","Choose a stage",IF(F280="Quote","",IF(E280="","Add the amount",IF(I280&lt;=0,"Paid",IF(H280="","Balance due, no date set",IF(H280&lt;TODAY(),"Overdue by "&amp;(TODAY()-H280)&amp;IF((TODAY()-H280)=1," day"," days"),IF(H280=TODAY(),"Due today",IF((H280-TODAY())&lt;=14,"Due in "&amp;(H280-TODAY())&amp;IF((H280-TODAY())=1," day"," days"),"Next payment in "&amp;(H280-TODAY())&amp;" days")))))))))</f>
        <v/>
      </c>
      <c r="K280" s="16">
        <f>IF(OR(C280="",E280=""),"",IF(COUNTIFS(Costs!$C$6:$C$305,C280,Costs!$E$6:$E$305,"&lt;&gt;")&lt;2,"",IF(M280=1,"Cheapest of "&amp;COUNTIFS(Costs!$C$6:$C$305,C280,Costs!$E$6:$E$305,"&lt;&gt;"),FIXED(E280-SUMIFS(Costs!$E$6:$E$305,Costs!$C$6:$C$305,C280,Costs!$M$6:$M$305,1)/COUNTIFS(Costs!$C$6:$C$305,C280,Costs!$M$6:$M$305,1),0)&amp;" more than the cheapest")))</f>
        <v/>
      </c>
      <c r="L280" s="33" t="n"/>
      <c r="M280" s="1">
        <f>IF(OR(C280="",E280=""),"",IF(COUNTIFS(Costs!$C$6:$C$305,C280,Costs!$E$6:$E$305,"&lt;"&amp;E280)=0,1,0))</f>
        <v/>
      </c>
      <c r="N280">
        <f>IF(AND(C280&lt;&gt;"",F280="Quote",COUNTIFS(Costs!$C$6:$C$305,C280,Costs!$F$6:$F$305,"Hired")+COUNTIFS(Costs!$C$6:$C$305,C280,Costs!$F$6:$F$305,"Bought")=0),1/COUNTIFS(Costs!$C$6:$C$305,C280,Costs!$F$6:$F$305,"Quote"),"")</f>
        <v/>
      </c>
      <c r="O280">
        <f>IF(AND(OR(F280="Hired",F280="Bought"),N(I280)&gt;0,H280&lt;&gt;""),H280+ROW()/100000,"")</f>
        <v/>
      </c>
    </row>
    <row r="281">
      <c r="A281" s="1" t="n"/>
      <c r="B281" s="33" t="n"/>
      <c r="C281" s="33" t="n"/>
      <c r="D281" s="33" t="n"/>
      <c r="E281" s="27" t="n"/>
      <c r="F281" s="34" t="n"/>
      <c r="G281" s="27" t="n"/>
      <c r="H281" s="35" t="n"/>
      <c r="I281" s="14">
        <f>IF(OR(E281="",AND(F281&lt;&gt;"Hired",F281&lt;&gt;"Bought")),"",E281-N(G281))</f>
        <v/>
      </c>
      <c r="J281" s="16">
        <f>IF(C281&amp;E281="","",IF(F281="","Choose a stage",IF(F281="Quote","",IF(E281="","Add the amount",IF(I281&lt;=0,"Paid",IF(H281="","Balance due, no date set",IF(H281&lt;TODAY(),"Overdue by "&amp;(TODAY()-H281)&amp;IF((TODAY()-H281)=1," day"," days"),IF(H281=TODAY(),"Due today",IF((H281-TODAY())&lt;=14,"Due in "&amp;(H281-TODAY())&amp;IF((H281-TODAY())=1," day"," days"),"Next payment in "&amp;(H281-TODAY())&amp;" days")))))))))</f>
        <v/>
      </c>
      <c r="K281" s="16">
        <f>IF(OR(C281="",E281=""),"",IF(COUNTIFS(Costs!$C$6:$C$305,C281,Costs!$E$6:$E$305,"&lt;&gt;")&lt;2,"",IF(M281=1,"Cheapest of "&amp;COUNTIFS(Costs!$C$6:$C$305,C281,Costs!$E$6:$E$305,"&lt;&gt;"),FIXED(E281-SUMIFS(Costs!$E$6:$E$305,Costs!$C$6:$C$305,C281,Costs!$M$6:$M$305,1)/COUNTIFS(Costs!$C$6:$C$305,C281,Costs!$M$6:$M$305,1),0)&amp;" more than the cheapest")))</f>
        <v/>
      </c>
      <c r="L281" s="33" t="n"/>
      <c r="M281" s="1">
        <f>IF(OR(C281="",E281=""),"",IF(COUNTIFS(Costs!$C$6:$C$305,C281,Costs!$E$6:$E$305,"&lt;"&amp;E281)=0,1,0))</f>
        <v/>
      </c>
      <c r="N281">
        <f>IF(AND(C281&lt;&gt;"",F281="Quote",COUNTIFS(Costs!$C$6:$C$305,C281,Costs!$F$6:$F$305,"Hired")+COUNTIFS(Costs!$C$6:$C$305,C281,Costs!$F$6:$F$305,"Bought")=0),1/COUNTIFS(Costs!$C$6:$C$305,C281,Costs!$F$6:$F$305,"Quote"),"")</f>
        <v/>
      </c>
      <c r="O281">
        <f>IF(AND(OR(F281="Hired",F281="Bought"),N(I281)&gt;0,H281&lt;&gt;""),H281+ROW()/100000,"")</f>
        <v/>
      </c>
    </row>
    <row r="282">
      <c r="A282" s="1" t="n"/>
      <c r="B282" s="33" t="n"/>
      <c r="C282" s="33" t="n"/>
      <c r="D282" s="33" t="n"/>
      <c r="E282" s="27" t="n"/>
      <c r="F282" s="34" t="n"/>
      <c r="G282" s="27" t="n"/>
      <c r="H282" s="35" t="n"/>
      <c r="I282" s="14">
        <f>IF(OR(E282="",AND(F282&lt;&gt;"Hired",F282&lt;&gt;"Bought")),"",E282-N(G282))</f>
        <v/>
      </c>
      <c r="J282" s="16">
        <f>IF(C282&amp;E282="","",IF(F282="","Choose a stage",IF(F282="Quote","",IF(E282="","Add the amount",IF(I282&lt;=0,"Paid",IF(H282="","Balance due, no date set",IF(H282&lt;TODAY(),"Overdue by "&amp;(TODAY()-H282)&amp;IF((TODAY()-H282)=1," day"," days"),IF(H282=TODAY(),"Due today",IF((H282-TODAY())&lt;=14,"Due in "&amp;(H282-TODAY())&amp;IF((H282-TODAY())=1," day"," days"),"Next payment in "&amp;(H282-TODAY())&amp;" days")))))))))</f>
        <v/>
      </c>
      <c r="K282" s="16">
        <f>IF(OR(C282="",E282=""),"",IF(COUNTIFS(Costs!$C$6:$C$305,C282,Costs!$E$6:$E$305,"&lt;&gt;")&lt;2,"",IF(M282=1,"Cheapest of "&amp;COUNTIFS(Costs!$C$6:$C$305,C282,Costs!$E$6:$E$305,"&lt;&gt;"),FIXED(E282-SUMIFS(Costs!$E$6:$E$305,Costs!$C$6:$C$305,C282,Costs!$M$6:$M$305,1)/COUNTIFS(Costs!$C$6:$C$305,C282,Costs!$M$6:$M$305,1),0)&amp;" more than the cheapest")))</f>
        <v/>
      </c>
      <c r="L282" s="33" t="n"/>
      <c r="M282" s="1">
        <f>IF(OR(C282="",E282=""),"",IF(COUNTIFS(Costs!$C$6:$C$305,C282,Costs!$E$6:$E$305,"&lt;"&amp;E282)=0,1,0))</f>
        <v/>
      </c>
      <c r="N282">
        <f>IF(AND(C282&lt;&gt;"",F282="Quote",COUNTIFS(Costs!$C$6:$C$305,C282,Costs!$F$6:$F$305,"Hired")+COUNTIFS(Costs!$C$6:$C$305,C282,Costs!$F$6:$F$305,"Bought")=0),1/COUNTIFS(Costs!$C$6:$C$305,C282,Costs!$F$6:$F$305,"Quote"),"")</f>
        <v/>
      </c>
      <c r="O282">
        <f>IF(AND(OR(F282="Hired",F282="Bought"),N(I282)&gt;0,H282&lt;&gt;""),H282+ROW()/100000,"")</f>
        <v/>
      </c>
    </row>
    <row r="283">
      <c r="A283" s="1" t="n"/>
      <c r="B283" s="33" t="n"/>
      <c r="C283" s="33" t="n"/>
      <c r="D283" s="33" t="n"/>
      <c r="E283" s="27" t="n"/>
      <c r="F283" s="34" t="n"/>
      <c r="G283" s="27" t="n"/>
      <c r="H283" s="35" t="n"/>
      <c r="I283" s="14">
        <f>IF(OR(E283="",AND(F283&lt;&gt;"Hired",F283&lt;&gt;"Bought")),"",E283-N(G283))</f>
        <v/>
      </c>
      <c r="J283" s="16">
        <f>IF(C283&amp;E283="","",IF(F283="","Choose a stage",IF(F283="Quote","",IF(E283="","Add the amount",IF(I283&lt;=0,"Paid",IF(H283="","Balance due, no date set",IF(H283&lt;TODAY(),"Overdue by "&amp;(TODAY()-H283)&amp;IF((TODAY()-H283)=1," day"," days"),IF(H283=TODAY(),"Due today",IF((H283-TODAY())&lt;=14,"Due in "&amp;(H283-TODAY())&amp;IF((H283-TODAY())=1," day"," days"),"Next payment in "&amp;(H283-TODAY())&amp;" days")))))))))</f>
        <v/>
      </c>
      <c r="K283" s="16">
        <f>IF(OR(C283="",E283=""),"",IF(COUNTIFS(Costs!$C$6:$C$305,C283,Costs!$E$6:$E$305,"&lt;&gt;")&lt;2,"",IF(M283=1,"Cheapest of "&amp;COUNTIFS(Costs!$C$6:$C$305,C283,Costs!$E$6:$E$305,"&lt;&gt;"),FIXED(E283-SUMIFS(Costs!$E$6:$E$305,Costs!$C$6:$C$305,C283,Costs!$M$6:$M$305,1)/COUNTIFS(Costs!$C$6:$C$305,C283,Costs!$M$6:$M$305,1),0)&amp;" more than the cheapest")))</f>
        <v/>
      </c>
      <c r="L283" s="33" t="n"/>
      <c r="M283" s="1">
        <f>IF(OR(C283="",E283=""),"",IF(COUNTIFS(Costs!$C$6:$C$305,C283,Costs!$E$6:$E$305,"&lt;"&amp;E283)=0,1,0))</f>
        <v/>
      </c>
      <c r="N283">
        <f>IF(AND(C283&lt;&gt;"",F283="Quote",COUNTIFS(Costs!$C$6:$C$305,C283,Costs!$F$6:$F$305,"Hired")+COUNTIFS(Costs!$C$6:$C$305,C283,Costs!$F$6:$F$305,"Bought")=0),1/COUNTIFS(Costs!$C$6:$C$305,C283,Costs!$F$6:$F$305,"Quote"),"")</f>
        <v/>
      </c>
      <c r="O283">
        <f>IF(AND(OR(F283="Hired",F283="Bought"),N(I283)&gt;0,H283&lt;&gt;""),H283+ROW()/100000,"")</f>
        <v/>
      </c>
    </row>
    <row r="284">
      <c r="A284" s="1" t="n"/>
      <c r="B284" s="33" t="n"/>
      <c r="C284" s="33" t="n"/>
      <c r="D284" s="33" t="n"/>
      <c r="E284" s="27" t="n"/>
      <c r="F284" s="34" t="n"/>
      <c r="G284" s="27" t="n"/>
      <c r="H284" s="35" t="n"/>
      <c r="I284" s="14">
        <f>IF(OR(E284="",AND(F284&lt;&gt;"Hired",F284&lt;&gt;"Bought")),"",E284-N(G284))</f>
        <v/>
      </c>
      <c r="J284" s="16">
        <f>IF(C284&amp;E284="","",IF(F284="","Choose a stage",IF(F284="Quote","",IF(E284="","Add the amount",IF(I284&lt;=0,"Paid",IF(H284="","Balance due, no date set",IF(H284&lt;TODAY(),"Overdue by "&amp;(TODAY()-H284)&amp;IF((TODAY()-H284)=1," day"," days"),IF(H284=TODAY(),"Due today",IF((H284-TODAY())&lt;=14,"Due in "&amp;(H284-TODAY())&amp;IF((H284-TODAY())=1," day"," days"),"Next payment in "&amp;(H284-TODAY())&amp;" days")))))))))</f>
        <v/>
      </c>
      <c r="K284" s="16">
        <f>IF(OR(C284="",E284=""),"",IF(COUNTIFS(Costs!$C$6:$C$305,C284,Costs!$E$6:$E$305,"&lt;&gt;")&lt;2,"",IF(M284=1,"Cheapest of "&amp;COUNTIFS(Costs!$C$6:$C$305,C284,Costs!$E$6:$E$305,"&lt;&gt;"),FIXED(E284-SUMIFS(Costs!$E$6:$E$305,Costs!$C$6:$C$305,C284,Costs!$M$6:$M$305,1)/COUNTIFS(Costs!$C$6:$C$305,C284,Costs!$M$6:$M$305,1),0)&amp;" more than the cheapest")))</f>
        <v/>
      </c>
      <c r="L284" s="33" t="n"/>
      <c r="M284" s="1">
        <f>IF(OR(C284="",E284=""),"",IF(COUNTIFS(Costs!$C$6:$C$305,C284,Costs!$E$6:$E$305,"&lt;"&amp;E284)=0,1,0))</f>
        <v/>
      </c>
      <c r="N284">
        <f>IF(AND(C284&lt;&gt;"",F284="Quote",COUNTIFS(Costs!$C$6:$C$305,C284,Costs!$F$6:$F$305,"Hired")+COUNTIFS(Costs!$C$6:$C$305,C284,Costs!$F$6:$F$305,"Bought")=0),1/COUNTIFS(Costs!$C$6:$C$305,C284,Costs!$F$6:$F$305,"Quote"),"")</f>
        <v/>
      </c>
      <c r="O284">
        <f>IF(AND(OR(F284="Hired",F284="Bought"),N(I284)&gt;0,H284&lt;&gt;""),H284+ROW()/100000,"")</f>
        <v/>
      </c>
    </row>
    <row r="285">
      <c r="A285" s="1" t="n"/>
      <c r="B285" s="33" t="n"/>
      <c r="C285" s="33" t="n"/>
      <c r="D285" s="33" t="n"/>
      <c r="E285" s="27" t="n"/>
      <c r="F285" s="34" t="n"/>
      <c r="G285" s="27" t="n"/>
      <c r="H285" s="35" t="n"/>
      <c r="I285" s="14">
        <f>IF(OR(E285="",AND(F285&lt;&gt;"Hired",F285&lt;&gt;"Bought")),"",E285-N(G285))</f>
        <v/>
      </c>
      <c r="J285" s="16">
        <f>IF(C285&amp;E285="","",IF(F285="","Choose a stage",IF(F285="Quote","",IF(E285="","Add the amount",IF(I285&lt;=0,"Paid",IF(H285="","Balance due, no date set",IF(H285&lt;TODAY(),"Overdue by "&amp;(TODAY()-H285)&amp;IF((TODAY()-H285)=1," day"," days"),IF(H285=TODAY(),"Due today",IF((H285-TODAY())&lt;=14,"Due in "&amp;(H285-TODAY())&amp;IF((H285-TODAY())=1," day"," days"),"Next payment in "&amp;(H285-TODAY())&amp;" days")))))))))</f>
        <v/>
      </c>
      <c r="K285" s="16">
        <f>IF(OR(C285="",E285=""),"",IF(COUNTIFS(Costs!$C$6:$C$305,C285,Costs!$E$6:$E$305,"&lt;&gt;")&lt;2,"",IF(M285=1,"Cheapest of "&amp;COUNTIFS(Costs!$C$6:$C$305,C285,Costs!$E$6:$E$305,"&lt;&gt;"),FIXED(E285-SUMIFS(Costs!$E$6:$E$305,Costs!$C$6:$C$305,C285,Costs!$M$6:$M$305,1)/COUNTIFS(Costs!$C$6:$C$305,C285,Costs!$M$6:$M$305,1),0)&amp;" more than the cheapest")))</f>
        <v/>
      </c>
      <c r="L285" s="33" t="n"/>
      <c r="M285" s="1">
        <f>IF(OR(C285="",E285=""),"",IF(COUNTIFS(Costs!$C$6:$C$305,C285,Costs!$E$6:$E$305,"&lt;"&amp;E285)=0,1,0))</f>
        <v/>
      </c>
      <c r="N285">
        <f>IF(AND(C285&lt;&gt;"",F285="Quote",COUNTIFS(Costs!$C$6:$C$305,C285,Costs!$F$6:$F$305,"Hired")+COUNTIFS(Costs!$C$6:$C$305,C285,Costs!$F$6:$F$305,"Bought")=0),1/COUNTIFS(Costs!$C$6:$C$305,C285,Costs!$F$6:$F$305,"Quote"),"")</f>
        <v/>
      </c>
      <c r="O285">
        <f>IF(AND(OR(F285="Hired",F285="Bought"),N(I285)&gt;0,H285&lt;&gt;""),H285+ROW()/100000,"")</f>
        <v/>
      </c>
    </row>
    <row r="286">
      <c r="A286" s="1" t="n"/>
      <c r="B286" s="33" t="n"/>
      <c r="C286" s="33" t="n"/>
      <c r="D286" s="33" t="n"/>
      <c r="E286" s="27" t="n"/>
      <c r="F286" s="34" t="n"/>
      <c r="G286" s="27" t="n"/>
      <c r="H286" s="35" t="n"/>
      <c r="I286" s="14">
        <f>IF(OR(E286="",AND(F286&lt;&gt;"Hired",F286&lt;&gt;"Bought")),"",E286-N(G286))</f>
        <v/>
      </c>
      <c r="J286" s="16">
        <f>IF(C286&amp;E286="","",IF(F286="","Choose a stage",IF(F286="Quote","",IF(E286="","Add the amount",IF(I286&lt;=0,"Paid",IF(H286="","Balance due, no date set",IF(H286&lt;TODAY(),"Overdue by "&amp;(TODAY()-H286)&amp;IF((TODAY()-H286)=1," day"," days"),IF(H286=TODAY(),"Due today",IF((H286-TODAY())&lt;=14,"Due in "&amp;(H286-TODAY())&amp;IF((H286-TODAY())=1," day"," days"),"Next payment in "&amp;(H286-TODAY())&amp;" days")))))))))</f>
        <v/>
      </c>
      <c r="K286" s="16">
        <f>IF(OR(C286="",E286=""),"",IF(COUNTIFS(Costs!$C$6:$C$305,C286,Costs!$E$6:$E$305,"&lt;&gt;")&lt;2,"",IF(M286=1,"Cheapest of "&amp;COUNTIFS(Costs!$C$6:$C$305,C286,Costs!$E$6:$E$305,"&lt;&gt;"),FIXED(E286-SUMIFS(Costs!$E$6:$E$305,Costs!$C$6:$C$305,C286,Costs!$M$6:$M$305,1)/COUNTIFS(Costs!$C$6:$C$305,C286,Costs!$M$6:$M$305,1),0)&amp;" more than the cheapest")))</f>
        <v/>
      </c>
      <c r="L286" s="33" t="n"/>
      <c r="M286" s="1">
        <f>IF(OR(C286="",E286=""),"",IF(COUNTIFS(Costs!$C$6:$C$305,C286,Costs!$E$6:$E$305,"&lt;"&amp;E286)=0,1,0))</f>
        <v/>
      </c>
      <c r="N286">
        <f>IF(AND(C286&lt;&gt;"",F286="Quote",COUNTIFS(Costs!$C$6:$C$305,C286,Costs!$F$6:$F$305,"Hired")+COUNTIFS(Costs!$C$6:$C$305,C286,Costs!$F$6:$F$305,"Bought")=0),1/COUNTIFS(Costs!$C$6:$C$305,C286,Costs!$F$6:$F$305,"Quote"),"")</f>
        <v/>
      </c>
      <c r="O286">
        <f>IF(AND(OR(F286="Hired",F286="Bought"),N(I286)&gt;0,H286&lt;&gt;""),H286+ROW()/100000,"")</f>
        <v/>
      </c>
    </row>
    <row r="287">
      <c r="A287" s="1" t="n"/>
      <c r="B287" s="33" t="n"/>
      <c r="C287" s="33" t="n"/>
      <c r="D287" s="33" t="n"/>
      <c r="E287" s="27" t="n"/>
      <c r="F287" s="34" t="n"/>
      <c r="G287" s="27" t="n"/>
      <c r="H287" s="35" t="n"/>
      <c r="I287" s="14">
        <f>IF(OR(E287="",AND(F287&lt;&gt;"Hired",F287&lt;&gt;"Bought")),"",E287-N(G287))</f>
        <v/>
      </c>
      <c r="J287" s="16">
        <f>IF(C287&amp;E287="","",IF(F287="","Choose a stage",IF(F287="Quote","",IF(E287="","Add the amount",IF(I287&lt;=0,"Paid",IF(H287="","Balance due, no date set",IF(H287&lt;TODAY(),"Overdue by "&amp;(TODAY()-H287)&amp;IF((TODAY()-H287)=1," day"," days"),IF(H287=TODAY(),"Due today",IF((H287-TODAY())&lt;=14,"Due in "&amp;(H287-TODAY())&amp;IF((H287-TODAY())=1," day"," days"),"Next payment in "&amp;(H287-TODAY())&amp;" days")))))))))</f>
        <v/>
      </c>
      <c r="K287" s="16">
        <f>IF(OR(C287="",E287=""),"",IF(COUNTIFS(Costs!$C$6:$C$305,C287,Costs!$E$6:$E$305,"&lt;&gt;")&lt;2,"",IF(M287=1,"Cheapest of "&amp;COUNTIFS(Costs!$C$6:$C$305,C287,Costs!$E$6:$E$305,"&lt;&gt;"),FIXED(E287-SUMIFS(Costs!$E$6:$E$305,Costs!$C$6:$C$305,C287,Costs!$M$6:$M$305,1)/COUNTIFS(Costs!$C$6:$C$305,C287,Costs!$M$6:$M$305,1),0)&amp;" more than the cheapest")))</f>
        <v/>
      </c>
      <c r="L287" s="33" t="n"/>
      <c r="M287" s="1">
        <f>IF(OR(C287="",E287=""),"",IF(COUNTIFS(Costs!$C$6:$C$305,C287,Costs!$E$6:$E$305,"&lt;"&amp;E287)=0,1,0))</f>
        <v/>
      </c>
      <c r="N287">
        <f>IF(AND(C287&lt;&gt;"",F287="Quote",COUNTIFS(Costs!$C$6:$C$305,C287,Costs!$F$6:$F$305,"Hired")+COUNTIFS(Costs!$C$6:$C$305,C287,Costs!$F$6:$F$305,"Bought")=0),1/COUNTIFS(Costs!$C$6:$C$305,C287,Costs!$F$6:$F$305,"Quote"),"")</f>
        <v/>
      </c>
      <c r="O287">
        <f>IF(AND(OR(F287="Hired",F287="Bought"),N(I287)&gt;0,H287&lt;&gt;""),H287+ROW()/100000,"")</f>
        <v/>
      </c>
    </row>
    <row r="288">
      <c r="A288" s="1" t="n"/>
      <c r="B288" s="33" t="n"/>
      <c r="C288" s="33" t="n"/>
      <c r="D288" s="33" t="n"/>
      <c r="E288" s="27" t="n"/>
      <c r="F288" s="34" t="n"/>
      <c r="G288" s="27" t="n"/>
      <c r="H288" s="35" t="n"/>
      <c r="I288" s="14">
        <f>IF(OR(E288="",AND(F288&lt;&gt;"Hired",F288&lt;&gt;"Bought")),"",E288-N(G288))</f>
        <v/>
      </c>
      <c r="J288" s="16">
        <f>IF(C288&amp;E288="","",IF(F288="","Choose a stage",IF(F288="Quote","",IF(E288="","Add the amount",IF(I288&lt;=0,"Paid",IF(H288="","Balance due, no date set",IF(H288&lt;TODAY(),"Overdue by "&amp;(TODAY()-H288)&amp;IF((TODAY()-H288)=1," day"," days"),IF(H288=TODAY(),"Due today",IF((H288-TODAY())&lt;=14,"Due in "&amp;(H288-TODAY())&amp;IF((H288-TODAY())=1," day"," days"),"Next payment in "&amp;(H288-TODAY())&amp;" days")))))))))</f>
        <v/>
      </c>
      <c r="K288" s="16">
        <f>IF(OR(C288="",E288=""),"",IF(COUNTIFS(Costs!$C$6:$C$305,C288,Costs!$E$6:$E$305,"&lt;&gt;")&lt;2,"",IF(M288=1,"Cheapest of "&amp;COUNTIFS(Costs!$C$6:$C$305,C288,Costs!$E$6:$E$305,"&lt;&gt;"),FIXED(E288-SUMIFS(Costs!$E$6:$E$305,Costs!$C$6:$C$305,C288,Costs!$M$6:$M$305,1)/COUNTIFS(Costs!$C$6:$C$305,C288,Costs!$M$6:$M$305,1),0)&amp;" more than the cheapest")))</f>
        <v/>
      </c>
      <c r="L288" s="33" t="n"/>
      <c r="M288" s="1">
        <f>IF(OR(C288="",E288=""),"",IF(COUNTIFS(Costs!$C$6:$C$305,C288,Costs!$E$6:$E$305,"&lt;"&amp;E288)=0,1,0))</f>
        <v/>
      </c>
      <c r="N288">
        <f>IF(AND(C288&lt;&gt;"",F288="Quote",COUNTIFS(Costs!$C$6:$C$305,C288,Costs!$F$6:$F$305,"Hired")+COUNTIFS(Costs!$C$6:$C$305,C288,Costs!$F$6:$F$305,"Bought")=0),1/COUNTIFS(Costs!$C$6:$C$305,C288,Costs!$F$6:$F$305,"Quote"),"")</f>
        <v/>
      </c>
      <c r="O288">
        <f>IF(AND(OR(F288="Hired",F288="Bought"),N(I288)&gt;0,H288&lt;&gt;""),H288+ROW()/100000,"")</f>
        <v/>
      </c>
    </row>
    <row r="289">
      <c r="A289" s="1" t="n"/>
      <c r="B289" s="33" t="n"/>
      <c r="C289" s="33" t="n"/>
      <c r="D289" s="33" t="n"/>
      <c r="E289" s="27" t="n"/>
      <c r="F289" s="34" t="n"/>
      <c r="G289" s="27" t="n"/>
      <c r="H289" s="35" t="n"/>
      <c r="I289" s="14">
        <f>IF(OR(E289="",AND(F289&lt;&gt;"Hired",F289&lt;&gt;"Bought")),"",E289-N(G289))</f>
        <v/>
      </c>
      <c r="J289" s="16">
        <f>IF(C289&amp;E289="","",IF(F289="","Choose a stage",IF(F289="Quote","",IF(E289="","Add the amount",IF(I289&lt;=0,"Paid",IF(H289="","Balance due, no date set",IF(H289&lt;TODAY(),"Overdue by "&amp;(TODAY()-H289)&amp;IF((TODAY()-H289)=1," day"," days"),IF(H289=TODAY(),"Due today",IF((H289-TODAY())&lt;=14,"Due in "&amp;(H289-TODAY())&amp;IF((H289-TODAY())=1," day"," days"),"Next payment in "&amp;(H289-TODAY())&amp;" days")))))))))</f>
        <v/>
      </c>
      <c r="K289" s="16">
        <f>IF(OR(C289="",E289=""),"",IF(COUNTIFS(Costs!$C$6:$C$305,C289,Costs!$E$6:$E$305,"&lt;&gt;")&lt;2,"",IF(M289=1,"Cheapest of "&amp;COUNTIFS(Costs!$C$6:$C$305,C289,Costs!$E$6:$E$305,"&lt;&gt;"),FIXED(E289-SUMIFS(Costs!$E$6:$E$305,Costs!$C$6:$C$305,C289,Costs!$M$6:$M$305,1)/COUNTIFS(Costs!$C$6:$C$305,C289,Costs!$M$6:$M$305,1),0)&amp;" more than the cheapest")))</f>
        <v/>
      </c>
      <c r="L289" s="33" t="n"/>
      <c r="M289" s="1">
        <f>IF(OR(C289="",E289=""),"",IF(COUNTIFS(Costs!$C$6:$C$305,C289,Costs!$E$6:$E$305,"&lt;"&amp;E289)=0,1,0))</f>
        <v/>
      </c>
      <c r="N289">
        <f>IF(AND(C289&lt;&gt;"",F289="Quote",COUNTIFS(Costs!$C$6:$C$305,C289,Costs!$F$6:$F$305,"Hired")+COUNTIFS(Costs!$C$6:$C$305,C289,Costs!$F$6:$F$305,"Bought")=0),1/COUNTIFS(Costs!$C$6:$C$305,C289,Costs!$F$6:$F$305,"Quote"),"")</f>
        <v/>
      </c>
      <c r="O289">
        <f>IF(AND(OR(F289="Hired",F289="Bought"),N(I289)&gt;0,H289&lt;&gt;""),H289+ROW()/100000,"")</f>
        <v/>
      </c>
    </row>
    <row r="290">
      <c r="A290" s="1" t="n"/>
      <c r="B290" s="33" t="n"/>
      <c r="C290" s="33" t="n"/>
      <c r="D290" s="33" t="n"/>
      <c r="E290" s="27" t="n"/>
      <c r="F290" s="34" t="n"/>
      <c r="G290" s="27" t="n"/>
      <c r="H290" s="35" t="n"/>
      <c r="I290" s="14">
        <f>IF(OR(E290="",AND(F290&lt;&gt;"Hired",F290&lt;&gt;"Bought")),"",E290-N(G290))</f>
        <v/>
      </c>
      <c r="J290" s="16">
        <f>IF(C290&amp;E290="","",IF(F290="","Choose a stage",IF(F290="Quote","",IF(E290="","Add the amount",IF(I290&lt;=0,"Paid",IF(H290="","Balance due, no date set",IF(H290&lt;TODAY(),"Overdue by "&amp;(TODAY()-H290)&amp;IF((TODAY()-H290)=1," day"," days"),IF(H290=TODAY(),"Due today",IF((H290-TODAY())&lt;=14,"Due in "&amp;(H290-TODAY())&amp;IF((H290-TODAY())=1," day"," days"),"Next payment in "&amp;(H290-TODAY())&amp;" days")))))))))</f>
        <v/>
      </c>
      <c r="K290" s="16">
        <f>IF(OR(C290="",E290=""),"",IF(COUNTIFS(Costs!$C$6:$C$305,C290,Costs!$E$6:$E$305,"&lt;&gt;")&lt;2,"",IF(M290=1,"Cheapest of "&amp;COUNTIFS(Costs!$C$6:$C$305,C290,Costs!$E$6:$E$305,"&lt;&gt;"),FIXED(E290-SUMIFS(Costs!$E$6:$E$305,Costs!$C$6:$C$305,C290,Costs!$M$6:$M$305,1)/COUNTIFS(Costs!$C$6:$C$305,C290,Costs!$M$6:$M$305,1),0)&amp;" more than the cheapest")))</f>
        <v/>
      </c>
      <c r="L290" s="33" t="n"/>
      <c r="M290" s="1">
        <f>IF(OR(C290="",E290=""),"",IF(COUNTIFS(Costs!$C$6:$C$305,C290,Costs!$E$6:$E$305,"&lt;"&amp;E290)=0,1,0))</f>
        <v/>
      </c>
      <c r="N290">
        <f>IF(AND(C290&lt;&gt;"",F290="Quote",COUNTIFS(Costs!$C$6:$C$305,C290,Costs!$F$6:$F$305,"Hired")+COUNTIFS(Costs!$C$6:$C$305,C290,Costs!$F$6:$F$305,"Bought")=0),1/COUNTIFS(Costs!$C$6:$C$305,C290,Costs!$F$6:$F$305,"Quote"),"")</f>
        <v/>
      </c>
      <c r="O290">
        <f>IF(AND(OR(F290="Hired",F290="Bought"),N(I290)&gt;0,H290&lt;&gt;""),H290+ROW()/100000,"")</f>
        <v/>
      </c>
    </row>
    <row r="291">
      <c r="A291" s="1" t="n"/>
      <c r="B291" s="33" t="n"/>
      <c r="C291" s="33" t="n"/>
      <c r="D291" s="33" t="n"/>
      <c r="E291" s="27" t="n"/>
      <c r="F291" s="34" t="n"/>
      <c r="G291" s="27" t="n"/>
      <c r="H291" s="35" t="n"/>
      <c r="I291" s="14">
        <f>IF(OR(E291="",AND(F291&lt;&gt;"Hired",F291&lt;&gt;"Bought")),"",E291-N(G291))</f>
        <v/>
      </c>
      <c r="J291" s="16">
        <f>IF(C291&amp;E291="","",IF(F291="","Choose a stage",IF(F291="Quote","",IF(E291="","Add the amount",IF(I291&lt;=0,"Paid",IF(H291="","Balance due, no date set",IF(H291&lt;TODAY(),"Overdue by "&amp;(TODAY()-H291)&amp;IF((TODAY()-H291)=1," day"," days"),IF(H291=TODAY(),"Due today",IF((H291-TODAY())&lt;=14,"Due in "&amp;(H291-TODAY())&amp;IF((H291-TODAY())=1," day"," days"),"Next payment in "&amp;(H291-TODAY())&amp;" days")))))))))</f>
        <v/>
      </c>
      <c r="K291" s="16">
        <f>IF(OR(C291="",E291=""),"",IF(COUNTIFS(Costs!$C$6:$C$305,C291,Costs!$E$6:$E$305,"&lt;&gt;")&lt;2,"",IF(M291=1,"Cheapest of "&amp;COUNTIFS(Costs!$C$6:$C$305,C291,Costs!$E$6:$E$305,"&lt;&gt;"),FIXED(E291-SUMIFS(Costs!$E$6:$E$305,Costs!$C$6:$C$305,C291,Costs!$M$6:$M$305,1)/COUNTIFS(Costs!$C$6:$C$305,C291,Costs!$M$6:$M$305,1),0)&amp;" more than the cheapest")))</f>
        <v/>
      </c>
      <c r="L291" s="33" t="n"/>
      <c r="M291" s="1">
        <f>IF(OR(C291="",E291=""),"",IF(COUNTIFS(Costs!$C$6:$C$305,C291,Costs!$E$6:$E$305,"&lt;"&amp;E291)=0,1,0))</f>
        <v/>
      </c>
      <c r="N291">
        <f>IF(AND(C291&lt;&gt;"",F291="Quote",COUNTIFS(Costs!$C$6:$C$305,C291,Costs!$F$6:$F$305,"Hired")+COUNTIFS(Costs!$C$6:$C$305,C291,Costs!$F$6:$F$305,"Bought")=0),1/COUNTIFS(Costs!$C$6:$C$305,C291,Costs!$F$6:$F$305,"Quote"),"")</f>
        <v/>
      </c>
      <c r="O291">
        <f>IF(AND(OR(F291="Hired",F291="Bought"),N(I291)&gt;0,H291&lt;&gt;""),H291+ROW()/100000,"")</f>
        <v/>
      </c>
    </row>
    <row r="292">
      <c r="A292" s="1" t="n"/>
      <c r="B292" s="33" t="n"/>
      <c r="C292" s="33" t="n"/>
      <c r="D292" s="33" t="n"/>
      <c r="E292" s="27" t="n"/>
      <c r="F292" s="34" t="n"/>
      <c r="G292" s="27" t="n"/>
      <c r="H292" s="35" t="n"/>
      <c r="I292" s="14">
        <f>IF(OR(E292="",AND(F292&lt;&gt;"Hired",F292&lt;&gt;"Bought")),"",E292-N(G292))</f>
        <v/>
      </c>
      <c r="J292" s="16">
        <f>IF(C292&amp;E292="","",IF(F292="","Choose a stage",IF(F292="Quote","",IF(E292="","Add the amount",IF(I292&lt;=0,"Paid",IF(H292="","Balance due, no date set",IF(H292&lt;TODAY(),"Overdue by "&amp;(TODAY()-H292)&amp;IF((TODAY()-H292)=1," day"," days"),IF(H292=TODAY(),"Due today",IF((H292-TODAY())&lt;=14,"Due in "&amp;(H292-TODAY())&amp;IF((H292-TODAY())=1," day"," days"),"Next payment in "&amp;(H292-TODAY())&amp;" days")))))))))</f>
        <v/>
      </c>
      <c r="K292" s="16">
        <f>IF(OR(C292="",E292=""),"",IF(COUNTIFS(Costs!$C$6:$C$305,C292,Costs!$E$6:$E$305,"&lt;&gt;")&lt;2,"",IF(M292=1,"Cheapest of "&amp;COUNTIFS(Costs!$C$6:$C$305,C292,Costs!$E$6:$E$305,"&lt;&gt;"),FIXED(E292-SUMIFS(Costs!$E$6:$E$305,Costs!$C$6:$C$305,C292,Costs!$M$6:$M$305,1)/COUNTIFS(Costs!$C$6:$C$305,C292,Costs!$M$6:$M$305,1),0)&amp;" more than the cheapest")))</f>
        <v/>
      </c>
      <c r="L292" s="33" t="n"/>
      <c r="M292" s="1">
        <f>IF(OR(C292="",E292=""),"",IF(COUNTIFS(Costs!$C$6:$C$305,C292,Costs!$E$6:$E$305,"&lt;"&amp;E292)=0,1,0))</f>
        <v/>
      </c>
      <c r="N292">
        <f>IF(AND(C292&lt;&gt;"",F292="Quote",COUNTIFS(Costs!$C$6:$C$305,C292,Costs!$F$6:$F$305,"Hired")+COUNTIFS(Costs!$C$6:$C$305,C292,Costs!$F$6:$F$305,"Bought")=0),1/COUNTIFS(Costs!$C$6:$C$305,C292,Costs!$F$6:$F$305,"Quote"),"")</f>
        <v/>
      </c>
      <c r="O292">
        <f>IF(AND(OR(F292="Hired",F292="Bought"),N(I292)&gt;0,H292&lt;&gt;""),H292+ROW()/100000,"")</f>
        <v/>
      </c>
    </row>
    <row r="293">
      <c r="A293" s="1" t="n"/>
      <c r="B293" s="33" t="n"/>
      <c r="C293" s="33" t="n"/>
      <c r="D293" s="33" t="n"/>
      <c r="E293" s="27" t="n"/>
      <c r="F293" s="34" t="n"/>
      <c r="G293" s="27" t="n"/>
      <c r="H293" s="35" t="n"/>
      <c r="I293" s="14">
        <f>IF(OR(E293="",AND(F293&lt;&gt;"Hired",F293&lt;&gt;"Bought")),"",E293-N(G293))</f>
        <v/>
      </c>
      <c r="J293" s="16">
        <f>IF(C293&amp;E293="","",IF(F293="","Choose a stage",IF(F293="Quote","",IF(E293="","Add the amount",IF(I293&lt;=0,"Paid",IF(H293="","Balance due, no date set",IF(H293&lt;TODAY(),"Overdue by "&amp;(TODAY()-H293)&amp;IF((TODAY()-H293)=1," day"," days"),IF(H293=TODAY(),"Due today",IF((H293-TODAY())&lt;=14,"Due in "&amp;(H293-TODAY())&amp;IF((H293-TODAY())=1," day"," days"),"Next payment in "&amp;(H293-TODAY())&amp;" days")))))))))</f>
        <v/>
      </c>
      <c r="K293" s="16">
        <f>IF(OR(C293="",E293=""),"",IF(COUNTIFS(Costs!$C$6:$C$305,C293,Costs!$E$6:$E$305,"&lt;&gt;")&lt;2,"",IF(M293=1,"Cheapest of "&amp;COUNTIFS(Costs!$C$6:$C$305,C293,Costs!$E$6:$E$305,"&lt;&gt;"),FIXED(E293-SUMIFS(Costs!$E$6:$E$305,Costs!$C$6:$C$305,C293,Costs!$M$6:$M$305,1)/COUNTIFS(Costs!$C$6:$C$305,C293,Costs!$M$6:$M$305,1),0)&amp;" more than the cheapest")))</f>
        <v/>
      </c>
      <c r="L293" s="33" t="n"/>
      <c r="M293" s="1">
        <f>IF(OR(C293="",E293=""),"",IF(COUNTIFS(Costs!$C$6:$C$305,C293,Costs!$E$6:$E$305,"&lt;"&amp;E293)=0,1,0))</f>
        <v/>
      </c>
      <c r="N293">
        <f>IF(AND(C293&lt;&gt;"",F293="Quote",COUNTIFS(Costs!$C$6:$C$305,C293,Costs!$F$6:$F$305,"Hired")+COUNTIFS(Costs!$C$6:$C$305,C293,Costs!$F$6:$F$305,"Bought")=0),1/COUNTIFS(Costs!$C$6:$C$305,C293,Costs!$F$6:$F$305,"Quote"),"")</f>
        <v/>
      </c>
      <c r="O293">
        <f>IF(AND(OR(F293="Hired",F293="Bought"),N(I293)&gt;0,H293&lt;&gt;""),H293+ROW()/100000,"")</f>
        <v/>
      </c>
    </row>
    <row r="294">
      <c r="A294" s="1" t="n"/>
      <c r="B294" s="33" t="n"/>
      <c r="C294" s="33" t="n"/>
      <c r="D294" s="33" t="n"/>
      <c r="E294" s="27" t="n"/>
      <c r="F294" s="34" t="n"/>
      <c r="G294" s="27" t="n"/>
      <c r="H294" s="35" t="n"/>
      <c r="I294" s="14">
        <f>IF(OR(E294="",AND(F294&lt;&gt;"Hired",F294&lt;&gt;"Bought")),"",E294-N(G294))</f>
        <v/>
      </c>
      <c r="J294" s="16">
        <f>IF(C294&amp;E294="","",IF(F294="","Choose a stage",IF(F294="Quote","",IF(E294="","Add the amount",IF(I294&lt;=0,"Paid",IF(H294="","Balance due, no date set",IF(H294&lt;TODAY(),"Overdue by "&amp;(TODAY()-H294)&amp;IF((TODAY()-H294)=1," day"," days"),IF(H294=TODAY(),"Due today",IF((H294-TODAY())&lt;=14,"Due in "&amp;(H294-TODAY())&amp;IF((H294-TODAY())=1," day"," days"),"Next payment in "&amp;(H294-TODAY())&amp;" days")))))))))</f>
        <v/>
      </c>
      <c r="K294" s="16">
        <f>IF(OR(C294="",E294=""),"",IF(COUNTIFS(Costs!$C$6:$C$305,C294,Costs!$E$6:$E$305,"&lt;&gt;")&lt;2,"",IF(M294=1,"Cheapest of "&amp;COUNTIFS(Costs!$C$6:$C$305,C294,Costs!$E$6:$E$305,"&lt;&gt;"),FIXED(E294-SUMIFS(Costs!$E$6:$E$305,Costs!$C$6:$C$305,C294,Costs!$M$6:$M$305,1)/COUNTIFS(Costs!$C$6:$C$305,C294,Costs!$M$6:$M$305,1),0)&amp;" more than the cheapest")))</f>
        <v/>
      </c>
      <c r="L294" s="33" t="n"/>
      <c r="M294" s="1">
        <f>IF(OR(C294="",E294=""),"",IF(COUNTIFS(Costs!$C$6:$C$305,C294,Costs!$E$6:$E$305,"&lt;"&amp;E294)=0,1,0))</f>
        <v/>
      </c>
      <c r="N294">
        <f>IF(AND(C294&lt;&gt;"",F294="Quote",COUNTIFS(Costs!$C$6:$C$305,C294,Costs!$F$6:$F$305,"Hired")+COUNTIFS(Costs!$C$6:$C$305,C294,Costs!$F$6:$F$305,"Bought")=0),1/COUNTIFS(Costs!$C$6:$C$305,C294,Costs!$F$6:$F$305,"Quote"),"")</f>
        <v/>
      </c>
      <c r="O294">
        <f>IF(AND(OR(F294="Hired",F294="Bought"),N(I294)&gt;0,H294&lt;&gt;""),H294+ROW()/100000,"")</f>
        <v/>
      </c>
    </row>
    <row r="295">
      <c r="A295" s="1" t="n"/>
      <c r="B295" s="33" t="n"/>
      <c r="C295" s="33" t="n"/>
      <c r="D295" s="33" t="n"/>
      <c r="E295" s="27" t="n"/>
      <c r="F295" s="34" t="n"/>
      <c r="G295" s="27" t="n"/>
      <c r="H295" s="35" t="n"/>
      <c r="I295" s="14">
        <f>IF(OR(E295="",AND(F295&lt;&gt;"Hired",F295&lt;&gt;"Bought")),"",E295-N(G295))</f>
        <v/>
      </c>
      <c r="J295" s="16">
        <f>IF(C295&amp;E295="","",IF(F295="","Choose a stage",IF(F295="Quote","",IF(E295="","Add the amount",IF(I295&lt;=0,"Paid",IF(H295="","Balance due, no date set",IF(H295&lt;TODAY(),"Overdue by "&amp;(TODAY()-H295)&amp;IF((TODAY()-H295)=1," day"," days"),IF(H295=TODAY(),"Due today",IF((H295-TODAY())&lt;=14,"Due in "&amp;(H295-TODAY())&amp;IF((H295-TODAY())=1," day"," days"),"Next payment in "&amp;(H295-TODAY())&amp;" days")))))))))</f>
        <v/>
      </c>
      <c r="K295" s="16">
        <f>IF(OR(C295="",E295=""),"",IF(COUNTIFS(Costs!$C$6:$C$305,C295,Costs!$E$6:$E$305,"&lt;&gt;")&lt;2,"",IF(M295=1,"Cheapest of "&amp;COUNTIFS(Costs!$C$6:$C$305,C295,Costs!$E$6:$E$305,"&lt;&gt;"),FIXED(E295-SUMIFS(Costs!$E$6:$E$305,Costs!$C$6:$C$305,C295,Costs!$M$6:$M$305,1)/COUNTIFS(Costs!$C$6:$C$305,C295,Costs!$M$6:$M$305,1),0)&amp;" more than the cheapest")))</f>
        <v/>
      </c>
      <c r="L295" s="33" t="n"/>
      <c r="M295" s="1">
        <f>IF(OR(C295="",E295=""),"",IF(COUNTIFS(Costs!$C$6:$C$305,C295,Costs!$E$6:$E$305,"&lt;"&amp;E295)=0,1,0))</f>
        <v/>
      </c>
      <c r="N295">
        <f>IF(AND(C295&lt;&gt;"",F295="Quote",COUNTIFS(Costs!$C$6:$C$305,C295,Costs!$F$6:$F$305,"Hired")+COUNTIFS(Costs!$C$6:$C$305,C295,Costs!$F$6:$F$305,"Bought")=0),1/COUNTIFS(Costs!$C$6:$C$305,C295,Costs!$F$6:$F$305,"Quote"),"")</f>
        <v/>
      </c>
      <c r="O295">
        <f>IF(AND(OR(F295="Hired",F295="Bought"),N(I295)&gt;0,H295&lt;&gt;""),H295+ROW()/100000,"")</f>
        <v/>
      </c>
    </row>
    <row r="296">
      <c r="A296" s="1" t="n"/>
      <c r="B296" s="33" t="n"/>
      <c r="C296" s="33" t="n"/>
      <c r="D296" s="33" t="n"/>
      <c r="E296" s="27" t="n"/>
      <c r="F296" s="34" t="n"/>
      <c r="G296" s="27" t="n"/>
      <c r="H296" s="35" t="n"/>
      <c r="I296" s="14">
        <f>IF(OR(E296="",AND(F296&lt;&gt;"Hired",F296&lt;&gt;"Bought")),"",E296-N(G296))</f>
        <v/>
      </c>
      <c r="J296" s="16">
        <f>IF(C296&amp;E296="","",IF(F296="","Choose a stage",IF(F296="Quote","",IF(E296="","Add the amount",IF(I296&lt;=0,"Paid",IF(H296="","Balance due, no date set",IF(H296&lt;TODAY(),"Overdue by "&amp;(TODAY()-H296)&amp;IF((TODAY()-H296)=1," day"," days"),IF(H296=TODAY(),"Due today",IF((H296-TODAY())&lt;=14,"Due in "&amp;(H296-TODAY())&amp;IF((H296-TODAY())=1," day"," days"),"Next payment in "&amp;(H296-TODAY())&amp;" days")))))))))</f>
        <v/>
      </c>
      <c r="K296" s="16">
        <f>IF(OR(C296="",E296=""),"",IF(COUNTIFS(Costs!$C$6:$C$305,C296,Costs!$E$6:$E$305,"&lt;&gt;")&lt;2,"",IF(M296=1,"Cheapest of "&amp;COUNTIFS(Costs!$C$6:$C$305,C296,Costs!$E$6:$E$305,"&lt;&gt;"),FIXED(E296-SUMIFS(Costs!$E$6:$E$305,Costs!$C$6:$C$305,C296,Costs!$M$6:$M$305,1)/COUNTIFS(Costs!$C$6:$C$305,C296,Costs!$M$6:$M$305,1),0)&amp;" more than the cheapest")))</f>
        <v/>
      </c>
      <c r="L296" s="33" t="n"/>
      <c r="M296" s="1">
        <f>IF(OR(C296="",E296=""),"",IF(COUNTIFS(Costs!$C$6:$C$305,C296,Costs!$E$6:$E$305,"&lt;"&amp;E296)=0,1,0))</f>
        <v/>
      </c>
      <c r="N296">
        <f>IF(AND(C296&lt;&gt;"",F296="Quote",COUNTIFS(Costs!$C$6:$C$305,C296,Costs!$F$6:$F$305,"Hired")+COUNTIFS(Costs!$C$6:$C$305,C296,Costs!$F$6:$F$305,"Bought")=0),1/COUNTIFS(Costs!$C$6:$C$305,C296,Costs!$F$6:$F$305,"Quote"),"")</f>
        <v/>
      </c>
      <c r="O296">
        <f>IF(AND(OR(F296="Hired",F296="Bought"),N(I296)&gt;0,H296&lt;&gt;""),H296+ROW()/100000,"")</f>
        <v/>
      </c>
    </row>
    <row r="297">
      <c r="A297" s="1" t="n"/>
      <c r="B297" s="33" t="n"/>
      <c r="C297" s="33" t="n"/>
      <c r="D297" s="33" t="n"/>
      <c r="E297" s="27" t="n"/>
      <c r="F297" s="34" t="n"/>
      <c r="G297" s="27" t="n"/>
      <c r="H297" s="35" t="n"/>
      <c r="I297" s="14">
        <f>IF(OR(E297="",AND(F297&lt;&gt;"Hired",F297&lt;&gt;"Bought")),"",E297-N(G297))</f>
        <v/>
      </c>
      <c r="J297" s="16">
        <f>IF(C297&amp;E297="","",IF(F297="","Choose a stage",IF(F297="Quote","",IF(E297="","Add the amount",IF(I297&lt;=0,"Paid",IF(H297="","Balance due, no date set",IF(H297&lt;TODAY(),"Overdue by "&amp;(TODAY()-H297)&amp;IF((TODAY()-H297)=1," day"," days"),IF(H297=TODAY(),"Due today",IF((H297-TODAY())&lt;=14,"Due in "&amp;(H297-TODAY())&amp;IF((H297-TODAY())=1," day"," days"),"Next payment in "&amp;(H297-TODAY())&amp;" days")))))))))</f>
        <v/>
      </c>
      <c r="K297" s="16">
        <f>IF(OR(C297="",E297=""),"",IF(COUNTIFS(Costs!$C$6:$C$305,C297,Costs!$E$6:$E$305,"&lt;&gt;")&lt;2,"",IF(M297=1,"Cheapest of "&amp;COUNTIFS(Costs!$C$6:$C$305,C297,Costs!$E$6:$E$305,"&lt;&gt;"),FIXED(E297-SUMIFS(Costs!$E$6:$E$305,Costs!$C$6:$C$305,C297,Costs!$M$6:$M$305,1)/COUNTIFS(Costs!$C$6:$C$305,C297,Costs!$M$6:$M$305,1),0)&amp;" more than the cheapest")))</f>
        <v/>
      </c>
      <c r="L297" s="33" t="n"/>
      <c r="M297" s="1">
        <f>IF(OR(C297="",E297=""),"",IF(COUNTIFS(Costs!$C$6:$C$305,C297,Costs!$E$6:$E$305,"&lt;"&amp;E297)=0,1,0))</f>
        <v/>
      </c>
      <c r="N297">
        <f>IF(AND(C297&lt;&gt;"",F297="Quote",COUNTIFS(Costs!$C$6:$C$305,C297,Costs!$F$6:$F$305,"Hired")+COUNTIFS(Costs!$C$6:$C$305,C297,Costs!$F$6:$F$305,"Bought")=0),1/COUNTIFS(Costs!$C$6:$C$305,C297,Costs!$F$6:$F$305,"Quote"),"")</f>
        <v/>
      </c>
      <c r="O297">
        <f>IF(AND(OR(F297="Hired",F297="Bought"),N(I297)&gt;0,H297&lt;&gt;""),H297+ROW()/100000,"")</f>
        <v/>
      </c>
    </row>
    <row r="298">
      <c r="A298" s="1" t="n"/>
      <c r="B298" s="33" t="n"/>
      <c r="C298" s="33" t="n"/>
      <c r="D298" s="33" t="n"/>
      <c r="E298" s="27" t="n"/>
      <c r="F298" s="34" t="n"/>
      <c r="G298" s="27" t="n"/>
      <c r="H298" s="35" t="n"/>
      <c r="I298" s="14">
        <f>IF(OR(E298="",AND(F298&lt;&gt;"Hired",F298&lt;&gt;"Bought")),"",E298-N(G298))</f>
        <v/>
      </c>
      <c r="J298" s="16">
        <f>IF(C298&amp;E298="","",IF(F298="","Choose a stage",IF(F298="Quote","",IF(E298="","Add the amount",IF(I298&lt;=0,"Paid",IF(H298="","Balance due, no date set",IF(H298&lt;TODAY(),"Overdue by "&amp;(TODAY()-H298)&amp;IF((TODAY()-H298)=1," day"," days"),IF(H298=TODAY(),"Due today",IF((H298-TODAY())&lt;=14,"Due in "&amp;(H298-TODAY())&amp;IF((H298-TODAY())=1," day"," days"),"Next payment in "&amp;(H298-TODAY())&amp;" days")))))))))</f>
        <v/>
      </c>
      <c r="K298" s="16">
        <f>IF(OR(C298="",E298=""),"",IF(COUNTIFS(Costs!$C$6:$C$305,C298,Costs!$E$6:$E$305,"&lt;&gt;")&lt;2,"",IF(M298=1,"Cheapest of "&amp;COUNTIFS(Costs!$C$6:$C$305,C298,Costs!$E$6:$E$305,"&lt;&gt;"),FIXED(E298-SUMIFS(Costs!$E$6:$E$305,Costs!$C$6:$C$305,C298,Costs!$M$6:$M$305,1)/COUNTIFS(Costs!$C$6:$C$305,C298,Costs!$M$6:$M$305,1),0)&amp;" more than the cheapest")))</f>
        <v/>
      </c>
      <c r="L298" s="33" t="n"/>
      <c r="M298" s="1">
        <f>IF(OR(C298="",E298=""),"",IF(COUNTIFS(Costs!$C$6:$C$305,C298,Costs!$E$6:$E$305,"&lt;"&amp;E298)=0,1,0))</f>
        <v/>
      </c>
      <c r="N298">
        <f>IF(AND(C298&lt;&gt;"",F298="Quote",COUNTIFS(Costs!$C$6:$C$305,C298,Costs!$F$6:$F$305,"Hired")+COUNTIFS(Costs!$C$6:$C$305,C298,Costs!$F$6:$F$305,"Bought")=0),1/COUNTIFS(Costs!$C$6:$C$305,C298,Costs!$F$6:$F$305,"Quote"),"")</f>
        <v/>
      </c>
      <c r="O298">
        <f>IF(AND(OR(F298="Hired",F298="Bought"),N(I298)&gt;0,H298&lt;&gt;""),H298+ROW()/100000,"")</f>
        <v/>
      </c>
    </row>
    <row r="299">
      <c r="A299" s="1" t="n"/>
      <c r="B299" s="33" t="n"/>
      <c r="C299" s="33" t="n"/>
      <c r="D299" s="33" t="n"/>
      <c r="E299" s="27" t="n"/>
      <c r="F299" s="34" t="n"/>
      <c r="G299" s="27" t="n"/>
      <c r="H299" s="35" t="n"/>
      <c r="I299" s="14">
        <f>IF(OR(E299="",AND(F299&lt;&gt;"Hired",F299&lt;&gt;"Bought")),"",E299-N(G299))</f>
        <v/>
      </c>
      <c r="J299" s="16">
        <f>IF(C299&amp;E299="","",IF(F299="","Choose a stage",IF(F299="Quote","",IF(E299="","Add the amount",IF(I299&lt;=0,"Paid",IF(H299="","Balance due, no date set",IF(H299&lt;TODAY(),"Overdue by "&amp;(TODAY()-H299)&amp;IF((TODAY()-H299)=1," day"," days"),IF(H299=TODAY(),"Due today",IF((H299-TODAY())&lt;=14,"Due in "&amp;(H299-TODAY())&amp;IF((H299-TODAY())=1," day"," days"),"Next payment in "&amp;(H299-TODAY())&amp;" days")))))))))</f>
        <v/>
      </c>
      <c r="K299" s="16">
        <f>IF(OR(C299="",E299=""),"",IF(COUNTIFS(Costs!$C$6:$C$305,C299,Costs!$E$6:$E$305,"&lt;&gt;")&lt;2,"",IF(M299=1,"Cheapest of "&amp;COUNTIFS(Costs!$C$6:$C$305,C299,Costs!$E$6:$E$305,"&lt;&gt;"),FIXED(E299-SUMIFS(Costs!$E$6:$E$305,Costs!$C$6:$C$305,C299,Costs!$M$6:$M$305,1)/COUNTIFS(Costs!$C$6:$C$305,C299,Costs!$M$6:$M$305,1),0)&amp;" more than the cheapest")))</f>
        <v/>
      </c>
      <c r="L299" s="33" t="n"/>
      <c r="M299" s="1">
        <f>IF(OR(C299="",E299=""),"",IF(COUNTIFS(Costs!$C$6:$C$305,C299,Costs!$E$6:$E$305,"&lt;"&amp;E299)=0,1,0))</f>
        <v/>
      </c>
      <c r="N299">
        <f>IF(AND(C299&lt;&gt;"",F299="Quote",COUNTIFS(Costs!$C$6:$C$305,C299,Costs!$F$6:$F$305,"Hired")+COUNTIFS(Costs!$C$6:$C$305,C299,Costs!$F$6:$F$305,"Bought")=0),1/COUNTIFS(Costs!$C$6:$C$305,C299,Costs!$F$6:$F$305,"Quote"),"")</f>
        <v/>
      </c>
      <c r="O299">
        <f>IF(AND(OR(F299="Hired",F299="Bought"),N(I299)&gt;0,H299&lt;&gt;""),H299+ROW()/100000,"")</f>
        <v/>
      </c>
    </row>
    <row r="300">
      <c r="A300" s="1" t="n"/>
      <c r="B300" s="33" t="n"/>
      <c r="C300" s="33" t="n"/>
      <c r="D300" s="33" t="n"/>
      <c r="E300" s="27" t="n"/>
      <c r="F300" s="34" t="n"/>
      <c r="G300" s="27" t="n"/>
      <c r="H300" s="35" t="n"/>
      <c r="I300" s="14">
        <f>IF(OR(E300="",AND(F300&lt;&gt;"Hired",F300&lt;&gt;"Bought")),"",E300-N(G300))</f>
        <v/>
      </c>
      <c r="J300" s="16">
        <f>IF(C300&amp;E300="","",IF(F300="","Choose a stage",IF(F300="Quote","",IF(E300="","Add the amount",IF(I300&lt;=0,"Paid",IF(H300="","Balance due, no date set",IF(H300&lt;TODAY(),"Overdue by "&amp;(TODAY()-H300)&amp;IF((TODAY()-H300)=1," day"," days"),IF(H300=TODAY(),"Due today",IF((H300-TODAY())&lt;=14,"Due in "&amp;(H300-TODAY())&amp;IF((H300-TODAY())=1," day"," days"),"Next payment in "&amp;(H300-TODAY())&amp;" days")))))))))</f>
        <v/>
      </c>
      <c r="K300" s="16">
        <f>IF(OR(C300="",E300=""),"",IF(COUNTIFS(Costs!$C$6:$C$305,C300,Costs!$E$6:$E$305,"&lt;&gt;")&lt;2,"",IF(M300=1,"Cheapest of "&amp;COUNTIFS(Costs!$C$6:$C$305,C300,Costs!$E$6:$E$305,"&lt;&gt;"),FIXED(E300-SUMIFS(Costs!$E$6:$E$305,Costs!$C$6:$C$305,C300,Costs!$M$6:$M$305,1)/COUNTIFS(Costs!$C$6:$C$305,C300,Costs!$M$6:$M$305,1),0)&amp;" more than the cheapest")))</f>
        <v/>
      </c>
      <c r="L300" s="33" t="n"/>
      <c r="M300" s="1">
        <f>IF(OR(C300="",E300=""),"",IF(COUNTIFS(Costs!$C$6:$C$305,C300,Costs!$E$6:$E$305,"&lt;"&amp;E300)=0,1,0))</f>
        <v/>
      </c>
      <c r="N300">
        <f>IF(AND(C300&lt;&gt;"",F300="Quote",COUNTIFS(Costs!$C$6:$C$305,C300,Costs!$F$6:$F$305,"Hired")+COUNTIFS(Costs!$C$6:$C$305,C300,Costs!$F$6:$F$305,"Bought")=0),1/COUNTIFS(Costs!$C$6:$C$305,C300,Costs!$F$6:$F$305,"Quote"),"")</f>
        <v/>
      </c>
      <c r="O300">
        <f>IF(AND(OR(F300="Hired",F300="Bought"),N(I300)&gt;0,H300&lt;&gt;""),H300+ROW()/100000,"")</f>
        <v/>
      </c>
    </row>
    <row r="301">
      <c r="A301" s="1" t="n"/>
      <c r="B301" s="33" t="n"/>
      <c r="C301" s="33" t="n"/>
      <c r="D301" s="33" t="n"/>
      <c r="E301" s="27" t="n"/>
      <c r="F301" s="34" t="n"/>
      <c r="G301" s="27" t="n"/>
      <c r="H301" s="35" t="n"/>
      <c r="I301" s="14">
        <f>IF(OR(E301="",AND(F301&lt;&gt;"Hired",F301&lt;&gt;"Bought")),"",E301-N(G301))</f>
        <v/>
      </c>
      <c r="J301" s="16">
        <f>IF(C301&amp;E301="","",IF(F301="","Choose a stage",IF(F301="Quote","",IF(E301="","Add the amount",IF(I301&lt;=0,"Paid",IF(H301="","Balance due, no date set",IF(H301&lt;TODAY(),"Overdue by "&amp;(TODAY()-H301)&amp;IF((TODAY()-H301)=1," day"," days"),IF(H301=TODAY(),"Due today",IF((H301-TODAY())&lt;=14,"Due in "&amp;(H301-TODAY())&amp;IF((H301-TODAY())=1," day"," days"),"Next payment in "&amp;(H301-TODAY())&amp;" days")))))))))</f>
        <v/>
      </c>
      <c r="K301" s="16">
        <f>IF(OR(C301="",E301=""),"",IF(COUNTIFS(Costs!$C$6:$C$305,C301,Costs!$E$6:$E$305,"&lt;&gt;")&lt;2,"",IF(M301=1,"Cheapest of "&amp;COUNTIFS(Costs!$C$6:$C$305,C301,Costs!$E$6:$E$305,"&lt;&gt;"),FIXED(E301-SUMIFS(Costs!$E$6:$E$305,Costs!$C$6:$C$305,C301,Costs!$M$6:$M$305,1)/COUNTIFS(Costs!$C$6:$C$305,C301,Costs!$M$6:$M$305,1),0)&amp;" more than the cheapest")))</f>
        <v/>
      </c>
      <c r="L301" s="33" t="n"/>
      <c r="M301" s="1">
        <f>IF(OR(C301="",E301=""),"",IF(COUNTIFS(Costs!$C$6:$C$305,C301,Costs!$E$6:$E$305,"&lt;"&amp;E301)=0,1,0))</f>
        <v/>
      </c>
      <c r="N301">
        <f>IF(AND(C301&lt;&gt;"",F301="Quote",COUNTIFS(Costs!$C$6:$C$305,C301,Costs!$F$6:$F$305,"Hired")+COUNTIFS(Costs!$C$6:$C$305,C301,Costs!$F$6:$F$305,"Bought")=0),1/COUNTIFS(Costs!$C$6:$C$305,C301,Costs!$F$6:$F$305,"Quote"),"")</f>
        <v/>
      </c>
      <c r="O301">
        <f>IF(AND(OR(F301="Hired",F301="Bought"),N(I301)&gt;0,H301&lt;&gt;""),H301+ROW()/100000,"")</f>
        <v/>
      </c>
    </row>
    <row r="302">
      <c r="A302" s="1" t="n"/>
      <c r="B302" s="33" t="n"/>
      <c r="C302" s="33" t="n"/>
      <c r="D302" s="33" t="n"/>
      <c r="E302" s="27" t="n"/>
      <c r="F302" s="34" t="n"/>
      <c r="G302" s="27" t="n"/>
      <c r="H302" s="35" t="n"/>
      <c r="I302" s="14">
        <f>IF(OR(E302="",AND(F302&lt;&gt;"Hired",F302&lt;&gt;"Bought")),"",E302-N(G302))</f>
        <v/>
      </c>
      <c r="J302" s="16">
        <f>IF(C302&amp;E302="","",IF(F302="","Choose a stage",IF(F302="Quote","",IF(E302="","Add the amount",IF(I302&lt;=0,"Paid",IF(H302="","Balance due, no date set",IF(H302&lt;TODAY(),"Overdue by "&amp;(TODAY()-H302)&amp;IF((TODAY()-H302)=1," day"," days"),IF(H302=TODAY(),"Due today",IF((H302-TODAY())&lt;=14,"Due in "&amp;(H302-TODAY())&amp;IF((H302-TODAY())=1," day"," days"),"Next payment in "&amp;(H302-TODAY())&amp;" days")))))))))</f>
        <v/>
      </c>
      <c r="K302" s="16">
        <f>IF(OR(C302="",E302=""),"",IF(COUNTIFS(Costs!$C$6:$C$305,C302,Costs!$E$6:$E$305,"&lt;&gt;")&lt;2,"",IF(M302=1,"Cheapest of "&amp;COUNTIFS(Costs!$C$6:$C$305,C302,Costs!$E$6:$E$305,"&lt;&gt;"),FIXED(E302-SUMIFS(Costs!$E$6:$E$305,Costs!$C$6:$C$305,C302,Costs!$M$6:$M$305,1)/COUNTIFS(Costs!$C$6:$C$305,C302,Costs!$M$6:$M$305,1),0)&amp;" more than the cheapest")))</f>
        <v/>
      </c>
      <c r="L302" s="33" t="n"/>
      <c r="M302" s="1">
        <f>IF(OR(C302="",E302=""),"",IF(COUNTIFS(Costs!$C$6:$C$305,C302,Costs!$E$6:$E$305,"&lt;"&amp;E302)=0,1,0))</f>
        <v/>
      </c>
      <c r="N302">
        <f>IF(AND(C302&lt;&gt;"",F302="Quote",COUNTIFS(Costs!$C$6:$C$305,C302,Costs!$F$6:$F$305,"Hired")+COUNTIFS(Costs!$C$6:$C$305,C302,Costs!$F$6:$F$305,"Bought")=0),1/COUNTIFS(Costs!$C$6:$C$305,C302,Costs!$F$6:$F$305,"Quote"),"")</f>
        <v/>
      </c>
      <c r="O302">
        <f>IF(AND(OR(F302="Hired",F302="Bought"),N(I302)&gt;0,H302&lt;&gt;""),H302+ROW()/100000,"")</f>
        <v/>
      </c>
    </row>
    <row r="303">
      <c r="A303" s="1" t="n"/>
      <c r="B303" s="33" t="n"/>
      <c r="C303" s="33" t="n"/>
      <c r="D303" s="33" t="n"/>
      <c r="E303" s="27" t="n"/>
      <c r="F303" s="34" t="n"/>
      <c r="G303" s="27" t="n"/>
      <c r="H303" s="35" t="n"/>
      <c r="I303" s="14">
        <f>IF(OR(E303="",AND(F303&lt;&gt;"Hired",F303&lt;&gt;"Bought")),"",E303-N(G303))</f>
        <v/>
      </c>
      <c r="J303" s="16">
        <f>IF(C303&amp;E303="","",IF(F303="","Choose a stage",IF(F303="Quote","",IF(E303="","Add the amount",IF(I303&lt;=0,"Paid",IF(H303="","Balance due, no date set",IF(H303&lt;TODAY(),"Overdue by "&amp;(TODAY()-H303)&amp;IF((TODAY()-H303)=1," day"," days"),IF(H303=TODAY(),"Due today",IF((H303-TODAY())&lt;=14,"Due in "&amp;(H303-TODAY())&amp;IF((H303-TODAY())=1," day"," days"),"Next payment in "&amp;(H303-TODAY())&amp;" days")))))))))</f>
        <v/>
      </c>
      <c r="K303" s="16">
        <f>IF(OR(C303="",E303=""),"",IF(COUNTIFS(Costs!$C$6:$C$305,C303,Costs!$E$6:$E$305,"&lt;&gt;")&lt;2,"",IF(M303=1,"Cheapest of "&amp;COUNTIFS(Costs!$C$6:$C$305,C303,Costs!$E$6:$E$305,"&lt;&gt;"),FIXED(E303-SUMIFS(Costs!$E$6:$E$305,Costs!$C$6:$C$305,C303,Costs!$M$6:$M$305,1)/COUNTIFS(Costs!$C$6:$C$305,C303,Costs!$M$6:$M$305,1),0)&amp;" more than the cheapest")))</f>
        <v/>
      </c>
      <c r="L303" s="33" t="n"/>
      <c r="M303" s="1">
        <f>IF(OR(C303="",E303=""),"",IF(COUNTIFS(Costs!$C$6:$C$305,C303,Costs!$E$6:$E$305,"&lt;"&amp;E303)=0,1,0))</f>
        <v/>
      </c>
      <c r="N303">
        <f>IF(AND(C303&lt;&gt;"",F303="Quote",COUNTIFS(Costs!$C$6:$C$305,C303,Costs!$F$6:$F$305,"Hired")+COUNTIFS(Costs!$C$6:$C$305,C303,Costs!$F$6:$F$305,"Bought")=0),1/COUNTIFS(Costs!$C$6:$C$305,C303,Costs!$F$6:$F$305,"Quote"),"")</f>
        <v/>
      </c>
      <c r="O303">
        <f>IF(AND(OR(F303="Hired",F303="Bought"),N(I303)&gt;0,H303&lt;&gt;""),H303+ROW()/100000,"")</f>
        <v/>
      </c>
    </row>
    <row r="304">
      <c r="A304" s="1" t="n"/>
      <c r="B304" s="33" t="n"/>
      <c r="C304" s="33" t="n"/>
      <c r="D304" s="33" t="n"/>
      <c r="E304" s="27" t="n"/>
      <c r="F304" s="34" t="n"/>
      <c r="G304" s="27" t="n"/>
      <c r="H304" s="35" t="n"/>
      <c r="I304" s="14">
        <f>IF(OR(E304="",AND(F304&lt;&gt;"Hired",F304&lt;&gt;"Bought")),"",E304-N(G304))</f>
        <v/>
      </c>
      <c r="J304" s="16">
        <f>IF(C304&amp;E304="","",IF(F304="","Choose a stage",IF(F304="Quote","",IF(E304="","Add the amount",IF(I304&lt;=0,"Paid",IF(H304="","Balance due, no date set",IF(H304&lt;TODAY(),"Overdue by "&amp;(TODAY()-H304)&amp;IF((TODAY()-H304)=1," day"," days"),IF(H304=TODAY(),"Due today",IF((H304-TODAY())&lt;=14,"Due in "&amp;(H304-TODAY())&amp;IF((H304-TODAY())=1," day"," days"),"Next payment in "&amp;(H304-TODAY())&amp;" days")))))))))</f>
        <v/>
      </c>
      <c r="K304" s="16">
        <f>IF(OR(C304="",E304=""),"",IF(COUNTIFS(Costs!$C$6:$C$305,C304,Costs!$E$6:$E$305,"&lt;&gt;")&lt;2,"",IF(M304=1,"Cheapest of "&amp;COUNTIFS(Costs!$C$6:$C$305,C304,Costs!$E$6:$E$305,"&lt;&gt;"),FIXED(E304-SUMIFS(Costs!$E$6:$E$305,Costs!$C$6:$C$305,C304,Costs!$M$6:$M$305,1)/COUNTIFS(Costs!$C$6:$C$305,C304,Costs!$M$6:$M$305,1),0)&amp;" more than the cheapest")))</f>
        <v/>
      </c>
      <c r="L304" s="33" t="n"/>
      <c r="M304" s="1">
        <f>IF(OR(C304="",E304=""),"",IF(COUNTIFS(Costs!$C$6:$C$305,C304,Costs!$E$6:$E$305,"&lt;"&amp;E304)=0,1,0))</f>
        <v/>
      </c>
      <c r="N304">
        <f>IF(AND(C304&lt;&gt;"",F304="Quote",COUNTIFS(Costs!$C$6:$C$305,C304,Costs!$F$6:$F$305,"Hired")+COUNTIFS(Costs!$C$6:$C$305,C304,Costs!$F$6:$F$305,"Bought")=0),1/COUNTIFS(Costs!$C$6:$C$305,C304,Costs!$F$6:$F$305,"Quote"),"")</f>
        <v/>
      </c>
      <c r="O304">
        <f>IF(AND(OR(F304="Hired",F304="Bought"),N(I304)&gt;0,H304&lt;&gt;""),H304+ROW()/100000,"")</f>
        <v/>
      </c>
    </row>
    <row r="305">
      <c r="A305" s="1" t="n"/>
      <c r="B305" s="33" t="n"/>
      <c r="C305" s="33" t="n"/>
      <c r="D305" s="33" t="n"/>
      <c r="E305" s="27" t="n"/>
      <c r="F305" s="34" t="n"/>
      <c r="G305" s="27" t="n"/>
      <c r="H305" s="35" t="n"/>
      <c r="I305" s="14">
        <f>IF(OR(E305="",AND(F305&lt;&gt;"Hired",F305&lt;&gt;"Bought")),"",E305-N(G305))</f>
        <v/>
      </c>
      <c r="J305" s="16">
        <f>IF(C305&amp;E305="","",IF(F305="","Choose a stage",IF(F305="Quote","",IF(E305="","Add the amount",IF(I305&lt;=0,"Paid",IF(H305="","Balance due, no date set",IF(H305&lt;TODAY(),"Overdue by "&amp;(TODAY()-H305)&amp;IF((TODAY()-H305)=1," day"," days"),IF(H305=TODAY(),"Due today",IF((H305-TODAY())&lt;=14,"Due in "&amp;(H305-TODAY())&amp;IF((H305-TODAY())=1," day"," days"),"Next payment in "&amp;(H305-TODAY())&amp;" days")))))))))</f>
        <v/>
      </c>
      <c r="K305" s="16">
        <f>IF(OR(C305="",E305=""),"",IF(COUNTIFS(Costs!$C$6:$C$305,C305,Costs!$E$6:$E$305,"&lt;&gt;")&lt;2,"",IF(M305=1,"Cheapest of "&amp;COUNTIFS(Costs!$C$6:$C$305,C305,Costs!$E$6:$E$305,"&lt;&gt;"),FIXED(E305-SUMIFS(Costs!$E$6:$E$305,Costs!$C$6:$C$305,C305,Costs!$M$6:$M$305,1)/COUNTIFS(Costs!$C$6:$C$305,C305,Costs!$M$6:$M$305,1),0)&amp;" more than the cheapest")))</f>
        <v/>
      </c>
      <c r="L305" s="33" t="n"/>
      <c r="M305" s="1">
        <f>IF(OR(C305="",E305=""),"",IF(COUNTIFS(Costs!$C$6:$C$305,C305,Costs!$E$6:$E$305,"&lt;"&amp;E305)=0,1,0))</f>
        <v/>
      </c>
      <c r="N305">
        <f>IF(AND(C305&lt;&gt;"",F305="Quote",COUNTIFS(Costs!$C$6:$C$305,C305,Costs!$F$6:$F$305,"Hired")+COUNTIFS(Costs!$C$6:$C$305,C305,Costs!$F$6:$F$305,"Bought")=0),1/COUNTIFS(Costs!$C$6:$C$305,C305,Costs!$F$6:$F$305,"Quote"),"")</f>
        <v/>
      </c>
      <c r="O305">
        <f>IF(AND(OR(F305="Hired",F305="Bought"),N(I305)&gt;0,H305&lt;&gt;""),H305+ROW()/100000,"")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</row>
  </sheetData>
  <conditionalFormatting sqref="J6:J305">
    <cfRule type="expression" priority="1" dxfId="0">
      <formula>LEFT($J6,7)="Overdue"</formula>
    </cfRule>
    <cfRule type="expression" priority="2" dxfId="1">
      <formula>OR(LEFT($J6,6)="Due in",$J6="Due today")</formula>
    </cfRule>
    <cfRule type="expression" priority="3" dxfId="2">
      <formula>$J6="Paid"</formula>
    </cfRule>
    <cfRule type="expression" priority="4" dxfId="4">
      <formula>OR($J6="Choose a stage",$J6="Add the amount")</formula>
    </cfRule>
  </conditionalFormatting>
  <conditionalFormatting sqref="K6:K305">
    <cfRule type="expression" priority="5" dxfId="2">
      <formula>LEFT($K6,8)="Cheapest"</formula>
    </cfRule>
  </conditionalFormatting>
  <conditionalFormatting sqref="B6:E305">
    <cfRule type="expression" priority="6" dxfId="5">
      <formula>$F6="Quote"</formula>
    </cfRule>
  </conditionalFormatting>
  <dataValidations count="2">
    <dataValidation sqref="B6:B305" showDropDown="0" showInputMessage="0" showErrorMessage="0" allowBlank="1" type="list">
      <formula1>=Budget!$B$6:$B$17</formula1>
    </dataValidation>
    <dataValidation sqref="F6:F305" showDropDown="0" showInputMessage="0" showErrorMessage="0" allowBlank="1" type="list">
      <formula1>"Quote,Hired,Bought"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4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20" customWidth="1" min="4" max="4"/>
    <col width="12" customWidth="1" min="5" max="5"/>
    <col width="12" customWidth="1" min="6" max="6"/>
    <col width="13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>
      <c r="A2" s="1" t="n"/>
      <c r="B2" s="2" t="inlineStr">
        <is>
          <t>Timeline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 s="1" t="n"/>
      <c r="B3" s="3" t="inlineStr">
        <is>
          <t>One line per task. The coloured bars follow the start and end dates, one column per week.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 s="1" t="n"/>
      <c r="B4" s="23" t="inlineStr">
        <is>
          <t>Project start</t>
        </is>
      </c>
      <c r="C4" s="36" t="n">
        <v>46265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58" customHeight="1">
      <c r="A5" s="1" t="n"/>
      <c r="B5" s="11" t="inlineStr">
        <is>
          <t>Task</t>
        </is>
      </c>
      <c r="C5" s="11" t="inlineStr">
        <is>
          <t>Room</t>
        </is>
      </c>
      <c r="D5" s="11" t="inlineStr">
        <is>
          <t>Who</t>
        </is>
      </c>
      <c r="E5" s="11" t="inlineStr">
        <is>
          <t>Start</t>
        </is>
      </c>
      <c r="F5" s="11" t="inlineStr">
        <is>
          <t>End</t>
        </is>
      </c>
      <c r="G5" s="11" t="inlineStr">
        <is>
          <t>Status</t>
        </is>
      </c>
      <c r="H5" s="37">
        <f>$C$4-WEEKDAY($C$4,3)</f>
        <v/>
      </c>
      <c r="I5" s="37">
        <f>H5+7</f>
        <v/>
      </c>
      <c r="J5" s="37">
        <f>I5+7</f>
        <v/>
      </c>
      <c r="K5" s="37">
        <f>J5+7</f>
        <v/>
      </c>
      <c r="L5" s="37">
        <f>K5+7</f>
        <v/>
      </c>
      <c r="M5" s="37">
        <f>L5+7</f>
        <v/>
      </c>
      <c r="N5" s="37">
        <f>M5+7</f>
        <v/>
      </c>
      <c r="O5" s="37">
        <f>N5+7</f>
        <v/>
      </c>
      <c r="P5" s="37">
        <f>O5+7</f>
        <v/>
      </c>
      <c r="Q5" s="37">
        <f>P5+7</f>
        <v/>
      </c>
      <c r="R5" s="37">
        <f>Q5+7</f>
        <v/>
      </c>
      <c r="S5" s="37">
        <f>R5+7</f>
        <v/>
      </c>
      <c r="T5" s="37">
        <f>S5+7</f>
        <v/>
      </c>
      <c r="U5" s="37">
        <f>T5+7</f>
        <v/>
      </c>
      <c r="V5" s="37">
        <f>U5+7</f>
        <v/>
      </c>
      <c r="W5" s="37">
        <f>V5+7</f>
        <v/>
      </c>
      <c r="X5" s="1" t="n"/>
    </row>
    <row r="6">
      <c r="A6" s="1" t="n"/>
      <c r="B6" s="33" t="inlineStr">
        <is>
          <t>Demolition</t>
        </is>
      </c>
      <c r="C6" s="33" t="inlineStr">
        <is>
          <t>Whole house</t>
        </is>
      </c>
      <c r="D6" s="33" t="inlineStr">
        <is>
          <t>Us</t>
        </is>
      </c>
      <c r="E6" s="35" t="n">
        <v>46269</v>
      </c>
      <c r="F6" s="35" t="n">
        <v>46273</v>
      </c>
      <c r="G6" s="34" t="inlineStr">
        <is>
          <t>Done</t>
        </is>
      </c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" t="n"/>
    </row>
    <row r="7">
      <c r="A7" s="1" t="n"/>
      <c r="B7" s="33" t="inlineStr">
        <is>
          <t>Partial rewire</t>
        </is>
      </c>
      <c r="C7" s="33" t="inlineStr">
        <is>
          <t>Whole house</t>
        </is>
      </c>
      <c r="D7" s="33" t="inlineStr">
        <is>
          <t>Spark Electrical</t>
        </is>
      </c>
      <c r="E7" s="35" t="n">
        <v>46274</v>
      </c>
      <c r="F7" s="35" t="n">
        <v>46283</v>
      </c>
      <c r="G7" s="34" t="inlineStr">
        <is>
          <t>Done</t>
        </is>
      </c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" t="n"/>
    </row>
    <row r="8">
      <c r="A8" s="1" t="n"/>
      <c r="B8" s="33" t="inlineStr">
        <is>
          <t>Kitchen electrics</t>
        </is>
      </c>
      <c r="C8" s="33" t="inlineStr">
        <is>
          <t>Kitchen</t>
        </is>
      </c>
      <c r="D8" s="33" t="inlineStr">
        <is>
          <t>Spark Electrical</t>
        </is>
      </c>
      <c r="E8" s="35" t="n">
        <v>46284</v>
      </c>
      <c r="F8" s="35" t="n">
        <v>46288</v>
      </c>
      <c r="G8" s="34" t="inlineStr">
        <is>
          <t>Done</t>
        </is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" t="n"/>
    </row>
    <row r="9">
      <c r="A9" s="1" t="n"/>
      <c r="B9" s="33" t="inlineStr">
        <is>
          <t>Bathroom remodel</t>
        </is>
      </c>
      <c r="C9" s="33" t="inlineStr">
        <is>
          <t>Bathroom</t>
        </is>
      </c>
      <c r="D9" s="33" t="inlineStr">
        <is>
          <t>Blue Tap Plumbing</t>
        </is>
      </c>
      <c r="E9" s="35" t="n">
        <v>46287</v>
      </c>
      <c r="F9" s="35" t="n">
        <v>46305</v>
      </c>
      <c r="G9" s="34" t="inlineStr">
        <is>
          <t>In progress</t>
        </is>
      </c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" t="n"/>
    </row>
    <row r="10">
      <c r="A10" s="1" t="n"/>
      <c r="B10" s="33" t="inlineStr">
        <is>
          <t>Cabinets and fitting</t>
        </is>
      </c>
      <c r="C10" s="33" t="inlineStr">
        <is>
          <t>Kitchen</t>
        </is>
      </c>
      <c r="D10" s="33" t="inlineStr">
        <is>
          <t>Riverside Cabinet Co</t>
        </is>
      </c>
      <c r="E10" s="35" t="n">
        <v>46291</v>
      </c>
      <c r="F10" s="35" t="n">
        <v>46302</v>
      </c>
      <c r="G10" s="34" t="inlineStr">
        <is>
          <t>In progress</t>
        </is>
      </c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" t="n"/>
    </row>
    <row r="11">
      <c r="A11" s="1" t="n"/>
      <c r="B11" s="33" t="inlineStr">
        <is>
          <t>Drywall repair in the hall</t>
        </is>
      </c>
      <c r="C11" s="33" t="inlineStr">
        <is>
          <t>Whole house</t>
        </is>
      </c>
      <c r="D11" s="33" t="inlineStr">
        <is>
          <t>Handyman</t>
        </is>
      </c>
      <c r="E11" s="35" t="n">
        <v>46289</v>
      </c>
      <c r="F11" s="35" t="n">
        <v>46296</v>
      </c>
      <c r="G11" s="34" t="inlineStr">
        <is>
          <t>Delayed</t>
        </is>
      </c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" t="n"/>
    </row>
    <row r="12">
      <c r="A12" s="1" t="n"/>
      <c r="B12" s="33" t="inlineStr">
        <is>
          <t>Quartz countertops</t>
        </is>
      </c>
      <c r="C12" s="33" t="inlineStr">
        <is>
          <t>Kitchen</t>
        </is>
      </c>
      <c r="D12" s="33" t="inlineStr">
        <is>
          <t>Stone Works</t>
        </is>
      </c>
      <c r="E12" s="35" t="n">
        <v>46303</v>
      </c>
      <c r="F12" s="35" t="n">
        <v>46309</v>
      </c>
      <c r="G12" s="34" t="inlineStr">
        <is>
          <t>Planned</t>
        </is>
      </c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" t="n"/>
    </row>
    <row r="13">
      <c r="A13" s="1" t="n"/>
      <c r="B13" s="33" t="inlineStr">
        <is>
          <t>Oak flooring</t>
        </is>
      </c>
      <c r="C13" s="33" t="inlineStr">
        <is>
          <t>Living room</t>
        </is>
      </c>
      <c r="D13" s="33" t="inlineStr">
        <is>
          <t>Floor Masters</t>
        </is>
      </c>
      <c r="E13" s="35" t="n">
        <v>46310</v>
      </c>
      <c r="F13" s="35" t="n">
        <v>46317</v>
      </c>
      <c r="G13" s="34" t="inlineStr">
        <is>
          <t>Planned</t>
        </is>
      </c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" t="n"/>
    </row>
    <row r="14">
      <c r="A14" s="1" t="n"/>
      <c r="B14" s="33" t="inlineStr">
        <is>
          <t>Painting</t>
        </is>
      </c>
      <c r="C14" s="33" t="inlineStr">
        <is>
          <t>Living room</t>
        </is>
      </c>
      <c r="D14" s="33" t="inlineStr">
        <is>
          <t>Not chosen yet</t>
        </is>
      </c>
      <c r="E14" s="35" t="n">
        <v>46318</v>
      </c>
      <c r="F14" s="35" t="n">
        <v>46325</v>
      </c>
      <c r="G14" s="34" t="inlineStr">
        <is>
          <t>Planned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" t="n"/>
    </row>
    <row r="15">
      <c r="A15" s="1" t="n"/>
      <c r="B15" s="33" t="inlineStr">
        <is>
          <t>Built-in closet</t>
        </is>
      </c>
      <c r="C15" s="33" t="inlineStr">
        <is>
          <t>Primary bedroom</t>
        </is>
      </c>
      <c r="D15" s="33" t="inlineStr">
        <is>
          <t>Not chosen yet</t>
        </is>
      </c>
      <c r="E15" s="35" t="n">
        <v>46328</v>
      </c>
      <c r="F15" s="35" t="n">
        <v>46335</v>
      </c>
      <c r="G15" s="34" t="inlineStr">
        <is>
          <t>Planned</t>
        </is>
      </c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" t="n"/>
    </row>
    <row r="16">
      <c r="A16" s="1" t="n"/>
      <c r="B16" s="33" t="inlineStr">
        <is>
          <t>Fence repair</t>
        </is>
      </c>
      <c r="C16" s="33" t="inlineStr">
        <is>
          <t>Exterior</t>
        </is>
      </c>
      <c r="D16" s="33" t="inlineStr">
        <is>
          <t>Not chosen yet</t>
        </is>
      </c>
      <c r="E16" s="35" t="n">
        <v>46337</v>
      </c>
      <c r="F16" s="35" t="n">
        <v>46340</v>
      </c>
      <c r="G16" s="34" t="inlineStr">
        <is>
          <t>Planned</t>
        </is>
      </c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" t="n"/>
    </row>
    <row r="17">
      <c r="A17" s="1" t="n"/>
      <c r="B17" s="33" t="inlineStr">
        <is>
          <t>Final clean and punch list</t>
        </is>
      </c>
      <c r="C17" s="33" t="inlineStr">
        <is>
          <t>Whole house</t>
        </is>
      </c>
      <c r="D17" s="33" t="inlineStr">
        <is>
          <t>Us</t>
        </is>
      </c>
      <c r="E17" s="35" t="n">
        <v>46343</v>
      </c>
      <c r="F17" s="35" t="n">
        <v>46347</v>
      </c>
      <c r="G17" s="34" t="inlineStr">
        <is>
          <t>Planned</t>
        </is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" t="n"/>
    </row>
    <row r="18">
      <c r="A18" s="1" t="n"/>
      <c r="B18" s="33" t="n"/>
      <c r="C18" s="33" t="n"/>
      <c r="D18" s="33" t="n"/>
      <c r="E18" s="35" t="n"/>
      <c r="F18" s="35" t="n"/>
      <c r="G18" s="34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" t="n"/>
    </row>
    <row r="19">
      <c r="A19" s="1" t="n"/>
      <c r="B19" s="33" t="n"/>
      <c r="C19" s="33" t="n"/>
      <c r="D19" s="33" t="n"/>
      <c r="E19" s="35" t="n"/>
      <c r="F19" s="35" t="n"/>
      <c r="G19" s="34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" t="n"/>
    </row>
    <row r="20">
      <c r="A20" s="1" t="n"/>
      <c r="B20" s="33" t="n"/>
      <c r="C20" s="33" t="n"/>
      <c r="D20" s="33" t="n"/>
      <c r="E20" s="35" t="n"/>
      <c r="F20" s="35" t="n"/>
      <c r="G20" s="34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" t="n"/>
    </row>
    <row r="21">
      <c r="A21" s="1" t="n"/>
      <c r="B21" s="33" t="n"/>
      <c r="C21" s="33" t="n"/>
      <c r="D21" s="33" t="n"/>
      <c r="E21" s="35" t="n"/>
      <c r="F21" s="35" t="n"/>
      <c r="G21" s="34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" t="n"/>
    </row>
    <row r="22">
      <c r="A22" s="1" t="n"/>
      <c r="B22" s="33" t="n"/>
      <c r="C22" s="33" t="n"/>
      <c r="D22" s="33" t="n"/>
      <c r="E22" s="35" t="n"/>
      <c r="F22" s="35" t="n"/>
      <c r="G22" s="34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" t="n"/>
    </row>
    <row r="23">
      <c r="A23" s="1" t="n"/>
      <c r="B23" s="33" t="n"/>
      <c r="C23" s="33" t="n"/>
      <c r="D23" s="33" t="n"/>
      <c r="E23" s="35" t="n"/>
      <c r="F23" s="35" t="n"/>
      <c r="G23" s="34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" t="n"/>
    </row>
    <row r="24">
      <c r="A24" s="1" t="n"/>
      <c r="B24" s="33" t="n"/>
      <c r="C24" s="33" t="n"/>
      <c r="D24" s="33" t="n"/>
      <c r="E24" s="35" t="n"/>
      <c r="F24" s="35" t="n"/>
      <c r="G24" s="34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" t="n"/>
    </row>
    <row r="25">
      <c r="A25" s="1" t="n"/>
      <c r="B25" s="33" t="n"/>
      <c r="C25" s="33" t="n"/>
      <c r="D25" s="33" t="n"/>
      <c r="E25" s="35" t="n"/>
      <c r="F25" s="35" t="n"/>
      <c r="G25" s="34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" t="n"/>
    </row>
    <row r="26">
      <c r="A26" s="1" t="n"/>
      <c r="B26" s="33" t="n"/>
      <c r="C26" s="33" t="n"/>
      <c r="D26" s="33" t="n"/>
      <c r="E26" s="35" t="n"/>
      <c r="F26" s="35" t="n"/>
      <c r="G26" s="34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" t="n"/>
    </row>
    <row r="27">
      <c r="A27" s="1" t="n"/>
      <c r="B27" s="33" t="n"/>
      <c r="C27" s="33" t="n"/>
      <c r="D27" s="33" t="n"/>
      <c r="E27" s="35" t="n"/>
      <c r="F27" s="35" t="n"/>
      <c r="G27" s="34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" t="n"/>
    </row>
    <row r="28">
      <c r="A28" s="1" t="n"/>
      <c r="B28" s="33" t="n"/>
      <c r="C28" s="33" t="n"/>
      <c r="D28" s="33" t="n"/>
      <c r="E28" s="35" t="n"/>
      <c r="F28" s="35" t="n"/>
      <c r="G28" s="34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" t="n"/>
    </row>
    <row r="29">
      <c r="A29" s="1" t="n"/>
      <c r="B29" s="33" t="n"/>
      <c r="C29" s="33" t="n"/>
      <c r="D29" s="33" t="n"/>
      <c r="E29" s="35" t="n"/>
      <c r="F29" s="35" t="n"/>
      <c r="G29" s="34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" t="n"/>
    </row>
    <row r="30">
      <c r="A30" s="1" t="n"/>
      <c r="B30" s="33" t="n"/>
      <c r="C30" s="33" t="n"/>
      <c r="D30" s="33" t="n"/>
      <c r="E30" s="35" t="n"/>
      <c r="F30" s="35" t="n"/>
      <c r="G30" s="34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" t="n"/>
    </row>
    <row r="31">
      <c r="A31" s="1" t="n"/>
      <c r="B31" s="33" t="n"/>
      <c r="C31" s="33" t="n"/>
      <c r="D31" s="33" t="n"/>
      <c r="E31" s="35" t="n"/>
      <c r="F31" s="35" t="n"/>
      <c r="G31" s="34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" t="n"/>
    </row>
    <row r="32">
      <c r="A32" s="1" t="n"/>
      <c r="B32" s="33" t="n"/>
      <c r="C32" s="33" t="n"/>
      <c r="D32" s="33" t="n"/>
      <c r="E32" s="35" t="n"/>
      <c r="F32" s="35" t="n"/>
      <c r="G32" s="34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" t="n"/>
    </row>
    <row r="33">
      <c r="A33" s="1" t="n"/>
      <c r="B33" s="33" t="n"/>
      <c r="C33" s="33" t="n"/>
      <c r="D33" s="33" t="n"/>
      <c r="E33" s="35" t="n"/>
      <c r="F33" s="35" t="n"/>
      <c r="G33" s="34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" t="n"/>
    </row>
    <row r="34">
      <c r="A34" s="1" t="n"/>
      <c r="B34" s="33" t="n"/>
      <c r="C34" s="33" t="n"/>
      <c r="D34" s="33" t="n"/>
      <c r="E34" s="35" t="n"/>
      <c r="F34" s="35" t="n"/>
      <c r="G34" s="34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" t="n"/>
    </row>
    <row r="35">
      <c r="A35" s="1" t="n"/>
      <c r="B35" s="33" t="n"/>
      <c r="C35" s="33" t="n"/>
      <c r="D35" s="33" t="n"/>
      <c r="E35" s="35" t="n"/>
      <c r="F35" s="35" t="n"/>
      <c r="G35" s="34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 s="1" t="n"/>
      <c r="B37" s="38" t="inlineStr">
        <is>
          <t>Colours:</t>
        </is>
      </c>
      <c r="C37" s="39" t="inlineStr">
        <is>
          <t>Done</t>
        </is>
      </c>
      <c r="D37" s="40" t="inlineStr">
        <is>
          <t>In progress</t>
        </is>
      </c>
      <c r="E37" s="41" t="inlineStr">
        <is>
          <t>Delayed</t>
        </is>
      </c>
      <c r="F37" s="42" t="inlineStr">
        <is>
          <t>Planned</t>
        </is>
      </c>
      <c r="G37" s="43" t="inlineStr">
        <is>
          <t>This week</t>
        </is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</sheetData>
  <conditionalFormatting sqref="H6:W35">
    <cfRule type="expression" priority="1" dxfId="6">
      <formula>AND($E6&lt;&gt;"",$F6&lt;&gt;"",H$5&lt;=$F6,H$5+6&gt;=$E6,$G6="Done")</formula>
    </cfRule>
    <cfRule type="expression" priority="2" dxfId="7">
      <formula>AND($E6&lt;&gt;"",$F6&lt;&gt;"",H$5&lt;=$F6,H$5+6&gt;=$E6,$G6="In progress")</formula>
    </cfRule>
    <cfRule type="expression" priority="3" dxfId="8">
      <formula>AND($E6&lt;&gt;"",$F6&lt;&gt;"",H$5&lt;=$F6,H$5+6&gt;=$E6,$G6="Delayed")</formula>
    </cfRule>
    <cfRule type="expression" priority="4" dxfId="9">
      <formula>AND($E6&lt;&gt;"",$F6&lt;&gt;"",H$5&lt;=$F6,H$5+6&gt;=$E6,OR($G6="Planned",$G6=""))</formula>
    </cfRule>
    <cfRule type="expression" priority="5" dxfId="10">
      <formula>AND(H$5&lt;=TODAY(),H$5+6&gt;=TODAY())</formula>
    </cfRule>
  </conditionalFormatting>
  <conditionalFormatting sqref="H5:W5">
    <cfRule type="expression" priority="6" dxfId="11">
      <formula>AND(H$5&lt;=TODAY(),H$5+6&gt;=TODAY())</formula>
    </cfRule>
  </conditionalFormatting>
  <dataValidations count="2">
    <dataValidation sqref="G6:G35" showDropDown="0" showInputMessage="0" showErrorMessage="0" allowBlank="1" type="list">
      <formula1>"Planned,In progress,Done,Delayed"</formula1>
    </dataValidation>
    <dataValidation sqref="C6:C35" showDropDown="0" showInputMessage="0" showErrorMessage="0" allowBlank="1" type="list">
      <formula1>=Budget!$B$6:$B$17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4" t="inlineStr">
        <is>
          <t>1</t>
        </is>
      </c>
      <c r="C5" s="45" t="inlineStr">
        <is>
          <t>Budget: list your rooms or areas with a budget for each, and set the contingency (10 to 20% is usual).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44" t="inlineStr">
        <is>
          <t>2</t>
        </is>
      </c>
      <c r="C7" s="45" t="inlineStr">
        <is>
          <t>Costs: add every quote, job and purchase. Quotes for the same job get the same job name.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44" t="inlineStr">
        <is>
          <t>3</t>
        </is>
      </c>
      <c r="C9" s="45" t="inlineStr">
        <is>
          <t>When you hire someone or buy something, change the stage from Quote to Hired or Bought.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4" t="inlineStr">
        <is>
          <t>4</t>
        </is>
      </c>
      <c r="C11" s="45" t="inlineStr">
        <is>
          <t>When you pay, update 'Paid so far' and the next payment date. Late payments turn red.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44" t="inlineStr">
        <is>
          <t>5</t>
        </is>
      </c>
      <c r="C13" s="45" t="inlineStr">
        <is>
          <t>Timeline: add each task with its start and end dates, and the bars fill in week by week.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44" t="inlineStr">
        <is>
          <t>6</t>
        </is>
      </c>
      <c r="C15" s="45" t="inlineStr">
        <is>
          <t>Dashboard: budget used per room, payments due soon, quotes to decide and the next task.</t>
        </is>
      </c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Only lines marked Hired or Bought count as committed. Quotes stay grey until you choose one.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The example rooms, quotes and tasks show how it works. Delete them and add your own.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3" t="inlineStr">
        <is>
          <t>Works in Google Sheets and Microsoft Excel, in any currency.</t>
        </is>
      </c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2026-09-28T10:54:57Z</dcterms:created>
  <dcterms:modified xsi:type="dcterms:W3CDTF">2026-09-28T10:54:58Z</dcterms:modified>
</cp:coreProperties>
</file>