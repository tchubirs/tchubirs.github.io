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pointments" sheetId="2" state="visible" r:id="rId2"/>
    <sheet name="Clients" sheetId="3" state="visible" r:id="rId3"/>
    <sheet name="Packages" sheetId="4" state="visible" r:id="rId4"/>
    <sheet name="Services" sheetId="5" state="visible" r:id="rId5"/>
    <sheet name="Week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 MMM YYYY"/>
    <numFmt numFmtId="166" formatCode="d mmm"/>
    <numFmt numFmtId="167" formatCode="dddd d mmm"/>
    <numFmt numFmtId="168" formatCode="ddd d mmm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0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15525A"/>
      <sz val="13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FCE9B8"/>
        <bgColor rgb="00FCE9B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2" borderId="1" pivotButton="0" quotePrefix="0" xfId="0"/>
    <xf numFmtId="0" fontId="0" fillId="0" borderId="1" pivotButton="0" quotePrefix="0" xfId="0"/>
    <xf numFmtId="4" fontId="9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4" fontId="10" fillId="2" borderId="1" applyAlignment="1" pivotButton="0" quotePrefix="0" xfId="0">
      <alignment horizontal="right"/>
    </xf>
    <xf numFmtId="3" fontId="9" fillId="2" borderId="1" applyAlignment="1" pivotButton="0" quotePrefix="0" xfId="0">
      <alignment horizontal="right"/>
    </xf>
    <xf numFmtId="0" fontId="1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8" fontId="4" fillId="2" borderId="1" pivotButton="0" quotePrefix="0" xfId="0"/>
    <xf numFmtId="20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4" fillId="2" borderId="1" pivotButton="0" quotePrefix="0" xfId="0"/>
    <xf numFmtId="0" fontId="4" fillId="8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2" borderId="0" pivotButton="0" quotePrefix="0" xfId="0"/>
    <xf numFmtId="1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4" fontId="4" fillId="2" borderId="1" pivotButton="0" quotePrefix="0" xfId="0"/>
    <xf numFmtId="4" fontId="5" fillId="2" borderId="1" pivotButton="0" quotePrefix="0" xfId="0"/>
    <xf numFmtId="3" fontId="5" fillId="2" borderId="1" applyAlignment="1" pivotButton="0" quotePrefix="0" xfId="0">
      <alignment horizontal="center" vertical="center"/>
    </xf>
    <xf numFmtId="165" fontId="4" fillId="4" borderId="1" pivotButton="0" quotePrefix="0" xfId="0"/>
    <xf numFmtId="2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4" fontId="4" fillId="4" borderId="1" pivotButton="0" quotePrefix="0" xfId="0"/>
    <xf numFmtId="0" fontId="5" fillId="4" borderId="1" pivotButton="0" quotePrefix="0" xfId="0"/>
    <xf numFmtId="166" fontId="4" fillId="4" borderId="1" pivotButton="0" quotePrefix="0" xfId="0"/>
    <xf numFmtId="165" fontId="4" fillId="2" borderId="1" pivotButton="0" quotePrefix="0" xfId="0"/>
    <xf numFmtId="1" fontId="5" fillId="2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2" borderId="0" pivotButton="0" quotePrefix="0" xfId="0"/>
    <xf numFmtId="167" fontId="3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4" fontId="5" fillId="2" borderId="1" applyAlignment="1" pivotButton="0" quotePrefix="0" xfId="0">
      <alignment horizontal="center" vertical="center"/>
    </xf>
    <xf numFmtId="0" fontId="8" fillId="2" borderId="0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10">
    <dxf>
      <fill>
        <patternFill patternType="solid">
          <fgColor rgb="00D8F0DC"/>
          <bgColor rgb="00D8F0DC"/>
        </patternFill>
      </fill>
    </dxf>
    <dxf>
      <fill>
        <patternFill patternType="solid">
          <fgColor rgb="00E6F2F2"/>
          <bgColor rgb="00E6F2F2"/>
        </patternFill>
      </fill>
    </dxf>
    <dxf>
      <font>
        <name val="Arial"/>
        <b val="1"/>
        <color rgb="008A4B00"/>
      </font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F9C9C4"/>
          <bgColor rgb="00F9C9C4"/>
        </patternFill>
      </fill>
    </dxf>
    <dxf>
      <font>
        <name val="Arial"/>
        <color rgb="009AA7A9"/>
      </font>
      <fill>
        <patternFill patternType="solid">
          <fgColor rgb="00EEF1F1"/>
          <bgColor rgb="00EEF1F1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ont>
        <name val="Arial"/>
        <b val="1"/>
      </font>
      <fill>
        <patternFill patternType="solid">
          <fgColor rgb="00FCE9B8"/>
          <bgColor rgb="00FCE9B8"/>
        </patternFill>
      </fill>
    </dxf>
    <dxf>
      <font>
        <name val="Arial"/>
        <b val="1"/>
        <color rgb="0015525A"/>
      </font>
      <fill>
        <patternFill patternType="solid">
          <fgColor rgb="00FFE2B8"/>
          <bgColor rgb="00FFE2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'Dashboard'!E24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'Dashboard'!$B$25:$B$36</f>
            </numRef>
          </cat>
          <val>
            <numRef>
              <f>'Dashboard'!$E$25:$E$36</f>
            </numRef>
          </val>
        </ser>
        <ser>
          <idx val="1"/>
          <order val="1"/>
          <tx>
            <strRef>
              <f>'Dashboard'!F24</f>
            </strRef>
          </tx>
          <spPr>
            <a:solidFill>
              <a:srgbClr val="E0A21B"/>
            </a:solidFill>
            <a:ln>
              <a:prstDash val="solid"/>
            </a:ln>
          </spPr>
          <cat>
            <numRef>
              <f>'Dashboard'!$B$25:$B$36</f>
            </numRef>
          </cat>
          <val>
            <numRef>
              <f>'Dashboard'!$F$25:$F$36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21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0" customWidth="1" min="4" max="4"/>
    <col width="20" customWidth="1" min="5" max="5"/>
    <col width="13" customWidth="1" min="6" max="6"/>
    <col width="13" customWidth="1" min="7" max="7"/>
    <col width="3" customWidth="1" min="8" max="8"/>
    <col width="16" customWidth="1" min="9" max="9"/>
    <col width="14" customWidth="1" min="10" max="10"/>
    <col width="14" customWidth="1" min="11" max="11"/>
    <col width="16" customWidth="1" min="12" max="12"/>
    <col width="3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Client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This month, what is coming up, and who needs a message.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t>Paid this month</t>
        </is>
      </c>
      <c r="C5" s="5" t="n"/>
      <c r="D5" s="4" t="inlineStr">
        <is>
          <t>Done this month</t>
        </is>
      </c>
      <c r="E5" s="4" t="inlineStr">
        <is>
          <t>Booked ahead</t>
        </is>
      </c>
      <c r="F5" s="4" t="inlineStr">
        <is>
          <t>No-shows</t>
        </is>
      </c>
      <c r="G5" s="4" t="inlineStr">
        <is>
          <t>Owed to you</t>
        </is>
      </c>
      <c r="H5" s="1" t="n"/>
      <c r="I5" s="4" t="inlineStr">
        <is>
          <t>Clients</t>
        </is>
      </c>
      <c r="J5" s="4" t="inlineStr">
        <is>
          <t>Visits this year</t>
        </is>
      </c>
      <c r="K5" s="4" t="inlineStr">
        <is>
          <t>Paid this year</t>
        </is>
      </c>
      <c r="L5" s="5" t="n"/>
      <c r="M5" s="1" t="n"/>
      <c r="N5" s="1" t="n"/>
    </row>
    <row r="6" ht="34" customHeight="1">
      <c r="A6" s="1" t="n"/>
      <c r="B6" s="6">
        <f>SUMIFS(Appointments!$I$6:$I$2005,Appointments!$B$6:$B$2005,"&gt;="&amp;DATE(YEAR(TODAY()),MONTH(TODAY()),1),Appointments!$B$6:$B$2005,"&lt;="&amp;EOMONTH(TODAY(),0))+SUMIFS(Packages!$F$6:$F$305,Packages!$B$6:$B$305,"&gt;="&amp;DATE(YEAR(TODAY()),MONTH(TODAY()),1),Packages!$B$6:$B$305,"&lt;="&amp;EOMONTH(TODAY(),0))</f>
        <v/>
      </c>
      <c r="C6" s="5" t="n"/>
      <c r="D6" s="7">
        <f>COUNTIFS(Appointments!$F$6:$F$2005,"Done",Appointments!$B$6:$B$2005,"&gt;="&amp;DATE(YEAR(TODAY()),MONTH(TODAY()),1),Appointments!$B$6:$B$2005,"&lt;="&amp;EOMONTH(TODAY(),0))</f>
        <v/>
      </c>
      <c r="E6" s="7">
        <f>COUNTIFS(Appointments!$F$6:$F$2005,"Booked",Appointments!$B$6:$B$2005,"&gt;="&amp;TODAY())</f>
        <v/>
      </c>
      <c r="F6" s="8">
        <f>COUNTIFS(Appointments!$F$6:$F$2005,"No-show",Appointments!$B$6:$B$2005,"&gt;="&amp;DATE(YEAR(TODAY()),MONTH(TODAY()),1),Appointments!$B$6:$B$2005,"&lt;="&amp;EOMONTH(TODAY(),0))</f>
        <v/>
      </c>
      <c r="G6" s="9">
        <f>SUM(Appointments!$K$6:$K$2005)</f>
        <v/>
      </c>
      <c r="H6" s="1" t="n"/>
      <c r="I6" s="7">
        <f>COUNTIF(Clients!$B$6:$B$305,"?*")</f>
        <v/>
      </c>
      <c r="J6" s="10">
        <f>COUNTIFS(Appointments!$F$6:$F$2005,"Done",Appointments!$B$6:$B$2005,"&gt;="&amp;DATE(YEAR(TODAY()),1,1))</f>
        <v/>
      </c>
      <c r="K6" s="6">
        <f>SUMIFS(Appointments!$I$6:$I$2005,Appointments!$B$6:$B$2005,"&gt;="&amp;DATE(YEAR(TODAY()),1,1))+SUMIFS(Packages!$F$6:$F$305,Packages!$B$6:$B$305,"&gt;="&amp;DATE(YEAR(TODAY()),1,1))</f>
        <v/>
      </c>
      <c r="L6" s="5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1" t="inlineStr">
        <is>
          <t>Coming up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0" customHeight="1">
      <c r="A9" s="1" t="n"/>
      <c r="B9" s="12" t="inlineStr">
        <is>
          <t>Date</t>
        </is>
      </c>
      <c r="C9" s="12" t="inlineStr">
        <is>
          <t>Time</t>
        </is>
      </c>
      <c r="D9" s="12" t="inlineStr">
        <is>
          <t>Client</t>
        </is>
      </c>
      <c r="E9" s="12" t="inlineStr">
        <is>
          <t>Service</t>
        </is>
      </c>
      <c r="F9" s="1" t="n"/>
      <c r="G9" s="1" t="n"/>
      <c r="H9" s="1" t="n"/>
      <c r="I9" s="12" t="inlineStr">
        <is>
          <t>Needs attention</t>
        </is>
      </c>
      <c r="J9" s="13" t="n"/>
      <c r="K9" s="13" t="n"/>
      <c r="L9" s="14" t="n"/>
      <c r="M9" s="1" t="n"/>
      <c r="N9" s="1" t="n"/>
    </row>
    <row r="10">
      <c r="A10" s="1" t="n"/>
      <c r="B10" s="15">
        <f>IF(O10="","",INT(O10))</f>
        <v/>
      </c>
      <c r="C10" s="16">
        <f>IF(O10="","",INDEX(Appointments!$C$6:$C$2005,MATCH(O10,Appointments!$M$6:$M$2005,0)))</f>
        <v/>
      </c>
      <c r="D10" s="17">
        <f>IF(O10="","",INDEX(Appointments!$D$6:$D$2005,MATCH(O10,Appointments!$M$6:$M$2005,0)))</f>
        <v/>
      </c>
      <c r="E10" s="18">
        <f>IF(O10="","",INDEX(Appointments!$E$6:$E$2005,MATCH(O10,Appointments!$M$6:$M$2005,0)))</f>
        <v/>
      </c>
      <c r="F10" s="1" t="n"/>
      <c r="G10" s="1" t="n"/>
      <c r="H10" s="1" t="n"/>
      <c r="I10" s="19">
        <f>IF(COUNTIFS(Appointments!$F$6:$F$2005,"Booked",Appointments!$B$6:$B$2005,"&lt;"&amp;TODAY())=0,"Every past appointment has its status",IF(COUNTIFS(Appointments!$F$6:$F$2005,"Booked",Appointments!$B$6:$B$2005,"&lt;"&amp;TODAY())=1,"1 past appointment is",COUNTIFS(Appointments!$F$6:$F$2005,"Booked",Appointments!$B$6:$B$2005,"&lt;"&amp;TODAY())&amp;" past appointments are")&amp;" still marked Booked")</f>
        <v/>
      </c>
      <c r="J10" s="5" t="n"/>
      <c r="K10" s="5" t="n"/>
      <c r="L10" s="5" t="n"/>
      <c r="M10" s="1" t="n"/>
      <c r="N10" s="1" t="n"/>
      <c r="O10">
        <f>IFERROR(SMALL(Appointments!$M$6:$M$2005,COUNTIF(Appointments!$M$6:$M$2005,"&lt;"&amp;NOW())+1),"")</f>
        <v/>
      </c>
    </row>
    <row r="11">
      <c r="A11" s="1" t="n"/>
      <c r="B11" s="15">
        <f>IF(O11="","",INT(O11))</f>
        <v/>
      </c>
      <c r="C11" s="16">
        <f>IF(O11="","",INDEX(Appointments!$C$6:$C$2005,MATCH(O11,Appointments!$M$6:$M$2005,0)))</f>
        <v/>
      </c>
      <c r="D11" s="17">
        <f>IF(O11="","",INDEX(Appointments!$D$6:$D$2005,MATCH(O11,Appointments!$M$6:$M$2005,0)))</f>
        <v/>
      </c>
      <c r="E11" s="18">
        <f>IF(O11="","",INDEX(Appointments!$E$6:$E$2005,MATCH(O11,Appointments!$M$6:$M$2005,0)))</f>
        <v/>
      </c>
      <c r="F11" s="1" t="n"/>
      <c r="G11" s="1" t="n"/>
      <c r="H11" s="1" t="n"/>
      <c r="I11" s="20">
        <f>IF(COUNTIFS(Clients!$L$6:$L$305,"&gt;0")=0,"Nobody owes you money",IF(COUNTIFS(Clients!$L$6:$L$305,"&gt;0")=1,"1 client owes you ",COUNTIFS(Clients!$L$6:$L$305,"&gt;0")&amp;" clients owe you ")&amp;FIXED(SUM(Clients!$L$6:$L$305),2))</f>
        <v/>
      </c>
      <c r="J11" s="5" t="n"/>
      <c r="K11" s="5" t="n"/>
      <c r="L11" s="5" t="n"/>
      <c r="M11" s="1" t="n"/>
      <c r="N11" s="1" t="n"/>
      <c r="O11">
        <f>IFERROR(SMALL(Appointments!$M$6:$M$2005,COUNTIF(Appointments!$M$6:$M$2005,"&lt;"&amp;NOW())+2),"")</f>
        <v/>
      </c>
    </row>
    <row r="12">
      <c r="A12" s="1" t="n"/>
      <c r="B12" s="15">
        <f>IF(O12="","",INT(O12))</f>
        <v/>
      </c>
      <c r="C12" s="16">
        <f>IF(O12="","",INDEX(Appointments!$C$6:$C$2005,MATCH(O12,Appointments!$M$6:$M$2005,0)))</f>
        <v/>
      </c>
      <c r="D12" s="17">
        <f>IF(O12="","",INDEX(Appointments!$D$6:$D$2005,MATCH(O12,Appointments!$M$6:$M$2005,0)))</f>
        <v/>
      </c>
      <c r="E12" s="18">
        <f>IF(O12="","",INDEX(Appointments!$E$6:$E$2005,MATCH(O12,Appointments!$M$6:$M$2005,0)))</f>
        <v/>
      </c>
      <c r="F12" s="1" t="n"/>
      <c r="G12" s="1" t="n"/>
      <c r="H12" s="1" t="n"/>
      <c r="I12" s="19">
        <f>IF(COUNTIFS(Clients!$M$6:$M$305,"&lt;=1")=0,"No package is running out",IF(COUNTIFS(Clients!$M$6:$M$305,"&lt;=1")=1,"1 client has",COUNTIFS(Clients!$M$6:$M$305,"&lt;=1")&amp;" clients have")&amp;" 1 package session left or none")</f>
        <v/>
      </c>
      <c r="J12" s="5" t="n"/>
      <c r="K12" s="5" t="n"/>
      <c r="L12" s="5" t="n"/>
      <c r="M12" s="1" t="n"/>
      <c r="N12" s="1" t="n"/>
      <c r="O12">
        <f>IFERROR(SMALL(Appointments!$M$6:$M$2005,COUNTIF(Appointments!$M$6:$M$2005,"&lt;"&amp;NOW())+3),"")</f>
        <v/>
      </c>
    </row>
    <row r="13">
      <c r="A13" s="1" t="n"/>
      <c r="B13" s="15">
        <f>IF(O13="","",INT(O13))</f>
        <v/>
      </c>
      <c r="C13" s="16">
        <f>IF(O13="","",INDEX(Appointments!$C$6:$C$2005,MATCH(O13,Appointments!$M$6:$M$2005,0)))</f>
        <v/>
      </c>
      <c r="D13" s="17">
        <f>IF(O13="","",INDEX(Appointments!$D$6:$D$2005,MATCH(O13,Appointments!$M$6:$M$2005,0)))</f>
        <v/>
      </c>
      <c r="E13" s="18">
        <f>IF(O13="","",INDEX(Appointments!$E$6:$E$2005,MATCH(O13,Appointments!$M$6:$M$2005,0)))</f>
        <v/>
      </c>
      <c r="F13" s="1" t="n"/>
      <c r="G13" s="1" t="n"/>
      <c r="H13" s="1" t="n"/>
      <c r="I13" s="21">
        <f>IF(COUNTIFS(Clients!$N$6:$N$305,"Not seen*")=0,"Every regular client has been back lately",IF(COUNTIFS(Clients!$N$6:$N$305,"Not seen*")=1,"1 client has not",COUNTIFS(Clients!$N$6:$N$305,"Not seen*")&amp;" clients have not")&amp;" been back in "&amp;Services!$I$7&amp;" days")</f>
        <v/>
      </c>
      <c r="J13" s="5" t="n"/>
      <c r="K13" s="5" t="n"/>
      <c r="L13" s="5" t="n"/>
      <c r="M13" s="1" t="n"/>
      <c r="N13" s="1" t="n"/>
      <c r="O13">
        <f>IFERROR(SMALL(Appointments!$M$6:$M$2005,COUNTIF(Appointments!$M$6:$M$2005,"&lt;"&amp;NOW())+4),"")</f>
        <v/>
      </c>
    </row>
    <row r="14">
      <c r="A14" s="1" t="n"/>
      <c r="B14" s="15">
        <f>IF(O14="","",INT(O14))</f>
        <v/>
      </c>
      <c r="C14" s="16">
        <f>IF(O14="","",INDEX(Appointments!$C$6:$C$2005,MATCH(O14,Appointments!$M$6:$M$2005,0)))</f>
        <v/>
      </c>
      <c r="D14" s="17">
        <f>IF(O14="","",INDEX(Appointments!$D$6:$D$2005,MATCH(O14,Appointments!$M$6:$M$2005,0)))</f>
        <v/>
      </c>
      <c r="E14" s="18">
        <f>IF(O14="","",INDEX(Appointments!$E$6:$E$2005,MATCH(O14,Appointments!$M$6:$M$2005,0)))</f>
        <v/>
      </c>
      <c r="F14" s="1" t="n"/>
      <c r="G14" s="1" t="n"/>
      <c r="H14" s="1" t="n"/>
      <c r="I14" s="22">
        <f>IF(COUNTIFS(Clients!$O$6:$O$305,MONTH(TODAY()))=0,"No birthdays this month",IF(COUNTIFS(Clients!$O$6:$O$305,MONTH(TODAY()))=1,"1 client has a birthday",COUNTIFS(Clients!$O$6:$O$305,MONTH(TODAY()))&amp;" clients have a birthday")&amp;" this month")</f>
        <v/>
      </c>
      <c r="J14" s="5" t="n"/>
      <c r="K14" s="5" t="n"/>
      <c r="L14" s="5" t="n"/>
      <c r="M14" s="1" t="n"/>
      <c r="N14" s="1" t="n"/>
      <c r="O14">
        <f>IFERROR(SMALL(Appointments!$M$6:$M$2005,COUNTIF(Appointments!$M$6:$M$2005,"&lt;"&amp;NOW())+5),"")</f>
        <v/>
      </c>
    </row>
    <row r="15">
      <c r="A15" s="1" t="n"/>
      <c r="B15" s="15">
        <f>IF(O15="","",INT(O15))</f>
        <v/>
      </c>
      <c r="C15" s="16">
        <f>IF(O15="","",INDEX(Appointments!$C$6:$C$2005,MATCH(O15,Appointments!$M$6:$M$2005,0)))</f>
        <v/>
      </c>
      <c r="D15" s="17">
        <f>IF(O15="","",INDEX(Appointments!$D$6:$D$2005,MATCH(O15,Appointments!$M$6:$M$2005,0)))</f>
        <v/>
      </c>
      <c r="E15" s="18">
        <f>IF(O15="","",INDEX(Appointments!$E$6:$E$2005,MATCH(O15,Appointments!$M$6:$M$2005,0)))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>
        <f>IFERROR(SMALL(Appointments!$M$6:$M$2005,COUNTIF(Appointments!$M$6:$M$2005,"&lt;"&amp;NOW())+6),"")</f>
        <v/>
      </c>
    </row>
    <row r="16">
      <c r="A16" s="1" t="n"/>
      <c r="B16" s="15">
        <f>IF(O16="","",INT(O16))</f>
        <v/>
      </c>
      <c r="C16" s="16">
        <f>IF(O16="","",INDEX(Appointments!$C$6:$C$2005,MATCH(O16,Appointments!$M$6:$M$2005,0)))</f>
        <v/>
      </c>
      <c r="D16" s="17">
        <f>IF(O16="","",INDEX(Appointments!$D$6:$D$2005,MATCH(O16,Appointments!$M$6:$M$2005,0)))</f>
        <v/>
      </c>
      <c r="E16" s="18">
        <f>IF(O16="","",INDEX(Appointments!$E$6:$E$2005,MATCH(O16,Appointments!$M$6:$M$2005,0)))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>
        <f>IFERROR(SMALL(Appointments!$M$6:$M$2005,COUNTIF(Appointments!$M$6:$M$2005,"&lt;"&amp;NOW())+7),"")</f>
        <v/>
      </c>
    </row>
    <row r="17">
      <c r="A17" s="1" t="n"/>
      <c r="B17" s="15">
        <f>IF(O17="","",INT(O17))</f>
        <v/>
      </c>
      <c r="C17" s="16">
        <f>IF(O17="","",INDEX(Appointments!$C$6:$C$2005,MATCH(O17,Appointments!$M$6:$M$2005,0)))</f>
        <v/>
      </c>
      <c r="D17" s="17">
        <f>IF(O17="","",INDEX(Appointments!$D$6:$D$2005,MATCH(O17,Appointments!$M$6:$M$2005,0)))</f>
        <v/>
      </c>
      <c r="E17" s="18">
        <f>IF(O17="","",INDEX(Appointments!$E$6:$E$2005,MATCH(O17,Appointments!$M$6:$M$2005,0)))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>
        <f>IFERROR(SMALL(Appointments!$M$6:$M$2005,COUNTIF(Appointments!$M$6:$M$2005,"&lt;"&amp;NOW())+8),"")</f>
        <v/>
      </c>
    </row>
    <row r="18">
      <c r="A18" s="1" t="n"/>
      <c r="B18" s="15">
        <f>IF(O18="","",INT(O18))</f>
        <v/>
      </c>
      <c r="C18" s="16">
        <f>IF(O18="","",INDEX(Appointments!$C$6:$C$2005,MATCH(O18,Appointments!$M$6:$M$2005,0)))</f>
        <v/>
      </c>
      <c r="D18" s="17">
        <f>IF(O18="","",INDEX(Appointments!$D$6:$D$2005,MATCH(O18,Appointments!$M$6:$M$2005,0)))</f>
        <v/>
      </c>
      <c r="E18" s="18">
        <f>IF(O18="","",INDEX(Appointments!$E$6:$E$2005,MATCH(O18,Appointments!$M$6:$M$2005,0)))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>
        <f>IFERROR(SMALL(Appointments!$M$6:$M$2005,COUNTIF(Appointments!$M$6:$M$2005,"&lt;"&amp;NOW())+9),"")</f>
        <v/>
      </c>
    </row>
    <row r="19">
      <c r="A19" s="1" t="n"/>
      <c r="B19" s="15">
        <f>IF(O19="","",INT(O19))</f>
        <v/>
      </c>
      <c r="C19" s="16">
        <f>IF(O19="","",INDEX(Appointments!$C$6:$C$2005,MATCH(O19,Appointments!$M$6:$M$2005,0)))</f>
        <v/>
      </c>
      <c r="D19" s="17">
        <f>IF(O19="","",INDEX(Appointments!$D$6:$D$2005,MATCH(O19,Appointments!$M$6:$M$2005,0)))</f>
        <v/>
      </c>
      <c r="E19" s="18">
        <f>IF(O19="","",INDEX(Appointments!$E$6:$E$2005,MATCH(O19,Appointments!$M$6:$M$2005,0)))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>
        <f>IFERROR(SMALL(Appointments!$M$6:$M$2005,COUNTIF(Appointments!$M$6:$M$2005,"&lt;"&amp;NOW())+10),"")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23" t="inlineStr">
        <is>
          <t>Year</t>
        </is>
      </c>
      <c r="C22" s="24" t="n">
        <v>2026</v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30" customHeight="1">
      <c r="A24" s="1" t="n"/>
      <c r="B24" s="12" t="inlineStr">
        <is>
          <t>Month</t>
        </is>
      </c>
      <c r="C24" s="12" t="inlineStr">
        <is>
          <t>Done</t>
        </is>
      </c>
      <c r="D24" s="12" t="inlineStr">
        <is>
          <t>No-shows</t>
        </is>
      </c>
      <c r="E24" s="12" t="inlineStr">
        <is>
          <t>Appointments paid</t>
        </is>
      </c>
      <c r="F24" s="12" t="inlineStr">
        <is>
          <t>Packages sold</t>
        </is>
      </c>
      <c r="G24" s="12" t="inlineStr">
        <is>
          <t>Total</t>
        </is>
      </c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25" t="inlineStr">
        <is>
          <t>Jan</t>
        </is>
      </c>
      <c r="C25" s="26">
        <f>COUNTIFS(Appointments!$F$6:$F$2005,"Done",Appointments!$B$6:$B$2005,"&gt;="&amp;DATE($C$22,1,1),Appointments!$B$6:$B$2005,"&lt;="&amp;EOMONTH(DATE($C$22,1,1),0))</f>
        <v/>
      </c>
      <c r="D25" s="26">
        <f>COUNTIFS(Appointments!$F$6:$F$2005,"No-show",Appointments!$B$6:$B$2005,"&gt;="&amp;DATE($C$22,1,1),Appointments!$B$6:$B$2005,"&lt;="&amp;EOMONTH(DATE($C$22,1,1),0))</f>
        <v/>
      </c>
      <c r="E25" s="27">
        <f>SUMIFS(Appointments!$I$6:$I$2005,Appointments!$B$6:$B$2005,"&gt;="&amp;DATE($C$22,1,1),Appointments!$B$6:$B$2005,"&lt;="&amp;EOMONTH(DATE($C$22,1,1),0))</f>
        <v/>
      </c>
      <c r="F25" s="27">
        <f>SUMIFS(Packages!$F$6:$F$305,Packages!$B$6:$B$305,"&gt;="&amp;DATE($C$22,1,1),Packages!$B$6:$B$305,"&lt;="&amp;EOMONTH(DATE($C$22,1,1),0))</f>
        <v/>
      </c>
      <c r="G25" s="28">
        <f>E25+F25</f>
        <v/>
      </c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25" t="inlineStr">
        <is>
          <t>Feb</t>
        </is>
      </c>
      <c r="C26" s="26">
        <f>COUNTIFS(Appointments!$F$6:$F$2005,"Done",Appointments!$B$6:$B$2005,"&gt;="&amp;DATE($C$22,2,1),Appointments!$B$6:$B$2005,"&lt;="&amp;EOMONTH(DATE($C$22,2,1),0))</f>
        <v/>
      </c>
      <c r="D26" s="26">
        <f>COUNTIFS(Appointments!$F$6:$F$2005,"No-show",Appointments!$B$6:$B$2005,"&gt;="&amp;DATE($C$22,2,1),Appointments!$B$6:$B$2005,"&lt;="&amp;EOMONTH(DATE($C$22,2,1),0))</f>
        <v/>
      </c>
      <c r="E26" s="27">
        <f>SUMIFS(Appointments!$I$6:$I$2005,Appointments!$B$6:$B$2005,"&gt;="&amp;DATE($C$22,2,1),Appointments!$B$6:$B$2005,"&lt;="&amp;EOMONTH(DATE($C$22,2,1),0))</f>
        <v/>
      </c>
      <c r="F26" s="27">
        <f>SUMIFS(Packages!$F$6:$F$305,Packages!$B$6:$B$305,"&gt;="&amp;DATE($C$22,2,1),Packages!$B$6:$B$305,"&lt;="&amp;EOMONTH(DATE($C$22,2,1),0))</f>
        <v/>
      </c>
      <c r="G26" s="28">
        <f>E26+F26</f>
        <v/>
      </c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25" t="inlineStr">
        <is>
          <t>Mar</t>
        </is>
      </c>
      <c r="C27" s="26">
        <f>COUNTIFS(Appointments!$F$6:$F$2005,"Done",Appointments!$B$6:$B$2005,"&gt;="&amp;DATE($C$22,3,1),Appointments!$B$6:$B$2005,"&lt;="&amp;EOMONTH(DATE($C$22,3,1),0))</f>
        <v/>
      </c>
      <c r="D27" s="26">
        <f>COUNTIFS(Appointments!$F$6:$F$2005,"No-show",Appointments!$B$6:$B$2005,"&gt;="&amp;DATE($C$22,3,1),Appointments!$B$6:$B$2005,"&lt;="&amp;EOMONTH(DATE($C$22,3,1),0))</f>
        <v/>
      </c>
      <c r="E27" s="27">
        <f>SUMIFS(Appointments!$I$6:$I$2005,Appointments!$B$6:$B$2005,"&gt;="&amp;DATE($C$22,3,1),Appointments!$B$6:$B$2005,"&lt;="&amp;EOMONTH(DATE($C$22,3,1),0))</f>
        <v/>
      </c>
      <c r="F27" s="27">
        <f>SUMIFS(Packages!$F$6:$F$305,Packages!$B$6:$B$305,"&gt;="&amp;DATE($C$22,3,1),Packages!$B$6:$B$305,"&lt;="&amp;EOMONTH(DATE($C$22,3,1),0))</f>
        <v/>
      </c>
      <c r="G27" s="28">
        <f>E27+F27</f>
        <v/>
      </c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25" t="inlineStr">
        <is>
          <t>Apr</t>
        </is>
      </c>
      <c r="C28" s="26">
        <f>COUNTIFS(Appointments!$F$6:$F$2005,"Done",Appointments!$B$6:$B$2005,"&gt;="&amp;DATE($C$22,4,1),Appointments!$B$6:$B$2005,"&lt;="&amp;EOMONTH(DATE($C$22,4,1),0))</f>
        <v/>
      </c>
      <c r="D28" s="26">
        <f>COUNTIFS(Appointments!$F$6:$F$2005,"No-show",Appointments!$B$6:$B$2005,"&gt;="&amp;DATE($C$22,4,1),Appointments!$B$6:$B$2005,"&lt;="&amp;EOMONTH(DATE($C$22,4,1),0))</f>
        <v/>
      </c>
      <c r="E28" s="27">
        <f>SUMIFS(Appointments!$I$6:$I$2005,Appointments!$B$6:$B$2005,"&gt;="&amp;DATE($C$22,4,1),Appointments!$B$6:$B$2005,"&lt;="&amp;EOMONTH(DATE($C$22,4,1),0))</f>
        <v/>
      </c>
      <c r="F28" s="27">
        <f>SUMIFS(Packages!$F$6:$F$305,Packages!$B$6:$B$305,"&gt;="&amp;DATE($C$22,4,1),Packages!$B$6:$B$305,"&lt;="&amp;EOMONTH(DATE($C$22,4,1),0))</f>
        <v/>
      </c>
      <c r="G28" s="28">
        <f>E28+F28</f>
        <v/>
      </c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25" t="inlineStr">
        <is>
          <t>May</t>
        </is>
      </c>
      <c r="C29" s="26">
        <f>COUNTIFS(Appointments!$F$6:$F$2005,"Done",Appointments!$B$6:$B$2005,"&gt;="&amp;DATE($C$22,5,1),Appointments!$B$6:$B$2005,"&lt;="&amp;EOMONTH(DATE($C$22,5,1),0))</f>
        <v/>
      </c>
      <c r="D29" s="26">
        <f>COUNTIFS(Appointments!$F$6:$F$2005,"No-show",Appointments!$B$6:$B$2005,"&gt;="&amp;DATE($C$22,5,1),Appointments!$B$6:$B$2005,"&lt;="&amp;EOMONTH(DATE($C$22,5,1),0))</f>
        <v/>
      </c>
      <c r="E29" s="27">
        <f>SUMIFS(Appointments!$I$6:$I$2005,Appointments!$B$6:$B$2005,"&gt;="&amp;DATE($C$22,5,1),Appointments!$B$6:$B$2005,"&lt;="&amp;EOMONTH(DATE($C$22,5,1),0))</f>
        <v/>
      </c>
      <c r="F29" s="27">
        <f>SUMIFS(Packages!$F$6:$F$305,Packages!$B$6:$B$305,"&gt;="&amp;DATE($C$22,5,1),Packages!$B$6:$B$305,"&lt;="&amp;EOMONTH(DATE($C$22,5,1),0))</f>
        <v/>
      </c>
      <c r="G29" s="28">
        <f>E29+F29</f>
        <v/>
      </c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25" t="inlineStr">
        <is>
          <t>Jun</t>
        </is>
      </c>
      <c r="C30" s="26">
        <f>COUNTIFS(Appointments!$F$6:$F$2005,"Done",Appointments!$B$6:$B$2005,"&gt;="&amp;DATE($C$22,6,1),Appointments!$B$6:$B$2005,"&lt;="&amp;EOMONTH(DATE($C$22,6,1),0))</f>
        <v/>
      </c>
      <c r="D30" s="26">
        <f>COUNTIFS(Appointments!$F$6:$F$2005,"No-show",Appointments!$B$6:$B$2005,"&gt;="&amp;DATE($C$22,6,1),Appointments!$B$6:$B$2005,"&lt;="&amp;EOMONTH(DATE($C$22,6,1),0))</f>
        <v/>
      </c>
      <c r="E30" s="27">
        <f>SUMIFS(Appointments!$I$6:$I$2005,Appointments!$B$6:$B$2005,"&gt;="&amp;DATE($C$22,6,1),Appointments!$B$6:$B$2005,"&lt;="&amp;EOMONTH(DATE($C$22,6,1),0))</f>
        <v/>
      </c>
      <c r="F30" s="27">
        <f>SUMIFS(Packages!$F$6:$F$305,Packages!$B$6:$B$305,"&gt;="&amp;DATE($C$22,6,1),Packages!$B$6:$B$305,"&lt;="&amp;EOMONTH(DATE($C$22,6,1),0))</f>
        <v/>
      </c>
      <c r="G30" s="28">
        <f>E30+F30</f>
        <v/>
      </c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25" t="inlineStr">
        <is>
          <t>Jul</t>
        </is>
      </c>
      <c r="C31" s="26">
        <f>COUNTIFS(Appointments!$F$6:$F$2005,"Done",Appointments!$B$6:$B$2005,"&gt;="&amp;DATE($C$22,7,1),Appointments!$B$6:$B$2005,"&lt;="&amp;EOMONTH(DATE($C$22,7,1),0))</f>
        <v/>
      </c>
      <c r="D31" s="26">
        <f>COUNTIFS(Appointments!$F$6:$F$2005,"No-show",Appointments!$B$6:$B$2005,"&gt;="&amp;DATE($C$22,7,1),Appointments!$B$6:$B$2005,"&lt;="&amp;EOMONTH(DATE($C$22,7,1),0))</f>
        <v/>
      </c>
      <c r="E31" s="27">
        <f>SUMIFS(Appointments!$I$6:$I$2005,Appointments!$B$6:$B$2005,"&gt;="&amp;DATE($C$22,7,1),Appointments!$B$6:$B$2005,"&lt;="&amp;EOMONTH(DATE($C$22,7,1),0))</f>
        <v/>
      </c>
      <c r="F31" s="27">
        <f>SUMIFS(Packages!$F$6:$F$305,Packages!$B$6:$B$305,"&gt;="&amp;DATE($C$22,7,1),Packages!$B$6:$B$305,"&lt;="&amp;EOMONTH(DATE($C$22,7,1),0))</f>
        <v/>
      </c>
      <c r="G31" s="28">
        <f>E31+F31</f>
        <v/>
      </c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25" t="inlineStr">
        <is>
          <t>Aug</t>
        </is>
      </c>
      <c r="C32" s="26">
        <f>COUNTIFS(Appointments!$F$6:$F$2005,"Done",Appointments!$B$6:$B$2005,"&gt;="&amp;DATE($C$22,8,1),Appointments!$B$6:$B$2005,"&lt;="&amp;EOMONTH(DATE($C$22,8,1),0))</f>
        <v/>
      </c>
      <c r="D32" s="26">
        <f>COUNTIFS(Appointments!$F$6:$F$2005,"No-show",Appointments!$B$6:$B$2005,"&gt;="&amp;DATE($C$22,8,1),Appointments!$B$6:$B$2005,"&lt;="&amp;EOMONTH(DATE($C$22,8,1),0))</f>
        <v/>
      </c>
      <c r="E32" s="27">
        <f>SUMIFS(Appointments!$I$6:$I$2005,Appointments!$B$6:$B$2005,"&gt;="&amp;DATE($C$22,8,1),Appointments!$B$6:$B$2005,"&lt;="&amp;EOMONTH(DATE($C$22,8,1),0))</f>
        <v/>
      </c>
      <c r="F32" s="27">
        <f>SUMIFS(Packages!$F$6:$F$305,Packages!$B$6:$B$305,"&gt;="&amp;DATE($C$22,8,1),Packages!$B$6:$B$305,"&lt;="&amp;EOMONTH(DATE($C$22,8,1),0))</f>
        <v/>
      </c>
      <c r="G32" s="28">
        <f>E32+F32</f>
        <v/>
      </c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25" t="inlineStr">
        <is>
          <t>Sep</t>
        </is>
      </c>
      <c r="C33" s="26">
        <f>COUNTIFS(Appointments!$F$6:$F$2005,"Done",Appointments!$B$6:$B$2005,"&gt;="&amp;DATE($C$22,9,1),Appointments!$B$6:$B$2005,"&lt;="&amp;EOMONTH(DATE($C$22,9,1),0))</f>
        <v/>
      </c>
      <c r="D33" s="26">
        <f>COUNTIFS(Appointments!$F$6:$F$2005,"No-show",Appointments!$B$6:$B$2005,"&gt;="&amp;DATE($C$22,9,1),Appointments!$B$6:$B$2005,"&lt;="&amp;EOMONTH(DATE($C$22,9,1),0))</f>
        <v/>
      </c>
      <c r="E33" s="27">
        <f>SUMIFS(Appointments!$I$6:$I$2005,Appointments!$B$6:$B$2005,"&gt;="&amp;DATE($C$22,9,1),Appointments!$B$6:$B$2005,"&lt;="&amp;EOMONTH(DATE($C$22,9,1),0))</f>
        <v/>
      </c>
      <c r="F33" s="27">
        <f>SUMIFS(Packages!$F$6:$F$305,Packages!$B$6:$B$305,"&gt;="&amp;DATE($C$22,9,1),Packages!$B$6:$B$305,"&lt;="&amp;EOMONTH(DATE($C$22,9,1),0))</f>
        <v/>
      </c>
      <c r="G33" s="28">
        <f>E33+F33</f>
        <v/>
      </c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25" t="inlineStr">
        <is>
          <t>Oct</t>
        </is>
      </c>
      <c r="C34" s="26">
        <f>COUNTIFS(Appointments!$F$6:$F$2005,"Done",Appointments!$B$6:$B$2005,"&gt;="&amp;DATE($C$22,10,1),Appointments!$B$6:$B$2005,"&lt;="&amp;EOMONTH(DATE($C$22,10,1),0))</f>
        <v/>
      </c>
      <c r="D34" s="26">
        <f>COUNTIFS(Appointments!$F$6:$F$2005,"No-show",Appointments!$B$6:$B$2005,"&gt;="&amp;DATE($C$22,10,1),Appointments!$B$6:$B$2005,"&lt;="&amp;EOMONTH(DATE($C$22,10,1),0))</f>
        <v/>
      </c>
      <c r="E34" s="27">
        <f>SUMIFS(Appointments!$I$6:$I$2005,Appointments!$B$6:$B$2005,"&gt;="&amp;DATE($C$22,10,1),Appointments!$B$6:$B$2005,"&lt;="&amp;EOMONTH(DATE($C$22,10,1),0))</f>
        <v/>
      </c>
      <c r="F34" s="27">
        <f>SUMIFS(Packages!$F$6:$F$305,Packages!$B$6:$B$305,"&gt;="&amp;DATE($C$22,10,1),Packages!$B$6:$B$305,"&lt;="&amp;EOMONTH(DATE($C$22,10,1),0))</f>
        <v/>
      </c>
      <c r="G34" s="28">
        <f>E34+F34</f>
        <v/>
      </c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25" t="inlineStr">
        <is>
          <t>Nov</t>
        </is>
      </c>
      <c r="C35" s="26">
        <f>COUNTIFS(Appointments!$F$6:$F$2005,"Done",Appointments!$B$6:$B$2005,"&gt;="&amp;DATE($C$22,11,1),Appointments!$B$6:$B$2005,"&lt;="&amp;EOMONTH(DATE($C$22,11,1),0))</f>
        <v/>
      </c>
      <c r="D35" s="26">
        <f>COUNTIFS(Appointments!$F$6:$F$2005,"No-show",Appointments!$B$6:$B$2005,"&gt;="&amp;DATE($C$22,11,1),Appointments!$B$6:$B$2005,"&lt;="&amp;EOMONTH(DATE($C$22,11,1),0))</f>
        <v/>
      </c>
      <c r="E35" s="27">
        <f>SUMIFS(Appointments!$I$6:$I$2005,Appointments!$B$6:$B$2005,"&gt;="&amp;DATE($C$22,11,1),Appointments!$B$6:$B$2005,"&lt;="&amp;EOMONTH(DATE($C$22,11,1),0))</f>
        <v/>
      </c>
      <c r="F35" s="27">
        <f>SUMIFS(Packages!$F$6:$F$305,Packages!$B$6:$B$305,"&gt;="&amp;DATE($C$22,11,1),Packages!$B$6:$B$305,"&lt;="&amp;EOMONTH(DATE($C$22,11,1),0))</f>
        <v/>
      </c>
      <c r="G35" s="28">
        <f>E35+F35</f>
        <v/>
      </c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25" t="inlineStr">
        <is>
          <t>Dec</t>
        </is>
      </c>
      <c r="C36" s="26">
        <f>COUNTIFS(Appointments!$F$6:$F$2005,"Done",Appointments!$B$6:$B$2005,"&gt;="&amp;DATE($C$22,12,1),Appointments!$B$6:$B$2005,"&lt;="&amp;EOMONTH(DATE($C$22,12,1),0))</f>
        <v/>
      </c>
      <c r="D36" s="26">
        <f>COUNTIFS(Appointments!$F$6:$F$2005,"No-show",Appointments!$B$6:$B$2005,"&gt;="&amp;DATE($C$22,12,1),Appointments!$B$6:$B$2005,"&lt;="&amp;EOMONTH(DATE($C$22,12,1),0))</f>
        <v/>
      </c>
      <c r="E36" s="27">
        <f>SUMIFS(Appointments!$I$6:$I$2005,Appointments!$B$6:$B$2005,"&gt;="&amp;DATE($C$22,12,1),Appointments!$B$6:$B$2005,"&lt;="&amp;EOMONTH(DATE($C$22,12,1),0))</f>
        <v/>
      </c>
      <c r="F36" s="27">
        <f>SUMIFS(Packages!$F$6:$F$305,Packages!$B$6:$B$305,"&gt;="&amp;DATE($C$22,12,1),Packages!$B$6:$B$305,"&lt;="&amp;EOMONTH(DATE($C$22,12,1),0))</f>
        <v/>
      </c>
      <c r="G36" s="28">
        <f>E36+F36</f>
        <v/>
      </c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25" t="inlineStr">
        <is>
          <t>Year</t>
        </is>
      </c>
      <c r="C37" s="29">
        <f>SUM(C25:C36)</f>
        <v/>
      </c>
      <c r="D37" s="29">
        <f>SUM(D25:D36)</f>
        <v/>
      </c>
      <c r="E37" s="28">
        <f>SUM(E25:E36)</f>
        <v/>
      </c>
      <c r="F37" s="28">
        <f>SUM(F25:F36)</f>
        <v/>
      </c>
      <c r="G37" s="28">
        <f>SUM(G25:G36)</f>
        <v/>
      </c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10">
    <mergeCell ref="I13:L13"/>
    <mergeCell ref="B6:C6"/>
    <mergeCell ref="I14:L14"/>
    <mergeCell ref="I9:L9"/>
    <mergeCell ref="B5:C5"/>
    <mergeCell ref="I12:L12"/>
    <mergeCell ref="K5:L5"/>
    <mergeCell ref="I10:L10"/>
    <mergeCell ref="K6:L6"/>
    <mergeCell ref="I11:L11"/>
  </mergeCells>
  <conditionalFormatting sqref="I10">
    <cfRule type="expression" priority="1" dxfId="0">
      <formula>LEFT(I10,5)="Every"</formula>
    </cfRule>
  </conditionalFormatting>
  <conditionalFormatting sqref="I11">
    <cfRule type="expression" priority="2" dxfId="0">
      <formula>LEFT(I11,6)="Nobody"</formula>
    </cfRule>
  </conditionalFormatting>
  <conditionalFormatting sqref="I12">
    <cfRule type="expression" priority="3" dxfId="0">
      <formula>LEFT(I12,10)="No package"</formula>
    </cfRule>
  </conditionalFormatting>
  <conditionalFormatting sqref="I13">
    <cfRule type="expression" priority="4" dxfId="0">
      <formula>LEFT(I13,5)="Every"</formula>
    </cfRule>
  </conditionalFormatting>
  <conditionalFormatting sqref="I14">
    <cfRule type="expression" priority="5" dxfId="0">
      <formula>LEFT(I14,8)="No birth"</formula>
    </cfRule>
  </conditionalFormatting>
  <conditionalFormatting sqref="B25:G36">
    <cfRule type="expression" priority="6" dxfId="1">
      <formula>AND($C$22=YEAR(TODAY()),ROW()-24=MONTH(TODAY()))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8" customWidth="1" min="3" max="3"/>
    <col width="20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26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Appointments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One line per appointment. Change the status to Done after the visit and type what was paid.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2" t="inlineStr">
        <is>
          <t>Date</t>
        </is>
      </c>
      <c r="C5" s="12" t="inlineStr">
        <is>
          <t>Time</t>
        </is>
      </c>
      <c r="D5" s="12" t="inlineStr">
        <is>
          <t>Client</t>
        </is>
      </c>
      <c r="E5" s="12" t="inlineStr">
        <is>
          <t>Service</t>
        </is>
      </c>
      <c r="F5" s="12" t="inlineStr">
        <is>
          <t>Status</t>
        </is>
      </c>
      <c r="G5" s="12" t="inlineStr">
        <is>
          <t>Price</t>
        </is>
      </c>
      <c r="H5" s="12" t="inlineStr">
        <is>
          <t>Discount</t>
        </is>
      </c>
      <c r="I5" s="12" t="inlineStr">
        <is>
          <t>Paid</t>
        </is>
      </c>
      <c r="J5" s="12" t="inlineStr">
        <is>
          <t>Paid with</t>
        </is>
      </c>
      <c r="K5" s="12" t="inlineStr">
        <is>
          <t>Still to pay</t>
        </is>
      </c>
      <c r="L5" s="12" t="inlineStr">
        <is>
          <t>Note</t>
        </is>
      </c>
      <c r="M5" s="1" t="n"/>
    </row>
    <row r="6">
      <c r="A6" s="1" t="n"/>
      <c r="B6" s="30" t="n">
        <v>46028</v>
      </c>
      <c r="C6" s="31" t="n">
        <v>0.375</v>
      </c>
      <c r="D6" s="32" t="inlineStr">
        <is>
          <t>Anna Rossi</t>
        </is>
      </c>
      <c r="E6" s="32" t="inlineStr">
        <is>
          <t>Colour</t>
        </is>
      </c>
      <c r="F6" s="33" t="inlineStr">
        <is>
          <t>Done</t>
        </is>
      </c>
      <c r="G6" s="27">
        <f>IF(E6="","",MAX(0,IFERROR(INDEX(Services!$C$6:$C$35,MATCH(E6,Services!$B$6:$B$35,0)),0)-N(H6)))</f>
        <v/>
      </c>
      <c r="H6" s="34" t="n"/>
      <c r="I6" s="34" t="n">
        <v>95</v>
      </c>
      <c r="J6" s="33" t="inlineStr">
        <is>
          <t>App</t>
        </is>
      </c>
      <c r="K6" s="28">
        <f>IF(OR(B6="",F6&lt;&gt;"Done",J6="Package"),"",IF(N(G6)-N(I6)&gt;0,N(G6)-N(I6),""))</f>
        <v/>
      </c>
      <c r="L6" s="32" t="n"/>
      <c r="M6" s="1">
        <f>IF(OR(B6="",D6="",F6="Cancelled"),"",B6+N(C6)+ROW()/10000000)</f>
        <v/>
      </c>
      <c r="N6">
        <f>IF(AND(F6="Done",M6&lt;&gt;""),IF(COUNTIFS(Appointments!$D$6:$D$2005,D6,Appointments!$F$6:$F$2005,"Done",Appointments!$M$6:$M$2005,"&gt;"&amp;M6)=0,1,0),0)</f>
        <v/>
      </c>
      <c r="O6">
        <f>IF(AND(F6="Booked",M6&lt;&gt;"",N(B6)&gt;=TODAY()),IF(COUNTIFS(Appointments!$D$6:$D$2005,D6,Appointments!$F$6:$F$2005,"Booked",Appointments!$B$6:$B$2005,"&gt;="&amp;TODAY(),Appointments!$M$6:$M$2005,"&lt;"&amp;M6)=0,1,0),0)</f>
        <v/>
      </c>
    </row>
    <row r="7">
      <c r="A7" s="1" t="n"/>
      <c r="B7" s="30" t="n">
        <v>46028</v>
      </c>
      <c r="C7" s="31" t="n">
        <v>0.4652777777777778</v>
      </c>
      <c r="D7" s="32" t="inlineStr">
        <is>
          <t>Finn Cook</t>
        </is>
      </c>
      <c r="E7" s="32" t="inlineStr">
        <is>
          <t>Men's haircut</t>
        </is>
      </c>
      <c r="F7" s="33" t="inlineStr">
        <is>
          <t>Done</t>
        </is>
      </c>
      <c r="G7" s="27">
        <f>IF(E7="","",MAX(0,IFERROR(INDEX(Services!$C$6:$C$35,MATCH(E7,Services!$B$6:$B$35,0)),0)-N(H7)))</f>
        <v/>
      </c>
      <c r="H7" s="34" t="n"/>
      <c r="I7" s="34" t="n">
        <v>30</v>
      </c>
      <c r="J7" s="33" t="inlineStr">
        <is>
          <t>Card</t>
        </is>
      </c>
      <c r="K7" s="28">
        <f>IF(OR(B7="",F7&lt;&gt;"Done",J7="Package"),"",IF(N(G7)-N(I7)&gt;0,N(G7)-N(I7),""))</f>
        <v/>
      </c>
      <c r="L7" s="32" t="n"/>
      <c r="M7" s="1">
        <f>IF(OR(B7="",D7="",F7="Cancelled"),"",B7+N(C7)+ROW()/10000000)</f>
        <v/>
      </c>
      <c r="N7">
        <f>IF(AND(F7="Done",M7&lt;&gt;""),IF(COUNTIFS(Appointments!$D$6:$D$2005,D7,Appointments!$F$6:$F$2005,"Done",Appointments!$M$6:$M$2005,"&gt;"&amp;M7)=0,1,0),0)</f>
        <v/>
      </c>
      <c r="O7">
        <f>IF(AND(F7="Booked",M7&lt;&gt;"",N(B7)&gt;=TODAY()),IF(COUNTIFS(Appointments!$D$6:$D$2005,D7,Appointments!$F$6:$F$2005,"Booked",Appointments!$B$6:$B$2005,"&gt;="&amp;TODAY(),Appointments!$M$6:$M$2005,"&lt;"&amp;M7)=0,1,0),0)</f>
        <v/>
      </c>
    </row>
    <row r="8">
      <c r="A8" s="1" t="n"/>
      <c r="B8" s="30" t="n">
        <v>46029</v>
      </c>
      <c r="C8" s="31" t="n">
        <v>0.375</v>
      </c>
      <c r="D8" s="32" t="inlineStr">
        <is>
          <t>Ava Reed</t>
        </is>
      </c>
      <c r="E8" s="32" t="inlineStr">
        <is>
          <t>Highlights</t>
        </is>
      </c>
      <c r="F8" s="33" t="inlineStr">
        <is>
          <t>Done</t>
        </is>
      </c>
      <c r="G8" s="27">
        <f>IF(E8="","",MAX(0,IFERROR(INDEX(Services!$C$6:$C$35,MATCH(E8,Services!$B$6:$B$35,0)),0)-N(H8)))</f>
        <v/>
      </c>
      <c r="H8" s="34" t="n"/>
      <c r="I8" s="34" t="n">
        <v>140</v>
      </c>
      <c r="J8" s="33" t="inlineStr">
        <is>
          <t>Cash</t>
        </is>
      </c>
      <c r="K8" s="28">
        <f>IF(OR(B8="",F8&lt;&gt;"Done",J8="Package"),"",IF(N(G8)-N(I8)&gt;0,N(G8)-N(I8),""))</f>
        <v/>
      </c>
      <c r="L8" s="32" t="n"/>
      <c r="M8" s="1">
        <f>IF(OR(B8="",D8="",F8="Cancelled"),"",B8+N(C8)+ROW()/10000000)</f>
        <v/>
      </c>
      <c r="N8">
        <f>IF(AND(F8="Done",M8&lt;&gt;""),IF(COUNTIFS(Appointments!$D$6:$D$2005,D8,Appointments!$F$6:$F$2005,"Done",Appointments!$M$6:$M$2005,"&gt;"&amp;M8)=0,1,0),0)</f>
        <v/>
      </c>
      <c r="O8">
        <f>IF(AND(F8="Booked",M8&lt;&gt;"",N(B8)&gt;=TODAY()),IF(COUNTIFS(Appointments!$D$6:$D$2005,D8,Appointments!$F$6:$F$2005,"Booked",Appointments!$B$6:$B$2005,"&gt;="&amp;TODAY(),Appointments!$M$6:$M$2005,"&lt;"&amp;M8)=0,1,0),0)</f>
        <v/>
      </c>
    </row>
    <row r="9">
      <c r="A9" s="1" t="n"/>
      <c r="B9" s="30" t="n">
        <v>46029</v>
      </c>
      <c r="C9" s="31" t="n">
        <v>0.4861111111111111</v>
      </c>
      <c r="D9" s="32" t="inlineStr">
        <is>
          <t>Eli James</t>
        </is>
      </c>
      <c r="E9" s="32" t="inlineStr">
        <is>
          <t>Men's haircut</t>
        </is>
      </c>
      <c r="F9" s="33" t="inlineStr">
        <is>
          <t>Done</t>
        </is>
      </c>
      <c r="G9" s="27">
        <f>IF(E9="","",MAX(0,IFERROR(INDEX(Services!$C$6:$C$35,MATCH(E9,Services!$B$6:$B$35,0)),0)-N(H9)))</f>
        <v/>
      </c>
      <c r="H9" s="34" t="n"/>
      <c r="I9" s="34" t="n">
        <v>30</v>
      </c>
      <c r="J9" s="33" t="inlineStr">
        <is>
          <t>Card</t>
        </is>
      </c>
      <c r="K9" s="28">
        <f>IF(OR(B9="",F9&lt;&gt;"Done",J9="Package"),"",IF(N(G9)-N(I9)&gt;0,N(G9)-N(I9),""))</f>
        <v/>
      </c>
      <c r="L9" s="32" t="n"/>
      <c r="M9" s="1">
        <f>IF(OR(B9="",D9="",F9="Cancelled"),"",B9+N(C9)+ROW()/10000000)</f>
        <v/>
      </c>
      <c r="N9">
        <f>IF(AND(F9="Done",M9&lt;&gt;""),IF(COUNTIFS(Appointments!$D$6:$D$2005,D9,Appointments!$F$6:$F$2005,"Done",Appointments!$M$6:$M$2005,"&gt;"&amp;M9)=0,1,0),0)</f>
        <v/>
      </c>
      <c r="O9">
        <f>IF(AND(F9="Booked",M9&lt;&gt;"",N(B9)&gt;=TODAY()),IF(COUNTIFS(Appointments!$D$6:$D$2005,D9,Appointments!$F$6:$F$2005,"Booked",Appointments!$B$6:$B$2005,"&gt;="&amp;TODAY(),Appointments!$M$6:$M$2005,"&lt;"&amp;M9)=0,1,0),0)</f>
        <v/>
      </c>
    </row>
    <row r="10">
      <c r="A10" s="1" t="n"/>
      <c r="B10" s="30" t="n">
        <v>46029</v>
      </c>
      <c r="C10" s="31" t="n">
        <v>0.5138888888888888</v>
      </c>
      <c r="D10" s="32" t="inlineStr">
        <is>
          <t>Kara Adams</t>
        </is>
      </c>
      <c r="E10" s="32" t="inlineStr">
        <is>
          <t>Women's haircut</t>
        </is>
      </c>
      <c r="F10" s="33" t="inlineStr">
        <is>
          <t>No-show</t>
        </is>
      </c>
      <c r="G10" s="27">
        <f>IF(E10="","",MAX(0,IFERROR(INDEX(Services!$C$6:$C$35,MATCH(E10,Services!$B$6:$B$35,0)),0)-N(H10)))</f>
        <v/>
      </c>
      <c r="H10" s="34" t="n"/>
      <c r="I10" s="34" t="n"/>
      <c r="J10" s="33" t="n"/>
      <c r="K10" s="28">
        <f>IF(OR(B10="",F10&lt;&gt;"Done",J10="Package"),"",IF(N(G10)-N(I10)&gt;0,N(G10)-N(I10),""))</f>
        <v/>
      </c>
      <c r="L10" s="32" t="n"/>
      <c r="M10" s="1">
        <f>IF(OR(B10="",D10="",F10="Cancelled"),"",B10+N(C10)+ROW()/10000000)</f>
        <v/>
      </c>
      <c r="N10">
        <f>IF(AND(F10="Done",M10&lt;&gt;""),IF(COUNTIFS(Appointments!$D$6:$D$2005,D10,Appointments!$F$6:$F$2005,"Done",Appointments!$M$6:$M$2005,"&gt;"&amp;M10)=0,1,0),0)</f>
        <v/>
      </c>
      <c r="O10">
        <f>IF(AND(F10="Booked",M10&lt;&gt;"",N(B10)&gt;=TODAY()),IF(COUNTIFS(Appointments!$D$6:$D$2005,D10,Appointments!$F$6:$F$2005,"Booked",Appointments!$B$6:$B$2005,"&gt;="&amp;TODAY(),Appointments!$M$6:$M$2005,"&lt;"&amp;M10)=0,1,0),0)</f>
        <v/>
      </c>
    </row>
    <row r="11">
      <c r="A11" s="1" t="n"/>
      <c r="B11" s="30" t="n">
        <v>46030</v>
      </c>
      <c r="C11" s="31" t="n">
        <v>0.375</v>
      </c>
      <c r="D11" s="32" t="inlineStr">
        <is>
          <t>Julia Hughes</t>
        </is>
      </c>
      <c r="E11" s="32" t="inlineStr">
        <is>
          <t>Women's haircut</t>
        </is>
      </c>
      <c r="F11" s="33" t="inlineStr">
        <is>
          <t>Done</t>
        </is>
      </c>
      <c r="G11" s="27">
        <f>IF(E11="","",MAX(0,IFERROR(INDEX(Services!$C$6:$C$35,MATCH(E11,Services!$B$6:$B$35,0)),0)-N(H11)))</f>
        <v/>
      </c>
      <c r="H11" s="34" t="n">
        <v>10</v>
      </c>
      <c r="I11" s="34" t="n">
        <v>45</v>
      </c>
      <c r="J11" s="33" t="inlineStr">
        <is>
          <t>Card</t>
        </is>
      </c>
      <c r="K11" s="28">
        <f>IF(OR(B11="",F11&lt;&gt;"Done",J11="Package"),"",IF(N(G11)-N(I11)&gt;0,N(G11)-N(I11),""))</f>
        <v/>
      </c>
      <c r="L11" s="32" t="inlineStr">
        <is>
          <t>Friends and family</t>
        </is>
      </c>
      <c r="M11" s="1">
        <f>IF(OR(B11="",D11="",F11="Cancelled"),"",B11+N(C11)+ROW()/10000000)</f>
        <v/>
      </c>
      <c r="N11">
        <f>IF(AND(F11="Done",M11&lt;&gt;""),IF(COUNTIFS(Appointments!$D$6:$D$2005,D11,Appointments!$F$6:$F$2005,"Done",Appointments!$M$6:$M$2005,"&gt;"&amp;M11)=0,1,0),0)</f>
        <v/>
      </c>
      <c r="O11">
        <f>IF(AND(F11="Booked",M11&lt;&gt;"",N(B11)&gt;=TODAY()),IF(COUNTIFS(Appointments!$D$6:$D$2005,D11,Appointments!$F$6:$F$2005,"Booked",Appointments!$B$6:$B$2005,"&gt;="&amp;TODAY(),Appointments!$M$6:$M$2005,"&lt;"&amp;M11)=0,1,0),0)</f>
        <v/>
      </c>
    </row>
    <row r="12">
      <c r="A12" s="1" t="n"/>
      <c r="B12" s="30" t="n">
        <v>46030</v>
      </c>
      <c r="C12" s="31" t="n">
        <v>0.4236111111111111</v>
      </c>
      <c r="D12" s="32" t="inlineStr">
        <is>
          <t>Owen Walsh</t>
        </is>
      </c>
      <c r="E12" s="32" t="inlineStr">
        <is>
          <t>Men's haircut</t>
        </is>
      </c>
      <c r="F12" s="33" t="inlineStr">
        <is>
          <t>Done</t>
        </is>
      </c>
      <c r="G12" s="27">
        <f>IF(E12="","",MAX(0,IFERROR(INDEX(Services!$C$6:$C$35,MATCH(E12,Services!$B$6:$B$35,0)),0)-N(H12)))</f>
        <v/>
      </c>
      <c r="H12" s="34" t="n"/>
      <c r="I12" s="34" t="n">
        <v>30</v>
      </c>
      <c r="J12" s="33" t="inlineStr">
        <is>
          <t>Card</t>
        </is>
      </c>
      <c r="K12" s="28">
        <f>IF(OR(B12="",F12&lt;&gt;"Done",J12="Package"),"",IF(N(G12)-N(I12)&gt;0,N(G12)-N(I12),""))</f>
        <v/>
      </c>
      <c r="L12" s="32" t="n"/>
      <c r="M12" s="1">
        <f>IF(OR(B12="",D12="",F12="Cancelled"),"",B12+N(C12)+ROW()/10000000)</f>
        <v/>
      </c>
      <c r="N12">
        <f>IF(AND(F12="Done",M12&lt;&gt;""),IF(COUNTIFS(Appointments!$D$6:$D$2005,D12,Appointments!$F$6:$F$2005,"Done",Appointments!$M$6:$M$2005,"&gt;"&amp;M12)=0,1,0),0)</f>
        <v/>
      </c>
      <c r="O12">
        <f>IF(AND(F12="Booked",M12&lt;&gt;"",N(B12)&gt;=TODAY()),IF(COUNTIFS(Appointments!$D$6:$D$2005,D12,Appointments!$F$6:$F$2005,"Booked",Appointments!$B$6:$B$2005,"&gt;="&amp;TODAY(),Appointments!$M$6:$M$2005,"&lt;"&amp;M12)=0,1,0),0)</f>
        <v/>
      </c>
    </row>
    <row r="13">
      <c r="A13" s="1" t="n"/>
      <c r="B13" s="30" t="n">
        <v>46030</v>
      </c>
      <c r="C13" s="31" t="n">
        <v>0.4513888888888889</v>
      </c>
      <c r="D13" s="32" t="inlineStr">
        <is>
          <t>Sara Stone</t>
        </is>
      </c>
      <c r="E13" s="32" t="inlineStr">
        <is>
          <t>Blow dry</t>
        </is>
      </c>
      <c r="F13" s="33" t="inlineStr">
        <is>
          <t>Done</t>
        </is>
      </c>
      <c r="G13" s="27">
        <f>IF(E13="","",MAX(0,IFERROR(INDEX(Services!$C$6:$C$35,MATCH(E13,Services!$B$6:$B$35,0)),0)-N(H13)))</f>
        <v/>
      </c>
      <c r="H13" s="34" t="n"/>
      <c r="I13" s="34" t="n">
        <v>35</v>
      </c>
      <c r="J13" s="33" t="inlineStr">
        <is>
          <t>Card</t>
        </is>
      </c>
      <c r="K13" s="28">
        <f>IF(OR(B13="",F13&lt;&gt;"Done",J13="Package"),"",IF(N(G13)-N(I13)&gt;0,N(G13)-N(I13),""))</f>
        <v/>
      </c>
      <c r="L13" s="32" t="n"/>
      <c r="M13" s="1">
        <f>IF(OR(B13="",D13="",F13="Cancelled"),"",B13+N(C13)+ROW()/10000000)</f>
        <v/>
      </c>
      <c r="N13">
        <f>IF(AND(F13="Done",M13&lt;&gt;""),IF(COUNTIFS(Appointments!$D$6:$D$2005,D13,Appointments!$F$6:$F$2005,"Done",Appointments!$M$6:$M$2005,"&gt;"&amp;M13)=0,1,0),0)</f>
        <v/>
      </c>
      <c r="O13">
        <f>IF(AND(F13="Booked",M13&lt;&gt;"",N(B13)&gt;=TODAY()),IF(COUNTIFS(Appointments!$D$6:$D$2005,D13,Appointments!$F$6:$F$2005,"Booked",Appointments!$B$6:$B$2005,"&gt;="&amp;TODAY(),Appointments!$M$6:$M$2005,"&lt;"&amp;M13)=0,1,0),0)</f>
        <v/>
      </c>
    </row>
    <row r="14">
      <c r="A14" s="1" t="n"/>
      <c r="B14" s="30" t="n">
        <v>46030</v>
      </c>
      <c r="C14" s="31" t="n">
        <v>0.4895833333333333</v>
      </c>
      <c r="D14" s="32" t="inlineStr">
        <is>
          <t>Sophie Ellis</t>
        </is>
      </c>
      <c r="E14" s="32" t="inlineStr">
        <is>
          <t>Treatment</t>
        </is>
      </c>
      <c r="F14" s="33" t="inlineStr">
        <is>
          <t>Done</t>
        </is>
      </c>
      <c r="G14" s="27">
        <f>IF(E14="","",MAX(0,IFERROR(INDEX(Services!$C$6:$C$35,MATCH(E14,Services!$B$6:$B$35,0)),0)-N(H14)))</f>
        <v/>
      </c>
      <c r="H14" s="34" t="n"/>
      <c r="I14" s="34" t="n">
        <v>30</v>
      </c>
      <c r="J14" s="33" t="inlineStr">
        <is>
          <t>Card</t>
        </is>
      </c>
      <c r="K14" s="28">
        <f>IF(OR(B14="",F14&lt;&gt;"Done",J14="Package"),"",IF(N(G14)-N(I14)&gt;0,N(G14)-N(I14),""))</f>
        <v/>
      </c>
      <c r="L14" s="32" t="n"/>
      <c r="M14" s="1">
        <f>IF(OR(B14="",D14="",F14="Cancelled"),"",B14+N(C14)+ROW()/10000000)</f>
        <v/>
      </c>
      <c r="N14">
        <f>IF(AND(F14="Done",M14&lt;&gt;""),IF(COUNTIFS(Appointments!$D$6:$D$2005,D14,Appointments!$F$6:$F$2005,"Done",Appointments!$M$6:$M$2005,"&gt;"&amp;M14)=0,1,0),0)</f>
        <v/>
      </c>
      <c r="O14">
        <f>IF(AND(F14="Booked",M14&lt;&gt;"",N(B14)&gt;=TODAY()),IF(COUNTIFS(Appointments!$D$6:$D$2005,D14,Appointments!$F$6:$F$2005,"Booked",Appointments!$B$6:$B$2005,"&gt;="&amp;TODAY(),Appointments!$M$6:$M$2005,"&lt;"&amp;M14)=0,1,0),0)</f>
        <v/>
      </c>
    </row>
    <row r="15">
      <c r="A15" s="1" t="n"/>
      <c r="B15" s="30" t="n">
        <v>46030</v>
      </c>
      <c r="C15" s="31" t="n">
        <v>0.5173611111111112</v>
      </c>
      <c r="D15" s="32" t="inlineStr">
        <is>
          <t>Zoe Turner</t>
        </is>
      </c>
      <c r="E15" s="32" t="inlineStr">
        <is>
          <t>Women's haircut</t>
        </is>
      </c>
      <c r="F15" s="33" t="inlineStr">
        <is>
          <t>Done</t>
        </is>
      </c>
      <c r="G15" s="27">
        <f>IF(E15="","",MAX(0,IFERROR(INDEX(Services!$C$6:$C$35,MATCH(E15,Services!$B$6:$B$35,0)),0)-N(H15)))</f>
        <v/>
      </c>
      <c r="H15" s="34" t="n"/>
      <c r="I15" s="34" t="n">
        <v>55</v>
      </c>
      <c r="J15" s="33" t="inlineStr">
        <is>
          <t>Cash</t>
        </is>
      </c>
      <c r="K15" s="28">
        <f>IF(OR(B15="",F15&lt;&gt;"Done",J15="Package"),"",IF(N(G15)-N(I15)&gt;0,N(G15)-N(I15),""))</f>
        <v/>
      </c>
      <c r="L15" s="32" t="n"/>
      <c r="M15" s="1">
        <f>IF(OR(B15="",D15="",F15="Cancelled"),"",B15+N(C15)+ROW()/10000000)</f>
        <v/>
      </c>
      <c r="N15">
        <f>IF(AND(F15="Done",M15&lt;&gt;""),IF(COUNTIFS(Appointments!$D$6:$D$2005,D15,Appointments!$F$6:$F$2005,"Done",Appointments!$M$6:$M$2005,"&gt;"&amp;M15)=0,1,0),0)</f>
        <v/>
      </c>
      <c r="O15">
        <f>IF(AND(F15="Booked",M15&lt;&gt;"",N(B15)&gt;=TODAY()),IF(COUNTIFS(Appointments!$D$6:$D$2005,D15,Appointments!$F$6:$F$2005,"Booked",Appointments!$B$6:$B$2005,"&gt;="&amp;TODAY(),Appointments!$M$6:$M$2005,"&lt;"&amp;M15)=0,1,0),0)</f>
        <v/>
      </c>
    </row>
    <row r="16">
      <c r="A16" s="1" t="n"/>
      <c r="B16" s="30" t="n">
        <v>46031</v>
      </c>
      <c r="C16" s="31" t="n">
        <v>0.375</v>
      </c>
      <c r="D16" s="32" t="inlineStr">
        <is>
          <t>Ella James</t>
        </is>
      </c>
      <c r="E16" s="32" t="inlineStr">
        <is>
          <t>Treatment</t>
        </is>
      </c>
      <c r="F16" s="33" t="inlineStr">
        <is>
          <t>No-show</t>
        </is>
      </c>
      <c r="G16" s="27">
        <f>IF(E16="","",MAX(0,IFERROR(INDEX(Services!$C$6:$C$35,MATCH(E16,Services!$B$6:$B$35,0)),0)-N(H16)))</f>
        <v/>
      </c>
      <c r="H16" s="34" t="n"/>
      <c r="I16" s="34" t="n"/>
      <c r="J16" s="33" t="n"/>
      <c r="K16" s="28">
        <f>IF(OR(B16="",F16&lt;&gt;"Done",J16="Package"),"",IF(N(G16)-N(I16)&gt;0,N(G16)-N(I16),""))</f>
        <v/>
      </c>
      <c r="L16" s="32" t="n"/>
      <c r="M16" s="1">
        <f>IF(OR(B16="",D16="",F16="Cancelled"),"",B16+N(C16)+ROW()/10000000)</f>
        <v/>
      </c>
      <c r="N16">
        <f>IF(AND(F16="Done",M16&lt;&gt;""),IF(COUNTIFS(Appointments!$D$6:$D$2005,D16,Appointments!$F$6:$F$2005,"Done",Appointments!$M$6:$M$2005,"&gt;"&amp;M16)=0,1,0),0)</f>
        <v/>
      </c>
      <c r="O16">
        <f>IF(AND(F16="Booked",M16&lt;&gt;"",N(B16)&gt;=TODAY()),IF(COUNTIFS(Appointments!$D$6:$D$2005,D16,Appointments!$F$6:$F$2005,"Booked",Appointments!$B$6:$B$2005,"&gt;="&amp;TODAY(),Appointments!$M$6:$M$2005,"&lt;"&amp;M16)=0,1,0),0)</f>
        <v/>
      </c>
    </row>
    <row r="17">
      <c r="A17" s="1" t="n"/>
      <c r="B17" s="30" t="n">
        <v>46031</v>
      </c>
      <c r="C17" s="31" t="n">
        <v>0.4027777777777778</v>
      </c>
      <c r="D17" s="32" t="inlineStr">
        <is>
          <t>Hannah Ellis</t>
        </is>
      </c>
      <c r="E17" s="32" t="inlineStr">
        <is>
          <t>Colour</t>
        </is>
      </c>
      <c r="F17" s="33" t="inlineStr">
        <is>
          <t>Done</t>
        </is>
      </c>
      <c r="G17" s="27">
        <f>IF(E17="","",MAX(0,IFERROR(INDEX(Services!$C$6:$C$35,MATCH(E17,Services!$B$6:$B$35,0)),0)-N(H17)))</f>
        <v/>
      </c>
      <c r="H17" s="34" t="n"/>
      <c r="I17" s="34" t="n">
        <v>95</v>
      </c>
      <c r="J17" s="33" t="inlineStr">
        <is>
          <t>Card</t>
        </is>
      </c>
      <c r="K17" s="28">
        <f>IF(OR(B17="",F17&lt;&gt;"Done",J17="Package"),"",IF(N(G17)-N(I17)&gt;0,N(G17)-N(I17),""))</f>
        <v/>
      </c>
      <c r="L17" s="32" t="n"/>
      <c r="M17" s="1">
        <f>IF(OR(B17="",D17="",F17="Cancelled"),"",B17+N(C17)+ROW()/10000000)</f>
        <v/>
      </c>
      <c r="N17">
        <f>IF(AND(F17="Done",M17&lt;&gt;""),IF(COUNTIFS(Appointments!$D$6:$D$2005,D17,Appointments!$F$6:$F$2005,"Done",Appointments!$M$6:$M$2005,"&gt;"&amp;M17)=0,1,0),0)</f>
        <v/>
      </c>
      <c r="O17">
        <f>IF(AND(F17="Booked",M17&lt;&gt;"",N(B17)&gt;=TODAY()),IF(COUNTIFS(Appointments!$D$6:$D$2005,D17,Appointments!$F$6:$F$2005,"Booked",Appointments!$B$6:$B$2005,"&gt;="&amp;TODAY(),Appointments!$M$6:$M$2005,"&lt;"&amp;M17)=0,1,0),0)</f>
        <v/>
      </c>
    </row>
    <row r="18">
      <c r="A18" s="1" t="n"/>
      <c r="B18" s="30" t="n">
        <v>46031</v>
      </c>
      <c r="C18" s="31" t="n">
        <v>0.4930555555555556</v>
      </c>
      <c r="D18" s="32" t="inlineStr">
        <is>
          <t>Hannah Kelly</t>
        </is>
      </c>
      <c r="E18" s="32" t="inlineStr">
        <is>
          <t>Women's haircut</t>
        </is>
      </c>
      <c r="F18" s="33" t="inlineStr">
        <is>
          <t>No-show</t>
        </is>
      </c>
      <c r="G18" s="27">
        <f>IF(E18="","",MAX(0,IFERROR(INDEX(Services!$C$6:$C$35,MATCH(E18,Services!$B$6:$B$35,0)),0)-N(H18)))</f>
        <v/>
      </c>
      <c r="H18" s="34" t="n"/>
      <c r="I18" s="34" t="n"/>
      <c r="J18" s="33" t="n"/>
      <c r="K18" s="28">
        <f>IF(OR(B18="",F18&lt;&gt;"Done",J18="Package"),"",IF(N(G18)-N(I18)&gt;0,N(G18)-N(I18),""))</f>
        <v/>
      </c>
      <c r="L18" s="32" t="n"/>
      <c r="M18" s="1">
        <f>IF(OR(B18="",D18="",F18="Cancelled"),"",B18+N(C18)+ROW()/10000000)</f>
        <v/>
      </c>
      <c r="N18">
        <f>IF(AND(F18="Done",M18&lt;&gt;""),IF(COUNTIFS(Appointments!$D$6:$D$2005,D18,Appointments!$F$6:$F$2005,"Done",Appointments!$M$6:$M$2005,"&gt;"&amp;M18)=0,1,0),0)</f>
        <v/>
      </c>
      <c r="O18">
        <f>IF(AND(F18="Booked",M18&lt;&gt;"",N(B18)&gt;=TODAY()),IF(COUNTIFS(Appointments!$D$6:$D$2005,D18,Appointments!$F$6:$F$2005,"Booked",Appointments!$B$6:$B$2005,"&gt;="&amp;TODAY(),Appointments!$M$6:$M$2005,"&lt;"&amp;M18)=0,1,0),0)</f>
        <v/>
      </c>
    </row>
    <row r="19">
      <c r="A19" s="1" t="n"/>
      <c r="B19" s="30" t="n">
        <v>46031</v>
      </c>
      <c r="C19" s="31" t="n">
        <v>0.5416666666666666</v>
      </c>
      <c r="D19" s="32" t="inlineStr">
        <is>
          <t>Harry Adams</t>
        </is>
      </c>
      <c r="E19" s="32" t="inlineStr">
        <is>
          <t>Men's haircut</t>
        </is>
      </c>
      <c r="F19" s="33" t="inlineStr">
        <is>
          <t>Done</t>
        </is>
      </c>
      <c r="G19" s="27">
        <f>IF(E19="","",MAX(0,IFERROR(INDEX(Services!$C$6:$C$35,MATCH(E19,Services!$B$6:$B$35,0)),0)-N(H19)))</f>
        <v/>
      </c>
      <c r="H19" s="34" t="n"/>
      <c r="I19" s="34" t="n">
        <v>30</v>
      </c>
      <c r="J19" s="33" t="inlineStr">
        <is>
          <t>Cash</t>
        </is>
      </c>
      <c r="K19" s="28">
        <f>IF(OR(B19="",F19&lt;&gt;"Done",J19="Package"),"",IF(N(G19)-N(I19)&gt;0,N(G19)-N(I19),""))</f>
        <v/>
      </c>
      <c r="L19" s="32" t="n"/>
      <c r="M19" s="1">
        <f>IF(OR(B19="",D19="",F19="Cancelled"),"",B19+N(C19)+ROW()/10000000)</f>
        <v/>
      </c>
      <c r="N19">
        <f>IF(AND(F19="Done",M19&lt;&gt;""),IF(COUNTIFS(Appointments!$D$6:$D$2005,D19,Appointments!$F$6:$F$2005,"Done",Appointments!$M$6:$M$2005,"&gt;"&amp;M19)=0,1,0),0)</f>
        <v/>
      </c>
      <c r="O19">
        <f>IF(AND(F19="Booked",M19&lt;&gt;"",N(B19)&gt;=TODAY()),IF(COUNTIFS(Appointments!$D$6:$D$2005,D19,Appointments!$F$6:$F$2005,"Booked",Appointments!$B$6:$B$2005,"&gt;="&amp;TODAY(),Appointments!$M$6:$M$2005,"&lt;"&amp;M19)=0,1,0),0)</f>
        <v/>
      </c>
    </row>
    <row r="20">
      <c r="A20" s="1" t="n"/>
      <c r="B20" s="30" t="n">
        <v>46031</v>
      </c>
      <c r="C20" s="31" t="n">
        <v>0.5694444444444444</v>
      </c>
      <c r="D20" s="32" t="inlineStr">
        <is>
          <t>Isla Brown</t>
        </is>
      </c>
      <c r="E20" s="32" t="inlineStr">
        <is>
          <t>Women's haircut</t>
        </is>
      </c>
      <c r="F20" s="33" t="inlineStr">
        <is>
          <t>Done</t>
        </is>
      </c>
      <c r="G20" s="27">
        <f>IF(E20="","",MAX(0,IFERROR(INDEX(Services!$C$6:$C$35,MATCH(E20,Services!$B$6:$B$35,0)),0)-N(H20)))</f>
        <v/>
      </c>
      <c r="H20" s="34" t="n"/>
      <c r="I20" s="34" t="n">
        <v>55</v>
      </c>
      <c r="J20" s="33" t="inlineStr">
        <is>
          <t>Card</t>
        </is>
      </c>
      <c r="K20" s="28">
        <f>IF(OR(B20="",F20&lt;&gt;"Done",J20="Package"),"",IF(N(G20)-N(I20)&gt;0,N(G20)-N(I20),""))</f>
        <v/>
      </c>
      <c r="L20" s="32" t="n"/>
      <c r="M20" s="1">
        <f>IF(OR(B20="",D20="",F20="Cancelled"),"",B20+N(C20)+ROW()/10000000)</f>
        <v/>
      </c>
      <c r="N20">
        <f>IF(AND(F20="Done",M20&lt;&gt;""),IF(COUNTIFS(Appointments!$D$6:$D$2005,D20,Appointments!$F$6:$F$2005,"Done",Appointments!$M$6:$M$2005,"&gt;"&amp;M20)=0,1,0),0)</f>
        <v/>
      </c>
      <c r="O20">
        <f>IF(AND(F20="Booked",M20&lt;&gt;"",N(B20)&gt;=TODAY()),IF(COUNTIFS(Appointments!$D$6:$D$2005,D20,Appointments!$F$6:$F$2005,"Booked",Appointments!$B$6:$B$2005,"&gt;="&amp;TODAY(),Appointments!$M$6:$M$2005,"&lt;"&amp;M20)=0,1,0),0)</f>
        <v/>
      </c>
    </row>
    <row r="21">
      <c r="A21" s="1" t="n"/>
      <c r="B21" s="30" t="n">
        <v>46031</v>
      </c>
      <c r="C21" s="31" t="n">
        <v>0.6180555555555556</v>
      </c>
      <c r="D21" s="32" t="inlineStr">
        <is>
          <t>Nina Ellis</t>
        </is>
      </c>
      <c r="E21" s="32" t="inlineStr">
        <is>
          <t>Women's haircut</t>
        </is>
      </c>
      <c r="F21" s="33" t="inlineStr">
        <is>
          <t>Done</t>
        </is>
      </c>
      <c r="G21" s="27">
        <f>IF(E21="","",MAX(0,IFERROR(INDEX(Services!$C$6:$C$35,MATCH(E21,Services!$B$6:$B$35,0)),0)-N(H21)))</f>
        <v/>
      </c>
      <c r="H21" s="34" t="n"/>
      <c r="I21" s="34" t="n">
        <v>55</v>
      </c>
      <c r="J21" s="33" t="inlineStr">
        <is>
          <t>Cash</t>
        </is>
      </c>
      <c r="K21" s="28">
        <f>IF(OR(B21="",F21&lt;&gt;"Done",J21="Package"),"",IF(N(G21)-N(I21)&gt;0,N(G21)-N(I21),""))</f>
        <v/>
      </c>
      <c r="L21" s="32" t="n"/>
      <c r="M21" s="1">
        <f>IF(OR(B21="",D21="",F21="Cancelled"),"",B21+N(C21)+ROW()/10000000)</f>
        <v/>
      </c>
      <c r="N21">
        <f>IF(AND(F21="Done",M21&lt;&gt;""),IF(COUNTIFS(Appointments!$D$6:$D$2005,D21,Appointments!$F$6:$F$2005,"Done",Appointments!$M$6:$M$2005,"&gt;"&amp;M21)=0,1,0),0)</f>
        <v/>
      </c>
      <c r="O21">
        <f>IF(AND(F21="Booked",M21&lt;&gt;"",N(B21)&gt;=TODAY()),IF(COUNTIFS(Appointments!$D$6:$D$2005,D21,Appointments!$F$6:$F$2005,"Booked",Appointments!$B$6:$B$2005,"&gt;="&amp;TODAY(),Appointments!$M$6:$M$2005,"&lt;"&amp;M21)=0,1,0),0)</f>
        <v/>
      </c>
    </row>
    <row r="22">
      <c r="A22" s="1" t="n"/>
      <c r="B22" s="30" t="n">
        <v>46031</v>
      </c>
      <c r="C22" s="31" t="n">
        <v>0.6666666666666666</v>
      </c>
      <c r="D22" s="32" t="inlineStr">
        <is>
          <t>Ruby Webb</t>
        </is>
      </c>
      <c r="E22" s="32" t="inlineStr">
        <is>
          <t>Women's haircut</t>
        </is>
      </c>
      <c r="F22" s="33" t="inlineStr">
        <is>
          <t>No-show</t>
        </is>
      </c>
      <c r="G22" s="27">
        <f>IF(E22="","",MAX(0,IFERROR(INDEX(Services!$C$6:$C$35,MATCH(E22,Services!$B$6:$B$35,0)),0)-N(H22)))</f>
        <v/>
      </c>
      <c r="H22" s="34" t="n"/>
      <c r="I22" s="34" t="n"/>
      <c r="J22" s="33" t="n"/>
      <c r="K22" s="28">
        <f>IF(OR(B22="",F22&lt;&gt;"Done",J22="Package"),"",IF(N(G22)-N(I22)&gt;0,N(G22)-N(I22),""))</f>
        <v/>
      </c>
      <c r="L22" s="32" t="n"/>
      <c r="M22" s="1">
        <f>IF(OR(B22="",D22="",F22="Cancelled"),"",B22+N(C22)+ROW()/10000000)</f>
        <v/>
      </c>
      <c r="N22">
        <f>IF(AND(F22="Done",M22&lt;&gt;""),IF(COUNTIFS(Appointments!$D$6:$D$2005,D22,Appointments!$F$6:$F$2005,"Done",Appointments!$M$6:$M$2005,"&gt;"&amp;M22)=0,1,0),0)</f>
        <v/>
      </c>
      <c r="O22">
        <f>IF(AND(F22="Booked",M22&lt;&gt;"",N(B22)&gt;=TODAY()),IF(COUNTIFS(Appointments!$D$6:$D$2005,D22,Appointments!$F$6:$F$2005,"Booked",Appointments!$B$6:$B$2005,"&gt;="&amp;TODAY(),Appointments!$M$6:$M$2005,"&lt;"&amp;M22)=0,1,0),0)</f>
        <v/>
      </c>
    </row>
    <row r="23">
      <c r="A23" s="1" t="n"/>
      <c r="B23" s="30" t="n">
        <v>46032</v>
      </c>
      <c r="C23" s="31" t="n">
        <v>0.375</v>
      </c>
      <c r="D23" s="32" t="inlineStr">
        <is>
          <t>Chris Cox</t>
        </is>
      </c>
      <c r="E23" s="32" t="inlineStr">
        <is>
          <t>Men's haircut</t>
        </is>
      </c>
      <c r="F23" s="33" t="inlineStr">
        <is>
          <t>Done</t>
        </is>
      </c>
      <c r="G23" s="27">
        <f>IF(E23="","",MAX(0,IFERROR(INDEX(Services!$C$6:$C$35,MATCH(E23,Services!$B$6:$B$35,0)),0)-N(H23)))</f>
        <v/>
      </c>
      <c r="H23" s="34" t="n"/>
      <c r="I23" s="34" t="n">
        <v>30</v>
      </c>
      <c r="J23" s="33" t="inlineStr">
        <is>
          <t>Card</t>
        </is>
      </c>
      <c r="K23" s="28">
        <f>IF(OR(B23="",F23&lt;&gt;"Done",J23="Package"),"",IF(N(G23)-N(I23)&gt;0,N(G23)-N(I23),""))</f>
        <v/>
      </c>
      <c r="L23" s="32" t="n"/>
      <c r="M23" s="1">
        <f>IF(OR(B23="",D23="",F23="Cancelled"),"",B23+N(C23)+ROW()/10000000)</f>
        <v/>
      </c>
      <c r="N23">
        <f>IF(AND(F23="Done",M23&lt;&gt;""),IF(COUNTIFS(Appointments!$D$6:$D$2005,D23,Appointments!$F$6:$F$2005,"Done",Appointments!$M$6:$M$2005,"&gt;"&amp;M23)=0,1,0),0)</f>
        <v/>
      </c>
      <c r="O23">
        <f>IF(AND(F23="Booked",M23&lt;&gt;"",N(B23)&gt;=TODAY()),IF(COUNTIFS(Appointments!$D$6:$D$2005,D23,Appointments!$F$6:$F$2005,"Booked",Appointments!$B$6:$B$2005,"&gt;="&amp;TODAY(),Appointments!$M$6:$M$2005,"&lt;"&amp;M23)=0,1,0),0)</f>
        <v/>
      </c>
    </row>
    <row r="24">
      <c r="A24" s="1" t="n"/>
      <c r="B24" s="30" t="n">
        <v>46032</v>
      </c>
      <c r="C24" s="31" t="n">
        <v>0.4027777777777778</v>
      </c>
      <c r="D24" s="32" t="inlineStr">
        <is>
          <t>Chris Ellis</t>
        </is>
      </c>
      <c r="E24" s="32" t="inlineStr">
        <is>
          <t>Men's haircut</t>
        </is>
      </c>
      <c r="F24" s="33" t="inlineStr">
        <is>
          <t>Done</t>
        </is>
      </c>
      <c r="G24" s="27">
        <f>IF(E24="","",MAX(0,IFERROR(INDEX(Services!$C$6:$C$35,MATCH(E24,Services!$B$6:$B$35,0)),0)-N(H24)))</f>
        <v/>
      </c>
      <c r="H24" s="34" t="n"/>
      <c r="I24" s="34" t="n">
        <v>30</v>
      </c>
      <c r="J24" s="33" t="inlineStr">
        <is>
          <t>Cash</t>
        </is>
      </c>
      <c r="K24" s="28">
        <f>IF(OR(B24="",F24&lt;&gt;"Done",J24="Package"),"",IF(N(G24)-N(I24)&gt;0,N(G24)-N(I24),""))</f>
        <v/>
      </c>
      <c r="L24" s="32" t="n"/>
      <c r="M24" s="1">
        <f>IF(OR(B24="",D24="",F24="Cancelled"),"",B24+N(C24)+ROW()/10000000)</f>
        <v/>
      </c>
      <c r="N24">
        <f>IF(AND(F24="Done",M24&lt;&gt;""),IF(COUNTIFS(Appointments!$D$6:$D$2005,D24,Appointments!$F$6:$F$2005,"Done",Appointments!$M$6:$M$2005,"&gt;"&amp;M24)=0,1,0),0)</f>
        <v/>
      </c>
      <c r="O24">
        <f>IF(AND(F24="Booked",M24&lt;&gt;"",N(B24)&gt;=TODAY()),IF(COUNTIFS(Appointments!$D$6:$D$2005,D24,Appointments!$F$6:$F$2005,"Booked",Appointments!$B$6:$B$2005,"&gt;="&amp;TODAY(),Appointments!$M$6:$M$2005,"&lt;"&amp;M24)=0,1,0),0)</f>
        <v/>
      </c>
    </row>
    <row r="25">
      <c r="A25" s="1" t="n"/>
      <c r="B25" s="30" t="n">
        <v>46032</v>
      </c>
      <c r="C25" s="31" t="n">
        <v>0.4305555555555556</v>
      </c>
      <c r="D25" s="32" t="inlineStr">
        <is>
          <t>Holly Shaw</t>
        </is>
      </c>
      <c r="E25" s="32" t="inlineStr">
        <is>
          <t>Women's haircut</t>
        </is>
      </c>
      <c r="F25" s="33" t="inlineStr">
        <is>
          <t>Done</t>
        </is>
      </c>
      <c r="G25" s="27">
        <f>IF(E25="","",MAX(0,IFERROR(INDEX(Services!$C$6:$C$35,MATCH(E25,Services!$B$6:$B$35,0)),0)-N(H25)))</f>
        <v/>
      </c>
      <c r="H25" s="34" t="n"/>
      <c r="I25" s="34" t="n">
        <v>55</v>
      </c>
      <c r="J25" s="33" t="inlineStr">
        <is>
          <t>Cash</t>
        </is>
      </c>
      <c r="K25" s="28">
        <f>IF(OR(B25="",F25&lt;&gt;"Done",J25="Package"),"",IF(N(G25)-N(I25)&gt;0,N(G25)-N(I25),""))</f>
        <v/>
      </c>
      <c r="L25" s="32" t="n"/>
      <c r="M25" s="1">
        <f>IF(OR(B25="",D25="",F25="Cancelled"),"",B25+N(C25)+ROW()/10000000)</f>
        <v/>
      </c>
      <c r="N25">
        <f>IF(AND(F25="Done",M25&lt;&gt;""),IF(COUNTIFS(Appointments!$D$6:$D$2005,D25,Appointments!$F$6:$F$2005,"Done",Appointments!$M$6:$M$2005,"&gt;"&amp;M25)=0,1,0),0)</f>
        <v/>
      </c>
      <c r="O25">
        <f>IF(AND(F25="Booked",M25&lt;&gt;"",N(B25)&gt;=TODAY()),IF(COUNTIFS(Appointments!$D$6:$D$2005,D25,Appointments!$F$6:$F$2005,"Booked",Appointments!$B$6:$B$2005,"&gt;="&amp;TODAY(),Appointments!$M$6:$M$2005,"&lt;"&amp;M25)=0,1,0),0)</f>
        <v/>
      </c>
    </row>
    <row r="26">
      <c r="A26" s="1" t="n"/>
      <c r="B26" s="30" t="n">
        <v>46032</v>
      </c>
      <c r="C26" s="31" t="n">
        <v>0.4791666666666667</v>
      </c>
      <c r="D26" s="32" t="inlineStr">
        <is>
          <t>Lily Lewis</t>
        </is>
      </c>
      <c r="E26" s="32" t="inlineStr">
        <is>
          <t>Blow dry</t>
        </is>
      </c>
      <c r="F26" s="33" t="inlineStr">
        <is>
          <t>Done</t>
        </is>
      </c>
      <c r="G26" s="27">
        <f>IF(E26="","",MAX(0,IFERROR(INDEX(Services!$C$6:$C$35,MATCH(E26,Services!$B$6:$B$35,0)),0)-N(H26)))</f>
        <v/>
      </c>
      <c r="H26" s="34" t="n"/>
      <c r="I26" s="34" t="n">
        <v>35</v>
      </c>
      <c r="J26" s="33" t="inlineStr">
        <is>
          <t>Card</t>
        </is>
      </c>
      <c r="K26" s="28">
        <f>IF(OR(B26="",F26&lt;&gt;"Done",J26="Package"),"",IF(N(G26)-N(I26)&gt;0,N(G26)-N(I26),""))</f>
        <v/>
      </c>
      <c r="L26" s="32" t="n"/>
      <c r="M26" s="1">
        <f>IF(OR(B26="",D26="",F26="Cancelled"),"",B26+N(C26)+ROW()/10000000)</f>
        <v/>
      </c>
      <c r="N26">
        <f>IF(AND(F26="Done",M26&lt;&gt;""),IF(COUNTIFS(Appointments!$D$6:$D$2005,D26,Appointments!$F$6:$F$2005,"Done",Appointments!$M$6:$M$2005,"&gt;"&amp;M26)=0,1,0),0)</f>
        <v/>
      </c>
      <c r="O26">
        <f>IF(AND(F26="Booked",M26&lt;&gt;"",N(B26)&gt;=TODAY()),IF(COUNTIFS(Appointments!$D$6:$D$2005,D26,Appointments!$F$6:$F$2005,"Booked",Appointments!$B$6:$B$2005,"&gt;="&amp;TODAY(),Appointments!$M$6:$M$2005,"&lt;"&amp;M26)=0,1,0),0)</f>
        <v/>
      </c>
    </row>
    <row r="27">
      <c r="A27" s="1" t="n"/>
      <c r="B27" s="30" t="n">
        <v>46032</v>
      </c>
      <c r="C27" s="31" t="n">
        <v>0.5173611111111112</v>
      </c>
      <c r="D27" s="32" t="inlineStr">
        <is>
          <t>Nina Baker</t>
        </is>
      </c>
      <c r="E27" s="32" t="inlineStr">
        <is>
          <t>Women's haircut</t>
        </is>
      </c>
      <c r="F27" s="33" t="inlineStr">
        <is>
          <t>Done</t>
        </is>
      </c>
      <c r="G27" s="27">
        <f>IF(E27="","",MAX(0,IFERROR(INDEX(Services!$C$6:$C$35,MATCH(E27,Services!$B$6:$B$35,0)),0)-N(H27)))</f>
        <v/>
      </c>
      <c r="H27" s="34" t="n"/>
      <c r="I27" s="34" t="n">
        <v>55</v>
      </c>
      <c r="J27" s="33" t="inlineStr">
        <is>
          <t>Card</t>
        </is>
      </c>
      <c r="K27" s="28">
        <f>IF(OR(B27="",F27&lt;&gt;"Done",J27="Package"),"",IF(N(G27)-N(I27)&gt;0,N(G27)-N(I27),""))</f>
        <v/>
      </c>
      <c r="L27" s="32" t="n"/>
      <c r="M27" s="1">
        <f>IF(OR(B27="",D27="",F27="Cancelled"),"",B27+N(C27)+ROW()/10000000)</f>
        <v/>
      </c>
      <c r="N27">
        <f>IF(AND(F27="Done",M27&lt;&gt;""),IF(COUNTIFS(Appointments!$D$6:$D$2005,D27,Appointments!$F$6:$F$2005,"Done",Appointments!$M$6:$M$2005,"&gt;"&amp;M27)=0,1,0),0)</f>
        <v/>
      </c>
      <c r="O27">
        <f>IF(AND(F27="Booked",M27&lt;&gt;"",N(B27)&gt;=TODAY()),IF(COUNTIFS(Appointments!$D$6:$D$2005,D27,Appointments!$F$6:$F$2005,"Booked",Appointments!$B$6:$B$2005,"&gt;="&amp;TODAY(),Appointments!$M$6:$M$2005,"&lt;"&amp;M27)=0,1,0),0)</f>
        <v/>
      </c>
    </row>
    <row r="28">
      <c r="A28" s="1" t="n"/>
      <c r="B28" s="30" t="n">
        <v>46032</v>
      </c>
      <c r="C28" s="31" t="n">
        <v>0.5659722222222222</v>
      </c>
      <c r="D28" s="32" t="inlineStr">
        <is>
          <t>Nina Young</t>
        </is>
      </c>
      <c r="E28" s="32" t="inlineStr">
        <is>
          <t>Women's haircut</t>
        </is>
      </c>
      <c r="F28" s="33" t="inlineStr">
        <is>
          <t>Done</t>
        </is>
      </c>
      <c r="G28" s="27">
        <f>IF(E28="","",MAX(0,IFERROR(INDEX(Services!$C$6:$C$35,MATCH(E28,Services!$B$6:$B$35,0)),0)-N(H28)))</f>
        <v/>
      </c>
      <c r="H28" s="34" t="n"/>
      <c r="I28" s="34" t="n">
        <v>55</v>
      </c>
      <c r="J28" s="33" t="inlineStr">
        <is>
          <t>Card</t>
        </is>
      </c>
      <c r="K28" s="28">
        <f>IF(OR(B28="",F28&lt;&gt;"Done",J28="Package"),"",IF(N(G28)-N(I28)&gt;0,N(G28)-N(I28),""))</f>
        <v/>
      </c>
      <c r="L28" s="32" t="n"/>
      <c r="M28" s="1">
        <f>IF(OR(B28="",D28="",F28="Cancelled"),"",B28+N(C28)+ROW()/10000000)</f>
        <v/>
      </c>
      <c r="N28">
        <f>IF(AND(F28="Done",M28&lt;&gt;""),IF(COUNTIFS(Appointments!$D$6:$D$2005,D28,Appointments!$F$6:$F$2005,"Done",Appointments!$M$6:$M$2005,"&gt;"&amp;M28)=0,1,0),0)</f>
        <v/>
      </c>
      <c r="O28">
        <f>IF(AND(F28="Booked",M28&lt;&gt;"",N(B28)&gt;=TODAY()),IF(COUNTIFS(Appointments!$D$6:$D$2005,D28,Appointments!$F$6:$F$2005,"Booked",Appointments!$B$6:$B$2005,"&gt;="&amp;TODAY(),Appointments!$M$6:$M$2005,"&lt;"&amp;M28)=0,1,0),0)</f>
        <v/>
      </c>
    </row>
    <row r="29">
      <c r="A29" s="1" t="n"/>
      <c r="B29" s="30" t="n">
        <v>46032</v>
      </c>
      <c r="C29" s="31" t="n">
        <v>0.6145833333333334</v>
      </c>
      <c r="D29" s="32" t="inlineStr">
        <is>
          <t>Tom Ellis</t>
        </is>
      </c>
      <c r="E29" s="32" t="inlineStr">
        <is>
          <t>Men's haircut</t>
        </is>
      </c>
      <c r="F29" s="33" t="inlineStr">
        <is>
          <t>Done</t>
        </is>
      </c>
      <c r="G29" s="27">
        <f>IF(E29="","",MAX(0,IFERROR(INDEX(Services!$C$6:$C$35,MATCH(E29,Services!$B$6:$B$35,0)),0)-N(H29)))</f>
        <v/>
      </c>
      <c r="H29" s="34" t="n"/>
      <c r="I29" s="34" t="n">
        <v>30</v>
      </c>
      <c r="J29" s="33" t="inlineStr">
        <is>
          <t>Transfer</t>
        </is>
      </c>
      <c r="K29" s="28">
        <f>IF(OR(B29="",F29&lt;&gt;"Done",J29="Package"),"",IF(N(G29)-N(I29)&gt;0,N(G29)-N(I29),""))</f>
        <v/>
      </c>
      <c r="L29" s="32" t="n"/>
      <c r="M29" s="1">
        <f>IF(OR(B29="",D29="",F29="Cancelled"),"",B29+N(C29)+ROW()/10000000)</f>
        <v/>
      </c>
      <c r="N29">
        <f>IF(AND(F29="Done",M29&lt;&gt;""),IF(COUNTIFS(Appointments!$D$6:$D$2005,D29,Appointments!$F$6:$F$2005,"Done",Appointments!$M$6:$M$2005,"&gt;"&amp;M29)=0,1,0),0)</f>
        <v/>
      </c>
      <c r="O29">
        <f>IF(AND(F29="Booked",M29&lt;&gt;"",N(B29)&gt;=TODAY()),IF(COUNTIFS(Appointments!$D$6:$D$2005,D29,Appointments!$F$6:$F$2005,"Booked",Appointments!$B$6:$B$2005,"&gt;="&amp;TODAY(),Appointments!$M$6:$M$2005,"&lt;"&amp;M29)=0,1,0),0)</f>
        <v/>
      </c>
    </row>
    <row r="30">
      <c r="A30" s="1" t="n"/>
      <c r="B30" s="30" t="n">
        <v>46035</v>
      </c>
      <c r="C30" s="31" t="n">
        <v>0.375</v>
      </c>
      <c r="D30" s="32" t="inlineStr">
        <is>
          <t>Finn Price</t>
        </is>
      </c>
      <c r="E30" s="32" t="inlineStr">
        <is>
          <t>Men's haircut</t>
        </is>
      </c>
      <c r="F30" s="33" t="inlineStr">
        <is>
          <t>Done</t>
        </is>
      </c>
      <c r="G30" s="27">
        <f>IF(E30="","",MAX(0,IFERROR(INDEX(Services!$C$6:$C$35,MATCH(E30,Services!$B$6:$B$35,0)),0)-N(H30)))</f>
        <v/>
      </c>
      <c r="H30" s="34" t="n">
        <v>10</v>
      </c>
      <c r="I30" s="34" t="n">
        <v>20</v>
      </c>
      <c r="J30" s="33" t="inlineStr">
        <is>
          <t>Transfer</t>
        </is>
      </c>
      <c r="K30" s="28">
        <f>IF(OR(B30="",F30&lt;&gt;"Done",J30="Package"),"",IF(N(G30)-N(I30)&gt;0,N(G30)-N(I30),""))</f>
        <v/>
      </c>
      <c r="L30" s="32" t="inlineStr">
        <is>
          <t>Friends and family</t>
        </is>
      </c>
      <c r="M30" s="1">
        <f>IF(OR(B30="",D30="",F30="Cancelled"),"",B30+N(C30)+ROW()/10000000)</f>
        <v/>
      </c>
      <c r="N30">
        <f>IF(AND(F30="Done",M30&lt;&gt;""),IF(COUNTIFS(Appointments!$D$6:$D$2005,D30,Appointments!$F$6:$F$2005,"Done",Appointments!$M$6:$M$2005,"&gt;"&amp;M30)=0,1,0),0)</f>
        <v/>
      </c>
      <c r="O30">
        <f>IF(AND(F30="Booked",M30&lt;&gt;"",N(B30)&gt;=TODAY()),IF(COUNTIFS(Appointments!$D$6:$D$2005,D30,Appointments!$F$6:$F$2005,"Booked",Appointments!$B$6:$B$2005,"&gt;="&amp;TODAY(),Appointments!$M$6:$M$2005,"&lt;"&amp;M30)=0,1,0),0)</f>
        <v/>
      </c>
    </row>
    <row r="31">
      <c r="A31" s="1" t="n"/>
      <c r="B31" s="30" t="n">
        <v>46035</v>
      </c>
      <c r="C31" s="31" t="n">
        <v>0.4027777777777778</v>
      </c>
      <c r="D31" s="32" t="inlineStr">
        <is>
          <t>Harry Cox</t>
        </is>
      </c>
      <c r="E31" s="32" t="inlineStr">
        <is>
          <t>Men's haircut</t>
        </is>
      </c>
      <c r="F31" s="33" t="inlineStr">
        <is>
          <t>Done</t>
        </is>
      </c>
      <c r="G31" s="27">
        <f>IF(E31="","",MAX(0,IFERROR(INDEX(Services!$C$6:$C$35,MATCH(E31,Services!$B$6:$B$35,0)),0)-N(H31)))</f>
        <v/>
      </c>
      <c r="H31" s="34" t="n"/>
      <c r="I31" s="34" t="n">
        <v>30</v>
      </c>
      <c r="J31" s="33" t="inlineStr">
        <is>
          <t>Cash</t>
        </is>
      </c>
      <c r="K31" s="28">
        <f>IF(OR(B31="",F31&lt;&gt;"Done",J31="Package"),"",IF(N(G31)-N(I31)&gt;0,N(G31)-N(I31),""))</f>
        <v/>
      </c>
      <c r="L31" s="32" t="n"/>
      <c r="M31" s="1">
        <f>IF(OR(B31="",D31="",F31="Cancelled"),"",B31+N(C31)+ROW()/10000000)</f>
        <v/>
      </c>
      <c r="N31">
        <f>IF(AND(F31="Done",M31&lt;&gt;""),IF(COUNTIFS(Appointments!$D$6:$D$2005,D31,Appointments!$F$6:$F$2005,"Done",Appointments!$M$6:$M$2005,"&gt;"&amp;M31)=0,1,0),0)</f>
        <v/>
      </c>
      <c r="O31">
        <f>IF(AND(F31="Booked",M31&lt;&gt;"",N(B31)&gt;=TODAY()),IF(COUNTIFS(Appointments!$D$6:$D$2005,D31,Appointments!$F$6:$F$2005,"Booked",Appointments!$B$6:$B$2005,"&gt;="&amp;TODAY(),Appointments!$M$6:$M$2005,"&lt;"&amp;M31)=0,1,0),0)</f>
        <v/>
      </c>
    </row>
    <row r="32">
      <c r="A32" s="1" t="n"/>
      <c r="B32" s="30" t="n">
        <v>46035</v>
      </c>
      <c r="C32" s="31" t="n">
        <v>0.4305555555555556</v>
      </c>
      <c r="D32" s="32" t="inlineStr">
        <is>
          <t>Kyle Hughes</t>
        </is>
      </c>
      <c r="E32" s="32" t="inlineStr">
        <is>
          <t>Men's haircut</t>
        </is>
      </c>
      <c r="F32" s="33" t="inlineStr">
        <is>
          <t>Done</t>
        </is>
      </c>
      <c r="G32" s="27">
        <f>IF(E32="","",MAX(0,IFERROR(INDEX(Services!$C$6:$C$35,MATCH(E32,Services!$B$6:$B$35,0)),0)-N(H32)))</f>
        <v/>
      </c>
      <c r="H32" s="34" t="n"/>
      <c r="I32" s="34" t="n">
        <v>30</v>
      </c>
      <c r="J32" s="33" t="inlineStr">
        <is>
          <t>Cash</t>
        </is>
      </c>
      <c r="K32" s="28">
        <f>IF(OR(B32="",F32&lt;&gt;"Done",J32="Package"),"",IF(N(G32)-N(I32)&gt;0,N(G32)-N(I32),""))</f>
        <v/>
      </c>
      <c r="L32" s="32" t="n"/>
      <c r="M32" s="1">
        <f>IF(OR(B32="",D32="",F32="Cancelled"),"",B32+N(C32)+ROW()/10000000)</f>
        <v/>
      </c>
      <c r="N32">
        <f>IF(AND(F32="Done",M32&lt;&gt;""),IF(COUNTIFS(Appointments!$D$6:$D$2005,D32,Appointments!$F$6:$F$2005,"Done",Appointments!$M$6:$M$2005,"&gt;"&amp;M32)=0,1,0),0)</f>
        <v/>
      </c>
      <c r="O32">
        <f>IF(AND(F32="Booked",M32&lt;&gt;"",N(B32)&gt;=TODAY()),IF(COUNTIFS(Appointments!$D$6:$D$2005,D32,Appointments!$F$6:$F$2005,"Booked",Appointments!$B$6:$B$2005,"&gt;="&amp;TODAY(),Appointments!$M$6:$M$2005,"&lt;"&amp;M32)=0,1,0),0)</f>
        <v/>
      </c>
    </row>
    <row r="33">
      <c r="A33" s="1" t="n"/>
      <c r="B33" s="30" t="n">
        <v>46035</v>
      </c>
      <c r="C33" s="31" t="n">
        <v>0.4583333333333333</v>
      </c>
      <c r="D33" s="32" t="inlineStr">
        <is>
          <t>Luke Hall</t>
        </is>
      </c>
      <c r="E33" s="32" t="inlineStr">
        <is>
          <t>Men's haircut</t>
        </is>
      </c>
      <c r="F33" s="33" t="inlineStr">
        <is>
          <t>Done</t>
        </is>
      </c>
      <c r="G33" s="27">
        <f>IF(E33="","",MAX(0,IFERROR(INDEX(Services!$C$6:$C$35,MATCH(E33,Services!$B$6:$B$35,0)),0)-N(H33)))</f>
        <v/>
      </c>
      <c r="H33" s="34" t="n"/>
      <c r="I33" s="34" t="n">
        <v>30</v>
      </c>
      <c r="J33" s="33" t="inlineStr">
        <is>
          <t>Card</t>
        </is>
      </c>
      <c r="K33" s="28">
        <f>IF(OR(B33="",F33&lt;&gt;"Done",J33="Package"),"",IF(N(G33)-N(I33)&gt;0,N(G33)-N(I33),""))</f>
        <v/>
      </c>
      <c r="L33" s="32" t="n"/>
      <c r="M33" s="1">
        <f>IF(OR(B33="",D33="",F33="Cancelled"),"",B33+N(C33)+ROW()/10000000)</f>
        <v/>
      </c>
      <c r="N33">
        <f>IF(AND(F33="Done",M33&lt;&gt;""),IF(COUNTIFS(Appointments!$D$6:$D$2005,D33,Appointments!$F$6:$F$2005,"Done",Appointments!$M$6:$M$2005,"&gt;"&amp;M33)=0,1,0),0)</f>
        <v/>
      </c>
      <c r="O33">
        <f>IF(AND(F33="Booked",M33&lt;&gt;"",N(B33)&gt;=TODAY()),IF(COUNTIFS(Appointments!$D$6:$D$2005,D33,Appointments!$F$6:$F$2005,"Booked",Appointments!$B$6:$B$2005,"&gt;="&amp;TODAY(),Appointments!$M$6:$M$2005,"&lt;"&amp;M33)=0,1,0),0)</f>
        <v/>
      </c>
    </row>
    <row r="34">
      <c r="A34" s="1" t="n"/>
      <c r="B34" s="30" t="n">
        <v>46035</v>
      </c>
      <c r="C34" s="31" t="n">
        <v>0.4861111111111111</v>
      </c>
      <c r="D34" s="32" t="inlineStr">
        <is>
          <t>Owen Morgan</t>
        </is>
      </c>
      <c r="E34" s="32" t="inlineStr">
        <is>
          <t>Men's haircut</t>
        </is>
      </c>
      <c r="F34" s="33" t="inlineStr">
        <is>
          <t>Done</t>
        </is>
      </c>
      <c r="G34" s="27">
        <f>IF(E34="","",MAX(0,IFERROR(INDEX(Services!$C$6:$C$35,MATCH(E34,Services!$B$6:$B$35,0)),0)-N(H34)))</f>
        <v/>
      </c>
      <c r="H34" s="34" t="n"/>
      <c r="I34" s="34" t="n">
        <v>30</v>
      </c>
      <c r="J34" s="33" t="inlineStr">
        <is>
          <t>Card</t>
        </is>
      </c>
      <c r="K34" s="28">
        <f>IF(OR(B34="",F34&lt;&gt;"Done",J34="Package"),"",IF(N(G34)-N(I34)&gt;0,N(G34)-N(I34),""))</f>
        <v/>
      </c>
      <c r="L34" s="32" t="n"/>
      <c r="M34" s="1">
        <f>IF(OR(B34="",D34="",F34="Cancelled"),"",B34+N(C34)+ROW()/10000000)</f>
        <v/>
      </c>
      <c r="N34">
        <f>IF(AND(F34="Done",M34&lt;&gt;""),IF(COUNTIFS(Appointments!$D$6:$D$2005,D34,Appointments!$F$6:$F$2005,"Done",Appointments!$M$6:$M$2005,"&gt;"&amp;M34)=0,1,0),0)</f>
        <v/>
      </c>
      <c r="O34">
        <f>IF(AND(F34="Booked",M34&lt;&gt;"",N(B34)&gt;=TODAY()),IF(COUNTIFS(Appointments!$D$6:$D$2005,D34,Appointments!$F$6:$F$2005,"Booked",Appointments!$B$6:$B$2005,"&gt;="&amp;TODAY(),Appointments!$M$6:$M$2005,"&lt;"&amp;M34)=0,1,0),0)</f>
        <v/>
      </c>
    </row>
    <row r="35">
      <c r="A35" s="1" t="n"/>
      <c r="B35" s="30" t="n">
        <v>46035</v>
      </c>
      <c r="C35" s="31" t="n">
        <v>0.5138888888888888</v>
      </c>
      <c r="D35" s="32" t="inlineStr">
        <is>
          <t>Pete Young</t>
        </is>
      </c>
      <c r="E35" s="32" t="inlineStr">
        <is>
          <t>Men's haircut</t>
        </is>
      </c>
      <c r="F35" s="33" t="inlineStr">
        <is>
          <t>Cancelled</t>
        </is>
      </c>
      <c r="G35" s="27">
        <f>IF(E35="","",MAX(0,IFERROR(INDEX(Services!$C$6:$C$35,MATCH(E35,Services!$B$6:$B$35,0)),0)-N(H35)))</f>
        <v/>
      </c>
      <c r="H35" s="34" t="n"/>
      <c r="I35" s="34" t="n"/>
      <c r="J35" s="33" t="n"/>
      <c r="K35" s="28">
        <f>IF(OR(B35="",F35&lt;&gt;"Done",J35="Package"),"",IF(N(G35)-N(I35)&gt;0,N(G35)-N(I35),""))</f>
        <v/>
      </c>
      <c r="L35" s="32" t="n"/>
      <c r="M35" s="1">
        <f>IF(OR(B35="",D35="",F35="Cancelled"),"",B35+N(C35)+ROW()/10000000)</f>
        <v/>
      </c>
      <c r="N35">
        <f>IF(AND(F35="Done",M35&lt;&gt;""),IF(COUNTIFS(Appointments!$D$6:$D$2005,D35,Appointments!$F$6:$F$2005,"Done",Appointments!$M$6:$M$2005,"&gt;"&amp;M35)=0,1,0),0)</f>
        <v/>
      </c>
      <c r="O35">
        <f>IF(AND(F35="Booked",M35&lt;&gt;"",N(B35)&gt;=TODAY()),IF(COUNTIFS(Appointments!$D$6:$D$2005,D35,Appointments!$F$6:$F$2005,"Booked",Appointments!$B$6:$B$2005,"&gt;="&amp;TODAY(),Appointments!$M$6:$M$2005,"&lt;"&amp;M35)=0,1,0),0)</f>
        <v/>
      </c>
    </row>
    <row r="36">
      <c r="A36" s="1" t="n"/>
      <c r="B36" s="30" t="n">
        <v>46035</v>
      </c>
      <c r="C36" s="31" t="n">
        <v>0.5416666666666666</v>
      </c>
      <c r="D36" s="32" t="inlineStr">
        <is>
          <t>Uma Nair</t>
        </is>
      </c>
      <c r="E36" s="32" t="inlineStr">
        <is>
          <t>Women's haircut</t>
        </is>
      </c>
      <c r="F36" s="33" t="inlineStr">
        <is>
          <t>Cancelled</t>
        </is>
      </c>
      <c r="G36" s="27">
        <f>IF(E36="","",MAX(0,IFERROR(INDEX(Services!$C$6:$C$35,MATCH(E36,Services!$B$6:$B$35,0)),0)-N(H36)))</f>
        <v/>
      </c>
      <c r="H36" s="34" t="n"/>
      <c r="I36" s="34" t="n"/>
      <c r="J36" s="33" t="n"/>
      <c r="K36" s="28">
        <f>IF(OR(B36="",F36&lt;&gt;"Done",J36="Package"),"",IF(N(G36)-N(I36)&gt;0,N(G36)-N(I36),""))</f>
        <v/>
      </c>
      <c r="L36" s="32" t="n"/>
      <c r="M36" s="1">
        <f>IF(OR(B36="",D36="",F36="Cancelled"),"",B36+N(C36)+ROW()/10000000)</f>
        <v/>
      </c>
      <c r="N36">
        <f>IF(AND(F36="Done",M36&lt;&gt;""),IF(COUNTIFS(Appointments!$D$6:$D$2005,D36,Appointments!$F$6:$F$2005,"Done",Appointments!$M$6:$M$2005,"&gt;"&amp;M36)=0,1,0),0)</f>
        <v/>
      </c>
      <c r="O36">
        <f>IF(AND(F36="Booked",M36&lt;&gt;"",N(B36)&gt;=TODAY()),IF(COUNTIFS(Appointments!$D$6:$D$2005,D36,Appointments!$F$6:$F$2005,"Booked",Appointments!$B$6:$B$2005,"&gt;="&amp;TODAY(),Appointments!$M$6:$M$2005,"&lt;"&amp;M36)=0,1,0),0)</f>
        <v/>
      </c>
    </row>
    <row r="37">
      <c r="A37" s="1" t="n"/>
      <c r="B37" s="30" t="n">
        <v>46036</v>
      </c>
      <c r="C37" s="31" t="n">
        <v>0.375</v>
      </c>
      <c r="D37" s="32" t="inlineStr">
        <is>
          <t>Ben Carter</t>
        </is>
      </c>
      <c r="E37" s="32" t="inlineStr">
        <is>
          <t>Men's haircut</t>
        </is>
      </c>
      <c r="F37" s="33" t="inlineStr">
        <is>
          <t>Done</t>
        </is>
      </c>
      <c r="G37" s="27">
        <f>IF(E37="","",MAX(0,IFERROR(INDEX(Services!$C$6:$C$35,MATCH(E37,Services!$B$6:$B$35,0)),0)-N(H37)))</f>
        <v/>
      </c>
      <c r="H37" s="34" t="n"/>
      <c r="I37" s="34" t="n">
        <v>30</v>
      </c>
      <c r="J37" s="33" t="inlineStr">
        <is>
          <t>Card</t>
        </is>
      </c>
      <c r="K37" s="28">
        <f>IF(OR(B37="",F37&lt;&gt;"Done",J37="Package"),"",IF(N(G37)-N(I37)&gt;0,N(G37)-N(I37),""))</f>
        <v/>
      </c>
      <c r="L37" s="32" t="n"/>
      <c r="M37" s="1">
        <f>IF(OR(B37="",D37="",F37="Cancelled"),"",B37+N(C37)+ROW()/10000000)</f>
        <v/>
      </c>
      <c r="N37">
        <f>IF(AND(F37="Done",M37&lt;&gt;""),IF(COUNTIFS(Appointments!$D$6:$D$2005,D37,Appointments!$F$6:$F$2005,"Done",Appointments!$M$6:$M$2005,"&gt;"&amp;M37)=0,1,0),0)</f>
        <v/>
      </c>
      <c r="O37">
        <f>IF(AND(F37="Booked",M37&lt;&gt;"",N(B37)&gt;=TODAY()),IF(COUNTIFS(Appointments!$D$6:$D$2005,D37,Appointments!$F$6:$F$2005,"Booked",Appointments!$B$6:$B$2005,"&gt;="&amp;TODAY(),Appointments!$M$6:$M$2005,"&lt;"&amp;M37)=0,1,0),0)</f>
        <v/>
      </c>
    </row>
    <row r="38">
      <c r="A38" s="1" t="n"/>
      <c r="B38" s="30" t="n">
        <v>46036</v>
      </c>
      <c r="C38" s="31" t="n">
        <v>0.4027777777777778</v>
      </c>
      <c r="D38" s="32" t="inlineStr">
        <is>
          <t>Dina Baker</t>
        </is>
      </c>
      <c r="E38" s="32" t="inlineStr">
        <is>
          <t>Women's haircut</t>
        </is>
      </c>
      <c r="F38" s="33" t="inlineStr">
        <is>
          <t>Done</t>
        </is>
      </c>
      <c r="G38" s="27">
        <f>IF(E38="","",MAX(0,IFERROR(INDEX(Services!$C$6:$C$35,MATCH(E38,Services!$B$6:$B$35,0)),0)-N(H38)))</f>
        <v/>
      </c>
      <c r="H38" s="34" t="n"/>
      <c r="I38" s="34" t="n">
        <v>55</v>
      </c>
      <c r="J38" s="33" t="inlineStr">
        <is>
          <t>Card</t>
        </is>
      </c>
      <c r="K38" s="28">
        <f>IF(OR(B38="",F38&lt;&gt;"Done",J38="Package"),"",IF(N(G38)-N(I38)&gt;0,N(G38)-N(I38),""))</f>
        <v/>
      </c>
      <c r="L38" s="32" t="n"/>
      <c r="M38" s="1">
        <f>IF(OR(B38="",D38="",F38="Cancelled"),"",B38+N(C38)+ROW()/10000000)</f>
        <v/>
      </c>
      <c r="N38">
        <f>IF(AND(F38="Done",M38&lt;&gt;""),IF(COUNTIFS(Appointments!$D$6:$D$2005,D38,Appointments!$F$6:$F$2005,"Done",Appointments!$M$6:$M$2005,"&gt;"&amp;M38)=0,1,0),0)</f>
        <v/>
      </c>
      <c r="O38">
        <f>IF(AND(F38="Booked",M38&lt;&gt;"",N(B38)&gt;=TODAY()),IF(COUNTIFS(Appointments!$D$6:$D$2005,D38,Appointments!$F$6:$F$2005,"Booked",Appointments!$B$6:$B$2005,"&gt;="&amp;TODAY(),Appointments!$M$6:$M$2005,"&lt;"&amp;M38)=0,1,0),0)</f>
        <v/>
      </c>
    </row>
    <row r="39">
      <c r="A39" s="1" t="n"/>
      <c r="B39" s="30" t="n">
        <v>46036</v>
      </c>
      <c r="C39" s="31" t="n">
        <v>0.4513888888888889</v>
      </c>
      <c r="D39" s="32" t="inlineStr">
        <is>
          <t>Eli Hughes</t>
        </is>
      </c>
      <c r="E39" s="32" t="inlineStr">
        <is>
          <t>Men's haircut</t>
        </is>
      </c>
      <c r="F39" s="33" t="inlineStr">
        <is>
          <t>Done</t>
        </is>
      </c>
      <c r="G39" s="27">
        <f>IF(E39="","",MAX(0,IFERROR(INDEX(Services!$C$6:$C$35,MATCH(E39,Services!$B$6:$B$35,0)),0)-N(H39)))</f>
        <v/>
      </c>
      <c r="H39" s="34" t="n"/>
      <c r="I39" s="34" t="n">
        <v>30</v>
      </c>
      <c r="J39" s="33" t="inlineStr">
        <is>
          <t>Card</t>
        </is>
      </c>
      <c r="K39" s="28">
        <f>IF(OR(B39="",F39&lt;&gt;"Done",J39="Package"),"",IF(N(G39)-N(I39)&gt;0,N(G39)-N(I39),""))</f>
        <v/>
      </c>
      <c r="L39" s="32" t="n"/>
      <c r="M39" s="1">
        <f>IF(OR(B39="",D39="",F39="Cancelled"),"",B39+N(C39)+ROW()/10000000)</f>
        <v/>
      </c>
      <c r="N39">
        <f>IF(AND(F39="Done",M39&lt;&gt;""),IF(COUNTIFS(Appointments!$D$6:$D$2005,D39,Appointments!$F$6:$F$2005,"Done",Appointments!$M$6:$M$2005,"&gt;"&amp;M39)=0,1,0),0)</f>
        <v/>
      </c>
      <c r="O39">
        <f>IF(AND(F39="Booked",M39&lt;&gt;"",N(B39)&gt;=TODAY()),IF(COUNTIFS(Appointments!$D$6:$D$2005,D39,Appointments!$F$6:$F$2005,"Booked",Appointments!$B$6:$B$2005,"&gt;="&amp;TODAY(),Appointments!$M$6:$M$2005,"&lt;"&amp;M39)=0,1,0),0)</f>
        <v/>
      </c>
    </row>
    <row r="40">
      <c r="A40" s="1" t="n"/>
      <c r="B40" s="30" t="n">
        <v>46036</v>
      </c>
      <c r="C40" s="31" t="n">
        <v>0.4791666666666667</v>
      </c>
      <c r="D40" s="32" t="inlineStr">
        <is>
          <t>Jade Hill</t>
        </is>
      </c>
      <c r="E40" s="32" t="inlineStr">
        <is>
          <t>Women's haircut</t>
        </is>
      </c>
      <c r="F40" s="33" t="inlineStr">
        <is>
          <t>Done</t>
        </is>
      </c>
      <c r="G40" s="27">
        <f>IF(E40="","",MAX(0,IFERROR(INDEX(Services!$C$6:$C$35,MATCH(E40,Services!$B$6:$B$35,0)),0)-N(H40)))</f>
        <v/>
      </c>
      <c r="H40" s="34" t="n"/>
      <c r="I40" s="34" t="n">
        <v>55</v>
      </c>
      <c r="J40" s="33" t="inlineStr">
        <is>
          <t>Cash</t>
        </is>
      </c>
      <c r="K40" s="28">
        <f>IF(OR(B40="",F40&lt;&gt;"Done",J40="Package"),"",IF(N(G40)-N(I40)&gt;0,N(G40)-N(I40),""))</f>
        <v/>
      </c>
      <c r="L40" s="32" t="n"/>
      <c r="M40" s="1">
        <f>IF(OR(B40="",D40="",F40="Cancelled"),"",B40+N(C40)+ROW()/10000000)</f>
        <v/>
      </c>
      <c r="N40">
        <f>IF(AND(F40="Done",M40&lt;&gt;""),IF(COUNTIFS(Appointments!$D$6:$D$2005,D40,Appointments!$F$6:$F$2005,"Done",Appointments!$M$6:$M$2005,"&gt;"&amp;M40)=0,1,0),0)</f>
        <v/>
      </c>
      <c r="O40">
        <f>IF(AND(F40="Booked",M40&lt;&gt;"",N(B40)&gt;=TODAY()),IF(COUNTIFS(Appointments!$D$6:$D$2005,D40,Appointments!$F$6:$F$2005,"Booked",Appointments!$B$6:$B$2005,"&gt;="&amp;TODAY(),Appointments!$M$6:$M$2005,"&lt;"&amp;M40)=0,1,0),0)</f>
        <v/>
      </c>
    </row>
    <row r="41">
      <c r="A41" s="1" t="n"/>
      <c r="B41" s="30" t="n">
        <v>46036</v>
      </c>
      <c r="C41" s="31" t="n">
        <v>0.5277777777777778</v>
      </c>
      <c r="D41" s="32" t="inlineStr">
        <is>
          <t>Jon Reid</t>
        </is>
      </c>
      <c r="E41" s="32" t="inlineStr">
        <is>
          <t>Men's haircut</t>
        </is>
      </c>
      <c r="F41" s="33" t="inlineStr">
        <is>
          <t>Done</t>
        </is>
      </c>
      <c r="G41" s="27">
        <f>IF(E41="","",MAX(0,IFERROR(INDEX(Services!$C$6:$C$35,MATCH(E41,Services!$B$6:$B$35,0)),0)-N(H41)))</f>
        <v/>
      </c>
      <c r="H41" s="34" t="n"/>
      <c r="I41" s="34" t="n">
        <v>30</v>
      </c>
      <c r="J41" s="33" t="inlineStr">
        <is>
          <t>Cash</t>
        </is>
      </c>
      <c r="K41" s="28">
        <f>IF(OR(B41="",F41&lt;&gt;"Done",J41="Package"),"",IF(N(G41)-N(I41)&gt;0,N(G41)-N(I41),""))</f>
        <v/>
      </c>
      <c r="L41" s="32" t="n"/>
      <c r="M41" s="1">
        <f>IF(OR(B41="",D41="",F41="Cancelled"),"",B41+N(C41)+ROW()/10000000)</f>
        <v/>
      </c>
      <c r="N41">
        <f>IF(AND(F41="Done",M41&lt;&gt;""),IF(COUNTIFS(Appointments!$D$6:$D$2005,D41,Appointments!$F$6:$F$2005,"Done",Appointments!$M$6:$M$2005,"&gt;"&amp;M41)=0,1,0),0)</f>
        <v/>
      </c>
      <c r="O41">
        <f>IF(AND(F41="Booked",M41&lt;&gt;"",N(B41)&gt;=TODAY()),IF(COUNTIFS(Appointments!$D$6:$D$2005,D41,Appointments!$F$6:$F$2005,"Booked",Appointments!$B$6:$B$2005,"&gt;="&amp;TODAY(),Appointments!$M$6:$M$2005,"&lt;"&amp;M41)=0,1,0),0)</f>
        <v/>
      </c>
    </row>
    <row r="42">
      <c r="A42" s="1" t="n"/>
      <c r="B42" s="30" t="n">
        <v>46036</v>
      </c>
      <c r="C42" s="31" t="n">
        <v>0.5555555555555556</v>
      </c>
      <c r="D42" s="32" t="inlineStr">
        <is>
          <t>Sam Clarke</t>
        </is>
      </c>
      <c r="E42" s="32" t="inlineStr">
        <is>
          <t>Men's haircut</t>
        </is>
      </c>
      <c r="F42" s="33" t="inlineStr">
        <is>
          <t>Done</t>
        </is>
      </c>
      <c r="G42" s="27">
        <f>IF(E42="","",MAX(0,IFERROR(INDEX(Services!$C$6:$C$35,MATCH(E42,Services!$B$6:$B$35,0)),0)-N(H42)))</f>
        <v/>
      </c>
      <c r="H42" s="34" t="n"/>
      <c r="I42" s="34" t="n">
        <v>30</v>
      </c>
      <c r="J42" s="33" t="inlineStr">
        <is>
          <t>Card</t>
        </is>
      </c>
      <c r="K42" s="28">
        <f>IF(OR(B42="",F42&lt;&gt;"Done",J42="Package"),"",IF(N(G42)-N(I42)&gt;0,N(G42)-N(I42),""))</f>
        <v/>
      </c>
      <c r="L42" s="32" t="n"/>
      <c r="M42" s="1">
        <f>IF(OR(B42="",D42="",F42="Cancelled"),"",B42+N(C42)+ROW()/10000000)</f>
        <v/>
      </c>
      <c r="N42">
        <f>IF(AND(F42="Done",M42&lt;&gt;""),IF(COUNTIFS(Appointments!$D$6:$D$2005,D42,Appointments!$F$6:$F$2005,"Done",Appointments!$M$6:$M$2005,"&gt;"&amp;M42)=0,1,0),0)</f>
        <v/>
      </c>
      <c r="O42">
        <f>IF(AND(F42="Booked",M42&lt;&gt;"",N(B42)&gt;=TODAY()),IF(COUNTIFS(Appointments!$D$6:$D$2005,D42,Appointments!$F$6:$F$2005,"Booked",Appointments!$B$6:$B$2005,"&gt;="&amp;TODAY(),Appointments!$M$6:$M$2005,"&lt;"&amp;M42)=0,1,0),0)</f>
        <v/>
      </c>
    </row>
    <row r="43">
      <c r="A43" s="1" t="n"/>
      <c r="B43" s="30" t="n">
        <v>46036</v>
      </c>
      <c r="C43" s="31" t="n">
        <v>0.5833333333333334</v>
      </c>
      <c r="D43" s="32" t="inlineStr">
        <is>
          <t>Sophie Cox</t>
        </is>
      </c>
      <c r="E43" s="32" t="inlineStr">
        <is>
          <t>Women's haircut</t>
        </is>
      </c>
      <c r="F43" s="33" t="inlineStr">
        <is>
          <t>Done</t>
        </is>
      </c>
      <c r="G43" s="27">
        <f>IF(E43="","",MAX(0,IFERROR(INDEX(Services!$C$6:$C$35,MATCH(E43,Services!$B$6:$B$35,0)),0)-N(H43)))</f>
        <v/>
      </c>
      <c r="H43" s="34" t="n"/>
      <c r="I43" s="34" t="n">
        <v>55</v>
      </c>
      <c r="J43" s="33" t="inlineStr">
        <is>
          <t>Card</t>
        </is>
      </c>
      <c r="K43" s="28">
        <f>IF(OR(B43="",F43&lt;&gt;"Done",J43="Package"),"",IF(N(G43)-N(I43)&gt;0,N(G43)-N(I43),""))</f>
        <v/>
      </c>
      <c r="L43" s="32" t="n"/>
      <c r="M43" s="1">
        <f>IF(OR(B43="",D43="",F43="Cancelled"),"",B43+N(C43)+ROW()/10000000)</f>
        <v/>
      </c>
      <c r="N43">
        <f>IF(AND(F43="Done",M43&lt;&gt;""),IF(COUNTIFS(Appointments!$D$6:$D$2005,D43,Appointments!$F$6:$F$2005,"Done",Appointments!$M$6:$M$2005,"&gt;"&amp;M43)=0,1,0),0)</f>
        <v/>
      </c>
      <c r="O43">
        <f>IF(AND(F43="Booked",M43&lt;&gt;"",N(B43)&gt;=TODAY()),IF(COUNTIFS(Appointments!$D$6:$D$2005,D43,Appointments!$F$6:$F$2005,"Booked",Appointments!$B$6:$B$2005,"&gt;="&amp;TODAY(),Appointments!$M$6:$M$2005,"&lt;"&amp;M43)=0,1,0),0)</f>
        <v/>
      </c>
    </row>
    <row r="44">
      <c r="A44" s="1" t="n"/>
      <c r="B44" s="30" t="n">
        <v>46037</v>
      </c>
      <c r="C44" s="31" t="n">
        <v>0.375</v>
      </c>
      <c r="D44" s="32" t="inlineStr">
        <is>
          <t>Adam Gray</t>
        </is>
      </c>
      <c r="E44" s="32" t="inlineStr">
        <is>
          <t>Men's haircut</t>
        </is>
      </c>
      <c r="F44" s="33" t="inlineStr">
        <is>
          <t>Done</t>
        </is>
      </c>
      <c r="G44" s="27">
        <f>IF(E44="","",MAX(0,IFERROR(INDEX(Services!$C$6:$C$35,MATCH(E44,Services!$B$6:$B$35,0)),0)-N(H44)))</f>
        <v/>
      </c>
      <c r="H44" s="34" t="n"/>
      <c r="I44" s="34" t="n">
        <v>30</v>
      </c>
      <c r="J44" s="33" t="inlineStr">
        <is>
          <t>Card</t>
        </is>
      </c>
      <c r="K44" s="28">
        <f>IF(OR(B44="",F44&lt;&gt;"Done",J44="Package"),"",IF(N(G44)-N(I44)&gt;0,N(G44)-N(I44),""))</f>
        <v/>
      </c>
      <c r="L44" s="32" t="n"/>
      <c r="M44" s="1">
        <f>IF(OR(B44="",D44="",F44="Cancelled"),"",B44+N(C44)+ROW()/10000000)</f>
        <v/>
      </c>
      <c r="N44">
        <f>IF(AND(F44="Done",M44&lt;&gt;""),IF(COUNTIFS(Appointments!$D$6:$D$2005,D44,Appointments!$F$6:$F$2005,"Done",Appointments!$M$6:$M$2005,"&gt;"&amp;M44)=0,1,0),0)</f>
        <v/>
      </c>
      <c r="O44">
        <f>IF(AND(F44="Booked",M44&lt;&gt;"",N(B44)&gt;=TODAY()),IF(COUNTIFS(Appointments!$D$6:$D$2005,D44,Appointments!$F$6:$F$2005,"Booked",Appointments!$B$6:$B$2005,"&gt;="&amp;TODAY(),Appointments!$M$6:$M$2005,"&lt;"&amp;M44)=0,1,0),0)</f>
        <v/>
      </c>
    </row>
    <row r="45">
      <c r="A45" s="1" t="n"/>
      <c r="B45" s="30" t="n">
        <v>46037</v>
      </c>
      <c r="C45" s="31" t="n">
        <v>0.4027777777777778</v>
      </c>
      <c r="D45" s="32" t="inlineStr">
        <is>
          <t>Holly Gray</t>
        </is>
      </c>
      <c r="E45" s="32" t="inlineStr">
        <is>
          <t>Women's haircut</t>
        </is>
      </c>
      <c r="F45" s="33" t="inlineStr">
        <is>
          <t>Done</t>
        </is>
      </c>
      <c r="G45" s="27">
        <f>IF(E45="","",MAX(0,IFERROR(INDEX(Services!$C$6:$C$35,MATCH(E45,Services!$B$6:$B$35,0)),0)-N(H45)))</f>
        <v/>
      </c>
      <c r="H45" s="34" t="n"/>
      <c r="I45" s="34" t="n">
        <v>55</v>
      </c>
      <c r="J45" s="33" t="inlineStr">
        <is>
          <t>Transfer</t>
        </is>
      </c>
      <c r="K45" s="28">
        <f>IF(OR(B45="",F45&lt;&gt;"Done",J45="Package"),"",IF(N(G45)-N(I45)&gt;0,N(G45)-N(I45),""))</f>
        <v/>
      </c>
      <c r="L45" s="32" t="n"/>
      <c r="M45" s="1">
        <f>IF(OR(B45="",D45="",F45="Cancelled"),"",B45+N(C45)+ROW()/10000000)</f>
        <v/>
      </c>
      <c r="N45">
        <f>IF(AND(F45="Done",M45&lt;&gt;""),IF(COUNTIFS(Appointments!$D$6:$D$2005,D45,Appointments!$F$6:$F$2005,"Done",Appointments!$M$6:$M$2005,"&gt;"&amp;M45)=0,1,0),0)</f>
        <v/>
      </c>
      <c r="O45">
        <f>IF(AND(F45="Booked",M45&lt;&gt;"",N(B45)&gt;=TODAY()),IF(COUNTIFS(Appointments!$D$6:$D$2005,D45,Appointments!$F$6:$F$2005,"Booked",Appointments!$B$6:$B$2005,"&gt;="&amp;TODAY(),Appointments!$M$6:$M$2005,"&lt;"&amp;M45)=0,1,0),0)</f>
        <v/>
      </c>
    </row>
    <row r="46">
      <c r="A46" s="1" t="n"/>
      <c r="B46" s="30" t="n">
        <v>46037</v>
      </c>
      <c r="C46" s="31" t="n">
        <v>0.4513888888888889</v>
      </c>
      <c r="D46" s="32" t="inlineStr">
        <is>
          <t>Ian Bell</t>
        </is>
      </c>
      <c r="E46" s="32" t="inlineStr">
        <is>
          <t>Men's haircut</t>
        </is>
      </c>
      <c r="F46" s="33" t="inlineStr">
        <is>
          <t>Done</t>
        </is>
      </c>
      <c r="G46" s="27">
        <f>IF(E46="","",MAX(0,IFERROR(INDEX(Services!$C$6:$C$35,MATCH(E46,Services!$B$6:$B$35,0)),0)-N(H46)))</f>
        <v/>
      </c>
      <c r="H46" s="34" t="n"/>
      <c r="I46" s="34" t="n">
        <v>30</v>
      </c>
      <c r="J46" s="33" t="inlineStr">
        <is>
          <t>Transfer</t>
        </is>
      </c>
      <c r="K46" s="28">
        <f>IF(OR(B46="",F46&lt;&gt;"Done",J46="Package"),"",IF(N(G46)-N(I46)&gt;0,N(G46)-N(I46),""))</f>
        <v/>
      </c>
      <c r="L46" s="32" t="n"/>
      <c r="M46" s="1">
        <f>IF(OR(B46="",D46="",F46="Cancelled"),"",B46+N(C46)+ROW()/10000000)</f>
        <v/>
      </c>
      <c r="N46">
        <f>IF(AND(F46="Done",M46&lt;&gt;""),IF(COUNTIFS(Appointments!$D$6:$D$2005,D46,Appointments!$F$6:$F$2005,"Done",Appointments!$M$6:$M$2005,"&gt;"&amp;M46)=0,1,0),0)</f>
        <v/>
      </c>
      <c r="O46">
        <f>IF(AND(F46="Booked",M46&lt;&gt;"",N(B46)&gt;=TODAY()),IF(COUNTIFS(Appointments!$D$6:$D$2005,D46,Appointments!$F$6:$F$2005,"Booked",Appointments!$B$6:$B$2005,"&gt;="&amp;TODAY(),Appointments!$M$6:$M$2005,"&lt;"&amp;M46)=0,1,0),0)</f>
        <v/>
      </c>
    </row>
    <row r="47">
      <c r="A47" s="1" t="n"/>
      <c r="B47" s="30" t="n">
        <v>46037</v>
      </c>
      <c r="C47" s="31" t="n">
        <v>0.4791666666666667</v>
      </c>
      <c r="D47" s="32" t="inlineStr">
        <is>
          <t>Kara Young</t>
        </is>
      </c>
      <c r="E47" s="32" t="inlineStr">
        <is>
          <t>Toner</t>
        </is>
      </c>
      <c r="F47" s="33" t="inlineStr">
        <is>
          <t>Done</t>
        </is>
      </c>
      <c r="G47" s="27">
        <f>IF(E47="","",MAX(0,IFERROR(INDEX(Services!$C$6:$C$35,MATCH(E47,Services!$B$6:$B$35,0)),0)-N(H47)))</f>
        <v/>
      </c>
      <c r="H47" s="34" t="n"/>
      <c r="I47" s="34" t="n">
        <v>40</v>
      </c>
      <c r="J47" s="33" t="inlineStr">
        <is>
          <t>Card</t>
        </is>
      </c>
      <c r="K47" s="28">
        <f>IF(OR(B47="",F47&lt;&gt;"Done",J47="Package"),"",IF(N(G47)-N(I47)&gt;0,N(G47)-N(I47),""))</f>
        <v/>
      </c>
      <c r="L47" s="32" t="n"/>
      <c r="M47" s="1">
        <f>IF(OR(B47="",D47="",F47="Cancelled"),"",B47+N(C47)+ROW()/10000000)</f>
        <v/>
      </c>
      <c r="N47">
        <f>IF(AND(F47="Done",M47&lt;&gt;""),IF(COUNTIFS(Appointments!$D$6:$D$2005,D47,Appointments!$F$6:$F$2005,"Done",Appointments!$M$6:$M$2005,"&gt;"&amp;M47)=0,1,0),0)</f>
        <v/>
      </c>
      <c r="O47">
        <f>IF(AND(F47="Booked",M47&lt;&gt;"",N(B47)&gt;=TODAY()),IF(COUNTIFS(Appointments!$D$6:$D$2005,D47,Appointments!$F$6:$F$2005,"Booked",Appointments!$B$6:$B$2005,"&gt;="&amp;TODAY(),Appointments!$M$6:$M$2005,"&lt;"&amp;M47)=0,1,0),0)</f>
        <v/>
      </c>
    </row>
    <row r="48">
      <c r="A48" s="1" t="n"/>
      <c r="B48" s="30" t="n">
        <v>46037</v>
      </c>
      <c r="C48" s="31" t="n">
        <v>0.5069444444444444</v>
      </c>
      <c r="D48" s="32" t="inlineStr">
        <is>
          <t>Luke Lewis</t>
        </is>
      </c>
      <c r="E48" s="32" t="inlineStr">
        <is>
          <t>Men's haircut</t>
        </is>
      </c>
      <c r="F48" s="33" t="inlineStr">
        <is>
          <t>Done</t>
        </is>
      </c>
      <c r="G48" s="27">
        <f>IF(E48="","",MAX(0,IFERROR(INDEX(Services!$C$6:$C$35,MATCH(E48,Services!$B$6:$B$35,0)),0)-N(H48)))</f>
        <v/>
      </c>
      <c r="H48" s="34" t="n"/>
      <c r="I48" s="34" t="n">
        <v>30</v>
      </c>
      <c r="J48" s="33" t="inlineStr">
        <is>
          <t>Card</t>
        </is>
      </c>
      <c r="K48" s="28">
        <f>IF(OR(B48="",F48&lt;&gt;"Done",J48="Package"),"",IF(N(G48)-N(I48)&gt;0,N(G48)-N(I48),""))</f>
        <v/>
      </c>
      <c r="L48" s="32" t="n"/>
      <c r="M48" s="1">
        <f>IF(OR(B48="",D48="",F48="Cancelled"),"",B48+N(C48)+ROW()/10000000)</f>
        <v/>
      </c>
      <c r="N48">
        <f>IF(AND(F48="Done",M48&lt;&gt;""),IF(COUNTIFS(Appointments!$D$6:$D$2005,D48,Appointments!$F$6:$F$2005,"Done",Appointments!$M$6:$M$2005,"&gt;"&amp;M48)=0,1,0),0)</f>
        <v/>
      </c>
      <c r="O48">
        <f>IF(AND(F48="Booked",M48&lt;&gt;"",N(B48)&gt;=TODAY()),IF(COUNTIFS(Appointments!$D$6:$D$2005,D48,Appointments!$F$6:$F$2005,"Booked",Appointments!$B$6:$B$2005,"&gt;="&amp;TODAY(),Appointments!$M$6:$M$2005,"&lt;"&amp;M48)=0,1,0),0)</f>
        <v/>
      </c>
    </row>
    <row r="49">
      <c r="A49" s="1" t="n"/>
      <c r="B49" s="30" t="n">
        <v>46037</v>
      </c>
      <c r="C49" s="31" t="n">
        <v>0.5347222222222222</v>
      </c>
      <c r="D49" s="32" t="inlineStr">
        <is>
          <t>Quinn Harris</t>
        </is>
      </c>
      <c r="E49" s="32" t="inlineStr">
        <is>
          <t>Highlights</t>
        </is>
      </c>
      <c r="F49" s="33" t="inlineStr">
        <is>
          <t>Done</t>
        </is>
      </c>
      <c r="G49" s="27">
        <f>IF(E49="","",MAX(0,IFERROR(INDEX(Services!$C$6:$C$35,MATCH(E49,Services!$B$6:$B$35,0)),0)-N(H49)))</f>
        <v/>
      </c>
      <c r="H49" s="34" t="n">
        <v>10</v>
      </c>
      <c r="I49" s="34" t="n">
        <v>130</v>
      </c>
      <c r="J49" s="33" t="inlineStr">
        <is>
          <t>Card</t>
        </is>
      </c>
      <c r="K49" s="28">
        <f>IF(OR(B49="",F49&lt;&gt;"Done",J49="Package"),"",IF(N(G49)-N(I49)&gt;0,N(G49)-N(I49),""))</f>
        <v/>
      </c>
      <c r="L49" s="32" t="inlineStr">
        <is>
          <t>Friends and family</t>
        </is>
      </c>
      <c r="M49" s="1">
        <f>IF(OR(B49="",D49="",F49="Cancelled"),"",B49+N(C49)+ROW()/10000000)</f>
        <v/>
      </c>
      <c r="N49">
        <f>IF(AND(F49="Done",M49&lt;&gt;""),IF(COUNTIFS(Appointments!$D$6:$D$2005,D49,Appointments!$F$6:$F$2005,"Done",Appointments!$M$6:$M$2005,"&gt;"&amp;M49)=0,1,0),0)</f>
        <v/>
      </c>
      <c r="O49">
        <f>IF(AND(F49="Booked",M49&lt;&gt;"",N(B49)&gt;=TODAY()),IF(COUNTIFS(Appointments!$D$6:$D$2005,D49,Appointments!$F$6:$F$2005,"Booked",Appointments!$B$6:$B$2005,"&gt;="&amp;TODAY(),Appointments!$M$6:$M$2005,"&lt;"&amp;M49)=0,1,0),0)</f>
        <v/>
      </c>
    </row>
    <row r="50">
      <c r="A50" s="1" t="n"/>
      <c r="B50" s="30" t="n">
        <v>46037</v>
      </c>
      <c r="C50" s="31" t="n">
        <v>0.6458333333333334</v>
      </c>
      <c r="D50" s="32" t="inlineStr">
        <is>
          <t>Tom Gray</t>
        </is>
      </c>
      <c r="E50" s="32" t="inlineStr">
        <is>
          <t>Men's haircut</t>
        </is>
      </c>
      <c r="F50" s="33" t="inlineStr">
        <is>
          <t>Done</t>
        </is>
      </c>
      <c r="G50" s="27">
        <f>IF(E50="","",MAX(0,IFERROR(INDEX(Services!$C$6:$C$35,MATCH(E50,Services!$B$6:$B$35,0)),0)-N(H50)))</f>
        <v/>
      </c>
      <c r="H50" s="34" t="n"/>
      <c r="I50" s="34" t="n">
        <v>30</v>
      </c>
      <c r="J50" s="33" t="inlineStr">
        <is>
          <t>App</t>
        </is>
      </c>
      <c r="K50" s="28">
        <f>IF(OR(B50="",F50&lt;&gt;"Done",J50="Package"),"",IF(N(G50)-N(I50)&gt;0,N(G50)-N(I50),""))</f>
        <v/>
      </c>
      <c r="L50" s="32" t="n"/>
      <c r="M50" s="1">
        <f>IF(OR(B50="",D50="",F50="Cancelled"),"",B50+N(C50)+ROW()/10000000)</f>
        <v/>
      </c>
      <c r="N50">
        <f>IF(AND(F50="Done",M50&lt;&gt;""),IF(COUNTIFS(Appointments!$D$6:$D$2005,D50,Appointments!$F$6:$F$2005,"Done",Appointments!$M$6:$M$2005,"&gt;"&amp;M50)=0,1,0),0)</f>
        <v/>
      </c>
      <c r="O50">
        <f>IF(AND(F50="Booked",M50&lt;&gt;"",N(B50)&gt;=TODAY()),IF(COUNTIFS(Appointments!$D$6:$D$2005,D50,Appointments!$F$6:$F$2005,"Booked",Appointments!$B$6:$B$2005,"&gt;="&amp;TODAY(),Appointments!$M$6:$M$2005,"&lt;"&amp;M50)=0,1,0),0)</f>
        <v/>
      </c>
    </row>
    <row r="51">
      <c r="A51" s="1" t="n"/>
      <c r="B51" s="30" t="n">
        <v>46038</v>
      </c>
      <c r="C51" s="31" t="n">
        <v>0.375</v>
      </c>
      <c r="D51" s="32" t="inlineStr">
        <is>
          <t>Dina Adams</t>
        </is>
      </c>
      <c r="E51" s="32" t="inlineStr">
        <is>
          <t>Women's haircut</t>
        </is>
      </c>
      <c r="F51" s="33" t="inlineStr">
        <is>
          <t>Done</t>
        </is>
      </c>
      <c r="G51" s="27">
        <f>IF(E51="","",MAX(0,IFERROR(INDEX(Services!$C$6:$C$35,MATCH(E51,Services!$B$6:$B$35,0)),0)-N(H51)))</f>
        <v/>
      </c>
      <c r="H51" s="34" t="n"/>
      <c r="I51" s="34" t="n">
        <v>55</v>
      </c>
      <c r="J51" s="33" t="inlineStr">
        <is>
          <t>Cash</t>
        </is>
      </c>
      <c r="K51" s="28">
        <f>IF(OR(B51="",F51&lt;&gt;"Done",J51="Package"),"",IF(N(G51)-N(I51)&gt;0,N(G51)-N(I51),""))</f>
        <v/>
      </c>
      <c r="L51" s="32" t="n"/>
      <c r="M51" s="1">
        <f>IF(OR(B51="",D51="",F51="Cancelled"),"",B51+N(C51)+ROW()/10000000)</f>
        <v/>
      </c>
      <c r="N51">
        <f>IF(AND(F51="Done",M51&lt;&gt;""),IF(COUNTIFS(Appointments!$D$6:$D$2005,D51,Appointments!$F$6:$F$2005,"Done",Appointments!$M$6:$M$2005,"&gt;"&amp;M51)=0,1,0),0)</f>
        <v/>
      </c>
      <c r="O51">
        <f>IF(AND(F51="Booked",M51&lt;&gt;"",N(B51)&gt;=TODAY()),IF(COUNTIFS(Appointments!$D$6:$D$2005,D51,Appointments!$F$6:$F$2005,"Booked",Appointments!$B$6:$B$2005,"&gt;="&amp;TODAY(),Appointments!$M$6:$M$2005,"&lt;"&amp;M51)=0,1,0),0)</f>
        <v/>
      </c>
    </row>
    <row r="52">
      <c r="A52" s="1" t="n"/>
      <c r="B52" s="30" t="n">
        <v>46038</v>
      </c>
      <c r="C52" s="31" t="n">
        <v>0.4236111111111111</v>
      </c>
      <c r="D52" s="32" t="inlineStr">
        <is>
          <t>Finn Gray</t>
        </is>
      </c>
      <c r="E52" s="32" t="inlineStr">
        <is>
          <t>Men's haircut</t>
        </is>
      </c>
      <c r="F52" s="33" t="inlineStr">
        <is>
          <t>Done</t>
        </is>
      </c>
      <c r="G52" s="27">
        <f>IF(E52="","",MAX(0,IFERROR(INDEX(Services!$C$6:$C$35,MATCH(E52,Services!$B$6:$B$35,0)),0)-N(H52)))</f>
        <v/>
      </c>
      <c r="H52" s="34" t="n"/>
      <c r="I52" s="34" t="n">
        <v>30</v>
      </c>
      <c r="J52" s="33" t="inlineStr">
        <is>
          <t>App</t>
        </is>
      </c>
      <c r="K52" s="28">
        <f>IF(OR(B52="",F52&lt;&gt;"Done",J52="Package"),"",IF(N(G52)-N(I52)&gt;0,N(G52)-N(I52),""))</f>
        <v/>
      </c>
      <c r="L52" s="32" t="n"/>
      <c r="M52" s="1">
        <f>IF(OR(B52="",D52="",F52="Cancelled"),"",B52+N(C52)+ROW()/10000000)</f>
        <v/>
      </c>
      <c r="N52">
        <f>IF(AND(F52="Done",M52&lt;&gt;""),IF(COUNTIFS(Appointments!$D$6:$D$2005,D52,Appointments!$F$6:$F$2005,"Done",Appointments!$M$6:$M$2005,"&gt;"&amp;M52)=0,1,0),0)</f>
        <v/>
      </c>
      <c r="O52">
        <f>IF(AND(F52="Booked",M52&lt;&gt;"",N(B52)&gt;=TODAY()),IF(COUNTIFS(Appointments!$D$6:$D$2005,D52,Appointments!$F$6:$F$2005,"Booked",Appointments!$B$6:$B$2005,"&gt;="&amp;TODAY(),Appointments!$M$6:$M$2005,"&lt;"&amp;M52)=0,1,0),0)</f>
        <v/>
      </c>
    </row>
    <row r="53">
      <c r="A53" s="1" t="n"/>
      <c r="B53" s="30" t="n">
        <v>46038</v>
      </c>
      <c r="C53" s="31" t="n">
        <v>0.4513888888888889</v>
      </c>
      <c r="D53" s="32" t="inlineStr">
        <is>
          <t>George Kelly</t>
        </is>
      </c>
      <c r="E53" s="32" t="inlineStr">
        <is>
          <t>Men's haircut</t>
        </is>
      </c>
      <c r="F53" s="33" t="inlineStr">
        <is>
          <t>Done</t>
        </is>
      </c>
      <c r="G53" s="27">
        <f>IF(E53="","",MAX(0,IFERROR(INDEX(Services!$C$6:$C$35,MATCH(E53,Services!$B$6:$B$35,0)),0)-N(H53)))</f>
        <v/>
      </c>
      <c r="H53" s="34" t="n"/>
      <c r="I53" s="34" t="n">
        <v>30</v>
      </c>
      <c r="J53" s="33" t="inlineStr">
        <is>
          <t>Card</t>
        </is>
      </c>
      <c r="K53" s="28">
        <f>IF(OR(B53="",F53&lt;&gt;"Done",J53="Package"),"",IF(N(G53)-N(I53)&gt;0,N(G53)-N(I53),""))</f>
        <v/>
      </c>
      <c r="L53" s="32" t="n"/>
      <c r="M53" s="1">
        <f>IF(OR(B53="",D53="",F53="Cancelled"),"",B53+N(C53)+ROW()/10000000)</f>
        <v/>
      </c>
      <c r="N53">
        <f>IF(AND(F53="Done",M53&lt;&gt;""),IF(COUNTIFS(Appointments!$D$6:$D$2005,D53,Appointments!$F$6:$F$2005,"Done",Appointments!$M$6:$M$2005,"&gt;"&amp;M53)=0,1,0),0)</f>
        <v/>
      </c>
      <c r="O53">
        <f>IF(AND(F53="Booked",M53&lt;&gt;"",N(B53)&gt;=TODAY()),IF(COUNTIFS(Appointments!$D$6:$D$2005,D53,Appointments!$F$6:$F$2005,"Booked",Appointments!$B$6:$B$2005,"&gt;="&amp;TODAY(),Appointments!$M$6:$M$2005,"&lt;"&amp;M53)=0,1,0),0)</f>
        <v/>
      </c>
    </row>
    <row r="54">
      <c r="A54" s="1" t="n"/>
      <c r="B54" s="30" t="n">
        <v>46038</v>
      </c>
      <c r="C54" s="31" t="n">
        <v>0.4791666666666667</v>
      </c>
      <c r="D54" s="32" t="inlineStr">
        <is>
          <t>Grace Lee</t>
        </is>
      </c>
      <c r="E54" s="32" t="inlineStr">
        <is>
          <t>Women's haircut</t>
        </is>
      </c>
      <c r="F54" s="33" t="inlineStr">
        <is>
          <t>Done</t>
        </is>
      </c>
      <c r="G54" s="27">
        <f>IF(E54="","",MAX(0,IFERROR(INDEX(Services!$C$6:$C$35,MATCH(E54,Services!$B$6:$B$35,0)),0)-N(H54)))</f>
        <v/>
      </c>
      <c r="H54" s="34" t="n"/>
      <c r="I54" s="34" t="n">
        <v>55</v>
      </c>
      <c r="J54" s="33" t="inlineStr">
        <is>
          <t>Card</t>
        </is>
      </c>
      <c r="K54" s="28">
        <f>IF(OR(B54="",F54&lt;&gt;"Done",J54="Package"),"",IF(N(G54)-N(I54)&gt;0,N(G54)-N(I54),""))</f>
        <v/>
      </c>
      <c r="L54" s="32" t="n"/>
      <c r="M54" s="1">
        <f>IF(OR(B54="",D54="",F54="Cancelled"),"",B54+N(C54)+ROW()/10000000)</f>
        <v/>
      </c>
      <c r="N54">
        <f>IF(AND(F54="Done",M54&lt;&gt;""),IF(COUNTIFS(Appointments!$D$6:$D$2005,D54,Appointments!$F$6:$F$2005,"Done",Appointments!$M$6:$M$2005,"&gt;"&amp;M54)=0,1,0),0)</f>
        <v/>
      </c>
      <c r="O54">
        <f>IF(AND(F54="Booked",M54&lt;&gt;"",N(B54)&gt;=TODAY()),IF(COUNTIFS(Appointments!$D$6:$D$2005,D54,Appointments!$F$6:$F$2005,"Booked",Appointments!$B$6:$B$2005,"&gt;="&amp;TODAY(),Appointments!$M$6:$M$2005,"&lt;"&amp;M54)=0,1,0),0)</f>
        <v/>
      </c>
    </row>
    <row r="55">
      <c r="A55" s="1" t="n"/>
      <c r="B55" s="30" t="n">
        <v>46038</v>
      </c>
      <c r="C55" s="31" t="n">
        <v>0.5277777777777778</v>
      </c>
      <c r="D55" s="32" t="inlineStr">
        <is>
          <t>Harry Ellis</t>
        </is>
      </c>
      <c r="E55" s="32" t="inlineStr">
        <is>
          <t>Men's haircut</t>
        </is>
      </c>
      <c r="F55" s="33" t="inlineStr">
        <is>
          <t>Done</t>
        </is>
      </c>
      <c r="G55" s="27">
        <f>IF(E55="","",MAX(0,IFERROR(INDEX(Services!$C$6:$C$35,MATCH(E55,Services!$B$6:$B$35,0)),0)-N(H55)))</f>
        <v/>
      </c>
      <c r="H55" s="34" t="n"/>
      <c r="I55" s="34" t="n">
        <v>30</v>
      </c>
      <c r="J55" s="33" t="inlineStr">
        <is>
          <t>Cash</t>
        </is>
      </c>
      <c r="K55" s="28">
        <f>IF(OR(B55="",F55&lt;&gt;"Done",J55="Package"),"",IF(N(G55)-N(I55)&gt;0,N(G55)-N(I55),""))</f>
        <v/>
      </c>
      <c r="L55" s="32" t="n"/>
      <c r="M55" s="1">
        <f>IF(OR(B55="",D55="",F55="Cancelled"),"",B55+N(C55)+ROW()/10000000)</f>
        <v/>
      </c>
      <c r="N55">
        <f>IF(AND(F55="Done",M55&lt;&gt;""),IF(COUNTIFS(Appointments!$D$6:$D$2005,D55,Appointments!$F$6:$F$2005,"Done",Appointments!$M$6:$M$2005,"&gt;"&amp;M55)=0,1,0),0)</f>
        <v/>
      </c>
      <c r="O55">
        <f>IF(AND(F55="Booked",M55&lt;&gt;"",N(B55)&gt;=TODAY()),IF(COUNTIFS(Appointments!$D$6:$D$2005,D55,Appointments!$F$6:$F$2005,"Booked",Appointments!$B$6:$B$2005,"&gt;="&amp;TODAY(),Appointments!$M$6:$M$2005,"&lt;"&amp;M55)=0,1,0),0)</f>
        <v/>
      </c>
    </row>
    <row r="56">
      <c r="A56" s="1" t="n"/>
      <c r="B56" s="30" t="n">
        <v>46038</v>
      </c>
      <c r="C56" s="31" t="n">
        <v>0.5555555555555556</v>
      </c>
      <c r="D56" s="32" t="inlineStr">
        <is>
          <t>Ian Reed</t>
        </is>
      </c>
      <c r="E56" s="32" t="inlineStr">
        <is>
          <t>Men's haircut</t>
        </is>
      </c>
      <c r="F56" s="33" t="inlineStr">
        <is>
          <t>Done</t>
        </is>
      </c>
      <c r="G56" s="27">
        <f>IF(E56="","",MAX(0,IFERROR(INDEX(Services!$C$6:$C$35,MATCH(E56,Services!$B$6:$B$35,0)),0)-N(H56)))</f>
        <v/>
      </c>
      <c r="H56" s="34" t="n"/>
      <c r="I56" s="34" t="n">
        <v>30</v>
      </c>
      <c r="J56" s="33" t="inlineStr">
        <is>
          <t>Card</t>
        </is>
      </c>
      <c r="K56" s="28">
        <f>IF(OR(B56="",F56&lt;&gt;"Done",J56="Package"),"",IF(N(G56)-N(I56)&gt;0,N(G56)-N(I56),""))</f>
        <v/>
      </c>
      <c r="L56" s="32" t="n"/>
      <c r="M56" s="1">
        <f>IF(OR(B56="",D56="",F56="Cancelled"),"",B56+N(C56)+ROW()/10000000)</f>
        <v/>
      </c>
      <c r="N56">
        <f>IF(AND(F56="Done",M56&lt;&gt;""),IF(COUNTIFS(Appointments!$D$6:$D$2005,D56,Appointments!$F$6:$F$2005,"Done",Appointments!$M$6:$M$2005,"&gt;"&amp;M56)=0,1,0),0)</f>
        <v/>
      </c>
      <c r="O56">
        <f>IF(AND(F56="Booked",M56&lt;&gt;"",N(B56)&gt;=TODAY()),IF(COUNTIFS(Appointments!$D$6:$D$2005,D56,Appointments!$F$6:$F$2005,"Booked",Appointments!$B$6:$B$2005,"&gt;="&amp;TODAY(),Appointments!$M$6:$M$2005,"&lt;"&amp;M56)=0,1,0),0)</f>
        <v/>
      </c>
    </row>
    <row r="57">
      <c r="A57" s="1" t="n"/>
      <c r="B57" s="30" t="n">
        <v>46038</v>
      </c>
      <c r="C57" s="31" t="n">
        <v>0.5833333333333334</v>
      </c>
      <c r="D57" s="32" t="inlineStr">
        <is>
          <t>Tina Walsh</t>
        </is>
      </c>
      <c r="E57" s="32" t="inlineStr">
        <is>
          <t>Blow dry</t>
        </is>
      </c>
      <c r="F57" s="33" t="inlineStr">
        <is>
          <t>Done</t>
        </is>
      </c>
      <c r="G57" s="27">
        <f>IF(E57="","",MAX(0,IFERROR(INDEX(Services!$C$6:$C$35,MATCH(E57,Services!$B$6:$B$35,0)),0)-N(H57)))</f>
        <v/>
      </c>
      <c r="H57" s="34" t="n"/>
      <c r="I57" s="34" t="n">
        <v>35</v>
      </c>
      <c r="J57" s="33" t="inlineStr">
        <is>
          <t>Card</t>
        </is>
      </c>
      <c r="K57" s="28">
        <f>IF(OR(B57="",F57&lt;&gt;"Done",J57="Package"),"",IF(N(G57)-N(I57)&gt;0,N(G57)-N(I57),""))</f>
        <v/>
      </c>
      <c r="L57" s="32" t="n"/>
      <c r="M57" s="1">
        <f>IF(OR(B57="",D57="",F57="Cancelled"),"",B57+N(C57)+ROW()/10000000)</f>
        <v/>
      </c>
      <c r="N57">
        <f>IF(AND(F57="Done",M57&lt;&gt;""),IF(COUNTIFS(Appointments!$D$6:$D$2005,D57,Appointments!$F$6:$F$2005,"Done",Appointments!$M$6:$M$2005,"&gt;"&amp;M57)=0,1,0),0)</f>
        <v/>
      </c>
      <c r="O57">
        <f>IF(AND(F57="Booked",M57&lt;&gt;"",N(B57)&gt;=TODAY()),IF(COUNTIFS(Appointments!$D$6:$D$2005,D57,Appointments!$F$6:$F$2005,"Booked",Appointments!$B$6:$B$2005,"&gt;="&amp;TODAY(),Appointments!$M$6:$M$2005,"&lt;"&amp;M57)=0,1,0),0)</f>
        <v/>
      </c>
    </row>
    <row r="58">
      <c r="A58" s="1" t="n"/>
      <c r="B58" s="30" t="n">
        <v>46039</v>
      </c>
      <c r="C58" s="31" t="n">
        <v>0.375</v>
      </c>
      <c r="D58" s="32" t="inlineStr">
        <is>
          <t>Adam King</t>
        </is>
      </c>
      <c r="E58" s="32" t="inlineStr">
        <is>
          <t>Men's haircut</t>
        </is>
      </c>
      <c r="F58" s="33" t="inlineStr">
        <is>
          <t>Done</t>
        </is>
      </c>
      <c r="G58" s="27">
        <f>IF(E58="","",MAX(0,IFERROR(INDEX(Services!$C$6:$C$35,MATCH(E58,Services!$B$6:$B$35,0)),0)-N(H58)))</f>
        <v/>
      </c>
      <c r="H58" s="34" t="n"/>
      <c r="I58" s="34" t="n">
        <v>30</v>
      </c>
      <c r="J58" s="33" t="inlineStr">
        <is>
          <t>Card</t>
        </is>
      </c>
      <c r="K58" s="28">
        <f>IF(OR(B58="",F58&lt;&gt;"Done",J58="Package"),"",IF(N(G58)-N(I58)&gt;0,N(G58)-N(I58),""))</f>
        <v/>
      </c>
      <c r="L58" s="32" t="n"/>
      <c r="M58" s="1">
        <f>IF(OR(B58="",D58="",F58="Cancelled"),"",B58+N(C58)+ROW()/10000000)</f>
        <v/>
      </c>
      <c r="N58">
        <f>IF(AND(F58="Done",M58&lt;&gt;""),IF(COUNTIFS(Appointments!$D$6:$D$2005,D58,Appointments!$F$6:$F$2005,"Done",Appointments!$M$6:$M$2005,"&gt;"&amp;M58)=0,1,0),0)</f>
        <v/>
      </c>
      <c r="O58">
        <f>IF(AND(F58="Booked",M58&lt;&gt;"",N(B58)&gt;=TODAY()),IF(COUNTIFS(Appointments!$D$6:$D$2005,D58,Appointments!$F$6:$F$2005,"Booked",Appointments!$B$6:$B$2005,"&gt;="&amp;TODAY(),Appointments!$M$6:$M$2005,"&lt;"&amp;M58)=0,1,0),0)</f>
        <v/>
      </c>
    </row>
    <row r="59">
      <c r="A59" s="1" t="n"/>
      <c r="B59" s="30" t="n">
        <v>46039</v>
      </c>
      <c r="C59" s="31" t="n">
        <v>0.4027777777777778</v>
      </c>
      <c r="D59" s="32" t="inlineStr">
        <is>
          <t>Eli Brooks</t>
        </is>
      </c>
      <c r="E59" s="32" t="inlineStr">
        <is>
          <t>Men's haircut</t>
        </is>
      </c>
      <c r="F59" s="33" t="inlineStr">
        <is>
          <t>Done</t>
        </is>
      </c>
      <c r="G59" s="27">
        <f>IF(E59="","",MAX(0,IFERROR(INDEX(Services!$C$6:$C$35,MATCH(E59,Services!$B$6:$B$35,0)),0)-N(H59)))</f>
        <v/>
      </c>
      <c r="H59" s="34" t="n"/>
      <c r="I59" s="34" t="n">
        <v>30</v>
      </c>
      <c r="J59" s="33" t="inlineStr">
        <is>
          <t>Cash</t>
        </is>
      </c>
      <c r="K59" s="28">
        <f>IF(OR(B59="",F59&lt;&gt;"Done",J59="Package"),"",IF(N(G59)-N(I59)&gt;0,N(G59)-N(I59),""))</f>
        <v/>
      </c>
      <c r="L59" s="32" t="n"/>
      <c r="M59" s="1">
        <f>IF(OR(B59="",D59="",F59="Cancelled"),"",B59+N(C59)+ROW()/10000000)</f>
        <v/>
      </c>
      <c r="N59">
        <f>IF(AND(F59="Done",M59&lt;&gt;""),IF(COUNTIFS(Appointments!$D$6:$D$2005,D59,Appointments!$F$6:$F$2005,"Done",Appointments!$M$6:$M$2005,"&gt;"&amp;M59)=0,1,0),0)</f>
        <v/>
      </c>
      <c r="O59">
        <f>IF(AND(F59="Booked",M59&lt;&gt;"",N(B59)&gt;=TODAY()),IF(COUNTIFS(Appointments!$D$6:$D$2005,D59,Appointments!$F$6:$F$2005,"Booked",Appointments!$B$6:$B$2005,"&gt;="&amp;TODAY(),Appointments!$M$6:$M$2005,"&lt;"&amp;M59)=0,1,0),0)</f>
        <v/>
      </c>
    </row>
    <row r="60">
      <c r="A60" s="1" t="n"/>
      <c r="B60" s="30" t="n">
        <v>46039</v>
      </c>
      <c r="C60" s="31" t="n">
        <v>0.4305555555555556</v>
      </c>
      <c r="D60" s="32" t="inlineStr">
        <is>
          <t>Finn Wood</t>
        </is>
      </c>
      <c r="E60" s="32" t="inlineStr">
        <is>
          <t>Men's haircut</t>
        </is>
      </c>
      <c r="F60" s="33" t="inlineStr">
        <is>
          <t>Done</t>
        </is>
      </c>
      <c r="G60" s="27">
        <f>IF(E60="","",MAX(0,IFERROR(INDEX(Services!$C$6:$C$35,MATCH(E60,Services!$B$6:$B$35,0)),0)-N(H60)))</f>
        <v/>
      </c>
      <c r="H60" s="34" t="n"/>
      <c r="I60" s="34" t="n">
        <v>30</v>
      </c>
      <c r="J60" s="33" t="inlineStr">
        <is>
          <t>Cash</t>
        </is>
      </c>
      <c r="K60" s="28">
        <f>IF(OR(B60="",F60&lt;&gt;"Done",J60="Package"),"",IF(N(G60)-N(I60)&gt;0,N(G60)-N(I60),""))</f>
        <v/>
      </c>
      <c r="L60" s="32" t="n"/>
      <c r="M60" s="1">
        <f>IF(OR(B60="",D60="",F60="Cancelled"),"",B60+N(C60)+ROW()/10000000)</f>
        <v/>
      </c>
      <c r="N60">
        <f>IF(AND(F60="Done",M60&lt;&gt;""),IF(COUNTIFS(Appointments!$D$6:$D$2005,D60,Appointments!$F$6:$F$2005,"Done",Appointments!$M$6:$M$2005,"&gt;"&amp;M60)=0,1,0),0)</f>
        <v/>
      </c>
      <c r="O60">
        <f>IF(AND(F60="Booked",M60&lt;&gt;"",N(B60)&gt;=TODAY()),IF(COUNTIFS(Appointments!$D$6:$D$2005,D60,Appointments!$F$6:$F$2005,"Booked",Appointments!$B$6:$B$2005,"&gt;="&amp;TODAY(),Appointments!$M$6:$M$2005,"&lt;"&amp;M60)=0,1,0),0)</f>
        <v/>
      </c>
    </row>
    <row r="61">
      <c r="A61" s="1" t="n"/>
      <c r="B61" s="30" t="n">
        <v>46039</v>
      </c>
      <c r="C61" s="31" t="n">
        <v>0.4583333333333333</v>
      </c>
      <c r="D61" s="32" t="inlineStr">
        <is>
          <t>Jon Gray</t>
        </is>
      </c>
      <c r="E61" s="32" t="inlineStr">
        <is>
          <t>Men's haircut</t>
        </is>
      </c>
      <c r="F61" s="33" t="inlineStr">
        <is>
          <t>Done</t>
        </is>
      </c>
      <c r="G61" s="27">
        <f>IF(E61="","",MAX(0,IFERROR(INDEX(Services!$C$6:$C$35,MATCH(E61,Services!$B$6:$B$35,0)),0)-N(H61)))</f>
        <v/>
      </c>
      <c r="H61" s="34" t="n"/>
      <c r="I61" s="34" t="n">
        <v>30</v>
      </c>
      <c r="J61" s="33" t="inlineStr">
        <is>
          <t>Cash</t>
        </is>
      </c>
      <c r="K61" s="28">
        <f>IF(OR(B61="",F61&lt;&gt;"Done",J61="Package"),"",IF(N(G61)-N(I61)&gt;0,N(G61)-N(I61),""))</f>
        <v/>
      </c>
      <c r="L61" s="32" t="n"/>
      <c r="M61" s="1">
        <f>IF(OR(B61="",D61="",F61="Cancelled"),"",B61+N(C61)+ROW()/10000000)</f>
        <v/>
      </c>
      <c r="N61">
        <f>IF(AND(F61="Done",M61&lt;&gt;""),IF(COUNTIFS(Appointments!$D$6:$D$2005,D61,Appointments!$F$6:$F$2005,"Done",Appointments!$M$6:$M$2005,"&gt;"&amp;M61)=0,1,0),0)</f>
        <v/>
      </c>
      <c r="O61">
        <f>IF(AND(F61="Booked",M61&lt;&gt;"",N(B61)&gt;=TODAY()),IF(COUNTIFS(Appointments!$D$6:$D$2005,D61,Appointments!$F$6:$F$2005,"Booked",Appointments!$B$6:$B$2005,"&gt;="&amp;TODAY(),Appointments!$M$6:$M$2005,"&lt;"&amp;M61)=0,1,0),0)</f>
        <v/>
      </c>
    </row>
    <row r="62">
      <c r="A62" s="1" t="n"/>
      <c r="B62" s="30" t="n">
        <v>46039</v>
      </c>
      <c r="C62" s="31" t="n">
        <v>0.4861111111111111</v>
      </c>
      <c r="D62" s="32" t="inlineStr">
        <is>
          <t>Luke Reed</t>
        </is>
      </c>
      <c r="E62" s="32" t="inlineStr">
        <is>
          <t>Men's haircut</t>
        </is>
      </c>
      <c r="F62" s="33" t="inlineStr">
        <is>
          <t>Done</t>
        </is>
      </c>
      <c r="G62" s="27">
        <f>IF(E62="","",MAX(0,IFERROR(INDEX(Services!$C$6:$C$35,MATCH(E62,Services!$B$6:$B$35,0)),0)-N(H62)))</f>
        <v/>
      </c>
      <c r="H62" s="34" t="n"/>
      <c r="I62" s="34" t="n">
        <v>30</v>
      </c>
      <c r="J62" s="33" t="inlineStr">
        <is>
          <t>Cash</t>
        </is>
      </c>
      <c r="K62" s="28">
        <f>IF(OR(B62="",F62&lt;&gt;"Done",J62="Package"),"",IF(N(G62)-N(I62)&gt;0,N(G62)-N(I62),""))</f>
        <v/>
      </c>
      <c r="L62" s="32" t="n"/>
      <c r="M62" s="1">
        <f>IF(OR(B62="",D62="",F62="Cancelled"),"",B62+N(C62)+ROW()/10000000)</f>
        <v/>
      </c>
      <c r="N62">
        <f>IF(AND(F62="Done",M62&lt;&gt;""),IF(COUNTIFS(Appointments!$D$6:$D$2005,D62,Appointments!$F$6:$F$2005,"Done",Appointments!$M$6:$M$2005,"&gt;"&amp;M62)=0,1,0),0)</f>
        <v/>
      </c>
      <c r="O62">
        <f>IF(AND(F62="Booked",M62&lt;&gt;"",N(B62)&gt;=TODAY()),IF(COUNTIFS(Appointments!$D$6:$D$2005,D62,Appointments!$F$6:$F$2005,"Booked",Appointments!$B$6:$B$2005,"&gt;="&amp;TODAY(),Appointments!$M$6:$M$2005,"&lt;"&amp;M62)=0,1,0),0)</f>
        <v/>
      </c>
    </row>
    <row r="63">
      <c r="A63" s="1" t="n"/>
      <c r="B63" s="30" t="n">
        <v>46039</v>
      </c>
      <c r="C63" s="31" t="n">
        <v>0.5138888888888888</v>
      </c>
      <c r="D63" s="32" t="inlineStr">
        <is>
          <t>Ryan Adams</t>
        </is>
      </c>
      <c r="E63" s="32" t="inlineStr">
        <is>
          <t>Men's haircut</t>
        </is>
      </c>
      <c r="F63" s="33" t="inlineStr">
        <is>
          <t>Done</t>
        </is>
      </c>
      <c r="G63" s="27">
        <f>IF(E63="","",MAX(0,IFERROR(INDEX(Services!$C$6:$C$35,MATCH(E63,Services!$B$6:$B$35,0)),0)-N(H63)))</f>
        <v/>
      </c>
      <c r="H63" s="34" t="n">
        <v>10</v>
      </c>
      <c r="I63" s="34" t="n">
        <v>20</v>
      </c>
      <c r="J63" s="33" t="inlineStr">
        <is>
          <t>Card</t>
        </is>
      </c>
      <c r="K63" s="28">
        <f>IF(OR(B63="",F63&lt;&gt;"Done",J63="Package"),"",IF(N(G63)-N(I63)&gt;0,N(G63)-N(I63),""))</f>
        <v/>
      </c>
      <c r="L63" s="32" t="inlineStr">
        <is>
          <t>Friends and family</t>
        </is>
      </c>
      <c r="M63" s="1">
        <f>IF(OR(B63="",D63="",F63="Cancelled"),"",B63+N(C63)+ROW()/10000000)</f>
        <v/>
      </c>
      <c r="N63">
        <f>IF(AND(F63="Done",M63&lt;&gt;""),IF(COUNTIFS(Appointments!$D$6:$D$2005,D63,Appointments!$F$6:$F$2005,"Done",Appointments!$M$6:$M$2005,"&gt;"&amp;M63)=0,1,0),0)</f>
        <v/>
      </c>
      <c r="O63">
        <f>IF(AND(F63="Booked",M63&lt;&gt;"",N(B63)&gt;=TODAY()),IF(COUNTIFS(Appointments!$D$6:$D$2005,D63,Appointments!$F$6:$F$2005,"Booked",Appointments!$B$6:$B$2005,"&gt;="&amp;TODAY(),Appointments!$M$6:$M$2005,"&lt;"&amp;M63)=0,1,0),0)</f>
        <v/>
      </c>
    </row>
    <row r="64">
      <c r="A64" s="1" t="n"/>
      <c r="B64" s="30" t="n">
        <v>46039</v>
      </c>
      <c r="C64" s="31" t="n">
        <v>0.5416666666666666</v>
      </c>
      <c r="D64" s="32" t="inlineStr">
        <is>
          <t>Sara Ward</t>
        </is>
      </c>
      <c r="E64" s="32" t="inlineStr">
        <is>
          <t>Women's haircut</t>
        </is>
      </c>
      <c r="F64" s="33" t="inlineStr">
        <is>
          <t>Done</t>
        </is>
      </c>
      <c r="G64" s="27">
        <f>IF(E64="","",MAX(0,IFERROR(INDEX(Services!$C$6:$C$35,MATCH(E64,Services!$B$6:$B$35,0)),0)-N(H64)))</f>
        <v/>
      </c>
      <c r="H64" s="34" t="n"/>
      <c r="I64" s="34" t="n">
        <v>55</v>
      </c>
      <c r="J64" s="33" t="inlineStr">
        <is>
          <t>Card</t>
        </is>
      </c>
      <c r="K64" s="28">
        <f>IF(OR(B64="",F64&lt;&gt;"Done",J64="Package"),"",IF(N(G64)-N(I64)&gt;0,N(G64)-N(I64),""))</f>
        <v/>
      </c>
      <c r="L64" s="32" t="n"/>
      <c r="M64" s="1">
        <f>IF(OR(B64="",D64="",F64="Cancelled"),"",B64+N(C64)+ROW()/10000000)</f>
        <v/>
      </c>
      <c r="N64">
        <f>IF(AND(F64="Done",M64&lt;&gt;""),IF(COUNTIFS(Appointments!$D$6:$D$2005,D64,Appointments!$F$6:$F$2005,"Done",Appointments!$M$6:$M$2005,"&gt;"&amp;M64)=0,1,0),0)</f>
        <v/>
      </c>
      <c r="O64">
        <f>IF(AND(F64="Booked",M64&lt;&gt;"",N(B64)&gt;=TODAY()),IF(COUNTIFS(Appointments!$D$6:$D$2005,D64,Appointments!$F$6:$F$2005,"Booked",Appointments!$B$6:$B$2005,"&gt;="&amp;TODAY(),Appointments!$M$6:$M$2005,"&lt;"&amp;M64)=0,1,0),0)</f>
        <v/>
      </c>
    </row>
    <row r="65">
      <c r="A65" s="1" t="n"/>
      <c r="B65" s="30" t="n">
        <v>46042</v>
      </c>
      <c r="C65" s="31" t="n">
        <v>0.375</v>
      </c>
      <c r="D65" s="32" t="inlineStr">
        <is>
          <t>Chloe Martin</t>
        </is>
      </c>
      <c r="E65" s="32" t="inlineStr">
        <is>
          <t>Highlights</t>
        </is>
      </c>
      <c r="F65" s="33" t="inlineStr">
        <is>
          <t>Done</t>
        </is>
      </c>
      <c r="G65" s="27">
        <f>IF(E65="","",MAX(0,IFERROR(INDEX(Services!$C$6:$C$35,MATCH(E65,Services!$B$6:$B$35,0)),0)-N(H65)))</f>
        <v/>
      </c>
      <c r="H65" s="34" t="n"/>
      <c r="I65" s="34" t="n">
        <v>140</v>
      </c>
      <c r="J65" s="33" t="inlineStr">
        <is>
          <t>Cash</t>
        </is>
      </c>
      <c r="K65" s="28">
        <f>IF(OR(B65="",F65&lt;&gt;"Done",J65="Package"),"",IF(N(G65)-N(I65)&gt;0,N(G65)-N(I65),""))</f>
        <v/>
      </c>
      <c r="L65" s="32" t="n"/>
      <c r="M65" s="1">
        <f>IF(OR(B65="",D65="",F65="Cancelled"),"",B65+N(C65)+ROW()/10000000)</f>
        <v/>
      </c>
      <c r="N65">
        <f>IF(AND(F65="Done",M65&lt;&gt;""),IF(COUNTIFS(Appointments!$D$6:$D$2005,D65,Appointments!$F$6:$F$2005,"Done",Appointments!$M$6:$M$2005,"&gt;"&amp;M65)=0,1,0),0)</f>
        <v/>
      </c>
      <c r="O65">
        <f>IF(AND(F65="Booked",M65&lt;&gt;"",N(B65)&gt;=TODAY()),IF(COUNTIFS(Appointments!$D$6:$D$2005,D65,Appointments!$F$6:$F$2005,"Booked",Appointments!$B$6:$B$2005,"&gt;="&amp;TODAY(),Appointments!$M$6:$M$2005,"&lt;"&amp;M65)=0,1,0),0)</f>
        <v/>
      </c>
    </row>
    <row r="66">
      <c r="A66" s="1" t="n"/>
      <c r="B66" s="30" t="n">
        <v>46042</v>
      </c>
      <c r="C66" s="31" t="n">
        <v>0.4861111111111111</v>
      </c>
      <c r="D66" s="32" t="inlineStr">
        <is>
          <t>Daniel Kim</t>
        </is>
      </c>
      <c r="E66" s="32" t="inlineStr">
        <is>
          <t>Men's haircut</t>
        </is>
      </c>
      <c r="F66" s="33" t="inlineStr">
        <is>
          <t>Done</t>
        </is>
      </c>
      <c r="G66" s="27">
        <f>IF(E66="","",MAX(0,IFERROR(INDEX(Services!$C$6:$C$35,MATCH(E66,Services!$B$6:$B$35,0)),0)-N(H66)))</f>
        <v/>
      </c>
      <c r="H66" s="34" t="n"/>
      <c r="I66" s="34" t="n">
        <v>30</v>
      </c>
      <c r="J66" s="33" t="inlineStr">
        <is>
          <t>Card</t>
        </is>
      </c>
      <c r="K66" s="28">
        <f>IF(OR(B66="",F66&lt;&gt;"Done",J66="Package"),"",IF(N(G66)-N(I66)&gt;0,N(G66)-N(I66),""))</f>
        <v/>
      </c>
      <c r="L66" s="32" t="n"/>
      <c r="M66" s="1">
        <f>IF(OR(B66="",D66="",F66="Cancelled"),"",B66+N(C66)+ROW()/10000000)</f>
        <v/>
      </c>
      <c r="N66">
        <f>IF(AND(F66="Done",M66&lt;&gt;""),IF(COUNTIFS(Appointments!$D$6:$D$2005,D66,Appointments!$F$6:$F$2005,"Done",Appointments!$M$6:$M$2005,"&gt;"&amp;M66)=0,1,0),0)</f>
        <v/>
      </c>
      <c r="O66">
        <f>IF(AND(F66="Booked",M66&lt;&gt;"",N(B66)&gt;=TODAY()),IF(COUNTIFS(Appointments!$D$6:$D$2005,D66,Appointments!$F$6:$F$2005,"Booked",Appointments!$B$6:$B$2005,"&gt;="&amp;TODAY(),Appointments!$M$6:$M$2005,"&lt;"&amp;M66)=0,1,0),0)</f>
        <v/>
      </c>
    </row>
    <row r="67">
      <c r="A67" s="1" t="n"/>
      <c r="B67" s="30" t="n">
        <v>46042</v>
      </c>
      <c r="C67" s="31" t="n">
        <v>0.5138888888888888</v>
      </c>
      <c r="D67" s="32" t="inlineStr">
        <is>
          <t>Finn Davies</t>
        </is>
      </c>
      <c r="E67" s="32" t="inlineStr">
        <is>
          <t>Men's haircut</t>
        </is>
      </c>
      <c r="F67" s="33" t="inlineStr">
        <is>
          <t>Done</t>
        </is>
      </c>
      <c r="G67" s="27">
        <f>IF(E67="","",MAX(0,IFERROR(INDEX(Services!$C$6:$C$35,MATCH(E67,Services!$B$6:$B$35,0)),0)-N(H67)))</f>
        <v/>
      </c>
      <c r="H67" s="34" t="n"/>
      <c r="I67" s="34" t="n">
        <v>30</v>
      </c>
      <c r="J67" s="33" t="inlineStr">
        <is>
          <t>Card</t>
        </is>
      </c>
      <c r="K67" s="28">
        <f>IF(OR(B67="",F67&lt;&gt;"Done",J67="Package"),"",IF(N(G67)-N(I67)&gt;0,N(G67)-N(I67),""))</f>
        <v/>
      </c>
      <c r="L67" s="32" t="n"/>
      <c r="M67" s="1">
        <f>IF(OR(B67="",D67="",F67="Cancelled"),"",B67+N(C67)+ROW()/10000000)</f>
        <v/>
      </c>
      <c r="N67">
        <f>IF(AND(F67="Done",M67&lt;&gt;""),IF(COUNTIFS(Appointments!$D$6:$D$2005,D67,Appointments!$F$6:$F$2005,"Done",Appointments!$M$6:$M$2005,"&gt;"&amp;M67)=0,1,0),0)</f>
        <v/>
      </c>
      <c r="O67">
        <f>IF(AND(F67="Booked",M67&lt;&gt;"",N(B67)&gt;=TODAY()),IF(COUNTIFS(Appointments!$D$6:$D$2005,D67,Appointments!$F$6:$F$2005,"Booked",Appointments!$B$6:$B$2005,"&gt;="&amp;TODAY(),Appointments!$M$6:$M$2005,"&lt;"&amp;M67)=0,1,0),0)</f>
        <v/>
      </c>
    </row>
    <row r="68">
      <c r="A68" s="1" t="n"/>
      <c r="B68" s="30" t="n">
        <v>46042</v>
      </c>
      <c r="C68" s="31" t="n">
        <v>0.5416666666666666</v>
      </c>
      <c r="D68" s="32" t="inlineStr">
        <is>
          <t>Jack Wilson</t>
        </is>
      </c>
      <c r="E68" s="32" t="inlineStr">
        <is>
          <t>Men's haircut</t>
        </is>
      </c>
      <c r="F68" s="33" t="inlineStr">
        <is>
          <t>Done</t>
        </is>
      </c>
      <c r="G68" s="27">
        <f>IF(E68="","",MAX(0,IFERROR(INDEX(Services!$C$6:$C$35,MATCH(E68,Services!$B$6:$B$35,0)),0)-N(H68)))</f>
        <v/>
      </c>
      <c r="H68" s="34" t="n"/>
      <c r="I68" s="34" t="n">
        <v>30</v>
      </c>
      <c r="J68" s="33" t="inlineStr">
        <is>
          <t>Cash</t>
        </is>
      </c>
      <c r="K68" s="28">
        <f>IF(OR(B68="",F68&lt;&gt;"Done",J68="Package"),"",IF(N(G68)-N(I68)&gt;0,N(G68)-N(I68),""))</f>
        <v/>
      </c>
      <c r="L68" s="32" t="n"/>
      <c r="M68" s="1">
        <f>IF(OR(B68="",D68="",F68="Cancelled"),"",B68+N(C68)+ROW()/10000000)</f>
        <v/>
      </c>
      <c r="N68">
        <f>IF(AND(F68="Done",M68&lt;&gt;""),IF(COUNTIFS(Appointments!$D$6:$D$2005,D68,Appointments!$F$6:$F$2005,"Done",Appointments!$M$6:$M$2005,"&gt;"&amp;M68)=0,1,0),0)</f>
        <v/>
      </c>
      <c r="O68">
        <f>IF(AND(F68="Booked",M68&lt;&gt;"",N(B68)&gt;=TODAY()),IF(COUNTIFS(Appointments!$D$6:$D$2005,D68,Appointments!$F$6:$F$2005,"Booked",Appointments!$B$6:$B$2005,"&gt;="&amp;TODAY(),Appointments!$M$6:$M$2005,"&lt;"&amp;M68)=0,1,0),0)</f>
        <v/>
      </c>
    </row>
    <row r="69">
      <c r="A69" s="1" t="n"/>
      <c r="B69" s="30" t="n">
        <v>46042</v>
      </c>
      <c r="C69" s="31" t="n">
        <v>0.5694444444444444</v>
      </c>
      <c r="D69" s="32" t="inlineStr">
        <is>
          <t>Matt Ellis</t>
        </is>
      </c>
      <c r="E69" s="32" t="inlineStr">
        <is>
          <t>Men's haircut</t>
        </is>
      </c>
      <c r="F69" s="33" t="inlineStr">
        <is>
          <t>Done</t>
        </is>
      </c>
      <c r="G69" s="27">
        <f>IF(E69="","",MAX(0,IFERROR(INDEX(Services!$C$6:$C$35,MATCH(E69,Services!$B$6:$B$35,0)),0)-N(H69)))</f>
        <v/>
      </c>
      <c r="H69" s="34" t="n"/>
      <c r="I69" s="34" t="n">
        <v>30</v>
      </c>
      <c r="J69" s="33" t="inlineStr">
        <is>
          <t>Cash</t>
        </is>
      </c>
      <c r="K69" s="28">
        <f>IF(OR(B69="",F69&lt;&gt;"Done",J69="Package"),"",IF(N(G69)-N(I69)&gt;0,N(G69)-N(I69),""))</f>
        <v/>
      </c>
      <c r="L69" s="32" t="n"/>
      <c r="M69" s="1">
        <f>IF(OR(B69="",D69="",F69="Cancelled"),"",B69+N(C69)+ROW()/10000000)</f>
        <v/>
      </c>
      <c r="N69">
        <f>IF(AND(F69="Done",M69&lt;&gt;""),IF(COUNTIFS(Appointments!$D$6:$D$2005,D69,Appointments!$F$6:$F$2005,"Done",Appointments!$M$6:$M$2005,"&gt;"&amp;M69)=0,1,0),0)</f>
        <v/>
      </c>
      <c r="O69">
        <f>IF(AND(F69="Booked",M69&lt;&gt;"",N(B69)&gt;=TODAY()),IF(COUNTIFS(Appointments!$D$6:$D$2005,D69,Appointments!$F$6:$F$2005,"Booked",Appointments!$B$6:$B$2005,"&gt;="&amp;TODAY(),Appointments!$M$6:$M$2005,"&lt;"&amp;M69)=0,1,0),0)</f>
        <v/>
      </c>
    </row>
    <row r="70">
      <c r="A70" s="1" t="n"/>
      <c r="B70" s="30" t="n">
        <v>46042</v>
      </c>
      <c r="C70" s="31" t="n">
        <v>0.5972222222222222</v>
      </c>
      <c r="D70" s="32" t="inlineStr">
        <is>
          <t>Olivia Green</t>
        </is>
      </c>
      <c r="E70" s="32" t="inlineStr">
        <is>
          <t>Women's haircut</t>
        </is>
      </c>
      <c r="F70" s="33" t="inlineStr">
        <is>
          <t>Cancelled</t>
        </is>
      </c>
      <c r="G70" s="27">
        <f>IF(E70="","",MAX(0,IFERROR(INDEX(Services!$C$6:$C$35,MATCH(E70,Services!$B$6:$B$35,0)),0)-N(H70)))</f>
        <v/>
      </c>
      <c r="H70" s="34" t="n"/>
      <c r="I70" s="34" t="n"/>
      <c r="J70" s="33" t="n"/>
      <c r="K70" s="28">
        <f>IF(OR(B70="",F70&lt;&gt;"Done",J70="Package"),"",IF(N(G70)-N(I70)&gt;0,N(G70)-N(I70),""))</f>
        <v/>
      </c>
      <c r="L70" s="32" t="n"/>
      <c r="M70" s="1">
        <f>IF(OR(B70="",D70="",F70="Cancelled"),"",B70+N(C70)+ROW()/10000000)</f>
        <v/>
      </c>
      <c r="N70">
        <f>IF(AND(F70="Done",M70&lt;&gt;""),IF(COUNTIFS(Appointments!$D$6:$D$2005,D70,Appointments!$F$6:$F$2005,"Done",Appointments!$M$6:$M$2005,"&gt;"&amp;M70)=0,1,0),0)</f>
        <v/>
      </c>
      <c r="O70">
        <f>IF(AND(F70="Booked",M70&lt;&gt;"",N(B70)&gt;=TODAY()),IF(COUNTIFS(Appointments!$D$6:$D$2005,D70,Appointments!$F$6:$F$2005,"Booked",Appointments!$B$6:$B$2005,"&gt;="&amp;TODAY(),Appointments!$M$6:$M$2005,"&lt;"&amp;M70)=0,1,0),0)</f>
        <v/>
      </c>
    </row>
    <row r="71">
      <c r="A71" s="1" t="n"/>
      <c r="B71" s="30" t="n">
        <v>46042</v>
      </c>
      <c r="C71" s="31" t="n">
        <v>0.6458333333333334</v>
      </c>
      <c r="D71" s="32" t="inlineStr">
        <is>
          <t>Rosa Diaz</t>
        </is>
      </c>
      <c r="E71" s="32" t="inlineStr">
        <is>
          <t>Colour</t>
        </is>
      </c>
      <c r="F71" s="33" t="inlineStr">
        <is>
          <t>Done</t>
        </is>
      </c>
      <c r="G71" s="27">
        <f>IF(E71="","",MAX(0,IFERROR(INDEX(Services!$C$6:$C$35,MATCH(E71,Services!$B$6:$B$35,0)),0)-N(H71)))</f>
        <v/>
      </c>
      <c r="H71" s="34" t="n"/>
      <c r="I71" s="34" t="n">
        <v>95</v>
      </c>
      <c r="J71" s="33" t="inlineStr">
        <is>
          <t>Card</t>
        </is>
      </c>
      <c r="K71" s="28">
        <f>IF(OR(B71="",F71&lt;&gt;"Done",J71="Package"),"",IF(N(G71)-N(I71)&gt;0,N(G71)-N(I71),""))</f>
        <v/>
      </c>
      <c r="L71" s="32" t="n"/>
      <c r="M71" s="1">
        <f>IF(OR(B71="",D71="",F71="Cancelled"),"",B71+N(C71)+ROW()/10000000)</f>
        <v/>
      </c>
      <c r="N71">
        <f>IF(AND(F71="Done",M71&lt;&gt;""),IF(COUNTIFS(Appointments!$D$6:$D$2005,D71,Appointments!$F$6:$F$2005,"Done",Appointments!$M$6:$M$2005,"&gt;"&amp;M71)=0,1,0),0)</f>
        <v/>
      </c>
      <c r="O71">
        <f>IF(AND(F71="Booked",M71&lt;&gt;"",N(B71)&gt;=TODAY()),IF(COUNTIFS(Appointments!$D$6:$D$2005,D71,Appointments!$F$6:$F$2005,"Booked",Appointments!$B$6:$B$2005,"&gt;="&amp;TODAY(),Appointments!$M$6:$M$2005,"&lt;"&amp;M71)=0,1,0),0)</f>
        <v/>
      </c>
    </row>
    <row r="72">
      <c r="A72" s="1" t="n"/>
      <c r="B72" s="30" t="n">
        <v>46043</v>
      </c>
      <c r="C72" s="31" t="n">
        <v>0.375</v>
      </c>
      <c r="D72" s="32" t="inlineStr">
        <is>
          <t>George Mason</t>
        </is>
      </c>
      <c r="E72" s="32" t="inlineStr">
        <is>
          <t>Men's haircut</t>
        </is>
      </c>
      <c r="F72" s="33" t="inlineStr">
        <is>
          <t>Done</t>
        </is>
      </c>
      <c r="G72" s="27">
        <f>IF(E72="","",MAX(0,IFERROR(INDEX(Services!$C$6:$C$35,MATCH(E72,Services!$B$6:$B$35,0)),0)-N(H72)))</f>
        <v/>
      </c>
      <c r="H72" s="34" t="n"/>
      <c r="I72" s="34" t="n">
        <v>30</v>
      </c>
      <c r="J72" s="33" t="inlineStr">
        <is>
          <t>Cash</t>
        </is>
      </c>
      <c r="K72" s="28">
        <f>IF(OR(B72="",F72&lt;&gt;"Done",J72="Package"),"",IF(N(G72)-N(I72)&gt;0,N(G72)-N(I72),""))</f>
        <v/>
      </c>
      <c r="L72" s="32" t="n"/>
      <c r="M72" s="1">
        <f>IF(OR(B72="",D72="",F72="Cancelled"),"",B72+N(C72)+ROW()/10000000)</f>
        <v/>
      </c>
      <c r="N72">
        <f>IF(AND(F72="Done",M72&lt;&gt;""),IF(COUNTIFS(Appointments!$D$6:$D$2005,D72,Appointments!$F$6:$F$2005,"Done",Appointments!$M$6:$M$2005,"&gt;"&amp;M72)=0,1,0),0)</f>
        <v/>
      </c>
      <c r="O72">
        <f>IF(AND(F72="Booked",M72&lt;&gt;"",N(B72)&gt;=TODAY()),IF(COUNTIFS(Appointments!$D$6:$D$2005,D72,Appointments!$F$6:$F$2005,"Booked",Appointments!$B$6:$B$2005,"&gt;="&amp;TODAY(),Appointments!$M$6:$M$2005,"&lt;"&amp;M72)=0,1,0),0)</f>
        <v/>
      </c>
    </row>
    <row r="73">
      <c r="A73" s="1" t="n"/>
      <c r="B73" s="30" t="n">
        <v>46043</v>
      </c>
      <c r="C73" s="31" t="n">
        <v>0.4027777777777778</v>
      </c>
      <c r="D73" s="32" t="inlineStr">
        <is>
          <t>Harry Hill</t>
        </is>
      </c>
      <c r="E73" s="32" t="inlineStr">
        <is>
          <t>Men's haircut</t>
        </is>
      </c>
      <c r="F73" s="33" t="inlineStr">
        <is>
          <t>Done</t>
        </is>
      </c>
      <c r="G73" s="27">
        <f>IF(E73="","",MAX(0,IFERROR(INDEX(Services!$C$6:$C$35,MATCH(E73,Services!$B$6:$B$35,0)),0)-N(H73)))</f>
        <v/>
      </c>
      <c r="H73" s="34" t="n"/>
      <c r="I73" s="34" t="n">
        <v>30</v>
      </c>
      <c r="J73" s="33" t="inlineStr">
        <is>
          <t>Cash</t>
        </is>
      </c>
      <c r="K73" s="28">
        <f>IF(OR(B73="",F73&lt;&gt;"Done",J73="Package"),"",IF(N(G73)-N(I73)&gt;0,N(G73)-N(I73),""))</f>
        <v/>
      </c>
      <c r="L73" s="32" t="n"/>
      <c r="M73" s="1">
        <f>IF(OR(B73="",D73="",F73="Cancelled"),"",B73+N(C73)+ROW()/10000000)</f>
        <v/>
      </c>
      <c r="N73">
        <f>IF(AND(F73="Done",M73&lt;&gt;""),IF(COUNTIFS(Appointments!$D$6:$D$2005,D73,Appointments!$F$6:$F$2005,"Done",Appointments!$M$6:$M$2005,"&gt;"&amp;M73)=0,1,0),0)</f>
        <v/>
      </c>
      <c r="O73">
        <f>IF(AND(F73="Booked",M73&lt;&gt;"",N(B73)&gt;=TODAY()),IF(COUNTIFS(Appointments!$D$6:$D$2005,D73,Appointments!$F$6:$F$2005,"Booked",Appointments!$B$6:$B$2005,"&gt;="&amp;TODAY(),Appointments!$M$6:$M$2005,"&lt;"&amp;M73)=0,1,0),0)</f>
        <v/>
      </c>
    </row>
    <row r="74">
      <c r="A74" s="1" t="n"/>
      <c r="B74" s="30" t="n">
        <v>46043</v>
      </c>
      <c r="C74" s="31" t="n">
        <v>0.4305555555555556</v>
      </c>
      <c r="D74" s="32" t="inlineStr">
        <is>
          <t>Helen Mason</t>
        </is>
      </c>
      <c r="E74" s="32" t="inlineStr">
        <is>
          <t>Women's haircut</t>
        </is>
      </c>
      <c r="F74" s="33" t="inlineStr">
        <is>
          <t>Cancelled</t>
        </is>
      </c>
      <c r="G74" s="27">
        <f>IF(E74="","",MAX(0,IFERROR(INDEX(Services!$C$6:$C$35,MATCH(E74,Services!$B$6:$B$35,0)),0)-N(H74)))</f>
        <v/>
      </c>
      <c r="H74" s="34" t="n"/>
      <c r="I74" s="34" t="n"/>
      <c r="J74" s="33" t="n"/>
      <c r="K74" s="28">
        <f>IF(OR(B74="",F74&lt;&gt;"Done",J74="Package"),"",IF(N(G74)-N(I74)&gt;0,N(G74)-N(I74),""))</f>
        <v/>
      </c>
      <c r="L74" s="32" t="n"/>
      <c r="M74" s="1">
        <f>IF(OR(B74="",D74="",F74="Cancelled"),"",B74+N(C74)+ROW()/10000000)</f>
        <v/>
      </c>
      <c r="N74">
        <f>IF(AND(F74="Done",M74&lt;&gt;""),IF(COUNTIFS(Appointments!$D$6:$D$2005,D74,Appointments!$F$6:$F$2005,"Done",Appointments!$M$6:$M$2005,"&gt;"&amp;M74)=0,1,0),0)</f>
        <v/>
      </c>
      <c r="O74">
        <f>IF(AND(F74="Booked",M74&lt;&gt;"",N(B74)&gt;=TODAY()),IF(COUNTIFS(Appointments!$D$6:$D$2005,D74,Appointments!$F$6:$F$2005,"Booked",Appointments!$B$6:$B$2005,"&gt;="&amp;TODAY(),Appointments!$M$6:$M$2005,"&lt;"&amp;M74)=0,1,0),0)</f>
        <v/>
      </c>
    </row>
    <row r="75">
      <c r="A75" s="1" t="n"/>
      <c r="B75" s="30" t="n">
        <v>46043</v>
      </c>
      <c r="C75" s="31" t="n">
        <v>0.4791666666666667</v>
      </c>
      <c r="D75" s="32" t="inlineStr">
        <is>
          <t>Ian Hall</t>
        </is>
      </c>
      <c r="E75" s="32" t="inlineStr">
        <is>
          <t>Men's haircut</t>
        </is>
      </c>
      <c r="F75" s="33" t="inlineStr">
        <is>
          <t>Done</t>
        </is>
      </c>
      <c r="G75" s="27">
        <f>IF(E75="","",MAX(0,IFERROR(INDEX(Services!$C$6:$C$35,MATCH(E75,Services!$B$6:$B$35,0)),0)-N(H75)))</f>
        <v/>
      </c>
      <c r="H75" s="34" t="n"/>
      <c r="I75" s="34" t="n">
        <v>30</v>
      </c>
      <c r="J75" s="33" t="inlineStr">
        <is>
          <t>Cash</t>
        </is>
      </c>
      <c r="K75" s="28">
        <f>IF(OR(B75="",F75&lt;&gt;"Done",J75="Package"),"",IF(N(G75)-N(I75)&gt;0,N(G75)-N(I75),""))</f>
        <v/>
      </c>
      <c r="L75" s="32" t="n"/>
      <c r="M75" s="1">
        <f>IF(OR(B75="",D75="",F75="Cancelled"),"",B75+N(C75)+ROW()/10000000)</f>
        <v/>
      </c>
      <c r="N75">
        <f>IF(AND(F75="Done",M75&lt;&gt;""),IF(COUNTIFS(Appointments!$D$6:$D$2005,D75,Appointments!$F$6:$F$2005,"Done",Appointments!$M$6:$M$2005,"&gt;"&amp;M75)=0,1,0),0)</f>
        <v/>
      </c>
      <c r="O75">
        <f>IF(AND(F75="Booked",M75&lt;&gt;"",N(B75)&gt;=TODAY()),IF(COUNTIFS(Appointments!$D$6:$D$2005,D75,Appointments!$F$6:$F$2005,"Booked",Appointments!$B$6:$B$2005,"&gt;="&amp;TODAY(),Appointments!$M$6:$M$2005,"&lt;"&amp;M75)=0,1,0),0)</f>
        <v/>
      </c>
    </row>
    <row r="76">
      <c r="A76" s="1" t="n"/>
      <c r="B76" s="30" t="n">
        <v>46043</v>
      </c>
      <c r="C76" s="31" t="n">
        <v>0.5069444444444444</v>
      </c>
      <c r="D76" s="32" t="inlineStr">
        <is>
          <t>Iris West</t>
        </is>
      </c>
      <c r="E76" s="32" t="inlineStr">
        <is>
          <t>Women's haircut</t>
        </is>
      </c>
      <c r="F76" s="33" t="inlineStr">
        <is>
          <t>Done</t>
        </is>
      </c>
      <c r="G76" s="27">
        <f>IF(E76="","",MAX(0,IFERROR(INDEX(Services!$C$6:$C$35,MATCH(E76,Services!$B$6:$B$35,0)),0)-N(H76)))</f>
        <v/>
      </c>
      <c r="H76" s="34" t="n"/>
      <c r="I76" s="34" t="n">
        <v>55</v>
      </c>
      <c r="J76" s="33" t="inlineStr">
        <is>
          <t>Card</t>
        </is>
      </c>
      <c r="K76" s="28">
        <f>IF(OR(B76="",F76&lt;&gt;"Done",J76="Package"),"",IF(N(G76)-N(I76)&gt;0,N(G76)-N(I76),""))</f>
        <v/>
      </c>
      <c r="L76" s="32" t="n"/>
      <c r="M76" s="1">
        <f>IF(OR(B76="",D76="",F76="Cancelled"),"",B76+N(C76)+ROW()/10000000)</f>
        <v/>
      </c>
      <c r="N76">
        <f>IF(AND(F76="Done",M76&lt;&gt;""),IF(COUNTIFS(Appointments!$D$6:$D$2005,D76,Appointments!$F$6:$F$2005,"Done",Appointments!$M$6:$M$2005,"&gt;"&amp;M76)=0,1,0),0)</f>
        <v/>
      </c>
      <c r="O76">
        <f>IF(AND(F76="Booked",M76&lt;&gt;"",N(B76)&gt;=TODAY()),IF(COUNTIFS(Appointments!$D$6:$D$2005,D76,Appointments!$F$6:$F$2005,"Booked",Appointments!$B$6:$B$2005,"&gt;="&amp;TODAY(),Appointments!$M$6:$M$2005,"&lt;"&amp;M76)=0,1,0),0)</f>
        <v/>
      </c>
    </row>
    <row r="77">
      <c r="A77" s="1" t="n"/>
      <c r="B77" s="30" t="n">
        <v>46043</v>
      </c>
      <c r="C77" s="31" t="n">
        <v>0.5555555555555556</v>
      </c>
      <c r="D77" s="32" t="inlineStr">
        <is>
          <t>Leah Hill</t>
        </is>
      </c>
      <c r="E77" s="32" t="inlineStr">
        <is>
          <t>Women's haircut</t>
        </is>
      </c>
      <c r="F77" s="33" t="inlineStr">
        <is>
          <t>Done</t>
        </is>
      </c>
      <c r="G77" s="27">
        <f>IF(E77="","",MAX(0,IFERROR(INDEX(Services!$C$6:$C$35,MATCH(E77,Services!$B$6:$B$35,0)),0)-N(H77)))</f>
        <v/>
      </c>
      <c r="H77" s="34" t="n"/>
      <c r="I77" s="34" t="n">
        <v>55</v>
      </c>
      <c r="J77" s="33" t="inlineStr">
        <is>
          <t>Card</t>
        </is>
      </c>
      <c r="K77" s="28">
        <f>IF(OR(B77="",F77&lt;&gt;"Done",J77="Package"),"",IF(N(G77)-N(I77)&gt;0,N(G77)-N(I77),""))</f>
        <v/>
      </c>
      <c r="L77" s="32" t="n"/>
      <c r="M77" s="1">
        <f>IF(OR(B77="",D77="",F77="Cancelled"),"",B77+N(C77)+ROW()/10000000)</f>
        <v/>
      </c>
      <c r="N77">
        <f>IF(AND(F77="Done",M77&lt;&gt;""),IF(COUNTIFS(Appointments!$D$6:$D$2005,D77,Appointments!$F$6:$F$2005,"Done",Appointments!$M$6:$M$2005,"&gt;"&amp;M77)=0,1,0),0)</f>
        <v/>
      </c>
      <c r="O77">
        <f>IF(AND(F77="Booked",M77&lt;&gt;"",N(B77)&gt;=TODAY()),IF(COUNTIFS(Appointments!$D$6:$D$2005,D77,Appointments!$F$6:$F$2005,"Booked",Appointments!$B$6:$B$2005,"&gt;="&amp;TODAY(),Appointments!$M$6:$M$2005,"&lt;"&amp;M77)=0,1,0),0)</f>
        <v/>
      </c>
    </row>
    <row r="78">
      <c r="A78" s="1" t="n"/>
      <c r="B78" s="30" t="n">
        <v>46043</v>
      </c>
      <c r="C78" s="31" t="n">
        <v>0.6041666666666666</v>
      </c>
      <c r="D78" s="32" t="inlineStr">
        <is>
          <t>Paula Mason</t>
        </is>
      </c>
      <c r="E78" s="32" t="inlineStr">
        <is>
          <t>Toner</t>
        </is>
      </c>
      <c r="F78" s="33" t="inlineStr">
        <is>
          <t>Done</t>
        </is>
      </c>
      <c r="G78" s="27">
        <f>IF(E78="","",MAX(0,IFERROR(INDEX(Services!$C$6:$C$35,MATCH(E78,Services!$B$6:$B$35,0)),0)-N(H78)))</f>
        <v/>
      </c>
      <c r="H78" s="34" t="n"/>
      <c r="I78" s="34" t="n">
        <v>40</v>
      </c>
      <c r="J78" s="33" t="inlineStr">
        <is>
          <t>Card</t>
        </is>
      </c>
      <c r="K78" s="28">
        <f>IF(OR(B78="",F78&lt;&gt;"Done",J78="Package"),"",IF(N(G78)-N(I78)&gt;0,N(G78)-N(I78),""))</f>
        <v/>
      </c>
      <c r="L78" s="32" t="n"/>
      <c r="M78" s="1">
        <f>IF(OR(B78="",D78="",F78="Cancelled"),"",B78+N(C78)+ROW()/10000000)</f>
        <v/>
      </c>
      <c r="N78">
        <f>IF(AND(F78="Done",M78&lt;&gt;""),IF(COUNTIFS(Appointments!$D$6:$D$2005,D78,Appointments!$F$6:$F$2005,"Done",Appointments!$M$6:$M$2005,"&gt;"&amp;M78)=0,1,0),0)</f>
        <v/>
      </c>
      <c r="O78">
        <f>IF(AND(F78="Booked",M78&lt;&gt;"",N(B78)&gt;=TODAY()),IF(COUNTIFS(Appointments!$D$6:$D$2005,D78,Appointments!$F$6:$F$2005,"Booked",Appointments!$B$6:$B$2005,"&gt;="&amp;TODAY(),Appointments!$M$6:$M$2005,"&lt;"&amp;M78)=0,1,0),0)</f>
        <v/>
      </c>
    </row>
    <row r="79">
      <c r="A79" s="1" t="n"/>
      <c r="B79" s="30" t="n">
        <v>46044</v>
      </c>
      <c r="C79" s="31" t="n">
        <v>0.375</v>
      </c>
      <c r="D79" s="32" t="inlineStr">
        <is>
          <t>Clara Morgan</t>
        </is>
      </c>
      <c r="E79" s="32" t="inlineStr">
        <is>
          <t>Women's haircut</t>
        </is>
      </c>
      <c r="F79" s="33" t="inlineStr">
        <is>
          <t>Done</t>
        </is>
      </c>
      <c r="G79" s="27">
        <f>IF(E79="","",MAX(0,IFERROR(INDEX(Services!$C$6:$C$35,MATCH(E79,Services!$B$6:$B$35,0)),0)-N(H79)))</f>
        <v/>
      </c>
      <c r="H79" s="34" t="n"/>
      <c r="I79" s="34" t="n">
        <v>55</v>
      </c>
      <c r="J79" s="33" t="inlineStr">
        <is>
          <t>Card</t>
        </is>
      </c>
      <c r="K79" s="28">
        <f>IF(OR(B79="",F79&lt;&gt;"Done",J79="Package"),"",IF(N(G79)-N(I79)&gt;0,N(G79)-N(I79),""))</f>
        <v/>
      </c>
      <c r="L79" s="32" t="n"/>
      <c r="M79" s="1">
        <f>IF(OR(B79="",D79="",F79="Cancelled"),"",B79+N(C79)+ROW()/10000000)</f>
        <v/>
      </c>
      <c r="N79">
        <f>IF(AND(F79="Done",M79&lt;&gt;""),IF(COUNTIFS(Appointments!$D$6:$D$2005,D79,Appointments!$F$6:$F$2005,"Done",Appointments!$M$6:$M$2005,"&gt;"&amp;M79)=0,1,0),0)</f>
        <v/>
      </c>
      <c r="O79">
        <f>IF(AND(F79="Booked",M79&lt;&gt;"",N(B79)&gt;=TODAY()),IF(COUNTIFS(Appointments!$D$6:$D$2005,D79,Appointments!$F$6:$F$2005,"Booked",Appointments!$B$6:$B$2005,"&gt;="&amp;TODAY(),Appointments!$M$6:$M$2005,"&lt;"&amp;M79)=0,1,0),0)</f>
        <v/>
      </c>
    </row>
    <row r="80">
      <c r="A80" s="1" t="n"/>
      <c r="B80" s="30" t="n">
        <v>46044</v>
      </c>
      <c r="C80" s="31" t="n">
        <v>0.4236111111111111</v>
      </c>
      <c r="D80" s="32" t="inlineStr">
        <is>
          <t>Hugo Silva</t>
        </is>
      </c>
      <c r="E80" s="32" t="inlineStr">
        <is>
          <t>Men's haircut</t>
        </is>
      </c>
      <c r="F80" s="33" t="inlineStr">
        <is>
          <t>Done</t>
        </is>
      </c>
      <c r="G80" s="27">
        <f>IF(E80="","",MAX(0,IFERROR(INDEX(Services!$C$6:$C$35,MATCH(E80,Services!$B$6:$B$35,0)),0)-N(H80)))</f>
        <v/>
      </c>
      <c r="H80" s="34" t="n"/>
      <c r="I80" s="34" t="n">
        <v>30</v>
      </c>
      <c r="J80" s="33" t="inlineStr">
        <is>
          <t>Cash</t>
        </is>
      </c>
      <c r="K80" s="28">
        <f>IF(OR(B80="",F80&lt;&gt;"Done",J80="Package"),"",IF(N(G80)-N(I80)&gt;0,N(G80)-N(I80),""))</f>
        <v/>
      </c>
      <c r="L80" s="32" t="n"/>
      <c r="M80" s="1">
        <f>IF(OR(B80="",D80="",F80="Cancelled"),"",B80+N(C80)+ROW()/10000000)</f>
        <v/>
      </c>
      <c r="N80">
        <f>IF(AND(F80="Done",M80&lt;&gt;""),IF(COUNTIFS(Appointments!$D$6:$D$2005,D80,Appointments!$F$6:$F$2005,"Done",Appointments!$M$6:$M$2005,"&gt;"&amp;M80)=0,1,0),0)</f>
        <v/>
      </c>
      <c r="O80">
        <f>IF(AND(F80="Booked",M80&lt;&gt;"",N(B80)&gt;=TODAY()),IF(COUNTIFS(Appointments!$D$6:$D$2005,D80,Appointments!$F$6:$F$2005,"Booked",Appointments!$B$6:$B$2005,"&gt;="&amp;TODAY(),Appointments!$M$6:$M$2005,"&lt;"&amp;M80)=0,1,0),0)</f>
        <v/>
      </c>
    </row>
    <row r="81">
      <c r="A81" s="1" t="n"/>
      <c r="B81" s="30" t="n">
        <v>46044</v>
      </c>
      <c r="C81" s="31" t="n">
        <v>0.4513888888888889</v>
      </c>
      <c r="D81" s="32" t="inlineStr">
        <is>
          <t>Mia Cole</t>
        </is>
      </c>
      <c r="E81" s="32" t="inlineStr">
        <is>
          <t>Women's haircut</t>
        </is>
      </c>
      <c r="F81" s="33" t="inlineStr">
        <is>
          <t>Done</t>
        </is>
      </c>
      <c r="G81" s="27">
        <f>IF(E81="","",MAX(0,IFERROR(INDEX(Services!$C$6:$C$35,MATCH(E81,Services!$B$6:$B$35,0)),0)-N(H81)))</f>
        <v/>
      </c>
      <c r="H81" s="34" t="n"/>
      <c r="I81" s="34" t="n">
        <v>55</v>
      </c>
      <c r="J81" s="33" t="inlineStr">
        <is>
          <t>Card</t>
        </is>
      </c>
      <c r="K81" s="28">
        <f>IF(OR(B81="",F81&lt;&gt;"Done",J81="Package"),"",IF(N(G81)-N(I81)&gt;0,N(G81)-N(I81),""))</f>
        <v/>
      </c>
      <c r="L81" s="32" t="n"/>
      <c r="M81" s="1">
        <f>IF(OR(B81="",D81="",F81="Cancelled"),"",B81+N(C81)+ROW()/10000000)</f>
        <v/>
      </c>
      <c r="N81">
        <f>IF(AND(F81="Done",M81&lt;&gt;""),IF(COUNTIFS(Appointments!$D$6:$D$2005,D81,Appointments!$F$6:$F$2005,"Done",Appointments!$M$6:$M$2005,"&gt;"&amp;M81)=0,1,0),0)</f>
        <v/>
      </c>
      <c r="O81">
        <f>IF(AND(F81="Booked",M81&lt;&gt;"",N(B81)&gt;=TODAY()),IF(COUNTIFS(Appointments!$D$6:$D$2005,D81,Appointments!$F$6:$F$2005,"Booked",Appointments!$B$6:$B$2005,"&gt;="&amp;TODAY(),Appointments!$M$6:$M$2005,"&lt;"&amp;M81)=0,1,0),0)</f>
        <v/>
      </c>
    </row>
    <row r="82">
      <c r="A82" s="1" t="n"/>
      <c r="B82" s="30" t="n">
        <v>46044</v>
      </c>
      <c r="C82" s="31" t="n">
        <v>0.5</v>
      </c>
      <c r="D82" s="32" t="inlineStr">
        <is>
          <t>Nick Young</t>
        </is>
      </c>
      <c r="E82" s="32" t="inlineStr">
        <is>
          <t>Men's haircut</t>
        </is>
      </c>
      <c r="F82" s="33" t="inlineStr">
        <is>
          <t>Done</t>
        </is>
      </c>
      <c r="G82" s="27">
        <f>IF(E82="","",MAX(0,IFERROR(INDEX(Services!$C$6:$C$35,MATCH(E82,Services!$B$6:$B$35,0)),0)-N(H82)))</f>
        <v/>
      </c>
      <c r="H82" s="34" t="n"/>
      <c r="I82" s="34" t="n">
        <v>30</v>
      </c>
      <c r="J82" s="33" t="inlineStr">
        <is>
          <t>Card</t>
        </is>
      </c>
      <c r="K82" s="28">
        <f>IF(OR(B82="",F82&lt;&gt;"Done",J82="Package"),"",IF(N(G82)-N(I82)&gt;0,N(G82)-N(I82),""))</f>
        <v/>
      </c>
      <c r="L82" s="32" t="n"/>
      <c r="M82" s="1">
        <f>IF(OR(B82="",D82="",F82="Cancelled"),"",B82+N(C82)+ROW()/10000000)</f>
        <v/>
      </c>
      <c r="N82">
        <f>IF(AND(F82="Done",M82&lt;&gt;""),IF(COUNTIFS(Appointments!$D$6:$D$2005,D82,Appointments!$F$6:$F$2005,"Done",Appointments!$M$6:$M$2005,"&gt;"&amp;M82)=0,1,0),0)</f>
        <v/>
      </c>
      <c r="O82">
        <f>IF(AND(F82="Booked",M82&lt;&gt;"",N(B82)&gt;=TODAY()),IF(COUNTIFS(Appointments!$D$6:$D$2005,D82,Appointments!$F$6:$F$2005,"Booked",Appointments!$B$6:$B$2005,"&gt;="&amp;TODAY(),Appointments!$M$6:$M$2005,"&lt;"&amp;M82)=0,1,0),0)</f>
        <v/>
      </c>
    </row>
    <row r="83">
      <c r="A83" s="1" t="n"/>
      <c r="B83" s="30" t="n">
        <v>46044</v>
      </c>
      <c r="C83" s="31" t="n">
        <v>0.5277777777777778</v>
      </c>
      <c r="D83" s="32" t="inlineStr">
        <is>
          <t>Paula Cook</t>
        </is>
      </c>
      <c r="E83" s="32" t="inlineStr">
        <is>
          <t>Blow dry</t>
        </is>
      </c>
      <c r="F83" s="33" t="inlineStr">
        <is>
          <t>Done</t>
        </is>
      </c>
      <c r="G83" s="27">
        <f>IF(E83="","",MAX(0,IFERROR(INDEX(Services!$C$6:$C$35,MATCH(E83,Services!$B$6:$B$35,0)),0)-N(H83)))</f>
        <v/>
      </c>
      <c r="H83" s="34" t="n"/>
      <c r="I83" s="34" t="n">
        <v>35</v>
      </c>
      <c r="J83" s="33" t="inlineStr">
        <is>
          <t>Card</t>
        </is>
      </c>
      <c r="K83" s="28">
        <f>IF(OR(B83="",F83&lt;&gt;"Done",J83="Package"),"",IF(N(G83)-N(I83)&gt;0,N(G83)-N(I83),""))</f>
        <v/>
      </c>
      <c r="L83" s="32" t="n"/>
      <c r="M83" s="1">
        <f>IF(OR(B83="",D83="",F83="Cancelled"),"",B83+N(C83)+ROW()/10000000)</f>
        <v/>
      </c>
      <c r="N83">
        <f>IF(AND(F83="Done",M83&lt;&gt;""),IF(COUNTIFS(Appointments!$D$6:$D$2005,D83,Appointments!$F$6:$F$2005,"Done",Appointments!$M$6:$M$2005,"&gt;"&amp;M83)=0,1,0),0)</f>
        <v/>
      </c>
      <c r="O83">
        <f>IF(AND(F83="Booked",M83&lt;&gt;"",N(B83)&gt;=TODAY()),IF(COUNTIFS(Appointments!$D$6:$D$2005,D83,Appointments!$F$6:$F$2005,"Booked",Appointments!$B$6:$B$2005,"&gt;="&amp;TODAY(),Appointments!$M$6:$M$2005,"&lt;"&amp;M83)=0,1,0),0)</f>
        <v/>
      </c>
    </row>
    <row r="84">
      <c r="A84" s="1" t="n"/>
      <c r="B84" s="30" t="n">
        <v>46044</v>
      </c>
      <c r="C84" s="31" t="n">
        <v>0.5659722222222222</v>
      </c>
      <c r="D84" s="32" t="inlineStr">
        <is>
          <t>Ruby Cook</t>
        </is>
      </c>
      <c r="E84" s="32" t="inlineStr">
        <is>
          <t>Women's haircut</t>
        </is>
      </c>
      <c r="F84" s="33" t="inlineStr">
        <is>
          <t>Done</t>
        </is>
      </c>
      <c r="G84" s="27">
        <f>IF(E84="","",MAX(0,IFERROR(INDEX(Services!$C$6:$C$35,MATCH(E84,Services!$B$6:$B$35,0)),0)-N(H84)))</f>
        <v/>
      </c>
      <c r="H84" s="34" t="n"/>
      <c r="I84" s="34" t="n">
        <v>55</v>
      </c>
      <c r="J84" s="33" t="inlineStr">
        <is>
          <t>Cash</t>
        </is>
      </c>
      <c r="K84" s="28">
        <f>IF(OR(B84="",F84&lt;&gt;"Done",J84="Package"),"",IF(N(G84)-N(I84)&gt;0,N(G84)-N(I84),""))</f>
        <v/>
      </c>
      <c r="L84" s="32" t="n"/>
      <c r="M84" s="1">
        <f>IF(OR(B84="",D84="",F84="Cancelled"),"",B84+N(C84)+ROW()/10000000)</f>
        <v/>
      </c>
      <c r="N84">
        <f>IF(AND(F84="Done",M84&lt;&gt;""),IF(COUNTIFS(Appointments!$D$6:$D$2005,D84,Appointments!$F$6:$F$2005,"Done",Appointments!$M$6:$M$2005,"&gt;"&amp;M84)=0,1,0),0)</f>
        <v/>
      </c>
      <c r="O84">
        <f>IF(AND(F84="Booked",M84&lt;&gt;"",N(B84)&gt;=TODAY()),IF(COUNTIFS(Appointments!$D$6:$D$2005,D84,Appointments!$F$6:$F$2005,"Booked",Appointments!$B$6:$B$2005,"&gt;="&amp;TODAY(),Appointments!$M$6:$M$2005,"&lt;"&amp;M84)=0,1,0),0)</f>
        <v/>
      </c>
    </row>
    <row r="85">
      <c r="A85" s="1" t="n"/>
      <c r="B85" s="30" t="n">
        <v>46044</v>
      </c>
      <c r="C85" s="31" t="n">
        <v>0.6145833333333334</v>
      </c>
      <c r="D85" s="32" t="inlineStr">
        <is>
          <t>Tom Davies</t>
        </is>
      </c>
      <c r="E85" s="32" t="inlineStr">
        <is>
          <t>Men's haircut</t>
        </is>
      </c>
      <c r="F85" s="33" t="inlineStr">
        <is>
          <t>Done</t>
        </is>
      </c>
      <c r="G85" s="27">
        <f>IF(E85="","",MAX(0,IFERROR(INDEX(Services!$C$6:$C$35,MATCH(E85,Services!$B$6:$B$35,0)),0)-N(H85)))</f>
        <v/>
      </c>
      <c r="H85" s="34" t="n">
        <v>10</v>
      </c>
      <c r="I85" s="34" t="n">
        <v>20</v>
      </c>
      <c r="J85" s="33" t="inlineStr">
        <is>
          <t>Card</t>
        </is>
      </c>
      <c r="K85" s="28">
        <f>IF(OR(B85="",F85&lt;&gt;"Done",J85="Package"),"",IF(N(G85)-N(I85)&gt;0,N(G85)-N(I85),""))</f>
        <v/>
      </c>
      <c r="L85" s="32" t="inlineStr">
        <is>
          <t>Friends and family</t>
        </is>
      </c>
      <c r="M85" s="1">
        <f>IF(OR(B85="",D85="",F85="Cancelled"),"",B85+N(C85)+ROW()/10000000)</f>
        <v/>
      </c>
      <c r="N85">
        <f>IF(AND(F85="Done",M85&lt;&gt;""),IF(COUNTIFS(Appointments!$D$6:$D$2005,D85,Appointments!$F$6:$F$2005,"Done",Appointments!$M$6:$M$2005,"&gt;"&amp;M85)=0,1,0),0)</f>
        <v/>
      </c>
      <c r="O85">
        <f>IF(AND(F85="Booked",M85&lt;&gt;"",N(B85)&gt;=TODAY()),IF(COUNTIFS(Appointments!$D$6:$D$2005,D85,Appointments!$F$6:$F$2005,"Booked",Appointments!$B$6:$B$2005,"&gt;="&amp;TODAY(),Appointments!$M$6:$M$2005,"&lt;"&amp;M85)=0,1,0),0)</f>
        <v/>
      </c>
    </row>
    <row r="86">
      <c r="A86" s="1" t="n"/>
      <c r="B86" s="30" t="n">
        <v>46045</v>
      </c>
      <c r="C86" s="31" t="n">
        <v>0.375</v>
      </c>
      <c r="D86" s="32" t="inlineStr">
        <is>
          <t>Chris West</t>
        </is>
      </c>
      <c r="E86" s="32" t="inlineStr">
        <is>
          <t>Men's haircut</t>
        </is>
      </c>
      <c r="F86" s="33" t="inlineStr">
        <is>
          <t>Done</t>
        </is>
      </c>
      <c r="G86" s="27">
        <f>IF(E86="","",MAX(0,IFERROR(INDEX(Services!$C$6:$C$35,MATCH(E86,Services!$B$6:$B$35,0)),0)-N(H86)))</f>
        <v/>
      </c>
      <c r="H86" s="34" t="n"/>
      <c r="I86" s="34" t="n">
        <v>30</v>
      </c>
      <c r="J86" s="33" t="inlineStr">
        <is>
          <t>Card</t>
        </is>
      </c>
      <c r="K86" s="28">
        <f>IF(OR(B86="",F86&lt;&gt;"Done",J86="Package"),"",IF(N(G86)-N(I86)&gt;0,N(G86)-N(I86),""))</f>
        <v/>
      </c>
      <c r="L86" s="32" t="n"/>
      <c r="M86" s="1">
        <f>IF(OR(B86="",D86="",F86="Cancelled"),"",B86+N(C86)+ROW()/10000000)</f>
        <v/>
      </c>
      <c r="N86">
        <f>IF(AND(F86="Done",M86&lt;&gt;""),IF(COUNTIFS(Appointments!$D$6:$D$2005,D86,Appointments!$F$6:$F$2005,"Done",Appointments!$M$6:$M$2005,"&gt;"&amp;M86)=0,1,0),0)</f>
        <v/>
      </c>
      <c r="O86">
        <f>IF(AND(F86="Booked",M86&lt;&gt;"",N(B86)&gt;=TODAY()),IF(COUNTIFS(Appointments!$D$6:$D$2005,D86,Appointments!$F$6:$F$2005,"Booked",Appointments!$B$6:$B$2005,"&gt;="&amp;TODAY(),Appointments!$M$6:$M$2005,"&lt;"&amp;M86)=0,1,0),0)</f>
        <v/>
      </c>
    </row>
    <row r="87">
      <c r="A87" s="1" t="n"/>
      <c r="B87" s="30" t="n">
        <v>46045</v>
      </c>
      <c r="C87" s="31" t="n">
        <v>0.4027777777777778</v>
      </c>
      <c r="D87" s="32" t="inlineStr">
        <is>
          <t>Dina West</t>
        </is>
      </c>
      <c r="E87" s="32" t="inlineStr">
        <is>
          <t>Treatment</t>
        </is>
      </c>
      <c r="F87" s="33" t="inlineStr">
        <is>
          <t>Done</t>
        </is>
      </c>
      <c r="G87" s="27">
        <f>IF(E87="","",MAX(0,IFERROR(INDEX(Services!$C$6:$C$35,MATCH(E87,Services!$B$6:$B$35,0)),0)-N(H87)))</f>
        <v/>
      </c>
      <c r="H87" s="34" t="n"/>
      <c r="I87" s="34" t="n">
        <v>30</v>
      </c>
      <c r="J87" s="33" t="inlineStr">
        <is>
          <t>Cash</t>
        </is>
      </c>
      <c r="K87" s="28">
        <f>IF(OR(B87="",F87&lt;&gt;"Done",J87="Package"),"",IF(N(G87)-N(I87)&gt;0,N(G87)-N(I87),""))</f>
        <v/>
      </c>
      <c r="L87" s="32" t="n"/>
      <c r="M87" s="1">
        <f>IF(OR(B87="",D87="",F87="Cancelled"),"",B87+N(C87)+ROW()/10000000)</f>
        <v/>
      </c>
      <c r="N87">
        <f>IF(AND(F87="Done",M87&lt;&gt;""),IF(COUNTIFS(Appointments!$D$6:$D$2005,D87,Appointments!$F$6:$F$2005,"Done",Appointments!$M$6:$M$2005,"&gt;"&amp;M87)=0,1,0),0)</f>
        <v/>
      </c>
      <c r="O87">
        <f>IF(AND(F87="Booked",M87&lt;&gt;"",N(B87)&gt;=TODAY()),IF(COUNTIFS(Appointments!$D$6:$D$2005,D87,Appointments!$F$6:$F$2005,"Booked",Appointments!$B$6:$B$2005,"&gt;="&amp;TODAY(),Appointments!$M$6:$M$2005,"&lt;"&amp;M87)=0,1,0),0)</f>
        <v/>
      </c>
    </row>
    <row r="88">
      <c r="A88" s="1" t="n"/>
      <c r="B88" s="30" t="n">
        <v>46045</v>
      </c>
      <c r="C88" s="31" t="n">
        <v>0.4305555555555556</v>
      </c>
      <c r="D88" s="32" t="inlineStr">
        <is>
          <t>Ella Morgan</t>
        </is>
      </c>
      <c r="E88" s="32" t="inlineStr">
        <is>
          <t>Colour</t>
        </is>
      </c>
      <c r="F88" s="33" t="inlineStr">
        <is>
          <t>Done</t>
        </is>
      </c>
      <c r="G88" s="27">
        <f>IF(E88="","",MAX(0,IFERROR(INDEX(Services!$C$6:$C$35,MATCH(E88,Services!$B$6:$B$35,0)),0)-N(H88)))</f>
        <v/>
      </c>
      <c r="H88" s="34" t="n"/>
      <c r="I88" s="34" t="n">
        <v>95</v>
      </c>
      <c r="J88" s="33" t="inlineStr">
        <is>
          <t>Cash</t>
        </is>
      </c>
      <c r="K88" s="28">
        <f>IF(OR(B88="",F88&lt;&gt;"Done",J88="Package"),"",IF(N(G88)-N(I88)&gt;0,N(G88)-N(I88),""))</f>
        <v/>
      </c>
      <c r="L88" s="32" t="n"/>
      <c r="M88" s="1">
        <f>IF(OR(B88="",D88="",F88="Cancelled"),"",B88+N(C88)+ROW()/10000000)</f>
        <v/>
      </c>
      <c r="N88">
        <f>IF(AND(F88="Done",M88&lt;&gt;""),IF(COUNTIFS(Appointments!$D$6:$D$2005,D88,Appointments!$F$6:$F$2005,"Done",Appointments!$M$6:$M$2005,"&gt;"&amp;M88)=0,1,0),0)</f>
        <v/>
      </c>
      <c r="O88">
        <f>IF(AND(F88="Booked",M88&lt;&gt;"",N(B88)&gt;=TODAY()),IF(COUNTIFS(Appointments!$D$6:$D$2005,D88,Appointments!$F$6:$F$2005,"Booked",Appointments!$B$6:$B$2005,"&gt;="&amp;TODAY(),Appointments!$M$6:$M$2005,"&lt;"&amp;M88)=0,1,0),0)</f>
        <v/>
      </c>
    </row>
    <row r="89">
      <c r="A89" s="1" t="n"/>
      <c r="B89" s="30" t="n">
        <v>46045</v>
      </c>
      <c r="C89" s="31" t="n">
        <v>0.5208333333333334</v>
      </c>
      <c r="D89" s="32" t="inlineStr">
        <is>
          <t>Jade Davies</t>
        </is>
      </c>
      <c r="E89" s="32" t="inlineStr">
        <is>
          <t>Treatment</t>
        </is>
      </c>
      <c r="F89" s="33" t="inlineStr">
        <is>
          <t>Done</t>
        </is>
      </c>
      <c r="G89" s="27">
        <f>IF(E89="","",MAX(0,IFERROR(INDEX(Services!$C$6:$C$35,MATCH(E89,Services!$B$6:$B$35,0)),0)-N(H89)))</f>
        <v/>
      </c>
      <c r="H89" s="34" t="n"/>
      <c r="I89" s="34" t="n">
        <v>30</v>
      </c>
      <c r="J89" s="33" t="inlineStr">
        <is>
          <t>Transfer</t>
        </is>
      </c>
      <c r="K89" s="28">
        <f>IF(OR(B89="",F89&lt;&gt;"Done",J89="Package"),"",IF(N(G89)-N(I89)&gt;0,N(G89)-N(I89),""))</f>
        <v/>
      </c>
      <c r="L89" s="32" t="n"/>
      <c r="M89" s="1">
        <f>IF(OR(B89="",D89="",F89="Cancelled"),"",B89+N(C89)+ROW()/10000000)</f>
        <v/>
      </c>
      <c r="N89">
        <f>IF(AND(F89="Done",M89&lt;&gt;""),IF(COUNTIFS(Appointments!$D$6:$D$2005,D89,Appointments!$F$6:$F$2005,"Done",Appointments!$M$6:$M$2005,"&gt;"&amp;M89)=0,1,0),0)</f>
        <v/>
      </c>
      <c r="O89">
        <f>IF(AND(F89="Booked",M89&lt;&gt;"",N(B89)&gt;=TODAY()),IF(COUNTIFS(Appointments!$D$6:$D$2005,D89,Appointments!$F$6:$F$2005,"Booked",Appointments!$B$6:$B$2005,"&gt;="&amp;TODAY(),Appointments!$M$6:$M$2005,"&lt;"&amp;M89)=0,1,0),0)</f>
        <v/>
      </c>
    </row>
    <row r="90">
      <c r="A90" s="1" t="n"/>
      <c r="B90" s="30" t="n">
        <v>46045</v>
      </c>
      <c r="C90" s="31" t="n">
        <v>0.5486111111111112</v>
      </c>
      <c r="D90" s="32" t="inlineStr">
        <is>
          <t>Jade Hughes</t>
        </is>
      </c>
      <c r="E90" s="32" t="inlineStr">
        <is>
          <t>Blow dry</t>
        </is>
      </c>
      <c r="F90" s="33" t="inlineStr">
        <is>
          <t>Done</t>
        </is>
      </c>
      <c r="G90" s="27">
        <f>IF(E90="","",MAX(0,IFERROR(INDEX(Services!$C$6:$C$35,MATCH(E90,Services!$B$6:$B$35,0)),0)-N(H90)))</f>
        <v/>
      </c>
      <c r="H90" s="34" t="n"/>
      <c r="I90" s="34" t="n">
        <v>35</v>
      </c>
      <c r="J90" s="33" t="inlineStr">
        <is>
          <t>Card</t>
        </is>
      </c>
      <c r="K90" s="28">
        <f>IF(OR(B90="",F90&lt;&gt;"Done",J90="Package"),"",IF(N(G90)-N(I90)&gt;0,N(G90)-N(I90),""))</f>
        <v/>
      </c>
      <c r="L90" s="32" t="n"/>
      <c r="M90" s="1">
        <f>IF(OR(B90="",D90="",F90="Cancelled"),"",B90+N(C90)+ROW()/10000000)</f>
        <v/>
      </c>
      <c r="N90">
        <f>IF(AND(F90="Done",M90&lt;&gt;""),IF(COUNTIFS(Appointments!$D$6:$D$2005,D90,Appointments!$F$6:$F$2005,"Done",Appointments!$M$6:$M$2005,"&gt;"&amp;M90)=0,1,0),0)</f>
        <v/>
      </c>
      <c r="O90">
        <f>IF(AND(F90="Booked",M90&lt;&gt;"",N(B90)&gt;=TODAY()),IF(COUNTIFS(Appointments!$D$6:$D$2005,D90,Appointments!$F$6:$F$2005,"Booked",Appointments!$B$6:$B$2005,"&gt;="&amp;TODAY(),Appointments!$M$6:$M$2005,"&lt;"&amp;M90)=0,1,0),0)</f>
        <v/>
      </c>
    </row>
    <row r="91">
      <c r="A91" s="1" t="n"/>
      <c r="B91" s="30" t="n">
        <v>46045</v>
      </c>
      <c r="C91" s="31" t="n">
        <v>0.5868055555555556</v>
      </c>
      <c r="D91" s="32" t="inlineStr">
        <is>
          <t>Sara Hughes</t>
        </is>
      </c>
      <c r="E91" s="32" t="inlineStr">
        <is>
          <t>Highlights</t>
        </is>
      </c>
      <c r="F91" s="33" t="inlineStr">
        <is>
          <t>Done</t>
        </is>
      </c>
      <c r="G91" s="27">
        <f>IF(E91="","",MAX(0,IFERROR(INDEX(Services!$C$6:$C$35,MATCH(E91,Services!$B$6:$B$35,0)),0)-N(H91)))</f>
        <v/>
      </c>
      <c r="H91" s="34" t="n"/>
      <c r="I91" s="34" t="n">
        <v>140</v>
      </c>
      <c r="J91" s="33" t="inlineStr">
        <is>
          <t>Cash</t>
        </is>
      </c>
      <c r="K91" s="28">
        <f>IF(OR(B91="",F91&lt;&gt;"Done",J91="Package"),"",IF(N(G91)-N(I91)&gt;0,N(G91)-N(I91),""))</f>
        <v/>
      </c>
      <c r="L91" s="32" t="n"/>
      <c r="M91" s="1">
        <f>IF(OR(B91="",D91="",F91="Cancelled"),"",B91+N(C91)+ROW()/10000000)</f>
        <v/>
      </c>
      <c r="N91">
        <f>IF(AND(F91="Done",M91&lt;&gt;""),IF(COUNTIFS(Appointments!$D$6:$D$2005,D91,Appointments!$F$6:$F$2005,"Done",Appointments!$M$6:$M$2005,"&gt;"&amp;M91)=0,1,0),0)</f>
        <v/>
      </c>
      <c r="O91">
        <f>IF(AND(F91="Booked",M91&lt;&gt;"",N(B91)&gt;=TODAY()),IF(COUNTIFS(Appointments!$D$6:$D$2005,D91,Appointments!$F$6:$F$2005,"Booked",Appointments!$B$6:$B$2005,"&gt;="&amp;TODAY(),Appointments!$M$6:$M$2005,"&lt;"&amp;M91)=0,1,0),0)</f>
        <v/>
      </c>
    </row>
    <row r="92">
      <c r="A92" s="1" t="n"/>
      <c r="B92" s="30" t="n">
        <v>46045</v>
      </c>
      <c r="C92" s="31" t="n">
        <v>0.6979166666666666</v>
      </c>
      <c r="D92" s="32" t="inlineStr">
        <is>
          <t>Tina Baker</t>
        </is>
      </c>
      <c r="E92" s="32" t="inlineStr">
        <is>
          <t>Colour</t>
        </is>
      </c>
      <c r="F92" s="33" t="inlineStr">
        <is>
          <t>Done</t>
        </is>
      </c>
      <c r="G92" s="27">
        <f>IF(E92="","",MAX(0,IFERROR(INDEX(Services!$C$6:$C$35,MATCH(E92,Services!$B$6:$B$35,0)),0)-N(H92)))</f>
        <v/>
      </c>
      <c r="H92" s="34" t="n"/>
      <c r="I92" s="34" t="n">
        <v>95</v>
      </c>
      <c r="J92" s="33" t="inlineStr">
        <is>
          <t>Card</t>
        </is>
      </c>
      <c r="K92" s="28">
        <f>IF(OR(B92="",F92&lt;&gt;"Done",J92="Package"),"",IF(N(G92)-N(I92)&gt;0,N(G92)-N(I92),""))</f>
        <v/>
      </c>
      <c r="L92" s="32" t="n"/>
      <c r="M92" s="1">
        <f>IF(OR(B92="",D92="",F92="Cancelled"),"",B92+N(C92)+ROW()/10000000)</f>
        <v/>
      </c>
      <c r="N92">
        <f>IF(AND(F92="Done",M92&lt;&gt;""),IF(COUNTIFS(Appointments!$D$6:$D$2005,D92,Appointments!$F$6:$F$2005,"Done",Appointments!$M$6:$M$2005,"&gt;"&amp;M92)=0,1,0),0)</f>
        <v/>
      </c>
      <c r="O92">
        <f>IF(AND(F92="Booked",M92&lt;&gt;"",N(B92)&gt;=TODAY()),IF(COUNTIFS(Appointments!$D$6:$D$2005,D92,Appointments!$F$6:$F$2005,"Booked",Appointments!$B$6:$B$2005,"&gt;="&amp;TODAY(),Appointments!$M$6:$M$2005,"&lt;"&amp;M92)=0,1,0),0)</f>
        <v/>
      </c>
    </row>
    <row r="93">
      <c r="A93" s="1" t="n"/>
      <c r="B93" s="30" t="n">
        <v>46046</v>
      </c>
      <c r="C93" s="31" t="n">
        <v>0.375</v>
      </c>
      <c r="D93" s="32" t="inlineStr">
        <is>
          <t>Gina Reid</t>
        </is>
      </c>
      <c r="E93" s="32" t="inlineStr">
        <is>
          <t>Toner</t>
        </is>
      </c>
      <c r="F93" s="33" t="inlineStr">
        <is>
          <t>Done</t>
        </is>
      </c>
      <c r="G93" s="27">
        <f>IF(E93="","",MAX(0,IFERROR(INDEX(Services!$C$6:$C$35,MATCH(E93,Services!$B$6:$B$35,0)),0)-N(H93)))</f>
        <v/>
      </c>
      <c r="H93" s="34" t="n"/>
      <c r="I93" s="34" t="n">
        <v>40</v>
      </c>
      <c r="J93" s="33" t="inlineStr">
        <is>
          <t>Card</t>
        </is>
      </c>
      <c r="K93" s="28">
        <f>IF(OR(B93="",F93&lt;&gt;"Done",J93="Package"),"",IF(N(G93)-N(I93)&gt;0,N(G93)-N(I93),""))</f>
        <v/>
      </c>
      <c r="L93" s="32" t="n"/>
      <c r="M93" s="1">
        <f>IF(OR(B93="",D93="",F93="Cancelled"),"",B93+N(C93)+ROW()/10000000)</f>
        <v/>
      </c>
      <c r="N93">
        <f>IF(AND(F93="Done",M93&lt;&gt;""),IF(COUNTIFS(Appointments!$D$6:$D$2005,D93,Appointments!$F$6:$F$2005,"Done",Appointments!$M$6:$M$2005,"&gt;"&amp;M93)=0,1,0),0)</f>
        <v/>
      </c>
      <c r="O93">
        <f>IF(AND(F93="Booked",M93&lt;&gt;"",N(B93)&gt;=TODAY()),IF(COUNTIFS(Appointments!$D$6:$D$2005,D93,Appointments!$F$6:$F$2005,"Booked",Appointments!$B$6:$B$2005,"&gt;="&amp;TODAY(),Appointments!$M$6:$M$2005,"&lt;"&amp;M93)=0,1,0),0)</f>
        <v/>
      </c>
    </row>
    <row r="94">
      <c r="A94" s="1" t="n"/>
      <c r="B94" s="30" t="n">
        <v>46046</v>
      </c>
      <c r="C94" s="31" t="n">
        <v>0.4027777777777778</v>
      </c>
      <c r="D94" s="32" t="inlineStr">
        <is>
          <t>Harry Hall</t>
        </is>
      </c>
      <c r="E94" s="32" t="inlineStr">
        <is>
          <t>Men's haircut</t>
        </is>
      </c>
      <c r="F94" s="33" t="inlineStr">
        <is>
          <t>Done</t>
        </is>
      </c>
      <c r="G94" s="27">
        <f>IF(E94="","",MAX(0,IFERROR(INDEX(Services!$C$6:$C$35,MATCH(E94,Services!$B$6:$B$35,0)),0)-N(H94)))</f>
        <v/>
      </c>
      <c r="H94" s="34" t="n"/>
      <c r="I94" s="34" t="n">
        <v>30</v>
      </c>
      <c r="J94" s="33" t="inlineStr">
        <is>
          <t>Card</t>
        </is>
      </c>
      <c r="K94" s="28">
        <f>IF(OR(B94="",F94&lt;&gt;"Done",J94="Package"),"",IF(N(G94)-N(I94)&gt;0,N(G94)-N(I94),""))</f>
        <v/>
      </c>
      <c r="L94" s="32" t="n"/>
      <c r="M94" s="1">
        <f>IF(OR(B94="",D94="",F94="Cancelled"),"",B94+N(C94)+ROW()/10000000)</f>
        <v/>
      </c>
      <c r="N94">
        <f>IF(AND(F94="Done",M94&lt;&gt;""),IF(COUNTIFS(Appointments!$D$6:$D$2005,D94,Appointments!$F$6:$F$2005,"Done",Appointments!$M$6:$M$2005,"&gt;"&amp;M94)=0,1,0),0)</f>
        <v/>
      </c>
      <c r="O94">
        <f>IF(AND(F94="Booked",M94&lt;&gt;"",N(B94)&gt;=TODAY()),IF(COUNTIFS(Appointments!$D$6:$D$2005,D94,Appointments!$F$6:$F$2005,"Booked",Appointments!$B$6:$B$2005,"&gt;="&amp;TODAY(),Appointments!$M$6:$M$2005,"&lt;"&amp;M94)=0,1,0),0)</f>
        <v/>
      </c>
    </row>
    <row r="95">
      <c r="A95" s="1" t="n"/>
      <c r="B95" s="30" t="n">
        <v>46046</v>
      </c>
      <c r="C95" s="31" t="n">
        <v>0.4305555555555556</v>
      </c>
      <c r="D95" s="32" t="inlineStr">
        <is>
          <t>Katie Moore</t>
        </is>
      </c>
      <c r="E95" s="32" t="inlineStr">
        <is>
          <t>Women's haircut</t>
        </is>
      </c>
      <c r="F95" s="33" t="inlineStr">
        <is>
          <t>Done</t>
        </is>
      </c>
      <c r="G95" s="27">
        <f>IF(E95="","",MAX(0,IFERROR(INDEX(Services!$C$6:$C$35,MATCH(E95,Services!$B$6:$B$35,0)),0)-N(H95)))</f>
        <v/>
      </c>
      <c r="H95" s="34" t="n"/>
      <c r="I95" s="34" t="n">
        <v>55</v>
      </c>
      <c r="J95" s="33" t="inlineStr">
        <is>
          <t>Card</t>
        </is>
      </c>
      <c r="K95" s="28">
        <f>IF(OR(B95="",F95&lt;&gt;"Done",J95="Package"),"",IF(N(G95)-N(I95)&gt;0,N(G95)-N(I95),""))</f>
        <v/>
      </c>
      <c r="L95" s="32" t="n"/>
      <c r="M95" s="1">
        <f>IF(OR(B95="",D95="",F95="Cancelled"),"",B95+N(C95)+ROW()/10000000)</f>
        <v/>
      </c>
      <c r="N95">
        <f>IF(AND(F95="Done",M95&lt;&gt;""),IF(COUNTIFS(Appointments!$D$6:$D$2005,D95,Appointments!$F$6:$F$2005,"Done",Appointments!$M$6:$M$2005,"&gt;"&amp;M95)=0,1,0),0)</f>
        <v/>
      </c>
      <c r="O95">
        <f>IF(AND(F95="Booked",M95&lt;&gt;"",N(B95)&gt;=TODAY()),IF(COUNTIFS(Appointments!$D$6:$D$2005,D95,Appointments!$F$6:$F$2005,"Booked",Appointments!$B$6:$B$2005,"&gt;="&amp;TODAY(),Appointments!$M$6:$M$2005,"&lt;"&amp;M95)=0,1,0),0)</f>
        <v/>
      </c>
    </row>
    <row r="96">
      <c r="A96" s="1" t="n"/>
      <c r="B96" s="30" t="n">
        <v>46046</v>
      </c>
      <c r="C96" s="31" t="n">
        <v>0.4791666666666667</v>
      </c>
      <c r="D96" s="32" t="inlineStr">
        <is>
          <t>Kyle Fox</t>
        </is>
      </c>
      <c r="E96" s="32" t="inlineStr">
        <is>
          <t>Men's haircut</t>
        </is>
      </c>
      <c r="F96" s="33" t="inlineStr">
        <is>
          <t>Done</t>
        </is>
      </c>
      <c r="G96" s="27">
        <f>IF(E96="","",MAX(0,IFERROR(INDEX(Services!$C$6:$C$35,MATCH(E96,Services!$B$6:$B$35,0)),0)-N(H96)))</f>
        <v/>
      </c>
      <c r="H96" s="34" t="n"/>
      <c r="I96" s="34" t="n">
        <v>30</v>
      </c>
      <c r="J96" s="33" t="inlineStr">
        <is>
          <t>Card</t>
        </is>
      </c>
      <c r="K96" s="28">
        <f>IF(OR(B96="",F96&lt;&gt;"Done",J96="Package"),"",IF(N(G96)-N(I96)&gt;0,N(G96)-N(I96),""))</f>
        <v/>
      </c>
      <c r="L96" s="32" t="n"/>
      <c r="M96" s="1">
        <f>IF(OR(B96="",D96="",F96="Cancelled"),"",B96+N(C96)+ROW()/10000000)</f>
        <v/>
      </c>
      <c r="N96">
        <f>IF(AND(F96="Done",M96&lt;&gt;""),IF(COUNTIFS(Appointments!$D$6:$D$2005,D96,Appointments!$F$6:$F$2005,"Done",Appointments!$M$6:$M$2005,"&gt;"&amp;M96)=0,1,0),0)</f>
        <v/>
      </c>
      <c r="O96">
        <f>IF(AND(F96="Booked",M96&lt;&gt;"",N(B96)&gt;=TODAY()),IF(COUNTIFS(Appointments!$D$6:$D$2005,D96,Appointments!$F$6:$F$2005,"Booked",Appointments!$B$6:$B$2005,"&gt;="&amp;TODAY(),Appointments!$M$6:$M$2005,"&lt;"&amp;M96)=0,1,0),0)</f>
        <v/>
      </c>
    </row>
    <row r="97">
      <c r="A97" s="1" t="n"/>
      <c r="B97" s="30" t="n">
        <v>46046</v>
      </c>
      <c r="C97" s="31" t="n">
        <v>0.5069444444444444</v>
      </c>
      <c r="D97" s="32" t="inlineStr">
        <is>
          <t>Ryan Davies</t>
        </is>
      </c>
      <c r="E97" s="32" t="inlineStr">
        <is>
          <t>Men's haircut</t>
        </is>
      </c>
      <c r="F97" s="33" t="inlineStr">
        <is>
          <t>Done</t>
        </is>
      </c>
      <c r="G97" s="27">
        <f>IF(E97="","",MAX(0,IFERROR(INDEX(Services!$C$6:$C$35,MATCH(E97,Services!$B$6:$B$35,0)),0)-N(H97)))</f>
        <v/>
      </c>
      <c r="H97" s="34" t="n"/>
      <c r="I97" s="34" t="n">
        <v>30</v>
      </c>
      <c r="J97" s="33" t="inlineStr">
        <is>
          <t>Cash</t>
        </is>
      </c>
      <c r="K97" s="28">
        <f>IF(OR(B97="",F97&lt;&gt;"Done",J97="Package"),"",IF(N(G97)-N(I97)&gt;0,N(G97)-N(I97),""))</f>
        <v/>
      </c>
      <c r="L97" s="32" t="n"/>
      <c r="M97" s="1">
        <f>IF(OR(B97="",D97="",F97="Cancelled"),"",B97+N(C97)+ROW()/10000000)</f>
        <v/>
      </c>
      <c r="N97">
        <f>IF(AND(F97="Done",M97&lt;&gt;""),IF(COUNTIFS(Appointments!$D$6:$D$2005,D97,Appointments!$F$6:$F$2005,"Done",Appointments!$M$6:$M$2005,"&gt;"&amp;M97)=0,1,0),0)</f>
        <v/>
      </c>
      <c r="O97">
        <f>IF(AND(F97="Booked",M97&lt;&gt;"",N(B97)&gt;=TODAY()),IF(COUNTIFS(Appointments!$D$6:$D$2005,D97,Appointments!$F$6:$F$2005,"Booked",Appointments!$B$6:$B$2005,"&gt;="&amp;TODAY(),Appointments!$M$6:$M$2005,"&lt;"&amp;M97)=0,1,0),0)</f>
        <v/>
      </c>
    </row>
    <row r="98">
      <c r="A98" s="1" t="n"/>
      <c r="B98" s="30" t="n">
        <v>46046</v>
      </c>
      <c r="C98" s="31" t="n">
        <v>0.5347222222222222</v>
      </c>
      <c r="D98" s="32" t="inlineStr">
        <is>
          <t>Sara Reed</t>
        </is>
      </c>
      <c r="E98" s="32" t="inlineStr">
        <is>
          <t>Women's haircut</t>
        </is>
      </c>
      <c r="F98" s="33" t="inlineStr">
        <is>
          <t>Done</t>
        </is>
      </c>
      <c r="G98" s="27">
        <f>IF(E98="","",MAX(0,IFERROR(INDEX(Services!$C$6:$C$35,MATCH(E98,Services!$B$6:$B$35,0)),0)-N(H98)))</f>
        <v/>
      </c>
      <c r="H98" s="34" t="n"/>
      <c r="I98" s="34" t="n">
        <v>55</v>
      </c>
      <c r="J98" s="33" t="inlineStr">
        <is>
          <t>App</t>
        </is>
      </c>
      <c r="K98" s="28">
        <f>IF(OR(B98="",F98&lt;&gt;"Done",J98="Package"),"",IF(N(G98)-N(I98)&gt;0,N(G98)-N(I98),""))</f>
        <v/>
      </c>
      <c r="L98" s="32" t="n"/>
      <c r="M98" s="1">
        <f>IF(OR(B98="",D98="",F98="Cancelled"),"",B98+N(C98)+ROW()/10000000)</f>
        <v/>
      </c>
      <c r="N98">
        <f>IF(AND(F98="Done",M98&lt;&gt;""),IF(COUNTIFS(Appointments!$D$6:$D$2005,D98,Appointments!$F$6:$F$2005,"Done",Appointments!$M$6:$M$2005,"&gt;"&amp;M98)=0,1,0),0)</f>
        <v/>
      </c>
      <c r="O98">
        <f>IF(AND(F98="Booked",M98&lt;&gt;"",N(B98)&gt;=TODAY()),IF(COUNTIFS(Appointments!$D$6:$D$2005,D98,Appointments!$F$6:$F$2005,"Booked",Appointments!$B$6:$B$2005,"&gt;="&amp;TODAY(),Appointments!$M$6:$M$2005,"&lt;"&amp;M98)=0,1,0),0)</f>
        <v/>
      </c>
    </row>
    <row r="99">
      <c r="A99" s="1" t="n"/>
      <c r="B99" s="30" t="n">
        <v>46046</v>
      </c>
      <c r="C99" s="31" t="n">
        <v>0.5833333333333334</v>
      </c>
      <c r="D99" s="32" t="inlineStr">
        <is>
          <t>Will Baker</t>
        </is>
      </c>
      <c r="E99" s="32" t="inlineStr">
        <is>
          <t>Men's haircut</t>
        </is>
      </c>
      <c r="F99" s="33" t="inlineStr">
        <is>
          <t>Done</t>
        </is>
      </c>
      <c r="G99" s="27">
        <f>IF(E99="","",MAX(0,IFERROR(INDEX(Services!$C$6:$C$35,MATCH(E99,Services!$B$6:$B$35,0)),0)-N(H99)))</f>
        <v/>
      </c>
      <c r="H99" s="34" t="n">
        <v>10</v>
      </c>
      <c r="I99" s="34" t="n">
        <v>20</v>
      </c>
      <c r="J99" s="33" t="inlineStr">
        <is>
          <t>Transfer</t>
        </is>
      </c>
      <c r="K99" s="28">
        <f>IF(OR(B99="",F99&lt;&gt;"Done",J99="Package"),"",IF(N(G99)-N(I99)&gt;0,N(G99)-N(I99),""))</f>
        <v/>
      </c>
      <c r="L99" s="32" t="inlineStr">
        <is>
          <t>Friends and family</t>
        </is>
      </c>
      <c r="M99" s="1">
        <f>IF(OR(B99="",D99="",F99="Cancelled"),"",B99+N(C99)+ROW()/10000000)</f>
        <v/>
      </c>
      <c r="N99">
        <f>IF(AND(F99="Done",M99&lt;&gt;""),IF(COUNTIFS(Appointments!$D$6:$D$2005,D99,Appointments!$F$6:$F$2005,"Done",Appointments!$M$6:$M$2005,"&gt;"&amp;M99)=0,1,0),0)</f>
        <v/>
      </c>
      <c r="O99">
        <f>IF(AND(F99="Booked",M99&lt;&gt;"",N(B99)&gt;=TODAY()),IF(COUNTIFS(Appointments!$D$6:$D$2005,D99,Appointments!$F$6:$F$2005,"Booked",Appointments!$B$6:$B$2005,"&gt;="&amp;TODAY(),Appointments!$M$6:$M$2005,"&lt;"&amp;M99)=0,1,0),0)</f>
        <v/>
      </c>
    </row>
    <row r="100">
      <c r="A100" s="1" t="n"/>
      <c r="B100" s="30" t="n">
        <v>46049</v>
      </c>
      <c r="C100" s="31" t="n">
        <v>0.375</v>
      </c>
      <c r="D100" s="32" t="inlineStr">
        <is>
          <t>Chris Cook</t>
        </is>
      </c>
      <c r="E100" s="32" t="inlineStr">
        <is>
          <t>Men's haircut</t>
        </is>
      </c>
      <c r="F100" s="33" t="inlineStr">
        <is>
          <t>Done</t>
        </is>
      </c>
      <c r="G100" s="27">
        <f>IF(E100="","",MAX(0,IFERROR(INDEX(Services!$C$6:$C$35,MATCH(E100,Services!$B$6:$B$35,0)),0)-N(H100)))</f>
        <v/>
      </c>
      <c r="H100" s="34" t="n"/>
      <c r="I100" s="34" t="n">
        <v>30</v>
      </c>
      <c r="J100" s="33" t="inlineStr">
        <is>
          <t>Cash</t>
        </is>
      </c>
      <c r="K100" s="28">
        <f>IF(OR(B100="",F100&lt;&gt;"Done",J100="Package"),"",IF(N(G100)-N(I100)&gt;0,N(G100)-N(I100),""))</f>
        <v/>
      </c>
      <c r="L100" s="32" t="n"/>
      <c r="M100" s="1">
        <f>IF(OR(B100="",D100="",F100="Cancelled"),"",B100+N(C100)+ROW()/10000000)</f>
        <v/>
      </c>
      <c r="N100">
        <f>IF(AND(F100="Done",M100&lt;&gt;""),IF(COUNTIFS(Appointments!$D$6:$D$2005,D100,Appointments!$F$6:$F$2005,"Done",Appointments!$M$6:$M$2005,"&gt;"&amp;M100)=0,1,0),0)</f>
        <v/>
      </c>
      <c r="O100">
        <f>IF(AND(F100="Booked",M100&lt;&gt;"",N(B100)&gt;=TODAY()),IF(COUNTIFS(Appointments!$D$6:$D$2005,D100,Appointments!$F$6:$F$2005,"Booked",Appointments!$B$6:$B$2005,"&gt;="&amp;TODAY(),Appointments!$M$6:$M$2005,"&lt;"&amp;M100)=0,1,0),0)</f>
        <v/>
      </c>
    </row>
    <row r="101">
      <c r="A101" s="1" t="n"/>
      <c r="B101" s="30" t="n">
        <v>46049</v>
      </c>
      <c r="C101" s="31" t="n">
        <v>0.4027777777777778</v>
      </c>
      <c r="D101" s="32" t="inlineStr">
        <is>
          <t>Eva Brooks</t>
        </is>
      </c>
      <c r="E101" s="32" t="inlineStr">
        <is>
          <t>Women's haircut</t>
        </is>
      </c>
      <c r="F101" s="33" t="inlineStr">
        <is>
          <t>Done</t>
        </is>
      </c>
      <c r="G101" s="27">
        <f>IF(E101="","",MAX(0,IFERROR(INDEX(Services!$C$6:$C$35,MATCH(E101,Services!$B$6:$B$35,0)),0)-N(H101)))</f>
        <v/>
      </c>
      <c r="H101" s="34" t="n"/>
      <c r="I101" s="34" t="n">
        <v>55</v>
      </c>
      <c r="J101" s="33" t="inlineStr">
        <is>
          <t>Cash</t>
        </is>
      </c>
      <c r="K101" s="28">
        <f>IF(OR(B101="",F101&lt;&gt;"Done",J101="Package"),"",IF(N(G101)-N(I101)&gt;0,N(G101)-N(I101),""))</f>
        <v/>
      </c>
      <c r="L101" s="32" t="n"/>
      <c r="M101" s="1">
        <f>IF(OR(B101="",D101="",F101="Cancelled"),"",B101+N(C101)+ROW()/10000000)</f>
        <v/>
      </c>
      <c r="N101">
        <f>IF(AND(F101="Done",M101&lt;&gt;""),IF(COUNTIFS(Appointments!$D$6:$D$2005,D101,Appointments!$F$6:$F$2005,"Done",Appointments!$M$6:$M$2005,"&gt;"&amp;M101)=0,1,0),0)</f>
        <v/>
      </c>
      <c r="O101">
        <f>IF(AND(F101="Booked",M101&lt;&gt;"",N(B101)&gt;=TODAY()),IF(COUNTIFS(Appointments!$D$6:$D$2005,D101,Appointments!$F$6:$F$2005,"Booked",Appointments!$B$6:$B$2005,"&gt;="&amp;TODAY(),Appointments!$M$6:$M$2005,"&lt;"&amp;M101)=0,1,0),0)</f>
        <v/>
      </c>
    </row>
    <row r="102">
      <c r="A102" s="1" t="n"/>
      <c r="B102" s="30" t="n">
        <v>46049</v>
      </c>
      <c r="C102" s="31" t="n">
        <v>0.4513888888888889</v>
      </c>
      <c r="D102" s="32" t="inlineStr">
        <is>
          <t>Eva Mills</t>
        </is>
      </c>
      <c r="E102" s="32" t="inlineStr">
        <is>
          <t>Women's haircut</t>
        </is>
      </c>
      <c r="F102" s="33" t="inlineStr">
        <is>
          <t>Done</t>
        </is>
      </c>
      <c r="G102" s="27">
        <f>IF(E102="","",MAX(0,IFERROR(INDEX(Services!$C$6:$C$35,MATCH(E102,Services!$B$6:$B$35,0)),0)-N(H102)))</f>
        <v/>
      </c>
      <c r="H102" s="34" t="n"/>
      <c r="I102" s="34" t="n">
        <v>55</v>
      </c>
      <c r="J102" s="33" t="inlineStr">
        <is>
          <t>Cash</t>
        </is>
      </c>
      <c r="K102" s="28">
        <f>IF(OR(B102="",F102&lt;&gt;"Done",J102="Package"),"",IF(N(G102)-N(I102)&gt;0,N(G102)-N(I102),""))</f>
        <v/>
      </c>
      <c r="L102" s="32" t="n"/>
      <c r="M102" s="1">
        <f>IF(OR(B102="",D102="",F102="Cancelled"),"",B102+N(C102)+ROW()/10000000)</f>
        <v/>
      </c>
      <c r="N102">
        <f>IF(AND(F102="Done",M102&lt;&gt;""),IF(COUNTIFS(Appointments!$D$6:$D$2005,D102,Appointments!$F$6:$F$2005,"Done",Appointments!$M$6:$M$2005,"&gt;"&amp;M102)=0,1,0),0)</f>
        <v/>
      </c>
      <c r="O102">
        <f>IF(AND(F102="Booked",M102&lt;&gt;"",N(B102)&gt;=TODAY()),IF(COUNTIFS(Appointments!$D$6:$D$2005,D102,Appointments!$F$6:$F$2005,"Booked",Appointments!$B$6:$B$2005,"&gt;="&amp;TODAY(),Appointments!$M$6:$M$2005,"&lt;"&amp;M102)=0,1,0),0)</f>
        <v/>
      </c>
    </row>
    <row r="103">
      <c r="A103" s="1" t="n"/>
      <c r="B103" s="30" t="n">
        <v>46049</v>
      </c>
      <c r="C103" s="31" t="n">
        <v>0.5</v>
      </c>
      <c r="D103" s="32" t="inlineStr">
        <is>
          <t>Megan Lewis</t>
        </is>
      </c>
      <c r="E103" s="32" t="inlineStr">
        <is>
          <t>Treatment</t>
        </is>
      </c>
      <c r="F103" s="33" t="inlineStr">
        <is>
          <t>Done</t>
        </is>
      </c>
      <c r="G103" s="27">
        <f>IF(E103="","",MAX(0,IFERROR(INDEX(Services!$C$6:$C$35,MATCH(E103,Services!$B$6:$B$35,0)),0)-N(H103)))</f>
        <v/>
      </c>
      <c r="H103" s="34" t="n"/>
      <c r="I103" s="34" t="n">
        <v>30</v>
      </c>
      <c r="J103" s="33" t="inlineStr">
        <is>
          <t>Card</t>
        </is>
      </c>
      <c r="K103" s="28">
        <f>IF(OR(B103="",F103&lt;&gt;"Done",J103="Package"),"",IF(N(G103)-N(I103)&gt;0,N(G103)-N(I103),""))</f>
        <v/>
      </c>
      <c r="L103" s="32" t="n"/>
      <c r="M103" s="1">
        <f>IF(OR(B103="",D103="",F103="Cancelled"),"",B103+N(C103)+ROW()/10000000)</f>
        <v/>
      </c>
      <c r="N103">
        <f>IF(AND(F103="Done",M103&lt;&gt;""),IF(COUNTIFS(Appointments!$D$6:$D$2005,D103,Appointments!$F$6:$F$2005,"Done",Appointments!$M$6:$M$2005,"&gt;"&amp;M103)=0,1,0),0)</f>
        <v/>
      </c>
      <c r="O103">
        <f>IF(AND(F103="Booked",M103&lt;&gt;"",N(B103)&gt;=TODAY()),IF(COUNTIFS(Appointments!$D$6:$D$2005,D103,Appointments!$F$6:$F$2005,"Booked",Appointments!$B$6:$B$2005,"&gt;="&amp;TODAY(),Appointments!$M$6:$M$2005,"&lt;"&amp;M103)=0,1,0),0)</f>
        <v/>
      </c>
    </row>
    <row r="104">
      <c r="A104" s="1" t="n"/>
      <c r="B104" s="30" t="n">
        <v>46049</v>
      </c>
      <c r="C104" s="31" t="n">
        <v>0.5277777777777778</v>
      </c>
      <c r="D104" s="32" t="inlineStr">
        <is>
          <t>Owen Lewis</t>
        </is>
      </c>
      <c r="E104" s="32" t="inlineStr">
        <is>
          <t>Men's haircut</t>
        </is>
      </c>
      <c r="F104" s="33" t="inlineStr">
        <is>
          <t>Done</t>
        </is>
      </c>
      <c r="G104" s="27">
        <f>IF(E104="","",MAX(0,IFERROR(INDEX(Services!$C$6:$C$35,MATCH(E104,Services!$B$6:$B$35,0)),0)-N(H104)))</f>
        <v/>
      </c>
      <c r="H104" s="34" t="n"/>
      <c r="I104" s="34" t="n">
        <v>30</v>
      </c>
      <c r="J104" s="33" t="inlineStr">
        <is>
          <t>Card</t>
        </is>
      </c>
      <c r="K104" s="28">
        <f>IF(OR(B104="",F104&lt;&gt;"Done",J104="Package"),"",IF(N(G104)-N(I104)&gt;0,N(G104)-N(I104),""))</f>
        <v/>
      </c>
      <c r="L104" s="32" t="n"/>
      <c r="M104" s="1">
        <f>IF(OR(B104="",D104="",F104="Cancelled"),"",B104+N(C104)+ROW()/10000000)</f>
        <v/>
      </c>
      <c r="N104">
        <f>IF(AND(F104="Done",M104&lt;&gt;""),IF(COUNTIFS(Appointments!$D$6:$D$2005,D104,Appointments!$F$6:$F$2005,"Done",Appointments!$M$6:$M$2005,"&gt;"&amp;M104)=0,1,0),0)</f>
        <v/>
      </c>
      <c r="O104">
        <f>IF(AND(F104="Booked",M104&lt;&gt;"",N(B104)&gt;=TODAY()),IF(COUNTIFS(Appointments!$D$6:$D$2005,D104,Appointments!$F$6:$F$2005,"Booked",Appointments!$B$6:$B$2005,"&gt;="&amp;TODAY(),Appointments!$M$6:$M$2005,"&lt;"&amp;M104)=0,1,0),0)</f>
        <v/>
      </c>
    </row>
    <row r="105">
      <c r="A105" s="1" t="n"/>
      <c r="B105" s="30" t="n">
        <v>46049</v>
      </c>
      <c r="C105" s="31" t="n">
        <v>0.5555555555555556</v>
      </c>
      <c r="D105" s="32" t="inlineStr">
        <is>
          <t>Tina Cook</t>
        </is>
      </c>
      <c r="E105" s="32" t="inlineStr">
        <is>
          <t>Women's haircut</t>
        </is>
      </c>
      <c r="F105" s="33" t="inlineStr">
        <is>
          <t>Done</t>
        </is>
      </c>
      <c r="G105" s="27">
        <f>IF(E105="","",MAX(0,IFERROR(INDEX(Services!$C$6:$C$35,MATCH(E105,Services!$B$6:$B$35,0)),0)-N(H105)))</f>
        <v/>
      </c>
      <c r="H105" s="34" t="n"/>
      <c r="I105" s="34" t="n">
        <v>55</v>
      </c>
      <c r="J105" s="33" t="inlineStr">
        <is>
          <t>Card</t>
        </is>
      </c>
      <c r="K105" s="28">
        <f>IF(OR(B105="",F105&lt;&gt;"Done",J105="Package"),"",IF(N(G105)-N(I105)&gt;0,N(G105)-N(I105),""))</f>
        <v/>
      </c>
      <c r="L105" s="32" t="n"/>
      <c r="M105" s="1">
        <f>IF(OR(B105="",D105="",F105="Cancelled"),"",B105+N(C105)+ROW()/10000000)</f>
        <v/>
      </c>
      <c r="N105">
        <f>IF(AND(F105="Done",M105&lt;&gt;""),IF(COUNTIFS(Appointments!$D$6:$D$2005,D105,Appointments!$F$6:$F$2005,"Done",Appointments!$M$6:$M$2005,"&gt;"&amp;M105)=0,1,0),0)</f>
        <v/>
      </c>
      <c r="O105">
        <f>IF(AND(F105="Booked",M105&lt;&gt;"",N(B105)&gt;=TODAY()),IF(COUNTIFS(Appointments!$D$6:$D$2005,D105,Appointments!$F$6:$F$2005,"Booked",Appointments!$B$6:$B$2005,"&gt;="&amp;TODAY(),Appointments!$M$6:$M$2005,"&lt;"&amp;M105)=0,1,0),0)</f>
        <v/>
      </c>
    </row>
    <row r="106">
      <c r="A106" s="1" t="n"/>
      <c r="B106" s="30" t="n">
        <v>46049</v>
      </c>
      <c r="C106" s="31" t="n">
        <v>0.6041666666666666</v>
      </c>
      <c r="D106" s="32" t="inlineStr">
        <is>
          <t>Victor Lane</t>
        </is>
      </c>
      <c r="E106" s="32" t="inlineStr">
        <is>
          <t>Men's haircut</t>
        </is>
      </c>
      <c r="F106" s="33" t="inlineStr">
        <is>
          <t>Done</t>
        </is>
      </c>
      <c r="G106" s="27">
        <f>IF(E106="","",MAX(0,IFERROR(INDEX(Services!$C$6:$C$35,MATCH(E106,Services!$B$6:$B$35,0)),0)-N(H106)))</f>
        <v/>
      </c>
      <c r="H106" s="34" t="n"/>
      <c r="I106" s="34" t="n">
        <v>30</v>
      </c>
      <c r="J106" s="33" t="inlineStr">
        <is>
          <t>Cash</t>
        </is>
      </c>
      <c r="K106" s="28">
        <f>IF(OR(B106="",F106&lt;&gt;"Done",J106="Package"),"",IF(N(G106)-N(I106)&gt;0,N(G106)-N(I106),""))</f>
        <v/>
      </c>
      <c r="L106" s="32" t="n"/>
      <c r="M106" s="1">
        <f>IF(OR(B106="",D106="",F106="Cancelled"),"",B106+N(C106)+ROW()/10000000)</f>
        <v/>
      </c>
      <c r="N106">
        <f>IF(AND(F106="Done",M106&lt;&gt;""),IF(COUNTIFS(Appointments!$D$6:$D$2005,D106,Appointments!$F$6:$F$2005,"Done",Appointments!$M$6:$M$2005,"&gt;"&amp;M106)=0,1,0),0)</f>
        <v/>
      </c>
      <c r="O106">
        <f>IF(AND(F106="Booked",M106&lt;&gt;"",N(B106)&gt;=TODAY()),IF(COUNTIFS(Appointments!$D$6:$D$2005,D106,Appointments!$F$6:$F$2005,"Booked",Appointments!$B$6:$B$2005,"&gt;="&amp;TODAY(),Appointments!$M$6:$M$2005,"&lt;"&amp;M106)=0,1,0),0)</f>
        <v/>
      </c>
    </row>
    <row r="107">
      <c r="A107" s="1" t="n"/>
      <c r="B107" s="30" t="n">
        <v>46050</v>
      </c>
      <c r="C107" s="31" t="n">
        <v>0.375</v>
      </c>
      <c r="D107" s="32" t="inlineStr">
        <is>
          <t>Alice Stone</t>
        </is>
      </c>
      <c r="E107" s="32" t="inlineStr">
        <is>
          <t>Highlights</t>
        </is>
      </c>
      <c r="F107" s="33" t="inlineStr">
        <is>
          <t>Done</t>
        </is>
      </c>
      <c r="G107" s="27">
        <f>IF(E107="","",MAX(0,IFERROR(INDEX(Services!$C$6:$C$35,MATCH(E107,Services!$B$6:$B$35,0)),0)-N(H107)))</f>
        <v/>
      </c>
      <c r="H107" s="34" t="n"/>
      <c r="I107" s="34" t="n">
        <v>140</v>
      </c>
      <c r="J107" s="33" t="inlineStr">
        <is>
          <t>Cash</t>
        </is>
      </c>
      <c r="K107" s="28">
        <f>IF(OR(B107="",F107&lt;&gt;"Done",J107="Package"),"",IF(N(G107)-N(I107)&gt;0,N(G107)-N(I107),""))</f>
        <v/>
      </c>
      <c r="L107" s="32" t="n"/>
      <c r="M107" s="1">
        <f>IF(OR(B107="",D107="",F107="Cancelled"),"",B107+N(C107)+ROW()/10000000)</f>
        <v/>
      </c>
      <c r="N107">
        <f>IF(AND(F107="Done",M107&lt;&gt;""),IF(COUNTIFS(Appointments!$D$6:$D$2005,D107,Appointments!$F$6:$F$2005,"Done",Appointments!$M$6:$M$2005,"&gt;"&amp;M107)=0,1,0),0)</f>
        <v/>
      </c>
      <c r="O107">
        <f>IF(AND(F107="Booked",M107&lt;&gt;"",N(B107)&gt;=TODAY()),IF(COUNTIFS(Appointments!$D$6:$D$2005,D107,Appointments!$F$6:$F$2005,"Booked",Appointments!$B$6:$B$2005,"&gt;="&amp;TODAY(),Appointments!$M$6:$M$2005,"&lt;"&amp;M107)=0,1,0),0)</f>
        <v/>
      </c>
    </row>
    <row r="108">
      <c r="A108" s="1" t="n"/>
      <c r="B108" s="30" t="n">
        <v>46050</v>
      </c>
      <c r="C108" s="31" t="n">
        <v>0.4861111111111111</v>
      </c>
      <c r="D108" s="32" t="inlineStr">
        <is>
          <t>Hannah Hughes</t>
        </is>
      </c>
      <c r="E108" s="32" t="inlineStr">
        <is>
          <t>Blow dry</t>
        </is>
      </c>
      <c r="F108" s="33" t="inlineStr">
        <is>
          <t>Done</t>
        </is>
      </c>
      <c r="G108" s="27">
        <f>IF(E108="","",MAX(0,IFERROR(INDEX(Services!$C$6:$C$35,MATCH(E108,Services!$B$6:$B$35,0)),0)-N(H108)))</f>
        <v/>
      </c>
      <c r="H108" s="34" t="n"/>
      <c r="I108" s="34" t="n">
        <v>35</v>
      </c>
      <c r="J108" s="33" t="inlineStr">
        <is>
          <t>Cash</t>
        </is>
      </c>
      <c r="K108" s="28">
        <f>IF(OR(B108="",F108&lt;&gt;"Done",J108="Package"),"",IF(N(G108)-N(I108)&gt;0,N(G108)-N(I108),""))</f>
        <v/>
      </c>
      <c r="L108" s="32" t="n"/>
      <c r="M108" s="1">
        <f>IF(OR(B108="",D108="",F108="Cancelled"),"",B108+N(C108)+ROW()/10000000)</f>
        <v/>
      </c>
      <c r="N108">
        <f>IF(AND(F108="Done",M108&lt;&gt;""),IF(COUNTIFS(Appointments!$D$6:$D$2005,D108,Appointments!$F$6:$F$2005,"Done",Appointments!$M$6:$M$2005,"&gt;"&amp;M108)=0,1,0),0)</f>
        <v/>
      </c>
      <c r="O108">
        <f>IF(AND(F108="Booked",M108&lt;&gt;"",N(B108)&gt;=TODAY()),IF(COUNTIFS(Appointments!$D$6:$D$2005,D108,Appointments!$F$6:$F$2005,"Booked",Appointments!$B$6:$B$2005,"&gt;="&amp;TODAY(),Appointments!$M$6:$M$2005,"&lt;"&amp;M108)=0,1,0),0)</f>
        <v/>
      </c>
    </row>
    <row r="109">
      <c r="A109" s="1" t="n"/>
      <c r="B109" s="30" t="n">
        <v>46050</v>
      </c>
      <c r="C109" s="31" t="n">
        <v>0.5243055555555556</v>
      </c>
      <c r="D109" s="32" t="inlineStr">
        <is>
          <t>Lily Young</t>
        </is>
      </c>
      <c r="E109" s="32" t="inlineStr">
        <is>
          <t>Blow dry</t>
        </is>
      </c>
      <c r="F109" s="33" t="inlineStr">
        <is>
          <t>Done</t>
        </is>
      </c>
      <c r="G109" s="27">
        <f>IF(E109="","",MAX(0,IFERROR(INDEX(Services!$C$6:$C$35,MATCH(E109,Services!$B$6:$B$35,0)),0)-N(H109)))</f>
        <v/>
      </c>
      <c r="H109" s="34" t="n"/>
      <c r="I109" s="34" t="n">
        <v>35</v>
      </c>
      <c r="J109" s="33" t="inlineStr">
        <is>
          <t>Card</t>
        </is>
      </c>
      <c r="K109" s="28">
        <f>IF(OR(B109="",F109&lt;&gt;"Done",J109="Package"),"",IF(N(G109)-N(I109)&gt;0,N(G109)-N(I109),""))</f>
        <v/>
      </c>
      <c r="L109" s="32" t="n"/>
      <c r="M109" s="1">
        <f>IF(OR(B109="",D109="",F109="Cancelled"),"",B109+N(C109)+ROW()/10000000)</f>
        <v/>
      </c>
      <c r="N109">
        <f>IF(AND(F109="Done",M109&lt;&gt;""),IF(COUNTIFS(Appointments!$D$6:$D$2005,D109,Appointments!$F$6:$F$2005,"Done",Appointments!$M$6:$M$2005,"&gt;"&amp;M109)=0,1,0),0)</f>
        <v/>
      </c>
      <c r="O109">
        <f>IF(AND(F109="Booked",M109&lt;&gt;"",N(B109)&gt;=TODAY()),IF(COUNTIFS(Appointments!$D$6:$D$2005,D109,Appointments!$F$6:$F$2005,"Booked",Appointments!$B$6:$B$2005,"&gt;="&amp;TODAY(),Appointments!$M$6:$M$2005,"&lt;"&amp;M109)=0,1,0),0)</f>
        <v/>
      </c>
    </row>
    <row r="110">
      <c r="A110" s="1" t="n"/>
      <c r="B110" s="30" t="n">
        <v>46050</v>
      </c>
      <c r="C110" s="31" t="n">
        <v>0.5625</v>
      </c>
      <c r="D110" s="32" t="inlineStr">
        <is>
          <t>Ryan Webb</t>
        </is>
      </c>
      <c r="E110" s="32" t="inlineStr">
        <is>
          <t>Men's haircut</t>
        </is>
      </c>
      <c r="F110" s="33" t="inlineStr">
        <is>
          <t>Done</t>
        </is>
      </c>
      <c r="G110" s="27">
        <f>IF(E110="","",MAX(0,IFERROR(INDEX(Services!$C$6:$C$35,MATCH(E110,Services!$B$6:$B$35,0)),0)-N(H110)))</f>
        <v/>
      </c>
      <c r="H110" s="34" t="n"/>
      <c r="I110" s="34" t="n">
        <v>30</v>
      </c>
      <c r="J110" s="33" t="inlineStr">
        <is>
          <t>Card</t>
        </is>
      </c>
      <c r="K110" s="28">
        <f>IF(OR(B110="",F110&lt;&gt;"Done",J110="Package"),"",IF(N(G110)-N(I110)&gt;0,N(G110)-N(I110),""))</f>
        <v/>
      </c>
      <c r="L110" s="32" t="n"/>
      <c r="M110" s="1">
        <f>IF(OR(B110="",D110="",F110="Cancelled"),"",B110+N(C110)+ROW()/10000000)</f>
        <v/>
      </c>
      <c r="N110">
        <f>IF(AND(F110="Done",M110&lt;&gt;""),IF(COUNTIFS(Appointments!$D$6:$D$2005,D110,Appointments!$F$6:$F$2005,"Done",Appointments!$M$6:$M$2005,"&gt;"&amp;M110)=0,1,0),0)</f>
        <v/>
      </c>
      <c r="O110">
        <f>IF(AND(F110="Booked",M110&lt;&gt;"",N(B110)&gt;=TODAY()),IF(COUNTIFS(Appointments!$D$6:$D$2005,D110,Appointments!$F$6:$F$2005,"Booked",Appointments!$B$6:$B$2005,"&gt;="&amp;TODAY(),Appointments!$M$6:$M$2005,"&lt;"&amp;M110)=0,1,0),0)</f>
        <v/>
      </c>
    </row>
    <row r="111">
      <c r="A111" s="1" t="n"/>
      <c r="B111" s="30" t="n">
        <v>46050</v>
      </c>
      <c r="C111" s="31" t="n">
        <v>0.5902777777777778</v>
      </c>
      <c r="D111" s="32" t="inlineStr">
        <is>
          <t>Sara Cox</t>
        </is>
      </c>
      <c r="E111" s="32" t="inlineStr">
        <is>
          <t>Colour</t>
        </is>
      </c>
      <c r="F111" s="33" t="inlineStr">
        <is>
          <t>Done</t>
        </is>
      </c>
      <c r="G111" s="27">
        <f>IF(E111="","",MAX(0,IFERROR(INDEX(Services!$C$6:$C$35,MATCH(E111,Services!$B$6:$B$35,0)),0)-N(H111)))</f>
        <v/>
      </c>
      <c r="H111" s="34" t="n"/>
      <c r="I111" s="34" t="n">
        <v>95</v>
      </c>
      <c r="J111" s="33" t="inlineStr">
        <is>
          <t>Card</t>
        </is>
      </c>
      <c r="K111" s="28">
        <f>IF(OR(B111="",F111&lt;&gt;"Done",J111="Package"),"",IF(N(G111)-N(I111)&gt;0,N(G111)-N(I111),""))</f>
        <v/>
      </c>
      <c r="L111" s="32" t="n"/>
      <c r="M111" s="1">
        <f>IF(OR(B111="",D111="",F111="Cancelled"),"",B111+N(C111)+ROW()/10000000)</f>
        <v/>
      </c>
      <c r="N111">
        <f>IF(AND(F111="Done",M111&lt;&gt;""),IF(COUNTIFS(Appointments!$D$6:$D$2005,D111,Appointments!$F$6:$F$2005,"Done",Appointments!$M$6:$M$2005,"&gt;"&amp;M111)=0,1,0),0)</f>
        <v/>
      </c>
      <c r="O111">
        <f>IF(AND(F111="Booked",M111&lt;&gt;"",N(B111)&gt;=TODAY()),IF(COUNTIFS(Appointments!$D$6:$D$2005,D111,Appointments!$F$6:$F$2005,"Booked",Appointments!$B$6:$B$2005,"&gt;="&amp;TODAY(),Appointments!$M$6:$M$2005,"&lt;"&amp;M111)=0,1,0),0)</f>
        <v/>
      </c>
    </row>
    <row r="112">
      <c r="A112" s="1" t="n"/>
      <c r="B112" s="30" t="n">
        <v>46051</v>
      </c>
      <c r="C112" s="31" t="n">
        <v>0.375</v>
      </c>
      <c r="D112" s="32" t="inlineStr">
        <is>
          <t>Owen Webb</t>
        </is>
      </c>
      <c r="E112" s="32" t="inlineStr">
        <is>
          <t>Men's haircut</t>
        </is>
      </c>
      <c r="F112" s="33" t="inlineStr">
        <is>
          <t>Done</t>
        </is>
      </c>
      <c r="G112" s="27">
        <f>IF(E112="","",MAX(0,IFERROR(INDEX(Services!$C$6:$C$35,MATCH(E112,Services!$B$6:$B$35,0)),0)-N(H112)))</f>
        <v/>
      </c>
      <c r="H112" s="34" t="n"/>
      <c r="I112" s="34" t="n">
        <v>30</v>
      </c>
      <c r="J112" s="33" t="inlineStr">
        <is>
          <t>Transfer</t>
        </is>
      </c>
      <c r="K112" s="28">
        <f>IF(OR(B112="",F112&lt;&gt;"Done",J112="Package"),"",IF(N(G112)-N(I112)&gt;0,N(G112)-N(I112),""))</f>
        <v/>
      </c>
      <c r="L112" s="32" t="n"/>
      <c r="M112" s="1">
        <f>IF(OR(B112="",D112="",F112="Cancelled"),"",B112+N(C112)+ROW()/10000000)</f>
        <v/>
      </c>
      <c r="N112">
        <f>IF(AND(F112="Done",M112&lt;&gt;""),IF(COUNTIFS(Appointments!$D$6:$D$2005,D112,Appointments!$F$6:$F$2005,"Done",Appointments!$M$6:$M$2005,"&gt;"&amp;M112)=0,1,0),0)</f>
        <v/>
      </c>
      <c r="O112">
        <f>IF(AND(F112="Booked",M112&lt;&gt;"",N(B112)&gt;=TODAY()),IF(COUNTIFS(Appointments!$D$6:$D$2005,D112,Appointments!$F$6:$F$2005,"Booked",Appointments!$B$6:$B$2005,"&gt;="&amp;TODAY(),Appointments!$M$6:$M$2005,"&lt;"&amp;M112)=0,1,0),0)</f>
        <v/>
      </c>
    </row>
    <row r="113">
      <c r="A113" s="1" t="n"/>
      <c r="B113" s="30" t="n">
        <v>46052</v>
      </c>
      <c r="C113" s="31" t="n">
        <v>0.375</v>
      </c>
      <c r="D113" s="32" t="inlineStr">
        <is>
          <t>Amy Hughes</t>
        </is>
      </c>
      <c r="E113" s="32" t="inlineStr">
        <is>
          <t>Women's haircut</t>
        </is>
      </c>
      <c r="F113" s="33" t="inlineStr">
        <is>
          <t>Done</t>
        </is>
      </c>
      <c r="G113" s="27">
        <f>IF(E113="","",MAX(0,IFERROR(INDEX(Services!$C$6:$C$35,MATCH(E113,Services!$B$6:$B$35,0)),0)-N(H113)))</f>
        <v/>
      </c>
      <c r="H113" s="34" t="n"/>
      <c r="I113" s="34" t="n">
        <v>55</v>
      </c>
      <c r="J113" s="33" t="inlineStr">
        <is>
          <t>Card</t>
        </is>
      </c>
      <c r="K113" s="28">
        <f>IF(OR(B113="",F113&lt;&gt;"Done",J113="Package"),"",IF(N(G113)-N(I113)&gt;0,N(G113)-N(I113),""))</f>
        <v/>
      </c>
      <c r="L113" s="32" t="n"/>
      <c r="M113" s="1">
        <f>IF(OR(B113="",D113="",F113="Cancelled"),"",B113+N(C113)+ROW()/10000000)</f>
        <v/>
      </c>
      <c r="N113">
        <f>IF(AND(F113="Done",M113&lt;&gt;""),IF(COUNTIFS(Appointments!$D$6:$D$2005,D113,Appointments!$F$6:$F$2005,"Done",Appointments!$M$6:$M$2005,"&gt;"&amp;M113)=0,1,0),0)</f>
        <v/>
      </c>
      <c r="O113">
        <f>IF(AND(F113="Booked",M113&lt;&gt;"",N(B113)&gt;=TODAY()),IF(COUNTIFS(Appointments!$D$6:$D$2005,D113,Appointments!$F$6:$F$2005,"Booked",Appointments!$B$6:$B$2005,"&gt;="&amp;TODAY(),Appointments!$M$6:$M$2005,"&lt;"&amp;M113)=0,1,0),0)</f>
        <v/>
      </c>
    </row>
    <row r="114">
      <c r="A114" s="1" t="n"/>
      <c r="B114" s="30" t="n">
        <v>46052</v>
      </c>
      <c r="C114" s="31" t="n">
        <v>0.4236111111111111</v>
      </c>
      <c r="D114" s="32" t="inlineStr">
        <is>
          <t>Ava Cox</t>
        </is>
      </c>
      <c r="E114" s="32" t="inlineStr">
        <is>
          <t>Blow dry</t>
        </is>
      </c>
      <c r="F114" s="33" t="inlineStr">
        <is>
          <t>Done</t>
        </is>
      </c>
      <c r="G114" s="27">
        <f>IF(E114="","",MAX(0,IFERROR(INDEX(Services!$C$6:$C$35,MATCH(E114,Services!$B$6:$B$35,0)),0)-N(H114)))</f>
        <v/>
      </c>
      <c r="H114" s="34" t="n"/>
      <c r="I114" s="34" t="n">
        <v>35</v>
      </c>
      <c r="J114" s="33" t="inlineStr">
        <is>
          <t>Card</t>
        </is>
      </c>
      <c r="K114" s="28">
        <f>IF(OR(B114="",F114&lt;&gt;"Done",J114="Package"),"",IF(N(G114)-N(I114)&gt;0,N(G114)-N(I114),""))</f>
        <v/>
      </c>
      <c r="L114" s="32" t="n"/>
      <c r="M114" s="1">
        <f>IF(OR(B114="",D114="",F114="Cancelled"),"",B114+N(C114)+ROW()/10000000)</f>
        <v/>
      </c>
      <c r="N114">
        <f>IF(AND(F114="Done",M114&lt;&gt;""),IF(COUNTIFS(Appointments!$D$6:$D$2005,D114,Appointments!$F$6:$F$2005,"Done",Appointments!$M$6:$M$2005,"&gt;"&amp;M114)=0,1,0),0)</f>
        <v/>
      </c>
      <c r="O114">
        <f>IF(AND(F114="Booked",M114&lt;&gt;"",N(B114)&gt;=TODAY()),IF(COUNTIFS(Appointments!$D$6:$D$2005,D114,Appointments!$F$6:$F$2005,"Booked",Appointments!$B$6:$B$2005,"&gt;="&amp;TODAY(),Appointments!$M$6:$M$2005,"&lt;"&amp;M114)=0,1,0),0)</f>
        <v/>
      </c>
    </row>
    <row r="115">
      <c r="A115" s="1" t="n"/>
      <c r="B115" s="30" t="n">
        <v>46052</v>
      </c>
      <c r="C115" s="31" t="n">
        <v>0.4618055555555556</v>
      </c>
      <c r="D115" s="32" t="inlineStr">
        <is>
          <t>Eli Cole</t>
        </is>
      </c>
      <c r="E115" s="32" t="inlineStr">
        <is>
          <t>Men's haircut</t>
        </is>
      </c>
      <c r="F115" s="33" t="inlineStr">
        <is>
          <t>Done</t>
        </is>
      </c>
      <c r="G115" s="27">
        <f>IF(E115="","",MAX(0,IFERROR(INDEX(Services!$C$6:$C$35,MATCH(E115,Services!$B$6:$B$35,0)),0)-N(H115)))</f>
        <v/>
      </c>
      <c r="H115" s="34" t="n"/>
      <c r="I115" s="34" t="n">
        <v>30</v>
      </c>
      <c r="J115" s="33" t="inlineStr">
        <is>
          <t>Transfer</t>
        </is>
      </c>
      <c r="K115" s="28">
        <f>IF(OR(B115="",F115&lt;&gt;"Done",J115="Package"),"",IF(N(G115)-N(I115)&gt;0,N(G115)-N(I115),""))</f>
        <v/>
      </c>
      <c r="L115" s="32" t="n"/>
      <c r="M115" s="1">
        <f>IF(OR(B115="",D115="",F115="Cancelled"),"",B115+N(C115)+ROW()/10000000)</f>
        <v/>
      </c>
      <c r="N115">
        <f>IF(AND(F115="Done",M115&lt;&gt;""),IF(COUNTIFS(Appointments!$D$6:$D$2005,D115,Appointments!$F$6:$F$2005,"Done",Appointments!$M$6:$M$2005,"&gt;"&amp;M115)=0,1,0),0)</f>
        <v/>
      </c>
      <c r="O115">
        <f>IF(AND(F115="Booked",M115&lt;&gt;"",N(B115)&gt;=TODAY()),IF(COUNTIFS(Appointments!$D$6:$D$2005,D115,Appointments!$F$6:$F$2005,"Booked",Appointments!$B$6:$B$2005,"&gt;="&amp;TODAY(),Appointments!$M$6:$M$2005,"&lt;"&amp;M115)=0,1,0),0)</f>
        <v/>
      </c>
    </row>
    <row r="116">
      <c r="A116" s="1" t="n"/>
      <c r="B116" s="30" t="n">
        <v>46052</v>
      </c>
      <c r="C116" s="31" t="n">
        <v>0.4895833333333333</v>
      </c>
      <c r="D116" s="32" t="inlineStr">
        <is>
          <t>Harry Owens</t>
        </is>
      </c>
      <c r="E116" s="32" t="inlineStr">
        <is>
          <t>Men's haircut</t>
        </is>
      </c>
      <c r="F116" s="33" t="inlineStr">
        <is>
          <t>Done</t>
        </is>
      </c>
      <c r="G116" s="27">
        <f>IF(E116="","",MAX(0,IFERROR(INDEX(Services!$C$6:$C$35,MATCH(E116,Services!$B$6:$B$35,0)),0)-N(H116)))</f>
        <v/>
      </c>
      <c r="H116" s="34" t="n"/>
      <c r="I116" s="34" t="n">
        <v>30</v>
      </c>
      <c r="J116" s="33" t="inlineStr">
        <is>
          <t>Card</t>
        </is>
      </c>
      <c r="K116" s="28">
        <f>IF(OR(B116="",F116&lt;&gt;"Done",J116="Package"),"",IF(N(G116)-N(I116)&gt;0,N(G116)-N(I116),""))</f>
        <v/>
      </c>
      <c r="L116" s="32" t="n"/>
      <c r="M116" s="1">
        <f>IF(OR(B116="",D116="",F116="Cancelled"),"",B116+N(C116)+ROW()/10000000)</f>
        <v/>
      </c>
      <c r="N116">
        <f>IF(AND(F116="Done",M116&lt;&gt;""),IF(COUNTIFS(Appointments!$D$6:$D$2005,D116,Appointments!$F$6:$F$2005,"Done",Appointments!$M$6:$M$2005,"&gt;"&amp;M116)=0,1,0),0)</f>
        <v/>
      </c>
      <c r="O116">
        <f>IF(AND(F116="Booked",M116&lt;&gt;"",N(B116)&gt;=TODAY()),IF(COUNTIFS(Appointments!$D$6:$D$2005,D116,Appointments!$F$6:$F$2005,"Booked",Appointments!$B$6:$B$2005,"&gt;="&amp;TODAY(),Appointments!$M$6:$M$2005,"&lt;"&amp;M116)=0,1,0),0)</f>
        <v/>
      </c>
    </row>
    <row r="117">
      <c r="A117" s="1" t="n"/>
      <c r="B117" s="30" t="n">
        <v>46052</v>
      </c>
      <c r="C117" s="31" t="n">
        <v>0.5173611111111112</v>
      </c>
      <c r="D117" s="32" t="inlineStr">
        <is>
          <t>Holly Fox</t>
        </is>
      </c>
      <c r="E117" s="32" t="inlineStr">
        <is>
          <t>Blow dry</t>
        </is>
      </c>
      <c r="F117" s="33" t="inlineStr">
        <is>
          <t>Done</t>
        </is>
      </c>
      <c r="G117" s="27">
        <f>IF(E117="","",MAX(0,IFERROR(INDEX(Services!$C$6:$C$35,MATCH(E117,Services!$B$6:$B$35,0)),0)-N(H117)))</f>
        <v/>
      </c>
      <c r="H117" s="34" t="n"/>
      <c r="I117" s="34" t="n">
        <v>35</v>
      </c>
      <c r="J117" s="33" t="inlineStr">
        <is>
          <t>Card</t>
        </is>
      </c>
      <c r="K117" s="28">
        <f>IF(OR(B117="",F117&lt;&gt;"Done",J117="Package"),"",IF(N(G117)-N(I117)&gt;0,N(G117)-N(I117),""))</f>
        <v/>
      </c>
      <c r="L117" s="32" t="n"/>
      <c r="M117" s="1">
        <f>IF(OR(B117="",D117="",F117="Cancelled"),"",B117+N(C117)+ROW()/10000000)</f>
        <v/>
      </c>
      <c r="N117">
        <f>IF(AND(F117="Done",M117&lt;&gt;""),IF(COUNTIFS(Appointments!$D$6:$D$2005,D117,Appointments!$F$6:$F$2005,"Done",Appointments!$M$6:$M$2005,"&gt;"&amp;M117)=0,1,0),0)</f>
        <v/>
      </c>
      <c r="O117">
        <f>IF(AND(F117="Booked",M117&lt;&gt;"",N(B117)&gt;=TODAY()),IF(COUNTIFS(Appointments!$D$6:$D$2005,D117,Appointments!$F$6:$F$2005,"Booked",Appointments!$B$6:$B$2005,"&gt;="&amp;TODAY(),Appointments!$M$6:$M$2005,"&lt;"&amp;M117)=0,1,0),0)</f>
        <v/>
      </c>
    </row>
    <row r="118">
      <c r="A118" s="1" t="n"/>
      <c r="B118" s="30" t="n">
        <v>46052</v>
      </c>
      <c r="C118" s="31" t="n">
        <v>0.5555555555555556</v>
      </c>
      <c r="D118" s="32" t="inlineStr">
        <is>
          <t>Liam Evans</t>
        </is>
      </c>
      <c r="E118" s="32" t="inlineStr">
        <is>
          <t>Men's haircut</t>
        </is>
      </c>
      <c r="F118" s="33" t="inlineStr">
        <is>
          <t>Done</t>
        </is>
      </c>
      <c r="G118" s="27">
        <f>IF(E118="","",MAX(0,IFERROR(INDEX(Services!$C$6:$C$35,MATCH(E118,Services!$B$6:$B$35,0)),0)-N(H118)))</f>
        <v/>
      </c>
      <c r="H118" s="34" t="n"/>
      <c r="I118" s="34" t="n">
        <v>30</v>
      </c>
      <c r="J118" s="33" t="inlineStr">
        <is>
          <t>Card</t>
        </is>
      </c>
      <c r="K118" s="28">
        <f>IF(OR(B118="",F118&lt;&gt;"Done",J118="Package"),"",IF(N(G118)-N(I118)&gt;0,N(G118)-N(I118),""))</f>
        <v/>
      </c>
      <c r="L118" s="32" t="n"/>
      <c r="M118" s="1">
        <f>IF(OR(B118="",D118="",F118="Cancelled"),"",B118+N(C118)+ROW()/10000000)</f>
        <v/>
      </c>
      <c r="N118">
        <f>IF(AND(F118="Done",M118&lt;&gt;""),IF(COUNTIFS(Appointments!$D$6:$D$2005,D118,Appointments!$F$6:$F$2005,"Done",Appointments!$M$6:$M$2005,"&gt;"&amp;M118)=0,1,0),0)</f>
        <v/>
      </c>
      <c r="O118">
        <f>IF(AND(F118="Booked",M118&lt;&gt;"",N(B118)&gt;=TODAY()),IF(COUNTIFS(Appointments!$D$6:$D$2005,D118,Appointments!$F$6:$F$2005,"Booked",Appointments!$B$6:$B$2005,"&gt;="&amp;TODAY(),Appointments!$M$6:$M$2005,"&lt;"&amp;M118)=0,1,0),0)</f>
        <v/>
      </c>
    </row>
    <row r="119">
      <c r="A119" s="1" t="n"/>
      <c r="B119" s="30" t="n">
        <v>46052</v>
      </c>
      <c r="C119" s="31" t="n">
        <v>0.5833333333333334</v>
      </c>
      <c r="D119" s="32" t="inlineStr">
        <is>
          <t>Tom Ellis</t>
        </is>
      </c>
      <c r="E119" s="32" t="inlineStr">
        <is>
          <t>Men's haircut</t>
        </is>
      </c>
      <c r="F119" s="33" t="inlineStr">
        <is>
          <t>Done</t>
        </is>
      </c>
      <c r="G119" s="27">
        <f>IF(E119="","",MAX(0,IFERROR(INDEX(Services!$C$6:$C$35,MATCH(E119,Services!$B$6:$B$35,0)),0)-N(H119)))</f>
        <v/>
      </c>
      <c r="H119" s="34" t="n"/>
      <c r="I119" s="34" t="n">
        <v>30</v>
      </c>
      <c r="J119" s="33" t="inlineStr">
        <is>
          <t>Card</t>
        </is>
      </c>
      <c r="K119" s="28">
        <f>IF(OR(B119="",F119&lt;&gt;"Done",J119="Package"),"",IF(N(G119)-N(I119)&gt;0,N(G119)-N(I119),""))</f>
        <v/>
      </c>
      <c r="L119" s="32" t="n"/>
      <c r="M119" s="1">
        <f>IF(OR(B119="",D119="",F119="Cancelled"),"",B119+N(C119)+ROW()/10000000)</f>
        <v/>
      </c>
      <c r="N119">
        <f>IF(AND(F119="Done",M119&lt;&gt;""),IF(COUNTIFS(Appointments!$D$6:$D$2005,D119,Appointments!$F$6:$F$2005,"Done",Appointments!$M$6:$M$2005,"&gt;"&amp;M119)=0,1,0),0)</f>
        <v/>
      </c>
      <c r="O119">
        <f>IF(AND(F119="Booked",M119&lt;&gt;"",N(B119)&gt;=TODAY()),IF(COUNTIFS(Appointments!$D$6:$D$2005,D119,Appointments!$F$6:$F$2005,"Booked",Appointments!$B$6:$B$2005,"&gt;="&amp;TODAY(),Appointments!$M$6:$M$2005,"&lt;"&amp;M119)=0,1,0),0)</f>
        <v/>
      </c>
    </row>
    <row r="120">
      <c r="A120" s="1" t="n"/>
      <c r="B120" s="30" t="n">
        <v>46053</v>
      </c>
      <c r="C120" s="31" t="n">
        <v>0.375</v>
      </c>
      <c r="D120" s="32" t="inlineStr">
        <is>
          <t>Chris Ellis</t>
        </is>
      </c>
      <c r="E120" s="32" t="inlineStr">
        <is>
          <t>Men's haircut</t>
        </is>
      </c>
      <c r="F120" s="33" t="inlineStr">
        <is>
          <t>Done</t>
        </is>
      </c>
      <c r="G120" s="27">
        <f>IF(E120="","",MAX(0,IFERROR(INDEX(Services!$C$6:$C$35,MATCH(E120,Services!$B$6:$B$35,0)),0)-N(H120)))</f>
        <v/>
      </c>
      <c r="H120" s="34" t="n"/>
      <c r="I120" s="34" t="n">
        <v>30</v>
      </c>
      <c r="J120" s="33" t="inlineStr">
        <is>
          <t>Card</t>
        </is>
      </c>
      <c r="K120" s="28">
        <f>IF(OR(B120="",F120&lt;&gt;"Done",J120="Package"),"",IF(N(G120)-N(I120)&gt;0,N(G120)-N(I120),""))</f>
        <v/>
      </c>
      <c r="L120" s="32" t="n"/>
      <c r="M120" s="1">
        <f>IF(OR(B120="",D120="",F120="Cancelled"),"",B120+N(C120)+ROW()/10000000)</f>
        <v/>
      </c>
      <c r="N120">
        <f>IF(AND(F120="Done",M120&lt;&gt;""),IF(COUNTIFS(Appointments!$D$6:$D$2005,D120,Appointments!$F$6:$F$2005,"Done",Appointments!$M$6:$M$2005,"&gt;"&amp;M120)=0,1,0),0)</f>
        <v/>
      </c>
      <c r="O120">
        <f>IF(AND(F120="Booked",M120&lt;&gt;"",N(B120)&gt;=TODAY()),IF(COUNTIFS(Appointments!$D$6:$D$2005,D120,Appointments!$F$6:$F$2005,"Booked",Appointments!$B$6:$B$2005,"&gt;="&amp;TODAY(),Appointments!$M$6:$M$2005,"&lt;"&amp;M120)=0,1,0),0)</f>
        <v/>
      </c>
    </row>
    <row r="121">
      <c r="A121" s="1" t="n"/>
      <c r="B121" s="30" t="n">
        <v>46053</v>
      </c>
      <c r="C121" s="31" t="n">
        <v>0.4027777777777778</v>
      </c>
      <c r="D121" s="32" t="inlineStr">
        <is>
          <t>Dan Owens</t>
        </is>
      </c>
      <c r="E121" s="32" t="inlineStr">
        <is>
          <t>Men's haircut</t>
        </is>
      </c>
      <c r="F121" s="33" t="inlineStr">
        <is>
          <t>Done</t>
        </is>
      </c>
      <c r="G121" s="27">
        <f>IF(E121="","",MAX(0,IFERROR(INDEX(Services!$C$6:$C$35,MATCH(E121,Services!$B$6:$B$35,0)),0)-N(H121)))</f>
        <v/>
      </c>
      <c r="H121" s="34" t="n"/>
      <c r="I121" s="34" t="n">
        <v>30</v>
      </c>
      <c r="J121" s="33" t="inlineStr">
        <is>
          <t>App</t>
        </is>
      </c>
      <c r="K121" s="28">
        <f>IF(OR(B121="",F121&lt;&gt;"Done",J121="Package"),"",IF(N(G121)-N(I121)&gt;0,N(G121)-N(I121),""))</f>
        <v/>
      </c>
      <c r="L121" s="32" t="n"/>
      <c r="M121" s="1">
        <f>IF(OR(B121="",D121="",F121="Cancelled"),"",B121+N(C121)+ROW()/10000000)</f>
        <v/>
      </c>
      <c r="N121">
        <f>IF(AND(F121="Done",M121&lt;&gt;""),IF(COUNTIFS(Appointments!$D$6:$D$2005,D121,Appointments!$F$6:$F$2005,"Done",Appointments!$M$6:$M$2005,"&gt;"&amp;M121)=0,1,0),0)</f>
        <v/>
      </c>
      <c r="O121">
        <f>IF(AND(F121="Booked",M121&lt;&gt;"",N(B121)&gt;=TODAY()),IF(COUNTIFS(Appointments!$D$6:$D$2005,D121,Appointments!$F$6:$F$2005,"Booked",Appointments!$B$6:$B$2005,"&gt;="&amp;TODAY(),Appointments!$M$6:$M$2005,"&lt;"&amp;M121)=0,1,0),0)</f>
        <v/>
      </c>
    </row>
    <row r="122">
      <c r="A122" s="1" t="n"/>
      <c r="B122" s="30" t="n">
        <v>46053</v>
      </c>
      <c r="C122" s="31" t="n">
        <v>0.4305555555555556</v>
      </c>
      <c r="D122" s="32" t="inlineStr">
        <is>
          <t>Finn Cook</t>
        </is>
      </c>
      <c r="E122" s="32" t="inlineStr">
        <is>
          <t>Men's haircut</t>
        </is>
      </c>
      <c r="F122" s="33" t="inlineStr">
        <is>
          <t>Done</t>
        </is>
      </c>
      <c r="G122" s="27">
        <f>IF(E122="","",MAX(0,IFERROR(INDEX(Services!$C$6:$C$35,MATCH(E122,Services!$B$6:$B$35,0)),0)-N(H122)))</f>
        <v/>
      </c>
      <c r="H122" s="34" t="n"/>
      <c r="I122" s="34" t="n">
        <v>30</v>
      </c>
      <c r="J122" s="33" t="inlineStr">
        <is>
          <t>Card</t>
        </is>
      </c>
      <c r="K122" s="28">
        <f>IF(OR(B122="",F122&lt;&gt;"Done",J122="Package"),"",IF(N(G122)-N(I122)&gt;0,N(G122)-N(I122),""))</f>
        <v/>
      </c>
      <c r="L122" s="32" t="n"/>
      <c r="M122" s="1">
        <f>IF(OR(B122="",D122="",F122="Cancelled"),"",B122+N(C122)+ROW()/10000000)</f>
        <v/>
      </c>
      <c r="N122">
        <f>IF(AND(F122="Done",M122&lt;&gt;""),IF(COUNTIFS(Appointments!$D$6:$D$2005,D122,Appointments!$F$6:$F$2005,"Done",Appointments!$M$6:$M$2005,"&gt;"&amp;M122)=0,1,0),0)</f>
        <v/>
      </c>
      <c r="O122">
        <f>IF(AND(F122="Booked",M122&lt;&gt;"",N(B122)&gt;=TODAY()),IF(COUNTIFS(Appointments!$D$6:$D$2005,D122,Appointments!$F$6:$F$2005,"Booked",Appointments!$B$6:$B$2005,"&gt;="&amp;TODAY(),Appointments!$M$6:$M$2005,"&lt;"&amp;M122)=0,1,0),0)</f>
        <v/>
      </c>
    </row>
    <row r="123">
      <c r="A123" s="1" t="n"/>
      <c r="B123" s="30" t="n">
        <v>46053</v>
      </c>
      <c r="C123" s="31" t="n">
        <v>0.4583333333333333</v>
      </c>
      <c r="D123" s="32" t="inlineStr">
        <is>
          <t>Harry Lewis</t>
        </is>
      </c>
      <c r="E123" s="32" t="inlineStr">
        <is>
          <t>Men's haircut</t>
        </is>
      </c>
      <c r="F123" s="33" t="inlineStr">
        <is>
          <t>Done</t>
        </is>
      </c>
      <c r="G123" s="27">
        <f>IF(E123="","",MAX(0,IFERROR(INDEX(Services!$C$6:$C$35,MATCH(E123,Services!$B$6:$B$35,0)),0)-N(H123)))</f>
        <v/>
      </c>
      <c r="H123" s="34" t="n"/>
      <c r="I123" s="34" t="n">
        <v>30</v>
      </c>
      <c r="J123" s="33" t="inlineStr">
        <is>
          <t>Transfer</t>
        </is>
      </c>
      <c r="K123" s="28">
        <f>IF(OR(B123="",F123&lt;&gt;"Done",J123="Package"),"",IF(N(G123)-N(I123)&gt;0,N(G123)-N(I123),""))</f>
        <v/>
      </c>
      <c r="L123" s="32" t="n"/>
      <c r="M123" s="1">
        <f>IF(OR(B123="",D123="",F123="Cancelled"),"",B123+N(C123)+ROW()/10000000)</f>
        <v/>
      </c>
      <c r="N123">
        <f>IF(AND(F123="Done",M123&lt;&gt;""),IF(COUNTIFS(Appointments!$D$6:$D$2005,D123,Appointments!$F$6:$F$2005,"Done",Appointments!$M$6:$M$2005,"&gt;"&amp;M123)=0,1,0),0)</f>
        <v/>
      </c>
      <c r="O123">
        <f>IF(AND(F123="Booked",M123&lt;&gt;"",N(B123)&gt;=TODAY()),IF(COUNTIFS(Appointments!$D$6:$D$2005,D123,Appointments!$F$6:$F$2005,"Booked",Appointments!$B$6:$B$2005,"&gt;="&amp;TODAY(),Appointments!$M$6:$M$2005,"&lt;"&amp;M123)=0,1,0),0)</f>
        <v/>
      </c>
    </row>
    <row r="124">
      <c r="A124" s="1" t="n"/>
      <c r="B124" s="30" t="n">
        <v>46053</v>
      </c>
      <c r="C124" s="31" t="n">
        <v>0.4861111111111111</v>
      </c>
      <c r="D124" s="32" t="inlineStr">
        <is>
          <t>Jon Reid</t>
        </is>
      </c>
      <c r="E124" s="32" t="inlineStr">
        <is>
          <t>Men's haircut</t>
        </is>
      </c>
      <c r="F124" s="33" t="inlineStr">
        <is>
          <t>Done</t>
        </is>
      </c>
      <c r="G124" s="27">
        <f>IF(E124="","",MAX(0,IFERROR(INDEX(Services!$C$6:$C$35,MATCH(E124,Services!$B$6:$B$35,0)),0)-N(H124)))</f>
        <v/>
      </c>
      <c r="H124" s="34" t="n"/>
      <c r="I124" s="34" t="n">
        <v>30</v>
      </c>
      <c r="J124" s="33" t="inlineStr">
        <is>
          <t>Card</t>
        </is>
      </c>
      <c r="K124" s="28">
        <f>IF(OR(B124="",F124&lt;&gt;"Done",J124="Package"),"",IF(N(G124)-N(I124)&gt;0,N(G124)-N(I124),""))</f>
        <v/>
      </c>
      <c r="L124" s="32" t="n"/>
      <c r="M124" s="1">
        <f>IF(OR(B124="",D124="",F124="Cancelled"),"",B124+N(C124)+ROW()/10000000)</f>
        <v/>
      </c>
      <c r="N124">
        <f>IF(AND(F124="Done",M124&lt;&gt;""),IF(COUNTIFS(Appointments!$D$6:$D$2005,D124,Appointments!$F$6:$F$2005,"Done",Appointments!$M$6:$M$2005,"&gt;"&amp;M124)=0,1,0),0)</f>
        <v/>
      </c>
      <c r="O124">
        <f>IF(AND(F124="Booked",M124&lt;&gt;"",N(B124)&gt;=TODAY()),IF(COUNTIFS(Appointments!$D$6:$D$2005,D124,Appointments!$F$6:$F$2005,"Booked",Appointments!$B$6:$B$2005,"&gt;="&amp;TODAY(),Appointments!$M$6:$M$2005,"&lt;"&amp;M124)=0,1,0),0)</f>
        <v/>
      </c>
    </row>
    <row r="125">
      <c r="A125" s="1" t="n"/>
      <c r="B125" s="30" t="n">
        <v>46053</v>
      </c>
      <c r="C125" s="31" t="n">
        <v>0.5138888888888888</v>
      </c>
      <c r="D125" s="32" t="inlineStr">
        <is>
          <t>Luke Walsh</t>
        </is>
      </c>
      <c r="E125" s="32" t="inlineStr">
        <is>
          <t>Men's haircut</t>
        </is>
      </c>
      <c r="F125" s="33" t="inlineStr">
        <is>
          <t>Done</t>
        </is>
      </c>
      <c r="G125" s="27">
        <f>IF(E125="","",MAX(0,IFERROR(INDEX(Services!$C$6:$C$35,MATCH(E125,Services!$B$6:$B$35,0)),0)-N(H125)))</f>
        <v/>
      </c>
      <c r="H125" s="34" t="n"/>
      <c r="I125" s="34" t="n">
        <v>30</v>
      </c>
      <c r="J125" s="33" t="inlineStr">
        <is>
          <t>App</t>
        </is>
      </c>
      <c r="K125" s="28">
        <f>IF(OR(B125="",F125&lt;&gt;"Done",J125="Package"),"",IF(N(G125)-N(I125)&gt;0,N(G125)-N(I125),""))</f>
        <v/>
      </c>
      <c r="L125" s="32" t="n"/>
      <c r="M125" s="1">
        <f>IF(OR(B125="",D125="",F125="Cancelled"),"",B125+N(C125)+ROW()/10000000)</f>
        <v/>
      </c>
      <c r="N125">
        <f>IF(AND(F125="Done",M125&lt;&gt;""),IF(COUNTIFS(Appointments!$D$6:$D$2005,D125,Appointments!$F$6:$F$2005,"Done",Appointments!$M$6:$M$2005,"&gt;"&amp;M125)=0,1,0),0)</f>
        <v/>
      </c>
      <c r="O125">
        <f>IF(AND(F125="Booked",M125&lt;&gt;"",N(B125)&gt;=TODAY()),IF(COUNTIFS(Appointments!$D$6:$D$2005,D125,Appointments!$F$6:$F$2005,"Booked",Appointments!$B$6:$B$2005,"&gt;="&amp;TODAY(),Appointments!$M$6:$M$2005,"&lt;"&amp;M125)=0,1,0),0)</f>
        <v/>
      </c>
    </row>
    <row r="126">
      <c r="A126" s="1" t="n"/>
      <c r="B126" s="30" t="n">
        <v>46053</v>
      </c>
      <c r="C126" s="31" t="n">
        <v>0.5416666666666666</v>
      </c>
      <c r="D126" s="32" t="inlineStr">
        <is>
          <t>Nora Walsh</t>
        </is>
      </c>
      <c r="E126" s="32" t="inlineStr">
        <is>
          <t>Women's haircut</t>
        </is>
      </c>
      <c r="F126" s="33" t="inlineStr">
        <is>
          <t>Done</t>
        </is>
      </c>
      <c r="G126" s="27">
        <f>IF(E126="","",MAX(0,IFERROR(INDEX(Services!$C$6:$C$35,MATCH(E126,Services!$B$6:$B$35,0)),0)-N(H126)))</f>
        <v/>
      </c>
      <c r="H126" s="34" t="n"/>
      <c r="I126" s="34" t="n">
        <v>55</v>
      </c>
      <c r="J126" s="33" t="inlineStr">
        <is>
          <t>Card</t>
        </is>
      </c>
      <c r="K126" s="28">
        <f>IF(OR(B126="",F126&lt;&gt;"Done",J126="Package"),"",IF(N(G126)-N(I126)&gt;0,N(G126)-N(I126),""))</f>
        <v/>
      </c>
      <c r="L126" s="32" t="n"/>
      <c r="M126" s="1">
        <f>IF(OR(B126="",D126="",F126="Cancelled"),"",B126+N(C126)+ROW()/10000000)</f>
        <v/>
      </c>
      <c r="N126">
        <f>IF(AND(F126="Done",M126&lt;&gt;""),IF(COUNTIFS(Appointments!$D$6:$D$2005,D126,Appointments!$F$6:$F$2005,"Done",Appointments!$M$6:$M$2005,"&gt;"&amp;M126)=0,1,0),0)</f>
        <v/>
      </c>
      <c r="O126">
        <f>IF(AND(F126="Booked",M126&lt;&gt;"",N(B126)&gt;=TODAY()),IF(COUNTIFS(Appointments!$D$6:$D$2005,D126,Appointments!$F$6:$F$2005,"Booked",Appointments!$B$6:$B$2005,"&gt;="&amp;TODAY(),Appointments!$M$6:$M$2005,"&lt;"&amp;M126)=0,1,0),0)</f>
        <v/>
      </c>
    </row>
    <row r="127">
      <c r="A127" s="1" t="n"/>
      <c r="B127" s="30" t="n">
        <v>46056</v>
      </c>
      <c r="C127" s="31" t="n">
        <v>0.375</v>
      </c>
      <c r="D127" s="32" t="inlineStr">
        <is>
          <t>Dan Hill</t>
        </is>
      </c>
      <c r="E127" s="32" t="inlineStr">
        <is>
          <t>Men's haircut</t>
        </is>
      </c>
      <c r="F127" s="33" t="inlineStr">
        <is>
          <t>Done</t>
        </is>
      </c>
      <c r="G127" s="27">
        <f>IF(E127="","",MAX(0,IFERROR(INDEX(Services!$C$6:$C$35,MATCH(E127,Services!$B$6:$B$35,0)),0)-N(H127)))</f>
        <v/>
      </c>
      <c r="H127" s="34" t="n"/>
      <c r="I127" s="34" t="n">
        <v>30</v>
      </c>
      <c r="J127" s="33" t="inlineStr">
        <is>
          <t>Card</t>
        </is>
      </c>
      <c r="K127" s="28">
        <f>IF(OR(B127="",F127&lt;&gt;"Done",J127="Package"),"",IF(N(G127)-N(I127)&gt;0,N(G127)-N(I127),""))</f>
        <v/>
      </c>
      <c r="L127" s="32" t="n"/>
      <c r="M127" s="1">
        <f>IF(OR(B127="",D127="",F127="Cancelled"),"",B127+N(C127)+ROW()/10000000)</f>
        <v/>
      </c>
      <c r="N127">
        <f>IF(AND(F127="Done",M127&lt;&gt;""),IF(COUNTIFS(Appointments!$D$6:$D$2005,D127,Appointments!$F$6:$F$2005,"Done",Appointments!$M$6:$M$2005,"&gt;"&amp;M127)=0,1,0),0)</f>
        <v/>
      </c>
      <c r="O127">
        <f>IF(AND(F127="Booked",M127&lt;&gt;"",N(B127)&gt;=TODAY()),IF(COUNTIFS(Appointments!$D$6:$D$2005,D127,Appointments!$F$6:$F$2005,"Booked",Appointments!$B$6:$B$2005,"&gt;="&amp;TODAY(),Appointments!$M$6:$M$2005,"&lt;"&amp;M127)=0,1,0),0)</f>
        <v/>
      </c>
    </row>
    <row r="128">
      <c r="A128" s="1" t="n"/>
      <c r="B128" s="30" t="n">
        <v>46056</v>
      </c>
      <c r="C128" s="31" t="n">
        <v>0.4027777777777778</v>
      </c>
      <c r="D128" s="32" t="inlineStr">
        <is>
          <t>Finn Price</t>
        </is>
      </c>
      <c r="E128" s="32" t="inlineStr">
        <is>
          <t>Men's haircut</t>
        </is>
      </c>
      <c r="F128" s="33" t="inlineStr">
        <is>
          <t>Cancelled</t>
        </is>
      </c>
      <c r="G128" s="27">
        <f>IF(E128="","",MAX(0,IFERROR(INDEX(Services!$C$6:$C$35,MATCH(E128,Services!$B$6:$B$35,0)),0)-N(H128)))</f>
        <v/>
      </c>
      <c r="H128" s="34" t="n"/>
      <c r="I128" s="34" t="n"/>
      <c r="J128" s="33" t="n"/>
      <c r="K128" s="28">
        <f>IF(OR(B128="",F128&lt;&gt;"Done",J128="Package"),"",IF(N(G128)-N(I128)&gt;0,N(G128)-N(I128),""))</f>
        <v/>
      </c>
      <c r="L128" s="32" t="n"/>
      <c r="M128" s="1">
        <f>IF(OR(B128="",D128="",F128="Cancelled"),"",B128+N(C128)+ROW()/10000000)</f>
        <v/>
      </c>
      <c r="N128">
        <f>IF(AND(F128="Done",M128&lt;&gt;""),IF(COUNTIFS(Appointments!$D$6:$D$2005,D128,Appointments!$F$6:$F$2005,"Done",Appointments!$M$6:$M$2005,"&gt;"&amp;M128)=0,1,0),0)</f>
        <v/>
      </c>
      <c r="O128">
        <f>IF(AND(F128="Booked",M128&lt;&gt;"",N(B128)&gt;=TODAY()),IF(COUNTIFS(Appointments!$D$6:$D$2005,D128,Appointments!$F$6:$F$2005,"Booked",Appointments!$B$6:$B$2005,"&gt;="&amp;TODAY(),Appointments!$M$6:$M$2005,"&lt;"&amp;M128)=0,1,0),0)</f>
        <v/>
      </c>
    </row>
    <row r="129">
      <c r="A129" s="1" t="n"/>
      <c r="B129" s="30" t="n">
        <v>46056</v>
      </c>
      <c r="C129" s="31" t="n">
        <v>0.4305555555555556</v>
      </c>
      <c r="D129" s="32" t="inlineStr">
        <is>
          <t>Harry Adams</t>
        </is>
      </c>
      <c r="E129" s="32" t="inlineStr">
        <is>
          <t>Men's haircut</t>
        </is>
      </c>
      <c r="F129" s="33" t="inlineStr">
        <is>
          <t>Done</t>
        </is>
      </c>
      <c r="G129" s="27">
        <f>IF(E129="","",MAX(0,IFERROR(INDEX(Services!$C$6:$C$35,MATCH(E129,Services!$B$6:$B$35,0)),0)-N(H129)))</f>
        <v/>
      </c>
      <c r="H129" s="34" t="n"/>
      <c r="I129" s="34" t="n">
        <v>30</v>
      </c>
      <c r="J129" s="33" t="inlineStr">
        <is>
          <t>Card</t>
        </is>
      </c>
      <c r="K129" s="28">
        <f>IF(OR(B129="",F129&lt;&gt;"Done",J129="Package"),"",IF(N(G129)-N(I129)&gt;0,N(G129)-N(I129),""))</f>
        <v/>
      </c>
      <c r="L129" s="32" t="n"/>
      <c r="M129" s="1">
        <f>IF(OR(B129="",D129="",F129="Cancelled"),"",B129+N(C129)+ROW()/10000000)</f>
        <v/>
      </c>
      <c r="N129">
        <f>IF(AND(F129="Done",M129&lt;&gt;""),IF(COUNTIFS(Appointments!$D$6:$D$2005,D129,Appointments!$F$6:$F$2005,"Done",Appointments!$M$6:$M$2005,"&gt;"&amp;M129)=0,1,0),0)</f>
        <v/>
      </c>
      <c r="O129">
        <f>IF(AND(F129="Booked",M129&lt;&gt;"",N(B129)&gt;=TODAY()),IF(COUNTIFS(Appointments!$D$6:$D$2005,D129,Appointments!$F$6:$F$2005,"Booked",Appointments!$B$6:$B$2005,"&gt;="&amp;TODAY(),Appointments!$M$6:$M$2005,"&lt;"&amp;M129)=0,1,0),0)</f>
        <v/>
      </c>
    </row>
    <row r="130">
      <c r="A130" s="1" t="n"/>
      <c r="B130" s="30" t="n">
        <v>46056</v>
      </c>
      <c r="C130" s="31" t="n">
        <v>0.4583333333333333</v>
      </c>
      <c r="D130" s="32" t="inlineStr">
        <is>
          <t>Lucy Wood</t>
        </is>
      </c>
      <c r="E130" s="32" t="inlineStr">
        <is>
          <t>Blow dry</t>
        </is>
      </c>
      <c r="F130" s="33" t="inlineStr">
        <is>
          <t>Done</t>
        </is>
      </c>
      <c r="G130" s="27">
        <f>IF(E130="","",MAX(0,IFERROR(INDEX(Services!$C$6:$C$35,MATCH(E130,Services!$B$6:$B$35,0)),0)-N(H130)))</f>
        <v/>
      </c>
      <c r="H130" s="34" t="n"/>
      <c r="I130" s="34" t="n">
        <v>35</v>
      </c>
      <c r="J130" s="33" t="inlineStr">
        <is>
          <t>Card</t>
        </is>
      </c>
      <c r="K130" s="28">
        <f>IF(OR(B130="",F130&lt;&gt;"Done",J130="Package"),"",IF(N(G130)-N(I130)&gt;0,N(G130)-N(I130),""))</f>
        <v/>
      </c>
      <c r="L130" s="32" t="n"/>
      <c r="M130" s="1">
        <f>IF(OR(B130="",D130="",F130="Cancelled"),"",B130+N(C130)+ROW()/10000000)</f>
        <v/>
      </c>
      <c r="N130">
        <f>IF(AND(F130="Done",M130&lt;&gt;""),IF(COUNTIFS(Appointments!$D$6:$D$2005,D130,Appointments!$F$6:$F$2005,"Done",Appointments!$M$6:$M$2005,"&gt;"&amp;M130)=0,1,0),0)</f>
        <v/>
      </c>
      <c r="O130">
        <f>IF(AND(F130="Booked",M130&lt;&gt;"",N(B130)&gt;=TODAY()),IF(COUNTIFS(Appointments!$D$6:$D$2005,D130,Appointments!$F$6:$F$2005,"Booked",Appointments!$B$6:$B$2005,"&gt;="&amp;TODAY(),Appointments!$M$6:$M$2005,"&lt;"&amp;M130)=0,1,0),0)</f>
        <v/>
      </c>
    </row>
    <row r="131">
      <c r="A131" s="1" t="n"/>
      <c r="B131" s="30" t="n">
        <v>46056</v>
      </c>
      <c r="C131" s="31" t="n">
        <v>0.4965277777777778</v>
      </c>
      <c r="D131" s="32" t="inlineStr">
        <is>
          <t>Owen Walsh</t>
        </is>
      </c>
      <c r="E131" s="32" t="inlineStr">
        <is>
          <t>Men's haircut</t>
        </is>
      </c>
      <c r="F131" s="33" t="inlineStr">
        <is>
          <t>Done</t>
        </is>
      </c>
      <c r="G131" s="27">
        <f>IF(E131="","",MAX(0,IFERROR(INDEX(Services!$C$6:$C$35,MATCH(E131,Services!$B$6:$B$35,0)),0)-N(H131)))</f>
        <v/>
      </c>
      <c r="H131" s="34" t="n"/>
      <c r="I131" s="34" t="n">
        <v>30</v>
      </c>
      <c r="J131" s="33" t="inlineStr">
        <is>
          <t>App</t>
        </is>
      </c>
      <c r="K131" s="28">
        <f>IF(OR(B131="",F131&lt;&gt;"Done",J131="Package"),"",IF(N(G131)-N(I131)&gt;0,N(G131)-N(I131),""))</f>
        <v/>
      </c>
      <c r="L131" s="32" t="n"/>
      <c r="M131" s="1">
        <f>IF(OR(B131="",D131="",F131="Cancelled"),"",B131+N(C131)+ROW()/10000000)</f>
        <v/>
      </c>
      <c r="N131">
        <f>IF(AND(F131="Done",M131&lt;&gt;""),IF(COUNTIFS(Appointments!$D$6:$D$2005,D131,Appointments!$F$6:$F$2005,"Done",Appointments!$M$6:$M$2005,"&gt;"&amp;M131)=0,1,0),0)</f>
        <v/>
      </c>
      <c r="O131">
        <f>IF(AND(F131="Booked",M131&lt;&gt;"",N(B131)&gt;=TODAY()),IF(COUNTIFS(Appointments!$D$6:$D$2005,D131,Appointments!$F$6:$F$2005,"Booked",Appointments!$B$6:$B$2005,"&gt;="&amp;TODAY(),Appointments!$M$6:$M$2005,"&lt;"&amp;M131)=0,1,0),0)</f>
        <v/>
      </c>
    </row>
    <row r="132">
      <c r="A132" s="1" t="n"/>
      <c r="B132" s="30" t="n">
        <v>46056</v>
      </c>
      <c r="C132" s="31" t="n">
        <v>0.5243055555555556</v>
      </c>
      <c r="D132" s="32" t="inlineStr">
        <is>
          <t>Paul Wright</t>
        </is>
      </c>
      <c r="E132" s="32" t="inlineStr">
        <is>
          <t>Men's haircut</t>
        </is>
      </c>
      <c r="F132" s="33" t="inlineStr">
        <is>
          <t>Done</t>
        </is>
      </c>
      <c r="G132" s="27">
        <f>IF(E132="","",MAX(0,IFERROR(INDEX(Services!$C$6:$C$35,MATCH(E132,Services!$B$6:$B$35,0)),0)-N(H132)))</f>
        <v/>
      </c>
      <c r="H132" s="34" t="n"/>
      <c r="I132" s="34" t="n">
        <v>30</v>
      </c>
      <c r="J132" s="33" t="inlineStr">
        <is>
          <t>Card</t>
        </is>
      </c>
      <c r="K132" s="28">
        <f>IF(OR(B132="",F132&lt;&gt;"Done",J132="Package"),"",IF(N(G132)-N(I132)&gt;0,N(G132)-N(I132),""))</f>
        <v/>
      </c>
      <c r="L132" s="32" t="n"/>
      <c r="M132" s="1">
        <f>IF(OR(B132="",D132="",F132="Cancelled"),"",B132+N(C132)+ROW()/10000000)</f>
        <v/>
      </c>
      <c r="N132">
        <f>IF(AND(F132="Done",M132&lt;&gt;""),IF(COUNTIFS(Appointments!$D$6:$D$2005,D132,Appointments!$F$6:$F$2005,"Done",Appointments!$M$6:$M$2005,"&gt;"&amp;M132)=0,1,0),0)</f>
        <v/>
      </c>
      <c r="O132">
        <f>IF(AND(F132="Booked",M132&lt;&gt;"",N(B132)&gt;=TODAY()),IF(COUNTIFS(Appointments!$D$6:$D$2005,D132,Appointments!$F$6:$F$2005,"Booked",Appointments!$B$6:$B$2005,"&gt;="&amp;TODAY(),Appointments!$M$6:$M$2005,"&lt;"&amp;M132)=0,1,0),0)</f>
        <v/>
      </c>
    </row>
    <row r="133">
      <c r="A133" s="1" t="n"/>
      <c r="B133" s="30" t="n">
        <v>46056</v>
      </c>
      <c r="C133" s="31" t="n">
        <v>0.5520833333333334</v>
      </c>
      <c r="D133" s="32" t="inlineStr">
        <is>
          <t>Tom Cole</t>
        </is>
      </c>
      <c r="E133" s="32" t="inlineStr">
        <is>
          <t>Men's haircut</t>
        </is>
      </c>
      <c r="F133" s="33" t="inlineStr">
        <is>
          <t>Done</t>
        </is>
      </c>
      <c r="G133" s="27">
        <f>IF(E133="","",MAX(0,IFERROR(INDEX(Services!$C$6:$C$35,MATCH(E133,Services!$B$6:$B$35,0)),0)-N(H133)))</f>
        <v/>
      </c>
      <c r="H133" s="34" t="n"/>
      <c r="I133" s="34" t="n">
        <v>30</v>
      </c>
      <c r="J133" s="33" t="inlineStr">
        <is>
          <t>Card</t>
        </is>
      </c>
      <c r="K133" s="28">
        <f>IF(OR(B133="",F133&lt;&gt;"Done",J133="Package"),"",IF(N(G133)-N(I133)&gt;0,N(G133)-N(I133),""))</f>
        <v/>
      </c>
      <c r="L133" s="32" t="n"/>
      <c r="M133" s="1">
        <f>IF(OR(B133="",D133="",F133="Cancelled"),"",B133+N(C133)+ROW()/10000000)</f>
        <v/>
      </c>
      <c r="N133">
        <f>IF(AND(F133="Done",M133&lt;&gt;""),IF(COUNTIFS(Appointments!$D$6:$D$2005,D133,Appointments!$F$6:$F$2005,"Done",Appointments!$M$6:$M$2005,"&gt;"&amp;M133)=0,1,0),0)</f>
        <v/>
      </c>
      <c r="O133">
        <f>IF(AND(F133="Booked",M133&lt;&gt;"",N(B133)&gt;=TODAY()),IF(COUNTIFS(Appointments!$D$6:$D$2005,D133,Appointments!$F$6:$F$2005,"Booked",Appointments!$B$6:$B$2005,"&gt;="&amp;TODAY(),Appointments!$M$6:$M$2005,"&lt;"&amp;M133)=0,1,0),0)</f>
        <v/>
      </c>
    </row>
    <row r="134">
      <c r="A134" s="1" t="n"/>
      <c r="B134" s="30" t="n">
        <v>46057</v>
      </c>
      <c r="C134" s="31" t="n">
        <v>0.375</v>
      </c>
      <c r="D134" s="32" t="inlineStr">
        <is>
          <t>Alice Ward</t>
        </is>
      </c>
      <c r="E134" s="32" t="inlineStr">
        <is>
          <t>Women's haircut</t>
        </is>
      </c>
      <c r="F134" s="33" t="inlineStr">
        <is>
          <t>Done</t>
        </is>
      </c>
      <c r="G134" s="27">
        <f>IF(E134="","",MAX(0,IFERROR(INDEX(Services!$C$6:$C$35,MATCH(E134,Services!$B$6:$B$35,0)),0)-N(H134)))</f>
        <v/>
      </c>
      <c r="H134" s="34" t="n"/>
      <c r="I134" s="34" t="n">
        <v>55</v>
      </c>
      <c r="J134" s="33" t="inlineStr">
        <is>
          <t>Cash</t>
        </is>
      </c>
      <c r="K134" s="28">
        <f>IF(OR(B134="",F134&lt;&gt;"Done",J134="Package"),"",IF(N(G134)-N(I134)&gt;0,N(G134)-N(I134),""))</f>
        <v/>
      </c>
      <c r="L134" s="32" t="n"/>
      <c r="M134" s="1">
        <f>IF(OR(B134="",D134="",F134="Cancelled"),"",B134+N(C134)+ROW()/10000000)</f>
        <v/>
      </c>
      <c r="N134">
        <f>IF(AND(F134="Done",M134&lt;&gt;""),IF(COUNTIFS(Appointments!$D$6:$D$2005,D134,Appointments!$F$6:$F$2005,"Done",Appointments!$M$6:$M$2005,"&gt;"&amp;M134)=0,1,0),0)</f>
        <v/>
      </c>
      <c r="O134">
        <f>IF(AND(F134="Booked",M134&lt;&gt;"",N(B134)&gt;=TODAY()),IF(COUNTIFS(Appointments!$D$6:$D$2005,D134,Appointments!$F$6:$F$2005,"Booked",Appointments!$B$6:$B$2005,"&gt;="&amp;TODAY(),Appointments!$M$6:$M$2005,"&lt;"&amp;M134)=0,1,0),0)</f>
        <v/>
      </c>
    </row>
    <row r="135">
      <c r="A135" s="1" t="n"/>
      <c r="B135" s="30" t="n">
        <v>46057</v>
      </c>
      <c r="C135" s="31" t="n">
        <v>0.4236111111111111</v>
      </c>
      <c r="D135" s="32" t="inlineStr">
        <is>
          <t>Amy Hall</t>
        </is>
      </c>
      <c r="E135" s="32" t="inlineStr">
        <is>
          <t>Blow dry</t>
        </is>
      </c>
      <c r="F135" s="33" t="inlineStr">
        <is>
          <t>Done</t>
        </is>
      </c>
      <c r="G135" s="27">
        <f>IF(E135="","",MAX(0,IFERROR(INDEX(Services!$C$6:$C$35,MATCH(E135,Services!$B$6:$B$35,0)),0)-N(H135)))</f>
        <v/>
      </c>
      <c r="H135" s="34" t="n"/>
      <c r="I135" s="34" t="n">
        <v>35</v>
      </c>
      <c r="J135" s="33" t="inlineStr">
        <is>
          <t>Card</t>
        </is>
      </c>
      <c r="K135" s="28">
        <f>IF(OR(B135="",F135&lt;&gt;"Done",J135="Package"),"",IF(N(G135)-N(I135)&gt;0,N(G135)-N(I135),""))</f>
        <v/>
      </c>
      <c r="L135" s="32" t="n"/>
      <c r="M135" s="1">
        <f>IF(OR(B135="",D135="",F135="Cancelled"),"",B135+N(C135)+ROW()/10000000)</f>
        <v/>
      </c>
      <c r="N135">
        <f>IF(AND(F135="Done",M135&lt;&gt;""),IF(COUNTIFS(Appointments!$D$6:$D$2005,D135,Appointments!$F$6:$F$2005,"Done",Appointments!$M$6:$M$2005,"&gt;"&amp;M135)=0,1,0),0)</f>
        <v/>
      </c>
      <c r="O135">
        <f>IF(AND(F135="Booked",M135&lt;&gt;"",N(B135)&gt;=TODAY()),IF(COUNTIFS(Appointments!$D$6:$D$2005,D135,Appointments!$F$6:$F$2005,"Booked",Appointments!$B$6:$B$2005,"&gt;="&amp;TODAY(),Appointments!$M$6:$M$2005,"&lt;"&amp;M135)=0,1,0),0)</f>
        <v/>
      </c>
    </row>
    <row r="136">
      <c r="A136" s="1" t="n"/>
      <c r="B136" s="30" t="n">
        <v>46057</v>
      </c>
      <c r="C136" s="31" t="n">
        <v>0.4618055555555556</v>
      </c>
      <c r="D136" s="32" t="inlineStr">
        <is>
          <t>Ava Lewis</t>
        </is>
      </c>
      <c r="E136" s="32" t="inlineStr">
        <is>
          <t>Colour</t>
        </is>
      </c>
      <c r="F136" s="33" t="inlineStr">
        <is>
          <t>Done</t>
        </is>
      </c>
      <c r="G136" s="27">
        <f>IF(E136="","",MAX(0,IFERROR(INDEX(Services!$C$6:$C$35,MATCH(E136,Services!$B$6:$B$35,0)),0)-N(H136)))</f>
        <v/>
      </c>
      <c r="H136" s="34" t="n"/>
      <c r="I136" s="34" t="n">
        <v>95</v>
      </c>
      <c r="J136" s="33" t="inlineStr">
        <is>
          <t>Card</t>
        </is>
      </c>
      <c r="K136" s="28">
        <f>IF(OR(B136="",F136&lt;&gt;"Done",J136="Package"),"",IF(N(G136)-N(I136)&gt;0,N(G136)-N(I136),""))</f>
        <v/>
      </c>
      <c r="L136" s="32" t="n"/>
      <c r="M136" s="1">
        <f>IF(OR(B136="",D136="",F136="Cancelled"),"",B136+N(C136)+ROW()/10000000)</f>
        <v/>
      </c>
      <c r="N136">
        <f>IF(AND(F136="Done",M136&lt;&gt;""),IF(COUNTIFS(Appointments!$D$6:$D$2005,D136,Appointments!$F$6:$F$2005,"Done",Appointments!$M$6:$M$2005,"&gt;"&amp;M136)=0,1,0),0)</f>
        <v/>
      </c>
      <c r="O136">
        <f>IF(AND(F136="Booked",M136&lt;&gt;"",N(B136)&gt;=TODAY()),IF(COUNTIFS(Appointments!$D$6:$D$2005,D136,Appointments!$F$6:$F$2005,"Booked",Appointments!$B$6:$B$2005,"&gt;="&amp;TODAY(),Appointments!$M$6:$M$2005,"&lt;"&amp;M136)=0,1,0),0)</f>
        <v/>
      </c>
    </row>
    <row r="137">
      <c r="A137" s="1" t="n"/>
      <c r="B137" s="30" t="n">
        <v>46057</v>
      </c>
      <c r="C137" s="31" t="n">
        <v>0.5520833333333334</v>
      </c>
      <c r="D137" s="32" t="inlineStr">
        <is>
          <t>Beth Reid</t>
        </is>
      </c>
      <c r="E137" s="32" t="inlineStr">
        <is>
          <t>Toner</t>
        </is>
      </c>
      <c r="F137" s="33" t="inlineStr">
        <is>
          <t>Done</t>
        </is>
      </c>
      <c r="G137" s="27">
        <f>IF(E137="","",MAX(0,IFERROR(INDEX(Services!$C$6:$C$35,MATCH(E137,Services!$B$6:$B$35,0)),0)-N(H137)))</f>
        <v/>
      </c>
      <c r="H137" s="34" t="n"/>
      <c r="I137" s="34" t="n">
        <v>40</v>
      </c>
      <c r="J137" s="33" t="inlineStr">
        <is>
          <t>Card</t>
        </is>
      </c>
      <c r="K137" s="28">
        <f>IF(OR(B137="",F137&lt;&gt;"Done",J137="Package"),"",IF(N(G137)-N(I137)&gt;0,N(G137)-N(I137),""))</f>
        <v/>
      </c>
      <c r="L137" s="32" t="n"/>
      <c r="M137" s="1">
        <f>IF(OR(B137="",D137="",F137="Cancelled"),"",B137+N(C137)+ROW()/10000000)</f>
        <v/>
      </c>
      <c r="N137">
        <f>IF(AND(F137="Done",M137&lt;&gt;""),IF(COUNTIFS(Appointments!$D$6:$D$2005,D137,Appointments!$F$6:$F$2005,"Done",Appointments!$M$6:$M$2005,"&gt;"&amp;M137)=0,1,0),0)</f>
        <v/>
      </c>
      <c r="O137">
        <f>IF(AND(F137="Booked",M137&lt;&gt;"",N(B137)&gt;=TODAY()),IF(COUNTIFS(Appointments!$D$6:$D$2005,D137,Appointments!$F$6:$F$2005,"Booked",Appointments!$B$6:$B$2005,"&gt;="&amp;TODAY(),Appointments!$M$6:$M$2005,"&lt;"&amp;M137)=0,1,0),0)</f>
        <v/>
      </c>
    </row>
    <row r="138">
      <c r="A138" s="1" t="n"/>
      <c r="B138" s="30" t="n">
        <v>46057</v>
      </c>
      <c r="C138" s="31" t="n">
        <v>0.5798611111111112</v>
      </c>
      <c r="D138" s="32" t="inlineStr">
        <is>
          <t>Harry Cox</t>
        </is>
      </c>
      <c r="E138" s="32" t="inlineStr">
        <is>
          <t>Men's haircut</t>
        </is>
      </c>
      <c r="F138" s="33" t="inlineStr">
        <is>
          <t>Done</t>
        </is>
      </c>
      <c r="G138" s="27">
        <f>IF(E138="","",MAX(0,IFERROR(INDEX(Services!$C$6:$C$35,MATCH(E138,Services!$B$6:$B$35,0)),0)-N(H138)))</f>
        <v/>
      </c>
      <c r="H138" s="34" t="n"/>
      <c r="I138" s="34" t="n">
        <v>30</v>
      </c>
      <c r="J138" s="33" t="inlineStr">
        <is>
          <t>Cash</t>
        </is>
      </c>
      <c r="K138" s="28">
        <f>IF(OR(B138="",F138&lt;&gt;"Done",J138="Package"),"",IF(N(G138)-N(I138)&gt;0,N(G138)-N(I138),""))</f>
        <v/>
      </c>
      <c r="L138" s="32" t="n"/>
      <c r="M138" s="1">
        <f>IF(OR(B138="",D138="",F138="Cancelled"),"",B138+N(C138)+ROW()/10000000)</f>
        <v/>
      </c>
      <c r="N138">
        <f>IF(AND(F138="Done",M138&lt;&gt;""),IF(COUNTIFS(Appointments!$D$6:$D$2005,D138,Appointments!$F$6:$F$2005,"Done",Appointments!$M$6:$M$2005,"&gt;"&amp;M138)=0,1,0),0)</f>
        <v/>
      </c>
      <c r="O138">
        <f>IF(AND(F138="Booked",M138&lt;&gt;"",N(B138)&gt;=TODAY()),IF(COUNTIFS(Appointments!$D$6:$D$2005,D138,Appointments!$F$6:$F$2005,"Booked",Appointments!$B$6:$B$2005,"&gt;="&amp;TODAY(),Appointments!$M$6:$M$2005,"&lt;"&amp;M138)=0,1,0),0)</f>
        <v/>
      </c>
    </row>
    <row r="139">
      <c r="A139" s="1" t="n"/>
      <c r="B139" s="30" t="n">
        <v>46057</v>
      </c>
      <c r="C139" s="31" t="n">
        <v>0.6076388888888888</v>
      </c>
      <c r="D139" s="32" t="inlineStr">
        <is>
          <t>Julia Lewis</t>
        </is>
      </c>
      <c r="E139" s="32" t="inlineStr">
        <is>
          <t>Women's haircut</t>
        </is>
      </c>
      <c r="F139" s="33" t="inlineStr">
        <is>
          <t>Done</t>
        </is>
      </c>
      <c r="G139" s="27">
        <f>IF(E139="","",MAX(0,IFERROR(INDEX(Services!$C$6:$C$35,MATCH(E139,Services!$B$6:$B$35,0)),0)-N(H139)))</f>
        <v/>
      </c>
      <c r="H139" s="34" t="n"/>
      <c r="I139" s="34" t="n">
        <v>55</v>
      </c>
      <c r="J139" s="33" t="inlineStr">
        <is>
          <t>Card</t>
        </is>
      </c>
      <c r="K139" s="28">
        <f>IF(OR(B139="",F139&lt;&gt;"Done",J139="Package"),"",IF(N(G139)-N(I139)&gt;0,N(G139)-N(I139),""))</f>
        <v/>
      </c>
      <c r="L139" s="32" t="n"/>
      <c r="M139" s="1">
        <f>IF(OR(B139="",D139="",F139="Cancelled"),"",B139+N(C139)+ROW()/10000000)</f>
        <v/>
      </c>
      <c r="N139">
        <f>IF(AND(F139="Done",M139&lt;&gt;""),IF(COUNTIFS(Appointments!$D$6:$D$2005,D139,Appointments!$F$6:$F$2005,"Done",Appointments!$M$6:$M$2005,"&gt;"&amp;M139)=0,1,0),0)</f>
        <v/>
      </c>
      <c r="O139">
        <f>IF(AND(F139="Booked",M139&lt;&gt;"",N(B139)&gt;=TODAY()),IF(COUNTIFS(Appointments!$D$6:$D$2005,D139,Appointments!$F$6:$F$2005,"Booked",Appointments!$B$6:$B$2005,"&gt;="&amp;TODAY(),Appointments!$M$6:$M$2005,"&lt;"&amp;M139)=0,1,0),0)</f>
        <v/>
      </c>
    </row>
    <row r="140">
      <c r="A140" s="1" t="n"/>
      <c r="B140" s="30" t="n">
        <v>46058</v>
      </c>
      <c r="C140" s="31" t="n">
        <v>0.375</v>
      </c>
      <c r="D140" s="32" t="inlineStr">
        <is>
          <t>Eli James</t>
        </is>
      </c>
      <c r="E140" s="32" t="inlineStr">
        <is>
          <t>Men's haircut</t>
        </is>
      </c>
      <c r="F140" s="33" t="inlineStr">
        <is>
          <t>Done</t>
        </is>
      </c>
      <c r="G140" s="27">
        <f>IF(E140="","",MAX(0,IFERROR(INDEX(Services!$C$6:$C$35,MATCH(E140,Services!$B$6:$B$35,0)),0)-N(H140)))</f>
        <v/>
      </c>
      <c r="H140" s="34" t="n"/>
      <c r="I140" s="34" t="n">
        <v>30</v>
      </c>
      <c r="J140" s="33" t="inlineStr">
        <is>
          <t>Transfer</t>
        </is>
      </c>
      <c r="K140" s="28">
        <f>IF(OR(B140="",F140&lt;&gt;"Done",J140="Package"),"",IF(N(G140)-N(I140)&gt;0,N(G140)-N(I140),""))</f>
        <v/>
      </c>
      <c r="L140" s="32" t="n"/>
      <c r="M140" s="1">
        <f>IF(OR(B140="",D140="",F140="Cancelled"),"",B140+N(C140)+ROW()/10000000)</f>
        <v/>
      </c>
      <c r="N140">
        <f>IF(AND(F140="Done",M140&lt;&gt;""),IF(COUNTIFS(Appointments!$D$6:$D$2005,D140,Appointments!$F$6:$F$2005,"Done",Appointments!$M$6:$M$2005,"&gt;"&amp;M140)=0,1,0),0)</f>
        <v/>
      </c>
      <c r="O140">
        <f>IF(AND(F140="Booked",M140&lt;&gt;"",N(B140)&gt;=TODAY()),IF(COUNTIFS(Appointments!$D$6:$D$2005,D140,Appointments!$F$6:$F$2005,"Booked",Appointments!$B$6:$B$2005,"&gt;="&amp;TODAY(),Appointments!$M$6:$M$2005,"&lt;"&amp;M140)=0,1,0),0)</f>
        <v/>
      </c>
    </row>
    <row r="141">
      <c r="A141" s="1" t="n"/>
      <c r="B141" s="30" t="n">
        <v>46058</v>
      </c>
      <c r="C141" s="31" t="n">
        <v>0.4027777777777778</v>
      </c>
      <c r="D141" s="32" t="inlineStr">
        <is>
          <t>Lily Wood</t>
        </is>
      </c>
      <c r="E141" s="32" t="inlineStr">
        <is>
          <t>Colour</t>
        </is>
      </c>
      <c r="F141" s="33" t="inlineStr">
        <is>
          <t>Done</t>
        </is>
      </c>
      <c r="G141" s="27">
        <f>IF(E141="","",MAX(0,IFERROR(INDEX(Services!$C$6:$C$35,MATCH(E141,Services!$B$6:$B$35,0)),0)-N(H141)))</f>
        <v/>
      </c>
      <c r="H141" s="34" t="n"/>
      <c r="I141" s="34" t="n">
        <v>95</v>
      </c>
      <c r="J141" s="33" t="inlineStr">
        <is>
          <t>Cash</t>
        </is>
      </c>
      <c r="K141" s="28">
        <f>IF(OR(B141="",F141&lt;&gt;"Done",J141="Package"),"",IF(N(G141)-N(I141)&gt;0,N(G141)-N(I141),""))</f>
        <v/>
      </c>
      <c r="L141" s="32" t="n"/>
      <c r="M141" s="1">
        <f>IF(OR(B141="",D141="",F141="Cancelled"),"",B141+N(C141)+ROW()/10000000)</f>
        <v/>
      </c>
      <c r="N141">
        <f>IF(AND(F141="Done",M141&lt;&gt;""),IF(COUNTIFS(Appointments!$D$6:$D$2005,D141,Appointments!$F$6:$F$2005,"Done",Appointments!$M$6:$M$2005,"&gt;"&amp;M141)=0,1,0),0)</f>
        <v/>
      </c>
      <c r="O141">
        <f>IF(AND(F141="Booked",M141&lt;&gt;"",N(B141)&gt;=TODAY()),IF(COUNTIFS(Appointments!$D$6:$D$2005,D141,Appointments!$F$6:$F$2005,"Booked",Appointments!$B$6:$B$2005,"&gt;="&amp;TODAY(),Appointments!$M$6:$M$2005,"&lt;"&amp;M141)=0,1,0),0)</f>
        <v/>
      </c>
    </row>
    <row r="142">
      <c r="A142" s="1" t="n"/>
      <c r="B142" s="30" t="n">
        <v>46058</v>
      </c>
      <c r="C142" s="31" t="n">
        <v>0.4930555555555556</v>
      </c>
      <c r="D142" s="32" t="inlineStr">
        <is>
          <t>Noah Taylor</t>
        </is>
      </c>
      <c r="E142" s="32" t="inlineStr">
        <is>
          <t>Kids haircut</t>
        </is>
      </c>
      <c r="F142" s="33" t="inlineStr">
        <is>
          <t>Done</t>
        </is>
      </c>
      <c r="G142" s="27">
        <f>IF(E142="","",MAX(0,IFERROR(INDEX(Services!$C$6:$C$35,MATCH(E142,Services!$B$6:$B$35,0)),0)-N(H142)))</f>
        <v/>
      </c>
      <c r="H142" s="34" t="n"/>
      <c r="I142" s="34" t="n">
        <v>20</v>
      </c>
      <c r="J142" s="33" t="inlineStr">
        <is>
          <t>Card</t>
        </is>
      </c>
      <c r="K142" s="28">
        <f>IF(OR(B142="",F142&lt;&gt;"Done",J142="Package"),"",IF(N(G142)-N(I142)&gt;0,N(G142)-N(I142),""))</f>
        <v/>
      </c>
      <c r="L142" s="32" t="n"/>
      <c r="M142" s="1">
        <f>IF(OR(B142="",D142="",F142="Cancelled"),"",B142+N(C142)+ROW()/10000000)</f>
        <v/>
      </c>
      <c r="N142">
        <f>IF(AND(F142="Done",M142&lt;&gt;""),IF(COUNTIFS(Appointments!$D$6:$D$2005,D142,Appointments!$F$6:$F$2005,"Done",Appointments!$M$6:$M$2005,"&gt;"&amp;M142)=0,1,0),0)</f>
        <v/>
      </c>
      <c r="O142">
        <f>IF(AND(F142="Booked",M142&lt;&gt;"",N(B142)&gt;=TODAY()),IF(COUNTIFS(Appointments!$D$6:$D$2005,D142,Appointments!$F$6:$F$2005,"Booked",Appointments!$B$6:$B$2005,"&gt;="&amp;TODAY(),Appointments!$M$6:$M$2005,"&lt;"&amp;M142)=0,1,0),0)</f>
        <v/>
      </c>
    </row>
    <row r="143">
      <c r="A143" s="1" t="n"/>
      <c r="B143" s="30" t="n">
        <v>46058</v>
      </c>
      <c r="C143" s="31" t="n">
        <v>0.5208333333333334</v>
      </c>
      <c r="D143" s="32" t="inlineStr">
        <is>
          <t>Noah Taylor</t>
        </is>
      </c>
      <c r="E143" s="32" t="inlineStr">
        <is>
          <t>Kids haircut</t>
        </is>
      </c>
      <c r="F143" s="33" t="inlineStr">
        <is>
          <t>Done</t>
        </is>
      </c>
      <c r="G143" s="27">
        <f>IF(E143="","",MAX(0,IFERROR(INDEX(Services!$C$6:$C$35,MATCH(E143,Services!$B$6:$B$35,0)),0)-N(H143)))</f>
        <v/>
      </c>
      <c r="H143" s="34" t="n"/>
      <c r="I143" s="34" t="n">
        <v>20</v>
      </c>
      <c r="J143" s="33" t="inlineStr">
        <is>
          <t>Card</t>
        </is>
      </c>
      <c r="K143" s="28">
        <f>IF(OR(B143="",F143&lt;&gt;"Done",J143="Package"),"",IF(N(G143)-N(I143)&gt;0,N(G143)-N(I143),""))</f>
        <v/>
      </c>
      <c r="L143" s="32" t="n"/>
      <c r="M143" s="1">
        <f>IF(OR(B143="",D143="",F143="Cancelled"),"",B143+N(C143)+ROW()/10000000)</f>
        <v/>
      </c>
      <c r="N143">
        <f>IF(AND(F143="Done",M143&lt;&gt;""),IF(COUNTIFS(Appointments!$D$6:$D$2005,D143,Appointments!$F$6:$F$2005,"Done",Appointments!$M$6:$M$2005,"&gt;"&amp;M143)=0,1,0),0)</f>
        <v/>
      </c>
      <c r="O143">
        <f>IF(AND(F143="Booked",M143&lt;&gt;"",N(B143)&gt;=TODAY()),IF(COUNTIFS(Appointments!$D$6:$D$2005,D143,Appointments!$F$6:$F$2005,"Booked",Appointments!$B$6:$B$2005,"&gt;="&amp;TODAY(),Appointments!$M$6:$M$2005,"&lt;"&amp;M143)=0,1,0),0)</f>
        <v/>
      </c>
    </row>
    <row r="144">
      <c r="A144" s="1" t="n"/>
      <c r="B144" s="30" t="n">
        <v>46059</v>
      </c>
      <c r="C144" s="31" t="n">
        <v>0.375</v>
      </c>
      <c r="D144" s="32" t="inlineStr">
        <is>
          <t>Ella Kelly</t>
        </is>
      </c>
      <c r="E144" s="32" t="inlineStr">
        <is>
          <t>Treatment</t>
        </is>
      </c>
      <c r="F144" s="33" t="inlineStr">
        <is>
          <t>Done</t>
        </is>
      </c>
      <c r="G144" s="27">
        <f>IF(E144="","",MAX(0,IFERROR(INDEX(Services!$C$6:$C$35,MATCH(E144,Services!$B$6:$B$35,0)),0)-N(H144)))</f>
        <v/>
      </c>
      <c r="H144" s="34" t="n"/>
      <c r="I144" s="34" t="n">
        <v>30</v>
      </c>
      <c r="J144" s="33" t="inlineStr">
        <is>
          <t>Card</t>
        </is>
      </c>
      <c r="K144" s="28">
        <f>IF(OR(B144="",F144&lt;&gt;"Done",J144="Package"),"",IF(N(G144)-N(I144)&gt;0,N(G144)-N(I144),""))</f>
        <v/>
      </c>
      <c r="L144" s="32" t="n"/>
      <c r="M144" s="1">
        <f>IF(OR(B144="",D144="",F144="Cancelled"),"",B144+N(C144)+ROW()/10000000)</f>
        <v/>
      </c>
      <c r="N144">
        <f>IF(AND(F144="Done",M144&lt;&gt;""),IF(COUNTIFS(Appointments!$D$6:$D$2005,D144,Appointments!$F$6:$F$2005,"Done",Appointments!$M$6:$M$2005,"&gt;"&amp;M144)=0,1,0),0)</f>
        <v/>
      </c>
      <c r="O144">
        <f>IF(AND(F144="Booked",M144&lt;&gt;"",N(B144)&gt;=TODAY()),IF(COUNTIFS(Appointments!$D$6:$D$2005,D144,Appointments!$F$6:$F$2005,"Booked",Appointments!$B$6:$B$2005,"&gt;="&amp;TODAY(),Appointments!$M$6:$M$2005,"&lt;"&amp;M144)=0,1,0),0)</f>
        <v/>
      </c>
    </row>
    <row r="145">
      <c r="A145" s="1" t="n"/>
      <c r="B145" s="30" t="n">
        <v>46059</v>
      </c>
      <c r="C145" s="31" t="n">
        <v>0.4027777777777778</v>
      </c>
      <c r="D145" s="32" t="inlineStr">
        <is>
          <t>Luke Hall</t>
        </is>
      </c>
      <c r="E145" s="32" t="inlineStr">
        <is>
          <t>Men's haircut</t>
        </is>
      </c>
      <c r="F145" s="33" t="inlineStr">
        <is>
          <t>Done</t>
        </is>
      </c>
      <c r="G145" s="27">
        <f>IF(E145="","",MAX(0,IFERROR(INDEX(Services!$C$6:$C$35,MATCH(E145,Services!$B$6:$B$35,0)),0)-N(H145)))</f>
        <v/>
      </c>
      <c r="H145" s="34" t="n"/>
      <c r="I145" s="34" t="n">
        <v>30</v>
      </c>
      <c r="J145" s="33" t="inlineStr">
        <is>
          <t>Card</t>
        </is>
      </c>
      <c r="K145" s="28">
        <f>IF(OR(B145="",F145&lt;&gt;"Done",J145="Package"),"",IF(N(G145)-N(I145)&gt;0,N(G145)-N(I145),""))</f>
        <v/>
      </c>
      <c r="L145" s="32" t="n"/>
      <c r="M145" s="1">
        <f>IF(OR(B145="",D145="",F145="Cancelled"),"",B145+N(C145)+ROW()/10000000)</f>
        <v/>
      </c>
      <c r="N145">
        <f>IF(AND(F145="Done",M145&lt;&gt;""),IF(COUNTIFS(Appointments!$D$6:$D$2005,D145,Appointments!$F$6:$F$2005,"Done",Appointments!$M$6:$M$2005,"&gt;"&amp;M145)=0,1,0),0)</f>
        <v/>
      </c>
      <c r="O145">
        <f>IF(AND(F145="Booked",M145&lt;&gt;"",N(B145)&gt;=TODAY()),IF(COUNTIFS(Appointments!$D$6:$D$2005,D145,Appointments!$F$6:$F$2005,"Booked",Appointments!$B$6:$B$2005,"&gt;="&amp;TODAY(),Appointments!$M$6:$M$2005,"&lt;"&amp;M145)=0,1,0),0)</f>
        <v/>
      </c>
    </row>
    <row r="146">
      <c r="A146" s="1" t="n"/>
      <c r="B146" s="30" t="n">
        <v>46059</v>
      </c>
      <c r="C146" s="31" t="n">
        <v>0.4305555555555556</v>
      </c>
      <c r="D146" s="32" t="inlineStr">
        <is>
          <t>Luke Lewis</t>
        </is>
      </c>
      <c r="E146" s="32" t="inlineStr">
        <is>
          <t>Men's haircut</t>
        </is>
      </c>
      <c r="F146" s="33" t="inlineStr">
        <is>
          <t>Done</t>
        </is>
      </c>
      <c r="G146" s="27">
        <f>IF(E146="","",MAX(0,IFERROR(INDEX(Services!$C$6:$C$35,MATCH(E146,Services!$B$6:$B$35,0)),0)-N(H146)))</f>
        <v/>
      </c>
      <c r="H146" s="34" t="n"/>
      <c r="I146" s="34" t="n">
        <v>30</v>
      </c>
      <c r="J146" s="33" t="inlineStr">
        <is>
          <t>Cash</t>
        </is>
      </c>
      <c r="K146" s="28">
        <f>IF(OR(B146="",F146&lt;&gt;"Done",J146="Package"),"",IF(N(G146)-N(I146)&gt;0,N(G146)-N(I146),""))</f>
        <v/>
      </c>
      <c r="L146" s="32" t="n"/>
      <c r="M146" s="1">
        <f>IF(OR(B146="",D146="",F146="Cancelled"),"",B146+N(C146)+ROW()/10000000)</f>
        <v/>
      </c>
      <c r="N146">
        <f>IF(AND(F146="Done",M146&lt;&gt;""),IF(COUNTIFS(Appointments!$D$6:$D$2005,D146,Appointments!$F$6:$F$2005,"Done",Appointments!$M$6:$M$2005,"&gt;"&amp;M146)=0,1,0),0)</f>
        <v/>
      </c>
      <c r="O146">
        <f>IF(AND(F146="Booked",M146&lt;&gt;"",N(B146)&gt;=TODAY()),IF(COUNTIFS(Appointments!$D$6:$D$2005,D146,Appointments!$F$6:$F$2005,"Booked",Appointments!$B$6:$B$2005,"&gt;="&amp;TODAY(),Appointments!$M$6:$M$2005,"&lt;"&amp;M146)=0,1,0),0)</f>
        <v/>
      </c>
    </row>
    <row r="147">
      <c r="A147" s="1" t="n"/>
      <c r="B147" s="30" t="n">
        <v>46059</v>
      </c>
      <c r="C147" s="31" t="n">
        <v>0.4583333333333333</v>
      </c>
      <c r="D147" s="32" t="inlineStr">
        <is>
          <t>Ruby Shaw</t>
        </is>
      </c>
      <c r="E147" s="32" t="inlineStr">
        <is>
          <t>Women's haircut</t>
        </is>
      </c>
      <c r="F147" s="33" t="inlineStr">
        <is>
          <t>Done</t>
        </is>
      </c>
      <c r="G147" s="27">
        <f>IF(E147="","",MAX(0,IFERROR(INDEX(Services!$C$6:$C$35,MATCH(E147,Services!$B$6:$B$35,0)),0)-N(H147)))</f>
        <v/>
      </c>
      <c r="H147" s="34" t="n"/>
      <c r="I147" s="34" t="n">
        <v>55</v>
      </c>
      <c r="J147" s="33" t="inlineStr">
        <is>
          <t>Card</t>
        </is>
      </c>
      <c r="K147" s="28">
        <f>IF(OR(B147="",F147&lt;&gt;"Done",J147="Package"),"",IF(N(G147)-N(I147)&gt;0,N(G147)-N(I147),""))</f>
        <v/>
      </c>
      <c r="L147" s="32" t="n"/>
      <c r="M147" s="1">
        <f>IF(OR(B147="",D147="",F147="Cancelled"),"",B147+N(C147)+ROW()/10000000)</f>
        <v/>
      </c>
      <c r="N147">
        <f>IF(AND(F147="Done",M147&lt;&gt;""),IF(COUNTIFS(Appointments!$D$6:$D$2005,D147,Appointments!$F$6:$F$2005,"Done",Appointments!$M$6:$M$2005,"&gt;"&amp;M147)=0,1,0),0)</f>
        <v/>
      </c>
      <c r="O147">
        <f>IF(AND(F147="Booked",M147&lt;&gt;"",N(B147)&gt;=TODAY()),IF(COUNTIFS(Appointments!$D$6:$D$2005,D147,Appointments!$F$6:$F$2005,"Booked",Appointments!$B$6:$B$2005,"&gt;="&amp;TODAY(),Appointments!$M$6:$M$2005,"&lt;"&amp;M147)=0,1,0),0)</f>
        <v/>
      </c>
    </row>
    <row r="148">
      <c r="A148" s="1" t="n"/>
      <c r="B148" s="30" t="n">
        <v>46060</v>
      </c>
      <c r="C148" s="31" t="n">
        <v>0.375</v>
      </c>
      <c r="D148" s="32" t="inlineStr">
        <is>
          <t>Chris Cox</t>
        </is>
      </c>
      <c r="E148" s="32" t="inlineStr">
        <is>
          <t>Men's haircut</t>
        </is>
      </c>
      <c r="F148" s="33" t="inlineStr">
        <is>
          <t>Done</t>
        </is>
      </c>
      <c r="G148" s="27">
        <f>IF(E148="","",MAX(0,IFERROR(INDEX(Services!$C$6:$C$35,MATCH(E148,Services!$B$6:$B$35,0)),0)-N(H148)))</f>
        <v/>
      </c>
      <c r="H148" s="34" t="n"/>
      <c r="I148" s="34" t="n">
        <v>30</v>
      </c>
      <c r="J148" s="33" t="inlineStr">
        <is>
          <t>Card</t>
        </is>
      </c>
      <c r="K148" s="28">
        <f>IF(OR(B148="",F148&lt;&gt;"Done",J148="Package"),"",IF(N(G148)-N(I148)&gt;0,N(G148)-N(I148),""))</f>
        <v/>
      </c>
      <c r="L148" s="32" t="n"/>
      <c r="M148" s="1">
        <f>IF(OR(B148="",D148="",F148="Cancelled"),"",B148+N(C148)+ROW()/10000000)</f>
        <v/>
      </c>
      <c r="N148">
        <f>IF(AND(F148="Done",M148&lt;&gt;""),IF(COUNTIFS(Appointments!$D$6:$D$2005,D148,Appointments!$F$6:$F$2005,"Done",Appointments!$M$6:$M$2005,"&gt;"&amp;M148)=0,1,0),0)</f>
        <v/>
      </c>
      <c r="O148">
        <f>IF(AND(F148="Booked",M148&lt;&gt;"",N(B148)&gt;=TODAY()),IF(COUNTIFS(Appointments!$D$6:$D$2005,D148,Appointments!$F$6:$F$2005,"Booked",Appointments!$B$6:$B$2005,"&gt;="&amp;TODAY(),Appointments!$M$6:$M$2005,"&lt;"&amp;M148)=0,1,0),0)</f>
        <v/>
      </c>
    </row>
    <row r="149">
      <c r="A149" s="1" t="n"/>
      <c r="B149" s="30" t="n">
        <v>46060</v>
      </c>
      <c r="C149" s="31" t="n">
        <v>0.4027777777777778</v>
      </c>
      <c r="D149" s="32" t="inlineStr">
        <is>
          <t>Holly Shaw</t>
        </is>
      </c>
      <c r="E149" s="32" t="inlineStr">
        <is>
          <t>Women's haircut</t>
        </is>
      </c>
      <c r="F149" s="33" t="inlineStr">
        <is>
          <t>Done</t>
        </is>
      </c>
      <c r="G149" s="27">
        <f>IF(E149="","",MAX(0,IFERROR(INDEX(Services!$C$6:$C$35,MATCH(E149,Services!$B$6:$B$35,0)),0)-N(H149)))</f>
        <v/>
      </c>
      <c r="H149" s="34" t="n"/>
      <c r="I149" s="34" t="n">
        <v>55</v>
      </c>
      <c r="J149" s="33" t="inlineStr">
        <is>
          <t>Card</t>
        </is>
      </c>
      <c r="K149" s="28">
        <f>IF(OR(B149="",F149&lt;&gt;"Done",J149="Package"),"",IF(N(G149)-N(I149)&gt;0,N(G149)-N(I149),""))</f>
        <v/>
      </c>
      <c r="L149" s="32" t="n"/>
      <c r="M149" s="1">
        <f>IF(OR(B149="",D149="",F149="Cancelled"),"",B149+N(C149)+ROW()/10000000)</f>
        <v/>
      </c>
      <c r="N149">
        <f>IF(AND(F149="Done",M149&lt;&gt;""),IF(COUNTIFS(Appointments!$D$6:$D$2005,D149,Appointments!$F$6:$F$2005,"Done",Appointments!$M$6:$M$2005,"&gt;"&amp;M149)=0,1,0),0)</f>
        <v/>
      </c>
      <c r="O149">
        <f>IF(AND(F149="Booked",M149&lt;&gt;"",N(B149)&gt;=TODAY()),IF(COUNTIFS(Appointments!$D$6:$D$2005,D149,Appointments!$F$6:$F$2005,"Booked",Appointments!$B$6:$B$2005,"&gt;="&amp;TODAY(),Appointments!$M$6:$M$2005,"&lt;"&amp;M149)=0,1,0),0)</f>
        <v/>
      </c>
    </row>
    <row r="150">
      <c r="A150" s="1" t="n"/>
      <c r="B150" s="30" t="n">
        <v>46060</v>
      </c>
      <c r="C150" s="31" t="n">
        <v>0.4513888888888889</v>
      </c>
      <c r="D150" s="32" t="inlineStr">
        <is>
          <t>Owen Morgan</t>
        </is>
      </c>
      <c r="E150" s="32" t="inlineStr">
        <is>
          <t>Men's haircut</t>
        </is>
      </c>
      <c r="F150" s="33" t="inlineStr">
        <is>
          <t>Done</t>
        </is>
      </c>
      <c r="G150" s="27">
        <f>IF(E150="","",MAX(0,IFERROR(INDEX(Services!$C$6:$C$35,MATCH(E150,Services!$B$6:$B$35,0)),0)-N(H150)))</f>
        <v/>
      </c>
      <c r="H150" s="34" t="n"/>
      <c r="I150" s="34" t="n">
        <v>30</v>
      </c>
      <c r="J150" s="33" t="inlineStr">
        <is>
          <t>Cash</t>
        </is>
      </c>
      <c r="K150" s="28">
        <f>IF(OR(B150="",F150&lt;&gt;"Done",J150="Package"),"",IF(N(G150)-N(I150)&gt;0,N(G150)-N(I150),""))</f>
        <v/>
      </c>
      <c r="L150" s="32" t="n"/>
      <c r="M150" s="1">
        <f>IF(OR(B150="",D150="",F150="Cancelled"),"",B150+N(C150)+ROW()/10000000)</f>
        <v/>
      </c>
      <c r="N150">
        <f>IF(AND(F150="Done",M150&lt;&gt;""),IF(COUNTIFS(Appointments!$D$6:$D$2005,D150,Appointments!$F$6:$F$2005,"Done",Appointments!$M$6:$M$2005,"&gt;"&amp;M150)=0,1,0),0)</f>
        <v/>
      </c>
      <c r="O150">
        <f>IF(AND(F150="Booked",M150&lt;&gt;"",N(B150)&gt;=TODAY()),IF(COUNTIFS(Appointments!$D$6:$D$2005,D150,Appointments!$F$6:$F$2005,"Booked",Appointments!$B$6:$B$2005,"&gt;="&amp;TODAY(),Appointments!$M$6:$M$2005,"&lt;"&amp;M150)=0,1,0),0)</f>
        <v/>
      </c>
    </row>
    <row r="151">
      <c r="A151" s="1" t="n"/>
      <c r="B151" s="30" t="n">
        <v>46060</v>
      </c>
      <c r="C151" s="31" t="n">
        <v>0.4791666666666667</v>
      </c>
      <c r="D151" s="32" t="inlineStr">
        <is>
          <t>Pete Young</t>
        </is>
      </c>
      <c r="E151" s="32" t="inlineStr">
        <is>
          <t>Men's haircut</t>
        </is>
      </c>
      <c r="F151" s="33" t="inlineStr">
        <is>
          <t>Done</t>
        </is>
      </c>
      <c r="G151" s="27">
        <f>IF(E151="","",MAX(0,IFERROR(INDEX(Services!$C$6:$C$35,MATCH(E151,Services!$B$6:$B$35,0)),0)-N(H151)))</f>
        <v/>
      </c>
      <c r="H151" s="34" t="n"/>
      <c r="I151" s="34" t="n">
        <v>30</v>
      </c>
      <c r="J151" s="33" t="inlineStr">
        <is>
          <t>App</t>
        </is>
      </c>
      <c r="K151" s="28">
        <f>IF(OR(B151="",F151&lt;&gt;"Done",J151="Package"),"",IF(N(G151)-N(I151)&gt;0,N(G151)-N(I151),""))</f>
        <v/>
      </c>
      <c r="L151" s="32" t="n"/>
      <c r="M151" s="1">
        <f>IF(OR(B151="",D151="",F151="Cancelled"),"",B151+N(C151)+ROW()/10000000)</f>
        <v/>
      </c>
      <c r="N151">
        <f>IF(AND(F151="Done",M151&lt;&gt;""),IF(COUNTIFS(Appointments!$D$6:$D$2005,D151,Appointments!$F$6:$F$2005,"Done",Appointments!$M$6:$M$2005,"&gt;"&amp;M151)=0,1,0),0)</f>
        <v/>
      </c>
      <c r="O151">
        <f>IF(AND(F151="Booked",M151&lt;&gt;"",N(B151)&gt;=TODAY()),IF(COUNTIFS(Appointments!$D$6:$D$2005,D151,Appointments!$F$6:$F$2005,"Booked",Appointments!$B$6:$B$2005,"&gt;="&amp;TODAY(),Appointments!$M$6:$M$2005,"&lt;"&amp;M151)=0,1,0),0)</f>
        <v/>
      </c>
    </row>
    <row r="152">
      <c r="A152" s="1" t="n"/>
      <c r="B152" s="30" t="n">
        <v>46063</v>
      </c>
      <c r="C152" s="31" t="n">
        <v>0.375</v>
      </c>
      <c r="D152" s="32" t="inlineStr">
        <is>
          <t>Amy Kelly</t>
        </is>
      </c>
      <c r="E152" s="32" t="inlineStr">
        <is>
          <t>Treatment</t>
        </is>
      </c>
      <c r="F152" s="33" t="inlineStr">
        <is>
          <t>Done</t>
        </is>
      </c>
      <c r="G152" s="27">
        <f>IF(E152="","",MAX(0,IFERROR(INDEX(Services!$C$6:$C$35,MATCH(E152,Services!$B$6:$B$35,0)),0)-N(H152)))</f>
        <v/>
      </c>
      <c r="H152" s="34" t="n"/>
      <c r="I152" s="34" t="n">
        <v>30</v>
      </c>
      <c r="J152" s="33" t="inlineStr">
        <is>
          <t>Cash</t>
        </is>
      </c>
      <c r="K152" s="28">
        <f>IF(OR(B152="",F152&lt;&gt;"Done",J152="Package"),"",IF(N(G152)-N(I152)&gt;0,N(G152)-N(I152),""))</f>
        <v/>
      </c>
      <c r="L152" s="32" t="n"/>
      <c r="M152" s="1">
        <f>IF(OR(B152="",D152="",F152="Cancelled"),"",B152+N(C152)+ROW()/10000000)</f>
        <v/>
      </c>
      <c r="N152">
        <f>IF(AND(F152="Done",M152&lt;&gt;""),IF(COUNTIFS(Appointments!$D$6:$D$2005,D152,Appointments!$F$6:$F$2005,"Done",Appointments!$M$6:$M$2005,"&gt;"&amp;M152)=0,1,0),0)</f>
        <v/>
      </c>
      <c r="O152">
        <f>IF(AND(F152="Booked",M152&lt;&gt;"",N(B152)&gt;=TODAY()),IF(COUNTIFS(Appointments!$D$6:$D$2005,D152,Appointments!$F$6:$F$2005,"Booked",Appointments!$B$6:$B$2005,"&gt;="&amp;TODAY(),Appointments!$M$6:$M$2005,"&lt;"&amp;M152)=0,1,0),0)</f>
        <v/>
      </c>
    </row>
    <row r="153">
      <c r="A153" s="1" t="n"/>
      <c r="B153" s="30" t="n">
        <v>46063</v>
      </c>
      <c r="C153" s="31" t="n">
        <v>0.4027777777777778</v>
      </c>
      <c r="D153" s="32" t="inlineStr">
        <is>
          <t>Finn Wood</t>
        </is>
      </c>
      <c r="E153" s="32" t="inlineStr">
        <is>
          <t>Men's haircut</t>
        </is>
      </c>
      <c r="F153" s="33" t="inlineStr">
        <is>
          <t>Done</t>
        </is>
      </c>
      <c r="G153" s="27">
        <f>IF(E153="","",MAX(0,IFERROR(INDEX(Services!$C$6:$C$35,MATCH(E153,Services!$B$6:$B$35,0)),0)-N(H153)))</f>
        <v/>
      </c>
      <c r="H153" s="34" t="n"/>
      <c r="I153" s="34" t="n">
        <v>30</v>
      </c>
      <c r="J153" s="33" t="inlineStr">
        <is>
          <t>Cash</t>
        </is>
      </c>
      <c r="K153" s="28">
        <f>IF(OR(B153="",F153&lt;&gt;"Done",J153="Package"),"",IF(N(G153)-N(I153)&gt;0,N(G153)-N(I153),""))</f>
        <v/>
      </c>
      <c r="L153" s="32" t="n"/>
      <c r="M153" s="1">
        <f>IF(OR(B153="",D153="",F153="Cancelled"),"",B153+N(C153)+ROW()/10000000)</f>
        <v/>
      </c>
      <c r="N153">
        <f>IF(AND(F153="Done",M153&lt;&gt;""),IF(COUNTIFS(Appointments!$D$6:$D$2005,D153,Appointments!$F$6:$F$2005,"Done",Appointments!$M$6:$M$2005,"&gt;"&amp;M153)=0,1,0),0)</f>
        <v/>
      </c>
      <c r="O153">
        <f>IF(AND(F153="Booked",M153&lt;&gt;"",N(B153)&gt;=TODAY()),IF(COUNTIFS(Appointments!$D$6:$D$2005,D153,Appointments!$F$6:$F$2005,"Booked",Appointments!$B$6:$B$2005,"&gt;="&amp;TODAY(),Appointments!$M$6:$M$2005,"&lt;"&amp;M153)=0,1,0),0)</f>
        <v/>
      </c>
    </row>
    <row r="154">
      <c r="A154" s="1" t="n"/>
      <c r="B154" s="30" t="n">
        <v>46063</v>
      </c>
      <c r="C154" s="31" t="n">
        <v>0.4305555555555556</v>
      </c>
      <c r="D154" s="32" t="inlineStr">
        <is>
          <t>Fiona Fox</t>
        </is>
      </c>
      <c r="E154" s="32" t="inlineStr">
        <is>
          <t>Women's haircut</t>
        </is>
      </c>
      <c r="F154" s="33" t="inlineStr">
        <is>
          <t>Done</t>
        </is>
      </c>
      <c r="G154" s="27">
        <f>IF(E154="","",MAX(0,IFERROR(INDEX(Services!$C$6:$C$35,MATCH(E154,Services!$B$6:$B$35,0)),0)-N(H154)))</f>
        <v/>
      </c>
      <c r="H154" s="34" t="n"/>
      <c r="I154" s="34" t="n">
        <v>55</v>
      </c>
      <c r="J154" s="33" t="inlineStr">
        <is>
          <t>Card</t>
        </is>
      </c>
      <c r="K154" s="28">
        <f>IF(OR(B154="",F154&lt;&gt;"Done",J154="Package"),"",IF(N(G154)-N(I154)&gt;0,N(G154)-N(I154),""))</f>
        <v/>
      </c>
      <c r="L154" s="32" t="n"/>
      <c r="M154" s="1">
        <f>IF(OR(B154="",D154="",F154="Cancelled"),"",B154+N(C154)+ROW()/10000000)</f>
        <v/>
      </c>
      <c r="N154">
        <f>IF(AND(F154="Done",M154&lt;&gt;""),IF(COUNTIFS(Appointments!$D$6:$D$2005,D154,Appointments!$F$6:$F$2005,"Done",Appointments!$M$6:$M$2005,"&gt;"&amp;M154)=0,1,0),0)</f>
        <v/>
      </c>
      <c r="O154">
        <f>IF(AND(F154="Booked",M154&lt;&gt;"",N(B154)&gt;=TODAY()),IF(COUNTIFS(Appointments!$D$6:$D$2005,D154,Appointments!$F$6:$F$2005,"Booked",Appointments!$B$6:$B$2005,"&gt;="&amp;TODAY(),Appointments!$M$6:$M$2005,"&lt;"&amp;M154)=0,1,0),0)</f>
        <v/>
      </c>
    </row>
    <row r="155">
      <c r="A155" s="1" t="n"/>
      <c r="B155" s="30" t="n">
        <v>46063</v>
      </c>
      <c r="C155" s="31" t="n">
        <v>0.4791666666666667</v>
      </c>
      <c r="D155" s="32" t="inlineStr">
        <is>
          <t>George Kelly</t>
        </is>
      </c>
      <c r="E155" s="32" t="inlineStr">
        <is>
          <t>Men's haircut</t>
        </is>
      </c>
      <c r="F155" s="33" t="inlineStr">
        <is>
          <t>Done</t>
        </is>
      </c>
      <c r="G155" s="27">
        <f>IF(E155="","",MAX(0,IFERROR(INDEX(Services!$C$6:$C$35,MATCH(E155,Services!$B$6:$B$35,0)),0)-N(H155)))</f>
        <v/>
      </c>
      <c r="H155" s="34" t="n"/>
      <c r="I155" s="34" t="n">
        <v>30</v>
      </c>
      <c r="J155" s="33" t="inlineStr">
        <is>
          <t>Cash</t>
        </is>
      </c>
      <c r="K155" s="28">
        <f>IF(OR(B155="",F155&lt;&gt;"Done",J155="Package"),"",IF(N(G155)-N(I155)&gt;0,N(G155)-N(I155),""))</f>
        <v/>
      </c>
      <c r="L155" s="32" t="n"/>
      <c r="M155" s="1">
        <f>IF(OR(B155="",D155="",F155="Cancelled"),"",B155+N(C155)+ROW()/10000000)</f>
        <v/>
      </c>
      <c r="N155">
        <f>IF(AND(F155="Done",M155&lt;&gt;""),IF(COUNTIFS(Appointments!$D$6:$D$2005,D155,Appointments!$F$6:$F$2005,"Done",Appointments!$M$6:$M$2005,"&gt;"&amp;M155)=0,1,0),0)</f>
        <v/>
      </c>
      <c r="O155">
        <f>IF(AND(F155="Booked",M155&lt;&gt;"",N(B155)&gt;=TODAY()),IF(COUNTIFS(Appointments!$D$6:$D$2005,D155,Appointments!$F$6:$F$2005,"Booked",Appointments!$B$6:$B$2005,"&gt;="&amp;TODAY(),Appointments!$M$6:$M$2005,"&lt;"&amp;M155)=0,1,0),0)</f>
        <v/>
      </c>
    </row>
    <row r="156">
      <c r="A156" s="1" t="n"/>
      <c r="B156" s="30" t="n">
        <v>46063</v>
      </c>
      <c r="C156" s="31" t="n">
        <v>0.5069444444444444</v>
      </c>
      <c r="D156" s="32" t="inlineStr">
        <is>
          <t>Hannah Ellis</t>
        </is>
      </c>
      <c r="E156" s="32" t="inlineStr">
        <is>
          <t>Women's haircut</t>
        </is>
      </c>
      <c r="F156" s="33" t="inlineStr">
        <is>
          <t>Done</t>
        </is>
      </c>
      <c r="G156" s="27">
        <f>IF(E156="","",MAX(0,IFERROR(INDEX(Services!$C$6:$C$35,MATCH(E156,Services!$B$6:$B$35,0)),0)-N(H156)))</f>
        <v/>
      </c>
      <c r="H156" s="34" t="n"/>
      <c r="I156" s="34" t="n">
        <v>55</v>
      </c>
      <c r="J156" s="33" t="inlineStr">
        <is>
          <t>Card</t>
        </is>
      </c>
      <c r="K156" s="28">
        <f>IF(OR(B156="",F156&lt;&gt;"Done",J156="Package"),"",IF(N(G156)-N(I156)&gt;0,N(G156)-N(I156),""))</f>
        <v/>
      </c>
      <c r="L156" s="32" t="n"/>
      <c r="M156" s="1">
        <f>IF(OR(B156="",D156="",F156="Cancelled"),"",B156+N(C156)+ROW()/10000000)</f>
        <v/>
      </c>
      <c r="N156">
        <f>IF(AND(F156="Done",M156&lt;&gt;""),IF(COUNTIFS(Appointments!$D$6:$D$2005,D156,Appointments!$F$6:$F$2005,"Done",Appointments!$M$6:$M$2005,"&gt;"&amp;M156)=0,1,0),0)</f>
        <v/>
      </c>
      <c r="O156">
        <f>IF(AND(F156="Booked",M156&lt;&gt;"",N(B156)&gt;=TODAY()),IF(COUNTIFS(Appointments!$D$6:$D$2005,D156,Appointments!$F$6:$F$2005,"Booked",Appointments!$B$6:$B$2005,"&gt;="&amp;TODAY(),Appointments!$M$6:$M$2005,"&lt;"&amp;M156)=0,1,0),0)</f>
        <v/>
      </c>
    </row>
    <row r="157">
      <c r="A157" s="1" t="n"/>
      <c r="B157" s="30" t="n">
        <v>46063</v>
      </c>
      <c r="C157" s="31" t="n">
        <v>0.5555555555555556</v>
      </c>
      <c r="D157" s="32" t="inlineStr">
        <is>
          <t>Julia Young</t>
        </is>
      </c>
      <c r="E157" s="32" t="inlineStr">
        <is>
          <t>Women's haircut</t>
        </is>
      </c>
      <c r="F157" s="33" t="inlineStr">
        <is>
          <t>Done</t>
        </is>
      </c>
      <c r="G157" s="27">
        <f>IF(E157="","",MAX(0,IFERROR(INDEX(Services!$C$6:$C$35,MATCH(E157,Services!$B$6:$B$35,0)),0)-N(H157)))</f>
        <v/>
      </c>
      <c r="H157" s="34" t="n">
        <v>10</v>
      </c>
      <c r="I157" s="34" t="n">
        <v>45</v>
      </c>
      <c r="J157" s="33" t="inlineStr">
        <is>
          <t>Card</t>
        </is>
      </c>
      <c r="K157" s="28">
        <f>IF(OR(B157="",F157&lt;&gt;"Done",J157="Package"),"",IF(N(G157)-N(I157)&gt;0,N(G157)-N(I157),""))</f>
        <v/>
      </c>
      <c r="L157" s="32" t="inlineStr">
        <is>
          <t>Friends and family</t>
        </is>
      </c>
      <c r="M157" s="1">
        <f>IF(OR(B157="",D157="",F157="Cancelled"),"",B157+N(C157)+ROW()/10000000)</f>
        <v/>
      </c>
      <c r="N157">
        <f>IF(AND(F157="Done",M157&lt;&gt;""),IF(COUNTIFS(Appointments!$D$6:$D$2005,D157,Appointments!$F$6:$F$2005,"Done",Appointments!$M$6:$M$2005,"&gt;"&amp;M157)=0,1,0),0)</f>
        <v/>
      </c>
      <c r="O157">
        <f>IF(AND(F157="Booked",M157&lt;&gt;"",N(B157)&gt;=TODAY()),IF(COUNTIFS(Appointments!$D$6:$D$2005,D157,Appointments!$F$6:$F$2005,"Booked",Appointments!$B$6:$B$2005,"&gt;="&amp;TODAY(),Appointments!$M$6:$M$2005,"&lt;"&amp;M157)=0,1,0),0)</f>
        <v/>
      </c>
    </row>
    <row r="158">
      <c r="A158" s="1" t="n"/>
      <c r="B158" s="30" t="n">
        <v>46063</v>
      </c>
      <c r="C158" s="31" t="n">
        <v>0.6041666666666666</v>
      </c>
      <c r="D158" s="32" t="inlineStr">
        <is>
          <t>Megan Morgan</t>
        </is>
      </c>
      <c r="E158" s="32" t="inlineStr">
        <is>
          <t>Blow dry</t>
        </is>
      </c>
      <c r="F158" s="33" t="inlineStr">
        <is>
          <t>Done</t>
        </is>
      </c>
      <c r="G158" s="27">
        <f>IF(E158="","",MAX(0,IFERROR(INDEX(Services!$C$6:$C$35,MATCH(E158,Services!$B$6:$B$35,0)),0)-N(H158)))</f>
        <v/>
      </c>
      <c r="H158" s="34" t="n"/>
      <c r="I158" s="34" t="n">
        <v>35</v>
      </c>
      <c r="J158" s="33" t="inlineStr">
        <is>
          <t>Cash</t>
        </is>
      </c>
      <c r="K158" s="28">
        <f>IF(OR(B158="",F158&lt;&gt;"Done",J158="Package"),"",IF(N(G158)-N(I158)&gt;0,N(G158)-N(I158),""))</f>
        <v/>
      </c>
      <c r="L158" s="32" t="n"/>
      <c r="M158" s="1">
        <f>IF(OR(B158="",D158="",F158="Cancelled"),"",B158+N(C158)+ROW()/10000000)</f>
        <v/>
      </c>
      <c r="N158">
        <f>IF(AND(F158="Done",M158&lt;&gt;""),IF(COUNTIFS(Appointments!$D$6:$D$2005,D158,Appointments!$F$6:$F$2005,"Done",Appointments!$M$6:$M$2005,"&gt;"&amp;M158)=0,1,0),0)</f>
        <v/>
      </c>
      <c r="O158">
        <f>IF(AND(F158="Booked",M158&lt;&gt;"",N(B158)&gt;=TODAY()),IF(COUNTIFS(Appointments!$D$6:$D$2005,D158,Appointments!$F$6:$F$2005,"Booked",Appointments!$B$6:$B$2005,"&gt;="&amp;TODAY(),Appointments!$M$6:$M$2005,"&lt;"&amp;M158)=0,1,0),0)</f>
        <v/>
      </c>
    </row>
    <row r="159">
      <c r="A159" s="1" t="n"/>
      <c r="B159" s="30" t="n">
        <v>46064</v>
      </c>
      <c r="C159" s="31" t="n">
        <v>0.375</v>
      </c>
      <c r="D159" s="32" t="inlineStr">
        <is>
          <t>Anna Rossi</t>
        </is>
      </c>
      <c r="E159" s="32" t="inlineStr">
        <is>
          <t>Colour</t>
        </is>
      </c>
      <c r="F159" s="33" t="inlineStr">
        <is>
          <t>Done</t>
        </is>
      </c>
      <c r="G159" s="27">
        <f>IF(E159="","",MAX(0,IFERROR(INDEX(Services!$C$6:$C$35,MATCH(E159,Services!$B$6:$B$35,0)),0)-N(H159)))</f>
        <v/>
      </c>
      <c r="H159" s="34" t="n"/>
      <c r="I159" s="34" t="n">
        <v>95</v>
      </c>
      <c r="J159" s="33" t="inlineStr">
        <is>
          <t>Card</t>
        </is>
      </c>
      <c r="K159" s="28">
        <f>IF(OR(B159="",F159&lt;&gt;"Done",J159="Package"),"",IF(N(G159)-N(I159)&gt;0,N(G159)-N(I159),""))</f>
        <v/>
      </c>
      <c r="L159" s="32" t="n"/>
      <c r="M159" s="1">
        <f>IF(OR(B159="",D159="",F159="Cancelled"),"",B159+N(C159)+ROW()/10000000)</f>
        <v/>
      </c>
      <c r="N159">
        <f>IF(AND(F159="Done",M159&lt;&gt;""),IF(COUNTIFS(Appointments!$D$6:$D$2005,D159,Appointments!$F$6:$F$2005,"Done",Appointments!$M$6:$M$2005,"&gt;"&amp;M159)=0,1,0),0)</f>
        <v/>
      </c>
      <c r="O159">
        <f>IF(AND(F159="Booked",M159&lt;&gt;"",N(B159)&gt;=TODAY()),IF(COUNTIFS(Appointments!$D$6:$D$2005,D159,Appointments!$F$6:$F$2005,"Booked",Appointments!$B$6:$B$2005,"&gt;="&amp;TODAY(),Appointments!$M$6:$M$2005,"&lt;"&amp;M159)=0,1,0),0)</f>
        <v/>
      </c>
    </row>
    <row r="160">
      <c r="A160" s="1" t="n"/>
      <c r="B160" s="30" t="n">
        <v>46064</v>
      </c>
      <c r="C160" s="31" t="n">
        <v>0.4652777777777778</v>
      </c>
      <c r="D160" s="32" t="inlineStr">
        <is>
          <t>Gina Adams</t>
        </is>
      </c>
      <c r="E160" s="32" t="inlineStr">
        <is>
          <t>Toner</t>
        </is>
      </c>
      <c r="F160" s="33" t="inlineStr">
        <is>
          <t>Done</t>
        </is>
      </c>
      <c r="G160" s="27">
        <f>IF(E160="","",MAX(0,IFERROR(INDEX(Services!$C$6:$C$35,MATCH(E160,Services!$B$6:$B$35,0)),0)-N(H160)))</f>
        <v/>
      </c>
      <c r="H160" s="34" t="n"/>
      <c r="I160" s="34" t="n">
        <v>40</v>
      </c>
      <c r="J160" s="33" t="inlineStr">
        <is>
          <t>Card</t>
        </is>
      </c>
      <c r="K160" s="28">
        <f>IF(OR(B160="",F160&lt;&gt;"Done",J160="Package"),"",IF(N(G160)-N(I160)&gt;0,N(G160)-N(I160),""))</f>
        <v/>
      </c>
      <c r="L160" s="32" t="n"/>
      <c r="M160" s="1">
        <f>IF(OR(B160="",D160="",F160="Cancelled"),"",B160+N(C160)+ROW()/10000000)</f>
        <v/>
      </c>
      <c r="N160">
        <f>IF(AND(F160="Done",M160&lt;&gt;""),IF(COUNTIFS(Appointments!$D$6:$D$2005,D160,Appointments!$F$6:$F$2005,"Done",Appointments!$M$6:$M$2005,"&gt;"&amp;M160)=0,1,0),0)</f>
        <v/>
      </c>
      <c r="O160">
        <f>IF(AND(F160="Booked",M160&lt;&gt;"",N(B160)&gt;=TODAY()),IF(COUNTIFS(Appointments!$D$6:$D$2005,D160,Appointments!$F$6:$F$2005,"Booked",Appointments!$B$6:$B$2005,"&gt;="&amp;TODAY(),Appointments!$M$6:$M$2005,"&lt;"&amp;M160)=0,1,0),0)</f>
        <v/>
      </c>
    </row>
    <row r="161">
      <c r="A161" s="1" t="n"/>
      <c r="B161" s="30" t="n">
        <v>46064</v>
      </c>
      <c r="C161" s="31" t="n">
        <v>0.4930555555555556</v>
      </c>
      <c r="D161" s="32" t="inlineStr">
        <is>
          <t>Harry Hall</t>
        </is>
      </c>
      <c r="E161" s="32" t="inlineStr">
        <is>
          <t>Men's haircut</t>
        </is>
      </c>
      <c r="F161" s="33" t="inlineStr">
        <is>
          <t>Done</t>
        </is>
      </c>
      <c r="G161" s="27">
        <f>IF(E161="","",MAX(0,IFERROR(INDEX(Services!$C$6:$C$35,MATCH(E161,Services!$B$6:$B$35,0)),0)-N(H161)))</f>
        <v/>
      </c>
      <c r="H161" s="34" t="n"/>
      <c r="I161" s="34" t="n">
        <v>30</v>
      </c>
      <c r="J161" s="33" t="inlineStr">
        <is>
          <t>Cash</t>
        </is>
      </c>
      <c r="K161" s="28">
        <f>IF(OR(B161="",F161&lt;&gt;"Done",J161="Package"),"",IF(N(G161)-N(I161)&gt;0,N(G161)-N(I161),""))</f>
        <v/>
      </c>
      <c r="L161" s="32" t="n"/>
      <c r="M161" s="1">
        <f>IF(OR(B161="",D161="",F161="Cancelled"),"",B161+N(C161)+ROW()/10000000)</f>
        <v/>
      </c>
      <c r="N161">
        <f>IF(AND(F161="Done",M161&lt;&gt;""),IF(COUNTIFS(Appointments!$D$6:$D$2005,D161,Appointments!$F$6:$F$2005,"Done",Appointments!$M$6:$M$2005,"&gt;"&amp;M161)=0,1,0),0)</f>
        <v/>
      </c>
      <c r="O161">
        <f>IF(AND(F161="Booked",M161&lt;&gt;"",N(B161)&gt;=TODAY()),IF(COUNTIFS(Appointments!$D$6:$D$2005,D161,Appointments!$F$6:$F$2005,"Booked",Appointments!$B$6:$B$2005,"&gt;="&amp;TODAY(),Appointments!$M$6:$M$2005,"&lt;"&amp;M161)=0,1,0),0)</f>
        <v/>
      </c>
    </row>
    <row r="162">
      <c r="A162" s="1" t="n"/>
      <c r="B162" s="30" t="n">
        <v>46064</v>
      </c>
      <c r="C162" s="31" t="n">
        <v>0.5208333333333334</v>
      </c>
      <c r="D162" s="32" t="inlineStr">
        <is>
          <t>Nina Baker</t>
        </is>
      </c>
      <c r="E162" s="32" t="inlineStr">
        <is>
          <t>Women's haircut</t>
        </is>
      </c>
      <c r="F162" s="33" t="inlineStr">
        <is>
          <t>Done</t>
        </is>
      </c>
      <c r="G162" s="27">
        <f>IF(E162="","",MAX(0,IFERROR(INDEX(Services!$C$6:$C$35,MATCH(E162,Services!$B$6:$B$35,0)),0)-N(H162)))</f>
        <v/>
      </c>
      <c r="H162" s="34" t="n"/>
      <c r="I162" s="34" t="n">
        <v>55</v>
      </c>
      <c r="J162" s="33" t="inlineStr">
        <is>
          <t>Card</t>
        </is>
      </c>
      <c r="K162" s="28">
        <f>IF(OR(B162="",F162&lt;&gt;"Done",J162="Package"),"",IF(N(G162)-N(I162)&gt;0,N(G162)-N(I162),""))</f>
        <v/>
      </c>
      <c r="L162" s="32" t="n"/>
      <c r="M162" s="1">
        <f>IF(OR(B162="",D162="",F162="Cancelled"),"",B162+N(C162)+ROW()/10000000)</f>
        <v/>
      </c>
      <c r="N162">
        <f>IF(AND(F162="Done",M162&lt;&gt;""),IF(COUNTIFS(Appointments!$D$6:$D$2005,D162,Appointments!$F$6:$F$2005,"Done",Appointments!$M$6:$M$2005,"&gt;"&amp;M162)=0,1,0),0)</f>
        <v/>
      </c>
      <c r="O162">
        <f>IF(AND(F162="Booked",M162&lt;&gt;"",N(B162)&gt;=TODAY()),IF(COUNTIFS(Appointments!$D$6:$D$2005,D162,Appointments!$F$6:$F$2005,"Booked",Appointments!$B$6:$B$2005,"&gt;="&amp;TODAY(),Appointments!$M$6:$M$2005,"&lt;"&amp;M162)=0,1,0),0)</f>
        <v/>
      </c>
    </row>
    <row r="163">
      <c r="A163" s="1" t="n"/>
      <c r="B163" s="30" t="n">
        <v>46064</v>
      </c>
      <c r="C163" s="31" t="n">
        <v>0.5694444444444444</v>
      </c>
      <c r="D163" s="32" t="inlineStr">
        <is>
          <t>Sophie Ellis</t>
        </is>
      </c>
      <c r="E163" s="32" t="inlineStr">
        <is>
          <t>Women's haircut</t>
        </is>
      </c>
      <c r="F163" s="33" t="inlineStr">
        <is>
          <t>Done</t>
        </is>
      </c>
      <c r="G163" s="27">
        <f>IF(E163="","",MAX(0,IFERROR(INDEX(Services!$C$6:$C$35,MATCH(E163,Services!$B$6:$B$35,0)),0)-N(H163)))</f>
        <v/>
      </c>
      <c r="H163" s="34" t="n"/>
      <c r="I163" s="34" t="n">
        <v>55</v>
      </c>
      <c r="J163" s="33" t="inlineStr">
        <is>
          <t>Cash</t>
        </is>
      </c>
      <c r="K163" s="28">
        <f>IF(OR(B163="",F163&lt;&gt;"Done",J163="Package"),"",IF(N(G163)-N(I163)&gt;0,N(G163)-N(I163),""))</f>
        <v/>
      </c>
      <c r="L163" s="32" t="n"/>
      <c r="M163" s="1">
        <f>IF(OR(B163="",D163="",F163="Cancelled"),"",B163+N(C163)+ROW()/10000000)</f>
        <v/>
      </c>
      <c r="N163">
        <f>IF(AND(F163="Done",M163&lt;&gt;""),IF(COUNTIFS(Appointments!$D$6:$D$2005,D163,Appointments!$F$6:$F$2005,"Done",Appointments!$M$6:$M$2005,"&gt;"&amp;M163)=0,1,0),0)</f>
        <v/>
      </c>
      <c r="O163">
        <f>IF(AND(F163="Booked",M163&lt;&gt;"",N(B163)&gt;=TODAY()),IF(COUNTIFS(Appointments!$D$6:$D$2005,D163,Appointments!$F$6:$F$2005,"Booked",Appointments!$B$6:$B$2005,"&gt;="&amp;TODAY(),Appointments!$M$6:$M$2005,"&lt;"&amp;M163)=0,1,0),0)</f>
        <v/>
      </c>
    </row>
    <row r="164">
      <c r="A164" s="1" t="n"/>
      <c r="B164" s="30" t="n">
        <v>46065</v>
      </c>
      <c r="C164" s="31" t="n">
        <v>0.375</v>
      </c>
      <c r="D164" s="32" t="inlineStr">
        <is>
          <t>Adam King</t>
        </is>
      </c>
      <c r="E164" s="32" t="inlineStr">
        <is>
          <t>Men's haircut</t>
        </is>
      </c>
      <c r="F164" s="33" t="inlineStr">
        <is>
          <t>Done</t>
        </is>
      </c>
      <c r="G164" s="27">
        <f>IF(E164="","",MAX(0,IFERROR(INDEX(Services!$C$6:$C$35,MATCH(E164,Services!$B$6:$B$35,0)),0)-N(H164)))</f>
        <v/>
      </c>
      <c r="H164" s="34" t="n"/>
      <c r="I164" s="34" t="n">
        <v>30</v>
      </c>
      <c r="J164" s="33" t="inlineStr">
        <is>
          <t>Card</t>
        </is>
      </c>
      <c r="K164" s="28">
        <f>IF(OR(B164="",F164&lt;&gt;"Done",J164="Package"),"",IF(N(G164)-N(I164)&gt;0,N(G164)-N(I164),""))</f>
        <v/>
      </c>
      <c r="L164" s="32" t="n"/>
      <c r="M164" s="1">
        <f>IF(OR(B164="",D164="",F164="Cancelled"),"",B164+N(C164)+ROW()/10000000)</f>
        <v/>
      </c>
      <c r="N164">
        <f>IF(AND(F164="Done",M164&lt;&gt;""),IF(COUNTIFS(Appointments!$D$6:$D$2005,D164,Appointments!$F$6:$F$2005,"Done",Appointments!$M$6:$M$2005,"&gt;"&amp;M164)=0,1,0),0)</f>
        <v/>
      </c>
      <c r="O164">
        <f>IF(AND(F164="Booked",M164&lt;&gt;"",N(B164)&gt;=TODAY()),IF(COUNTIFS(Appointments!$D$6:$D$2005,D164,Appointments!$F$6:$F$2005,"Booked",Appointments!$B$6:$B$2005,"&gt;="&amp;TODAY(),Appointments!$M$6:$M$2005,"&lt;"&amp;M164)=0,1,0),0)</f>
        <v/>
      </c>
    </row>
    <row r="165">
      <c r="A165" s="1" t="n"/>
      <c r="B165" s="30" t="n">
        <v>46065</v>
      </c>
      <c r="C165" s="31" t="n">
        <v>0.4027777777777778</v>
      </c>
      <c r="D165" s="32" t="inlineStr">
        <is>
          <t>Dina Baker</t>
        </is>
      </c>
      <c r="E165" s="32" t="inlineStr">
        <is>
          <t>Colour</t>
        </is>
      </c>
      <c r="F165" s="33" t="inlineStr">
        <is>
          <t>Done</t>
        </is>
      </c>
      <c r="G165" s="27">
        <f>IF(E165="","",MAX(0,IFERROR(INDEX(Services!$C$6:$C$35,MATCH(E165,Services!$B$6:$B$35,0)),0)-N(H165)))</f>
        <v/>
      </c>
      <c r="H165" s="34" t="n"/>
      <c r="I165" s="34" t="n">
        <v>95</v>
      </c>
      <c r="J165" s="33" t="inlineStr">
        <is>
          <t>Card</t>
        </is>
      </c>
      <c r="K165" s="28">
        <f>IF(OR(B165="",F165&lt;&gt;"Done",J165="Package"),"",IF(N(G165)-N(I165)&gt;0,N(G165)-N(I165),""))</f>
        <v/>
      </c>
      <c r="L165" s="32" t="n"/>
      <c r="M165" s="1">
        <f>IF(OR(B165="",D165="",F165="Cancelled"),"",B165+N(C165)+ROW()/10000000)</f>
        <v/>
      </c>
      <c r="N165">
        <f>IF(AND(F165="Done",M165&lt;&gt;""),IF(COUNTIFS(Appointments!$D$6:$D$2005,D165,Appointments!$F$6:$F$2005,"Done",Appointments!$M$6:$M$2005,"&gt;"&amp;M165)=0,1,0),0)</f>
        <v/>
      </c>
      <c r="O165">
        <f>IF(AND(F165="Booked",M165&lt;&gt;"",N(B165)&gt;=TODAY()),IF(COUNTIFS(Appointments!$D$6:$D$2005,D165,Appointments!$F$6:$F$2005,"Booked",Appointments!$B$6:$B$2005,"&gt;="&amp;TODAY(),Appointments!$M$6:$M$2005,"&lt;"&amp;M165)=0,1,0),0)</f>
        <v/>
      </c>
    </row>
    <row r="166">
      <c r="A166" s="1" t="n"/>
      <c r="B166" s="30" t="n">
        <v>46065</v>
      </c>
      <c r="C166" s="31" t="n">
        <v>0.4930555555555556</v>
      </c>
      <c r="D166" s="32" t="inlineStr">
        <is>
          <t>Jack Wilson</t>
        </is>
      </c>
      <c r="E166" s="32" t="inlineStr">
        <is>
          <t>Men's haircut</t>
        </is>
      </c>
      <c r="F166" s="33" t="inlineStr">
        <is>
          <t>Done</t>
        </is>
      </c>
      <c r="G166" s="27">
        <f>IF(E166="","",MAX(0,IFERROR(INDEX(Services!$C$6:$C$35,MATCH(E166,Services!$B$6:$B$35,0)),0)-N(H166)))</f>
        <v/>
      </c>
      <c r="H166" s="34" t="n"/>
      <c r="I166" s="34" t="n">
        <v>30</v>
      </c>
      <c r="J166" s="33" t="inlineStr">
        <is>
          <t>Transfer</t>
        </is>
      </c>
      <c r="K166" s="28">
        <f>IF(OR(B166="",F166&lt;&gt;"Done",J166="Package"),"",IF(N(G166)-N(I166)&gt;0,N(G166)-N(I166),""))</f>
        <v/>
      </c>
      <c r="L166" s="32" t="n"/>
      <c r="M166" s="1">
        <f>IF(OR(B166="",D166="",F166="Cancelled"),"",B166+N(C166)+ROW()/10000000)</f>
        <v/>
      </c>
      <c r="N166">
        <f>IF(AND(F166="Done",M166&lt;&gt;""),IF(COUNTIFS(Appointments!$D$6:$D$2005,D166,Appointments!$F$6:$F$2005,"Done",Appointments!$M$6:$M$2005,"&gt;"&amp;M166)=0,1,0),0)</f>
        <v/>
      </c>
      <c r="O166">
        <f>IF(AND(F166="Booked",M166&lt;&gt;"",N(B166)&gt;=TODAY()),IF(COUNTIFS(Appointments!$D$6:$D$2005,D166,Appointments!$F$6:$F$2005,"Booked",Appointments!$B$6:$B$2005,"&gt;="&amp;TODAY(),Appointments!$M$6:$M$2005,"&lt;"&amp;M166)=0,1,0),0)</f>
        <v/>
      </c>
    </row>
    <row r="167">
      <c r="A167" s="1" t="n"/>
      <c r="B167" s="30" t="n">
        <v>46065</v>
      </c>
      <c r="C167" s="31" t="n">
        <v>0.5208333333333334</v>
      </c>
      <c r="D167" s="32" t="inlineStr">
        <is>
          <t>Matt Ellis</t>
        </is>
      </c>
      <c r="E167" s="32" t="inlineStr">
        <is>
          <t>Men's haircut</t>
        </is>
      </c>
      <c r="F167" s="33" t="inlineStr">
        <is>
          <t>Done</t>
        </is>
      </c>
      <c r="G167" s="27">
        <f>IF(E167="","",MAX(0,IFERROR(INDEX(Services!$C$6:$C$35,MATCH(E167,Services!$B$6:$B$35,0)),0)-N(H167)))</f>
        <v/>
      </c>
      <c r="H167" s="34" t="n"/>
      <c r="I167" s="34" t="n">
        <v>30</v>
      </c>
      <c r="J167" s="33" t="inlineStr">
        <is>
          <t>Cash</t>
        </is>
      </c>
      <c r="K167" s="28">
        <f>IF(OR(B167="",F167&lt;&gt;"Done",J167="Package"),"",IF(N(G167)-N(I167)&gt;0,N(G167)-N(I167),""))</f>
        <v/>
      </c>
      <c r="L167" s="32" t="n"/>
      <c r="M167" s="1">
        <f>IF(OR(B167="",D167="",F167="Cancelled"),"",B167+N(C167)+ROW()/10000000)</f>
        <v/>
      </c>
      <c r="N167">
        <f>IF(AND(F167="Done",M167&lt;&gt;""),IF(COUNTIFS(Appointments!$D$6:$D$2005,D167,Appointments!$F$6:$F$2005,"Done",Appointments!$M$6:$M$2005,"&gt;"&amp;M167)=0,1,0),0)</f>
        <v/>
      </c>
      <c r="O167">
        <f>IF(AND(F167="Booked",M167&lt;&gt;"",N(B167)&gt;=TODAY()),IF(COUNTIFS(Appointments!$D$6:$D$2005,D167,Appointments!$F$6:$F$2005,"Booked",Appointments!$B$6:$B$2005,"&gt;="&amp;TODAY(),Appointments!$M$6:$M$2005,"&lt;"&amp;M167)=0,1,0),0)</f>
        <v/>
      </c>
    </row>
    <row r="168">
      <c r="A168" s="1" t="n"/>
      <c r="B168" s="30" t="n">
        <v>46065</v>
      </c>
      <c r="C168" s="31" t="n">
        <v>0.5486111111111112</v>
      </c>
      <c r="D168" s="32" t="inlineStr">
        <is>
          <t>Nick Young</t>
        </is>
      </c>
      <c r="E168" s="32" t="inlineStr">
        <is>
          <t>Men's haircut</t>
        </is>
      </c>
      <c r="F168" s="33" t="inlineStr">
        <is>
          <t>Done</t>
        </is>
      </c>
      <c r="G168" s="27">
        <f>IF(E168="","",MAX(0,IFERROR(INDEX(Services!$C$6:$C$35,MATCH(E168,Services!$B$6:$B$35,0)),0)-N(H168)))</f>
        <v/>
      </c>
      <c r="H168" s="34" t="n"/>
      <c r="I168" s="34" t="n">
        <v>30</v>
      </c>
      <c r="J168" s="33" t="inlineStr">
        <is>
          <t>Cash</t>
        </is>
      </c>
      <c r="K168" s="28">
        <f>IF(OR(B168="",F168&lt;&gt;"Done",J168="Package"),"",IF(N(G168)-N(I168)&gt;0,N(G168)-N(I168),""))</f>
        <v/>
      </c>
      <c r="L168" s="32" t="n"/>
      <c r="M168" s="1">
        <f>IF(OR(B168="",D168="",F168="Cancelled"),"",B168+N(C168)+ROW()/10000000)</f>
        <v/>
      </c>
      <c r="N168">
        <f>IF(AND(F168="Done",M168&lt;&gt;""),IF(COUNTIFS(Appointments!$D$6:$D$2005,D168,Appointments!$F$6:$F$2005,"Done",Appointments!$M$6:$M$2005,"&gt;"&amp;M168)=0,1,0),0)</f>
        <v/>
      </c>
      <c r="O168">
        <f>IF(AND(F168="Booked",M168&lt;&gt;"",N(B168)&gt;=TODAY()),IF(COUNTIFS(Appointments!$D$6:$D$2005,D168,Appointments!$F$6:$F$2005,"Booked",Appointments!$B$6:$B$2005,"&gt;="&amp;TODAY(),Appointments!$M$6:$M$2005,"&lt;"&amp;M168)=0,1,0),0)</f>
        <v/>
      </c>
    </row>
    <row r="169">
      <c r="A169" s="1" t="n"/>
      <c r="B169" s="30" t="n">
        <v>46065</v>
      </c>
      <c r="C169" s="31" t="n">
        <v>0.5763888888888888</v>
      </c>
      <c r="D169" s="32" t="inlineStr">
        <is>
          <t>Ryan Davies</t>
        </is>
      </c>
      <c r="E169" s="32" t="inlineStr">
        <is>
          <t>Men's haircut</t>
        </is>
      </c>
      <c r="F169" s="33" t="inlineStr">
        <is>
          <t>Done</t>
        </is>
      </c>
      <c r="G169" s="27">
        <f>IF(E169="","",MAX(0,IFERROR(INDEX(Services!$C$6:$C$35,MATCH(E169,Services!$B$6:$B$35,0)),0)-N(H169)))</f>
        <v/>
      </c>
      <c r="H169" s="34" t="n"/>
      <c r="I169" s="34" t="n">
        <v>30</v>
      </c>
      <c r="J169" s="33" t="inlineStr">
        <is>
          <t>Cash</t>
        </is>
      </c>
      <c r="K169" s="28">
        <f>IF(OR(B169="",F169&lt;&gt;"Done",J169="Package"),"",IF(N(G169)-N(I169)&gt;0,N(G169)-N(I169),""))</f>
        <v/>
      </c>
      <c r="L169" s="32" t="n"/>
      <c r="M169" s="1">
        <f>IF(OR(B169="",D169="",F169="Cancelled"),"",B169+N(C169)+ROW()/10000000)</f>
        <v/>
      </c>
      <c r="N169">
        <f>IF(AND(F169="Done",M169&lt;&gt;""),IF(COUNTIFS(Appointments!$D$6:$D$2005,D169,Appointments!$F$6:$F$2005,"Done",Appointments!$M$6:$M$2005,"&gt;"&amp;M169)=0,1,0),0)</f>
        <v/>
      </c>
      <c r="O169">
        <f>IF(AND(F169="Booked",M169&lt;&gt;"",N(B169)&gt;=TODAY()),IF(COUNTIFS(Appointments!$D$6:$D$2005,D169,Appointments!$F$6:$F$2005,"Booked",Appointments!$B$6:$B$2005,"&gt;="&amp;TODAY(),Appointments!$M$6:$M$2005,"&lt;"&amp;M169)=0,1,0),0)</f>
        <v/>
      </c>
    </row>
    <row r="170">
      <c r="A170" s="1" t="n"/>
      <c r="B170" s="30" t="n">
        <v>46065</v>
      </c>
      <c r="C170" s="31" t="n">
        <v>0.6041666666666666</v>
      </c>
      <c r="D170" s="32" t="inlineStr">
        <is>
          <t>Zoe Turner</t>
        </is>
      </c>
      <c r="E170" s="32" t="inlineStr">
        <is>
          <t>Women's haircut</t>
        </is>
      </c>
      <c r="F170" s="33" t="inlineStr">
        <is>
          <t>Done</t>
        </is>
      </c>
      <c r="G170" s="27">
        <f>IF(E170="","",MAX(0,IFERROR(INDEX(Services!$C$6:$C$35,MATCH(E170,Services!$B$6:$B$35,0)),0)-N(H170)))</f>
        <v/>
      </c>
      <c r="H170" s="34" t="n"/>
      <c r="I170" s="34" t="n">
        <v>55</v>
      </c>
      <c r="J170" s="33" t="inlineStr">
        <is>
          <t>Card</t>
        </is>
      </c>
      <c r="K170" s="28">
        <f>IF(OR(B170="",F170&lt;&gt;"Done",J170="Package"),"",IF(N(G170)-N(I170)&gt;0,N(G170)-N(I170),""))</f>
        <v/>
      </c>
      <c r="L170" s="32" t="n"/>
      <c r="M170" s="1">
        <f>IF(OR(B170="",D170="",F170="Cancelled"),"",B170+N(C170)+ROW()/10000000)</f>
        <v/>
      </c>
      <c r="N170">
        <f>IF(AND(F170="Done",M170&lt;&gt;""),IF(COUNTIFS(Appointments!$D$6:$D$2005,D170,Appointments!$F$6:$F$2005,"Done",Appointments!$M$6:$M$2005,"&gt;"&amp;M170)=0,1,0),0)</f>
        <v/>
      </c>
      <c r="O170">
        <f>IF(AND(F170="Booked",M170&lt;&gt;"",N(B170)&gt;=TODAY()),IF(COUNTIFS(Appointments!$D$6:$D$2005,D170,Appointments!$F$6:$F$2005,"Booked",Appointments!$B$6:$B$2005,"&gt;="&amp;TODAY(),Appointments!$M$6:$M$2005,"&lt;"&amp;M170)=0,1,0),0)</f>
        <v/>
      </c>
    </row>
    <row r="171">
      <c r="A171" s="1" t="n"/>
      <c r="B171" s="30" t="n">
        <v>46066</v>
      </c>
      <c r="C171" s="31" t="n">
        <v>0.375</v>
      </c>
      <c r="D171" s="32" t="inlineStr">
        <is>
          <t>Eli Brooks</t>
        </is>
      </c>
      <c r="E171" s="32" t="inlineStr">
        <is>
          <t>Men's haircut</t>
        </is>
      </c>
      <c r="F171" s="33" t="inlineStr">
        <is>
          <t>Done</t>
        </is>
      </c>
      <c r="G171" s="27">
        <f>IF(E171="","",MAX(0,IFERROR(INDEX(Services!$C$6:$C$35,MATCH(E171,Services!$B$6:$B$35,0)),0)-N(H171)))</f>
        <v/>
      </c>
      <c r="H171" s="34" t="n"/>
      <c r="I171" s="34" t="n">
        <v>30</v>
      </c>
      <c r="J171" s="33" t="inlineStr">
        <is>
          <t>Card</t>
        </is>
      </c>
      <c r="K171" s="28">
        <f>IF(OR(B171="",F171&lt;&gt;"Done",J171="Package"),"",IF(N(G171)-N(I171)&gt;0,N(G171)-N(I171),""))</f>
        <v/>
      </c>
      <c r="L171" s="32" t="n"/>
      <c r="M171" s="1">
        <f>IF(OR(B171="",D171="",F171="Cancelled"),"",B171+N(C171)+ROW()/10000000)</f>
        <v/>
      </c>
      <c r="N171">
        <f>IF(AND(F171="Done",M171&lt;&gt;""),IF(COUNTIFS(Appointments!$D$6:$D$2005,D171,Appointments!$F$6:$F$2005,"Done",Appointments!$M$6:$M$2005,"&gt;"&amp;M171)=0,1,0),0)</f>
        <v/>
      </c>
      <c r="O171">
        <f>IF(AND(F171="Booked",M171&lt;&gt;"",N(B171)&gt;=TODAY()),IF(COUNTIFS(Appointments!$D$6:$D$2005,D171,Appointments!$F$6:$F$2005,"Booked",Appointments!$B$6:$B$2005,"&gt;="&amp;TODAY(),Appointments!$M$6:$M$2005,"&lt;"&amp;M171)=0,1,0),0)</f>
        <v/>
      </c>
    </row>
    <row r="172">
      <c r="A172" s="1" t="n"/>
      <c r="B172" s="30" t="n">
        <v>46066</v>
      </c>
      <c r="C172" s="31" t="n">
        <v>0.4027777777777778</v>
      </c>
      <c r="D172" s="32" t="inlineStr">
        <is>
          <t>Harry Ellis</t>
        </is>
      </c>
      <c r="E172" s="32" t="inlineStr">
        <is>
          <t>Men's haircut</t>
        </is>
      </c>
      <c r="F172" s="33" t="inlineStr">
        <is>
          <t>Done</t>
        </is>
      </c>
      <c r="G172" s="27">
        <f>IF(E172="","",MAX(0,IFERROR(INDEX(Services!$C$6:$C$35,MATCH(E172,Services!$B$6:$B$35,0)),0)-N(H172)))</f>
        <v/>
      </c>
      <c r="H172" s="34" t="n"/>
      <c r="I172" s="34" t="n">
        <v>30</v>
      </c>
      <c r="J172" s="33" t="inlineStr">
        <is>
          <t>Transfer</t>
        </is>
      </c>
      <c r="K172" s="28">
        <f>IF(OR(B172="",F172&lt;&gt;"Done",J172="Package"),"",IF(N(G172)-N(I172)&gt;0,N(G172)-N(I172),""))</f>
        <v/>
      </c>
      <c r="L172" s="32" t="n"/>
      <c r="M172" s="1">
        <f>IF(OR(B172="",D172="",F172="Cancelled"),"",B172+N(C172)+ROW()/10000000)</f>
        <v/>
      </c>
      <c r="N172">
        <f>IF(AND(F172="Done",M172&lt;&gt;""),IF(COUNTIFS(Appointments!$D$6:$D$2005,D172,Appointments!$F$6:$F$2005,"Done",Appointments!$M$6:$M$2005,"&gt;"&amp;M172)=0,1,0),0)</f>
        <v/>
      </c>
      <c r="O172">
        <f>IF(AND(F172="Booked",M172&lt;&gt;"",N(B172)&gt;=TODAY()),IF(COUNTIFS(Appointments!$D$6:$D$2005,D172,Appointments!$F$6:$F$2005,"Booked",Appointments!$B$6:$B$2005,"&gt;="&amp;TODAY(),Appointments!$M$6:$M$2005,"&lt;"&amp;M172)=0,1,0),0)</f>
        <v/>
      </c>
    </row>
    <row r="173">
      <c r="A173" s="1" t="n"/>
      <c r="B173" s="30" t="n">
        <v>46066</v>
      </c>
      <c r="C173" s="31" t="n">
        <v>0.4305555555555556</v>
      </c>
      <c r="D173" s="32" t="inlineStr">
        <is>
          <t>Ian Hall</t>
        </is>
      </c>
      <c r="E173" s="32" t="inlineStr">
        <is>
          <t>Men's haircut</t>
        </is>
      </c>
      <c r="F173" s="33" t="inlineStr">
        <is>
          <t>Done</t>
        </is>
      </c>
      <c r="G173" s="27">
        <f>IF(E173="","",MAX(0,IFERROR(INDEX(Services!$C$6:$C$35,MATCH(E173,Services!$B$6:$B$35,0)),0)-N(H173)))</f>
        <v/>
      </c>
      <c r="H173" s="34" t="n"/>
      <c r="I173" s="34" t="n">
        <v>30</v>
      </c>
      <c r="J173" s="33" t="inlineStr">
        <is>
          <t>Cash</t>
        </is>
      </c>
      <c r="K173" s="28">
        <f>IF(OR(B173="",F173&lt;&gt;"Done",J173="Package"),"",IF(N(G173)-N(I173)&gt;0,N(G173)-N(I173),""))</f>
        <v/>
      </c>
      <c r="L173" s="32" t="n"/>
      <c r="M173" s="1">
        <f>IF(OR(B173="",D173="",F173="Cancelled"),"",B173+N(C173)+ROW()/10000000)</f>
        <v/>
      </c>
      <c r="N173">
        <f>IF(AND(F173="Done",M173&lt;&gt;""),IF(COUNTIFS(Appointments!$D$6:$D$2005,D173,Appointments!$F$6:$F$2005,"Done",Appointments!$M$6:$M$2005,"&gt;"&amp;M173)=0,1,0),0)</f>
        <v/>
      </c>
      <c r="O173">
        <f>IF(AND(F173="Booked",M173&lt;&gt;"",N(B173)&gt;=TODAY()),IF(COUNTIFS(Appointments!$D$6:$D$2005,D173,Appointments!$F$6:$F$2005,"Booked",Appointments!$B$6:$B$2005,"&gt;="&amp;TODAY(),Appointments!$M$6:$M$2005,"&lt;"&amp;M173)=0,1,0),0)</f>
        <v/>
      </c>
    </row>
    <row r="174">
      <c r="A174" s="1" t="n"/>
      <c r="B174" s="30" t="n">
        <v>46066</v>
      </c>
      <c r="C174" s="31" t="n">
        <v>0.4583333333333333</v>
      </c>
      <c r="D174" s="32" t="inlineStr">
        <is>
          <t>Sam Clarke</t>
        </is>
      </c>
      <c r="E174" s="32" t="inlineStr">
        <is>
          <t>Men's haircut</t>
        </is>
      </c>
      <c r="F174" s="33" t="inlineStr">
        <is>
          <t>Done</t>
        </is>
      </c>
      <c r="G174" s="27">
        <f>IF(E174="","",MAX(0,IFERROR(INDEX(Services!$C$6:$C$35,MATCH(E174,Services!$B$6:$B$35,0)),0)-N(H174)))</f>
        <v/>
      </c>
      <c r="H174" s="34" t="n"/>
      <c r="I174" s="34" t="n">
        <v>30</v>
      </c>
      <c r="J174" s="33" t="inlineStr">
        <is>
          <t>Cash</t>
        </is>
      </c>
      <c r="K174" s="28">
        <f>IF(OR(B174="",F174&lt;&gt;"Done",J174="Package"),"",IF(N(G174)-N(I174)&gt;0,N(G174)-N(I174),""))</f>
        <v/>
      </c>
      <c r="L174" s="32" t="n"/>
      <c r="M174" s="1">
        <f>IF(OR(B174="",D174="",F174="Cancelled"),"",B174+N(C174)+ROW()/10000000)</f>
        <v/>
      </c>
      <c r="N174">
        <f>IF(AND(F174="Done",M174&lt;&gt;""),IF(COUNTIFS(Appointments!$D$6:$D$2005,D174,Appointments!$F$6:$F$2005,"Done",Appointments!$M$6:$M$2005,"&gt;"&amp;M174)=0,1,0),0)</f>
        <v/>
      </c>
      <c r="O174">
        <f>IF(AND(F174="Booked",M174&lt;&gt;"",N(B174)&gt;=TODAY()),IF(COUNTIFS(Appointments!$D$6:$D$2005,D174,Appointments!$F$6:$F$2005,"Booked",Appointments!$B$6:$B$2005,"&gt;="&amp;TODAY(),Appointments!$M$6:$M$2005,"&lt;"&amp;M174)=0,1,0),0)</f>
        <v/>
      </c>
    </row>
    <row r="175">
      <c r="A175" s="1" t="n"/>
      <c r="B175" s="30" t="n">
        <v>46066</v>
      </c>
      <c r="C175" s="31" t="n">
        <v>0.4861111111111111</v>
      </c>
      <c r="D175" s="32" t="inlineStr">
        <is>
          <t>Wendy Scott</t>
        </is>
      </c>
      <c r="E175" s="32" t="inlineStr">
        <is>
          <t>Women's haircut</t>
        </is>
      </c>
      <c r="F175" s="33" t="inlineStr">
        <is>
          <t>Done</t>
        </is>
      </c>
      <c r="G175" s="27">
        <f>IF(E175="","",MAX(0,IFERROR(INDEX(Services!$C$6:$C$35,MATCH(E175,Services!$B$6:$B$35,0)),0)-N(H175)))</f>
        <v/>
      </c>
      <c r="H175" s="34" t="n"/>
      <c r="I175" s="34" t="n">
        <v>55</v>
      </c>
      <c r="J175" s="33" t="inlineStr">
        <is>
          <t>Card</t>
        </is>
      </c>
      <c r="K175" s="28">
        <f>IF(OR(B175="",F175&lt;&gt;"Done",J175="Package"),"",IF(N(G175)-N(I175)&gt;0,N(G175)-N(I175),""))</f>
        <v/>
      </c>
      <c r="L175" s="32" t="n"/>
      <c r="M175" s="1">
        <f>IF(OR(B175="",D175="",F175="Cancelled"),"",B175+N(C175)+ROW()/10000000)</f>
        <v/>
      </c>
      <c r="N175">
        <f>IF(AND(F175="Done",M175&lt;&gt;""),IF(COUNTIFS(Appointments!$D$6:$D$2005,D175,Appointments!$F$6:$F$2005,"Done",Appointments!$M$6:$M$2005,"&gt;"&amp;M175)=0,1,0),0)</f>
        <v/>
      </c>
      <c r="O175">
        <f>IF(AND(F175="Booked",M175&lt;&gt;"",N(B175)&gt;=TODAY()),IF(COUNTIFS(Appointments!$D$6:$D$2005,D175,Appointments!$F$6:$F$2005,"Booked",Appointments!$B$6:$B$2005,"&gt;="&amp;TODAY(),Appointments!$M$6:$M$2005,"&lt;"&amp;M175)=0,1,0),0)</f>
        <v/>
      </c>
    </row>
    <row r="176">
      <c r="A176" s="1" t="n"/>
      <c r="B176" s="30" t="n">
        <v>46067</v>
      </c>
      <c r="C176" s="31" t="n">
        <v>0.375</v>
      </c>
      <c r="D176" s="32" t="inlineStr">
        <is>
          <t>Eli Hughes</t>
        </is>
      </c>
      <c r="E176" s="32" t="inlineStr">
        <is>
          <t>Men's haircut</t>
        </is>
      </c>
      <c r="F176" s="33" t="inlineStr">
        <is>
          <t>Done</t>
        </is>
      </c>
      <c r="G176" s="27">
        <f>IF(E176="","",MAX(0,IFERROR(INDEX(Services!$C$6:$C$35,MATCH(E176,Services!$B$6:$B$35,0)),0)-N(H176)))</f>
        <v/>
      </c>
      <c r="H176" s="34" t="n"/>
      <c r="I176" s="34" t="n">
        <v>30</v>
      </c>
      <c r="J176" s="33" t="inlineStr">
        <is>
          <t>Card</t>
        </is>
      </c>
      <c r="K176" s="28">
        <f>IF(OR(B176="",F176&lt;&gt;"Done",J176="Package"),"",IF(N(G176)-N(I176)&gt;0,N(G176)-N(I176),""))</f>
        <v/>
      </c>
      <c r="L176" s="32" t="n"/>
      <c r="M176" s="1">
        <f>IF(OR(B176="",D176="",F176="Cancelled"),"",B176+N(C176)+ROW()/10000000)</f>
        <v/>
      </c>
      <c r="N176">
        <f>IF(AND(F176="Done",M176&lt;&gt;""),IF(COUNTIFS(Appointments!$D$6:$D$2005,D176,Appointments!$F$6:$F$2005,"Done",Appointments!$M$6:$M$2005,"&gt;"&amp;M176)=0,1,0),0)</f>
        <v/>
      </c>
      <c r="O176">
        <f>IF(AND(F176="Booked",M176&lt;&gt;"",N(B176)&gt;=TODAY()),IF(COUNTIFS(Appointments!$D$6:$D$2005,D176,Appointments!$F$6:$F$2005,"Booked",Appointments!$B$6:$B$2005,"&gt;="&amp;TODAY(),Appointments!$M$6:$M$2005,"&lt;"&amp;M176)=0,1,0),0)</f>
        <v/>
      </c>
    </row>
    <row r="177">
      <c r="A177" s="1" t="n"/>
      <c r="B177" s="30" t="n">
        <v>46067</v>
      </c>
      <c r="C177" s="31" t="n">
        <v>0.4027777777777778</v>
      </c>
      <c r="D177" s="32" t="inlineStr">
        <is>
          <t>Ian Reed</t>
        </is>
      </c>
      <c r="E177" s="32" t="inlineStr">
        <is>
          <t>Men's haircut</t>
        </is>
      </c>
      <c r="F177" s="33" t="inlineStr">
        <is>
          <t>Done</t>
        </is>
      </c>
      <c r="G177" s="27">
        <f>IF(E177="","",MAX(0,IFERROR(INDEX(Services!$C$6:$C$35,MATCH(E177,Services!$B$6:$B$35,0)),0)-N(H177)))</f>
        <v/>
      </c>
      <c r="H177" s="34" t="n"/>
      <c r="I177" s="34" t="n">
        <v>30</v>
      </c>
      <c r="J177" s="33" t="inlineStr">
        <is>
          <t>Cash</t>
        </is>
      </c>
      <c r="K177" s="28">
        <f>IF(OR(B177="",F177&lt;&gt;"Done",J177="Package"),"",IF(N(G177)-N(I177)&gt;0,N(G177)-N(I177),""))</f>
        <v/>
      </c>
      <c r="L177" s="32" t="n"/>
      <c r="M177" s="1">
        <f>IF(OR(B177="",D177="",F177="Cancelled"),"",B177+N(C177)+ROW()/10000000)</f>
        <v/>
      </c>
      <c r="N177">
        <f>IF(AND(F177="Done",M177&lt;&gt;""),IF(COUNTIFS(Appointments!$D$6:$D$2005,D177,Appointments!$F$6:$F$2005,"Done",Appointments!$M$6:$M$2005,"&gt;"&amp;M177)=0,1,0),0)</f>
        <v/>
      </c>
      <c r="O177">
        <f>IF(AND(F177="Booked",M177&lt;&gt;"",N(B177)&gt;=TODAY()),IF(COUNTIFS(Appointments!$D$6:$D$2005,D177,Appointments!$F$6:$F$2005,"Booked",Appointments!$B$6:$B$2005,"&gt;="&amp;TODAY(),Appointments!$M$6:$M$2005,"&lt;"&amp;M177)=0,1,0),0)</f>
        <v/>
      </c>
    </row>
    <row r="178">
      <c r="A178" s="1" t="n"/>
      <c r="B178" s="30" t="n">
        <v>46067</v>
      </c>
      <c r="C178" s="31" t="n">
        <v>0.4305555555555556</v>
      </c>
      <c r="D178" s="32" t="inlineStr">
        <is>
          <t>Kara Adams</t>
        </is>
      </c>
      <c r="E178" s="32" t="inlineStr">
        <is>
          <t>Women's haircut</t>
        </is>
      </c>
      <c r="F178" s="33" t="inlineStr">
        <is>
          <t>Done</t>
        </is>
      </c>
      <c r="G178" s="27">
        <f>IF(E178="","",MAX(0,IFERROR(INDEX(Services!$C$6:$C$35,MATCH(E178,Services!$B$6:$B$35,0)),0)-N(H178)))</f>
        <v/>
      </c>
      <c r="H178" s="34" t="n"/>
      <c r="I178" s="34" t="n">
        <v>55</v>
      </c>
      <c r="J178" s="33" t="inlineStr">
        <is>
          <t>Card</t>
        </is>
      </c>
      <c r="K178" s="28">
        <f>IF(OR(B178="",F178&lt;&gt;"Done",J178="Package"),"",IF(N(G178)-N(I178)&gt;0,N(G178)-N(I178),""))</f>
        <v/>
      </c>
      <c r="L178" s="32" t="n"/>
      <c r="M178" s="1">
        <f>IF(OR(B178="",D178="",F178="Cancelled"),"",B178+N(C178)+ROW()/10000000)</f>
        <v/>
      </c>
      <c r="N178">
        <f>IF(AND(F178="Done",M178&lt;&gt;""),IF(COUNTIFS(Appointments!$D$6:$D$2005,D178,Appointments!$F$6:$F$2005,"Done",Appointments!$M$6:$M$2005,"&gt;"&amp;M178)=0,1,0),0)</f>
        <v/>
      </c>
      <c r="O178">
        <f>IF(AND(F178="Booked",M178&lt;&gt;"",N(B178)&gt;=TODAY()),IF(COUNTIFS(Appointments!$D$6:$D$2005,D178,Appointments!$F$6:$F$2005,"Booked",Appointments!$B$6:$B$2005,"&gt;="&amp;TODAY(),Appointments!$M$6:$M$2005,"&lt;"&amp;M178)=0,1,0),0)</f>
        <v/>
      </c>
    </row>
    <row r="179">
      <c r="A179" s="1" t="n"/>
      <c r="B179" s="30" t="n">
        <v>46070</v>
      </c>
      <c r="C179" s="31" t="n">
        <v>0.375</v>
      </c>
      <c r="D179" s="32" t="inlineStr">
        <is>
          <t>Ben Carter</t>
        </is>
      </c>
      <c r="E179" s="32" t="inlineStr">
        <is>
          <t>Men's haircut</t>
        </is>
      </c>
      <c r="F179" s="33" t="inlineStr">
        <is>
          <t>Done</t>
        </is>
      </c>
      <c r="G179" s="27">
        <f>IF(E179="","",MAX(0,IFERROR(INDEX(Services!$C$6:$C$35,MATCH(E179,Services!$B$6:$B$35,0)),0)-N(H179)))</f>
        <v/>
      </c>
      <c r="H179" s="34" t="n"/>
      <c r="I179" s="34" t="n">
        <v>30</v>
      </c>
      <c r="J179" s="33" t="inlineStr">
        <is>
          <t>Card</t>
        </is>
      </c>
      <c r="K179" s="28">
        <f>IF(OR(B179="",F179&lt;&gt;"Done",J179="Package"),"",IF(N(G179)-N(I179)&gt;0,N(G179)-N(I179),""))</f>
        <v/>
      </c>
      <c r="L179" s="32" t="n"/>
      <c r="M179" s="1">
        <f>IF(OR(B179="",D179="",F179="Cancelled"),"",B179+N(C179)+ROW()/10000000)</f>
        <v/>
      </c>
      <c r="N179">
        <f>IF(AND(F179="Done",M179&lt;&gt;""),IF(COUNTIFS(Appointments!$D$6:$D$2005,D179,Appointments!$F$6:$F$2005,"Done",Appointments!$M$6:$M$2005,"&gt;"&amp;M179)=0,1,0),0)</f>
        <v/>
      </c>
      <c r="O179">
        <f>IF(AND(F179="Booked",M179&lt;&gt;"",N(B179)&gt;=TODAY()),IF(COUNTIFS(Appointments!$D$6:$D$2005,D179,Appointments!$F$6:$F$2005,"Booked",Appointments!$B$6:$B$2005,"&gt;="&amp;TODAY(),Appointments!$M$6:$M$2005,"&lt;"&amp;M179)=0,1,0),0)</f>
        <v/>
      </c>
    </row>
    <row r="180">
      <c r="A180" s="1" t="n"/>
      <c r="B180" s="30" t="n">
        <v>46070</v>
      </c>
      <c r="C180" s="31" t="n">
        <v>0.4027777777777778</v>
      </c>
      <c r="D180" s="32" t="inlineStr">
        <is>
          <t>Daniel Kim</t>
        </is>
      </c>
      <c r="E180" s="32" t="inlineStr">
        <is>
          <t>Men's haircut</t>
        </is>
      </c>
      <c r="F180" s="33" t="inlineStr">
        <is>
          <t>Done</t>
        </is>
      </c>
      <c r="G180" s="27">
        <f>IF(E180="","",MAX(0,IFERROR(INDEX(Services!$C$6:$C$35,MATCH(E180,Services!$B$6:$B$35,0)),0)-N(H180)))</f>
        <v/>
      </c>
      <c r="H180" s="34" t="n"/>
      <c r="I180" s="34" t="n">
        <v>30</v>
      </c>
      <c r="J180" s="33" t="inlineStr">
        <is>
          <t>Transfer</t>
        </is>
      </c>
      <c r="K180" s="28">
        <f>IF(OR(B180="",F180&lt;&gt;"Done",J180="Package"),"",IF(N(G180)-N(I180)&gt;0,N(G180)-N(I180),""))</f>
        <v/>
      </c>
      <c r="L180" s="32" t="n"/>
      <c r="M180" s="1">
        <f>IF(OR(B180="",D180="",F180="Cancelled"),"",B180+N(C180)+ROW()/10000000)</f>
        <v/>
      </c>
      <c r="N180">
        <f>IF(AND(F180="Done",M180&lt;&gt;""),IF(COUNTIFS(Appointments!$D$6:$D$2005,D180,Appointments!$F$6:$F$2005,"Done",Appointments!$M$6:$M$2005,"&gt;"&amp;M180)=0,1,0),0)</f>
        <v/>
      </c>
      <c r="O180">
        <f>IF(AND(F180="Booked",M180&lt;&gt;"",N(B180)&gt;=TODAY()),IF(COUNTIFS(Appointments!$D$6:$D$2005,D180,Appointments!$F$6:$F$2005,"Booked",Appointments!$B$6:$B$2005,"&gt;="&amp;TODAY(),Appointments!$M$6:$M$2005,"&lt;"&amp;M180)=0,1,0),0)</f>
        <v/>
      </c>
    </row>
    <row r="181">
      <c r="A181" s="1" t="n"/>
      <c r="B181" s="30" t="n">
        <v>46070</v>
      </c>
      <c r="C181" s="31" t="n">
        <v>0.4305555555555556</v>
      </c>
      <c r="D181" s="32" t="inlineStr">
        <is>
          <t>Fiona Price</t>
        </is>
      </c>
      <c r="E181" s="32" t="inlineStr">
        <is>
          <t>Highlights</t>
        </is>
      </c>
      <c r="F181" s="33" t="inlineStr">
        <is>
          <t>No-show</t>
        </is>
      </c>
      <c r="G181" s="27">
        <f>IF(E181="","",MAX(0,IFERROR(INDEX(Services!$C$6:$C$35,MATCH(E181,Services!$B$6:$B$35,0)),0)-N(H181)))</f>
        <v/>
      </c>
      <c r="H181" s="34" t="n"/>
      <c r="I181" s="34" t="n"/>
      <c r="J181" s="33" t="n"/>
      <c r="K181" s="28">
        <f>IF(OR(B181="",F181&lt;&gt;"Done",J181="Package"),"",IF(N(G181)-N(I181)&gt;0,N(G181)-N(I181),""))</f>
        <v/>
      </c>
      <c r="L181" s="32" t="n"/>
      <c r="M181" s="1">
        <f>IF(OR(B181="",D181="",F181="Cancelled"),"",B181+N(C181)+ROW()/10000000)</f>
        <v/>
      </c>
      <c r="N181">
        <f>IF(AND(F181="Done",M181&lt;&gt;""),IF(COUNTIFS(Appointments!$D$6:$D$2005,D181,Appointments!$F$6:$F$2005,"Done",Appointments!$M$6:$M$2005,"&gt;"&amp;M181)=0,1,0),0)</f>
        <v/>
      </c>
      <c r="O181">
        <f>IF(AND(F181="Booked",M181&lt;&gt;"",N(B181)&gt;=TODAY()),IF(COUNTIFS(Appointments!$D$6:$D$2005,D181,Appointments!$F$6:$F$2005,"Booked",Appointments!$B$6:$B$2005,"&gt;="&amp;TODAY(),Appointments!$M$6:$M$2005,"&lt;"&amp;M181)=0,1,0),0)</f>
        <v/>
      </c>
    </row>
    <row r="182">
      <c r="A182" s="1" t="n"/>
      <c r="B182" s="30" t="n">
        <v>46070</v>
      </c>
      <c r="C182" s="31" t="n">
        <v>0.5416666666666666</v>
      </c>
      <c r="D182" s="32" t="inlineStr">
        <is>
          <t>Hannah Cook</t>
        </is>
      </c>
      <c r="E182" s="32" t="inlineStr">
        <is>
          <t>Blow dry</t>
        </is>
      </c>
      <c r="F182" s="33" t="inlineStr">
        <is>
          <t>Done</t>
        </is>
      </c>
      <c r="G182" s="27">
        <f>IF(E182="","",MAX(0,IFERROR(INDEX(Services!$C$6:$C$35,MATCH(E182,Services!$B$6:$B$35,0)),0)-N(H182)))</f>
        <v/>
      </c>
      <c r="H182" s="34" t="n"/>
      <c r="I182" s="34" t="n">
        <v>35</v>
      </c>
      <c r="J182" s="33" t="inlineStr">
        <is>
          <t>Card</t>
        </is>
      </c>
      <c r="K182" s="28">
        <f>IF(OR(B182="",F182&lt;&gt;"Done",J182="Package"),"",IF(N(G182)-N(I182)&gt;0,N(G182)-N(I182),""))</f>
        <v/>
      </c>
      <c r="L182" s="32" t="n"/>
      <c r="M182" s="1">
        <f>IF(OR(B182="",D182="",F182="Cancelled"),"",B182+N(C182)+ROW()/10000000)</f>
        <v/>
      </c>
      <c r="N182">
        <f>IF(AND(F182="Done",M182&lt;&gt;""),IF(COUNTIFS(Appointments!$D$6:$D$2005,D182,Appointments!$F$6:$F$2005,"Done",Appointments!$M$6:$M$2005,"&gt;"&amp;M182)=0,1,0),0)</f>
        <v/>
      </c>
      <c r="O182">
        <f>IF(AND(F182="Booked",M182&lt;&gt;"",N(B182)&gt;=TODAY()),IF(COUNTIFS(Appointments!$D$6:$D$2005,D182,Appointments!$F$6:$F$2005,"Booked",Appointments!$B$6:$B$2005,"&gt;="&amp;TODAY(),Appointments!$M$6:$M$2005,"&lt;"&amp;M182)=0,1,0),0)</f>
        <v/>
      </c>
    </row>
    <row r="183">
      <c r="A183" s="1" t="n"/>
      <c r="B183" s="30" t="n">
        <v>46070</v>
      </c>
      <c r="C183" s="31" t="n">
        <v>0.5798611111111112</v>
      </c>
      <c r="D183" s="32" t="inlineStr">
        <is>
          <t>Jade Hill</t>
        </is>
      </c>
      <c r="E183" s="32" t="inlineStr">
        <is>
          <t>Women's haircut</t>
        </is>
      </c>
      <c r="F183" s="33" t="inlineStr">
        <is>
          <t>Done</t>
        </is>
      </c>
      <c r="G183" s="27">
        <f>IF(E183="","",MAX(0,IFERROR(INDEX(Services!$C$6:$C$35,MATCH(E183,Services!$B$6:$B$35,0)),0)-N(H183)))</f>
        <v/>
      </c>
      <c r="H183" s="34" t="n"/>
      <c r="I183" s="34" t="n">
        <v>55</v>
      </c>
      <c r="J183" s="33" t="inlineStr">
        <is>
          <t>Card</t>
        </is>
      </c>
      <c r="K183" s="28">
        <f>IF(OR(B183="",F183&lt;&gt;"Done",J183="Package"),"",IF(N(G183)-N(I183)&gt;0,N(G183)-N(I183),""))</f>
        <v/>
      </c>
      <c r="L183" s="32" t="n"/>
      <c r="M183" s="1">
        <f>IF(OR(B183="",D183="",F183="Cancelled"),"",B183+N(C183)+ROW()/10000000)</f>
        <v/>
      </c>
      <c r="N183">
        <f>IF(AND(F183="Done",M183&lt;&gt;""),IF(COUNTIFS(Appointments!$D$6:$D$2005,D183,Appointments!$F$6:$F$2005,"Done",Appointments!$M$6:$M$2005,"&gt;"&amp;M183)=0,1,0),0)</f>
        <v/>
      </c>
      <c r="O183">
        <f>IF(AND(F183="Booked",M183&lt;&gt;"",N(B183)&gt;=TODAY()),IF(COUNTIFS(Appointments!$D$6:$D$2005,D183,Appointments!$F$6:$F$2005,"Booked",Appointments!$B$6:$B$2005,"&gt;="&amp;TODAY(),Appointments!$M$6:$M$2005,"&lt;"&amp;M183)=0,1,0),0)</f>
        <v/>
      </c>
    </row>
    <row r="184">
      <c r="A184" s="1" t="n"/>
      <c r="B184" s="30" t="n">
        <v>46070</v>
      </c>
      <c r="C184" s="31" t="n">
        <v>0.6284722222222222</v>
      </c>
      <c r="D184" s="32" t="inlineStr">
        <is>
          <t>Paula Cook</t>
        </is>
      </c>
      <c r="E184" s="32" t="inlineStr">
        <is>
          <t>Women's haircut</t>
        </is>
      </c>
      <c r="F184" s="33" t="inlineStr">
        <is>
          <t>No-show</t>
        </is>
      </c>
      <c r="G184" s="27">
        <f>IF(E184="","",MAX(0,IFERROR(INDEX(Services!$C$6:$C$35,MATCH(E184,Services!$B$6:$B$35,0)),0)-N(H184)))</f>
        <v/>
      </c>
      <c r="H184" s="34" t="n"/>
      <c r="I184" s="34" t="n"/>
      <c r="J184" s="33" t="n"/>
      <c r="K184" s="28">
        <f>IF(OR(B184="",F184&lt;&gt;"Done",J184="Package"),"",IF(N(G184)-N(I184)&gt;0,N(G184)-N(I184),""))</f>
        <v/>
      </c>
      <c r="L184" s="32" t="n"/>
      <c r="M184" s="1">
        <f>IF(OR(B184="",D184="",F184="Cancelled"),"",B184+N(C184)+ROW()/10000000)</f>
        <v/>
      </c>
      <c r="N184">
        <f>IF(AND(F184="Done",M184&lt;&gt;""),IF(COUNTIFS(Appointments!$D$6:$D$2005,D184,Appointments!$F$6:$F$2005,"Done",Appointments!$M$6:$M$2005,"&gt;"&amp;M184)=0,1,0),0)</f>
        <v/>
      </c>
      <c r="O184">
        <f>IF(AND(F184="Booked",M184&lt;&gt;"",N(B184)&gt;=TODAY()),IF(COUNTIFS(Appointments!$D$6:$D$2005,D184,Appointments!$F$6:$F$2005,"Booked",Appointments!$B$6:$B$2005,"&gt;="&amp;TODAY(),Appointments!$M$6:$M$2005,"&lt;"&amp;M184)=0,1,0),0)</f>
        <v/>
      </c>
    </row>
    <row r="185">
      <c r="A185" s="1" t="n"/>
      <c r="B185" s="30" t="n">
        <v>46070</v>
      </c>
      <c r="C185" s="31" t="n">
        <v>0.6770833333333334</v>
      </c>
      <c r="D185" s="32" t="inlineStr">
        <is>
          <t>Tom Ellis</t>
        </is>
      </c>
      <c r="E185" s="32" t="inlineStr">
        <is>
          <t>Men's haircut</t>
        </is>
      </c>
      <c r="F185" s="33" t="inlineStr">
        <is>
          <t>Done</t>
        </is>
      </c>
      <c r="G185" s="27">
        <f>IF(E185="","",MAX(0,IFERROR(INDEX(Services!$C$6:$C$35,MATCH(E185,Services!$B$6:$B$35,0)),0)-N(H185)))</f>
        <v/>
      </c>
      <c r="H185" s="34" t="n"/>
      <c r="I185" s="34" t="n">
        <v>30</v>
      </c>
      <c r="J185" s="33" t="inlineStr">
        <is>
          <t>Card</t>
        </is>
      </c>
      <c r="K185" s="28">
        <f>IF(OR(B185="",F185&lt;&gt;"Done",J185="Package"),"",IF(N(G185)-N(I185)&gt;0,N(G185)-N(I185),""))</f>
        <v/>
      </c>
      <c r="L185" s="32" t="n"/>
      <c r="M185" s="1">
        <f>IF(OR(B185="",D185="",F185="Cancelled"),"",B185+N(C185)+ROW()/10000000)</f>
        <v/>
      </c>
      <c r="N185">
        <f>IF(AND(F185="Done",M185&lt;&gt;""),IF(COUNTIFS(Appointments!$D$6:$D$2005,D185,Appointments!$F$6:$F$2005,"Done",Appointments!$M$6:$M$2005,"&gt;"&amp;M185)=0,1,0),0)</f>
        <v/>
      </c>
      <c r="O185">
        <f>IF(AND(F185="Booked",M185&lt;&gt;"",N(B185)&gt;=TODAY()),IF(COUNTIFS(Appointments!$D$6:$D$2005,D185,Appointments!$F$6:$F$2005,"Booked",Appointments!$B$6:$B$2005,"&gt;="&amp;TODAY(),Appointments!$M$6:$M$2005,"&lt;"&amp;M185)=0,1,0),0)</f>
        <v/>
      </c>
    </row>
    <row r="186">
      <c r="A186" s="1" t="n"/>
      <c r="B186" s="30" t="n">
        <v>46071</v>
      </c>
      <c r="C186" s="31" t="n">
        <v>0.375</v>
      </c>
      <c r="D186" s="32" t="inlineStr">
        <is>
          <t>Adam Gray</t>
        </is>
      </c>
      <c r="E186" s="32" t="inlineStr">
        <is>
          <t>Men's haircut</t>
        </is>
      </c>
      <c r="F186" s="33" t="inlineStr">
        <is>
          <t>Done</t>
        </is>
      </c>
      <c r="G186" s="27">
        <f>IF(E186="","",MAX(0,IFERROR(INDEX(Services!$C$6:$C$35,MATCH(E186,Services!$B$6:$B$35,0)),0)-N(H186)))</f>
        <v/>
      </c>
      <c r="H186" s="34" t="n"/>
      <c r="I186" s="34" t="n">
        <v>30</v>
      </c>
      <c r="J186" s="33" t="inlineStr">
        <is>
          <t>Cash</t>
        </is>
      </c>
      <c r="K186" s="28">
        <f>IF(OR(B186="",F186&lt;&gt;"Done",J186="Package"),"",IF(N(G186)-N(I186)&gt;0,N(G186)-N(I186),""))</f>
        <v/>
      </c>
      <c r="L186" s="32" t="n"/>
      <c r="M186" s="1">
        <f>IF(OR(B186="",D186="",F186="Cancelled"),"",B186+N(C186)+ROW()/10000000)</f>
        <v/>
      </c>
      <c r="N186">
        <f>IF(AND(F186="Done",M186&lt;&gt;""),IF(COUNTIFS(Appointments!$D$6:$D$2005,D186,Appointments!$F$6:$F$2005,"Done",Appointments!$M$6:$M$2005,"&gt;"&amp;M186)=0,1,0),0)</f>
        <v/>
      </c>
      <c r="O186">
        <f>IF(AND(F186="Booked",M186&lt;&gt;"",N(B186)&gt;=TODAY()),IF(COUNTIFS(Appointments!$D$6:$D$2005,D186,Appointments!$F$6:$F$2005,"Booked",Appointments!$B$6:$B$2005,"&gt;="&amp;TODAY(),Appointments!$M$6:$M$2005,"&lt;"&amp;M186)=0,1,0),0)</f>
        <v/>
      </c>
    </row>
    <row r="187">
      <c r="A187" s="1" t="n"/>
      <c r="B187" s="30" t="n">
        <v>46071</v>
      </c>
      <c r="C187" s="31" t="n">
        <v>0.4027777777777778</v>
      </c>
      <c r="D187" s="32" t="inlineStr">
        <is>
          <t>Chris Ellis</t>
        </is>
      </c>
      <c r="E187" s="32" t="inlineStr">
        <is>
          <t>Men's haircut</t>
        </is>
      </c>
      <c r="F187" s="33" t="inlineStr">
        <is>
          <t>Done</t>
        </is>
      </c>
      <c r="G187" s="27">
        <f>IF(E187="","",MAX(0,IFERROR(INDEX(Services!$C$6:$C$35,MATCH(E187,Services!$B$6:$B$35,0)),0)-N(H187)))</f>
        <v/>
      </c>
      <c r="H187" s="34" t="n"/>
      <c r="I187" s="34" t="n">
        <v>30</v>
      </c>
      <c r="J187" s="33" t="inlineStr">
        <is>
          <t>Transfer</t>
        </is>
      </c>
      <c r="K187" s="28">
        <f>IF(OR(B187="",F187&lt;&gt;"Done",J187="Package"),"",IF(N(G187)-N(I187)&gt;0,N(G187)-N(I187),""))</f>
        <v/>
      </c>
      <c r="L187" s="32" t="n"/>
      <c r="M187" s="1">
        <f>IF(OR(B187="",D187="",F187="Cancelled"),"",B187+N(C187)+ROW()/10000000)</f>
        <v/>
      </c>
      <c r="N187">
        <f>IF(AND(F187="Done",M187&lt;&gt;""),IF(COUNTIFS(Appointments!$D$6:$D$2005,D187,Appointments!$F$6:$F$2005,"Done",Appointments!$M$6:$M$2005,"&gt;"&amp;M187)=0,1,0),0)</f>
        <v/>
      </c>
      <c r="O187">
        <f>IF(AND(F187="Booked",M187&lt;&gt;"",N(B187)&gt;=TODAY()),IF(COUNTIFS(Appointments!$D$6:$D$2005,D187,Appointments!$F$6:$F$2005,"Booked",Appointments!$B$6:$B$2005,"&gt;="&amp;TODAY(),Appointments!$M$6:$M$2005,"&lt;"&amp;M187)=0,1,0),0)</f>
        <v/>
      </c>
    </row>
    <row r="188">
      <c r="A188" s="1" t="n"/>
      <c r="B188" s="30" t="n">
        <v>46071</v>
      </c>
      <c r="C188" s="31" t="n">
        <v>0.4305555555555556</v>
      </c>
      <c r="D188" s="32" t="inlineStr">
        <is>
          <t>Finn Gray</t>
        </is>
      </c>
      <c r="E188" s="32" t="inlineStr">
        <is>
          <t>Men's haircut</t>
        </is>
      </c>
      <c r="F188" s="33" t="inlineStr">
        <is>
          <t>Done</t>
        </is>
      </c>
      <c r="G188" s="27">
        <f>IF(E188="","",MAX(0,IFERROR(INDEX(Services!$C$6:$C$35,MATCH(E188,Services!$B$6:$B$35,0)),0)-N(H188)))</f>
        <v/>
      </c>
      <c r="H188" s="34" t="n"/>
      <c r="I188" s="34" t="n">
        <v>30</v>
      </c>
      <c r="J188" s="33" t="inlineStr">
        <is>
          <t>Card</t>
        </is>
      </c>
      <c r="K188" s="28">
        <f>IF(OR(B188="",F188&lt;&gt;"Done",J188="Package"),"",IF(N(G188)-N(I188)&gt;0,N(G188)-N(I188),""))</f>
        <v/>
      </c>
      <c r="L188" s="32" t="n"/>
      <c r="M188" s="1">
        <f>IF(OR(B188="",D188="",F188="Cancelled"),"",B188+N(C188)+ROW()/10000000)</f>
        <v/>
      </c>
      <c r="N188">
        <f>IF(AND(F188="Done",M188&lt;&gt;""),IF(COUNTIFS(Appointments!$D$6:$D$2005,D188,Appointments!$F$6:$F$2005,"Done",Appointments!$M$6:$M$2005,"&gt;"&amp;M188)=0,1,0),0)</f>
        <v/>
      </c>
      <c r="O188">
        <f>IF(AND(F188="Booked",M188&lt;&gt;"",N(B188)&gt;=TODAY()),IF(COUNTIFS(Appointments!$D$6:$D$2005,D188,Appointments!$F$6:$F$2005,"Booked",Appointments!$B$6:$B$2005,"&gt;="&amp;TODAY(),Appointments!$M$6:$M$2005,"&lt;"&amp;M188)=0,1,0),0)</f>
        <v/>
      </c>
    </row>
    <row r="189">
      <c r="A189" s="1" t="n"/>
      <c r="B189" s="30" t="n">
        <v>46071</v>
      </c>
      <c r="C189" s="31" t="n">
        <v>0.4583333333333333</v>
      </c>
      <c r="D189" s="32" t="inlineStr">
        <is>
          <t>Jon Reid</t>
        </is>
      </c>
      <c r="E189" s="32" t="inlineStr">
        <is>
          <t>Men's haircut</t>
        </is>
      </c>
      <c r="F189" s="33" t="inlineStr">
        <is>
          <t>Done</t>
        </is>
      </c>
      <c r="G189" s="27">
        <f>IF(E189="","",MAX(0,IFERROR(INDEX(Services!$C$6:$C$35,MATCH(E189,Services!$B$6:$B$35,0)),0)-N(H189)))</f>
        <v/>
      </c>
      <c r="H189" s="34" t="n"/>
      <c r="I189" s="34" t="n">
        <v>30</v>
      </c>
      <c r="J189" s="33" t="inlineStr">
        <is>
          <t>Card</t>
        </is>
      </c>
      <c r="K189" s="28">
        <f>IF(OR(B189="",F189&lt;&gt;"Done",J189="Package"),"",IF(N(G189)-N(I189)&gt;0,N(G189)-N(I189),""))</f>
        <v/>
      </c>
      <c r="L189" s="32" t="n"/>
      <c r="M189" s="1">
        <f>IF(OR(B189="",D189="",F189="Cancelled"),"",B189+N(C189)+ROW()/10000000)</f>
        <v/>
      </c>
      <c r="N189">
        <f>IF(AND(F189="Done",M189&lt;&gt;""),IF(COUNTIFS(Appointments!$D$6:$D$2005,D189,Appointments!$F$6:$F$2005,"Done",Appointments!$M$6:$M$2005,"&gt;"&amp;M189)=0,1,0),0)</f>
        <v/>
      </c>
      <c r="O189">
        <f>IF(AND(F189="Booked",M189&lt;&gt;"",N(B189)&gt;=TODAY()),IF(COUNTIFS(Appointments!$D$6:$D$2005,D189,Appointments!$F$6:$F$2005,"Booked",Appointments!$B$6:$B$2005,"&gt;="&amp;TODAY(),Appointments!$M$6:$M$2005,"&lt;"&amp;M189)=0,1,0),0)</f>
        <v/>
      </c>
    </row>
    <row r="190">
      <c r="A190" s="1" t="n"/>
      <c r="B190" s="30" t="n">
        <v>46071</v>
      </c>
      <c r="C190" s="31" t="n">
        <v>0.4861111111111111</v>
      </c>
      <c r="D190" s="32" t="inlineStr">
        <is>
          <t>Nina Ellis</t>
        </is>
      </c>
      <c r="E190" s="32" t="inlineStr">
        <is>
          <t>Women's haircut</t>
        </is>
      </c>
      <c r="F190" s="33" t="inlineStr">
        <is>
          <t>Done</t>
        </is>
      </c>
      <c r="G190" s="27">
        <f>IF(E190="","",MAX(0,IFERROR(INDEX(Services!$C$6:$C$35,MATCH(E190,Services!$B$6:$B$35,0)),0)-N(H190)))</f>
        <v/>
      </c>
      <c r="H190" s="34" t="n"/>
      <c r="I190" s="34" t="n">
        <v>55</v>
      </c>
      <c r="J190" s="33" t="inlineStr">
        <is>
          <t>Cash</t>
        </is>
      </c>
      <c r="K190" s="28">
        <f>IF(OR(B190="",F190&lt;&gt;"Done",J190="Package"),"",IF(N(G190)-N(I190)&gt;0,N(G190)-N(I190),""))</f>
        <v/>
      </c>
      <c r="L190" s="32" t="n"/>
      <c r="M190" s="1">
        <f>IF(OR(B190="",D190="",F190="Cancelled"),"",B190+N(C190)+ROW()/10000000)</f>
        <v/>
      </c>
      <c r="N190">
        <f>IF(AND(F190="Done",M190&lt;&gt;""),IF(COUNTIFS(Appointments!$D$6:$D$2005,D190,Appointments!$F$6:$F$2005,"Done",Appointments!$M$6:$M$2005,"&gt;"&amp;M190)=0,1,0),0)</f>
        <v/>
      </c>
      <c r="O190">
        <f>IF(AND(F190="Booked",M190&lt;&gt;"",N(B190)&gt;=TODAY()),IF(COUNTIFS(Appointments!$D$6:$D$2005,D190,Appointments!$F$6:$F$2005,"Booked",Appointments!$B$6:$B$2005,"&gt;="&amp;TODAY(),Appointments!$M$6:$M$2005,"&lt;"&amp;M190)=0,1,0),0)</f>
        <v/>
      </c>
    </row>
    <row r="191">
      <c r="A191" s="1" t="n"/>
      <c r="B191" s="30" t="n">
        <v>46071</v>
      </c>
      <c r="C191" s="31" t="n">
        <v>0.5347222222222222</v>
      </c>
      <c r="D191" s="32" t="inlineStr">
        <is>
          <t>Ryan Adams</t>
        </is>
      </c>
      <c r="E191" s="32" t="inlineStr">
        <is>
          <t>Men's haircut</t>
        </is>
      </c>
      <c r="F191" s="33" t="inlineStr">
        <is>
          <t>Done</t>
        </is>
      </c>
      <c r="G191" s="27">
        <f>IF(E191="","",MAX(0,IFERROR(INDEX(Services!$C$6:$C$35,MATCH(E191,Services!$B$6:$B$35,0)),0)-N(H191)))</f>
        <v/>
      </c>
      <c r="H191" s="34" t="n"/>
      <c r="I191" s="34" t="n">
        <v>30</v>
      </c>
      <c r="J191" s="33" t="inlineStr">
        <is>
          <t>Card</t>
        </is>
      </c>
      <c r="K191" s="28">
        <f>IF(OR(B191="",F191&lt;&gt;"Done",J191="Package"),"",IF(N(G191)-N(I191)&gt;0,N(G191)-N(I191),""))</f>
        <v/>
      </c>
      <c r="L191" s="32" t="n"/>
      <c r="M191" s="1">
        <f>IF(OR(B191="",D191="",F191="Cancelled"),"",B191+N(C191)+ROW()/10000000)</f>
        <v/>
      </c>
      <c r="N191">
        <f>IF(AND(F191="Done",M191&lt;&gt;""),IF(COUNTIFS(Appointments!$D$6:$D$2005,D191,Appointments!$F$6:$F$2005,"Done",Appointments!$M$6:$M$2005,"&gt;"&amp;M191)=0,1,0),0)</f>
        <v/>
      </c>
      <c r="O191">
        <f>IF(AND(F191="Booked",M191&lt;&gt;"",N(B191)&gt;=TODAY()),IF(COUNTIFS(Appointments!$D$6:$D$2005,D191,Appointments!$F$6:$F$2005,"Booked",Appointments!$B$6:$B$2005,"&gt;="&amp;TODAY(),Appointments!$M$6:$M$2005,"&lt;"&amp;M191)=0,1,0),0)</f>
        <v/>
      </c>
    </row>
    <row r="192">
      <c r="A192" s="1" t="n"/>
      <c r="B192" s="30" t="n">
        <v>46071</v>
      </c>
      <c r="C192" s="31" t="n">
        <v>0.5625</v>
      </c>
      <c r="D192" s="32" t="inlineStr">
        <is>
          <t>Sophie Cox</t>
        </is>
      </c>
      <c r="E192" s="32" t="inlineStr">
        <is>
          <t>Women's haircut</t>
        </is>
      </c>
      <c r="F192" s="33" t="inlineStr">
        <is>
          <t>Done</t>
        </is>
      </c>
      <c r="G192" s="27">
        <f>IF(E192="","",MAX(0,IFERROR(INDEX(Services!$C$6:$C$35,MATCH(E192,Services!$B$6:$B$35,0)),0)-N(H192)))</f>
        <v/>
      </c>
      <c r="H192" s="34" t="n"/>
      <c r="I192" s="34" t="n">
        <v>55</v>
      </c>
      <c r="J192" s="33" t="inlineStr">
        <is>
          <t>Transfer</t>
        </is>
      </c>
      <c r="K192" s="28">
        <f>IF(OR(B192="",F192&lt;&gt;"Done",J192="Package"),"",IF(N(G192)-N(I192)&gt;0,N(G192)-N(I192),""))</f>
        <v/>
      </c>
      <c r="L192" s="32" t="n"/>
      <c r="M192" s="1">
        <f>IF(OR(B192="",D192="",F192="Cancelled"),"",B192+N(C192)+ROW()/10000000)</f>
        <v/>
      </c>
      <c r="N192">
        <f>IF(AND(F192="Done",M192&lt;&gt;""),IF(COUNTIFS(Appointments!$D$6:$D$2005,D192,Appointments!$F$6:$F$2005,"Done",Appointments!$M$6:$M$2005,"&gt;"&amp;M192)=0,1,0),0)</f>
        <v/>
      </c>
      <c r="O192">
        <f>IF(AND(F192="Booked",M192&lt;&gt;"",N(B192)&gt;=TODAY()),IF(COUNTIFS(Appointments!$D$6:$D$2005,D192,Appointments!$F$6:$F$2005,"Booked",Appointments!$B$6:$B$2005,"&gt;="&amp;TODAY(),Appointments!$M$6:$M$2005,"&lt;"&amp;M192)=0,1,0),0)</f>
        <v/>
      </c>
    </row>
    <row r="193">
      <c r="A193" s="1" t="n"/>
      <c r="B193" s="30" t="n">
        <v>46072</v>
      </c>
      <c r="C193" s="31" t="n">
        <v>0.375</v>
      </c>
      <c r="D193" s="32" t="inlineStr">
        <is>
          <t>Gina Reid</t>
        </is>
      </c>
      <c r="E193" s="32" t="inlineStr">
        <is>
          <t>Highlights</t>
        </is>
      </c>
      <c r="F193" s="33" t="inlineStr">
        <is>
          <t>Done</t>
        </is>
      </c>
      <c r="G193" s="27">
        <f>IF(E193="","",MAX(0,IFERROR(INDEX(Services!$C$6:$C$35,MATCH(E193,Services!$B$6:$B$35,0)),0)-N(H193)))</f>
        <v/>
      </c>
      <c r="H193" s="34" t="n"/>
      <c r="I193" s="34" t="n">
        <v>140</v>
      </c>
      <c r="J193" s="33" t="inlineStr">
        <is>
          <t>Card</t>
        </is>
      </c>
      <c r="K193" s="28">
        <f>IF(OR(B193="",F193&lt;&gt;"Done",J193="Package"),"",IF(N(G193)-N(I193)&gt;0,N(G193)-N(I193),""))</f>
        <v/>
      </c>
      <c r="L193" s="32" t="n"/>
      <c r="M193" s="1">
        <f>IF(OR(B193="",D193="",F193="Cancelled"),"",B193+N(C193)+ROW()/10000000)</f>
        <v/>
      </c>
      <c r="N193">
        <f>IF(AND(F193="Done",M193&lt;&gt;""),IF(COUNTIFS(Appointments!$D$6:$D$2005,D193,Appointments!$F$6:$F$2005,"Done",Appointments!$M$6:$M$2005,"&gt;"&amp;M193)=0,1,0),0)</f>
        <v/>
      </c>
      <c r="O193">
        <f>IF(AND(F193="Booked",M193&lt;&gt;"",N(B193)&gt;=TODAY()),IF(COUNTIFS(Appointments!$D$6:$D$2005,D193,Appointments!$F$6:$F$2005,"Booked",Appointments!$B$6:$B$2005,"&gt;="&amp;TODAY(),Appointments!$M$6:$M$2005,"&lt;"&amp;M193)=0,1,0),0)</f>
        <v/>
      </c>
    </row>
    <row r="194">
      <c r="A194" s="1" t="n"/>
      <c r="B194" s="30" t="n">
        <v>46072</v>
      </c>
      <c r="C194" s="31" t="n">
        <v>0.4861111111111111</v>
      </c>
      <c r="D194" s="32" t="inlineStr">
        <is>
          <t>Jon Gray</t>
        </is>
      </c>
      <c r="E194" s="32" t="inlineStr">
        <is>
          <t>Men's haircut</t>
        </is>
      </c>
      <c r="F194" s="33" t="inlineStr">
        <is>
          <t>Done</t>
        </is>
      </c>
      <c r="G194" s="27">
        <f>IF(E194="","",MAX(0,IFERROR(INDEX(Services!$C$6:$C$35,MATCH(E194,Services!$B$6:$B$35,0)),0)-N(H194)))</f>
        <v/>
      </c>
      <c r="H194" s="34" t="n"/>
      <c r="I194" s="34" t="n">
        <v>30</v>
      </c>
      <c r="J194" s="33" t="inlineStr">
        <is>
          <t>Card</t>
        </is>
      </c>
      <c r="K194" s="28">
        <f>IF(OR(B194="",F194&lt;&gt;"Done",J194="Package"),"",IF(N(G194)-N(I194)&gt;0,N(G194)-N(I194),""))</f>
        <v/>
      </c>
      <c r="L194" s="32" t="n"/>
      <c r="M194" s="1">
        <f>IF(OR(B194="",D194="",F194="Cancelled"),"",B194+N(C194)+ROW()/10000000)</f>
        <v/>
      </c>
      <c r="N194">
        <f>IF(AND(F194="Done",M194&lt;&gt;""),IF(COUNTIFS(Appointments!$D$6:$D$2005,D194,Appointments!$F$6:$F$2005,"Done",Appointments!$M$6:$M$2005,"&gt;"&amp;M194)=0,1,0),0)</f>
        <v/>
      </c>
      <c r="O194">
        <f>IF(AND(F194="Booked",M194&lt;&gt;"",N(B194)&gt;=TODAY()),IF(COUNTIFS(Appointments!$D$6:$D$2005,D194,Appointments!$F$6:$F$2005,"Booked",Appointments!$B$6:$B$2005,"&gt;="&amp;TODAY(),Appointments!$M$6:$M$2005,"&lt;"&amp;M194)=0,1,0),0)</f>
        <v/>
      </c>
    </row>
    <row r="195">
      <c r="A195" s="1" t="n"/>
      <c r="B195" s="30" t="n">
        <v>46072</v>
      </c>
      <c r="C195" s="31" t="n">
        <v>0.5138888888888888</v>
      </c>
      <c r="D195" s="32" t="inlineStr">
        <is>
          <t>Julia Hughes</t>
        </is>
      </c>
      <c r="E195" s="32" t="inlineStr">
        <is>
          <t>Women's haircut</t>
        </is>
      </c>
      <c r="F195" s="33" t="inlineStr">
        <is>
          <t>Done</t>
        </is>
      </c>
      <c r="G195" s="27">
        <f>IF(E195="","",MAX(0,IFERROR(INDEX(Services!$C$6:$C$35,MATCH(E195,Services!$B$6:$B$35,0)),0)-N(H195)))</f>
        <v/>
      </c>
      <c r="H195" s="34" t="n"/>
      <c r="I195" s="34" t="n">
        <v>55</v>
      </c>
      <c r="J195" s="33" t="inlineStr">
        <is>
          <t>Card</t>
        </is>
      </c>
      <c r="K195" s="28">
        <f>IF(OR(B195="",F195&lt;&gt;"Done",J195="Package"),"",IF(N(G195)-N(I195)&gt;0,N(G195)-N(I195),""))</f>
        <v/>
      </c>
      <c r="L195" s="32" t="n"/>
      <c r="M195" s="1">
        <f>IF(OR(B195="",D195="",F195="Cancelled"),"",B195+N(C195)+ROW()/10000000)</f>
        <v/>
      </c>
      <c r="N195">
        <f>IF(AND(F195="Done",M195&lt;&gt;""),IF(COUNTIFS(Appointments!$D$6:$D$2005,D195,Appointments!$F$6:$F$2005,"Done",Appointments!$M$6:$M$2005,"&gt;"&amp;M195)=0,1,0),0)</f>
        <v/>
      </c>
      <c r="O195">
        <f>IF(AND(F195="Booked",M195&lt;&gt;"",N(B195)&gt;=TODAY()),IF(COUNTIFS(Appointments!$D$6:$D$2005,D195,Appointments!$F$6:$F$2005,"Booked",Appointments!$B$6:$B$2005,"&gt;="&amp;TODAY(),Appointments!$M$6:$M$2005,"&lt;"&amp;M195)=0,1,0),0)</f>
        <v/>
      </c>
    </row>
    <row r="196">
      <c r="A196" s="1" t="n"/>
      <c r="B196" s="30" t="n">
        <v>46072</v>
      </c>
      <c r="C196" s="31" t="n">
        <v>0.5625</v>
      </c>
      <c r="D196" s="32" t="inlineStr">
        <is>
          <t>Kyle Fox</t>
        </is>
      </c>
      <c r="E196" s="32" t="inlineStr">
        <is>
          <t>Men's haircut</t>
        </is>
      </c>
      <c r="F196" s="33" t="inlineStr">
        <is>
          <t>Done</t>
        </is>
      </c>
      <c r="G196" s="27">
        <f>IF(E196="","",MAX(0,IFERROR(INDEX(Services!$C$6:$C$35,MATCH(E196,Services!$B$6:$B$35,0)),0)-N(H196)))</f>
        <v/>
      </c>
      <c r="H196" s="34" t="n"/>
      <c r="I196" s="34" t="n">
        <v>30</v>
      </c>
      <c r="J196" s="33" t="inlineStr">
        <is>
          <t>Card</t>
        </is>
      </c>
      <c r="K196" s="28">
        <f>IF(OR(B196="",F196&lt;&gt;"Done",J196="Package"),"",IF(N(G196)-N(I196)&gt;0,N(G196)-N(I196),""))</f>
        <v/>
      </c>
      <c r="L196" s="32" t="n"/>
      <c r="M196" s="1">
        <f>IF(OR(B196="",D196="",F196="Cancelled"),"",B196+N(C196)+ROW()/10000000)</f>
        <v/>
      </c>
      <c r="N196">
        <f>IF(AND(F196="Done",M196&lt;&gt;""),IF(COUNTIFS(Appointments!$D$6:$D$2005,D196,Appointments!$F$6:$F$2005,"Done",Appointments!$M$6:$M$2005,"&gt;"&amp;M196)=0,1,0),0)</f>
        <v/>
      </c>
      <c r="O196">
        <f>IF(AND(F196="Booked",M196&lt;&gt;"",N(B196)&gt;=TODAY()),IF(COUNTIFS(Appointments!$D$6:$D$2005,D196,Appointments!$F$6:$F$2005,"Booked",Appointments!$B$6:$B$2005,"&gt;="&amp;TODAY(),Appointments!$M$6:$M$2005,"&lt;"&amp;M196)=0,1,0),0)</f>
        <v/>
      </c>
    </row>
    <row r="197">
      <c r="A197" s="1" t="n"/>
      <c r="B197" s="30" t="n">
        <v>46072</v>
      </c>
      <c r="C197" s="31" t="n">
        <v>0.5902777777777778</v>
      </c>
      <c r="D197" s="32" t="inlineStr">
        <is>
          <t>Kyle Hughes</t>
        </is>
      </c>
      <c r="E197" s="32" t="inlineStr">
        <is>
          <t>Men's haircut</t>
        </is>
      </c>
      <c r="F197" s="33" t="inlineStr">
        <is>
          <t>Done</t>
        </is>
      </c>
      <c r="G197" s="27">
        <f>IF(E197="","",MAX(0,IFERROR(INDEX(Services!$C$6:$C$35,MATCH(E197,Services!$B$6:$B$35,0)),0)-N(H197)))</f>
        <v/>
      </c>
      <c r="H197" s="34" t="n"/>
      <c r="I197" s="34" t="n">
        <v>30</v>
      </c>
      <c r="J197" s="33" t="inlineStr">
        <is>
          <t>Card</t>
        </is>
      </c>
      <c r="K197" s="28">
        <f>IF(OR(B197="",F197&lt;&gt;"Done",J197="Package"),"",IF(N(G197)-N(I197)&gt;0,N(G197)-N(I197),""))</f>
        <v/>
      </c>
      <c r="L197" s="32" t="n"/>
      <c r="M197" s="1">
        <f>IF(OR(B197="",D197="",F197="Cancelled"),"",B197+N(C197)+ROW()/10000000)</f>
        <v/>
      </c>
      <c r="N197">
        <f>IF(AND(F197="Done",M197&lt;&gt;""),IF(COUNTIFS(Appointments!$D$6:$D$2005,D197,Appointments!$F$6:$F$2005,"Done",Appointments!$M$6:$M$2005,"&gt;"&amp;M197)=0,1,0),0)</f>
        <v/>
      </c>
      <c r="O197">
        <f>IF(AND(F197="Booked",M197&lt;&gt;"",N(B197)&gt;=TODAY()),IF(COUNTIFS(Appointments!$D$6:$D$2005,D197,Appointments!$F$6:$F$2005,"Booked",Appointments!$B$6:$B$2005,"&gt;="&amp;TODAY(),Appointments!$M$6:$M$2005,"&lt;"&amp;M197)=0,1,0),0)</f>
        <v/>
      </c>
    </row>
    <row r="198">
      <c r="A198" s="1" t="n"/>
      <c r="B198" s="30" t="n">
        <v>46072</v>
      </c>
      <c r="C198" s="31" t="n">
        <v>0.6180555555555556</v>
      </c>
      <c r="D198" s="32" t="inlineStr">
        <is>
          <t>Luke Reed</t>
        </is>
      </c>
      <c r="E198" s="32" t="inlineStr">
        <is>
          <t>Men's haircut</t>
        </is>
      </c>
      <c r="F198" s="33" t="inlineStr">
        <is>
          <t>Done</t>
        </is>
      </c>
      <c r="G198" s="27">
        <f>IF(E198="","",MAX(0,IFERROR(INDEX(Services!$C$6:$C$35,MATCH(E198,Services!$B$6:$B$35,0)),0)-N(H198)))</f>
        <v/>
      </c>
      <c r="H198" s="34" t="n"/>
      <c r="I198" s="34" t="n">
        <v>30</v>
      </c>
      <c r="J198" s="33" t="inlineStr">
        <is>
          <t>Card</t>
        </is>
      </c>
      <c r="K198" s="28">
        <f>IF(OR(B198="",F198&lt;&gt;"Done",J198="Package"),"",IF(N(G198)-N(I198)&gt;0,N(G198)-N(I198),""))</f>
        <v/>
      </c>
      <c r="L198" s="32" t="n"/>
      <c r="M198" s="1">
        <f>IF(OR(B198="",D198="",F198="Cancelled"),"",B198+N(C198)+ROW()/10000000)</f>
        <v/>
      </c>
      <c r="N198">
        <f>IF(AND(F198="Done",M198&lt;&gt;""),IF(COUNTIFS(Appointments!$D$6:$D$2005,D198,Appointments!$F$6:$F$2005,"Done",Appointments!$M$6:$M$2005,"&gt;"&amp;M198)=0,1,0),0)</f>
        <v/>
      </c>
      <c r="O198">
        <f>IF(AND(F198="Booked",M198&lt;&gt;"",N(B198)&gt;=TODAY()),IF(COUNTIFS(Appointments!$D$6:$D$2005,D198,Appointments!$F$6:$F$2005,"Booked",Appointments!$B$6:$B$2005,"&gt;="&amp;TODAY(),Appointments!$M$6:$M$2005,"&lt;"&amp;M198)=0,1,0),0)</f>
        <v/>
      </c>
    </row>
    <row r="199">
      <c r="A199" s="1" t="n"/>
      <c r="B199" s="30" t="n">
        <v>46072</v>
      </c>
      <c r="C199" s="31" t="n">
        <v>0.6458333333333334</v>
      </c>
      <c r="D199" s="32" t="inlineStr">
        <is>
          <t>Tara Singh</t>
        </is>
      </c>
      <c r="E199" s="32" t="inlineStr">
        <is>
          <t>Women's haircut</t>
        </is>
      </c>
      <c r="F199" s="33" t="inlineStr">
        <is>
          <t>Done</t>
        </is>
      </c>
      <c r="G199" s="27">
        <f>IF(E199="","",MAX(0,IFERROR(INDEX(Services!$C$6:$C$35,MATCH(E199,Services!$B$6:$B$35,0)),0)-N(H199)))</f>
        <v/>
      </c>
      <c r="H199" s="34" t="n">
        <v>10</v>
      </c>
      <c r="I199" s="34" t="n">
        <v>45</v>
      </c>
      <c r="J199" s="33" t="inlineStr">
        <is>
          <t>Cash</t>
        </is>
      </c>
      <c r="K199" s="28">
        <f>IF(OR(B199="",F199&lt;&gt;"Done",J199="Package"),"",IF(N(G199)-N(I199)&gt;0,N(G199)-N(I199),""))</f>
        <v/>
      </c>
      <c r="L199" s="32" t="inlineStr">
        <is>
          <t>Friends and family</t>
        </is>
      </c>
      <c r="M199" s="1">
        <f>IF(OR(B199="",D199="",F199="Cancelled"),"",B199+N(C199)+ROW()/10000000)</f>
        <v/>
      </c>
      <c r="N199">
        <f>IF(AND(F199="Done",M199&lt;&gt;""),IF(COUNTIFS(Appointments!$D$6:$D$2005,D199,Appointments!$F$6:$F$2005,"Done",Appointments!$M$6:$M$2005,"&gt;"&amp;M199)=0,1,0),0)</f>
        <v/>
      </c>
      <c r="O199">
        <f>IF(AND(F199="Booked",M199&lt;&gt;"",N(B199)&gt;=TODAY()),IF(COUNTIFS(Appointments!$D$6:$D$2005,D199,Appointments!$F$6:$F$2005,"Booked",Appointments!$B$6:$B$2005,"&gt;="&amp;TODAY(),Appointments!$M$6:$M$2005,"&lt;"&amp;M199)=0,1,0),0)</f>
        <v/>
      </c>
    </row>
    <row r="200">
      <c r="A200" s="1" t="n"/>
      <c r="B200" s="30" t="n">
        <v>46073</v>
      </c>
      <c r="C200" s="31" t="n">
        <v>0.375</v>
      </c>
      <c r="D200" s="32" t="inlineStr">
        <is>
          <t>Eva Mills</t>
        </is>
      </c>
      <c r="E200" s="32" t="inlineStr">
        <is>
          <t>Women's haircut</t>
        </is>
      </c>
      <c r="F200" s="33" t="inlineStr">
        <is>
          <t>Done</t>
        </is>
      </c>
      <c r="G200" s="27">
        <f>IF(E200="","",MAX(0,IFERROR(INDEX(Services!$C$6:$C$35,MATCH(E200,Services!$B$6:$B$35,0)),0)-N(H200)))</f>
        <v/>
      </c>
      <c r="H200" s="34" t="n"/>
      <c r="I200" s="34" t="n">
        <v>55</v>
      </c>
      <c r="J200" s="33" t="inlineStr">
        <is>
          <t>Cash</t>
        </is>
      </c>
      <c r="K200" s="28">
        <f>IF(OR(B200="",F200&lt;&gt;"Done",J200="Package"),"",IF(N(G200)-N(I200)&gt;0,N(G200)-N(I200),""))</f>
        <v/>
      </c>
      <c r="L200" s="32" t="n"/>
      <c r="M200" s="1">
        <f>IF(OR(B200="",D200="",F200="Cancelled"),"",B200+N(C200)+ROW()/10000000)</f>
        <v/>
      </c>
      <c r="N200">
        <f>IF(AND(F200="Done",M200&lt;&gt;""),IF(COUNTIFS(Appointments!$D$6:$D$2005,D200,Appointments!$F$6:$F$2005,"Done",Appointments!$M$6:$M$2005,"&gt;"&amp;M200)=0,1,0),0)</f>
        <v/>
      </c>
      <c r="O200">
        <f>IF(AND(F200="Booked",M200&lt;&gt;"",N(B200)&gt;=TODAY()),IF(COUNTIFS(Appointments!$D$6:$D$2005,D200,Appointments!$F$6:$F$2005,"Booked",Appointments!$B$6:$B$2005,"&gt;="&amp;TODAY(),Appointments!$M$6:$M$2005,"&lt;"&amp;M200)=0,1,0),0)</f>
        <v/>
      </c>
    </row>
    <row r="201">
      <c r="A201" s="1" t="n"/>
      <c r="B201" s="30" t="n">
        <v>46073</v>
      </c>
      <c r="C201" s="31" t="n">
        <v>0.4236111111111111</v>
      </c>
      <c r="D201" s="32" t="inlineStr">
        <is>
          <t>Nina Cook</t>
        </is>
      </c>
      <c r="E201" s="32" t="inlineStr">
        <is>
          <t>Toner</t>
        </is>
      </c>
      <c r="F201" s="33" t="inlineStr">
        <is>
          <t>Done</t>
        </is>
      </c>
      <c r="G201" s="27">
        <f>IF(E201="","",MAX(0,IFERROR(INDEX(Services!$C$6:$C$35,MATCH(E201,Services!$B$6:$B$35,0)),0)-N(H201)))</f>
        <v/>
      </c>
      <c r="H201" s="34" t="n"/>
      <c r="I201" s="34" t="n">
        <v>40</v>
      </c>
      <c r="J201" s="33" t="inlineStr">
        <is>
          <t>Card</t>
        </is>
      </c>
      <c r="K201" s="28">
        <f>IF(OR(B201="",F201&lt;&gt;"Done",J201="Package"),"",IF(N(G201)-N(I201)&gt;0,N(G201)-N(I201),""))</f>
        <v/>
      </c>
      <c r="L201" s="32" t="n"/>
      <c r="M201" s="1">
        <f>IF(OR(B201="",D201="",F201="Cancelled"),"",B201+N(C201)+ROW()/10000000)</f>
        <v/>
      </c>
      <c r="N201">
        <f>IF(AND(F201="Done",M201&lt;&gt;""),IF(COUNTIFS(Appointments!$D$6:$D$2005,D201,Appointments!$F$6:$F$2005,"Done",Appointments!$M$6:$M$2005,"&gt;"&amp;M201)=0,1,0),0)</f>
        <v/>
      </c>
      <c r="O201">
        <f>IF(AND(F201="Booked",M201&lt;&gt;"",N(B201)&gt;=TODAY()),IF(COUNTIFS(Appointments!$D$6:$D$2005,D201,Appointments!$F$6:$F$2005,"Booked",Appointments!$B$6:$B$2005,"&gt;="&amp;TODAY(),Appointments!$M$6:$M$2005,"&lt;"&amp;M201)=0,1,0),0)</f>
        <v/>
      </c>
    </row>
    <row r="202">
      <c r="A202" s="1" t="n"/>
      <c r="B202" s="30" t="n">
        <v>46073</v>
      </c>
      <c r="C202" s="31" t="n">
        <v>0.4513888888888889</v>
      </c>
      <c r="D202" s="32" t="inlineStr">
        <is>
          <t>Owen Lewis</t>
        </is>
      </c>
      <c r="E202" s="32" t="inlineStr">
        <is>
          <t>Men's haircut</t>
        </is>
      </c>
      <c r="F202" s="33" t="inlineStr">
        <is>
          <t>Done</t>
        </is>
      </c>
      <c r="G202" s="27">
        <f>IF(E202="","",MAX(0,IFERROR(INDEX(Services!$C$6:$C$35,MATCH(E202,Services!$B$6:$B$35,0)),0)-N(H202)))</f>
        <v/>
      </c>
      <c r="H202" s="34" t="n"/>
      <c r="I202" s="34" t="n">
        <v>30</v>
      </c>
      <c r="J202" s="33" t="inlineStr">
        <is>
          <t>Card</t>
        </is>
      </c>
      <c r="K202" s="28">
        <f>IF(OR(B202="",F202&lt;&gt;"Done",J202="Package"),"",IF(N(G202)-N(I202)&gt;0,N(G202)-N(I202),""))</f>
        <v/>
      </c>
      <c r="L202" s="32" t="n"/>
      <c r="M202" s="1">
        <f>IF(OR(B202="",D202="",F202="Cancelled"),"",B202+N(C202)+ROW()/10000000)</f>
        <v/>
      </c>
      <c r="N202">
        <f>IF(AND(F202="Done",M202&lt;&gt;""),IF(COUNTIFS(Appointments!$D$6:$D$2005,D202,Appointments!$F$6:$F$2005,"Done",Appointments!$M$6:$M$2005,"&gt;"&amp;M202)=0,1,0),0)</f>
        <v/>
      </c>
      <c r="O202">
        <f>IF(AND(F202="Booked",M202&lt;&gt;"",N(B202)&gt;=TODAY()),IF(COUNTIFS(Appointments!$D$6:$D$2005,D202,Appointments!$F$6:$F$2005,"Booked",Appointments!$B$6:$B$2005,"&gt;="&amp;TODAY(),Appointments!$M$6:$M$2005,"&lt;"&amp;M202)=0,1,0),0)</f>
        <v/>
      </c>
    </row>
    <row r="203">
      <c r="A203" s="1" t="n"/>
      <c r="B203" s="30" t="n">
        <v>46073</v>
      </c>
      <c r="C203" s="31" t="n">
        <v>0.4791666666666667</v>
      </c>
      <c r="D203" s="32" t="inlineStr">
        <is>
          <t>Rosa Diaz</t>
        </is>
      </c>
      <c r="E203" s="32" t="inlineStr">
        <is>
          <t>Colour</t>
        </is>
      </c>
      <c r="F203" s="33" t="inlineStr">
        <is>
          <t>Done</t>
        </is>
      </c>
      <c r="G203" s="27">
        <f>IF(E203="","",MAX(0,IFERROR(INDEX(Services!$C$6:$C$35,MATCH(E203,Services!$B$6:$B$35,0)),0)-N(H203)))</f>
        <v/>
      </c>
      <c r="H203" s="34" t="n"/>
      <c r="I203" s="34" t="n">
        <v>95</v>
      </c>
      <c r="J203" s="33" t="inlineStr">
        <is>
          <t>Card</t>
        </is>
      </c>
      <c r="K203" s="28">
        <f>IF(OR(B203="",F203&lt;&gt;"Done",J203="Package"),"",IF(N(G203)-N(I203)&gt;0,N(G203)-N(I203),""))</f>
        <v/>
      </c>
      <c r="L203" s="32" t="n"/>
      <c r="M203" s="1">
        <f>IF(OR(B203="",D203="",F203="Cancelled"),"",B203+N(C203)+ROW()/10000000)</f>
        <v/>
      </c>
      <c r="N203">
        <f>IF(AND(F203="Done",M203&lt;&gt;""),IF(COUNTIFS(Appointments!$D$6:$D$2005,D203,Appointments!$F$6:$F$2005,"Done",Appointments!$M$6:$M$2005,"&gt;"&amp;M203)=0,1,0),0)</f>
        <v/>
      </c>
      <c r="O203">
        <f>IF(AND(F203="Booked",M203&lt;&gt;"",N(B203)&gt;=TODAY()),IF(COUNTIFS(Appointments!$D$6:$D$2005,D203,Appointments!$F$6:$F$2005,"Booked",Appointments!$B$6:$B$2005,"&gt;="&amp;TODAY(),Appointments!$M$6:$M$2005,"&lt;"&amp;M203)=0,1,0),0)</f>
        <v/>
      </c>
    </row>
    <row r="204">
      <c r="A204" s="1" t="n"/>
      <c r="B204" s="30" t="n">
        <v>46073</v>
      </c>
      <c r="C204" s="31" t="n">
        <v>0.5694444444444444</v>
      </c>
      <c r="D204" s="32" t="inlineStr">
        <is>
          <t>Sophie Stone</t>
        </is>
      </c>
      <c r="E204" s="32" t="inlineStr">
        <is>
          <t>Blow dry</t>
        </is>
      </c>
      <c r="F204" s="33" t="inlineStr">
        <is>
          <t>Done</t>
        </is>
      </c>
      <c r="G204" s="27">
        <f>IF(E204="","",MAX(0,IFERROR(INDEX(Services!$C$6:$C$35,MATCH(E204,Services!$B$6:$B$35,0)),0)-N(H204)))</f>
        <v/>
      </c>
      <c r="H204" s="34" t="n"/>
      <c r="I204" s="34" t="n">
        <v>35</v>
      </c>
      <c r="J204" s="33" t="inlineStr">
        <is>
          <t>Card</t>
        </is>
      </c>
      <c r="K204" s="28">
        <f>IF(OR(B204="",F204&lt;&gt;"Done",J204="Package"),"",IF(N(G204)-N(I204)&gt;0,N(G204)-N(I204),""))</f>
        <v/>
      </c>
      <c r="L204" s="32" t="n"/>
      <c r="M204" s="1">
        <f>IF(OR(B204="",D204="",F204="Cancelled"),"",B204+N(C204)+ROW()/10000000)</f>
        <v/>
      </c>
      <c r="N204">
        <f>IF(AND(F204="Done",M204&lt;&gt;""),IF(COUNTIFS(Appointments!$D$6:$D$2005,D204,Appointments!$F$6:$F$2005,"Done",Appointments!$M$6:$M$2005,"&gt;"&amp;M204)=0,1,0),0)</f>
        <v/>
      </c>
      <c r="O204">
        <f>IF(AND(F204="Booked",M204&lt;&gt;"",N(B204)&gt;=TODAY()),IF(COUNTIFS(Appointments!$D$6:$D$2005,D204,Appointments!$F$6:$F$2005,"Booked",Appointments!$B$6:$B$2005,"&gt;="&amp;TODAY(),Appointments!$M$6:$M$2005,"&lt;"&amp;M204)=0,1,0),0)</f>
        <v/>
      </c>
    </row>
    <row r="205">
      <c r="A205" s="1" t="n"/>
      <c r="B205" s="30" t="n">
        <v>46073</v>
      </c>
      <c r="C205" s="31" t="n">
        <v>0.6076388888888888</v>
      </c>
      <c r="D205" s="32" t="inlineStr">
        <is>
          <t>Tom Gray</t>
        </is>
      </c>
      <c r="E205" s="32" t="inlineStr">
        <is>
          <t>Men's haircut</t>
        </is>
      </c>
      <c r="F205" s="33" t="inlineStr">
        <is>
          <t>Done</t>
        </is>
      </c>
      <c r="G205" s="27">
        <f>IF(E205="","",MAX(0,IFERROR(INDEX(Services!$C$6:$C$35,MATCH(E205,Services!$B$6:$B$35,0)),0)-N(H205)))</f>
        <v/>
      </c>
      <c r="H205" s="34" t="n"/>
      <c r="I205" s="34" t="n">
        <v>30</v>
      </c>
      <c r="J205" s="33" t="inlineStr">
        <is>
          <t>Cash</t>
        </is>
      </c>
      <c r="K205" s="28">
        <f>IF(OR(B205="",F205&lt;&gt;"Done",J205="Package"),"",IF(N(G205)-N(I205)&gt;0,N(G205)-N(I205),""))</f>
        <v/>
      </c>
      <c r="L205" s="32" t="n"/>
      <c r="M205" s="1">
        <f>IF(OR(B205="",D205="",F205="Cancelled"),"",B205+N(C205)+ROW()/10000000)</f>
        <v/>
      </c>
      <c r="N205">
        <f>IF(AND(F205="Done",M205&lt;&gt;""),IF(COUNTIFS(Appointments!$D$6:$D$2005,D205,Appointments!$F$6:$F$2005,"Done",Appointments!$M$6:$M$2005,"&gt;"&amp;M205)=0,1,0),0)</f>
        <v/>
      </c>
      <c r="O205">
        <f>IF(AND(F205="Booked",M205&lt;&gt;"",N(B205)&gt;=TODAY()),IF(COUNTIFS(Appointments!$D$6:$D$2005,D205,Appointments!$F$6:$F$2005,"Booked",Appointments!$B$6:$B$2005,"&gt;="&amp;TODAY(),Appointments!$M$6:$M$2005,"&lt;"&amp;M205)=0,1,0),0)</f>
        <v/>
      </c>
    </row>
    <row r="206">
      <c r="A206" s="1" t="n"/>
      <c r="B206" s="30" t="n">
        <v>46074</v>
      </c>
      <c r="C206" s="31" t="n">
        <v>0.375</v>
      </c>
      <c r="D206" s="32" t="inlineStr">
        <is>
          <t>Harry Hill</t>
        </is>
      </c>
      <c r="E206" s="32" t="inlineStr">
        <is>
          <t>Men's haircut</t>
        </is>
      </c>
      <c r="F206" s="33" t="inlineStr">
        <is>
          <t>Cancelled</t>
        </is>
      </c>
      <c r="G206" s="27">
        <f>IF(E206="","",MAX(0,IFERROR(INDEX(Services!$C$6:$C$35,MATCH(E206,Services!$B$6:$B$35,0)),0)-N(H206)))</f>
        <v/>
      </c>
      <c r="H206" s="34" t="n"/>
      <c r="I206" s="34" t="n"/>
      <c r="J206" s="33" t="n"/>
      <c r="K206" s="28">
        <f>IF(OR(B206="",F206&lt;&gt;"Done",J206="Package"),"",IF(N(G206)-N(I206)&gt;0,N(G206)-N(I206),""))</f>
        <v/>
      </c>
      <c r="L206" s="32" t="n"/>
      <c r="M206" s="1">
        <f>IF(OR(B206="",D206="",F206="Cancelled"),"",B206+N(C206)+ROW()/10000000)</f>
        <v/>
      </c>
      <c r="N206">
        <f>IF(AND(F206="Done",M206&lt;&gt;""),IF(COUNTIFS(Appointments!$D$6:$D$2005,D206,Appointments!$F$6:$F$2005,"Done",Appointments!$M$6:$M$2005,"&gt;"&amp;M206)=0,1,0),0)</f>
        <v/>
      </c>
      <c r="O206">
        <f>IF(AND(F206="Booked",M206&lt;&gt;"",N(B206)&gt;=TODAY()),IF(COUNTIFS(Appointments!$D$6:$D$2005,D206,Appointments!$F$6:$F$2005,"Booked",Appointments!$B$6:$B$2005,"&gt;="&amp;TODAY(),Appointments!$M$6:$M$2005,"&lt;"&amp;M206)=0,1,0),0)</f>
        <v/>
      </c>
    </row>
    <row r="207">
      <c r="A207" s="1" t="n"/>
      <c r="B207" s="30" t="n">
        <v>46074</v>
      </c>
      <c r="C207" s="31" t="n">
        <v>0.4027777777777778</v>
      </c>
      <c r="D207" s="32" t="inlineStr">
        <is>
          <t>Hugo Silva</t>
        </is>
      </c>
      <c r="E207" s="32" t="inlineStr">
        <is>
          <t>Men's haircut</t>
        </is>
      </c>
      <c r="F207" s="33" t="inlineStr">
        <is>
          <t>Done</t>
        </is>
      </c>
      <c r="G207" s="27">
        <f>IF(E207="","",MAX(0,IFERROR(INDEX(Services!$C$6:$C$35,MATCH(E207,Services!$B$6:$B$35,0)),0)-N(H207)))</f>
        <v/>
      </c>
      <c r="H207" s="34" t="n"/>
      <c r="I207" s="34" t="n">
        <v>30</v>
      </c>
      <c r="J207" s="33" t="inlineStr">
        <is>
          <t>Card</t>
        </is>
      </c>
      <c r="K207" s="28">
        <f>IF(OR(B207="",F207&lt;&gt;"Done",J207="Package"),"",IF(N(G207)-N(I207)&gt;0,N(G207)-N(I207),""))</f>
        <v/>
      </c>
      <c r="L207" s="32" t="n"/>
      <c r="M207" s="1">
        <f>IF(OR(B207="",D207="",F207="Cancelled"),"",B207+N(C207)+ROW()/10000000)</f>
        <v/>
      </c>
      <c r="N207">
        <f>IF(AND(F207="Done",M207&lt;&gt;""),IF(COUNTIFS(Appointments!$D$6:$D$2005,D207,Appointments!$F$6:$F$2005,"Done",Appointments!$M$6:$M$2005,"&gt;"&amp;M207)=0,1,0),0)</f>
        <v/>
      </c>
      <c r="O207">
        <f>IF(AND(F207="Booked",M207&lt;&gt;"",N(B207)&gt;=TODAY()),IF(COUNTIFS(Appointments!$D$6:$D$2005,D207,Appointments!$F$6:$F$2005,"Booked",Appointments!$B$6:$B$2005,"&gt;="&amp;TODAY(),Appointments!$M$6:$M$2005,"&lt;"&amp;M207)=0,1,0),0)</f>
        <v/>
      </c>
    </row>
    <row r="208">
      <c r="A208" s="1" t="n"/>
      <c r="B208" s="30" t="n">
        <v>46074</v>
      </c>
      <c r="C208" s="31" t="n">
        <v>0.4305555555555556</v>
      </c>
      <c r="D208" s="32" t="inlineStr">
        <is>
          <t>Will Baker</t>
        </is>
      </c>
      <c r="E208" s="32" t="inlineStr">
        <is>
          <t>Men's haircut</t>
        </is>
      </c>
      <c r="F208" s="33" t="inlineStr">
        <is>
          <t>Done</t>
        </is>
      </c>
      <c r="G208" s="27">
        <f>IF(E208="","",MAX(0,IFERROR(INDEX(Services!$C$6:$C$35,MATCH(E208,Services!$B$6:$B$35,0)),0)-N(H208)))</f>
        <v/>
      </c>
      <c r="H208" s="34" t="n">
        <v>10</v>
      </c>
      <c r="I208" s="34" t="n">
        <v>20</v>
      </c>
      <c r="J208" s="33" t="inlineStr">
        <is>
          <t>Card</t>
        </is>
      </c>
      <c r="K208" s="28">
        <f>IF(OR(B208="",F208&lt;&gt;"Done",J208="Package"),"",IF(N(G208)-N(I208)&gt;0,N(G208)-N(I208),""))</f>
        <v/>
      </c>
      <c r="L208" s="32" t="inlineStr">
        <is>
          <t>Friends and family</t>
        </is>
      </c>
      <c r="M208" s="1">
        <f>IF(OR(B208="",D208="",F208="Cancelled"),"",B208+N(C208)+ROW()/10000000)</f>
        <v/>
      </c>
      <c r="N208">
        <f>IF(AND(F208="Done",M208&lt;&gt;""),IF(COUNTIFS(Appointments!$D$6:$D$2005,D208,Appointments!$F$6:$F$2005,"Done",Appointments!$M$6:$M$2005,"&gt;"&amp;M208)=0,1,0),0)</f>
        <v/>
      </c>
      <c r="O208">
        <f>IF(AND(F208="Booked",M208&lt;&gt;"",N(B208)&gt;=TODAY()),IF(COUNTIFS(Appointments!$D$6:$D$2005,D208,Appointments!$F$6:$F$2005,"Booked",Appointments!$B$6:$B$2005,"&gt;="&amp;TODAY(),Appointments!$M$6:$M$2005,"&lt;"&amp;M208)=0,1,0),0)</f>
        <v/>
      </c>
    </row>
    <row r="209">
      <c r="A209" s="1" t="n"/>
      <c r="B209" s="30" t="n">
        <v>46077</v>
      </c>
      <c r="C209" s="31" t="n">
        <v>0.375</v>
      </c>
      <c r="D209" s="32" t="inlineStr">
        <is>
          <t>Farah Ali</t>
        </is>
      </c>
      <c r="E209" s="32" t="inlineStr">
        <is>
          <t>Women's haircut</t>
        </is>
      </c>
      <c r="F209" s="33" t="inlineStr">
        <is>
          <t>Done</t>
        </is>
      </c>
      <c r="G209" s="27">
        <f>IF(E209="","",MAX(0,IFERROR(INDEX(Services!$C$6:$C$35,MATCH(E209,Services!$B$6:$B$35,0)),0)-N(H209)))</f>
        <v/>
      </c>
      <c r="H209" s="34" t="n"/>
      <c r="I209" s="34" t="n">
        <v>55</v>
      </c>
      <c r="J209" s="33" t="inlineStr">
        <is>
          <t>Card</t>
        </is>
      </c>
      <c r="K209" s="28">
        <f>IF(OR(B209="",F209&lt;&gt;"Done",J209="Package"),"",IF(N(G209)-N(I209)&gt;0,N(G209)-N(I209),""))</f>
        <v/>
      </c>
      <c r="L209" s="32" t="n"/>
      <c r="M209" s="1">
        <f>IF(OR(B209="",D209="",F209="Cancelled"),"",B209+N(C209)+ROW()/10000000)</f>
        <v/>
      </c>
      <c r="N209">
        <f>IF(AND(F209="Done",M209&lt;&gt;""),IF(COUNTIFS(Appointments!$D$6:$D$2005,D209,Appointments!$F$6:$F$2005,"Done",Appointments!$M$6:$M$2005,"&gt;"&amp;M209)=0,1,0),0)</f>
        <v/>
      </c>
      <c r="O209">
        <f>IF(AND(F209="Booked",M209&lt;&gt;"",N(B209)&gt;=TODAY()),IF(COUNTIFS(Appointments!$D$6:$D$2005,D209,Appointments!$F$6:$F$2005,"Booked",Appointments!$B$6:$B$2005,"&gt;="&amp;TODAY(),Appointments!$M$6:$M$2005,"&lt;"&amp;M209)=0,1,0),0)</f>
        <v/>
      </c>
    </row>
    <row r="210">
      <c r="A210" s="1" t="n"/>
      <c r="B210" s="30" t="n">
        <v>46077</v>
      </c>
      <c r="C210" s="31" t="n">
        <v>0.4236111111111111</v>
      </c>
      <c r="D210" s="32" t="inlineStr">
        <is>
          <t>Finn Price</t>
        </is>
      </c>
      <c r="E210" s="32" t="inlineStr">
        <is>
          <t>Men's haircut</t>
        </is>
      </c>
      <c r="F210" s="33" t="inlineStr">
        <is>
          <t>Done</t>
        </is>
      </c>
      <c r="G210" s="27">
        <f>IF(E210="","",MAX(0,IFERROR(INDEX(Services!$C$6:$C$35,MATCH(E210,Services!$B$6:$B$35,0)),0)-N(H210)))</f>
        <v/>
      </c>
      <c r="H210" s="34" t="n"/>
      <c r="I210" s="34" t="n">
        <v>30</v>
      </c>
      <c r="J210" s="33" t="inlineStr">
        <is>
          <t>Card</t>
        </is>
      </c>
      <c r="K210" s="28">
        <f>IF(OR(B210="",F210&lt;&gt;"Done",J210="Package"),"",IF(N(G210)-N(I210)&gt;0,N(G210)-N(I210),""))</f>
        <v/>
      </c>
      <c r="L210" s="32" t="n"/>
      <c r="M210" s="1">
        <f>IF(OR(B210="",D210="",F210="Cancelled"),"",B210+N(C210)+ROW()/10000000)</f>
        <v/>
      </c>
      <c r="N210">
        <f>IF(AND(F210="Done",M210&lt;&gt;""),IF(COUNTIFS(Appointments!$D$6:$D$2005,D210,Appointments!$F$6:$F$2005,"Done",Appointments!$M$6:$M$2005,"&gt;"&amp;M210)=0,1,0),0)</f>
        <v/>
      </c>
      <c r="O210">
        <f>IF(AND(F210="Booked",M210&lt;&gt;"",N(B210)&gt;=TODAY()),IF(COUNTIFS(Appointments!$D$6:$D$2005,D210,Appointments!$F$6:$F$2005,"Booked",Appointments!$B$6:$B$2005,"&gt;="&amp;TODAY(),Appointments!$M$6:$M$2005,"&lt;"&amp;M210)=0,1,0),0)</f>
        <v/>
      </c>
    </row>
    <row r="211">
      <c r="A211" s="1" t="n"/>
      <c r="B211" s="30" t="n">
        <v>46077</v>
      </c>
      <c r="C211" s="31" t="n">
        <v>0.4513888888888889</v>
      </c>
      <c r="D211" s="32" t="inlineStr">
        <is>
          <t>Grace Lee</t>
        </is>
      </c>
      <c r="E211" s="32" t="inlineStr">
        <is>
          <t>Blow dry</t>
        </is>
      </c>
      <c r="F211" s="33" t="inlineStr">
        <is>
          <t>Done</t>
        </is>
      </c>
      <c r="G211" s="27">
        <f>IF(E211="","",MAX(0,IFERROR(INDEX(Services!$C$6:$C$35,MATCH(E211,Services!$B$6:$B$35,0)),0)-N(H211)))</f>
        <v/>
      </c>
      <c r="H211" s="34" t="n"/>
      <c r="I211" s="34" t="n">
        <v>35</v>
      </c>
      <c r="J211" s="33" t="inlineStr">
        <is>
          <t>App</t>
        </is>
      </c>
      <c r="K211" s="28">
        <f>IF(OR(B211="",F211&lt;&gt;"Done",J211="Package"),"",IF(N(G211)-N(I211)&gt;0,N(G211)-N(I211),""))</f>
        <v/>
      </c>
      <c r="L211" s="32" t="n"/>
      <c r="M211" s="1">
        <f>IF(OR(B211="",D211="",F211="Cancelled"),"",B211+N(C211)+ROW()/10000000)</f>
        <v/>
      </c>
      <c r="N211">
        <f>IF(AND(F211="Done",M211&lt;&gt;""),IF(COUNTIFS(Appointments!$D$6:$D$2005,D211,Appointments!$F$6:$F$2005,"Done",Appointments!$M$6:$M$2005,"&gt;"&amp;M211)=0,1,0),0)</f>
        <v/>
      </c>
      <c r="O211">
        <f>IF(AND(F211="Booked",M211&lt;&gt;"",N(B211)&gt;=TODAY()),IF(COUNTIFS(Appointments!$D$6:$D$2005,D211,Appointments!$F$6:$F$2005,"Booked",Appointments!$B$6:$B$2005,"&gt;="&amp;TODAY(),Appointments!$M$6:$M$2005,"&lt;"&amp;M211)=0,1,0),0)</f>
        <v/>
      </c>
    </row>
    <row r="212">
      <c r="A212" s="1" t="n"/>
      <c r="B212" s="30" t="n">
        <v>46077</v>
      </c>
      <c r="C212" s="31" t="n">
        <v>0.4895833333333333</v>
      </c>
      <c r="D212" s="32" t="inlineStr">
        <is>
          <t>Isla Brown</t>
        </is>
      </c>
      <c r="E212" s="32" t="inlineStr">
        <is>
          <t>Treatment</t>
        </is>
      </c>
      <c r="F212" s="33" t="inlineStr">
        <is>
          <t>Done</t>
        </is>
      </c>
      <c r="G212" s="27">
        <f>IF(E212="","",MAX(0,IFERROR(INDEX(Services!$C$6:$C$35,MATCH(E212,Services!$B$6:$B$35,0)),0)-N(H212)))</f>
        <v/>
      </c>
      <c r="H212" s="34" t="n"/>
      <c r="I212" s="34" t="n">
        <v>30</v>
      </c>
      <c r="J212" s="33" t="inlineStr">
        <is>
          <t>Card</t>
        </is>
      </c>
      <c r="K212" s="28">
        <f>IF(OR(B212="",F212&lt;&gt;"Done",J212="Package"),"",IF(N(G212)-N(I212)&gt;0,N(G212)-N(I212),""))</f>
        <v/>
      </c>
      <c r="L212" s="32" t="n"/>
      <c r="M212" s="1">
        <f>IF(OR(B212="",D212="",F212="Cancelled"),"",B212+N(C212)+ROW()/10000000)</f>
        <v/>
      </c>
      <c r="N212">
        <f>IF(AND(F212="Done",M212&lt;&gt;""),IF(COUNTIFS(Appointments!$D$6:$D$2005,D212,Appointments!$F$6:$F$2005,"Done",Appointments!$M$6:$M$2005,"&gt;"&amp;M212)=0,1,0),0)</f>
        <v/>
      </c>
      <c r="O212">
        <f>IF(AND(F212="Booked",M212&lt;&gt;"",N(B212)&gt;=TODAY()),IF(COUNTIFS(Appointments!$D$6:$D$2005,D212,Appointments!$F$6:$F$2005,"Booked",Appointments!$B$6:$B$2005,"&gt;="&amp;TODAY(),Appointments!$M$6:$M$2005,"&lt;"&amp;M212)=0,1,0),0)</f>
        <v/>
      </c>
    </row>
    <row r="213">
      <c r="A213" s="1" t="n"/>
      <c r="B213" s="30" t="n">
        <v>46077</v>
      </c>
      <c r="C213" s="31" t="n">
        <v>0.5173611111111112</v>
      </c>
      <c r="D213" s="32" t="inlineStr">
        <is>
          <t>Jade Hughes</t>
        </is>
      </c>
      <c r="E213" s="32" t="inlineStr">
        <is>
          <t>Women's haircut</t>
        </is>
      </c>
      <c r="F213" s="33" t="inlineStr">
        <is>
          <t>Done</t>
        </is>
      </c>
      <c r="G213" s="27">
        <f>IF(E213="","",MAX(0,IFERROR(INDEX(Services!$C$6:$C$35,MATCH(E213,Services!$B$6:$B$35,0)),0)-N(H213)))</f>
        <v/>
      </c>
      <c r="H213" s="34" t="n"/>
      <c r="I213" s="34" t="n">
        <v>55</v>
      </c>
      <c r="J213" s="33" t="inlineStr">
        <is>
          <t>Card</t>
        </is>
      </c>
      <c r="K213" s="28">
        <f>IF(OR(B213="",F213&lt;&gt;"Done",J213="Package"),"",IF(N(G213)-N(I213)&gt;0,N(G213)-N(I213),""))</f>
        <v/>
      </c>
      <c r="L213" s="32" t="n"/>
      <c r="M213" s="1">
        <f>IF(OR(B213="",D213="",F213="Cancelled"),"",B213+N(C213)+ROW()/10000000)</f>
        <v/>
      </c>
      <c r="N213">
        <f>IF(AND(F213="Done",M213&lt;&gt;""),IF(COUNTIFS(Appointments!$D$6:$D$2005,D213,Appointments!$F$6:$F$2005,"Done",Appointments!$M$6:$M$2005,"&gt;"&amp;M213)=0,1,0),0)</f>
        <v/>
      </c>
      <c r="O213">
        <f>IF(AND(F213="Booked",M213&lt;&gt;"",N(B213)&gt;=TODAY()),IF(COUNTIFS(Appointments!$D$6:$D$2005,D213,Appointments!$F$6:$F$2005,"Booked",Appointments!$B$6:$B$2005,"&gt;="&amp;TODAY(),Appointments!$M$6:$M$2005,"&lt;"&amp;M213)=0,1,0),0)</f>
        <v/>
      </c>
    </row>
    <row r="214">
      <c r="A214" s="1" t="n"/>
      <c r="B214" s="30" t="n">
        <v>46077</v>
      </c>
      <c r="C214" s="31" t="n">
        <v>0.5659722222222222</v>
      </c>
      <c r="D214" s="32" t="inlineStr">
        <is>
          <t>Mia Cole</t>
        </is>
      </c>
      <c r="E214" s="32" t="inlineStr">
        <is>
          <t>Treatment</t>
        </is>
      </c>
      <c r="F214" s="33" t="inlineStr">
        <is>
          <t>Done</t>
        </is>
      </c>
      <c r="G214" s="27">
        <f>IF(E214="","",MAX(0,IFERROR(INDEX(Services!$C$6:$C$35,MATCH(E214,Services!$B$6:$B$35,0)),0)-N(H214)))</f>
        <v/>
      </c>
      <c r="H214" s="34" t="n"/>
      <c r="I214" s="34" t="n">
        <v>30</v>
      </c>
      <c r="J214" s="33" t="inlineStr">
        <is>
          <t>Cash</t>
        </is>
      </c>
      <c r="K214" s="28">
        <f>IF(OR(B214="",F214&lt;&gt;"Done",J214="Package"),"",IF(N(G214)-N(I214)&gt;0,N(G214)-N(I214),""))</f>
        <v/>
      </c>
      <c r="L214" s="32" t="n"/>
      <c r="M214" s="1">
        <f>IF(OR(B214="",D214="",F214="Cancelled"),"",B214+N(C214)+ROW()/10000000)</f>
        <v/>
      </c>
      <c r="N214">
        <f>IF(AND(F214="Done",M214&lt;&gt;""),IF(COUNTIFS(Appointments!$D$6:$D$2005,D214,Appointments!$F$6:$F$2005,"Done",Appointments!$M$6:$M$2005,"&gt;"&amp;M214)=0,1,0),0)</f>
        <v/>
      </c>
      <c r="O214">
        <f>IF(AND(F214="Booked",M214&lt;&gt;"",N(B214)&gt;=TODAY()),IF(COUNTIFS(Appointments!$D$6:$D$2005,D214,Appointments!$F$6:$F$2005,"Booked",Appointments!$B$6:$B$2005,"&gt;="&amp;TODAY(),Appointments!$M$6:$M$2005,"&lt;"&amp;M214)=0,1,0),0)</f>
        <v/>
      </c>
    </row>
    <row r="215">
      <c r="A215" s="1" t="n"/>
      <c r="B215" s="30" t="n">
        <v>46077</v>
      </c>
      <c r="C215" s="31" t="n">
        <v>0.59375</v>
      </c>
      <c r="D215" s="32" t="inlineStr">
        <is>
          <t>Victor Lane</t>
        </is>
      </c>
      <c r="E215" s="32" t="inlineStr">
        <is>
          <t>Men's haircut</t>
        </is>
      </c>
      <c r="F215" s="33" t="inlineStr">
        <is>
          <t>Done</t>
        </is>
      </c>
      <c r="G215" s="27">
        <f>IF(E215="","",MAX(0,IFERROR(INDEX(Services!$C$6:$C$35,MATCH(E215,Services!$B$6:$B$35,0)),0)-N(H215)))</f>
        <v/>
      </c>
      <c r="H215" s="34" t="n"/>
      <c r="I215" s="34" t="n">
        <v>30</v>
      </c>
      <c r="J215" s="33" t="inlineStr">
        <is>
          <t>Card</t>
        </is>
      </c>
      <c r="K215" s="28">
        <f>IF(OR(B215="",F215&lt;&gt;"Done",J215="Package"),"",IF(N(G215)-N(I215)&gt;0,N(G215)-N(I215),""))</f>
        <v/>
      </c>
      <c r="L215" s="32" t="n"/>
      <c r="M215" s="1">
        <f>IF(OR(B215="",D215="",F215="Cancelled"),"",B215+N(C215)+ROW()/10000000)</f>
        <v/>
      </c>
      <c r="N215">
        <f>IF(AND(F215="Done",M215&lt;&gt;""),IF(COUNTIFS(Appointments!$D$6:$D$2005,D215,Appointments!$F$6:$F$2005,"Done",Appointments!$M$6:$M$2005,"&gt;"&amp;M215)=0,1,0),0)</f>
        <v/>
      </c>
      <c r="O215">
        <f>IF(AND(F215="Booked",M215&lt;&gt;"",N(B215)&gt;=TODAY()),IF(COUNTIFS(Appointments!$D$6:$D$2005,D215,Appointments!$F$6:$F$2005,"Booked",Appointments!$B$6:$B$2005,"&gt;="&amp;TODAY(),Appointments!$M$6:$M$2005,"&lt;"&amp;M215)=0,1,0),0)</f>
        <v/>
      </c>
    </row>
    <row r="216">
      <c r="A216" s="1" t="n"/>
      <c r="B216" s="30" t="n">
        <v>46078</v>
      </c>
      <c r="C216" s="31" t="n">
        <v>0.375</v>
      </c>
      <c r="D216" s="32" t="inlineStr">
        <is>
          <t>Harry Cox</t>
        </is>
      </c>
      <c r="E216" s="32" t="inlineStr">
        <is>
          <t>Men's haircut</t>
        </is>
      </c>
      <c r="F216" s="33" t="inlineStr">
        <is>
          <t>No-show</t>
        </is>
      </c>
      <c r="G216" s="27">
        <f>IF(E216="","",MAX(0,IFERROR(INDEX(Services!$C$6:$C$35,MATCH(E216,Services!$B$6:$B$35,0)),0)-N(H216)))</f>
        <v/>
      </c>
      <c r="H216" s="34" t="n"/>
      <c r="I216" s="34" t="n"/>
      <c r="J216" s="33" t="n"/>
      <c r="K216" s="28">
        <f>IF(OR(B216="",F216&lt;&gt;"Done",J216="Package"),"",IF(N(G216)-N(I216)&gt;0,N(G216)-N(I216),""))</f>
        <v/>
      </c>
      <c r="L216" s="32" t="n"/>
      <c r="M216" s="1">
        <f>IF(OR(B216="",D216="",F216="Cancelled"),"",B216+N(C216)+ROW()/10000000)</f>
        <v/>
      </c>
      <c r="N216">
        <f>IF(AND(F216="Done",M216&lt;&gt;""),IF(COUNTIFS(Appointments!$D$6:$D$2005,D216,Appointments!$F$6:$F$2005,"Done",Appointments!$M$6:$M$2005,"&gt;"&amp;M216)=0,1,0),0)</f>
        <v/>
      </c>
      <c r="O216">
        <f>IF(AND(F216="Booked",M216&lt;&gt;"",N(B216)&gt;=TODAY()),IF(COUNTIFS(Appointments!$D$6:$D$2005,D216,Appointments!$F$6:$F$2005,"Booked",Appointments!$B$6:$B$2005,"&gt;="&amp;TODAY(),Appointments!$M$6:$M$2005,"&lt;"&amp;M216)=0,1,0),0)</f>
        <v/>
      </c>
    </row>
    <row r="217">
      <c r="A217" s="1" t="n"/>
      <c r="B217" s="30" t="n">
        <v>46078</v>
      </c>
      <c r="C217" s="31" t="n">
        <v>0.4027777777777778</v>
      </c>
      <c r="D217" s="32" t="inlineStr">
        <is>
          <t>Harry Owens</t>
        </is>
      </c>
      <c r="E217" s="32" t="inlineStr">
        <is>
          <t>Men's haircut</t>
        </is>
      </c>
      <c r="F217" s="33" t="inlineStr">
        <is>
          <t>Done</t>
        </is>
      </c>
      <c r="G217" s="27">
        <f>IF(E217="","",MAX(0,IFERROR(INDEX(Services!$C$6:$C$35,MATCH(E217,Services!$B$6:$B$35,0)),0)-N(H217)))</f>
        <v/>
      </c>
      <c r="H217" s="34" t="n"/>
      <c r="I217" s="34" t="n">
        <v>30</v>
      </c>
      <c r="J217" s="33" t="inlineStr">
        <is>
          <t>Card</t>
        </is>
      </c>
      <c r="K217" s="28">
        <f>IF(OR(B217="",F217&lt;&gt;"Done",J217="Package"),"",IF(N(G217)-N(I217)&gt;0,N(G217)-N(I217),""))</f>
        <v/>
      </c>
      <c r="L217" s="32" t="n"/>
      <c r="M217" s="1">
        <f>IF(OR(B217="",D217="",F217="Cancelled"),"",B217+N(C217)+ROW()/10000000)</f>
        <v/>
      </c>
      <c r="N217">
        <f>IF(AND(F217="Done",M217&lt;&gt;""),IF(COUNTIFS(Appointments!$D$6:$D$2005,D217,Appointments!$F$6:$F$2005,"Done",Appointments!$M$6:$M$2005,"&gt;"&amp;M217)=0,1,0),0)</f>
        <v/>
      </c>
      <c r="O217">
        <f>IF(AND(F217="Booked",M217&lt;&gt;"",N(B217)&gt;=TODAY()),IF(COUNTIFS(Appointments!$D$6:$D$2005,D217,Appointments!$F$6:$F$2005,"Booked",Appointments!$B$6:$B$2005,"&gt;="&amp;TODAY(),Appointments!$M$6:$M$2005,"&lt;"&amp;M217)=0,1,0),0)</f>
        <v/>
      </c>
    </row>
    <row r="218">
      <c r="A218" s="1" t="n"/>
      <c r="B218" s="30" t="n">
        <v>46078</v>
      </c>
      <c r="C218" s="31" t="n">
        <v>0.4305555555555556</v>
      </c>
      <c r="D218" s="32" t="inlineStr">
        <is>
          <t>Lily Lewis</t>
        </is>
      </c>
      <c r="E218" s="32" t="inlineStr">
        <is>
          <t>Blow dry</t>
        </is>
      </c>
      <c r="F218" s="33" t="inlineStr">
        <is>
          <t>Done</t>
        </is>
      </c>
      <c r="G218" s="27">
        <f>IF(E218="","",MAX(0,IFERROR(INDEX(Services!$C$6:$C$35,MATCH(E218,Services!$B$6:$B$35,0)),0)-N(H218)))</f>
        <v/>
      </c>
      <c r="H218" s="34" t="n"/>
      <c r="I218" s="34" t="n">
        <v>35</v>
      </c>
      <c r="J218" s="33" t="inlineStr">
        <is>
          <t>Cash</t>
        </is>
      </c>
      <c r="K218" s="28">
        <f>IF(OR(B218="",F218&lt;&gt;"Done",J218="Package"),"",IF(N(G218)-N(I218)&gt;0,N(G218)-N(I218),""))</f>
        <v/>
      </c>
      <c r="L218" s="32" t="n"/>
      <c r="M218" s="1">
        <f>IF(OR(B218="",D218="",F218="Cancelled"),"",B218+N(C218)+ROW()/10000000)</f>
        <v/>
      </c>
      <c r="N218">
        <f>IF(AND(F218="Done",M218&lt;&gt;""),IF(COUNTIFS(Appointments!$D$6:$D$2005,D218,Appointments!$F$6:$F$2005,"Done",Appointments!$M$6:$M$2005,"&gt;"&amp;M218)=0,1,0),0)</f>
        <v/>
      </c>
      <c r="O218">
        <f>IF(AND(F218="Booked",M218&lt;&gt;"",N(B218)&gt;=TODAY()),IF(COUNTIFS(Appointments!$D$6:$D$2005,D218,Appointments!$F$6:$F$2005,"Booked",Appointments!$B$6:$B$2005,"&gt;="&amp;TODAY(),Appointments!$M$6:$M$2005,"&lt;"&amp;M218)=0,1,0),0)</f>
        <v/>
      </c>
    </row>
    <row r="219">
      <c r="A219" s="1" t="n"/>
      <c r="B219" s="30" t="n">
        <v>46078</v>
      </c>
      <c r="C219" s="31" t="n">
        <v>0.46875</v>
      </c>
      <c r="D219" s="32" t="inlineStr">
        <is>
          <t>Owen Morgan</t>
        </is>
      </c>
      <c r="E219" s="32" t="inlineStr">
        <is>
          <t>Men's haircut</t>
        </is>
      </c>
      <c r="F219" s="33" t="inlineStr">
        <is>
          <t>Done</t>
        </is>
      </c>
      <c r="G219" s="27">
        <f>IF(E219="","",MAX(0,IFERROR(INDEX(Services!$C$6:$C$35,MATCH(E219,Services!$B$6:$B$35,0)),0)-N(H219)))</f>
        <v/>
      </c>
      <c r="H219" s="34" t="n"/>
      <c r="I219" s="34" t="n">
        <v>30</v>
      </c>
      <c r="J219" s="33" t="inlineStr">
        <is>
          <t>Transfer</t>
        </is>
      </c>
      <c r="K219" s="28">
        <f>IF(OR(B219="",F219&lt;&gt;"Done",J219="Package"),"",IF(N(G219)-N(I219)&gt;0,N(G219)-N(I219),""))</f>
        <v/>
      </c>
      <c r="L219" s="32" t="n"/>
      <c r="M219" s="1">
        <f>IF(OR(B219="",D219="",F219="Cancelled"),"",B219+N(C219)+ROW()/10000000)</f>
        <v/>
      </c>
      <c r="N219">
        <f>IF(AND(F219="Done",M219&lt;&gt;""),IF(COUNTIFS(Appointments!$D$6:$D$2005,D219,Appointments!$F$6:$F$2005,"Done",Appointments!$M$6:$M$2005,"&gt;"&amp;M219)=0,1,0),0)</f>
        <v/>
      </c>
      <c r="O219">
        <f>IF(AND(F219="Booked",M219&lt;&gt;"",N(B219)&gt;=TODAY()),IF(COUNTIFS(Appointments!$D$6:$D$2005,D219,Appointments!$F$6:$F$2005,"Booked",Appointments!$B$6:$B$2005,"&gt;="&amp;TODAY(),Appointments!$M$6:$M$2005,"&lt;"&amp;M219)=0,1,0),0)</f>
        <v/>
      </c>
    </row>
    <row r="220">
      <c r="A220" s="1" t="n"/>
      <c r="B220" s="30" t="n">
        <v>46078</v>
      </c>
      <c r="C220" s="31" t="n">
        <v>0.4965277777777778</v>
      </c>
      <c r="D220" s="32" t="inlineStr">
        <is>
          <t>Ruby Webb</t>
        </is>
      </c>
      <c r="E220" s="32" t="inlineStr">
        <is>
          <t>Treatment</t>
        </is>
      </c>
      <c r="F220" s="33" t="inlineStr">
        <is>
          <t>Done</t>
        </is>
      </c>
      <c r="G220" s="27">
        <f>IF(E220="","",MAX(0,IFERROR(INDEX(Services!$C$6:$C$35,MATCH(E220,Services!$B$6:$B$35,0)),0)-N(H220)))</f>
        <v/>
      </c>
      <c r="H220" s="34" t="n"/>
      <c r="I220" s="34" t="n">
        <v>30</v>
      </c>
      <c r="J220" s="33" t="inlineStr">
        <is>
          <t>App</t>
        </is>
      </c>
      <c r="K220" s="28">
        <f>IF(OR(B220="",F220&lt;&gt;"Done",J220="Package"),"",IF(N(G220)-N(I220)&gt;0,N(G220)-N(I220),""))</f>
        <v/>
      </c>
      <c r="L220" s="32" t="n"/>
      <c r="M220" s="1">
        <f>IF(OR(B220="",D220="",F220="Cancelled"),"",B220+N(C220)+ROW()/10000000)</f>
        <v/>
      </c>
      <c r="N220">
        <f>IF(AND(F220="Done",M220&lt;&gt;""),IF(COUNTIFS(Appointments!$D$6:$D$2005,D220,Appointments!$F$6:$F$2005,"Done",Appointments!$M$6:$M$2005,"&gt;"&amp;M220)=0,1,0),0)</f>
        <v/>
      </c>
      <c r="O220">
        <f>IF(AND(F220="Booked",M220&lt;&gt;"",N(B220)&gt;=TODAY()),IF(COUNTIFS(Appointments!$D$6:$D$2005,D220,Appointments!$F$6:$F$2005,"Booked",Appointments!$B$6:$B$2005,"&gt;="&amp;TODAY(),Appointments!$M$6:$M$2005,"&lt;"&amp;M220)=0,1,0),0)</f>
        <v/>
      </c>
    </row>
    <row r="221">
      <c r="A221" s="1" t="n"/>
      <c r="B221" s="30" t="n">
        <v>46078</v>
      </c>
      <c r="C221" s="31" t="n">
        <v>0.5243055555555556</v>
      </c>
      <c r="D221" s="32" t="inlineStr">
        <is>
          <t>Tina Walsh</t>
        </is>
      </c>
      <c r="E221" s="32" t="inlineStr">
        <is>
          <t>Blow dry</t>
        </is>
      </c>
      <c r="F221" s="33" t="inlineStr">
        <is>
          <t>Done</t>
        </is>
      </c>
      <c r="G221" s="27">
        <f>IF(E221="","",MAX(0,IFERROR(INDEX(Services!$C$6:$C$35,MATCH(E221,Services!$B$6:$B$35,0)),0)-N(H221)))</f>
        <v/>
      </c>
      <c r="H221" s="34" t="n"/>
      <c r="I221" s="34" t="n">
        <v>35</v>
      </c>
      <c r="J221" s="33" t="inlineStr">
        <is>
          <t>Card</t>
        </is>
      </c>
      <c r="K221" s="28">
        <f>IF(OR(B221="",F221&lt;&gt;"Done",J221="Package"),"",IF(N(G221)-N(I221)&gt;0,N(G221)-N(I221),""))</f>
        <v/>
      </c>
      <c r="L221" s="32" t="n"/>
      <c r="M221" s="1">
        <f>IF(OR(B221="",D221="",F221="Cancelled"),"",B221+N(C221)+ROW()/10000000)</f>
        <v/>
      </c>
      <c r="N221">
        <f>IF(AND(F221="Done",M221&lt;&gt;""),IF(COUNTIFS(Appointments!$D$6:$D$2005,D221,Appointments!$F$6:$F$2005,"Done",Appointments!$M$6:$M$2005,"&gt;"&amp;M221)=0,1,0),0)</f>
        <v/>
      </c>
      <c r="O221">
        <f>IF(AND(F221="Booked",M221&lt;&gt;"",N(B221)&gt;=TODAY()),IF(COUNTIFS(Appointments!$D$6:$D$2005,D221,Appointments!$F$6:$F$2005,"Booked",Appointments!$B$6:$B$2005,"&gt;="&amp;TODAY(),Appointments!$M$6:$M$2005,"&lt;"&amp;M221)=0,1,0),0)</f>
        <v/>
      </c>
    </row>
    <row r="222">
      <c r="A222" s="1" t="n"/>
      <c r="B222" s="30" t="n">
        <v>46078</v>
      </c>
      <c r="C222" s="31" t="n">
        <v>0.5625</v>
      </c>
      <c r="D222" s="32" t="inlineStr">
        <is>
          <t>Tom Davies</t>
        </is>
      </c>
      <c r="E222" s="32" t="inlineStr">
        <is>
          <t>Men's haircut</t>
        </is>
      </c>
      <c r="F222" s="33" t="inlineStr">
        <is>
          <t>Done</t>
        </is>
      </c>
      <c r="G222" s="27">
        <f>IF(E222="","",MAX(0,IFERROR(INDEX(Services!$C$6:$C$35,MATCH(E222,Services!$B$6:$B$35,0)),0)-N(H222)))</f>
        <v/>
      </c>
      <c r="H222" s="34" t="n"/>
      <c r="I222" s="34" t="n">
        <v>30</v>
      </c>
      <c r="J222" s="33" t="inlineStr">
        <is>
          <t>Card</t>
        </is>
      </c>
      <c r="K222" s="28">
        <f>IF(OR(B222="",F222&lt;&gt;"Done",J222="Package"),"",IF(N(G222)-N(I222)&gt;0,N(G222)-N(I222),""))</f>
        <v/>
      </c>
      <c r="L222" s="32" t="n"/>
      <c r="M222" s="1">
        <f>IF(OR(B222="",D222="",F222="Cancelled"),"",B222+N(C222)+ROW()/10000000)</f>
        <v/>
      </c>
      <c r="N222">
        <f>IF(AND(F222="Done",M222&lt;&gt;""),IF(COUNTIFS(Appointments!$D$6:$D$2005,D222,Appointments!$F$6:$F$2005,"Done",Appointments!$M$6:$M$2005,"&gt;"&amp;M222)=0,1,0),0)</f>
        <v/>
      </c>
      <c r="O222">
        <f>IF(AND(F222="Booked",M222&lt;&gt;"",N(B222)&gt;=TODAY()),IF(COUNTIFS(Appointments!$D$6:$D$2005,D222,Appointments!$F$6:$F$2005,"Booked",Appointments!$B$6:$B$2005,"&gt;="&amp;TODAY(),Appointments!$M$6:$M$2005,"&lt;"&amp;M222)=0,1,0),0)</f>
        <v/>
      </c>
    </row>
    <row r="223">
      <c r="A223" s="1" t="n"/>
      <c r="B223" s="30" t="n">
        <v>46079</v>
      </c>
      <c r="C223" s="31" t="n">
        <v>0.375</v>
      </c>
      <c r="D223" s="32" t="inlineStr">
        <is>
          <t>Ella Morgan</t>
        </is>
      </c>
      <c r="E223" s="32" t="inlineStr">
        <is>
          <t>Colour</t>
        </is>
      </c>
      <c r="F223" s="33" t="inlineStr">
        <is>
          <t>Done</t>
        </is>
      </c>
      <c r="G223" s="27">
        <f>IF(E223="","",MAX(0,IFERROR(INDEX(Services!$C$6:$C$35,MATCH(E223,Services!$B$6:$B$35,0)),0)-N(H223)))</f>
        <v/>
      </c>
      <c r="H223" s="34" t="n"/>
      <c r="I223" s="34" t="n">
        <v>95</v>
      </c>
      <c r="J223" s="33" t="inlineStr">
        <is>
          <t>Card</t>
        </is>
      </c>
      <c r="K223" s="28">
        <f>IF(OR(B223="",F223&lt;&gt;"Done",J223="Package"),"",IF(N(G223)-N(I223)&gt;0,N(G223)-N(I223),""))</f>
        <v/>
      </c>
      <c r="L223" s="32" t="n"/>
      <c r="M223" s="1">
        <f>IF(OR(B223="",D223="",F223="Cancelled"),"",B223+N(C223)+ROW()/10000000)</f>
        <v/>
      </c>
      <c r="N223">
        <f>IF(AND(F223="Done",M223&lt;&gt;""),IF(COUNTIFS(Appointments!$D$6:$D$2005,D223,Appointments!$F$6:$F$2005,"Done",Appointments!$M$6:$M$2005,"&gt;"&amp;M223)=0,1,0),0)</f>
        <v/>
      </c>
      <c r="O223">
        <f>IF(AND(F223="Booked",M223&lt;&gt;"",N(B223)&gt;=TODAY()),IF(COUNTIFS(Appointments!$D$6:$D$2005,D223,Appointments!$F$6:$F$2005,"Booked",Appointments!$B$6:$B$2005,"&gt;="&amp;TODAY(),Appointments!$M$6:$M$2005,"&lt;"&amp;M223)=0,1,0),0)</f>
        <v/>
      </c>
    </row>
    <row r="224">
      <c r="A224" s="1" t="n"/>
      <c r="B224" s="30" t="n">
        <v>46079</v>
      </c>
      <c r="C224" s="31" t="n">
        <v>0.4652777777777778</v>
      </c>
      <c r="D224" s="32" t="inlineStr">
        <is>
          <t>George Mason</t>
        </is>
      </c>
      <c r="E224" s="32" t="inlineStr">
        <is>
          <t>Men's haircut</t>
        </is>
      </c>
      <c r="F224" s="33" t="inlineStr">
        <is>
          <t>Done</t>
        </is>
      </c>
      <c r="G224" s="27">
        <f>IF(E224="","",MAX(0,IFERROR(INDEX(Services!$C$6:$C$35,MATCH(E224,Services!$B$6:$B$35,0)),0)-N(H224)))</f>
        <v/>
      </c>
      <c r="H224" s="34" t="n"/>
      <c r="I224" s="34" t="n">
        <v>30</v>
      </c>
      <c r="J224" s="33" t="inlineStr">
        <is>
          <t>Card</t>
        </is>
      </c>
      <c r="K224" s="28">
        <f>IF(OR(B224="",F224&lt;&gt;"Done",J224="Package"),"",IF(N(G224)-N(I224)&gt;0,N(G224)-N(I224),""))</f>
        <v/>
      </c>
      <c r="L224" s="32" t="n"/>
      <c r="M224" s="1">
        <f>IF(OR(B224="",D224="",F224="Cancelled"),"",B224+N(C224)+ROW()/10000000)</f>
        <v/>
      </c>
      <c r="N224">
        <f>IF(AND(F224="Done",M224&lt;&gt;""),IF(COUNTIFS(Appointments!$D$6:$D$2005,D224,Appointments!$F$6:$F$2005,"Done",Appointments!$M$6:$M$2005,"&gt;"&amp;M224)=0,1,0),0)</f>
        <v/>
      </c>
      <c r="O224">
        <f>IF(AND(F224="Booked",M224&lt;&gt;"",N(B224)&gt;=TODAY()),IF(COUNTIFS(Appointments!$D$6:$D$2005,D224,Appointments!$F$6:$F$2005,"Booked",Appointments!$B$6:$B$2005,"&gt;="&amp;TODAY(),Appointments!$M$6:$M$2005,"&lt;"&amp;M224)=0,1,0),0)</f>
        <v/>
      </c>
    </row>
    <row r="225">
      <c r="A225" s="1" t="n"/>
      <c r="B225" s="30" t="n">
        <v>46079</v>
      </c>
      <c r="C225" s="31" t="n">
        <v>0.4930555555555556</v>
      </c>
      <c r="D225" s="32" t="inlineStr">
        <is>
          <t>Helen Mason</t>
        </is>
      </c>
      <c r="E225" s="32" t="inlineStr">
        <is>
          <t>Blow dry</t>
        </is>
      </c>
      <c r="F225" s="33" t="inlineStr">
        <is>
          <t>Done</t>
        </is>
      </c>
      <c r="G225" s="27">
        <f>IF(E225="","",MAX(0,IFERROR(INDEX(Services!$C$6:$C$35,MATCH(E225,Services!$B$6:$B$35,0)),0)-N(H225)))</f>
        <v/>
      </c>
      <c r="H225" s="34" t="n"/>
      <c r="I225" s="34" t="n">
        <v>35</v>
      </c>
      <c r="J225" s="33" t="inlineStr">
        <is>
          <t>Card</t>
        </is>
      </c>
      <c r="K225" s="28">
        <f>IF(OR(B225="",F225&lt;&gt;"Done",J225="Package"),"",IF(N(G225)-N(I225)&gt;0,N(G225)-N(I225),""))</f>
        <v/>
      </c>
      <c r="L225" s="32" t="n"/>
      <c r="M225" s="1">
        <f>IF(OR(B225="",D225="",F225="Cancelled"),"",B225+N(C225)+ROW()/10000000)</f>
        <v/>
      </c>
      <c r="N225">
        <f>IF(AND(F225="Done",M225&lt;&gt;""),IF(COUNTIFS(Appointments!$D$6:$D$2005,D225,Appointments!$F$6:$F$2005,"Done",Appointments!$M$6:$M$2005,"&gt;"&amp;M225)=0,1,0),0)</f>
        <v/>
      </c>
      <c r="O225">
        <f>IF(AND(F225="Booked",M225&lt;&gt;"",N(B225)&gt;=TODAY()),IF(COUNTIFS(Appointments!$D$6:$D$2005,D225,Appointments!$F$6:$F$2005,"Booked",Appointments!$B$6:$B$2005,"&gt;="&amp;TODAY(),Appointments!$M$6:$M$2005,"&lt;"&amp;M225)=0,1,0),0)</f>
        <v/>
      </c>
    </row>
    <row r="226">
      <c r="A226" s="1" t="n"/>
      <c r="B226" s="30" t="n">
        <v>46079</v>
      </c>
      <c r="C226" s="31" t="n">
        <v>0.53125</v>
      </c>
      <c r="D226" s="32" t="inlineStr">
        <is>
          <t>Ian Bell</t>
        </is>
      </c>
      <c r="E226" s="32" t="inlineStr">
        <is>
          <t>Men's haircut</t>
        </is>
      </c>
      <c r="F226" s="33" t="inlineStr">
        <is>
          <t>Cancelled</t>
        </is>
      </c>
      <c r="G226" s="27">
        <f>IF(E226="","",MAX(0,IFERROR(INDEX(Services!$C$6:$C$35,MATCH(E226,Services!$B$6:$B$35,0)),0)-N(H226)))</f>
        <v/>
      </c>
      <c r="H226" s="34" t="n"/>
      <c r="I226" s="34" t="n"/>
      <c r="J226" s="33" t="n"/>
      <c r="K226" s="28">
        <f>IF(OR(B226="",F226&lt;&gt;"Done",J226="Package"),"",IF(N(G226)-N(I226)&gt;0,N(G226)-N(I226),""))</f>
        <v/>
      </c>
      <c r="L226" s="32" t="n"/>
      <c r="M226" s="1">
        <f>IF(OR(B226="",D226="",F226="Cancelled"),"",B226+N(C226)+ROW()/10000000)</f>
        <v/>
      </c>
      <c r="N226">
        <f>IF(AND(F226="Done",M226&lt;&gt;""),IF(COUNTIFS(Appointments!$D$6:$D$2005,D226,Appointments!$F$6:$F$2005,"Done",Appointments!$M$6:$M$2005,"&gt;"&amp;M226)=0,1,0),0)</f>
        <v/>
      </c>
      <c r="O226">
        <f>IF(AND(F226="Booked",M226&lt;&gt;"",N(B226)&gt;=TODAY()),IF(COUNTIFS(Appointments!$D$6:$D$2005,D226,Appointments!$F$6:$F$2005,"Booked",Appointments!$B$6:$B$2005,"&gt;="&amp;TODAY(),Appointments!$M$6:$M$2005,"&lt;"&amp;M226)=0,1,0),0)</f>
        <v/>
      </c>
    </row>
    <row r="227">
      <c r="A227" s="1" t="n"/>
      <c r="B227" s="30" t="n">
        <v>46079</v>
      </c>
      <c r="C227" s="31" t="n">
        <v>0.5590277777777778</v>
      </c>
      <c r="D227" s="32" t="inlineStr">
        <is>
          <t>Luke Lewis</t>
        </is>
      </c>
      <c r="E227" s="32" t="inlineStr">
        <is>
          <t>Men's haircut</t>
        </is>
      </c>
      <c r="F227" s="33" t="inlineStr">
        <is>
          <t>Done</t>
        </is>
      </c>
      <c r="G227" s="27">
        <f>IF(E227="","",MAX(0,IFERROR(INDEX(Services!$C$6:$C$35,MATCH(E227,Services!$B$6:$B$35,0)),0)-N(H227)))</f>
        <v/>
      </c>
      <c r="H227" s="34" t="n"/>
      <c r="I227" s="34" t="n">
        <v>30</v>
      </c>
      <c r="J227" s="33" t="inlineStr">
        <is>
          <t>Card</t>
        </is>
      </c>
      <c r="K227" s="28">
        <f>IF(OR(B227="",F227&lt;&gt;"Done",J227="Package"),"",IF(N(G227)-N(I227)&gt;0,N(G227)-N(I227),""))</f>
        <v/>
      </c>
      <c r="L227" s="32" t="n"/>
      <c r="M227" s="1">
        <f>IF(OR(B227="",D227="",F227="Cancelled"),"",B227+N(C227)+ROW()/10000000)</f>
        <v/>
      </c>
      <c r="N227">
        <f>IF(AND(F227="Done",M227&lt;&gt;""),IF(COUNTIFS(Appointments!$D$6:$D$2005,D227,Appointments!$F$6:$F$2005,"Done",Appointments!$M$6:$M$2005,"&gt;"&amp;M227)=0,1,0),0)</f>
        <v/>
      </c>
      <c r="O227">
        <f>IF(AND(F227="Booked",M227&lt;&gt;"",N(B227)&gt;=TODAY()),IF(COUNTIFS(Appointments!$D$6:$D$2005,D227,Appointments!$F$6:$F$2005,"Booked",Appointments!$B$6:$B$2005,"&gt;="&amp;TODAY(),Appointments!$M$6:$M$2005,"&lt;"&amp;M227)=0,1,0),0)</f>
        <v/>
      </c>
    </row>
    <row r="228">
      <c r="A228" s="1" t="n"/>
      <c r="B228" s="30" t="n">
        <v>46079</v>
      </c>
      <c r="C228" s="31" t="n">
        <v>0.5868055555555556</v>
      </c>
      <c r="D228" s="32" t="inlineStr">
        <is>
          <t>Olivia Green</t>
        </is>
      </c>
      <c r="E228" s="32" t="inlineStr">
        <is>
          <t>Women's haircut</t>
        </is>
      </c>
      <c r="F228" s="33" t="inlineStr">
        <is>
          <t>Done</t>
        </is>
      </c>
      <c r="G228" s="27">
        <f>IF(E228="","",MAX(0,IFERROR(INDEX(Services!$C$6:$C$35,MATCH(E228,Services!$B$6:$B$35,0)),0)-N(H228)))</f>
        <v/>
      </c>
      <c r="H228" s="34" t="n"/>
      <c r="I228" s="34" t="n">
        <v>55</v>
      </c>
      <c r="J228" s="33" t="inlineStr">
        <is>
          <t>Card</t>
        </is>
      </c>
      <c r="K228" s="28">
        <f>IF(OR(B228="",F228&lt;&gt;"Done",J228="Package"),"",IF(N(G228)-N(I228)&gt;0,N(G228)-N(I228),""))</f>
        <v/>
      </c>
      <c r="L228" s="32" t="n"/>
      <c r="M228" s="1">
        <f>IF(OR(B228="",D228="",F228="Cancelled"),"",B228+N(C228)+ROW()/10000000)</f>
        <v/>
      </c>
      <c r="N228">
        <f>IF(AND(F228="Done",M228&lt;&gt;""),IF(COUNTIFS(Appointments!$D$6:$D$2005,D228,Appointments!$F$6:$F$2005,"Done",Appointments!$M$6:$M$2005,"&gt;"&amp;M228)=0,1,0),0)</f>
        <v/>
      </c>
      <c r="O228">
        <f>IF(AND(F228="Booked",M228&lt;&gt;"",N(B228)&gt;=TODAY()),IF(COUNTIFS(Appointments!$D$6:$D$2005,D228,Appointments!$F$6:$F$2005,"Booked",Appointments!$B$6:$B$2005,"&gt;="&amp;TODAY(),Appointments!$M$6:$M$2005,"&lt;"&amp;M228)=0,1,0),0)</f>
        <v/>
      </c>
    </row>
    <row r="229">
      <c r="A229" s="1" t="n"/>
      <c r="B229" s="30" t="n">
        <v>46079</v>
      </c>
      <c r="C229" s="31" t="n">
        <v>0.6354166666666666</v>
      </c>
      <c r="D229" s="32" t="inlineStr">
        <is>
          <t>Uma Nair</t>
        </is>
      </c>
      <c r="E229" s="32" t="inlineStr">
        <is>
          <t>Women's haircut</t>
        </is>
      </c>
      <c r="F229" s="33" t="inlineStr">
        <is>
          <t>Done</t>
        </is>
      </c>
      <c r="G229" s="27">
        <f>IF(E229="","",MAX(0,IFERROR(INDEX(Services!$C$6:$C$35,MATCH(E229,Services!$B$6:$B$35,0)),0)-N(H229)))</f>
        <v/>
      </c>
      <c r="H229" s="34" t="n"/>
      <c r="I229" s="34" t="n">
        <v>55</v>
      </c>
      <c r="J229" s="33" t="inlineStr">
        <is>
          <t>Cash</t>
        </is>
      </c>
      <c r="K229" s="28">
        <f>IF(OR(B229="",F229&lt;&gt;"Done",J229="Package"),"",IF(N(G229)-N(I229)&gt;0,N(G229)-N(I229),""))</f>
        <v/>
      </c>
      <c r="L229" s="32" t="n"/>
      <c r="M229" s="1">
        <f>IF(OR(B229="",D229="",F229="Cancelled"),"",B229+N(C229)+ROW()/10000000)</f>
        <v/>
      </c>
      <c r="N229">
        <f>IF(AND(F229="Done",M229&lt;&gt;""),IF(COUNTIFS(Appointments!$D$6:$D$2005,D229,Appointments!$F$6:$F$2005,"Done",Appointments!$M$6:$M$2005,"&gt;"&amp;M229)=0,1,0),0)</f>
        <v/>
      </c>
      <c r="O229">
        <f>IF(AND(F229="Booked",M229&lt;&gt;"",N(B229)&gt;=TODAY()),IF(COUNTIFS(Appointments!$D$6:$D$2005,D229,Appointments!$F$6:$F$2005,"Booked",Appointments!$B$6:$B$2005,"&gt;="&amp;TODAY(),Appointments!$M$6:$M$2005,"&lt;"&amp;M229)=0,1,0),0)</f>
        <v/>
      </c>
    </row>
    <row r="230">
      <c r="A230" s="1" t="n"/>
      <c r="B230" s="30" t="n">
        <v>46080</v>
      </c>
      <c r="C230" s="31" t="n">
        <v>0.375</v>
      </c>
      <c r="D230" s="32" t="inlineStr">
        <is>
          <t>Chloe Martin</t>
        </is>
      </c>
      <c r="E230" s="32" t="inlineStr">
        <is>
          <t>Highlights</t>
        </is>
      </c>
      <c r="F230" s="33" t="inlineStr">
        <is>
          <t>Done</t>
        </is>
      </c>
      <c r="G230" s="27">
        <f>IF(E230="","",MAX(0,IFERROR(INDEX(Services!$C$6:$C$35,MATCH(E230,Services!$B$6:$B$35,0)),0)-N(H230)))</f>
        <v/>
      </c>
      <c r="H230" s="34" t="n"/>
      <c r="I230" s="34" t="n">
        <v>140</v>
      </c>
      <c r="J230" s="33" t="inlineStr">
        <is>
          <t>App</t>
        </is>
      </c>
      <c r="K230" s="28">
        <f>IF(OR(B230="",F230&lt;&gt;"Done",J230="Package"),"",IF(N(G230)-N(I230)&gt;0,N(G230)-N(I230),""))</f>
        <v/>
      </c>
      <c r="L230" s="32" t="n"/>
      <c r="M230" s="1">
        <f>IF(OR(B230="",D230="",F230="Cancelled"),"",B230+N(C230)+ROW()/10000000)</f>
        <v/>
      </c>
      <c r="N230">
        <f>IF(AND(F230="Done",M230&lt;&gt;""),IF(COUNTIFS(Appointments!$D$6:$D$2005,D230,Appointments!$F$6:$F$2005,"Done",Appointments!$M$6:$M$2005,"&gt;"&amp;M230)=0,1,0),0)</f>
        <v/>
      </c>
      <c r="O230">
        <f>IF(AND(F230="Booked",M230&lt;&gt;"",N(B230)&gt;=TODAY()),IF(COUNTIFS(Appointments!$D$6:$D$2005,D230,Appointments!$F$6:$F$2005,"Booked",Appointments!$B$6:$B$2005,"&gt;="&amp;TODAY(),Appointments!$M$6:$M$2005,"&lt;"&amp;M230)=0,1,0),0)</f>
        <v/>
      </c>
    </row>
    <row r="231">
      <c r="A231" s="1" t="n"/>
      <c r="B231" s="30" t="n">
        <v>46080</v>
      </c>
      <c r="C231" s="31" t="n">
        <v>0.4861111111111111</v>
      </c>
      <c r="D231" s="32" t="inlineStr">
        <is>
          <t>Chris West</t>
        </is>
      </c>
      <c r="E231" s="32" t="inlineStr">
        <is>
          <t>Men's haircut</t>
        </is>
      </c>
      <c r="F231" s="33" t="inlineStr">
        <is>
          <t>Done</t>
        </is>
      </c>
      <c r="G231" s="27">
        <f>IF(E231="","",MAX(0,IFERROR(INDEX(Services!$C$6:$C$35,MATCH(E231,Services!$B$6:$B$35,0)),0)-N(H231)))</f>
        <v/>
      </c>
      <c r="H231" s="34" t="n"/>
      <c r="I231" s="34" t="n">
        <v>30</v>
      </c>
      <c r="J231" s="33" t="inlineStr">
        <is>
          <t>Card</t>
        </is>
      </c>
      <c r="K231" s="28">
        <f>IF(OR(B231="",F231&lt;&gt;"Done",J231="Package"),"",IF(N(G231)-N(I231)&gt;0,N(G231)-N(I231),""))</f>
        <v/>
      </c>
      <c r="L231" s="32" t="n"/>
      <c r="M231" s="1">
        <f>IF(OR(B231="",D231="",F231="Cancelled"),"",B231+N(C231)+ROW()/10000000)</f>
        <v/>
      </c>
      <c r="N231">
        <f>IF(AND(F231="Done",M231&lt;&gt;""),IF(COUNTIFS(Appointments!$D$6:$D$2005,D231,Appointments!$F$6:$F$2005,"Done",Appointments!$M$6:$M$2005,"&gt;"&amp;M231)=0,1,0),0)</f>
        <v/>
      </c>
      <c r="O231">
        <f>IF(AND(F231="Booked",M231&lt;&gt;"",N(B231)&gt;=TODAY()),IF(COUNTIFS(Appointments!$D$6:$D$2005,D231,Appointments!$F$6:$F$2005,"Booked",Appointments!$B$6:$B$2005,"&gt;="&amp;TODAY(),Appointments!$M$6:$M$2005,"&lt;"&amp;M231)=0,1,0),0)</f>
        <v/>
      </c>
    </row>
    <row r="232">
      <c r="A232" s="1" t="n"/>
      <c r="B232" s="30" t="n">
        <v>46080</v>
      </c>
      <c r="C232" s="31" t="n">
        <v>0.5138888888888888</v>
      </c>
      <c r="D232" s="32" t="inlineStr">
        <is>
          <t>Dina Adams</t>
        </is>
      </c>
      <c r="E232" s="32" t="inlineStr">
        <is>
          <t>Women's haircut</t>
        </is>
      </c>
      <c r="F232" s="33" t="inlineStr">
        <is>
          <t>Done</t>
        </is>
      </c>
      <c r="G232" s="27">
        <f>IF(E232="","",MAX(0,IFERROR(INDEX(Services!$C$6:$C$35,MATCH(E232,Services!$B$6:$B$35,0)),0)-N(H232)))</f>
        <v/>
      </c>
      <c r="H232" s="34" t="n"/>
      <c r="I232" s="34" t="n">
        <v>55</v>
      </c>
      <c r="J232" s="33" t="inlineStr">
        <is>
          <t>Card</t>
        </is>
      </c>
      <c r="K232" s="28">
        <f>IF(OR(B232="",F232&lt;&gt;"Done",J232="Package"),"",IF(N(G232)-N(I232)&gt;0,N(G232)-N(I232),""))</f>
        <v/>
      </c>
      <c r="L232" s="32" t="n"/>
      <c r="M232" s="1">
        <f>IF(OR(B232="",D232="",F232="Cancelled"),"",B232+N(C232)+ROW()/10000000)</f>
        <v/>
      </c>
      <c r="N232">
        <f>IF(AND(F232="Done",M232&lt;&gt;""),IF(COUNTIFS(Appointments!$D$6:$D$2005,D232,Appointments!$F$6:$F$2005,"Done",Appointments!$M$6:$M$2005,"&gt;"&amp;M232)=0,1,0),0)</f>
        <v/>
      </c>
      <c r="O232">
        <f>IF(AND(F232="Booked",M232&lt;&gt;"",N(B232)&gt;=TODAY()),IF(COUNTIFS(Appointments!$D$6:$D$2005,D232,Appointments!$F$6:$F$2005,"Booked",Appointments!$B$6:$B$2005,"&gt;="&amp;TODAY(),Appointments!$M$6:$M$2005,"&lt;"&amp;M232)=0,1,0),0)</f>
        <v/>
      </c>
    </row>
    <row r="233">
      <c r="A233" s="1" t="n"/>
      <c r="B233" s="30" t="n">
        <v>46080</v>
      </c>
      <c r="C233" s="31" t="n">
        <v>0.5625</v>
      </c>
      <c r="D233" s="32" t="inlineStr">
        <is>
          <t>Dina West</t>
        </is>
      </c>
      <c r="E233" s="32" t="inlineStr">
        <is>
          <t>Treatment</t>
        </is>
      </c>
      <c r="F233" s="33" t="inlineStr">
        <is>
          <t>Done</t>
        </is>
      </c>
      <c r="G233" s="27">
        <f>IF(E233="","",MAX(0,IFERROR(INDEX(Services!$C$6:$C$35,MATCH(E233,Services!$B$6:$B$35,0)),0)-N(H233)))</f>
        <v/>
      </c>
      <c r="H233" s="34" t="n"/>
      <c r="I233" s="34" t="n">
        <v>30</v>
      </c>
      <c r="J233" s="33" t="inlineStr">
        <is>
          <t>Card</t>
        </is>
      </c>
      <c r="K233" s="28">
        <f>IF(OR(B233="",F233&lt;&gt;"Done",J233="Package"),"",IF(N(G233)-N(I233)&gt;0,N(G233)-N(I233),""))</f>
        <v/>
      </c>
      <c r="L233" s="32" t="n"/>
      <c r="M233" s="1">
        <f>IF(OR(B233="",D233="",F233="Cancelled"),"",B233+N(C233)+ROW()/10000000)</f>
        <v/>
      </c>
      <c r="N233">
        <f>IF(AND(F233="Done",M233&lt;&gt;""),IF(COUNTIFS(Appointments!$D$6:$D$2005,D233,Appointments!$F$6:$F$2005,"Done",Appointments!$M$6:$M$2005,"&gt;"&amp;M233)=0,1,0),0)</f>
        <v/>
      </c>
      <c r="O233">
        <f>IF(AND(F233="Booked",M233&lt;&gt;"",N(B233)&gt;=TODAY()),IF(COUNTIFS(Appointments!$D$6:$D$2005,D233,Appointments!$F$6:$F$2005,"Booked",Appointments!$B$6:$B$2005,"&gt;="&amp;TODAY(),Appointments!$M$6:$M$2005,"&lt;"&amp;M233)=0,1,0),0)</f>
        <v/>
      </c>
    </row>
    <row r="234">
      <c r="A234" s="1" t="n"/>
      <c r="B234" s="30" t="n">
        <v>46080</v>
      </c>
      <c r="C234" s="31" t="n">
        <v>0.5902777777777778</v>
      </c>
      <c r="D234" s="32" t="inlineStr">
        <is>
          <t>Harry Lewis</t>
        </is>
      </c>
      <c r="E234" s="32" t="inlineStr">
        <is>
          <t>Men's haircut</t>
        </is>
      </c>
      <c r="F234" s="33" t="inlineStr">
        <is>
          <t>Done</t>
        </is>
      </c>
      <c r="G234" s="27">
        <f>IF(E234="","",MAX(0,IFERROR(INDEX(Services!$C$6:$C$35,MATCH(E234,Services!$B$6:$B$35,0)),0)-N(H234)))</f>
        <v/>
      </c>
      <c r="H234" s="34" t="n"/>
      <c r="I234" s="34" t="n">
        <v>30</v>
      </c>
      <c r="J234" s="33" t="inlineStr">
        <is>
          <t>App</t>
        </is>
      </c>
      <c r="K234" s="28">
        <f>IF(OR(B234="",F234&lt;&gt;"Done",J234="Package"),"",IF(N(G234)-N(I234)&gt;0,N(G234)-N(I234),""))</f>
        <v/>
      </c>
      <c r="L234" s="32" t="n"/>
      <c r="M234" s="1">
        <f>IF(OR(B234="",D234="",F234="Cancelled"),"",B234+N(C234)+ROW()/10000000)</f>
        <v/>
      </c>
      <c r="N234">
        <f>IF(AND(F234="Done",M234&lt;&gt;""),IF(COUNTIFS(Appointments!$D$6:$D$2005,D234,Appointments!$F$6:$F$2005,"Done",Appointments!$M$6:$M$2005,"&gt;"&amp;M234)=0,1,0),0)</f>
        <v/>
      </c>
      <c r="O234">
        <f>IF(AND(F234="Booked",M234&lt;&gt;"",N(B234)&gt;=TODAY()),IF(COUNTIFS(Appointments!$D$6:$D$2005,D234,Appointments!$F$6:$F$2005,"Booked",Appointments!$B$6:$B$2005,"&gt;="&amp;TODAY(),Appointments!$M$6:$M$2005,"&lt;"&amp;M234)=0,1,0),0)</f>
        <v/>
      </c>
    </row>
    <row r="235">
      <c r="A235" s="1" t="n"/>
      <c r="B235" s="30" t="n">
        <v>46080</v>
      </c>
      <c r="C235" s="31" t="n">
        <v>0.6180555555555556</v>
      </c>
      <c r="D235" s="32" t="inlineStr">
        <is>
          <t>Luke Hall</t>
        </is>
      </c>
      <c r="E235" s="32" t="inlineStr">
        <is>
          <t>Men's haircut</t>
        </is>
      </c>
      <c r="F235" s="33" t="inlineStr">
        <is>
          <t>Done</t>
        </is>
      </c>
      <c r="G235" s="27">
        <f>IF(E235="","",MAX(0,IFERROR(INDEX(Services!$C$6:$C$35,MATCH(E235,Services!$B$6:$B$35,0)),0)-N(H235)))</f>
        <v/>
      </c>
      <c r="H235" s="34" t="n"/>
      <c r="I235" s="34" t="n">
        <v>30</v>
      </c>
      <c r="J235" s="33" t="inlineStr">
        <is>
          <t>Card</t>
        </is>
      </c>
      <c r="K235" s="28">
        <f>IF(OR(B235="",F235&lt;&gt;"Done",J235="Package"),"",IF(N(G235)-N(I235)&gt;0,N(G235)-N(I235),""))</f>
        <v/>
      </c>
      <c r="L235" s="32" t="n"/>
      <c r="M235" s="1">
        <f>IF(OR(B235="",D235="",F235="Cancelled"),"",B235+N(C235)+ROW()/10000000)</f>
        <v/>
      </c>
      <c r="N235">
        <f>IF(AND(F235="Done",M235&lt;&gt;""),IF(COUNTIFS(Appointments!$D$6:$D$2005,D235,Appointments!$F$6:$F$2005,"Done",Appointments!$M$6:$M$2005,"&gt;"&amp;M235)=0,1,0),0)</f>
        <v/>
      </c>
      <c r="O235">
        <f>IF(AND(F235="Booked",M235&lt;&gt;"",N(B235)&gt;=TODAY()),IF(COUNTIFS(Appointments!$D$6:$D$2005,D235,Appointments!$F$6:$F$2005,"Booked",Appointments!$B$6:$B$2005,"&gt;="&amp;TODAY(),Appointments!$M$6:$M$2005,"&lt;"&amp;M235)=0,1,0),0)</f>
        <v/>
      </c>
    </row>
    <row r="236">
      <c r="A236" s="1" t="n"/>
      <c r="B236" s="30" t="n">
        <v>46080</v>
      </c>
      <c r="C236" s="31" t="n">
        <v>0.6458333333333334</v>
      </c>
      <c r="D236" s="32" t="inlineStr">
        <is>
          <t>Sara Hughes</t>
        </is>
      </c>
      <c r="E236" s="32" t="inlineStr">
        <is>
          <t>Highlights</t>
        </is>
      </c>
      <c r="F236" s="33" t="inlineStr">
        <is>
          <t>Done</t>
        </is>
      </c>
      <c r="G236" s="27">
        <f>IF(E236="","",MAX(0,IFERROR(INDEX(Services!$C$6:$C$35,MATCH(E236,Services!$B$6:$B$35,0)),0)-N(H236)))</f>
        <v/>
      </c>
      <c r="H236" s="34" t="n"/>
      <c r="I236" s="34" t="n">
        <v>140</v>
      </c>
      <c r="J236" s="33" t="inlineStr">
        <is>
          <t>Cash</t>
        </is>
      </c>
      <c r="K236" s="28">
        <f>IF(OR(B236="",F236&lt;&gt;"Done",J236="Package"),"",IF(N(G236)-N(I236)&gt;0,N(G236)-N(I236),""))</f>
        <v/>
      </c>
      <c r="L236" s="32" t="n"/>
      <c r="M236" s="1">
        <f>IF(OR(B236="",D236="",F236="Cancelled"),"",B236+N(C236)+ROW()/10000000)</f>
        <v/>
      </c>
      <c r="N236">
        <f>IF(AND(F236="Done",M236&lt;&gt;""),IF(COUNTIFS(Appointments!$D$6:$D$2005,D236,Appointments!$F$6:$F$2005,"Done",Appointments!$M$6:$M$2005,"&gt;"&amp;M236)=0,1,0),0)</f>
        <v/>
      </c>
      <c r="O236">
        <f>IF(AND(F236="Booked",M236&lt;&gt;"",N(B236)&gt;=TODAY()),IF(COUNTIFS(Appointments!$D$6:$D$2005,D236,Appointments!$F$6:$F$2005,"Booked",Appointments!$B$6:$B$2005,"&gt;="&amp;TODAY(),Appointments!$M$6:$M$2005,"&lt;"&amp;M236)=0,1,0),0)</f>
        <v/>
      </c>
    </row>
    <row r="237">
      <c r="A237" s="1" t="n"/>
      <c r="B237" s="30" t="n">
        <v>46081</v>
      </c>
      <c r="C237" s="31" t="n">
        <v>0.375</v>
      </c>
      <c r="D237" s="32" t="inlineStr">
        <is>
          <t>Ava Reed</t>
        </is>
      </c>
      <c r="E237" s="32" t="inlineStr">
        <is>
          <t>Highlights</t>
        </is>
      </c>
      <c r="F237" s="33" t="inlineStr">
        <is>
          <t>Done</t>
        </is>
      </c>
      <c r="G237" s="27">
        <f>IF(E237="","",MAX(0,IFERROR(INDEX(Services!$C$6:$C$35,MATCH(E237,Services!$B$6:$B$35,0)),0)-N(H237)))</f>
        <v/>
      </c>
      <c r="H237" s="34" t="n"/>
      <c r="I237" s="34" t="n">
        <v>140</v>
      </c>
      <c r="J237" s="33" t="inlineStr">
        <is>
          <t>Card</t>
        </is>
      </c>
      <c r="K237" s="28">
        <f>IF(OR(B237="",F237&lt;&gt;"Done",J237="Package"),"",IF(N(G237)-N(I237)&gt;0,N(G237)-N(I237),""))</f>
        <v/>
      </c>
      <c r="L237" s="32" t="n"/>
      <c r="M237" s="1">
        <f>IF(OR(B237="",D237="",F237="Cancelled"),"",B237+N(C237)+ROW()/10000000)</f>
        <v/>
      </c>
      <c r="N237">
        <f>IF(AND(F237="Done",M237&lt;&gt;""),IF(COUNTIFS(Appointments!$D$6:$D$2005,D237,Appointments!$F$6:$F$2005,"Done",Appointments!$M$6:$M$2005,"&gt;"&amp;M237)=0,1,0),0)</f>
        <v/>
      </c>
      <c r="O237">
        <f>IF(AND(F237="Booked",M237&lt;&gt;"",N(B237)&gt;=TODAY()),IF(COUNTIFS(Appointments!$D$6:$D$2005,D237,Appointments!$F$6:$F$2005,"Booked",Appointments!$B$6:$B$2005,"&gt;="&amp;TODAY(),Appointments!$M$6:$M$2005,"&lt;"&amp;M237)=0,1,0),0)</f>
        <v/>
      </c>
    </row>
    <row r="238">
      <c r="A238" s="1" t="n"/>
      <c r="B238" s="30" t="n">
        <v>46081</v>
      </c>
      <c r="C238" s="31" t="n">
        <v>0.4861111111111111</v>
      </c>
      <c r="D238" s="32" t="inlineStr">
        <is>
          <t>Clara Morgan</t>
        </is>
      </c>
      <c r="E238" s="32" t="inlineStr">
        <is>
          <t>Colour</t>
        </is>
      </c>
      <c r="F238" s="33" t="inlineStr">
        <is>
          <t>Done</t>
        </is>
      </c>
      <c r="G238" s="27">
        <f>IF(E238="","",MAX(0,IFERROR(INDEX(Services!$C$6:$C$35,MATCH(E238,Services!$B$6:$B$35,0)),0)-N(H238)))</f>
        <v/>
      </c>
      <c r="H238" s="34" t="n"/>
      <c r="I238" s="34" t="n">
        <v>95</v>
      </c>
      <c r="J238" s="33" t="inlineStr">
        <is>
          <t>Transfer</t>
        </is>
      </c>
      <c r="K238" s="28">
        <f>IF(OR(B238="",F238&lt;&gt;"Done",J238="Package"),"",IF(N(G238)-N(I238)&gt;0,N(G238)-N(I238),""))</f>
        <v/>
      </c>
      <c r="L238" s="32" t="n"/>
      <c r="M238" s="1">
        <f>IF(OR(B238="",D238="",F238="Cancelled"),"",B238+N(C238)+ROW()/10000000)</f>
        <v/>
      </c>
      <c r="N238">
        <f>IF(AND(F238="Done",M238&lt;&gt;""),IF(COUNTIFS(Appointments!$D$6:$D$2005,D238,Appointments!$F$6:$F$2005,"Done",Appointments!$M$6:$M$2005,"&gt;"&amp;M238)=0,1,0),0)</f>
        <v/>
      </c>
      <c r="O238">
        <f>IF(AND(F238="Booked",M238&lt;&gt;"",N(B238)&gt;=TODAY()),IF(COUNTIFS(Appointments!$D$6:$D$2005,D238,Appointments!$F$6:$F$2005,"Booked",Appointments!$B$6:$B$2005,"&gt;="&amp;TODAY(),Appointments!$M$6:$M$2005,"&lt;"&amp;M238)=0,1,0),0)</f>
        <v/>
      </c>
    </row>
    <row r="239">
      <c r="A239" s="1" t="n"/>
      <c r="B239" s="30" t="n">
        <v>46081</v>
      </c>
      <c r="C239" s="31" t="n">
        <v>0.5763888888888888</v>
      </c>
      <c r="D239" s="32" t="inlineStr">
        <is>
          <t>Finn Cook</t>
        </is>
      </c>
      <c r="E239" s="32" t="inlineStr">
        <is>
          <t>Men's haircut</t>
        </is>
      </c>
      <c r="F239" s="33" t="inlineStr">
        <is>
          <t>Done</t>
        </is>
      </c>
      <c r="G239" s="27">
        <f>IF(E239="","",MAX(0,IFERROR(INDEX(Services!$C$6:$C$35,MATCH(E239,Services!$B$6:$B$35,0)),0)-N(H239)))</f>
        <v/>
      </c>
      <c r="H239" s="34" t="n"/>
      <c r="I239" s="34" t="n">
        <v>30</v>
      </c>
      <c r="J239" s="33" t="inlineStr">
        <is>
          <t>Card</t>
        </is>
      </c>
      <c r="K239" s="28">
        <f>IF(OR(B239="",F239&lt;&gt;"Done",J239="Package"),"",IF(N(G239)-N(I239)&gt;0,N(G239)-N(I239),""))</f>
        <v/>
      </c>
      <c r="L239" s="32" t="n"/>
      <c r="M239" s="1">
        <f>IF(OR(B239="",D239="",F239="Cancelled"),"",B239+N(C239)+ROW()/10000000)</f>
        <v/>
      </c>
      <c r="N239">
        <f>IF(AND(F239="Done",M239&lt;&gt;""),IF(COUNTIFS(Appointments!$D$6:$D$2005,D239,Appointments!$F$6:$F$2005,"Done",Appointments!$M$6:$M$2005,"&gt;"&amp;M239)=0,1,0),0)</f>
        <v/>
      </c>
      <c r="O239">
        <f>IF(AND(F239="Booked",M239&lt;&gt;"",N(B239)&gt;=TODAY()),IF(COUNTIFS(Appointments!$D$6:$D$2005,D239,Appointments!$F$6:$F$2005,"Booked",Appointments!$B$6:$B$2005,"&gt;="&amp;TODAY(),Appointments!$M$6:$M$2005,"&lt;"&amp;M239)=0,1,0),0)</f>
        <v/>
      </c>
    </row>
    <row r="240">
      <c r="A240" s="1" t="n"/>
      <c r="B240" s="30" t="n">
        <v>46081</v>
      </c>
      <c r="C240" s="31" t="n">
        <v>0.6041666666666666</v>
      </c>
      <c r="D240" s="32" t="inlineStr">
        <is>
          <t>Finn Davies</t>
        </is>
      </c>
      <c r="E240" s="32" t="inlineStr">
        <is>
          <t>Men's haircut</t>
        </is>
      </c>
      <c r="F240" s="33" t="inlineStr">
        <is>
          <t>Done</t>
        </is>
      </c>
      <c r="G240" s="27">
        <f>IF(E240="","",MAX(0,IFERROR(INDEX(Services!$C$6:$C$35,MATCH(E240,Services!$B$6:$B$35,0)),0)-N(H240)))</f>
        <v/>
      </c>
      <c r="H240" s="34" t="n"/>
      <c r="I240" s="34" t="n">
        <v>30</v>
      </c>
      <c r="J240" s="33" t="inlineStr">
        <is>
          <t>Card</t>
        </is>
      </c>
      <c r="K240" s="28">
        <f>IF(OR(B240="",F240&lt;&gt;"Done",J240="Package"),"",IF(N(G240)-N(I240)&gt;0,N(G240)-N(I240),""))</f>
        <v/>
      </c>
      <c r="L240" s="32" t="n"/>
      <c r="M240" s="1">
        <f>IF(OR(B240="",D240="",F240="Cancelled"),"",B240+N(C240)+ROW()/10000000)</f>
        <v/>
      </c>
      <c r="N240">
        <f>IF(AND(F240="Done",M240&lt;&gt;""),IF(COUNTIFS(Appointments!$D$6:$D$2005,D240,Appointments!$F$6:$F$2005,"Done",Appointments!$M$6:$M$2005,"&gt;"&amp;M240)=0,1,0),0)</f>
        <v/>
      </c>
      <c r="O240">
        <f>IF(AND(F240="Booked",M240&lt;&gt;"",N(B240)&gt;=TODAY()),IF(COUNTIFS(Appointments!$D$6:$D$2005,D240,Appointments!$F$6:$F$2005,"Booked",Appointments!$B$6:$B$2005,"&gt;="&amp;TODAY(),Appointments!$M$6:$M$2005,"&lt;"&amp;M240)=0,1,0),0)</f>
        <v/>
      </c>
    </row>
    <row r="241">
      <c r="A241" s="1" t="n"/>
      <c r="B241" s="30" t="n">
        <v>46081</v>
      </c>
      <c r="C241" s="31" t="n">
        <v>0.6319444444444444</v>
      </c>
      <c r="D241" s="32" t="inlineStr">
        <is>
          <t>Hannah Kelly</t>
        </is>
      </c>
      <c r="E241" s="32" t="inlineStr">
        <is>
          <t>Women's haircut</t>
        </is>
      </c>
      <c r="F241" s="33" t="inlineStr">
        <is>
          <t>Done</t>
        </is>
      </c>
      <c r="G241" s="27">
        <f>IF(E241="","",MAX(0,IFERROR(INDEX(Services!$C$6:$C$35,MATCH(E241,Services!$B$6:$B$35,0)),0)-N(H241)))</f>
        <v/>
      </c>
      <c r="H241" s="34" t="n"/>
      <c r="I241" s="34" t="n">
        <v>55</v>
      </c>
      <c r="J241" s="33" t="inlineStr">
        <is>
          <t>Card</t>
        </is>
      </c>
      <c r="K241" s="28">
        <f>IF(OR(B241="",F241&lt;&gt;"Done",J241="Package"),"",IF(N(G241)-N(I241)&gt;0,N(G241)-N(I241),""))</f>
        <v/>
      </c>
      <c r="L241" s="32" t="n"/>
      <c r="M241" s="1">
        <f>IF(OR(B241="",D241="",F241="Cancelled"),"",B241+N(C241)+ROW()/10000000)</f>
        <v/>
      </c>
      <c r="N241">
        <f>IF(AND(F241="Done",M241&lt;&gt;""),IF(COUNTIFS(Appointments!$D$6:$D$2005,D241,Appointments!$F$6:$F$2005,"Done",Appointments!$M$6:$M$2005,"&gt;"&amp;M241)=0,1,0),0)</f>
        <v/>
      </c>
      <c r="O241">
        <f>IF(AND(F241="Booked",M241&lt;&gt;"",N(B241)&gt;=TODAY()),IF(COUNTIFS(Appointments!$D$6:$D$2005,D241,Appointments!$F$6:$F$2005,"Booked",Appointments!$B$6:$B$2005,"&gt;="&amp;TODAY(),Appointments!$M$6:$M$2005,"&lt;"&amp;M241)=0,1,0),0)</f>
        <v/>
      </c>
    </row>
    <row r="242">
      <c r="A242" s="1" t="n"/>
      <c r="B242" s="30" t="n">
        <v>46081</v>
      </c>
      <c r="C242" s="31" t="n">
        <v>0.6805555555555556</v>
      </c>
      <c r="D242" s="32" t="inlineStr">
        <is>
          <t>Harry Adams</t>
        </is>
      </c>
      <c r="E242" s="32" t="inlineStr">
        <is>
          <t>Men's haircut</t>
        </is>
      </c>
      <c r="F242" s="33" t="inlineStr">
        <is>
          <t>Done</t>
        </is>
      </c>
      <c r="G242" s="27">
        <f>IF(E242="","",MAX(0,IFERROR(INDEX(Services!$C$6:$C$35,MATCH(E242,Services!$B$6:$B$35,0)),0)-N(H242)))</f>
        <v/>
      </c>
      <c r="H242" s="34" t="n"/>
      <c r="I242" s="34" t="n">
        <v>30</v>
      </c>
      <c r="J242" s="33" t="inlineStr">
        <is>
          <t>Cash</t>
        </is>
      </c>
      <c r="K242" s="28">
        <f>IF(OR(B242="",F242&lt;&gt;"Done",J242="Package"),"",IF(N(G242)-N(I242)&gt;0,N(G242)-N(I242),""))</f>
        <v/>
      </c>
      <c r="L242" s="32" t="n"/>
      <c r="M242" s="1">
        <f>IF(OR(B242="",D242="",F242="Cancelled"),"",B242+N(C242)+ROW()/10000000)</f>
        <v/>
      </c>
      <c r="N242">
        <f>IF(AND(F242="Done",M242&lt;&gt;""),IF(COUNTIFS(Appointments!$D$6:$D$2005,D242,Appointments!$F$6:$F$2005,"Done",Appointments!$M$6:$M$2005,"&gt;"&amp;M242)=0,1,0),0)</f>
        <v/>
      </c>
      <c r="O242">
        <f>IF(AND(F242="Booked",M242&lt;&gt;"",N(B242)&gt;=TODAY()),IF(COUNTIFS(Appointments!$D$6:$D$2005,D242,Appointments!$F$6:$F$2005,"Booked",Appointments!$B$6:$B$2005,"&gt;="&amp;TODAY(),Appointments!$M$6:$M$2005,"&lt;"&amp;M242)=0,1,0),0)</f>
        <v/>
      </c>
    </row>
    <row r="243">
      <c r="A243" s="1" t="n"/>
      <c r="B243" s="30" t="n">
        <v>46081</v>
      </c>
      <c r="C243" s="31" t="n">
        <v>0.7083333333333334</v>
      </c>
      <c r="D243" s="32" t="inlineStr">
        <is>
          <t>Ryan Webb</t>
        </is>
      </c>
      <c r="E243" s="32" t="inlineStr">
        <is>
          <t>Men's haircut</t>
        </is>
      </c>
      <c r="F243" s="33" t="inlineStr">
        <is>
          <t>Done</t>
        </is>
      </c>
      <c r="G243" s="27">
        <f>IF(E243="","",MAX(0,IFERROR(INDEX(Services!$C$6:$C$35,MATCH(E243,Services!$B$6:$B$35,0)),0)-N(H243)))</f>
        <v/>
      </c>
      <c r="H243" s="34" t="n"/>
      <c r="I243" s="34" t="n">
        <v>30</v>
      </c>
      <c r="J243" s="33" t="inlineStr">
        <is>
          <t>Transfer</t>
        </is>
      </c>
      <c r="K243" s="28">
        <f>IF(OR(B243="",F243&lt;&gt;"Done",J243="Package"),"",IF(N(G243)-N(I243)&gt;0,N(G243)-N(I243),""))</f>
        <v/>
      </c>
      <c r="L243" s="32" t="n"/>
      <c r="M243" s="1">
        <f>IF(OR(B243="",D243="",F243="Cancelled"),"",B243+N(C243)+ROW()/10000000)</f>
        <v/>
      </c>
      <c r="N243">
        <f>IF(AND(F243="Done",M243&lt;&gt;""),IF(COUNTIFS(Appointments!$D$6:$D$2005,D243,Appointments!$F$6:$F$2005,"Done",Appointments!$M$6:$M$2005,"&gt;"&amp;M243)=0,1,0),0)</f>
        <v/>
      </c>
      <c r="O243">
        <f>IF(AND(F243="Booked",M243&lt;&gt;"",N(B243)&gt;=TODAY()),IF(COUNTIFS(Appointments!$D$6:$D$2005,D243,Appointments!$F$6:$F$2005,"Booked",Appointments!$B$6:$B$2005,"&gt;="&amp;TODAY(),Appointments!$M$6:$M$2005,"&lt;"&amp;M243)=0,1,0),0)</f>
        <v/>
      </c>
    </row>
    <row r="244">
      <c r="A244" s="1" t="n"/>
      <c r="B244" s="30" t="n">
        <v>46084</v>
      </c>
      <c r="C244" s="31" t="n">
        <v>0.375</v>
      </c>
      <c r="D244" s="32" t="inlineStr">
        <is>
          <t>Chris Cook</t>
        </is>
      </c>
      <c r="E244" s="32" t="inlineStr">
        <is>
          <t>Men's haircut</t>
        </is>
      </c>
      <c r="F244" s="33" t="inlineStr">
        <is>
          <t>Done</t>
        </is>
      </c>
      <c r="G244" s="27">
        <f>IF(E244="","",MAX(0,IFERROR(INDEX(Services!$C$6:$C$35,MATCH(E244,Services!$B$6:$B$35,0)),0)-N(H244)))</f>
        <v/>
      </c>
      <c r="H244" s="34" t="n"/>
      <c r="I244" s="34" t="n">
        <v>30</v>
      </c>
      <c r="J244" s="33" t="inlineStr">
        <is>
          <t>Cash</t>
        </is>
      </c>
      <c r="K244" s="28">
        <f>IF(OR(B244="",F244&lt;&gt;"Done",J244="Package"),"",IF(N(G244)-N(I244)&gt;0,N(G244)-N(I244),""))</f>
        <v/>
      </c>
      <c r="L244" s="32" t="n"/>
      <c r="M244" s="1">
        <f>IF(OR(B244="",D244="",F244="Cancelled"),"",B244+N(C244)+ROW()/10000000)</f>
        <v/>
      </c>
      <c r="N244">
        <f>IF(AND(F244="Done",M244&lt;&gt;""),IF(COUNTIFS(Appointments!$D$6:$D$2005,D244,Appointments!$F$6:$F$2005,"Done",Appointments!$M$6:$M$2005,"&gt;"&amp;M244)=0,1,0),0)</f>
        <v/>
      </c>
      <c r="O244">
        <f>IF(AND(F244="Booked",M244&lt;&gt;"",N(B244)&gt;=TODAY()),IF(COUNTIFS(Appointments!$D$6:$D$2005,D244,Appointments!$F$6:$F$2005,"Booked",Appointments!$B$6:$B$2005,"&gt;="&amp;TODAY(),Appointments!$M$6:$M$2005,"&lt;"&amp;M244)=0,1,0),0)</f>
        <v/>
      </c>
    </row>
    <row r="245">
      <c r="A245" s="1" t="n"/>
      <c r="B245" s="30" t="n">
        <v>46084</v>
      </c>
      <c r="C245" s="31" t="n">
        <v>0.4027777777777778</v>
      </c>
      <c r="D245" s="32" t="inlineStr">
        <is>
          <t>Eli Cole</t>
        </is>
      </c>
      <c r="E245" s="32" t="inlineStr">
        <is>
          <t>Men's haircut</t>
        </is>
      </c>
      <c r="F245" s="33" t="inlineStr">
        <is>
          <t>Done</t>
        </is>
      </c>
      <c r="G245" s="27">
        <f>IF(E245="","",MAX(0,IFERROR(INDEX(Services!$C$6:$C$35,MATCH(E245,Services!$B$6:$B$35,0)),0)-N(H245)))</f>
        <v/>
      </c>
      <c r="H245" s="34" t="n"/>
      <c r="I245" s="34" t="n">
        <v>30</v>
      </c>
      <c r="J245" s="33" t="inlineStr">
        <is>
          <t>Cash</t>
        </is>
      </c>
      <c r="K245" s="28">
        <f>IF(OR(B245="",F245&lt;&gt;"Done",J245="Package"),"",IF(N(G245)-N(I245)&gt;0,N(G245)-N(I245),""))</f>
        <v/>
      </c>
      <c r="L245" s="32" t="n"/>
      <c r="M245" s="1">
        <f>IF(OR(B245="",D245="",F245="Cancelled"),"",B245+N(C245)+ROW()/10000000)</f>
        <v/>
      </c>
      <c r="N245">
        <f>IF(AND(F245="Done",M245&lt;&gt;""),IF(COUNTIFS(Appointments!$D$6:$D$2005,D245,Appointments!$F$6:$F$2005,"Done",Appointments!$M$6:$M$2005,"&gt;"&amp;M245)=0,1,0),0)</f>
        <v/>
      </c>
      <c r="O245">
        <f>IF(AND(F245="Booked",M245&lt;&gt;"",N(B245)&gt;=TODAY()),IF(COUNTIFS(Appointments!$D$6:$D$2005,D245,Appointments!$F$6:$F$2005,"Booked",Appointments!$B$6:$B$2005,"&gt;="&amp;TODAY(),Appointments!$M$6:$M$2005,"&lt;"&amp;M245)=0,1,0),0)</f>
        <v/>
      </c>
    </row>
    <row r="246">
      <c r="A246" s="1" t="n"/>
      <c r="B246" s="30" t="n">
        <v>46084</v>
      </c>
      <c r="C246" s="31" t="n">
        <v>0.4305555555555556</v>
      </c>
      <c r="D246" s="32" t="inlineStr">
        <is>
          <t>Harry Hall</t>
        </is>
      </c>
      <c r="E246" s="32" t="inlineStr">
        <is>
          <t>Men's haircut</t>
        </is>
      </c>
      <c r="F246" s="33" t="inlineStr">
        <is>
          <t>Done</t>
        </is>
      </c>
      <c r="G246" s="27">
        <f>IF(E246="","",MAX(0,IFERROR(INDEX(Services!$C$6:$C$35,MATCH(E246,Services!$B$6:$B$35,0)),0)-N(H246)))</f>
        <v/>
      </c>
      <c r="H246" s="34" t="n"/>
      <c r="I246" s="34" t="n">
        <v>30</v>
      </c>
      <c r="J246" s="33" t="inlineStr">
        <is>
          <t>Card</t>
        </is>
      </c>
      <c r="K246" s="28">
        <f>IF(OR(B246="",F246&lt;&gt;"Done",J246="Package"),"",IF(N(G246)-N(I246)&gt;0,N(G246)-N(I246),""))</f>
        <v/>
      </c>
      <c r="L246" s="32" t="n"/>
      <c r="M246" s="1">
        <f>IF(OR(B246="",D246="",F246="Cancelled"),"",B246+N(C246)+ROW()/10000000)</f>
        <v/>
      </c>
      <c r="N246">
        <f>IF(AND(F246="Done",M246&lt;&gt;""),IF(COUNTIFS(Appointments!$D$6:$D$2005,D246,Appointments!$F$6:$F$2005,"Done",Appointments!$M$6:$M$2005,"&gt;"&amp;M246)=0,1,0),0)</f>
        <v/>
      </c>
      <c r="O246">
        <f>IF(AND(F246="Booked",M246&lt;&gt;"",N(B246)&gt;=TODAY()),IF(COUNTIFS(Appointments!$D$6:$D$2005,D246,Appointments!$F$6:$F$2005,"Booked",Appointments!$B$6:$B$2005,"&gt;="&amp;TODAY(),Appointments!$M$6:$M$2005,"&lt;"&amp;M246)=0,1,0),0)</f>
        <v/>
      </c>
    </row>
    <row r="247">
      <c r="A247" s="1" t="n"/>
      <c r="B247" s="30" t="n">
        <v>46084</v>
      </c>
      <c r="C247" s="31" t="n">
        <v>0.4583333333333333</v>
      </c>
      <c r="D247" s="32" t="inlineStr">
        <is>
          <t>Kara Young</t>
        </is>
      </c>
      <c r="E247" s="32" t="inlineStr">
        <is>
          <t>Toner</t>
        </is>
      </c>
      <c r="F247" s="33" t="inlineStr">
        <is>
          <t>Done</t>
        </is>
      </c>
      <c r="G247" s="27">
        <f>IF(E247="","",MAX(0,IFERROR(INDEX(Services!$C$6:$C$35,MATCH(E247,Services!$B$6:$B$35,0)),0)-N(H247)))</f>
        <v/>
      </c>
      <c r="H247" s="34" t="n"/>
      <c r="I247" s="34" t="n">
        <v>40</v>
      </c>
      <c r="J247" s="33" t="inlineStr">
        <is>
          <t>Cash</t>
        </is>
      </c>
      <c r="K247" s="28">
        <f>IF(OR(B247="",F247&lt;&gt;"Done",J247="Package"),"",IF(N(G247)-N(I247)&gt;0,N(G247)-N(I247),""))</f>
        <v/>
      </c>
      <c r="L247" s="32" t="n"/>
      <c r="M247" s="1">
        <f>IF(OR(B247="",D247="",F247="Cancelled"),"",B247+N(C247)+ROW()/10000000)</f>
        <v/>
      </c>
      <c r="N247">
        <f>IF(AND(F247="Done",M247&lt;&gt;""),IF(COUNTIFS(Appointments!$D$6:$D$2005,D247,Appointments!$F$6:$F$2005,"Done",Appointments!$M$6:$M$2005,"&gt;"&amp;M247)=0,1,0),0)</f>
        <v/>
      </c>
      <c r="O247">
        <f>IF(AND(F247="Booked",M247&lt;&gt;"",N(B247)&gt;=TODAY()),IF(COUNTIFS(Appointments!$D$6:$D$2005,D247,Appointments!$F$6:$F$2005,"Booked",Appointments!$B$6:$B$2005,"&gt;="&amp;TODAY(),Appointments!$M$6:$M$2005,"&lt;"&amp;M247)=0,1,0),0)</f>
        <v/>
      </c>
    </row>
    <row r="248">
      <c r="A248" s="1" t="n"/>
      <c r="B248" s="30" t="n">
        <v>46084</v>
      </c>
      <c r="C248" s="31" t="n">
        <v>0.4861111111111111</v>
      </c>
      <c r="D248" s="32" t="inlineStr">
        <is>
          <t>Liam Evans</t>
        </is>
      </c>
      <c r="E248" s="32" t="inlineStr">
        <is>
          <t>Men's haircut</t>
        </is>
      </c>
      <c r="F248" s="33" t="inlineStr">
        <is>
          <t>Done</t>
        </is>
      </c>
      <c r="G248" s="27">
        <f>IF(E248="","",MAX(0,IFERROR(INDEX(Services!$C$6:$C$35,MATCH(E248,Services!$B$6:$B$35,0)),0)-N(H248)))</f>
        <v/>
      </c>
      <c r="H248" s="34" t="n"/>
      <c r="I248" s="34" t="n">
        <v>30</v>
      </c>
      <c r="J248" s="33" t="inlineStr">
        <is>
          <t>Card</t>
        </is>
      </c>
      <c r="K248" s="28">
        <f>IF(OR(B248="",F248&lt;&gt;"Done",J248="Package"),"",IF(N(G248)-N(I248)&gt;0,N(G248)-N(I248),""))</f>
        <v/>
      </c>
      <c r="L248" s="32" t="n"/>
      <c r="M248" s="1">
        <f>IF(OR(B248="",D248="",F248="Cancelled"),"",B248+N(C248)+ROW()/10000000)</f>
        <v/>
      </c>
      <c r="N248">
        <f>IF(AND(F248="Done",M248&lt;&gt;""),IF(COUNTIFS(Appointments!$D$6:$D$2005,D248,Appointments!$F$6:$F$2005,"Done",Appointments!$M$6:$M$2005,"&gt;"&amp;M248)=0,1,0),0)</f>
        <v/>
      </c>
      <c r="O248">
        <f>IF(AND(F248="Booked",M248&lt;&gt;"",N(B248)&gt;=TODAY()),IF(COUNTIFS(Appointments!$D$6:$D$2005,D248,Appointments!$F$6:$F$2005,"Booked",Appointments!$B$6:$B$2005,"&gt;="&amp;TODAY(),Appointments!$M$6:$M$2005,"&lt;"&amp;M248)=0,1,0),0)</f>
        <v/>
      </c>
    </row>
    <row r="249">
      <c r="A249" s="1" t="n"/>
      <c r="B249" s="30" t="n">
        <v>46084</v>
      </c>
      <c r="C249" s="31" t="n">
        <v>0.5138888888888888</v>
      </c>
      <c r="D249" s="32" t="inlineStr">
        <is>
          <t>Sara Cox</t>
        </is>
      </c>
      <c r="E249" s="32" t="inlineStr">
        <is>
          <t>Women's haircut</t>
        </is>
      </c>
      <c r="F249" s="33" t="inlineStr">
        <is>
          <t>Done</t>
        </is>
      </c>
      <c r="G249" s="27">
        <f>IF(E249="","",MAX(0,IFERROR(INDEX(Services!$C$6:$C$35,MATCH(E249,Services!$B$6:$B$35,0)),0)-N(H249)))</f>
        <v/>
      </c>
      <c r="H249" s="34" t="n"/>
      <c r="I249" s="34" t="n">
        <v>55</v>
      </c>
      <c r="J249" s="33" t="inlineStr">
        <is>
          <t>Cash</t>
        </is>
      </c>
      <c r="K249" s="28">
        <f>IF(OR(B249="",F249&lt;&gt;"Done",J249="Package"),"",IF(N(G249)-N(I249)&gt;0,N(G249)-N(I249),""))</f>
        <v/>
      </c>
      <c r="L249" s="32" t="n"/>
      <c r="M249" s="1">
        <f>IF(OR(B249="",D249="",F249="Cancelled"),"",B249+N(C249)+ROW()/10000000)</f>
        <v/>
      </c>
      <c r="N249">
        <f>IF(AND(F249="Done",M249&lt;&gt;""),IF(COUNTIFS(Appointments!$D$6:$D$2005,D249,Appointments!$F$6:$F$2005,"Done",Appointments!$M$6:$M$2005,"&gt;"&amp;M249)=0,1,0),0)</f>
        <v/>
      </c>
      <c r="O249">
        <f>IF(AND(F249="Booked",M249&lt;&gt;"",N(B249)&gt;=TODAY()),IF(COUNTIFS(Appointments!$D$6:$D$2005,D249,Appointments!$F$6:$F$2005,"Booked",Appointments!$B$6:$B$2005,"&gt;="&amp;TODAY(),Appointments!$M$6:$M$2005,"&lt;"&amp;M249)=0,1,0),0)</f>
        <v/>
      </c>
    </row>
    <row r="250">
      <c r="A250" s="1" t="n"/>
      <c r="B250" s="30" t="n">
        <v>46084</v>
      </c>
      <c r="C250" s="31" t="n">
        <v>0.5625</v>
      </c>
      <c r="D250" s="32" t="inlineStr">
        <is>
          <t>Tom Cole</t>
        </is>
      </c>
      <c r="E250" s="32" t="inlineStr">
        <is>
          <t>Men's haircut</t>
        </is>
      </c>
      <c r="F250" s="33" t="inlineStr">
        <is>
          <t>Done</t>
        </is>
      </c>
      <c r="G250" s="27">
        <f>IF(E250="","",MAX(0,IFERROR(INDEX(Services!$C$6:$C$35,MATCH(E250,Services!$B$6:$B$35,0)),0)-N(H250)))</f>
        <v/>
      </c>
      <c r="H250" s="34" t="n"/>
      <c r="I250" s="34" t="n">
        <v>30</v>
      </c>
      <c r="J250" s="33" t="inlineStr">
        <is>
          <t>Card</t>
        </is>
      </c>
      <c r="K250" s="28">
        <f>IF(OR(B250="",F250&lt;&gt;"Done",J250="Package"),"",IF(N(G250)-N(I250)&gt;0,N(G250)-N(I250),""))</f>
        <v/>
      </c>
      <c r="L250" s="32" t="n"/>
      <c r="M250" s="1">
        <f>IF(OR(B250="",D250="",F250="Cancelled"),"",B250+N(C250)+ROW()/10000000)</f>
        <v/>
      </c>
      <c r="N250">
        <f>IF(AND(F250="Done",M250&lt;&gt;""),IF(COUNTIFS(Appointments!$D$6:$D$2005,D250,Appointments!$F$6:$F$2005,"Done",Appointments!$M$6:$M$2005,"&gt;"&amp;M250)=0,1,0),0)</f>
        <v/>
      </c>
      <c r="O250">
        <f>IF(AND(F250="Booked",M250&lt;&gt;"",N(B250)&gt;=TODAY()),IF(COUNTIFS(Appointments!$D$6:$D$2005,D250,Appointments!$F$6:$F$2005,"Booked",Appointments!$B$6:$B$2005,"&gt;="&amp;TODAY(),Appointments!$M$6:$M$2005,"&lt;"&amp;M250)=0,1,0),0)</f>
        <v/>
      </c>
    </row>
    <row r="251">
      <c r="A251" s="1" t="n"/>
      <c r="B251" s="30" t="n">
        <v>46085</v>
      </c>
      <c r="C251" s="31" t="n">
        <v>0.375</v>
      </c>
      <c r="D251" s="32" t="inlineStr">
        <is>
          <t>Ava Lewis</t>
        </is>
      </c>
      <c r="E251" s="32" t="inlineStr">
        <is>
          <t>Colour</t>
        </is>
      </c>
      <c r="F251" s="33" t="inlineStr">
        <is>
          <t>Done</t>
        </is>
      </c>
      <c r="G251" s="27">
        <f>IF(E251="","",MAX(0,IFERROR(INDEX(Services!$C$6:$C$35,MATCH(E251,Services!$B$6:$B$35,0)),0)-N(H251)))</f>
        <v/>
      </c>
      <c r="H251" s="34" t="n"/>
      <c r="I251" s="34" t="n">
        <v>95</v>
      </c>
      <c r="J251" s="33" t="inlineStr">
        <is>
          <t>Card</t>
        </is>
      </c>
      <c r="K251" s="28">
        <f>IF(OR(B251="",F251&lt;&gt;"Done",J251="Package"),"",IF(N(G251)-N(I251)&gt;0,N(G251)-N(I251),""))</f>
        <v/>
      </c>
      <c r="L251" s="32" t="n"/>
      <c r="M251" s="1">
        <f>IF(OR(B251="",D251="",F251="Cancelled"),"",B251+N(C251)+ROW()/10000000)</f>
        <v/>
      </c>
      <c r="N251">
        <f>IF(AND(F251="Done",M251&lt;&gt;""),IF(COUNTIFS(Appointments!$D$6:$D$2005,D251,Appointments!$F$6:$F$2005,"Done",Appointments!$M$6:$M$2005,"&gt;"&amp;M251)=0,1,0),0)</f>
        <v/>
      </c>
      <c r="O251">
        <f>IF(AND(F251="Booked",M251&lt;&gt;"",N(B251)&gt;=TODAY()),IF(COUNTIFS(Appointments!$D$6:$D$2005,D251,Appointments!$F$6:$F$2005,"Booked",Appointments!$B$6:$B$2005,"&gt;="&amp;TODAY(),Appointments!$M$6:$M$2005,"&lt;"&amp;M251)=0,1,0),0)</f>
        <v/>
      </c>
    </row>
    <row r="252">
      <c r="A252" s="1" t="n"/>
      <c r="B252" s="30" t="n">
        <v>46085</v>
      </c>
      <c r="C252" s="31" t="n">
        <v>0.4652777777777778</v>
      </c>
      <c r="D252" s="32" t="inlineStr">
        <is>
          <t>Dan Owens</t>
        </is>
      </c>
      <c r="E252" s="32" t="inlineStr">
        <is>
          <t>Men's haircut</t>
        </is>
      </c>
      <c r="F252" s="33" t="inlineStr">
        <is>
          <t>Done</t>
        </is>
      </c>
      <c r="G252" s="27">
        <f>IF(E252="","",MAX(0,IFERROR(INDEX(Services!$C$6:$C$35,MATCH(E252,Services!$B$6:$B$35,0)),0)-N(H252)))</f>
        <v/>
      </c>
      <c r="H252" s="34" t="n"/>
      <c r="I252" s="34" t="n">
        <v>30</v>
      </c>
      <c r="J252" s="33" t="inlineStr">
        <is>
          <t>Card</t>
        </is>
      </c>
      <c r="K252" s="28">
        <f>IF(OR(B252="",F252&lt;&gt;"Done",J252="Package"),"",IF(N(G252)-N(I252)&gt;0,N(G252)-N(I252),""))</f>
        <v/>
      </c>
      <c r="L252" s="32" t="n"/>
      <c r="M252" s="1">
        <f>IF(OR(B252="",D252="",F252="Cancelled"),"",B252+N(C252)+ROW()/10000000)</f>
        <v/>
      </c>
      <c r="N252">
        <f>IF(AND(F252="Done",M252&lt;&gt;""),IF(COUNTIFS(Appointments!$D$6:$D$2005,D252,Appointments!$F$6:$F$2005,"Done",Appointments!$M$6:$M$2005,"&gt;"&amp;M252)=0,1,0),0)</f>
        <v/>
      </c>
      <c r="O252">
        <f>IF(AND(F252="Booked",M252&lt;&gt;"",N(B252)&gt;=TODAY()),IF(COUNTIFS(Appointments!$D$6:$D$2005,D252,Appointments!$F$6:$F$2005,"Booked",Appointments!$B$6:$B$2005,"&gt;="&amp;TODAY(),Appointments!$M$6:$M$2005,"&lt;"&amp;M252)=0,1,0),0)</f>
        <v/>
      </c>
    </row>
    <row r="253">
      <c r="A253" s="1" t="n"/>
      <c r="B253" s="30" t="n">
        <v>46085</v>
      </c>
      <c r="C253" s="31" t="n">
        <v>0.4930555555555556</v>
      </c>
      <c r="D253" s="32" t="inlineStr">
        <is>
          <t>Julia Lewis</t>
        </is>
      </c>
      <c r="E253" s="32" t="inlineStr">
        <is>
          <t>Blow dry</t>
        </is>
      </c>
      <c r="F253" s="33" t="inlineStr">
        <is>
          <t>Done</t>
        </is>
      </c>
      <c r="G253" s="27">
        <f>IF(E253="","",MAX(0,IFERROR(INDEX(Services!$C$6:$C$35,MATCH(E253,Services!$B$6:$B$35,0)),0)-N(H253)))</f>
        <v/>
      </c>
      <c r="H253" s="34" t="n"/>
      <c r="I253" s="34" t="n">
        <v>35</v>
      </c>
      <c r="J253" s="33" t="inlineStr">
        <is>
          <t>Cash</t>
        </is>
      </c>
      <c r="K253" s="28">
        <f>IF(OR(B253="",F253&lt;&gt;"Done",J253="Package"),"",IF(N(G253)-N(I253)&gt;0,N(G253)-N(I253),""))</f>
        <v/>
      </c>
      <c r="L253" s="32" t="n"/>
      <c r="M253" s="1">
        <f>IF(OR(B253="",D253="",F253="Cancelled"),"",B253+N(C253)+ROW()/10000000)</f>
        <v/>
      </c>
      <c r="N253">
        <f>IF(AND(F253="Done",M253&lt;&gt;""),IF(COUNTIFS(Appointments!$D$6:$D$2005,D253,Appointments!$F$6:$F$2005,"Done",Appointments!$M$6:$M$2005,"&gt;"&amp;M253)=0,1,0),0)</f>
        <v/>
      </c>
      <c r="O253">
        <f>IF(AND(F253="Booked",M253&lt;&gt;"",N(B253)&gt;=TODAY()),IF(COUNTIFS(Appointments!$D$6:$D$2005,D253,Appointments!$F$6:$F$2005,"Booked",Appointments!$B$6:$B$2005,"&gt;="&amp;TODAY(),Appointments!$M$6:$M$2005,"&lt;"&amp;M253)=0,1,0),0)</f>
        <v/>
      </c>
    </row>
    <row r="254">
      <c r="A254" s="1" t="n"/>
      <c r="B254" s="30" t="n">
        <v>46085</v>
      </c>
      <c r="C254" s="31" t="n">
        <v>0.53125</v>
      </c>
      <c r="D254" s="32" t="inlineStr">
        <is>
          <t>Sara Reed</t>
        </is>
      </c>
      <c r="E254" s="32" t="inlineStr">
        <is>
          <t>Women's haircut</t>
        </is>
      </c>
      <c r="F254" s="33" t="inlineStr">
        <is>
          <t>Done</t>
        </is>
      </c>
      <c r="G254" s="27">
        <f>IF(E254="","",MAX(0,IFERROR(INDEX(Services!$C$6:$C$35,MATCH(E254,Services!$B$6:$B$35,0)),0)-N(H254)))</f>
        <v/>
      </c>
      <c r="H254" s="34" t="n">
        <v>10</v>
      </c>
      <c r="I254" s="34" t="n">
        <v>45</v>
      </c>
      <c r="J254" s="33" t="inlineStr">
        <is>
          <t>Card</t>
        </is>
      </c>
      <c r="K254" s="28">
        <f>IF(OR(B254="",F254&lt;&gt;"Done",J254="Package"),"",IF(N(G254)-N(I254)&gt;0,N(G254)-N(I254),""))</f>
        <v/>
      </c>
      <c r="L254" s="32" t="inlineStr">
        <is>
          <t>Friends and family</t>
        </is>
      </c>
      <c r="M254" s="1">
        <f>IF(OR(B254="",D254="",F254="Cancelled"),"",B254+N(C254)+ROW()/10000000)</f>
        <v/>
      </c>
      <c r="N254">
        <f>IF(AND(F254="Done",M254&lt;&gt;""),IF(COUNTIFS(Appointments!$D$6:$D$2005,D254,Appointments!$F$6:$F$2005,"Done",Appointments!$M$6:$M$2005,"&gt;"&amp;M254)=0,1,0),0)</f>
        <v/>
      </c>
      <c r="O254">
        <f>IF(AND(F254="Booked",M254&lt;&gt;"",N(B254)&gt;=TODAY()),IF(COUNTIFS(Appointments!$D$6:$D$2005,D254,Appointments!$F$6:$F$2005,"Booked",Appointments!$B$6:$B$2005,"&gt;="&amp;TODAY(),Appointments!$M$6:$M$2005,"&lt;"&amp;M254)=0,1,0),0)</f>
        <v/>
      </c>
    </row>
    <row r="255">
      <c r="A255" s="1" t="n"/>
      <c r="B255" s="30" t="n">
        <v>46085</v>
      </c>
      <c r="C255" s="31" t="n">
        <v>0.5798611111111112</v>
      </c>
      <c r="D255" s="32" t="inlineStr">
        <is>
          <t>Tina Baker</t>
        </is>
      </c>
      <c r="E255" s="32" t="inlineStr">
        <is>
          <t>Colour</t>
        </is>
      </c>
      <c r="F255" s="33" t="inlineStr">
        <is>
          <t>Done</t>
        </is>
      </c>
      <c r="G255" s="27">
        <f>IF(E255="","",MAX(0,IFERROR(INDEX(Services!$C$6:$C$35,MATCH(E255,Services!$B$6:$B$35,0)),0)-N(H255)))</f>
        <v/>
      </c>
      <c r="H255" s="34" t="n"/>
      <c r="I255" s="34" t="n">
        <v>95</v>
      </c>
      <c r="J255" s="33" t="inlineStr">
        <is>
          <t>Transfer</t>
        </is>
      </c>
      <c r="K255" s="28">
        <f>IF(OR(B255="",F255&lt;&gt;"Done",J255="Package"),"",IF(N(G255)-N(I255)&gt;0,N(G255)-N(I255),""))</f>
        <v/>
      </c>
      <c r="L255" s="32" t="n"/>
      <c r="M255" s="1">
        <f>IF(OR(B255="",D255="",F255="Cancelled"),"",B255+N(C255)+ROW()/10000000)</f>
        <v/>
      </c>
      <c r="N255">
        <f>IF(AND(F255="Done",M255&lt;&gt;""),IF(COUNTIFS(Appointments!$D$6:$D$2005,D255,Appointments!$F$6:$F$2005,"Done",Appointments!$M$6:$M$2005,"&gt;"&amp;M255)=0,1,0),0)</f>
        <v/>
      </c>
      <c r="O255">
        <f>IF(AND(F255="Booked",M255&lt;&gt;"",N(B255)&gt;=TODAY()),IF(COUNTIFS(Appointments!$D$6:$D$2005,D255,Appointments!$F$6:$F$2005,"Booked",Appointments!$B$6:$B$2005,"&gt;="&amp;TODAY(),Appointments!$M$6:$M$2005,"&lt;"&amp;M255)=0,1,0),0)</f>
        <v/>
      </c>
    </row>
    <row r="256">
      <c r="A256" s="1" t="n"/>
      <c r="B256" s="30" t="n">
        <v>46086</v>
      </c>
      <c r="C256" s="31" t="n">
        <v>0.375</v>
      </c>
      <c r="D256" s="32" t="inlineStr">
        <is>
          <t>Ella James</t>
        </is>
      </c>
      <c r="E256" s="32" t="inlineStr">
        <is>
          <t>Women's haircut</t>
        </is>
      </c>
      <c r="F256" s="33" t="inlineStr">
        <is>
          <t>Done</t>
        </is>
      </c>
      <c r="G256" s="27">
        <f>IF(E256="","",MAX(0,IFERROR(INDEX(Services!$C$6:$C$35,MATCH(E256,Services!$B$6:$B$35,0)),0)-N(H256)))</f>
        <v/>
      </c>
      <c r="H256" s="34" t="n"/>
      <c r="I256" s="34" t="n">
        <v>55</v>
      </c>
      <c r="J256" s="33" t="inlineStr">
        <is>
          <t>Transfer</t>
        </is>
      </c>
      <c r="K256" s="28">
        <f>IF(OR(B256="",F256&lt;&gt;"Done",J256="Package"),"",IF(N(G256)-N(I256)&gt;0,N(G256)-N(I256),""))</f>
        <v/>
      </c>
      <c r="L256" s="32" t="n"/>
      <c r="M256" s="1">
        <f>IF(OR(B256="",D256="",F256="Cancelled"),"",B256+N(C256)+ROW()/10000000)</f>
        <v/>
      </c>
      <c r="N256">
        <f>IF(AND(F256="Done",M256&lt;&gt;""),IF(COUNTIFS(Appointments!$D$6:$D$2005,D256,Appointments!$F$6:$F$2005,"Done",Appointments!$M$6:$M$2005,"&gt;"&amp;M256)=0,1,0),0)</f>
        <v/>
      </c>
      <c r="O256">
        <f>IF(AND(F256="Booked",M256&lt;&gt;"",N(B256)&gt;=TODAY()),IF(COUNTIFS(Appointments!$D$6:$D$2005,D256,Appointments!$F$6:$F$2005,"Booked",Appointments!$B$6:$B$2005,"&gt;="&amp;TODAY(),Appointments!$M$6:$M$2005,"&lt;"&amp;M256)=0,1,0),0)</f>
        <v/>
      </c>
    </row>
    <row r="257">
      <c r="A257" s="1" t="n"/>
      <c r="B257" s="30" t="n">
        <v>46086</v>
      </c>
      <c r="C257" s="31" t="n">
        <v>0.4236111111111111</v>
      </c>
      <c r="D257" s="32" t="inlineStr">
        <is>
          <t>Leah Hill</t>
        </is>
      </c>
      <c r="E257" s="32" t="inlineStr">
        <is>
          <t>Blow dry</t>
        </is>
      </c>
      <c r="F257" s="33" t="inlineStr">
        <is>
          <t>Done</t>
        </is>
      </c>
      <c r="G257" s="27">
        <f>IF(E257="","",MAX(0,IFERROR(INDEX(Services!$C$6:$C$35,MATCH(E257,Services!$B$6:$B$35,0)),0)-N(H257)))</f>
        <v/>
      </c>
      <c r="H257" s="34" t="n"/>
      <c r="I257" s="34" t="n">
        <v>35</v>
      </c>
      <c r="J257" s="33" t="inlineStr">
        <is>
          <t>Card</t>
        </is>
      </c>
      <c r="K257" s="28">
        <f>IF(OR(B257="",F257&lt;&gt;"Done",J257="Package"),"",IF(N(G257)-N(I257)&gt;0,N(G257)-N(I257),""))</f>
        <v/>
      </c>
      <c r="L257" s="32" t="n"/>
      <c r="M257" s="1">
        <f>IF(OR(B257="",D257="",F257="Cancelled"),"",B257+N(C257)+ROW()/10000000)</f>
        <v/>
      </c>
      <c r="N257">
        <f>IF(AND(F257="Done",M257&lt;&gt;""),IF(COUNTIFS(Appointments!$D$6:$D$2005,D257,Appointments!$F$6:$F$2005,"Done",Appointments!$M$6:$M$2005,"&gt;"&amp;M257)=0,1,0),0)</f>
        <v/>
      </c>
      <c r="O257">
        <f>IF(AND(F257="Booked",M257&lt;&gt;"",N(B257)&gt;=TODAY()),IF(COUNTIFS(Appointments!$D$6:$D$2005,D257,Appointments!$F$6:$F$2005,"Booked",Appointments!$B$6:$B$2005,"&gt;="&amp;TODAY(),Appointments!$M$6:$M$2005,"&lt;"&amp;M257)=0,1,0),0)</f>
        <v/>
      </c>
    </row>
    <row r="258">
      <c r="A258" s="1" t="n"/>
      <c r="B258" s="30" t="n">
        <v>46086</v>
      </c>
      <c r="C258" s="31" t="n">
        <v>0.4618055555555556</v>
      </c>
      <c r="D258" s="32" t="inlineStr">
        <is>
          <t>Matt Ellis</t>
        </is>
      </c>
      <c r="E258" s="32" t="inlineStr">
        <is>
          <t>Men's haircut</t>
        </is>
      </c>
      <c r="F258" s="33" t="inlineStr">
        <is>
          <t>Done</t>
        </is>
      </c>
      <c r="G258" s="27">
        <f>IF(E258="","",MAX(0,IFERROR(INDEX(Services!$C$6:$C$35,MATCH(E258,Services!$B$6:$B$35,0)),0)-N(H258)))</f>
        <v/>
      </c>
      <c r="H258" s="34" t="n"/>
      <c r="I258" s="34" t="n">
        <v>30</v>
      </c>
      <c r="J258" s="33" t="inlineStr">
        <is>
          <t>Cash</t>
        </is>
      </c>
      <c r="K258" s="28">
        <f>IF(OR(B258="",F258&lt;&gt;"Done",J258="Package"),"",IF(N(G258)-N(I258)&gt;0,N(G258)-N(I258),""))</f>
        <v/>
      </c>
      <c r="L258" s="32" t="n"/>
      <c r="M258" s="1">
        <f>IF(OR(B258="",D258="",F258="Cancelled"),"",B258+N(C258)+ROW()/10000000)</f>
        <v/>
      </c>
      <c r="N258">
        <f>IF(AND(F258="Done",M258&lt;&gt;""),IF(COUNTIFS(Appointments!$D$6:$D$2005,D258,Appointments!$F$6:$F$2005,"Done",Appointments!$M$6:$M$2005,"&gt;"&amp;M258)=0,1,0),0)</f>
        <v/>
      </c>
      <c r="O258">
        <f>IF(AND(F258="Booked",M258&lt;&gt;"",N(B258)&gt;=TODAY()),IF(COUNTIFS(Appointments!$D$6:$D$2005,D258,Appointments!$F$6:$F$2005,"Booked",Appointments!$B$6:$B$2005,"&gt;="&amp;TODAY(),Appointments!$M$6:$M$2005,"&lt;"&amp;M258)=0,1,0),0)</f>
        <v/>
      </c>
    </row>
    <row r="259">
      <c r="A259" s="1" t="n"/>
      <c r="B259" s="30" t="n">
        <v>46086</v>
      </c>
      <c r="C259" s="31" t="n">
        <v>0.4895833333333333</v>
      </c>
      <c r="D259" s="32" t="inlineStr">
        <is>
          <t>Nick Young</t>
        </is>
      </c>
      <c r="E259" s="32" t="inlineStr">
        <is>
          <t>Men's haircut</t>
        </is>
      </c>
      <c r="F259" s="33" t="inlineStr">
        <is>
          <t>Done</t>
        </is>
      </c>
      <c r="G259" s="27">
        <f>IF(E259="","",MAX(0,IFERROR(INDEX(Services!$C$6:$C$35,MATCH(E259,Services!$B$6:$B$35,0)),0)-N(H259)))</f>
        <v/>
      </c>
      <c r="H259" s="34" t="n"/>
      <c r="I259" s="34" t="n">
        <v>30</v>
      </c>
      <c r="J259" s="33" t="inlineStr">
        <is>
          <t>Card</t>
        </is>
      </c>
      <c r="K259" s="28">
        <f>IF(OR(B259="",F259&lt;&gt;"Done",J259="Package"),"",IF(N(G259)-N(I259)&gt;0,N(G259)-N(I259),""))</f>
        <v/>
      </c>
      <c r="L259" s="32" t="n"/>
      <c r="M259" s="1">
        <f>IF(OR(B259="",D259="",F259="Cancelled"),"",B259+N(C259)+ROW()/10000000)</f>
        <v/>
      </c>
      <c r="N259">
        <f>IF(AND(F259="Done",M259&lt;&gt;""),IF(COUNTIFS(Appointments!$D$6:$D$2005,D259,Appointments!$F$6:$F$2005,"Done",Appointments!$M$6:$M$2005,"&gt;"&amp;M259)=0,1,0),0)</f>
        <v/>
      </c>
      <c r="O259">
        <f>IF(AND(F259="Booked",M259&lt;&gt;"",N(B259)&gt;=TODAY()),IF(COUNTIFS(Appointments!$D$6:$D$2005,D259,Appointments!$F$6:$F$2005,"Booked",Appointments!$B$6:$B$2005,"&gt;="&amp;TODAY(),Appointments!$M$6:$M$2005,"&lt;"&amp;M259)=0,1,0),0)</f>
        <v/>
      </c>
    </row>
    <row r="260">
      <c r="A260" s="1" t="n"/>
      <c r="B260" s="30" t="n">
        <v>46086</v>
      </c>
      <c r="C260" s="31" t="n">
        <v>0.5173611111111112</v>
      </c>
      <c r="D260" s="32" t="inlineStr">
        <is>
          <t>Ruby Cook</t>
        </is>
      </c>
      <c r="E260" s="32" t="inlineStr">
        <is>
          <t>Blow dry</t>
        </is>
      </c>
      <c r="F260" s="33" t="inlineStr">
        <is>
          <t>Done</t>
        </is>
      </c>
      <c r="G260" s="27">
        <f>IF(E260="","",MAX(0,IFERROR(INDEX(Services!$C$6:$C$35,MATCH(E260,Services!$B$6:$B$35,0)),0)-N(H260)))</f>
        <v/>
      </c>
      <c r="H260" s="34" t="n"/>
      <c r="I260" s="34" t="n">
        <v>35</v>
      </c>
      <c r="J260" s="33" t="inlineStr">
        <is>
          <t>Card</t>
        </is>
      </c>
      <c r="K260" s="28">
        <f>IF(OR(B260="",F260&lt;&gt;"Done",J260="Package"),"",IF(N(G260)-N(I260)&gt;0,N(G260)-N(I260),""))</f>
        <v/>
      </c>
      <c r="L260" s="32" t="n"/>
      <c r="M260" s="1">
        <f>IF(OR(B260="",D260="",F260="Cancelled"),"",B260+N(C260)+ROW()/10000000)</f>
        <v/>
      </c>
      <c r="N260">
        <f>IF(AND(F260="Done",M260&lt;&gt;""),IF(COUNTIFS(Appointments!$D$6:$D$2005,D260,Appointments!$F$6:$F$2005,"Done",Appointments!$M$6:$M$2005,"&gt;"&amp;M260)=0,1,0),0)</f>
        <v/>
      </c>
      <c r="O260">
        <f>IF(AND(F260="Booked",M260&lt;&gt;"",N(B260)&gt;=TODAY()),IF(COUNTIFS(Appointments!$D$6:$D$2005,D260,Appointments!$F$6:$F$2005,"Booked",Appointments!$B$6:$B$2005,"&gt;="&amp;TODAY(),Appointments!$M$6:$M$2005,"&lt;"&amp;M260)=0,1,0),0)</f>
        <v/>
      </c>
    </row>
    <row r="261">
      <c r="A261" s="1" t="n"/>
      <c r="B261" s="30" t="n">
        <v>46086</v>
      </c>
      <c r="C261" s="31" t="n">
        <v>0.5555555555555556</v>
      </c>
      <c r="D261" s="32" t="inlineStr">
        <is>
          <t>Sara Stone</t>
        </is>
      </c>
      <c r="E261" s="32" t="inlineStr">
        <is>
          <t>Women's haircut</t>
        </is>
      </c>
      <c r="F261" s="33" t="inlineStr">
        <is>
          <t>Done</t>
        </is>
      </c>
      <c r="G261" s="27">
        <f>IF(E261="","",MAX(0,IFERROR(INDEX(Services!$C$6:$C$35,MATCH(E261,Services!$B$6:$B$35,0)),0)-N(H261)))</f>
        <v/>
      </c>
      <c r="H261" s="34" t="n"/>
      <c r="I261" s="34" t="n">
        <v>55</v>
      </c>
      <c r="J261" s="33" t="inlineStr">
        <is>
          <t>Cash</t>
        </is>
      </c>
      <c r="K261" s="28">
        <f>IF(OR(B261="",F261&lt;&gt;"Done",J261="Package"),"",IF(N(G261)-N(I261)&gt;0,N(G261)-N(I261),""))</f>
        <v/>
      </c>
      <c r="L261" s="32" t="n"/>
      <c r="M261" s="1">
        <f>IF(OR(B261="",D261="",F261="Cancelled"),"",B261+N(C261)+ROW()/10000000)</f>
        <v/>
      </c>
      <c r="N261">
        <f>IF(AND(F261="Done",M261&lt;&gt;""),IF(COUNTIFS(Appointments!$D$6:$D$2005,D261,Appointments!$F$6:$F$2005,"Done",Appointments!$M$6:$M$2005,"&gt;"&amp;M261)=0,1,0),0)</f>
        <v/>
      </c>
      <c r="O261">
        <f>IF(AND(F261="Booked",M261&lt;&gt;"",N(B261)&gt;=TODAY()),IF(COUNTIFS(Appointments!$D$6:$D$2005,D261,Appointments!$F$6:$F$2005,"Booked",Appointments!$B$6:$B$2005,"&gt;="&amp;TODAY(),Appointments!$M$6:$M$2005,"&lt;"&amp;M261)=0,1,0),0)</f>
        <v/>
      </c>
    </row>
    <row r="262">
      <c r="A262" s="1" t="n"/>
      <c r="B262" s="30" t="n">
        <v>46086</v>
      </c>
      <c r="C262" s="31" t="n">
        <v>0.6041666666666666</v>
      </c>
      <c r="D262" s="32" t="inlineStr">
        <is>
          <t>Sara Ward</t>
        </is>
      </c>
      <c r="E262" s="32" t="inlineStr">
        <is>
          <t>Women's haircut</t>
        </is>
      </c>
      <c r="F262" s="33" t="inlineStr">
        <is>
          <t>Done</t>
        </is>
      </c>
      <c r="G262" s="27">
        <f>IF(E262="","",MAX(0,IFERROR(INDEX(Services!$C$6:$C$35,MATCH(E262,Services!$B$6:$B$35,0)),0)-N(H262)))</f>
        <v/>
      </c>
      <c r="H262" s="34" t="n"/>
      <c r="I262" s="34" t="n">
        <v>55</v>
      </c>
      <c r="J262" s="33" t="inlineStr">
        <is>
          <t>Cash</t>
        </is>
      </c>
      <c r="K262" s="28">
        <f>IF(OR(B262="",F262&lt;&gt;"Done",J262="Package"),"",IF(N(G262)-N(I262)&gt;0,N(G262)-N(I262),""))</f>
        <v/>
      </c>
      <c r="L262" s="32" t="n"/>
      <c r="M262" s="1">
        <f>IF(OR(B262="",D262="",F262="Cancelled"),"",B262+N(C262)+ROW()/10000000)</f>
        <v/>
      </c>
      <c r="N262">
        <f>IF(AND(F262="Done",M262&lt;&gt;""),IF(COUNTIFS(Appointments!$D$6:$D$2005,D262,Appointments!$F$6:$F$2005,"Done",Appointments!$M$6:$M$2005,"&gt;"&amp;M262)=0,1,0),0)</f>
        <v/>
      </c>
      <c r="O262">
        <f>IF(AND(F262="Booked",M262&lt;&gt;"",N(B262)&gt;=TODAY()),IF(COUNTIFS(Appointments!$D$6:$D$2005,D262,Appointments!$F$6:$F$2005,"Booked",Appointments!$B$6:$B$2005,"&gt;="&amp;TODAY(),Appointments!$M$6:$M$2005,"&lt;"&amp;M262)=0,1,0),0)</f>
        <v/>
      </c>
    </row>
    <row r="263">
      <c r="A263" s="1" t="n"/>
      <c r="B263" s="30" t="n">
        <v>46087</v>
      </c>
      <c r="C263" s="31" t="n">
        <v>0.375</v>
      </c>
      <c r="D263" s="32" t="inlineStr">
        <is>
          <t>Eva Brooks</t>
        </is>
      </c>
      <c r="E263" s="32" t="inlineStr">
        <is>
          <t>Women's haircut</t>
        </is>
      </c>
      <c r="F263" s="33" t="inlineStr">
        <is>
          <t>Done</t>
        </is>
      </c>
      <c r="G263" s="27">
        <f>IF(E263="","",MAX(0,IFERROR(INDEX(Services!$C$6:$C$35,MATCH(E263,Services!$B$6:$B$35,0)),0)-N(H263)))</f>
        <v/>
      </c>
      <c r="H263" s="34" t="n"/>
      <c r="I263" s="34" t="n">
        <v>55</v>
      </c>
      <c r="J263" s="33" t="inlineStr">
        <is>
          <t>App</t>
        </is>
      </c>
      <c r="K263" s="28">
        <f>IF(OR(B263="",F263&lt;&gt;"Done",J263="Package"),"",IF(N(G263)-N(I263)&gt;0,N(G263)-N(I263),""))</f>
        <v/>
      </c>
      <c r="L263" s="32" t="n"/>
      <c r="M263" s="1">
        <f>IF(OR(B263="",D263="",F263="Cancelled"),"",B263+N(C263)+ROW()/10000000)</f>
        <v/>
      </c>
      <c r="N263">
        <f>IF(AND(F263="Done",M263&lt;&gt;""),IF(COUNTIFS(Appointments!$D$6:$D$2005,D263,Appointments!$F$6:$F$2005,"Done",Appointments!$M$6:$M$2005,"&gt;"&amp;M263)=0,1,0),0)</f>
        <v/>
      </c>
      <c r="O263">
        <f>IF(AND(F263="Booked",M263&lt;&gt;"",N(B263)&gt;=TODAY()),IF(COUNTIFS(Appointments!$D$6:$D$2005,D263,Appointments!$F$6:$F$2005,"Booked",Appointments!$B$6:$B$2005,"&gt;="&amp;TODAY(),Appointments!$M$6:$M$2005,"&lt;"&amp;M263)=0,1,0),0)</f>
        <v/>
      </c>
    </row>
    <row r="264">
      <c r="A264" s="1" t="n"/>
      <c r="B264" s="30" t="n">
        <v>46087</v>
      </c>
      <c r="C264" s="31" t="n">
        <v>0.4236111111111111</v>
      </c>
      <c r="D264" s="32" t="inlineStr">
        <is>
          <t>Finn Wood</t>
        </is>
      </c>
      <c r="E264" s="32" t="inlineStr">
        <is>
          <t>Men's haircut</t>
        </is>
      </c>
      <c r="F264" s="33" t="inlineStr">
        <is>
          <t>Done</t>
        </is>
      </c>
      <c r="G264" s="27">
        <f>IF(E264="","",MAX(0,IFERROR(INDEX(Services!$C$6:$C$35,MATCH(E264,Services!$B$6:$B$35,0)),0)-N(H264)))</f>
        <v/>
      </c>
      <c r="H264" s="34" t="n"/>
      <c r="I264" s="34" t="n">
        <v>30</v>
      </c>
      <c r="J264" s="33" t="inlineStr">
        <is>
          <t>Card</t>
        </is>
      </c>
      <c r="K264" s="28">
        <f>IF(OR(B264="",F264&lt;&gt;"Done",J264="Package"),"",IF(N(G264)-N(I264)&gt;0,N(G264)-N(I264),""))</f>
        <v/>
      </c>
      <c r="L264" s="32" t="n"/>
      <c r="M264" s="1">
        <f>IF(OR(B264="",D264="",F264="Cancelled"),"",B264+N(C264)+ROW()/10000000)</f>
        <v/>
      </c>
      <c r="N264">
        <f>IF(AND(F264="Done",M264&lt;&gt;""),IF(COUNTIFS(Appointments!$D$6:$D$2005,D264,Appointments!$F$6:$F$2005,"Done",Appointments!$M$6:$M$2005,"&gt;"&amp;M264)=0,1,0),0)</f>
        <v/>
      </c>
      <c r="O264">
        <f>IF(AND(F264="Booked",M264&lt;&gt;"",N(B264)&gt;=TODAY()),IF(COUNTIFS(Appointments!$D$6:$D$2005,D264,Appointments!$F$6:$F$2005,"Booked",Appointments!$B$6:$B$2005,"&gt;="&amp;TODAY(),Appointments!$M$6:$M$2005,"&lt;"&amp;M264)=0,1,0),0)</f>
        <v/>
      </c>
    </row>
    <row r="265">
      <c r="A265" s="1" t="n"/>
      <c r="B265" s="30" t="n">
        <v>46087</v>
      </c>
      <c r="C265" s="31" t="n">
        <v>0.4513888888888889</v>
      </c>
      <c r="D265" s="32" t="inlineStr">
        <is>
          <t>Owen Webb</t>
        </is>
      </c>
      <c r="E265" s="32" t="inlineStr">
        <is>
          <t>Men's haircut</t>
        </is>
      </c>
      <c r="F265" s="33" t="inlineStr">
        <is>
          <t>Done</t>
        </is>
      </c>
      <c r="G265" s="27">
        <f>IF(E265="","",MAX(0,IFERROR(INDEX(Services!$C$6:$C$35,MATCH(E265,Services!$B$6:$B$35,0)),0)-N(H265)))</f>
        <v/>
      </c>
      <c r="H265" s="34" t="n"/>
      <c r="I265" s="34" t="n">
        <v>30</v>
      </c>
      <c r="J265" s="33" t="inlineStr">
        <is>
          <t>Card</t>
        </is>
      </c>
      <c r="K265" s="28">
        <f>IF(OR(B265="",F265&lt;&gt;"Done",J265="Package"),"",IF(N(G265)-N(I265)&gt;0,N(G265)-N(I265),""))</f>
        <v/>
      </c>
      <c r="L265" s="32" t="n"/>
      <c r="M265" s="1">
        <f>IF(OR(B265="",D265="",F265="Cancelled"),"",B265+N(C265)+ROW()/10000000)</f>
        <v/>
      </c>
      <c r="N265">
        <f>IF(AND(F265="Done",M265&lt;&gt;""),IF(COUNTIFS(Appointments!$D$6:$D$2005,D265,Appointments!$F$6:$F$2005,"Done",Appointments!$M$6:$M$2005,"&gt;"&amp;M265)=0,1,0),0)</f>
        <v/>
      </c>
      <c r="O265">
        <f>IF(AND(F265="Booked",M265&lt;&gt;"",N(B265)&gt;=TODAY()),IF(COUNTIFS(Appointments!$D$6:$D$2005,D265,Appointments!$F$6:$F$2005,"Booked",Appointments!$B$6:$B$2005,"&gt;="&amp;TODAY(),Appointments!$M$6:$M$2005,"&lt;"&amp;M265)=0,1,0),0)</f>
        <v/>
      </c>
    </row>
    <row r="266">
      <c r="A266" s="1" t="n"/>
      <c r="B266" s="30" t="n">
        <v>46087</v>
      </c>
      <c r="C266" s="31" t="n">
        <v>0.4791666666666667</v>
      </c>
      <c r="D266" s="32" t="inlineStr">
        <is>
          <t>Ryan Davies</t>
        </is>
      </c>
      <c r="E266" s="32" t="inlineStr">
        <is>
          <t>Men's haircut</t>
        </is>
      </c>
      <c r="F266" s="33" t="inlineStr">
        <is>
          <t>Done</t>
        </is>
      </c>
      <c r="G266" s="27">
        <f>IF(E266="","",MAX(0,IFERROR(INDEX(Services!$C$6:$C$35,MATCH(E266,Services!$B$6:$B$35,0)),0)-N(H266)))</f>
        <v/>
      </c>
      <c r="H266" s="34" t="n"/>
      <c r="I266" s="34" t="n">
        <v>30</v>
      </c>
      <c r="J266" s="33" t="inlineStr">
        <is>
          <t>Cash</t>
        </is>
      </c>
      <c r="K266" s="28">
        <f>IF(OR(B266="",F266&lt;&gt;"Done",J266="Package"),"",IF(N(G266)-N(I266)&gt;0,N(G266)-N(I266),""))</f>
        <v/>
      </c>
      <c r="L266" s="32" t="n"/>
      <c r="M266" s="1">
        <f>IF(OR(B266="",D266="",F266="Cancelled"),"",B266+N(C266)+ROW()/10000000)</f>
        <v/>
      </c>
      <c r="N266">
        <f>IF(AND(F266="Done",M266&lt;&gt;""),IF(COUNTIFS(Appointments!$D$6:$D$2005,D266,Appointments!$F$6:$F$2005,"Done",Appointments!$M$6:$M$2005,"&gt;"&amp;M266)=0,1,0),0)</f>
        <v/>
      </c>
      <c r="O266">
        <f>IF(AND(F266="Booked",M266&lt;&gt;"",N(B266)&gt;=TODAY()),IF(COUNTIFS(Appointments!$D$6:$D$2005,D266,Appointments!$F$6:$F$2005,"Booked",Appointments!$B$6:$B$2005,"&gt;="&amp;TODAY(),Appointments!$M$6:$M$2005,"&lt;"&amp;M266)=0,1,0),0)</f>
        <v/>
      </c>
    </row>
    <row r="267">
      <c r="A267" s="1" t="n"/>
      <c r="B267" s="30" t="n">
        <v>46087</v>
      </c>
      <c r="C267" s="31" t="n">
        <v>0.5069444444444444</v>
      </c>
      <c r="D267" s="32" t="inlineStr">
        <is>
          <t>Tom Ellis</t>
        </is>
      </c>
      <c r="E267" s="32" t="inlineStr">
        <is>
          <t>Men's haircut</t>
        </is>
      </c>
      <c r="F267" s="33" t="inlineStr">
        <is>
          <t>Done</t>
        </is>
      </c>
      <c r="G267" s="27">
        <f>IF(E267="","",MAX(0,IFERROR(INDEX(Services!$C$6:$C$35,MATCH(E267,Services!$B$6:$B$35,0)),0)-N(H267)))</f>
        <v/>
      </c>
      <c r="H267" s="34" t="n"/>
      <c r="I267" s="34" t="n">
        <v>30</v>
      </c>
      <c r="J267" s="33" t="inlineStr">
        <is>
          <t>Card</t>
        </is>
      </c>
      <c r="K267" s="28">
        <f>IF(OR(B267="",F267&lt;&gt;"Done",J267="Package"),"",IF(N(G267)-N(I267)&gt;0,N(G267)-N(I267),""))</f>
        <v/>
      </c>
      <c r="L267" s="32" t="n"/>
      <c r="M267" s="1">
        <f>IF(OR(B267="",D267="",F267="Cancelled"),"",B267+N(C267)+ROW()/10000000)</f>
        <v/>
      </c>
      <c r="N267">
        <f>IF(AND(F267="Done",M267&lt;&gt;""),IF(COUNTIFS(Appointments!$D$6:$D$2005,D267,Appointments!$F$6:$F$2005,"Done",Appointments!$M$6:$M$2005,"&gt;"&amp;M267)=0,1,0),0)</f>
        <v/>
      </c>
      <c r="O267">
        <f>IF(AND(F267="Booked",M267&lt;&gt;"",N(B267)&gt;=TODAY()),IF(COUNTIFS(Appointments!$D$6:$D$2005,D267,Appointments!$F$6:$F$2005,"Booked",Appointments!$B$6:$B$2005,"&gt;="&amp;TODAY(),Appointments!$M$6:$M$2005,"&lt;"&amp;M267)=0,1,0),0)</f>
        <v/>
      </c>
    </row>
    <row r="268">
      <c r="A268" s="1" t="n"/>
      <c r="B268" s="30" t="n">
        <v>46088</v>
      </c>
      <c r="C268" s="31" t="n">
        <v>0.375</v>
      </c>
      <c r="D268" s="32" t="inlineStr">
        <is>
          <t>Eli James</t>
        </is>
      </c>
      <c r="E268" s="32" t="inlineStr">
        <is>
          <t>Men's haircut</t>
        </is>
      </c>
      <c r="F268" s="33" t="inlineStr">
        <is>
          <t>Done</t>
        </is>
      </c>
      <c r="G268" s="27">
        <f>IF(E268="","",MAX(0,IFERROR(INDEX(Services!$C$6:$C$35,MATCH(E268,Services!$B$6:$B$35,0)),0)-N(H268)))</f>
        <v/>
      </c>
      <c r="H268" s="34" t="n"/>
      <c r="I268" s="34" t="n">
        <v>30</v>
      </c>
      <c r="J268" s="33" t="inlineStr">
        <is>
          <t>Card</t>
        </is>
      </c>
      <c r="K268" s="28">
        <f>IF(OR(B268="",F268&lt;&gt;"Done",J268="Package"),"",IF(N(G268)-N(I268)&gt;0,N(G268)-N(I268),""))</f>
        <v/>
      </c>
      <c r="L268" s="32" t="n"/>
      <c r="M268" s="1">
        <f>IF(OR(B268="",D268="",F268="Cancelled"),"",B268+N(C268)+ROW()/10000000)</f>
        <v/>
      </c>
      <c r="N268">
        <f>IF(AND(F268="Done",M268&lt;&gt;""),IF(COUNTIFS(Appointments!$D$6:$D$2005,D268,Appointments!$F$6:$F$2005,"Done",Appointments!$M$6:$M$2005,"&gt;"&amp;M268)=0,1,0),0)</f>
        <v/>
      </c>
      <c r="O268">
        <f>IF(AND(F268="Booked",M268&lt;&gt;"",N(B268)&gt;=TODAY()),IF(COUNTIFS(Appointments!$D$6:$D$2005,D268,Appointments!$F$6:$F$2005,"Booked",Appointments!$B$6:$B$2005,"&gt;="&amp;TODAY(),Appointments!$M$6:$M$2005,"&lt;"&amp;M268)=0,1,0),0)</f>
        <v/>
      </c>
    </row>
    <row r="269">
      <c r="A269" s="1" t="n"/>
      <c r="B269" s="30" t="n">
        <v>46088</v>
      </c>
      <c r="C269" s="31" t="n">
        <v>0.4027777777777778</v>
      </c>
      <c r="D269" s="32" t="inlineStr">
        <is>
          <t>Ian Hall</t>
        </is>
      </c>
      <c r="E269" s="32" t="inlineStr">
        <is>
          <t>Men's haircut</t>
        </is>
      </c>
      <c r="F269" s="33" t="inlineStr">
        <is>
          <t>Done</t>
        </is>
      </c>
      <c r="G269" s="27">
        <f>IF(E269="","",MAX(0,IFERROR(INDEX(Services!$C$6:$C$35,MATCH(E269,Services!$B$6:$B$35,0)),0)-N(H269)))</f>
        <v/>
      </c>
      <c r="H269" s="34" t="n"/>
      <c r="I269" s="34" t="n">
        <v>30</v>
      </c>
      <c r="J269" s="33" t="inlineStr">
        <is>
          <t>Card</t>
        </is>
      </c>
      <c r="K269" s="28">
        <f>IF(OR(B269="",F269&lt;&gt;"Done",J269="Package"),"",IF(N(G269)-N(I269)&gt;0,N(G269)-N(I269),""))</f>
        <v/>
      </c>
      <c r="L269" s="32" t="n"/>
      <c r="M269" s="1">
        <f>IF(OR(B269="",D269="",F269="Cancelled"),"",B269+N(C269)+ROW()/10000000)</f>
        <v/>
      </c>
      <c r="N269">
        <f>IF(AND(F269="Done",M269&lt;&gt;""),IF(COUNTIFS(Appointments!$D$6:$D$2005,D269,Appointments!$F$6:$F$2005,"Done",Appointments!$M$6:$M$2005,"&gt;"&amp;M269)=0,1,0),0)</f>
        <v/>
      </c>
      <c r="O269">
        <f>IF(AND(F269="Booked",M269&lt;&gt;"",N(B269)&gt;=TODAY()),IF(COUNTIFS(Appointments!$D$6:$D$2005,D269,Appointments!$F$6:$F$2005,"Booked",Appointments!$B$6:$B$2005,"&gt;="&amp;TODAY(),Appointments!$M$6:$M$2005,"&lt;"&amp;M269)=0,1,0),0)</f>
        <v/>
      </c>
    </row>
    <row r="270">
      <c r="A270" s="1" t="n"/>
      <c r="B270" s="30" t="n">
        <v>46088</v>
      </c>
      <c r="C270" s="31" t="n">
        <v>0.4305555555555556</v>
      </c>
      <c r="D270" s="32" t="inlineStr">
        <is>
          <t>Jack Wilson</t>
        </is>
      </c>
      <c r="E270" s="32" t="inlineStr">
        <is>
          <t>Men's haircut</t>
        </is>
      </c>
      <c r="F270" s="33" t="inlineStr">
        <is>
          <t>Done</t>
        </is>
      </c>
      <c r="G270" s="27">
        <f>IF(E270="","",MAX(0,IFERROR(INDEX(Services!$C$6:$C$35,MATCH(E270,Services!$B$6:$B$35,0)),0)-N(H270)))</f>
        <v/>
      </c>
      <c r="H270" s="34" t="n"/>
      <c r="I270" s="34" t="n">
        <v>30</v>
      </c>
      <c r="J270" s="33" t="inlineStr">
        <is>
          <t>Card</t>
        </is>
      </c>
      <c r="K270" s="28">
        <f>IF(OR(B270="",F270&lt;&gt;"Done",J270="Package"),"",IF(N(G270)-N(I270)&gt;0,N(G270)-N(I270),""))</f>
        <v/>
      </c>
      <c r="L270" s="32" t="n"/>
      <c r="M270" s="1">
        <f>IF(OR(B270="",D270="",F270="Cancelled"),"",B270+N(C270)+ROW()/10000000)</f>
        <v/>
      </c>
      <c r="N270">
        <f>IF(AND(F270="Done",M270&lt;&gt;""),IF(COUNTIFS(Appointments!$D$6:$D$2005,D270,Appointments!$F$6:$F$2005,"Done",Appointments!$M$6:$M$2005,"&gt;"&amp;M270)=0,1,0),0)</f>
        <v/>
      </c>
      <c r="O270">
        <f>IF(AND(F270="Booked",M270&lt;&gt;"",N(B270)&gt;=TODAY()),IF(COUNTIFS(Appointments!$D$6:$D$2005,D270,Appointments!$F$6:$F$2005,"Booked",Appointments!$B$6:$B$2005,"&gt;="&amp;TODAY(),Appointments!$M$6:$M$2005,"&lt;"&amp;M270)=0,1,0),0)</f>
        <v/>
      </c>
    </row>
    <row r="271">
      <c r="A271" s="1" t="n"/>
      <c r="B271" s="30" t="n">
        <v>46088</v>
      </c>
      <c r="C271" s="31" t="n">
        <v>0.4583333333333333</v>
      </c>
      <c r="D271" s="32" t="inlineStr">
        <is>
          <t>Katie Moore</t>
        </is>
      </c>
      <c r="E271" s="32" t="inlineStr">
        <is>
          <t>Women's haircut</t>
        </is>
      </c>
      <c r="F271" s="33" t="inlineStr">
        <is>
          <t>Done</t>
        </is>
      </c>
      <c r="G271" s="27">
        <f>IF(E271="","",MAX(0,IFERROR(INDEX(Services!$C$6:$C$35,MATCH(E271,Services!$B$6:$B$35,0)),0)-N(H271)))</f>
        <v/>
      </c>
      <c r="H271" s="34" t="n"/>
      <c r="I271" s="34" t="n">
        <v>55</v>
      </c>
      <c r="J271" s="33" t="inlineStr">
        <is>
          <t>Card</t>
        </is>
      </c>
      <c r="K271" s="28">
        <f>IF(OR(B271="",F271&lt;&gt;"Done",J271="Package"),"",IF(N(G271)-N(I271)&gt;0,N(G271)-N(I271),""))</f>
        <v/>
      </c>
      <c r="L271" s="32" t="n"/>
      <c r="M271" s="1">
        <f>IF(OR(B271="",D271="",F271="Cancelled"),"",B271+N(C271)+ROW()/10000000)</f>
        <v/>
      </c>
      <c r="N271">
        <f>IF(AND(F271="Done",M271&lt;&gt;""),IF(COUNTIFS(Appointments!$D$6:$D$2005,D271,Appointments!$F$6:$F$2005,"Done",Appointments!$M$6:$M$2005,"&gt;"&amp;M271)=0,1,0),0)</f>
        <v/>
      </c>
      <c r="O271">
        <f>IF(AND(F271="Booked",M271&lt;&gt;"",N(B271)&gt;=TODAY()),IF(COUNTIFS(Appointments!$D$6:$D$2005,D271,Appointments!$F$6:$F$2005,"Booked",Appointments!$B$6:$B$2005,"&gt;="&amp;TODAY(),Appointments!$M$6:$M$2005,"&lt;"&amp;M271)=0,1,0),0)</f>
        <v/>
      </c>
    </row>
    <row r="272">
      <c r="A272" s="1" t="n"/>
      <c r="B272" s="30" t="n">
        <v>46088</v>
      </c>
      <c r="C272" s="31" t="n">
        <v>0.5069444444444444</v>
      </c>
      <c r="D272" s="32" t="inlineStr">
        <is>
          <t>Luke Walsh</t>
        </is>
      </c>
      <c r="E272" s="32" t="inlineStr">
        <is>
          <t>Men's haircut</t>
        </is>
      </c>
      <c r="F272" s="33" t="inlineStr">
        <is>
          <t>Done</t>
        </is>
      </c>
      <c r="G272" s="27">
        <f>IF(E272="","",MAX(0,IFERROR(INDEX(Services!$C$6:$C$35,MATCH(E272,Services!$B$6:$B$35,0)),0)-N(H272)))</f>
        <v/>
      </c>
      <c r="H272" s="34" t="n"/>
      <c r="I272" s="34" t="n">
        <v>30</v>
      </c>
      <c r="J272" s="33" t="inlineStr">
        <is>
          <t>Card</t>
        </is>
      </c>
      <c r="K272" s="28">
        <f>IF(OR(B272="",F272&lt;&gt;"Done",J272="Package"),"",IF(N(G272)-N(I272)&gt;0,N(G272)-N(I272),""))</f>
        <v/>
      </c>
      <c r="L272" s="32" t="n"/>
      <c r="M272" s="1">
        <f>IF(OR(B272="",D272="",F272="Cancelled"),"",B272+N(C272)+ROW()/10000000)</f>
        <v/>
      </c>
      <c r="N272">
        <f>IF(AND(F272="Done",M272&lt;&gt;""),IF(COUNTIFS(Appointments!$D$6:$D$2005,D272,Appointments!$F$6:$F$2005,"Done",Appointments!$M$6:$M$2005,"&gt;"&amp;M272)=0,1,0),0)</f>
        <v/>
      </c>
      <c r="O272">
        <f>IF(AND(F272="Booked",M272&lt;&gt;"",N(B272)&gt;=TODAY()),IF(COUNTIFS(Appointments!$D$6:$D$2005,D272,Appointments!$F$6:$F$2005,"Booked",Appointments!$B$6:$B$2005,"&gt;="&amp;TODAY(),Appointments!$M$6:$M$2005,"&lt;"&amp;M272)=0,1,0),0)</f>
        <v/>
      </c>
    </row>
    <row r="273">
      <c r="A273" s="1" t="n"/>
      <c r="B273" s="30" t="n">
        <v>46088</v>
      </c>
      <c r="C273" s="31" t="n">
        <v>0.5347222222222222</v>
      </c>
      <c r="D273" s="32" t="inlineStr">
        <is>
          <t>Owen Walsh</t>
        </is>
      </c>
      <c r="E273" s="32" t="inlineStr">
        <is>
          <t>Men's haircut</t>
        </is>
      </c>
      <c r="F273" s="33" t="inlineStr">
        <is>
          <t>Done</t>
        </is>
      </c>
      <c r="G273" s="27">
        <f>IF(E273="","",MAX(0,IFERROR(INDEX(Services!$C$6:$C$35,MATCH(E273,Services!$B$6:$B$35,0)),0)-N(H273)))</f>
        <v/>
      </c>
      <c r="H273" s="34" t="n"/>
      <c r="I273" s="34" t="n">
        <v>30</v>
      </c>
      <c r="J273" s="33" t="inlineStr">
        <is>
          <t>Card</t>
        </is>
      </c>
      <c r="K273" s="28">
        <f>IF(OR(B273="",F273&lt;&gt;"Done",J273="Package"),"",IF(N(G273)-N(I273)&gt;0,N(G273)-N(I273),""))</f>
        <v/>
      </c>
      <c r="L273" s="32" t="n"/>
      <c r="M273" s="1">
        <f>IF(OR(B273="",D273="",F273="Cancelled"),"",B273+N(C273)+ROW()/10000000)</f>
        <v/>
      </c>
      <c r="N273">
        <f>IF(AND(F273="Done",M273&lt;&gt;""),IF(COUNTIFS(Appointments!$D$6:$D$2005,D273,Appointments!$F$6:$F$2005,"Done",Appointments!$M$6:$M$2005,"&gt;"&amp;M273)=0,1,0),0)</f>
        <v/>
      </c>
      <c r="O273">
        <f>IF(AND(F273="Booked",M273&lt;&gt;"",N(B273)&gt;=TODAY()),IF(COUNTIFS(Appointments!$D$6:$D$2005,D273,Appointments!$F$6:$F$2005,"Booked",Appointments!$B$6:$B$2005,"&gt;="&amp;TODAY(),Appointments!$M$6:$M$2005,"&lt;"&amp;M273)=0,1,0),0)</f>
        <v/>
      </c>
    </row>
    <row r="274">
      <c r="A274" s="1" t="n"/>
      <c r="B274" s="30" t="n">
        <v>46088</v>
      </c>
      <c r="C274" s="31" t="n">
        <v>0.5625</v>
      </c>
      <c r="D274" s="32" t="inlineStr">
        <is>
          <t>Paula Mason</t>
        </is>
      </c>
      <c r="E274" s="32" t="inlineStr">
        <is>
          <t>Highlights</t>
        </is>
      </c>
      <c r="F274" s="33" t="inlineStr">
        <is>
          <t>Done</t>
        </is>
      </c>
      <c r="G274" s="27">
        <f>IF(E274="","",MAX(0,IFERROR(INDEX(Services!$C$6:$C$35,MATCH(E274,Services!$B$6:$B$35,0)),0)-N(H274)))</f>
        <v/>
      </c>
      <c r="H274" s="34" t="n"/>
      <c r="I274" s="34" t="n">
        <v>140</v>
      </c>
      <c r="J274" s="33" t="inlineStr">
        <is>
          <t>Card</t>
        </is>
      </c>
      <c r="K274" s="28">
        <f>IF(OR(B274="",F274&lt;&gt;"Done",J274="Package"),"",IF(N(G274)-N(I274)&gt;0,N(G274)-N(I274),""))</f>
        <v/>
      </c>
      <c r="L274" s="32" t="n"/>
      <c r="M274" s="1">
        <f>IF(OR(B274="",D274="",F274="Cancelled"),"",B274+N(C274)+ROW()/10000000)</f>
        <v/>
      </c>
      <c r="N274">
        <f>IF(AND(F274="Done",M274&lt;&gt;""),IF(COUNTIFS(Appointments!$D$6:$D$2005,D274,Appointments!$F$6:$F$2005,"Done",Appointments!$M$6:$M$2005,"&gt;"&amp;M274)=0,1,0),0)</f>
        <v/>
      </c>
      <c r="O274">
        <f>IF(AND(F274="Booked",M274&lt;&gt;"",N(B274)&gt;=TODAY()),IF(COUNTIFS(Appointments!$D$6:$D$2005,D274,Appointments!$F$6:$F$2005,"Booked",Appointments!$B$6:$B$2005,"&gt;="&amp;TODAY(),Appointments!$M$6:$M$2005,"&lt;"&amp;M274)=0,1,0),0)</f>
        <v/>
      </c>
    </row>
    <row r="275">
      <c r="A275" s="1" t="n"/>
      <c r="B275" s="30" t="n">
        <v>46091</v>
      </c>
      <c r="C275" s="31" t="n">
        <v>0.375</v>
      </c>
      <c r="D275" s="32" t="inlineStr">
        <is>
          <t>Amy Hall</t>
        </is>
      </c>
      <c r="E275" s="32" t="inlineStr">
        <is>
          <t>Blow dry</t>
        </is>
      </c>
      <c r="F275" s="33" t="inlineStr">
        <is>
          <t>Done</t>
        </is>
      </c>
      <c r="G275" s="27">
        <f>IF(E275="","",MAX(0,IFERROR(INDEX(Services!$C$6:$C$35,MATCH(E275,Services!$B$6:$B$35,0)),0)-N(H275)))</f>
        <v/>
      </c>
      <c r="H275" s="34" t="n"/>
      <c r="I275" s="34" t="n">
        <v>35</v>
      </c>
      <c r="J275" s="33" t="inlineStr">
        <is>
          <t>Cash</t>
        </is>
      </c>
      <c r="K275" s="28">
        <f>IF(OR(B275="",F275&lt;&gt;"Done",J275="Package"),"",IF(N(G275)-N(I275)&gt;0,N(G275)-N(I275),""))</f>
        <v/>
      </c>
      <c r="L275" s="32" t="n"/>
      <c r="M275" s="1">
        <f>IF(OR(B275="",D275="",F275="Cancelled"),"",B275+N(C275)+ROW()/10000000)</f>
        <v/>
      </c>
      <c r="N275">
        <f>IF(AND(F275="Done",M275&lt;&gt;""),IF(COUNTIFS(Appointments!$D$6:$D$2005,D275,Appointments!$F$6:$F$2005,"Done",Appointments!$M$6:$M$2005,"&gt;"&amp;M275)=0,1,0),0)</f>
        <v/>
      </c>
      <c r="O275">
        <f>IF(AND(F275="Booked",M275&lt;&gt;"",N(B275)&gt;=TODAY()),IF(COUNTIFS(Appointments!$D$6:$D$2005,D275,Appointments!$F$6:$F$2005,"Booked",Appointments!$B$6:$B$2005,"&gt;="&amp;TODAY(),Appointments!$M$6:$M$2005,"&lt;"&amp;M275)=0,1,0),0)</f>
        <v/>
      </c>
    </row>
    <row r="276">
      <c r="A276" s="1" t="n"/>
      <c r="B276" s="30" t="n">
        <v>46091</v>
      </c>
      <c r="C276" s="31" t="n">
        <v>0.4131944444444444</v>
      </c>
      <c r="D276" s="32" t="inlineStr">
        <is>
          <t>Chris Cox</t>
        </is>
      </c>
      <c r="E276" s="32" t="inlineStr">
        <is>
          <t>Men's haircut</t>
        </is>
      </c>
      <c r="F276" s="33" t="inlineStr">
        <is>
          <t>Done</t>
        </is>
      </c>
      <c r="G276" s="27">
        <f>IF(E276="","",MAX(0,IFERROR(INDEX(Services!$C$6:$C$35,MATCH(E276,Services!$B$6:$B$35,0)),0)-N(H276)))</f>
        <v/>
      </c>
      <c r="H276" s="34" t="n"/>
      <c r="I276" s="34" t="n">
        <v>30</v>
      </c>
      <c r="J276" s="33" t="inlineStr">
        <is>
          <t>Card</t>
        </is>
      </c>
      <c r="K276" s="28">
        <f>IF(OR(B276="",F276&lt;&gt;"Done",J276="Package"),"",IF(N(G276)-N(I276)&gt;0,N(G276)-N(I276),""))</f>
        <v/>
      </c>
      <c r="L276" s="32" t="n"/>
      <c r="M276" s="1">
        <f>IF(OR(B276="",D276="",F276="Cancelled"),"",B276+N(C276)+ROW()/10000000)</f>
        <v/>
      </c>
      <c r="N276">
        <f>IF(AND(F276="Done",M276&lt;&gt;""),IF(COUNTIFS(Appointments!$D$6:$D$2005,D276,Appointments!$F$6:$F$2005,"Done",Appointments!$M$6:$M$2005,"&gt;"&amp;M276)=0,1,0),0)</f>
        <v/>
      </c>
      <c r="O276">
        <f>IF(AND(F276="Booked",M276&lt;&gt;"",N(B276)&gt;=TODAY()),IF(COUNTIFS(Appointments!$D$6:$D$2005,D276,Appointments!$F$6:$F$2005,"Booked",Appointments!$B$6:$B$2005,"&gt;="&amp;TODAY(),Appointments!$M$6:$M$2005,"&lt;"&amp;M276)=0,1,0),0)</f>
        <v/>
      </c>
    </row>
    <row r="277">
      <c r="A277" s="1" t="n"/>
      <c r="B277" s="30" t="n">
        <v>46091</v>
      </c>
      <c r="C277" s="31" t="n">
        <v>0.4409722222222222</v>
      </c>
      <c r="D277" s="32" t="inlineStr">
        <is>
          <t>Holly Fox</t>
        </is>
      </c>
      <c r="E277" s="32" t="inlineStr">
        <is>
          <t>Blow dry</t>
        </is>
      </c>
      <c r="F277" s="33" t="inlineStr">
        <is>
          <t>Cancelled</t>
        </is>
      </c>
      <c r="G277" s="27">
        <f>IF(E277="","",MAX(0,IFERROR(INDEX(Services!$C$6:$C$35,MATCH(E277,Services!$B$6:$B$35,0)),0)-N(H277)))</f>
        <v/>
      </c>
      <c r="H277" s="34" t="n"/>
      <c r="I277" s="34" t="n"/>
      <c r="J277" s="33" t="n"/>
      <c r="K277" s="28">
        <f>IF(OR(B277="",F277&lt;&gt;"Done",J277="Package"),"",IF(N(G277)-N(I277)&gt;0,N(G277)-N(I277),""))</f>
        <v/>
      </c>
      <c r="L277" s="32" t="n"/>
      <c r="M277" s="1">
        <f>IF(OR(B277="",D277="",F277="Cancelled"),"",B277+N(C277)+ROW()/10000000)</f>
        <v/>
      </c>
      <c r="N277">
        <f>IF(AND(F277="Done",M277&lt;&gt;""),IF(COUNTIFS(Appointments!$D$6:$D$2005,D277,Appointments!$F$6:$F$2005,"Done",Appointments!$M$6:$M$2005,"&gt;"&amp;M277)=0,1,0),0)</f>
        <v/>
      </c>
      <c r="O277">
        <f>IF(AND(F277="Booked",M277&lt;&gt;"",N(B277)&gt;=TODAY()),IF(COUNTIFS(Appointments!$D$6:$D$2005,D277,Appointments!$F$6:$F$2005,"Booked",Appointments!$B$6:$B$2005,"&gt;="&amp;TODAY(),Appointments!$M$6:$M$2005,"&lt;"&amp;M277)=0,1,0),0)</f>
        <v/>
      </c>
    </row>
    <row r="278">
      <c r="A278" s="1" t="n"/>
      <c r="B278" s="30" t="n">
        <v>46091</v>
      </c>
      <c r="C278" s="31" t="n">
        <v>0.4791666666666667</v>
      </c>
      <c r="D278" s="32" t="inlineStr">
        <is>
          <t>Holly Shaw</t>
        </is>
      </c>
      <c r="E278" s="32" t="inlineStr">
        <is>
          <t>Women's haircut</t>
        </is>
      </c>
      <c r="F278" s="33" t="inlineStr">
        <is>
          <t>Done</t>
        </is>
      </c>
      <c r="G278" s="27">
        <f>IF(E278="","",MAX(0,IFERROR(INDEX(Services!$C$6:$C$35,MATCH(E278,Services!$B$6:$B$35,0)),0)-N(H278)))</f>
        <v/>
      </c>
      <c r="H278" s="34" t="n"/>
      <c r="I278" s="34" t="n">
        <v>55</v>
      </c>
      <c r="J278" s="33" t="inlineStr">
        <is>
          <t>Card</t>
        </is>
      </c>
      <c r="K278" s="28">
        <f>IF(OR(B278="",F278&lt;&gt;"Done",J278="Package"),"",IF(N(G278)-N(I278)&gt;0,N(G278)-N(I278),""))</f>
        <v/>
      </c>
      <c r="L278" s="32" t="n"/>
      <c r="M278" s="1">
        <f>IF(OR(B278="",D278="",F278="Cancelled"),"",B278+N(C278)+ROW()/10000000)</f>
        <v/>
      </c>
      <c r="N278">
        <f>IF(AND(F278="Done",M278&lt;&gt;""),IF(COUNTIFS(Appointments!$D$6:$D$2005,D278,Appointments!$F$6:$F$2005,"Done",Appointments!$M$6:$M$2005,"&gt;"&amp;M278)=0,1,0),0)</f>
        <v/>
      </c>
      <c r="O278">
        <f>IF(AND(F278="Booked",M278&lt;&gt;"",N(B278)&gt;=TODAY()),IF(COUNTIFS(Appointments!$D$6:$D$2005,D278,Appointments!$F$6:$F$2005,"Booked",Appointments!$B$6:$B$2005,"&gt;="&amp;TODAY(),Appointments!$M$6:$M$2005,"&lt;"&amp;M278)=0,1,0),0)</f>
        <v/>
      </c>
    </row>
    <row r="279">
      <c r="A279" s="1" t="n"/>
      <c r="B279" s="30" t="n">
        <v>46091</v>
      </c>
      <c r="C279" s="31" t="n">
        <v>0.5277777777777778</v>
      </c>
      <c r="D279" s="32" t="inlineStr">
        <is>
          <t>Jon Reid</t>
        </is>
      </c>
      <c r="E279" s="32" t="inlineStr">
        <is>
          <t>Men's haircut</t>
        </is>
      </c>
      <c r="F279" s="33" t="inlineStr">
        <is>
          <t>Done</t>
        </is>
      </c>
      <c r="G279" s="27">
        <f>IF(E279="","",MAX(0,IFERROR(INDEX(Services!$C$6:$C$35,MATCH(E279,Services!$B$6:$B$35,0)),0)-N(H279)))</f>
        <v/>
      </c>
      <c r="H279" s="34" t="n"/>
      <c r="I279" s="34" t="n">
        <v>30</v>
      </c>
      <c r="J279" s="33" t="inlineStr">
        <is>
          <t>Cash</t>
        </is>
      </c>
      <c r="K279" s="28">
        <f>IF(OR(B279="",F279&lt;&gt;"Done",J279="Package"),"",IF(N(G279)-N(I279)&gt;0,N(G279)-N(I279),""))</f>
        <v/>
      </c>
      <c r="L279" s="32" t="n"/>
      <c r="M279" s="1">
        <f>IF(OR(B279="",D279="",F279="Cancelled"),"",B279+N(C279)+ROW()/10000000)</f>
        <v/>
      </c>
      <c r="N279">
        <f>IF(AND(F279="Done",M279&lt;&gt;""),IF(COUNTIFS(Appointments!$D$6:$D$2005,D279,Appointments!$F$6:$F$2005,"Done",Appointments!$M$6:$M$2005,"&gt;"&amp;M279)=0,1,0),0)</f>
        <v/>
      </c>
      <c r="O279">
        <f>IF(AND(F279="Booked",M279&lt;&gt;"",N(B279)&gt;=TODAY()),IF(COUNTIFS(Appointments!$D$6:$D$2005,D279,Appointments!$F$6:$F$2005,"Booked",Appointments!$B$6:$B$2005,"&gt;="&amp;TODAY(),Appointments!$M$6:$M$2005,"&lt;"&amp;M279)=0,1,0),0)</f>
        <v/>
      </c>
    </row>
    <row r="280">
      <c r="A280" s="1" t="n"/>
      <c r="B280" s="30" t="n">
        <v>46091</v>
      </c>
      <c r="C280" s="31" t="n">
        <v>0.5555555555555556</v>
      </c>
      <c r="D280" s="32" t="inlineStr">
        <is>
          <t>Lily Young</t>
        </is>
      </c>
      <c r="E280" s="32" t="inlineStr">
        <is>
          <t>Blow dry</t>
        </is>
      </c>
      <c r="F280" s="33" t="inlineStr">
        <is>
          <t>Done</t>
        </is>
      </c>
      <c r="G280" s="27">
        <f>IF(E280="","",MAX(0,IFERROR(INDEX(Services!$C$6:$C$35,MATCH(E280,Services!$B$6:$B$35,0)),0)-N(H280)))</f>
        <v/>
      </c>
      <c r="H280" s="34" t="n"/>
      <c r="I280" s="34" t="n">
        <v>35</v>
      </c>
      <c r="J280" s="33" t="inlineStr">
        <is>
          <t>Transfer</t>
        </is>
      </c>
      <c r="K280" s="28">
        <f>IF(OR(B280="",F280&lt;&gt;"Done",J280="Package"),"",IF(N(G280)-N(I280)&gt;0,N(G280)-N(I280),""))</f>
        <v/>
      </c>
      <c r="L280" s="32" t="n"/>
      <c r="M280" s="1">
        <f>IF(OR(B280="",D280="",F280="Cancelled"),"",B280+N(C280)+ROW()/10000000)</f>
        <v/>
      </c>
      <c r="N280">
        <f>IF(AND(F280="Done",M280&lt;&gt;""),IF(COUNTIFS(Appointments!$D$6:$D$2005,D280,Appointments!$F$6:$F$2005,"Done",Appointments!$M$6:$M$2005,"&gt;"&amp;M280)=0,1,0),0)</f>
        <v/>
      </c>
      <c r="O280">
        <f>IF(AND(F280="Booked",M280&lt;&gt;"",N(B280)&gt;=TODAY()),IF(COUNTIFS(Appointments!$D$6:$D$2005,D280,Appointments!$F$6:$F$2005,"Booked",Appointments!$B$6:$B$2005,"&gt;="&amp;TODAY(),Appointments!$M$6:$M$2005,"&lt;"&amp;M280)=0,1,0),0)</f>
        <v/>
      </c>
    </row>
    <row r="281">
      <c r="A281" s="1" t="n"/>
      <c r="B281" s="30" t="n">
        <v>46091</v>
      </c>
      <c r="C281" s="31" t="n">
        <v>0.59375</v>
      </c>
      <c r="D281" s="32" t="inlineStr">
        <is>
          <t>Pete Young</t>
        </is>
      </c>
      <c r="E281" s="32" t="inlineStr">
        <is>
          <t>Men's haircut</t>
        </is>
      </c>
      <c r="F281" s="33" t="inlineStr">
        <is>
          <t>Done</t>
        </is>
      </c>
      <c r="G281" s="27">
        <f>IF(E281="","",MAX(0,IFERROR(INDEX(Services!$C$6:$C$35,MATCH(E281,Services!$B$6:$B$35,0)),0)-N(H281)))</f>
        <v/>
      </c>
      <c r="H281" s="34" t="n"/>
      <c r="I281" s="34" t="n">
        <v>30</v>
      </c>
      <c r="J281" s="33" t="inlineStr">
        <is>
          <t>Card</t>
        </is>
      </c>
      <c r="K281" s="28">
        <f>IF(OR(B281="",F281&lt;&gt;"Done",J281="Package"),"",IF(N(G281)-N(I281)&gt;0,N(G281)-N(I281),""))</f>
        <v/>
      </c>
      <c r="L281" s="32" t="n"/>
      <c r="M281" s="1">
        <f>IF(OR(B281="",D281="",F281="Cancelled"),"",B281+N(C281)+ROW()/10000000)</f>
        <v/>
      </c>
      <c r="N281">
        <f>IF(AND(F281="Done",M281&lt;&gt;""),IF(COUNTIFS(Appointments!$D$6:$D$2005,D281,Appointments!$F$6:$F$2005,"Done",Appointments!$M$6:$M$2005,"&gt;"&amp;M281)=0,1,0),0)</f>
        <v/>
      </c>
      <c r="O281">
        <f>IF(AND(F281="Booked",M281&lt;&gt;"",N(B281)&gt;=TODAY()),IF(COUNTIFS(Appointments!$D$6:$D$2005,D281,Appointments!$F$6:$F$2005,"Booked",Appointments!$B$6:$B$2005,"&gt;="&amp;TODAY(),Appointments!$M$6:$M$2005,"&lt;"&amp;M281)=0,1,0),0)</f>
        <v/>
      </c>
    </row>
    <row r="282">
      <c r="A282" s="1" t="n"/>
      <c r="B282" s="30" t="n">
        <v>46092</v>
      </c>
      <c r="C282" s="31" t="n">
        <v>0.375</v>
      </c>
      <c r="D282" s="32" t="inlineStr">
        <is>
          <t>Alice Stone</t>
        </is>
      </c>
      <c r="E282" s="32" t="inlineStr">
        <is>
          <t>Highlights</t>
        </is>
      </c>
      <c r="F282" s="33" t="inlineStr">
        <is>
          <t>Done</t>
        </is>
      </c>
      <c r="G282" s="27">
        <f>IF(E282="","",MAX(0,IFERROR(INDEX(Services!$C$6:$C$35,MATCH(E282,Services!$B$6:$B$35,0)),0)-N(H282)))</f>
        <v/>
      </c>
      <c r="H282" s="34" t="n"/>
      <c r="I282" s="34" t="n">
        <v>140</v>
      </c>
      <c r="J282" s="33" t="inlineStr">
        <is>
          <t>Card</t>
        </is>
      </c>
      <c r="K282" s="28">
        <f>IF(OR(B282="",F282&lt;&gt;"Done",J282="Package"),"",IF(N(G282)-N(I282)&gt;0,N(G282)-N(I282),""))</f>
        <v/>
      </c>
      <c r="L282" s="32" t="n"/>
      <c r="M282" s="1">
        <f>IF(OR(B282="",D282="",F282="Cancelled"),"",B282+N(C282)+ROW()/10000000)</f>
        <v/>
      </c>
      <c r="N282">
        <f>IF(AND(F282="Done",M282&lt;&gt;""),IF(COUNTIFS(Appointments!$D$6:$D$2005,D282,Appointments!$F$6:$F$2005,"Done",Appointments!$M$6:$M$2005,"&gt;"&amp;M282)=0,1,0),0)</f>
        <v/>
      </c>
      <c r="O282">
        <f>IF(AND(F282="Booked",M282&lt;&gt;"",N(B282)&gt;=TODAY()),IF(COUNTIFS(Appointments!$D$6:$D$2005,D282,Appointments!$F$6:$F$2005,"Booked",Appointments!$B$6:$B$2005,"&gt;="&amp;TODAY(),Appointments!$M$6:$M$2005,"&lt;"&amp;M282)=0,1,0),0)</f>
        <v/>
      </c>
    </row>
    <row r="283">
      <c r="A283" s="1" t="n"/>
      <c r="B283" s="30" t="n">
        <v>46092</v>
      </c>
      <c r="C283" s="31" t="n">
        <v>0.4861111111111111</v>
      </c>
      <c r="D283" s="32" t="inlineStr">
        <is>
          <t>Chris Ellis</t>
        </is>
      </c>
      <c r="E283" s="32" t="inlineStr">
        <is>
          <t>Men's haircut</t>
        </is>
      </c>
      <c r="F283" s="33" t="inlineStr">
        <is>
          <t>Done</t>
        </is>
      </c>
      <c r="G283" s="27">
        <f>IF(E283="","",MAX(0,IFERROR(INDEX(Services!$C$6:$C$35,MATCH(E283,Services!$B$6:$B$35,0)),0)-N(H283)))</f>
        <v/>
      </c>
      <c r="H283" s="34" t="n"/>
      <c r="I283" s="34" t="n">
        <v>30</v>
      </c>
      <c r="J283" s="33" t="inlineStr">
        <is>
          <t>Card</t>
        </is>
      </c>
      <c r="K283" s="28">
        <f>IF(OR(B283="",F283&lt;&gt;"Done",J283="Package"),"",IF(N(G283)-N(I283)&gt;0,N(G283)-N(I283),""))</f>
        <v/>
      </c>
      <c r="L283" s="32" t="n"/>
      <c r="M283" s="1">
        <f>IF(OR(B283="",D283="",F283="Cancelled"),"",B283+N(C283)+ROW()/10000000)</f>
        <v/>
      </c>
      <c r="N283">
        <f>IF(AND(F283="Done",M283&lt;&gt;""),IF(COUNTIFS(Appointments!$D$6:$D$2005,D283,Appointments!$F$6:$F$2005,"Done",Appointments!$M$6:$M$2005,"&gt;"&amp;M283)=0,1,0),0)</f>
        <v/>
      </c>
      <c r="O283">
        <f>IF(AND(F283="Booked",M283&lt;&gt;"",N(B283)&gt;=TODAY()),IF(COUNTIFS(Appointments!$D$6:$D$2005,D283,Appointments!$F$6:$F$2005,"Booked",Appointments!$B$6:$B$2005,"&gt;="&amp;TODAY(),Appointments!$M$6:$M$2005,"&lt;"&amp;M283)=0,1,0),0)</f>
        <v/>
      </c>
    </row>
    <row r="284">
      <c r="A284" s="1" t="n"/>
      <c r="B284" s="30" t="n">
        <v>46092</v>
      </c>
      <c r="C284" s="31" t="n">
        <v>0.5138888888888888</v>
      </c>
      <c r="D284" s="32" t="inlineStr">
        <is>
          <t>Iris West</t>
        </is>
      </c>
      <c r="E284" s="32" t="inlineStr">
        <is>
          <t>Women's haircut</t>
        </is>
      </c>
      <c r="F284" s="33" t="inlineStr">
        <is>
          <t>Done</t>
        </is>
      </c>
      <c r="G284" s="27">
        <f>IF(E284="","",MAX(0,IFERROR(INDEX(Services!$C$6:$C$35,MATCH(E284,Services!$B$6:$B$35,0)),0)-N(H284)))</f>
        <v/>
      </c>
      <c r="H284" s="34" t="n"/>
      <c r="I284" s="34" t="n">
        <v>55</v>
      </c>
      <c r="J284" s="33" t="inlineStr">
        <is>
          <t>Card</t>
        </is>
      </c>
      <c r="K284" s="28">
        <f>IF(OR(B284="",F284&lt;&gt;"Done",J284="Package"),"",IF(N(G284)-N(I284)&gt;0,N(G284)-N(I284),""))</f>
        <v/>
      </c>
      <c r="L284" s="32" t="n"/>
      <c r="M284" s="1">
        <f>IF(OR(B284="",D284="",F284="Cancelled"),"",B284+N(C284)+ROW()/10000000)</f>
        <v/>
      </c>
      <c r="N284">
        <f>IF(AND(F284="Done",M284&lt;&gt;""),IF(COUNTIFS(Appointments!$D$6:$D$2005,D284,Appointments!$F$6:$F$2005,"Done",Appointments!$M$6:$M$2005,"&gt;"&amp;M284)=0,1,0),0)</f>
        <v/>
      </c>
      <c r="O284">
        <f>IF(AND(F284="Booked",M284&lt;&gt;"",N(B284)&gt;=TODAY()),IF(COUNTIFS(Appointments!$D$6:$D$2005,D284,Appointments!$F$6:$F$2005,"Booked",Appointments!$B$6:$B$2005,"&gt;="&amp;TODAY(),Appointments!$M$6:$M$2005,"&lt;"&amp;M284)=0,1,0),0)</f>
        <v/>
      </c>
    </row>
    <row r="285">
      <c r="A285" s="1" t="n"/>
      <c r="B285" s="30" t="n">
        <v>46092</v>
      </c>
      <c r="C285" s="31" t="n">
        <v>0.5625</v>
      </c>
      <c r="D285" s="32" t="inlineStr">
        <is>
          <t>Nina Young</t>
        </is>
      </c>
      <c r="E285" s="32" t="inlineStr">
        <is>
          <t>Treatment</t>
        </is>
      </c>
      <c r="F285" s="33" t="inlineStr">
        <is>
          <t>Done</t>
        </is>
      </c>
      <c r="G285" s="27">
        <f>IF(E285="","",MAX(0,IFERROR(INDEX(Services!$C$6:$C$35,MATCH(E285,Services!$B$6:$B$35,0)),0)-N(H285)))</f>
        <v/>
      </c>
      <c r="H285" s="34" t="n"/>
      <c r="I285" s="34" t="n">
        <v>30</v>
      </c>
      <c r="J285" s="33" t="inlineStr">
        <is>
          <t>Card</t>
        </is>
      </c>
      <c r="K285" s="28">
        <f>IF(OR(B285="",F285&lt;&gt;"Done",J285="Package"),"",IF(N(G285)-N(I285)&gt;0,N(G285)-N(I285),""))</f>
        <v/>
      </c>
      <c r="L285" s="32" t="n"/>
      <c r="M285" s="1">
        <f>IF(OR(B285="",D285="",F285="Cancelled"),"",B285+N(C285)+ROW()/10000000)</f>
        <v/>
      </c>
      <c r="N285">
        <f>IF(AND(F285="Done",M285&lt;&gt;""),IF(COUNTIFS(Appointments!$D$6:$D$2005,D285,Appointments!$F$6:$F$2005,"Done",Appointments!$M$6:$M$2005,"&gt;"&amp;M285)=0,1,0),0)</f>
        <v/>
      </c>
      <c r="O285">
        <f>IF(AND(F285="Booked",M285&lt;&gt;"",N(B285)&gt;=TODAY()),IF(COUNTIFS(Appointments!$D$6:$D$2005,D285,Appointments!$F$6:$F$2005,"Booked",Appointments!$B$6:$B$2005,"&gt;="&amp;TODAY(),Appointments!$M$6:$M$2005,"&lt;"&amp;M285)=0,1,0),0)</f>
        <v/>
      </c>
    </row>
    <row r="286">
      <c r="A286" s="1" t="n"/>
      <c r="B286" s="30" t="n">
        <v>46092</v>
      </c>
      <c r="C286" s="31" t="n">
        <v>0.5902777777777778</v>
      </c>
      <c r="D286" s="32" t="inlineStr">
        <is>
          <t>Ruby Shaw</t>
        </is>
      </c>
      <c r="E286" s="32" t="inlineStr">
        <is>
          <t>Blow dry</t>
        </is>
      </c>
      <c r="F286" s="33" t="inlineStr">
        <is>
          <t>Done</t>
        </is>
      </c>
      <c r="G286" s="27">
        <f>IF(E286="","",MAX(0,IFERROR(INDEX(Services!$C$6:$C$35,MATCH(E286,Services!$B$6:$B$35,0)),0)-N(H286)))</f>
        <v/>
      </c>
      <c r="H286" s="34" t="n"/>
      <c r="I286" s="34" t="n">
        <v>35</v>
      </c>
      <c r="J286" s="33" t="inlineStr">
        <is>
          <t>Card</t>
        </is>
      </c>
      <c r="K286" s="28">
        <f>IF(OR(B286="",F286&lt;&gt;"Done",J286="Package"),"",IF(N(G286)-N(I286)&gt;0,N(G286)-N(I286),""))</f>
        <v/>
      </c>
      <c r="L286" s="32" t="n"/>
      <c r="M286" s="1">
        <f>IF(OR(B286="",D286="",F286="Cancelled"),"",B286+N(C286)+ROW()/10000000)</f>
        <v/>
      </c>
      <c r="N286">
        <f>IF(AND(F286="Done",M286&lt;&gt;""),IF(COUNTIFS(Appointments!$D$6:$D$2005,D286,Appointments!$F$6:$F$2005,"Done",Appointments!$M$6:$M$2005,"&gt;"&amp;M286)=0,1,0),0)</f>
        <v/>
      </c>
      <c r="O286">
        <f>IF(AND(F286="Booked",M286&lt;&gt;"",N(B286)&gt;=TODAY()),IF(COUNTIFS(Appointments!$D$6:$D$2005,D286,Appointments!$F$6:$F$2005,"Booked",Appointments!$B$6:$B$2005,"&gt;="&amp;TODAY(),Appointments!$M$6:$M$2005,"&lt;"&amp;M286)=0,1,0),0)</f>
        <v/>
      </c>
    </row>
    <row r="287">
      <c r="A287" s="1" t="n"/>
      <c r="B287" s="30" t="n">
        <v>46092</v>
      </c>
      <c r="C287" s="31" t="n">
        <v>0.6284722222222222</v>
      </c>
      <c r="D287" s="32" t="inlineStr">
        <is>
          <t>Sam Clarke</t>
        </is>
      </c>
      <c r="E287" s="32" t="inlineStr">
        <is>
          <t>Men's haircut</t>
        </is>
      </c>
      <c r="F287" s="33" t="inlineStr">
        <is>
          <t>Done</t>
        </is>
      </c>
      <c r="G287" s="27">
        <f>IF(E287="","",MAX(0,IFERROR(INDEX(Services!$C$6:$C$35,MATCH(E287,Services!$B$6:$B$35,0)),0)-N(H287)))</f>
        <v/>
      </c>
      <c r="H287" s="34" t="n"/>
      <c r="I287" s="34" t="n">
        <v>30</v>
      </c>
      <c r="J287" s="33" t="inlineStr">
        <is>
          <t>Card</t>
        </is>
      </c>
      <c r="K287" s="28">
        <f>IF(OR(B287="",F287&lt;&gt;"Done",J287="Package"),"",IF(N(G287)-N(I287)&gt;0,N(G287)-N(I287),""))</f>
        <v/>
      </c>
      <c r="L287" s="32" t="n"/>
      <c r="M287" s="1">
        <f>IF(OR(B287="",D287="",F287="Cancelled"),"",B287+N(C287)+ROW()/10000000)</f>
        <v/>
      </c>
      <c r="N287">
        <f>IF(AND(F287="Done",M287&lt;&gt;""),IF(COUNTIFS(Appointments!$D$6:$D$2005,D287,Appointments!$F$6:$F$2005,"Done",Appointments!$M$6:$M$2005,"&gt;"&amp;M287)=0,1,0),0)</f>
        <v/>
      </c>
      <c r="O287">
        <f>IF(AND(F287="Booked",M287&lt;&gt;"",N(B287)&gt;=TODAY()),IF(COUNTIFS(Appointments!$D$6:$D$2005,D287,Appointments!$F$6:$F$2005,"Booked",Appointments!$B$6:$B$2005,"&gt;="&amp;TODAY(),Appointments!$M$6:$M$2005,"&lt;"&amp;M287)=0,1,0),0)</f>
        <v/>
      </c>
    </row>
    <row r="288">
      <c r="A288" s="1" t="n"/>
      <c r="B288" s="30" t="n">
        <v>46092</v>
      </c>
      <c r="C288" s="31" t="n">
        <v>0.65625</v>
      </c>
      <c r="D288" s="32" t="inlineStr">
        <is>
          <t>Sophie Ellis</t>
        </is>
      </c>
      <c r="E288" s="32" t="inlineStr">
        <is>
          <t>Treatment</t>
        </is>
      </c>
      <c r="F288" s="33" t="inlineStr">
        <is>
          <t>Done</t>
        </is>
      </c>
      <c r="G288" s="27">
        <f>IF(E288="","",MAX(0,IFERROR(INDEX(Services!$C$6:$C$35,MATCH(E288,Services!$B$6:$B$35,0)),0)-N(H288)))</f>
        <v/>
      </c>
      <c r="H288" s="34" t="n"/>
      <c r="I288" s="34" t="n">
        <v>30</v>
      </c>
      <c r="J288" s="33" t="inlineStr">
        <is>
          <t>Cash</t>
        </is>
      </c>
      <c r="K288" s="28">
        <f>IF(OR(B288="",F288&lt;&gt;"Done",J288="Package"),"",IF(N(G288)-N(I288)&gt;0,N(G288)-N(I288),""))</f>
        <v/>
      </c>
      <c r="L288" s="32" t="n"/>
      <c r="M288" s="1">
        <f>IF(OR(B288="",D288="",F288="Cancelled"),"",B288+N(C288)+ROW()/10000000)</f>
        <v/>
      </c>
      <c r="N288">
        <f>IF(AND(F288="Done",M288&lt;&gt;""),IF(COUNTIFS(Appointments!$D$6:$D$2005,D288,Appointments!$F$6:$F$2005,"Done",Appointments!$M$6:$M$2005,"&gt;"&amp;M288)=0,1,0),0)</f>
        <v/>
      </c>
      <c r="O288">
        <f>IF(AND(F288="Booked",M288&lt;&gt;"",N(B288)&gt;=TODAY()),IF(COUNTIFS(Appointments!$D$6:$D$2005,D288,Appointments!$F$6:$F$2005,"Booked",Appointments!$B$6:$B$2005,"&gt;="&amp;TODAY(),Appointments!$M$6:$M$2005,"&lt;"&amp;M288)=0,1,0),0)</f>
        <v/>
      </c>
    </row>
    <row r="289">
      <c r="A289" s="1" t="n"/>
      <c r="B289" s="30" t="n">
        <v>46093</v>
      </c>
      <c r="C289" s="31" t="n">
        <v>0.375</v>
      </c>
      <c r="D289" s="32" t="inlineStr">
        <is>
          <t>Ella Kelly</t>
        </is>
      </c>
      <c r="E289" s="32" t="inlineStr">
        <is>
          <t>Women's haircut</t>
        </is>
      </c>
      <c r="F289" s="33" t="inlineStr">
        <is>
          <t>Done</t>
        </is>
      </c>
      <c r="G289" s="27">
        <f>IF(E289="","",MAX(0,IFERROR(INDEX(Services!$C$6:$C$35,MATCH(E289,Services!$B$6:$B$35,0)),0)-N(H289)))</f>
        <v/>
      </c>
      <c r="H289" s="34" t="n"/>
      <c r="I289" s="34" t="n">
        <v>55</v>
      </c>
      <c r="J289" s="33" t="inlineStr">
        <is>
          <t>Card</t>
        </is>
      </c>
      <c r="K289" s="28">
        <f>IF(OR(B289="",F289&lt;&gt;"Done",J289="Package"),"",IF(N(G289)-N(I289)&gt;0,N(G289)-N(I289),""))</f>
        <v/>
      </c>
      <c r="L289" s="32" t="n"/>
      <c r="M289" s="1">
        <f>IF(OR(B289="",D289="",F289="Cancelled"),"",B289+N(C289)+ROW()/10000000)</f>
        <v/>
      </c>
      <c r="N289">
        <f>IF(AND(F289="Done",M289&lt;&gt;""),IF(COUNTIFS(Appointments!$D$6:$D$2005,D289,Appointments!$F$6:$F$2005,"Done",Appointments!$M$6:$M$2005,"&gt;"&amp;M289)=0,1,0),0)</f>
        <v/>
      </c>
      <c r="O289">
        <f>IF(AND(F289="Booked",M289&lt;&gt;"",N(B289)&gt;=TODAY()),IF(COUNTIFS(Appointments!$D$6:$D$2005,D289,Appointments!$F$6:$F$2005,"Booked",Appointments!$B$6:$B$2005,"&gt;="&amp;TODAY(),Appointments!$M$6:$M$2005,"&lt;"&amp;M289)=0,1,0),0)</f>
        <v/>
      </c>
    </row>
    <row r="290">
      <c r="A290" s="1" t="n"/>
      <c r="B290" s="30" t="n">
        <v>46093</v>
      </c>
      <c r="C290" s="31" t="n">
        <v>0.4236111111111111</v>
      </c>
      <c r="D290" s="32" t="inlineStr">
        <is>
          <t>Ian Reed</t>
        </is>
      </c>
      <c r="E290" s="32" t="inlineStr">
        <is>
          <t>Men's haircut</t>
        </is>
      </c>
      <c r="F290" s="33" t="inlineStr">
        <is>
          <t>Done</t>
        </is>
      </c>
      <c r="G290" s="27">
        <f>IF(E290="","",MAX(0,IFERROR(INDEX(Services!$C$6:$C$35,MATCH(E290,Services!$B$6:$B$35,0)),0)-N(H290)))</f>
        <v/>
      </c>
      <c r="H290" s="34" t="n"/>
      <c r="I290" s="34" t="n">
        <v>30</v>
      </c>
      <c r="J290" s="33" t="inlineStr">
        <is>
          <t>Card</t>
        </is>
      </c>
      <c r="K290" s="28">
        <f>IF(OR(B290="",F290&lt;&gt;"Done",J290="Package"),"",IF(N(G290)-N(I290)&gt;0,N(G290)-N(I290),""))</f>
        <v/>
      </c>
      <c r="L290" s="32" t="n"/>
      <c r="M290" s="1">
        <f>IF(OR(B290="",D290="",F290="Cancelled"),"",B290+N(C290)+ROW()/10000000)</f>
        <v/>
      </c>
      <c r="N290">
        <f>IF(AND(F290="Done",M290&lt;&gt;""),IF(COUNTIFS(Appointments!$D$6:$D$2005,D290,Appointments!$F$6:$F$2005,"Done",Appointments!$M$6:$M$2005,"&gt;"&amp;M290)=0,1,0),0)</f>
        <v/>
      </c>
      <c r="O290">
        <f>IF(AND(F290="Booked",M290&lt;&gt;"",N(B290)&gt;=TODAY()),IF(COUNTIFS(Appointments!$D$6:$D$2005,D290,Appointments!$F$6:$F$2005,"Booked",Appointments!$B$6:$B$2005,"&gt;="&amp;TODAY(),Appointments!$M$6:$M$2005,"&lt;"&amp;M290)=0,1,0),0)</f>
        <v/>
      </c>
    </row>
    <row r="291">
      <c r="A291" s="1" t="n"/>
      <c r="B291" s="30" t="n">
        <v>46093</v>
      </c>
      <c r="C291" s="31" t="n">
        <v>0.4513888888888889</v>
      </c>
      <c r="D291" s="32" t="inlineStr">
        <is>
          <t>Lucy Wood</t>
        </is>
      </c>
      <c r="E291" s="32" t="inlineStr">
        <is>
          <t>Women's haircut</t>
        </is>
      </c>
      <c r="F291" s="33" t="inlineStr">
        <is>
          <t>Done</t>
        </is>
      </c>
      <c r="G291" s="27">
        <f>IF(E291="","",MAX(0,IFERROR(INDEX(Services!$C$6:$C$35,MATCH(E291,Services!$B$6:$B$35,0)),0)-N(H291)))</f>
        <v/>
      </c>
      <c r="H291" s="34" t="n"/>
      <c r="I291" s="34" t="n">
        <v>55</v>
      </c>
      <c r="J291" s="33" t="inlineStr">
        <is>
          <t>Card</t>
        </is>
      </c>
      <c r="K291" s="28">
        <f>IF(OR(B291="",F291&lt;&gt;"Done",J291="Package"),"",IF(N(G291)-N(I291)&gt;0,N(G291)-N(I291),""))</f>
        <v/>
      </c>
      <c r="L291" s="32" t="n"/>
      <c r="M291" s="1">
        <f>IF(OR(B291="",D291="",F291="Cancelled"),"",B291+N(C291)+ROW()/10000000)</f>
        <v/>
      </c>
      <c r="N291">
        <f>IF(AND(F291="Done",M291&lt;&gt;""),IF(COUNTIFS(Appointments!$D$6:$D$2005,D291,Appointments!$F$6:$F$2005,"Done",Appointments!$M$6:$M$2005,"&gt;"&amp;M291)=0,1,0),0)</f>
        <v/>
      </c>
      <c r="O291">
        <f>IF(AND(F291="Booked",M291&lt;&gt;"",N(B291)&gt;=TODAY()),IF(COUNTIFS(Appointments!$D$6:$D$2005,D291,Appointments!$F$6:$F$2005,"Booked",Appointments!$B$6:$B$2005,"&gt;="&amp;TODAY(),Appointments!$M$6:$M$2005,"&lt;"&amp;M291)=0,1,0),0)</f>
        <v/>
      </c>
    </row>
    <row r="292">
      <c r="A292" s="1" t="n"/>
      <c r="B292" s="30" t="n">
        <v>46093</v>
      </c>
      <c r="C292" s="31" t="n">
        <v>0.5</v>
      </c>
      <c r="D292" s="32" t="inlineStr">
        <is>
          <t>Tina Cook</t>
        </is>
      </c>
      <c r="E292" s="32" t="inlineStr">
        <is>
          <t>Women's haircut</t>
        </is>
      </c>
      <c r="F292" s="33" t="inlineStr">
        <is>
          <t>Done</t>
        </is>
      </c>
      <c r="G292" s="27">
        <f>IF(E292="","",MAX(0,IFERROR(INDEX(Services!$C$6:$C$35,MATCH(E292,Services!$B$6:$B$35,0)),0)-N(H292)))</f>
        <v/>
      </c>
      <c r="H292" s="34" t="n"/>
      <c r="I292" s="34" t="n">
        <v>55</v>
      </c>
      <c r="J292" s="33" t="inlineStr">
        <is>
          <t>Card</t>
        </is>
      </c>
      <c r="K292" s="28">
        <f>IF(OR(B292="",F292&lt;&gt;"Done",J292="Package"),"",IF(N(G292)-N(I292)&gt;0,N(G292)-N(I292),""))</f>
        <v/>
      </c>
      <c r="L292" s="32" t="n"/>
      <c r="M292" s="1">
        <f>IF(OR(B292="",D292="",F292="Cancelled"),"",B292+N(C292)+ROW()/10000000)</f>
        <v/>
      </c>
      <c r="N292">
        <f>IF(AND(F292="Done",M292&lt;&gt;""),IF(COUNTIFS(Appointments!$D$6:$D$2005,D292,Appointments!$F$6:$F$2005,"Done",Appointments!$M$6:$M$2005,"&gt;"&amp;M292)=0,1,0),0)</f>
        <v/>
      </c>
      <c r="O292">
        <f>IF(AND(F292="Booked",M292&lt;&gt;"",N(B292)&gt;=TODAY()),IF(COUNTIFS(Appointments!$D$6:$D$2005,D292,Appointments!$F$6:$F$2005,"Booked",Appointments!$B$6:$B$2005,"&gt;="&amp;TODAY(),Appointments!$M$6:$M$2005,"&lt;"&amp;M292)=0,1,0),0)</f>
        <v/>
      </c>
    </row>
    <row r="293">
      <c r="A293" s="1" t="n"/>
      <c r="B293" s="30" t="n">
        <v>46094</v>
      </c>
      <c r="C293" s="31" t="n">
        <v>0.375</v>
      </c>
      <c r="D293" s="32" t="inlineStr">
        <is>
          <t>George Kelly</t>
        </is>
      </c>
      <c r="E293" s="32" t="inlineStr">
        <is>
          <t>Men's haircut</t>
        </is>
      </c>
      <c r="F293" s="33" t="inlineStr">
        <is>
          <t>Cancelled</t>
        </is>
      </c>
      <c r="G293" s="27">
        <f>IF(E293="","",MAX(0,IFERROR(INDEX(Services!$C$6:$C$35,MATCH(E293,Services!$B$6:$B$35,0)),0)-N(H293)))</f>
        <v/>
      </c>
      <c r="H293" s="34" t="n"/>
      <c r="I293" s="34" t="n"/>
      <c r="J293" s="33" t="n"/>
      <c r="K293" s="28">
        <f>IF(OR(B293="",F293&lt;&gt;"Done",J293="Package"),"",IF(N(G293)-N(I293)&gt;0,N(G293)-N(I293),""))</f>
        <v/>
      </c>
      <c r="L293" s="32" t="n"/>
      <c r="M293" s="1">
        <f>IF(OR(B293="",D293="",F293="Cancelled"),"",B293+N(C293)+ROW()/10000000)</f>
        <v/>
      </c>
      <c r="N293">
        <f>IF(AND(F293="Done",M293&lt;&gt;""),IF(COUNTIFS(Appointments!$D$6:$D$2005,D293,Appointments!$F$6:$F$2005,"Done",Appointments!$M$6:$M$2005,"&gt;"&amp;M293)=0,1,0),0)</f>
        <v/>
      </c>
      <c r="O293">
        <f>IF(AND(F293="Booked",M293&lt;&gt;"",N(B293)&gt;=TODAY()),IF(COUNTIFS(Appointments!$D$6:$D$2005,D293,Appointments!$F$6:$F$2005,"Booked",Appointments!$B$6:$B$2005,"&gt;="&amp;TODAY(),Appointments!$M$6:$M$2005,"&lt;"&amp;M293)=0,1,0),0)</f>
        <v/>
      </c>
    </row>
    <row r="294">
      <c r="A294" s="1" t="n"/>
      <c r="B294" s="30" t="n">
        <v>46094</v>
      </c>
      <c r="C294" s="31" t="n">
        <v>0.4027777777777778</v>
      </c>
      <c r="D294" s="32" t="inlineStr">
        <is>
          <t>Megan Morgan</t>
        </is>
      </c>
      <c r="E294" s="32" t="inlineStr">
        <is>
          <t>Women's haircut</t>
        </is>
      </c>
      <c r="F294" s="33" t="inlineStr">
        <is>
          <t>Done</t>
        </is>
      </c>
      <c r="G294" s="27">
        <f>IF(E294="","",MAX(0,IFERROR(INDEX(Services!$C$6:$C$35,MATCH(E294,Services!$B$6:$B$35,0)),0)-N(H294)))</f>
        <v/>
      </c>
      <c r="H294" s="34" t="n"/>
      <c r="I294" s="34" t="n">
        <v>55</v>
      </c>
      <c r="J294" s="33" t="inlineStr">
        <is>
          <t>Transfer</t>
        </is>
      </c>
      <c r="K294" s="28">
        <f>IF(OR(B294="",F294&lt;&gt;"Done",J294="Package"),"",IF(N(G294)-N(I294)&gt;0,N(G294)-N(I294),""))</f>
        <v/>
      </c>
      <c r="L294" s="32" t="n"/>
      <c r="M294" s="1">
        <f>IF(OR(B294="",D294="",F294="Cancelled"),"",B294+N(C294)+ROW()/10000000)</f>
        <v/>
      </c>
      <c r="N294">
        <f>IF(AND(F294="Done",M294&lt;&gt;""),IF(COUNTIFS(Appointments!$D$6:$D$2005,D294,Appointments!$F$6:$F$2005,"Done",Appointments!$M$6:$M$2005,"&gt;"&amp;M294)=0,1,0),0)</f>
        <v/>
      </c>
      <c r="O294">
        <f>IF(AND(F294="Booked",M294&lt;&gt;"",N(B294)&gt;=TODAY()),IF(COUNTIFS(Appointments!$D$6:$D$2005,D294,Appointments!$F$6:$F$2005,"Booked",Appointments!$B$6:$B$2005,"&gt;="&amp;TODAY(),Appointments!$M$6:$M$2005,"&lt;"&amp;M294)=0,1,0),0)</f>
        <v/>
      </c>
    </row>
    <row r="295">
      <c r="A295" s="1" t="n"/>
      <c r="B295" s="30" t="n">
        <v>46094</v>
      </c>
      <c r="C295" s="31" t="n">
        <v>0.4513888888888889</v>
      </c>
      <c r="D295" s="32" t="inlineStr">
        <is>
          <t>Owen Lewis</t>
        </is>
      </c>
      <c r="E295" s="32" t="inlineStr">
        <is>
          <t>Men's haircut</t>
        </is>
      </c>
      <c r="F295" s="33" t="inlineStr">
        <is>
          <t>Done</t>
        </is>
      </c>
      <c r="G295" s="27">
        <f>IF(E295="","",MAX(0,IFERROR(INDEX(Services!$C$6:$C$35,MATCH(E295,Services!$B$6:$B$35,0)),0)-N(H295)))</f>
        <v/>
      </c>
      <c r="H295" s="34" t="n"/>
      <c r="I295" s="34" t="n">
        <v>30</v>
      </c>
      <c r="J295" s="33" t="inlineStr">
        <is>
          <t>Transfer</t>
        </is>
      </c>
      <c r="K295" s="28">
        <f>IF(OR(B295="",F295&lt;&gt;"Done",J295="Package"),"",IF(N(G295)-N(I295)&gt;0,N(G295)-N(I295),""))</f>
        <v/>
      </c>
      <c r="L295" s="32" t="n"/>
      <c r="M295" s="1">
        <f>IF(OR(B295="",D295="",F295="Cancelled"),"",B295+N(C295)+ROW()/10000000)</f>
        <v/>
      </c>
      <c r="N295">
        <f>IF(AND(F295="Done",M295&lt;&gt;""),IF(COUNTIFS(Appointments!$D$6:$D$2005,D295,Appointments!$F$6:$F$2005,"Done",Appointments!$M$6:$M$2005,"&gt;"&amp;M295)=0,1,0),0)</f>
        <v/>
      </c>
      <c r="O295">
        <f>IF(AND(F295="Booked",M295&lt;&gt;"",N(B295)&gt;=TODAY()),IF(COUNTIFS(Appointments!$D$6:$D$2005,D295,Appointments!$F$6:$F$2005,"Booked",Appointments!$B$6:$B$2005,"&gt;="&amp;TODAY(),Appointments!$M$6:$M$2005,"&lt;"&amp;M295)=0,1,0),0)</f>
        <v/>
      </c>
    </row>
    <row r="296">
      <c r="A296" s="1" t="n"/>
      <c r="B296" s="30" t="n">
        <v>46095</v>
      </c>
      <c r="C296" s="31" t="n">
        <v>0.375</v>
      </c>
      <c r="D296" s="32" t="inlineStr">
        <is>
          <t>Adam King</t>
        </is>
      </c>
      <c r="E296" s="32" t="inlineStr">
        <is>
          <t>Men's haircut</t>
        </is>
      </c>
      <c r="F296" s="33" t="inlineStr">
        <is>
          <t>Done</t>
        </is>
      </c>
      <c r="G296" s="27">
        <f>IF(E296="","",MAX(0,IFERROR(INDEX(Services!$C$6:$C$35,MATCH(E296,Services!$B$6:$B$35,0)),0)-N(H296)))</f>
        <v/>
      </c>
      <c r="H296" s="34" t="n"/>
      <c r="I296" s="34" t="n">
        <v>30</v>
      </c>
      <c r="J296" s="33" t="inlineStr">
        <is>
          <t>Card</t>
        </is>
      </c>
      <c r="K296" s="28">
        <f>IF(OR(B296="",F296&lt;&gt;"Done",J296="Package"),"",IF(N(G296)-N(I296)&gt;0,N(G296)-N(I296),""))</f>
        <v/>
      </c>
      <c r="L296" s="32" t="n"/>
      <c r="M296" s="1">
        <f>IF(OR(B296="",D296="",F296="Cancelled"),"",B296+N(C296)+ROW()/10000000)</f>
        <v/>
      </c>
      <c r="N296">
        <f>IF(AND(F296="Done",M296&lt;&gt;""),IF(COUNTIFS(Appointments!$D$6:$D$2005,D296,Appointments!$F$6:$F$2005,"Done",Appointments!$M$6:$M$2005,"&gt;"&amp;M296)=0,1,0),0)</f>
        <v/>
      </c>
      <c r="O296">
        <f>IF(AND(F296="Booked",M296&lt;&gt;"",N(B296)&gt;=TODAY()),IF(COUNTIFS(Appointments!$D$6:$D$2005,D296,Appointments!$F$6:$F$2005,"Booked",Appointments!$B$6:$B$2005,"&gt;="&amp;TODAY(),Appointments!$M$6:$M$2005,"&lt;"&amp;M296)=0,1,0),0)</f>
        <v/>
      </c>
    </row>
    <row r="297">
      <c r="A297" s="1" t="n"/>
      <c r="B297" s="30" t="n">
        <v>46095</v>
      </c>
      <c r="C297" s="31" t="n">
        <v>0.4027777777777778</v>
      </c>
      <c r="D297" s="32" t="inlineStr">
        <is>
          <t>Dan Hill</t>
        </is>
      </c>
      <c r="E297" s="32" t="inlineStr">
        <is>
          <t>Men's haircut</t>
        </is>
      </c>
      <c r="F297" s="33" t="inlineStr">
        <is>
          <t>Done</t>
        </is>
      </c>
      <c r="G297" s="27">
        <f>IF(E297="","",MAX(0,IFERROR(INDEX(Services!$C$6:$C$35,MATCH(E297,Services!$B$6:$B$35,0)),0)-N(H297)))</f>
        <v/>
      </c>
      <c r="H297" s="34" t="n"/>
      <c r="I297" s="34" t="n">
        <v>30</v>
      </c>
      <c r="J297" s="33" t="inlineStr">
        <is>
          <t>Card</t>
        </is>
      </c>
      <c r="K297" s="28">
        <f>IF(OR(B297="",F297&lt;&gt;"Done",J297="Package"),"",IF(N(G297)-N(I297)&gt;0,N(G297)-N(I297),""))</f>
        <v/>
      </c>
      <c r="L297" s="32" t="n"/>
      <c r="M297" s="1">
        <f>IF(OR(B297="",D297="",F297="Cancelled"),"",B297+N(C297)+ROW()/10000000)</f>
        <v/>
      </c>
      <c r="N297">
        <f>IF(AND(F297="Done",M297&lt;&gt;""),IF(COUNTIFS(Appointments!$D$6:$D$2005,D297,Appointments!$F$6:$F$2005,"Done",Appointments!$M$6:$M$2005,"&gt;"&amp;M297)=0,1,0),0)</f>
        <v/>
      </c>
      <c r="O297">
        <f>IF(AND(F297="Booked",M297&lt;&gt;"",N(B297)&gt;=TODAY()),IF(COUNTIFS(Appointments!$D$6:$D$2005,D297,Appointments!$F$6:$F$2005,"Booked",Appointments!$B$6:$B$2005,"&gt;="&amp;TODAY(),Appointments!$M$6:$M$2005,"&lt;"&amp;M297)=0,1,0),0)</f>
        <v/>
      </c>
    </row>
    <row r="298">
      <c r="A298" s="1" t="n"/>
      <c r="B298" s="30" t="n">
        <v>46098</v>
      </c>
      <c r="C298" s="31" t="n">
        <v>0.375</v>
      </c>
      <c r="D298" s="32" t="inlineStr">
        <is>
          <t>Anna Rossi</t>
        </is>
      </c>
      <c r="E298" s="32" t="inlineStr">
        <is>
          <t>Colour</t>
        </is>
      </c>
      <c r="F298" s="33" t="inlineStr">
        <is>
          <t>Done</t>
        </is>
      </c>
      <c r="G298" s="27">
        <f>IF(E298="","",MAX(0,IFERROR(INDEX(Services!$C$6:$C$35,MATCH(E298,Services!$B$6:$B$35,0)),0)-N(H298)))</f>
        <v/>
      </c>
      <c r="H298" s="34" t="n"/>
      <c r="I298" s="34" t="n">
        <v>95</v>
      </c>
      <c r="J298" s="33" t="inlineStr">
        <is>
          <t>Card</t>
        </is>
      </c>
      <c r="K298" s="28">
        <f>IF(OR(B298="",F298&lt;&gt;"Done",J298="Package"),"",IF(N(G298)-N(I298)&gt;0,N(G298)-N(I298),""))</f>
        <v/>
      </c>
      <c r="L298" s="32" t="n"/>
      <c r="M298" s="1">
        <f>IF(OR(B298="",D298="",F298="Cancelled"),"",B298+N(C298)+ROW()/10000000)</f>
        <v/>
      </c>
      <c r="N298">
        <f>IF(AND(F298="Done",M298&lt;&gt;""),IF(COUNTIFS(Appointments!$D$6:$D$2005,D298,Appointments!$F$6:$F$2005,"Done",Appointments!$M$6:$M$2005,"&gt;"&amp;M298)=0,1,0),0)</f>
        <v/>
      </c>
      <c r="O298">
        <f>IF(AND(F298="Booked",M298&lt;&gt;"",N(B298)&gt;=TODAY()),IF(COUNTIFS(Appointments!$D$6:$D$2005,D298,Appointments!$F$6:$F$2005,"Booked",Appointments!$B$6:$B$2005,"&gt;="&amp;TODAY(),Appointments!$M$6:$M$2005,"&lt;"&amp;M298)=0,1,0),0)</f>
        <v/>
      </c>
    </row>
    <row r="299">
      <c r="A299" s="1" t="n"/>
      <c r="B299" s="30" t="n">
        <v>46098</v>
      </c>
      <c r="C299" s="31" t="n">
        <v>0.4652777777777778</v>
      </c>
      <c r="D299" s="32" t="inlineStr">
        <is>
          <t>Ben Carter</t>
        </is>
      </c>
      <c r="E299" s="32" t="inlineStr">
        <is>
          <t>Men's haircut</t>
        </is>
      </c>
      <c r="F299" s="33" t="inlineStr">
        <is>
          <t>Done</t>
        </is>
      </c>
      <c r="G299" s="27">
        <f>IF(E299="","",MAX(0,IFERROR(INDEX(Services!$C$6:$C$35,MATCH(E299,Services!$B$6:$B$35,0)),0)-N(H299)))</f>
        <v/>
      </c>
      <c r="H299" s="34" t="n"/>
      <c r="I299" s="34" t="n">
        <v>30</v>
      </c>
      <c r="J299" s="33" t="inlineStr">
        <is>
          <t>Card</t>
        </is>
      </c>
      <c r="K299" s="28">
        <f>IF(OR(B299="",F299&lt;&gt;"Done",J299="Package"),"",IF(N(G299)-N(I299)&gt;0,N(G299)-N(I299),""))</f>
        <v/>
      </c>
      <c r="L299" s="32" t="n"/>
      <c r="M299" s="1">
        <f>IF(OR(B299="",D299="",F299="Cancelled"),"",B299+N(C299)+ROW()/10000000)</f>
        <v/>
      </c>
      <c r="N299">
        <f>IF(AND(F299="Done",M299&lt;&gt;""),IF(COUNTIFS(Appointments!$D$6:$D$2005,D299,Appointments!$F$6:$F$2005,"Done",Appointments!$M$6:$M$2005,"&gt;"&amp;M299)=0,1,0),0)</f>
        <v/>
      </c>
      <c r="O299">
        <f>IF(AND(F299="Booked",M299&lt;&gt;"",N(B299)&gt;=TODAY()),IF(COUNTIFS(Appointments!$D$6:$D$2005,D299,Appointments!$F$6:$F$2005,"Booked",Appointments!$B$6:$B$2005,"&gt;="&amp;TODAY(),Appointments!$M$6:$M$2005,"&lt;"&amp;M299)=0,1,0),0)</f>
        <v/>
      </c>
    </row>
    <row r="300">
      <c r="A300" s="1" t="n"/>
      <c r="B300" s="30" t="n">
        <v>46098</v>
      </c>
      <c r="C300" s="31" t="n">
        <v>0.4930555555555556</v>
      </c>
      <c r="D300" s="32" t="inlineStr">
        <is>
          <t>Hannah Ellis</t>
        </is>
      </c>
      <c r="E300" s="32" t="inlineStr">
        <is>
          <t>Women's haircut</t>
        </is>
      </c>
      <c r="F300" s="33" t="inlineStr">
        <is>
          <t>Done</t>
        </is>
      </c>
      <c r="G300" s="27">
        <f>IF(E300="","",MAX(0,IFERROR(INDEX(Services!$C$6:$C$35,MATCH(E300,Services!$B$6:$B$35,0)),0)-N(H300)))</f>
        <v/>
      </c>
      <c r="H300" s="34" t="n"/>
      <c r="I300" s="34" t="n">
        <v>55</v>
      </c>
      <c r="J300" s="33" t="inlineStr">
        <is>
          <t>Transfer</t>
        </is>
      </c>
      <c r="K300" s="28">
        <f>IF(OR(B300="",F300&lt;&gt;"Done",J300="Package"),"",IF(N(G300)-N(I300)&gt;0,N(G300)-N(I300),""))</f>
        <v/>
      </c>
      <c r="L300" s="32" t="n"/>
      <c r="M300" s="1">
        <f>IF(OR(B300="",D300="",F300="Cancelled"),"",B300+N(C300)+ROW()/10000000)</f>
        <v/>
      </c>
      <c r="N300">
        <f>IF(AND(F300="Done",M300&lt;&gt;""),IF(COUNTIFS(Appointments!$D$6:$D$2005,D300,Appointments!$F$6:$F$2005,"Done",Appointments!$M$6:$M$2005,"&gt;"&amp;M300)=0,1,0),0)</f>
        <v/>
      </c>
      <c r="O300">
        <f>IF(AND(F300="Booked",M300&lt;&gt;"",N(B300)&gt;=TODAY()),IF(COUNTIFS(Appointments!$D$6:$D$2005,D300,Appointments!$F$6:$F$2005,"Booked",Appointments!$B$6:$B$2005,"&gt;="&amp;TODAY(),Appointments!$M$6:$M$2005,"&lt;"&amp;M300)=0,1,0),0)</f>
        <v/>
      </c>
    </row>
    <row r="301">
      <c r="A301" s="1" t="n"/>
      <c r="B301" s="30" t="n">
        <v>46098</v>
      </c>
      <c r="C301" s="31" t="n">
        <v>0.5416666666666666</v>
      </c>
      <c r="D301" s="32" t="inlineStr">
        <is>
          <t>Harry Ellis</t>
        </is>
      </c>
      <c r="E301" s="32" t="inlineStr">
        <is>
          <t>Men's haircut</t>
        </is>
      </c>
      <c r="F301" s="33" t="inlineStr">
        <is>
          <t>Done</t>
        </is>
      </c>
      <c r="G301" s="27">
        <f>IF(E301="","",MAX(0,IFERROR(INDEX(Services!$C$6:$C$35,MATCH(E301,Services!$B$6:$B$35,0)),0)-N(H301)))</f>
        <v/>
      </c>
      <c r="H301" s="34" t="n"/>
      <c r="I301" s="34" t="n">
        <v>30</v>
      </c>
      <c r="J301" s="33" t="inlineStr">
        <is>
          <t>Card</t>
        </is>
      </c>
      <c r="K301" s="28">
        <f>IF(OR(B301="",F301&lt;&gt;"Done",J301="Package"),"",IF(N(G301)-N(I301)&gt;0,N(G301)-N(I301),""))</f>
        <v/>
      </c>
      <c r="L301" s="32" t="n"/>
      <c r="M301" s="1">
        <f>IF(OR(B301="",D301="",F301="Cancelled"),"",B301+N(C301)+ROW()/10000000)</f>
        <v/>
      </c>
      <c r="N301">
        <f>IF(AND(F301="Done",M301&lt;&gt;""),IF(COUNTIFS(Appointments!$D$6:$D$2005,D301,Appointments!$F$6:$F$2005,"Done",Appointments!$M$6:$M$2005,"&gt;"&amp;M301)=0,1,0),0)</f>
        <v/>
      </c>
      <c r="O301">
        <f>IF(AND(F301="Booked",M301&lt;&gt;"",N(B301)&gt;=TODAY()),IF(COUNTIFS(Appointments!$D$6:$D$2005,D301,Appointments!$F$6:$F$2005,"Booked",Appointments!$B$6:$B$2005,"&gt;="&amp;TODAY(),Appointments!$M$6:$M$2005,"&lt;"&amp;M301)=0,1,0),0)</f>
        <v/>
      </c>
    </row>
    <row r="302">
      <c r="A302" s="1" t="n"/>
      <c r="B302" s="30" t="n">
        <v>46098</v>
      </c>
      <c r="C302" s="31" t="n">
        <v>0.5694444444444444</v>
      </c>
      <c r="D302" s="32" t="inlineStr">
        <is>
          <t>Luke Hall</t>
        </is>
      </c>
      <c r="E302" s="32" t="inlineStr">
        <is>
          <t>Men's haircut</t>
        </is>
      </c>
      <c r="F302" s="33" t="inlineStr">
        <is>
          <t>Done</t>
        </is>
      </c>
      <c r="G302" s="27">
        <f>IF(E302="","",MAX(0,IFERROR(INDEX(Services!$C$6:$C$35,MATCH(E302,Services!$B$6:$B$35,0)),0)-N(H302)))</f>
        <v/>
      </c>
      <c r="H302" s="34" t="n"/>
      <c r="I302" s="34" t="n">
        <v>30</v>
      </c>
      <c r="J302" s="33" t="inlineStr">
        <is>
          <t>Cash</t>
        </is>
      </c>
      <c r="K302" s="28">
        <f>IF(OR(B302="",F302&lt;&gt;"Done",J302="Package"),"",IF(N(G302)-N(I302)&gt;0,N(G302)-N(I302),""))</f>
        <v/>
      </c>
      <c r="L302" s="32" t="n"/>
      <c r="M302" s="1">
        <f>IF(OR(B302="",D302="",F302="Cancelled"),"",B302+N(C302)+ROW()/10000000)</f>
        <v/>
      </c>
      <c r="N302">
        <f>IF(AND(F302="Done",M302&lt;&gt;""),IF(COUNTIFS(Appointments!$D$6:$D$2005,D302,Appointments!$F$6:$F$2005,"Done",Appointments!$M$6:$M$2005,"&gt;"&amp;M302)=0,1,0),0)</f>
        <v/>
      </c>
      <c r="O302">
        <f>IF(AND(F302="Booked",M302&lt;&gt;"",N(B302)&gt;=TODAY()),IF(COUNTIFS(Appointments!$D$6:$D$2005,D302,Appointments!$F$6:$F$2005,"Booked",Appointments!$B$6:$B$2005,"&gt;="&amp;TODAY(),Appointments!$M$6:$M$2005,"&lt;"&amp;M302)=0,1,0),0)</f>
        <v/>
      </c>
    </row>
    <row r="303">
      <c r="A303" s="1" t="n"/>
      <c r="B303" s="30" t="n">
        <v>46098</v>
      </c>
      <c r="C303" s="31" t="n">
        <v>0.5972222222222222</v>
      </c>
      <c r="D303" s="32" t="inlineStr">
        <is>
          <t>Noah Taylor</t>
        </is>
      </c>
      <c r="E303" s="32" t="inlineStr">
        <is>
          <t>Kids haircut</t>
        </is>
      </c>
      <c r="F303" s="33" t="inlineStr">
        <is>
          <t>Done</t>
        </is>
      </c>
      <c r="G303" s="27">
        <f>IF(E303="","",MAX(0,IFERROR(INDEX(Services!$C$6:$C$35,MATCH(E303,Services!$B$6:$B$35,0)),0)-N(H303)))</f>
        <v/>
      </c>
      <c r="H303" s="34" t="n"/>
      <c r="I303" s="34" t="n">
        <v>20</v>
      </c>
      <c r="J303" s="33" t="inlineStr">
        <is>
          <t>Card</t>
        </is>
      </c>
      <c r="K303" s="28">
        <f>IF(OR(B303="",F303&lt;&gt;"Done",J303="Package"),"",IF(N(G303)-N(I303)&gt;0,N(G303)-N(I303),""))</f>
        <v/>
      </c>
      <c r="L303" s="32" t="n"/>
      <c r="M303" s="1">
        <f>IF(OR(B303="",D303="",F303="Cancelled"),"",B303+N(C303)+ROW()/10000000)</f>
        <v/>
      </c>
      <c r="N303">
        <f>IF(AND(F303="Done",M303&lt;&gt;""),IF(COUNTIFS(Appointments!$D$6:$D$2005,D303,Appointments!$F$6:$F$2005,"Done",Appointments!$M$6:$M$2005,"&gt;"&amp;M303)=0,1,0),0)</f>
        <v/>
      </c>
      <c r="O303">
        <f>IF(AND(F303="Booked",M303&lt;&gt;"",N(B303)&gt;=TODAY()),IF(COUNTIFS(Appointments!$D$6:$D$2005,D303,Appointments!$F$6:$F$2005,"Booked",Appointments!$B$6:$B$2005,"&gt;="&amp;TODAY(),Appointments!$M$6:$M$2005,"&lt;"&amp;M303)=0,1,0),0)</f>
        <v/>
      </c>
    </row>
    <row r="304">
      <c r="A304" s="1" t="n"/>
      <c r="B304" s="30" t="n">
        <v>46098</v>
      </c>
      <c r="C304" s="31" t="n">
        <v>0.625</v>
      </c>
      <c r="D304" s="32" t="inlineStr">
        <is>
          <t>Noah Taylor</t>
        </is>
      </c>
      <c r="E304" s="32" t="inlineStr">
        <is>
          <t>Kids haircut</t>
        </is>
      </c>
      <c r="F304" s="33" t="inlineStr">
        <is>
          <t>Done</t>
        </is>
      </c>
      <c r="G304" s="27">
        <f>IF(E304="","",MAX(0,IFERROR(INDEX(Services!$C$6:$C$35,MATCH(E304,Services!$B$6:$B$35,0)),0)-N(H304)))</f>
        <v/>
      </c>
      <c r="H304" s="34" t="n"/>
      <c r="I304" s="34" t="n">
        <v>20</v>
      </c>
      <c r="J304" s="33" t="inlineStr">
        <is>
          <t>App</t>
        </is>
      </c>
      <c r="K304" s="28">
        <f>IF(OR(B304="",F304&lt;&gt;"Done",J304="Package"),"",IF(N(G304)-N(I304)&gt;0,N(G304)-N(I304),""))</f>
        <v/>
      </c>
      <c r="L304" s="32" t="n"/>
      <c r="M304" s="1">
        <f>IF(OR(B304="",D304="",F304="Cancelled"),"",B304+N(C304)+ROW()/10000000)</f>
        <v/>
      </c>
      <c r="N304">
        <f>IF(AND(F304="Done",M304&lt;&gt;""),IF(COUNTIFS(Appointments!$D$6:$D$2005,D304,Appointments!$F$6:$F$2005,"Done",Appointments!$M$6:$M$2005,"&gt;"&amp;M304)=0,1,0),0)</f>
        <v/>
      </c>
      <c r="O304">
        <f>IF(AND(F304="Booked",M304&lt;&gt;"",N(B304)&gt;=TODAY()),IF(COUNTIFS(Appointments!$D$6:$D$2005,D304,Appointments!$F$6:$F$2005,"Booked",Appointments!$B$6:$B$2005,"&gt;="&amp;TODAY(),Appointments!$M$6:$M$2005,"&lt;"&amp;M304)=0,1,0),0)</f>
        <v/>
      </c>
    </row>
    <row r="305">
      <c r="A305" s="1" t="n"/>
      <c r="B305" s="30" t="n">
        <v>46098</v>
      </c>
      <c r="C305" s="31" t="n">
        <v>0.6527777777777778</v>
      </c>
      <c r="D305" s="32" t="inlineStr">
        <is>
          <t>Quinn Harris</t>
        </is>
      </c>
      <c r="E305" s="32" t="inlineStr">
        <is>
          <t>Highlights</t>
        </is>
      </c>
      <c r="F305" s="33" t="inlineStr">
        <is>
          <t>Done</t>
        </is>
      </c>
      <c r="G305" s="27">
        <f>IF(E305="","",MAX(0,IFERROR(INDEX(Services!$C$6:$C$35,MATCH(E305,Services!$B$6:$B$35,0)),0)-N(H305)))</f>
        <v/>
      </c>
      <c r="H305" s="34" t="n"/>
      <c r="I305" s="34" t="n">
        <v>140</v>
      </c>
      <c r="J305" s="33" t="inlineStr">
        <is>
          <t>Cash</t>
        </is>
      </c>
      <c r="K305" s="28">
        <f>IF(OR(B305="",F305&lt;&gt;"Done",J305="Package"),"",IF(N(G305)-N(I305)&gt;0,N(G305)-N(I305),""))</f>
        <v/>
      </c>
      <c r="L305" s="32" t="n"/>
      <c r="M305" s="1">
        <f>IF(OR(B305="",D305="",F305="Cancelled"),"",B305+N(C305)+ROW()/10000000)</f>
        <v/>
      </c>
      <c r="N305">
        <f>IF(AND(F305="Done",M305&lt;&gt;""),IF(COUNTIFS(Appointments!$D$6:$D$2005,D305,Appointments!$F$6:$F$2005,"Done",Appointments!$M$6:$M$2005,"&gt;"&amp;M305)=0,1,0),0)</f>
        <v/>
      </c>
      <c r="O305">
        <f>IF(AND(F305="Booked",M305&lt;&gt;"",N(B305)&gt;=TODAY()),IF(COUNTIFS(Appointments!$D$6:$D$2005,D305,Appointments!$F$6:$F$2005,"Booked",Appointments!$B$6:$B$2005,"&gt;="&amp;TODAY(),Appointments!$M$6:$M$2005,"&lt;"&amp;M305)=0,1,0),0)</f>
        <v/>
      </c>
    </row>
    <row r="306">
      <c r="A306" s="1" t="n"/>
      <c r="B306" s="30" t="n">
        <v>46099</v>
      </c>
      <c r="C306" s="31" t="n">
        <v>0.375</v>
      </c>
      <c r="D306" s="32" t="inlineStr">
        <is>
          <t>Daniel Kim</t>
        </is>
      </c>
      <c r="E306" s="32" t="inlineStr">
        <is>
          <t>Men's haircut</t>
        </is>
      </c>
      <c r="F306" s="33" t="inlineStr">
        <is>
          <t>Done</t>
        </is>
      </c>
      <c r="G306" s="27">
        <f>IF(E306="","",MAX(0,IFERROR(INDEX(Services!$C$6:$C$35,MATCH(E306,Services!$B$6:$B$35,0)),0)-N(H306)))</f>
        <v/>
      </c>
      <c r="H306" s="34" t="n"/>
      <c r="I306" s="34" t="n">
        <v>30</v>
      </c>
      <c r="J306" s="33" t="inlineStr">
        <is>
          <t>Card</t>
        </is>
      </c>
      <c r="K306" s="28">
        <f>IF(OR(B306="",F306&lt;&gt;"Done",J306="Package"),"",IF(N(G306)-N(I306)&gt;0,N(G306)-N(I306),""))</f>
        <v/>
      </c>
      <c r="L306" s="32" t="n"/>
      <c r="M306" s="1">
        <f>IF(OR(B306="",D306="",F306="Cancelled"),"",B306+N(C306)+ROW()/10000000)</f>
        <v/>
      </c>
      <c r="N306">
        <f>IF(AND(F306="Done",M306&lt;&gt;""),IF(COUNTIFS(Appointments!$D$6:$D$2005,D306,Appointments!$F$6:$F$2005,"Done",Appointments!$M$6:$M$2005,"&gt;"&amp;M306)=0,1,0),0)</f>
        <v/>
      </c>
      <c r="O306">
        <f>IF(AND(F306="Booked",M306&lt;&gt;"",N(B306)&gt;=TODAY()),IF(COUNTIFS(Appointments!$D$6:$D$2005,D306,Appointments!$F$6:$F$2005,"Booked",Appointments!$B$6:$B$2005,"&gt;="&amp;TODAY(),Appointments!$M$6:$M$2005,"&lt;"&amp;M306)=0,1,0),0)</f>
        <v/>
      </c>
    </row>
    <row r="307">
      <c r="A307" s="1" t="n"/>
      <c r="B307" s="30" t="n">
        <v>46099</v>
      </c>
      <c r="C307" s="31" t="n">
        <v>0.4027777777777778</v>
      </c>
      <c r="D307" s="32" t="inlineStr">
        <is>
          <t>Dina Baker</t>
        </is>
      </c>
      <c r="E307" s="32" t="inlineStr">
        <is>
          <t>Women's haircut</t>
        </is>
      </c>
      <c r="F307" s="33" t="inlineStr">
        <is>
          <t>No-show</t>
        </is>
      </c>
      <c r="G307" s="27">
        <f>IF(E307="","",MAX(0,IFERROR(INDEX(Services!$C$6:$C$35,MATCH(E307,Services!$B$6:$B$35,0)),0)-N(H307)))</f>
        <v/>
      </c>
      <c r="H307" s="34" t="n"/>
      <c r="I307" s="34" t="n"/>
      <c r="J307" s="33" t="n"/>
      <c r="K307" s="28">
        <f>IF(OR(B307="",F307&lt;&gt;"Done",J307="Package"),"",IF(N(G307)-N(I307)&gt;0,N(G307)-N(I307),""))</f>
        <v/>
      </c>
      <c r="L307" s="32" t="n"/>
      <c r="M307" s="1">
        <f>IF(OR(B307="",D307="",F307="Cancelled"),"",B307+N(C307)+ROW()/10000000)</f>
        <v/>
      </c>
      <c r="N307">
        <f>IF(AND(F307="Done",M307&lt;&gt;""),IF(COUNTIFS(Appointments!$D$6:$D$2005,D307,Appointments!$F$6:$F$2005,"Done",Appointments!$M$6:$M$2005,"&gt;"&amp;M307)=0,1,0),0)</f>
        <v/>
      </c>
      <c r="O307">
        <f>IF(AND(F307="Booked",M307&lt;&gt;"",N(B307)&gt;=TODAY()),IF(COUNTIFS(Appointments!$D$6:$D$2005,D307,Appointments!$F$6:$F$2005,"Booked",Appointments!$B$6:$B$2005,"&gt;="&amp;TODAY(),Appointments!$M$6:$M$2005,"&lt;"&amp;M307)=0,1,0),0)</f>
        <v/>
      </c>
    </row>
    <row r="308">
      <c r="A308" s="1" t="n"/>
      <c r="B308" s="30" t="n">
        <v>46099</v>
      </c>
      <c r="C308" s="31" t="n">
        <v>0.4513888888888889</v>
      </c>
      <c r="D308" s="32" t="inlineStr">
        <is>
          <t>Eli Hughes</t>
        </is>
      </c>
      <c r="E308" s="32" t="inlineStr">
        <is>
          <t>Men's haircut</t>
        </is>
      </c>
      <c r="F308" s="33" t="inlineStr">
        <is>
          <t>Done</t>
        </is>
      </c>
      <c r="G308" s="27">
        <f>IF(E308="","",MAX(0,IFERROR(INDEX(Services!$C$6:$C$35,MATCH(E308,Services!$B$6:$B$35,0)),0)-N(H308)))</f>
        <v/>
      </c>
      <c r="H308" s="34" t="n"/>
      <c r="I308" s="34" t="n">
        <v>30</v>
      </c>
      <c r="J308" s="33" t="inlineStr">
        <is>
          <t>App</t>
        </is>
      </c>
      <c r="K308" s="28">
        <f>IF(OR(B308="",F308&lt;&gt;"Done",J308="Package"),"",IF(N(G308)-N(I308)&gt;0,N(G308)-N(I308),""))</f>
        <v/>
      </c>
      <c r="L308" s="32" t="n"/>
      <c r="M308" s="1">
        <f>IF(OR(B308="",D308="",F308="Cancelled"),"",B308+N(C308)+ROW()/10000000)</f>
        <v/>
      </c>
      <c r="N308">
        <f>IF(AND(F308="Done",M308&lt;&gt;""),IF(COUNTIFS(Appointments!$D$6:$D$2005,D308,Appointments!$F$6:$F$2005,"Done",Appointments!$M$6:$M$2005,"&gt;"&amp;M308)=0,1,0),0)</f>
        <v/>
      </c>
      <c r="O308">
        <f>IF(AND(F308="Booked",M308&lt;&gt;"",N(B308)&gt;=TODAY()),IF(COUNTIFS(Appointments!$D$6:$D$2005,D308,Appointments!$F$6:$F$2005,"Booked",Appointments!$B$6:$B$2005,"&gt;="&amp;TODAY(),Appointments!$M$6:$M$2005,"&lt;"&amp;M308)=0,1,0),0)</f>
        <v/>
      </c>
    </row>
    <row r="309">
      <c r="A309" s="1" t="n"/>
      <c r="B309" s="30" t="n">
        <v>46099</v>
      </c>
      <c r="C309" s="31" t="n">
        <v>0.4791666666666667</v>
      </c>
      <c r="D309" s="32" t="inlineStr">
        <is>
          <t>Finn Price</t>
        </is>
      </c>
      <c r="E309" s="32" t="inlineStr">
        <is>
          <t>Men's haircut</t>
        </is>
      </c>
      <c r="F309" s="33" t="inlineStr">
        <is>
          <t>Done</t>
        </is>
      </c>
      <c r="G309" s="27">
        <f>IF(E309="","",MAX(0,IFERROR(INDEX(Services!$C$6:$C$35,MATCH(E309,Services!$B$6:$B$35,0)),0)-N(H309)))</f>
        <v/>
      </c>
      <c r="H309" s="34" t="n"/>
      <c r="I309" s="34" t="n">
        <v>30</v>
      </c>
      <c r="J309" s="33" t="inlineStr">
        <is>
          <t>Card</t>
        </is>
      </c>
      <c r="K309" s="28">
        <f>IF(OR(B309="",F309&lt;&gt;"Done",J309="Package"),"",IF(N(G309)-N(I309)&gt;0,N(G309)-N(I309),""))</f>
        <v/>
      </c>
      <c r="L309" s="32" t="n"/>
      <c r="M309" s="1">
        <f>IF(OR(B309="",D309="",F309="Cancelled"),"",B309+N(C309)+ROW()/10000000)</f>
        <v/>
      </c>
      <c r="N309">
        <f>IF(AND(F309="Done",M309&lt;&gt;""),IF(COUNTIFS(Appointments!$D$6:$D$2005,D309,Appointments!$F$6:$F$2005,"Done",Appointments!$M$6:$M$2005,"&gt;"&amp;M309)=0,1,0),0)</f>
        <v/>
      </c>
      <c r="O309">
        <f>IF(AND(F309="Booked",M309&lt;&gt;"",N(B309)&gt;=TODAY()),IF(COUNTIFS(Appointments!$D$6:$D$2005,D309,Appointments!$F$6:$F$2005,"Booked",Appointments!$B$6:$B$2005,"&gt;="&amp;TODAY(),Appointments!$M$6:$M$2005,"&lt;"&amp;M309)=0,1,0),0)</f>
        <v/>
      </c>
    </row>
    <row r="310">
      <c r="A310" s="1" t="n"/>
      <c r="B310" s="30" t="n">
        <v>46099</v>
      </c>
      <c r="C310" s="31" t="n">
        <v>0.5069444444444444</v>
      </c>
      <c r="D310" s="32" t="inlineStr">
        <is>
          <t>Holly Gray</t>
        </is>
      </c>
      <c r="E310" s="32" t="inlineStr">
        <is>
          <t>Treatment</t>
        </is>
      </c>
      <c r="F310" s="33" t="inlineStr">
        <is>
          <t>Done</t>
        </is>
      </c>
      <c r="G310" s="27">
        <f>IF(E310="","",MAX(0,IFERROR(INDEX(Services!$C$6:$C$35,MATCH(E310,Services!$B$6:$B$35,0)),0)-N(H310)))</f>
        <v/>
      </c>
      <c r="H310" s="34" t="n"/>
      <c r="I310" s="34" t="n">
        <v>30</v>
      </c>
      <c r="J310" s="33" t="inlineStr">
        <is>
          <t>Transfer</t>
        </is>
      </c>
      <c r="K310" s="28">
        <f>IF(OR(B310="",F310&lt;&gt;"Done",J310="Package"),"",IF(N(G310)-N(I310)&gt;0,N(G310)-N(I310),""))</f>
        <v/>
      </c>
      <c r="L310" s="32" t="n"/>
      <c r="M310" s="1">
        <f>IF(OR(B310="",D310="",F310="Cancelled"),"",B310+N(C310)+ROW()/10000000)</f>
        <v/>
      </c>
      <c r="N310">
        <f>IF(AND(F310="Done",M310&lt;&gt;""),IF(COUNTIFS(Appointments!$D$6:$D$2005,D310,Appointments!$F$6:$F$2005,"Done",Appointments!$M$6:$M$2005,"&gt;"&amp;M310)=0,1,0),0)</f>
        <v/>
      </c>
      <c r="O310">
        <f>IF(AND(F310="Booked",M310&lt;&gt;"",N(B310)&gt;=TODAY()),IF(COUNTIFS(Appointments!$D$6:$D$2005,D310,Appointments!$F$6:$F$2005,"Booked",Appointments!$B$6:$B$2005,"&gt;="&amp;TODAY(),Appointments!$M$6:$M$2005,"&lt;"&amp;M310)=0,1,0),0)</f>
        <v/>
      </c>
    </row>
    <row r="311">
      <c r="A311" s="1" t="n"/>
      <c r="B311" s="30" t="n">
        <v>46099</v>
      </c>
      <c r="C311" s="31" t="n">
        <v>0.5347222222222222</v>
      </c>
      <c r="D311" s="32" t="inlineStr">
        <is>
          <t>Hugo Silva</t>
        </is>
      </c>
      <c r="E311" s="32" t="inlineStr">
        <is>
          <t>Men's haircut</t>
        </is>
      </c>
      <c r="F311" s="33" t="inlineStr">
        <is>
          <t>Done</t>
        </is>
      </c>
      <c r="G311" s="27">
        <f>IF(E311="","",MAX(0,IFERROR(INDEX(Services!$C$6:$C$35,MATCH(E311,Services!$B$6:$B$35,0)),0)-N(H311)))</f>
        <v/>
      </c>
      <c r="H311" s="34" t="n"/>
      <c r="I311" s="34" t="n">
        <v>30</v>
      </c>
      <c r="J311" s="33" t="inlineStr">
        <is>
          <t>Card</t>
        </is>
      </c>
      <c r="K311" s="28">
        <f>IF(OR(B311="",F311&lt;&gt;"Done",J311="Package"),"",IF(N(G311)-N(I311)&gt;0,N(G311)-N(I311),""))</f>
        <v/>
      </c>
      <c r="L311" s="32" t="n"/>
      <c r="M311" s="1">
        <f>IF(OR(B311="",D311="",F311="Cancelled"),"",B311+N(C311)+ROW()/10000000)</f>
        <v/>
      </c>
      <c r="N311">
        <f>IF(AND(F311="Done",M311&lt;&gt;""),IF(COUNTIFS(Appointments!$D$6:$D$2005,D311,Appointments!$F$6:$F$2005,"Done",Appointments!$M$6:$M$2005,"&gt;"&amp;M311)=0,1,0),0)</f>
        <v/>
      </c>
      <c r="O311">
        <f>IF(AND(F311="Booked",M311&lt;&gt;"",N(B311)&gt;=TODAY()),IF(COUNTIFS(Appointments!$D$6:$D$2005,D311,Appointments!$F$6:$F$2005,"Booked",Appointments!$B$6:$B$2005,"&gt;="&amp;TODAY(),Appointments!$M$6:$M$2005,"&lt;"&amp;M311)=0,1,0),0)</f>
        <v/>
      </c>
    </row>
    <row r="312">
      <c r="A312" s="1" t="n"/>
      <c r="B312" s="30" t="n">
        <v>46099</v>
      </c>
      <c r="C312" s="31" t="n">
        <v>0.5625</v>
      </c>
      <c r="D312" s="32" t="inlineStr">
        <is>
          <t>Owen Morgan</t>
        </is>
      </c>
      <c r="E312" s="32" t="inlineStr">
        <is>
          <t>Men's haircut</t>
        </is>
      </c>
      <c r="F312" s="33" t="inlineStr">
        <is>
          <t>Done</t>
        </is>
      </c>
      <c r="G312" s="27">
        <f>IF(E312="","",MAX(0,IFERROR(INDEX(Services!$C$6:$C$35,MATCH(E312,Services!$B$6:$B$35,0)),0)-N(H312)))</f>
        <v/>
      </c>
      <c r="H312" s="34" t="n"/>
      <c r="I312" s="34" t="n">
        <v>30</v>
      </c>
      <c r="J312" s="33" t="inlineStr">
        <is>
          <t>Card</t>
        </is>
      </c>
      <c r="K312" s="28">
        <f>IF(OR(B312="",F312&lt;&gt;"Done",J312="Package"),"",IF(N(G312)-N(I312)&gt;0,N(G312)-N(I312),""))</f>
        <v/>
      </c>
      <c r="L312" s="32" t="n"/>
      <c r="M312" s="1">
        <f>IF(OR(B312="",D312="",F312="Cancelled"),"",B312+N(C312)+ROW()/10000000)</f>
        <v/>
      </c>
      <c r="N312">
        <f>IF(AND(F312="Done",M312&lt;&gt;""),IF(COUNTIFS(Appointments!$D$6:$D$2005,D312,Appointments!$F$6:$F$2005,"Done",Appointments!$M$6:$M$2005,"&gt;"&amp;M312)=0,1,0),0)</f>
        <v/>
      </c>
      <c r="O312">
        <f>IF(AND(F312="Booked",M312&lt;&gt;"",N(B312)&gt;=TODAY()),IF(COUNTIFS(Appointments!$D$6:$D$2005,D312,Appointments!$F$6:$F$2005,"Booked",Appointments!$B$6:$B$2005,"&gt;="&amp;TODAY(),Appointments!$M$6:$M$2005,"&lt;"&amp;M312)=0,1,0),0)</f>
        <v/>
      </c>
    </row>
    <row r="313">
      <c r="A313" s="1" t="n"/>
      <c r="B313" s="30" t="n">
        <v>46100</v>
      </c>
      <c r="C313" s="31" t="n">
        <v>0.375</v>
      </c>
      <c r="D313" s="32" t="inlineStr">
        <is>
          <t>Harry Cox</t>
        </is>
      </c>
      <c r="E313" s="32" t="inlineStr">
        <is>
          <t>Men's haircut</t>
        </is>
      </c>
      <c r="F313" s="33" t="inlineStr">
        <is>
          <t>Done</t>
        </is>
      </c>
      <c r="G313" s="27">
        <f>IF(E313="","",MAX(0,IFERROR(INDEX(Services!$C$6:$C$35,MATCH(E313,Services!$B$6:$B$35,0)),0)-N(H313)))</f>
        <v/>
      </c>
      <c r="H313" s="34" t="n"/>
      <c r="I313" s="34" t="n">
        <v>30</v>
      </c>
      <c r="J313" s="33" t="inlineStr">
        <is>
          <t>Card</t>
        </is>
      </c>
      <c r="K313" s="28">
        <f>IF(OR(B313="",F313&lt;&gt;"Done",J313="Package"),"",IF(N(G313)-N(I313)&gt;0,N(G313)-N(I313),""))</f>
        <v/>
      </c>
      <c r="L313" s="32" t="n"/>
      <c r="M313" s="1">
        <f>IF(OR(B313="",D313="",F313="Cancelled"),"",B313+N(C313)+ROW()/10000000)</f>
        <v/>
      </c>
      <c r="N313">
        <f>IF(AND(F313="Done",M313&lt;&gt;""),IF(COUNTIFS(Appointments!$D$6:$D$2005,D313,Appointments!$F$6:$F$2005,"Done",Appointments!$M$6:$M$2005,"&gt;"&amp;M313)=0,1,0),0)</f>
        <v/>
      </c>
      <c r="O313">
        <f>IF(AND(F313="Booked",M313&lt;&gt;"",N(B313)&gt;=TODAY()),IF(COUNTIFS(Appointments!$D$6:$D$2005,D313,Appointments!$F$6:$F$2005,"Booked",Appointments!$B$6:$B$2005,"&gt;="&amp;TODAY(),Appointments!$M$6:$M$2005,"&lt;"&amp;M313)=0,1,0),0)</f>
        <v/>
      </c>
    </row>
    <row r="314">
      <c r="A314" s="1" t="n"/>
      <c r="B314" s="30" t="n">
        <v>46100</v>
      </c>
      <c r="C314" s="31" t="n">
        <v>0.4027777777777778</v>
      </c>
      <c r="D314" s="32" t="inlineStr">
        <is>
          <t>Jon Gray</t>
        </is>
      </c>
      <c r="E314" s="32" t="inlineStr">
        <is>
          <t>Men's haircut</t>
        </is>
      </c>
      <c r="F314" s="33" t="inlineStr">
        <is>
          <t>Done</t>
        </is>
      </c>
      <c r="G314" s="27">
        <f>IF(E314="","",MAX(0,IFERROR(INDEX(Services!$C$6:$C$35,MATCH(E314,Services!$B$6:$B$35,0)),0)-N(H314)))</f>
        <v/>
      </c>
      <c r="H314" s="34" t="n"/>
      <c r="I314" s="34" t="n">
        <v>30</v>
      </c>
      <c r="J314" s="33" t="inlineStr">
        <is>
          <t>Card</t>
        </is>
      </c>
      <c r="K314" s="28">
        <f>IF(OR(B314="",F314&lt;&gt;"Done",J314="Package"),"",IF(N(G314)-N(I314)&gt;0,N(G314)-N(I314),""))</f>
        <v/>
      </c>
      <c r="L314" s="32" t="n"/>
      <c r="M314" s="1">
        <f>IF(OR(B314="",D314="",F314="Cancelled"),"",B314+N(C314)+ROW()/10000000)</f>
        <v/>
      </c>
      <c r="N314">
        <f>IF(AND(F314="Done",M314&lt;&gt;""),IF(COUNTIFS(Appointments!$D$6:$D$2005,D314,Appointments!$F$6:$F$2005,"Done",Appointments!$M$6:$M$2005,"&gt;"&amp;M314)=0,1,0),0)</f>
        <v/>
      </c>
      <c r="O314">
        <f>IF(AND(F314="Booked",M314&lt;&gt;"",N(B314)&gt;=TODAY()),IF(COUNTIFS(Appointments!$D$6:$D$2005,D314,Appointments!$F$6:$F$2005,"Booked",Appointments!$B$6:$B$2005,"&gt;="&amp;TODAY(),Appointments!$M$6:$M$2005,"&lt;"&amp;M314)=0,1,0),0)</f>
        <v/>
      </c>
    </row>
    <row r="315">
      <c r="A315" s="1" t="n"/>
      <c r="B315" s="30" t="n">
        <v>46100</v>
      </c>
      <c r="C315" s="31" t="n">
        <v>0.4305555555555556</v>
      </c>
      <c r="D315" s="32" t="inlineStr">
        <is>
          <t>Luke Lewis</t>
        </is>
      </c>
      <c r="E315" s="32" t="inlineStr">
        <is>
          <t>Men's haircut</t>
        </is>
      </c>
      <c r="F315" s="33" t="inlineStr">
        <is>
          <t>Done</t>
        </is>
      </c>
      <c r="G315" s="27">
        <f>IF(E315="","",MAX(0,IFERROR(INDEX(Services!$C$6:$C$35,MATCH(E315,Services!$B$6:$B$35,0)),0)-N(H315)))</f>
        <v/>
      </c>
      <c r="H315" s="34" t="n"/>
      <c r="I315" s="34" t="n">
        <v>30</v>
      </c>
      <c r="J315" s="33" t="inlineStr">
        <is>
          <t>Card</t>
        </is>
      </c>
      <c r="K315" s="28">
        <f>IF(OR(B315="",F315&lt;&gt;"Done",J315="Package"),"",IF(N(G315)-N(I315)&gt;0,N(G315)-N(I315),""))</f>
        <v/>
      </c>
      <c r="L315" s="32" t="n"/>
      <c r="M315" s="1">
        <f>IF(OR(B315="",D315="",F315="Cancelled"),"",B315+N(C315)+ROW()/10000000)</f>
        <v/>
      </c>
      <c r="N315">
        <f>IF(AND(F315="Done",M315&lt;&gt;""),IF(COUNTIFS(Appointments!$D$6:$D$2005,D315,Appointments!$F$6:$F$2005,"Done",Appointments!$M$6:$M$2005,"&gt;"&amp;M315)=0,1,0),0)</f>
        <v/>
      </c>
      <c r="O315">
        <f>IF(AND(F315="Booked",M315&lt;&gt;"",N(B315)&gt;=TODAY()),IF(COUNTIFS(Appointments!$D$6:$D$2005,D315,Appointments!$F$6:$F$2005,"Booked",Appointments!$B$6:$B$2005,"&gt;="&amp;TODAY(),Appointments!$M$6:$M$2005,"&lt;"&amp;M315)=0,1,0),0)</f>
        <v/>
      </c>
    </row>
    <row r="316">
      <c r="A316" s="1" t="n"/>
      <c r="B316" s="30" t="n">
        <v>46100</v>
      </c>
      <c r="C316" s="31" t="n">
        <v>0.4583333333333333</v>
      </c>
      <c r="D316" s="32" t="inlineStr">
        <is>
          <t>Megan Lewis</t>
        </is>
      </c>
      <c r="E316" s="32" t="inlineStr">
        <is>
          <t>Treatment</t>
        </is>
      </c>
      <c r="F316" s="33" t="inlineStr">
        <is>
          <t>Done</t>
        </is>
      </c>
      <c r="G316" s="27">
        <f>IF(E316="","",MAX(0,IFERROR(INDEX(Services!$C$6:$C$35,MATCH(E316,Services!$B$6:$B$35,0)),0)-N(H316)))</f>
        <v/>
      </c>
      <c r="H316" s="34" t="n"/>
      <c r="I316" s="34" t="n">
        <v>30</v>
      </c>
      <c r="J316" s="33" t="inlineStr">
        <is>
          <t>Card</t>
        </is>
      </c>
      <c r="K316" s="28">
        <f>IF(OR(B316="",F316&lt;&gt;"Done",J316="Package"),"",IF(N(G316)-N(I316)&gt;0,N(G316)-N(I316),""))</f>
        <v/>
      </c>
      <c r="L316" s="32" t="n"/>
      <c r="M316" s="1">
        <f>IF(OR(B316="",D316="",F316="Cancelled"),"",B316+N(C316)+ROW()/10000000)</f>
        <v/>
      </c>
      <c r="N316">
        <f>IF(AND(F316="Done",M316&lt;&gt;""),IF(COUNTIFS(Appointments!$D$6:$D$2005,D316,Appointments!$F$6:$F$2005,"Done",Appointments!$M$6:$M$2005,"&gt;"&amp;M316)=0,1,0),0)</f>
        <v/>
      </c>
      <c r="O316">
        <f>IF(AND(F316="Booked",M316&lt;&gt;"",N(B316)&gt;=TODAY()),IF(COUNTIFS(Appointments!$D$6:$D$2005,D316,Appointments!$F$6:$F$2005,"Booked",Appointments!$B$6:$B$2005,"&gt;="&amp;TODAY(),Appointments!$M$6:$M$2005,"&lt;"&amp;M316)=0,1,0),0)</f>
        <v/>
      </c>
    </row>
    <row r="317">
      <c r="A317" s="1" t="n"/>
      <c r="B317" s="30" t="n">
        <v>46100</v>
      </c>
      <c r="C317" s="31" t="n">
        <v>0.4861111111111111</v>
      </c>
      <c r="D317" s="32" t="inlineStr">
        <is>
          <t>Nina Baker</t>
        </is>
      </c>
      <c r="E317" s="32" t="inlineStr">
        <is>
          <t>Women's haircut</t>
        </is>
      </c>
      <c r="F317" s="33" t="inlineStr">
        <is>
          <t>Done</t>
        </is>
      </c>
      <c r="G317" s="27">
        <f>IF(E317="","",MAX(0,IFERROR(INDEX(Services!$C$6:$C$35,MATCH(E317,Services!$B$6:$B$35,0)),0)-N(H317)))</f>
        <v/>
      </c>
      <c r="H317" s="34" t="n"/>
      <c r="I317" s="34" t="n">
        <v>55</v>
      </c>
      <c r="J317" s="33" t="inlineStr">
        <is>
          <t>Card</t>
        </is>
      </c>
      <c r="K317" s="28">
        <f>IF(OR(B317="",F317&lt;&gt;"Done",J317="Package"),"",IF(N(G317)-N(I317)&gt;0,N(G317)-N(I317),""))</f>
        <v/>
      </c>
      <c r="L317" s="32" t="n"/>
      <c r="M317" s="1">
        <f>IF(OR(B317="",D317="",F317="Cancelled"),"",B317+N(C317)+ROW()/10000000)</f>
        <v/>
      </c>
      <c r="N317">
        <f>IF(AND(F317="Done",M317&lt;&gt;""),IF(COUNTIFS(Appointments!$D$6:$D$2005,D317,Appointments!$F$6:$F$2005,"Done",Appointments!$M$6:$M$2005,"&gt;"&amp;M317)=0,1,0),0)</f>
        <v/>
      </c>
      <c r="O317">
        <f>IF(AND(F317="Booked",M317&lt;&gt;"",N(B317)&gt;=TODAY()),IF(COUNTIFS(Appointments!$D$6:$D$2005,D317,Appointments!$F$6:$F$2005,"Booked",Appointments!$B$6:$B$2005,"&gt;="&amp;TODAY(),Appointments!$M$6:$M$2005,"&lt;"&amp;M317)=0,1,0),0)</f>
        <v/>
      </c>
    </row>
    <row r="318">
      <c r="A318" s="1" t="n"/>
      <c r="B318" s="30" t="n">
        <v>46100</v>
      </c>
      <c r="C318" s="31" t="n">
        <v>0.5347222222222222</v>
      </c>
      <c r="D318" s="32" t="inlineStr">
        <is>
          <t>Paula Cook</t>
        </is>
      </c>
      <c r="E318" s="32" t="inlineStr">
        <is>
          <t>Blow dry</t>
        </is>
      </c>
      <c r="F318" s="33" t="inlineStr">
        <is>
          <t>Done</t>
        </is>
      </c>
      <c r="G318" s="27">
        <f>IF(E318="","",MAX(0,IFERROR(INDEX(Services!$C$6:$C$35,MATCH(E318,Services!$B$6:$B$35,0)),0)-N(H318)))</f>
        <v/>
      </c>
      <c r="H318" s="34" t="n"/>
      <c r="I318" s="34" t="n">
        <v>35</v>
      </c>
      <c r="J318" s="33" t="inlineStr">
        <is>
          <t>Card</t>
        </is>
      </c>
      <c r="K318" s="28">
        <f>IF(OR(B318="",F318&lt;&gt;"Done",J318="Package"),"",IF(N(G318)-N(I318)&gt;0,N(G318)-N(I318),""))</f>
        <v/>
      </c>
      <c r="L318" s="32" t="n"/>
      <c r="M318" s="1">
        <f>IF(OR(B318="",D318="",F318="Cancelled"),"",B318+N(C318)+ROW()/10000000)</f>
        <v/>
      </c>
      <c r="N318">
        <f>IF(AND(F318="Done",M318&lt;&gt;""),IF(COUNTIFS(Appointments!$D$6:$D$2005,D318,Appointments!$F$6:$F$2005,"Done",Appointments!$M$6:$M$2005,"&gt;"&amp;M318)=0,1,0),0)</f>
        <v/>
      </c>
      <c r="O318">
        <f>IF(AND(F318="Booked",M318&lt;&gt;"",N(B318)&gt;=TODAY()),IF(COUNTIFS(Appointments!$D$6:$D$2005,D318,Appointments!$F$6:$F$2005,"Booked",Appointments!$B$6:$B$2005,"&gt;="&amp;TODAY(),Appointments!$M$6:$M$2005,"&lt;"&amp;M318)=0,1,0),0)</f>
        <v/>
      </c>
    </row>
    <row r="319">
      <c r="A319" s="1" t="n"/>
      <c r="B319" s="30" t="n">
        <v>46100</v>
      </c>
      <c r="C319" s="31" t="n">
        <v>0.5729166666666666</v>
      </c>
      <c r="D319" s="32" t="inlineStr">
        <is>
          <t>Ryan Adams</t>
        </is>
      </c>
      <c r="E319" s="32" t="inlineStr">
        <is>
          <t>Men's haircut</t>
        </is>
      </c>
      <c r="F319" s="33" t="inlineStr">
        <is>
          <t>Done</t>
        </is>
      </c>
      <c r="G319" s="27">
        <f>IF(E319="","",MAX(0,IFERROR(INDEX(Services!$C$6:$C$35,MATCH(E319,Services!$B$6:$B$35,0)),0)-N(H319)))</f>
        <v/>
      </c>
      <c r="H319" s="34" t="n"/>
      <c r="I319" s="34" t="n">
        <v>30</v>
      </c>
      <c r="J319" s="33" t="inlineStr">
        <is>
          <t>Cash</t>
        </is>
      </c>
      <c r="K319" s="28">
        <f>IF(OR(B319="",F319&lt;&gt;"Done",J319="Package"),"",IF(N(G319)-N(I319)&gt;0,N(G319)-N(I319),""))</f>
        <v/>
      </c>
      <c r="L319" s="32" t="n"/>
      <c r="M319" s="1">
        <f>IF(OR(B319="",D319="",F319="Cancelled"),"",B319+N(C319)+ROW()/10000000)</f>
        <v/>
      </c>
      <c r="N319">
        <f>IF(AND(F319="Done",M319&lt;&gt;""),IF(COUNTIFS(Appointments!$D$6:$D$2005,D319,Appointments!$F$6:$F$2005,"Done",Appointments!$M$6:$M$2005,"&gt;"&amp;M319)=0,1,0),0)</f>
        <v/>
      </c>
      <c r="O319">
        <f>IF(AND(F319="Booked",M319&lt;&gt;"",N(B319)&gt;=TODAY()),IF(COUNTIFS(Appointments!$D$6:$D$2005,D319,Appointments!$F$6:$F$2005,"Booked",Appointments!$B$6:$B$2005,"&gt;="&amp;TODAY(),Appointments!$M$6:$M$2005,"&lt;"&amp;M319)=0,1,0),0)</f>
        <v/>
      </c>
    </row>
    <row r="320">
      <c r="A320" s="1" t="n"/>
      <c r="B320" s="30" t="n">
        <v>46101</v>
      </c>
      <c r="C320" s="31" t="n">
        <v>0.375</v>
      </c>
      <c r="D320" s="32" t="inlineStr">
        <is>
          <t>Eli Brooks</t>
        </is>
      </c>
      <c r="E320" s="32" t="inlineStr">
        <is>
          <t>Men's haircut</t>
        </is>
      </c>
      <c r="F320" s="33" t="inlineStr">
        <is>
          <t>Done</t>
        </is>
      </c>
      <c r="G320" s="27">
        <f>IF(E320="","",MAX(0,IFERROR(INDEX(Services!$C$6:$C$35,MATCH(E320,Services!$B$6:$B$35,0)),0)-N(H320)))</f>
        <v/>
      </c>
      <c r="H320" s="34" t="n"/>
      <c r="I320" s="34" t="n">
        <v>30</v>
      </c>
      <c r="J320" s="33" t="inlineStr">
        <is>
          <t>Cash</t>
        </is>
      </c>
      <c r="K320" s="28">
        <f>IF(OR(B320="",F320&lt;&gt;"Done",J320="Package"),"",IF(N(G320)-N(I320)&gt;0,N(G320)-N(I320),""))</f>
        <v/>
      </c>
      <c r="L320" s="32" t="n"/>
      <c r="M320" s="1">
        <f>IF(OR(B320="",D320="",F320="Cancelled"),"",B320+N(C320)+ROW()/10000000)</f>
        <v/>
      </c>
      <c r="N320">
        <f>IF(AND(F320="Done",M320&lt;&gt;""),IF(COUNTIFS(Appointments!$D$6:$D$2005,D320,Appointments!$F$6:$F$2005,"Done",Appointments!$M$6:$M$2005,"&gt;"&amp;M320)=0,1,0),0)</f>
        <v/>
      </c>
      <c r="O320">
        <f>IF(AND(F320="Booked",M320&lt;&gt;"",N(B320)&gt;=TODAY()),IF(COUNTIFS(Appointments!$D$6:$D$2005,D320,Appointments!$F$6:$F$2005,"Booked",Appointments!$B$6:$B$2005,"&gt;="&amp;TODAY(),Appointments!$M$6:$M$2005,"&lt;"&amp;M320)=0,1,0),0)</f>
        <v/>
      </c>
    </row>
    <row r="321">
      <c r="A321" s="1" t="n"/>
      <c r="B321" s="30" t="n">
        <v>46101</v>
      </c>
      <c r="C321" s="31" t="n">
        <v>0.4027777777777778</v>
      </c>
      <c r="D321" s="32" t="inlineStr">
        <is>
          <t>Gina Reid</t>
        </is>
      </c>
      <c r="E321" s="32" t="inlineStr">
        <is>
          <t>Highlights</t>
        </is>
      </c>
      <c r="F321" s="33" t="inlineStr">
        <is>
          <t>Done</t>
        </is>
      </c>
      <c r="G321" s="27">
        <f>IF(E321="","",MAX(0,IFERROR(INDEX(Services!$C$6:$C$35,MATCH(E321,Services!$B$6:$B$35,0)),0)-N(H321)))</f>
        <v/>
      </c>
      <c r="H321" s="34" t="n"/>
      <c r="I321" s="34" t="n">
        <v>140</v>
      </c>
      <c r="J321" s="33" t="inlineStr">
        <is>
          <t>Card</t>
        </is>
      </c>
      <c r="K321" s="28">
        <f>IF(OR(B321="",F321&lt;&gt;"Done",J321="Package"),"",IF(N(G321)-N(I321)&gt;0,N(G321)-N(I321),""))</f>
        <v/>
      </c>
      <c r="L321" s="32" t="n"/>
      <c r="M321" s="1">
        <f>IF(OR(B321="",D321="",F321="Cancelled"),"",B321+N(C321)+ROW()/10000000)</f>
        <v/>
      </c>
      <c r="N321">
        <f>IF(AND(F321="Done",M321&lt;&gt;""),IF(COUNTIFS(Appointments!$D$6:$D$2005,D321,Appointments!$F$6:$F$2005,"Done",Appointments!$M$6:$M$2005,"&gt;"&amp;M321)=0,1,0),0)</f>
        <v/>
      </c>
      <c r="O321">
        <f>IF(AND(F321="Booked",M321&lt;&gt;"",N(B321)&gt;=TODAY()),IF(COUNTIFS(Appointments!$D$6:$D$2005,D321,Appointments!$F$6:$F$2005,"Booked",Appointments!$B$6:$B$2005,"&gt;="&amp;TODAY(),Appointments!$M$6:$M$2005,"&lt;"&amp;M321)=0,1,0),0)</f>
        <v/>
      </c>
    </row>
    <row r="322">
      <c r="A322" s="1" t="n"/>
      <c r="B322" s="30" t="n">
        <v>46101</v>
      </c>
      <c r="C322" s="31" t="n">
        <v>0.5138888888888888</v>
      </c>
      <c r="D322" s="32" t="inlineStr">
        <is>
          <t>Hannah Hughes</t>
        </is>
      </c>
      <c r="E322" s="32" t="inlineStr">
        <is>
          <t>Blow dry</t>
        </is>
      </c>
      <c r="F322" s="33" t="inlineStr">
        <is>
          <t>Done</t>
        </is>
      </c>
      <c r="G322" s="27">
        <f>IF(E322="","",MAX(0,IFERROR(INDEX(Services!$C$6:$C$35,MATCH(E322,Services!$B$6:$B$35,0)),0)-N(H322)))</f>
        <v/>
      </c>
      <c r="H322" s="34" t="n"/>
      <c r="I322" s="34" t="n">
        <v>35</v>
      </c>
      <c r="J322" s="33" t="inlineStr">
        <is>
          <t>Card</t>
        </is>
      </c>
      <c r="K322" s="28">
        <f>IF(OR(B322="",F322&lt;&gt;"Done",J322="Package"),"",IF(N(G322)-N(I322)&gt;0,N(G322)-N(I322),""))</f>
        <v/>
      </c>
      <c r="L322" s="32" t="n"/>
      <c r="M322" s="1">
        <f>IF(OR(B322="",D322="",F322="Cancelled"),"",B322+N(C322)+ROW()/10000000)</f>
        <v/>
      </c>
      <c r="N322">
        <f>IF(AND(F322="Done",M322&lt;&gt;""),IF(COUNTIFS(Appointments!$D$6:$D$2005,D322,Appointments!$F$6:$F$2005,"Done",Appointments!$M$6:$M$2005,"&gt;"&amp;M322)=0,1,0),0)</f>
        <v/>
      </c>
      <c r="O322">
        <f>IF(AND(F322="Booked",M322&lt;&gt;"",N(B322)&gt;=TODAY()),IF(COUNTIFS(Appointments!$D$6:$D$2005,D322,Appointments!$F$6:$F$2005,"Booked",Appointments!$B$6:$B$2005,"&gt;="&amp;TODAY(),Appointments!$M$6:$M$2005,"&lt;"&amp;M322)=0,1,0),0)</f>
        <v/>
      </c>
    </row>
    <row r="323">
      <c r="A323" s="1" t="n"/>
      <c r="B323" s="30" t="n">
        <v>46101</v>
      </c>
      <c r="C323" s="31" t="n">
        <v>0.5520833333333334</v>
      </c>
      <c r="D323" s="32" t="inlineStr">
        <is>
          <t>Jade Davies</t>
        </is>
      </c>
      <c r="E323" s="32" t="inlineStr">
        <is>
          <t>Women's haircut</t>
        </is>
      </c>
      <c r="F323" s="33" t="inlineStr">
        <is>
          <t>Done</t>
        </is>
      </c>
      <c r="G323" s="27">
        <f>IF(E323="","",MAX(0,IFERROR(INDEX(Services!$C$6:$C$35,MATCH(E323,Services!$B$6:$B$35,0)),0)-N(H323)))</f>
        <v/>
      </c>
      <c r="H323" s="34" t="n"/>
      <c r="I323" s="34" t="n">
        <v>55</v>
      </c>
      <c r="J323" s="33" t="inlineStr">
        <is>
          <t>Cash</t>
        </is>
      </c>
      <c r="K323" s="28">
        <f>IF(OR(B323="",F323&lt;&gt;"Done",J323="Package"),"",IF(N(G323)-N(I323)&gt;0,N(G323)-N(I323),""))</f>
        <v/>
      </c>
      <c r="L323" s="32" t="n"/>
      <c r="M323" s="1">
        <f>IF(OR(B323="",D323="",F323="Cancelled"),"",B323+N(C323)+ROW()/10000000)</f>
        <v/>
      </c>
      <c r="N323">
        <f>IF(AND(F323="Done",M323&lt;&gt;""),IF(COUNTIFS(Appointments!$D$6:$D$2005,D323,Appointments!$F$6:$F$2005,"Done",Appointments!$M$6:$M$2005,"&gt;"&amp;M323)=0,1,0),0)</f>
        <v/>
      </c>
      <c r="O323">
        <f>IF(AND(F323="Booked",M323&lt;&gt;"",N(B323)&gt;=TODAY()),IF(COUNTIFS(Appointments!$D$6:$D$2005,D323,Appointments!$F$6:$F$2005,"Booked",Appointments!$B$6:$B$2005,"&gt;="&amp;TODAY(),Appointments!$M$6:$M$2005,"&lt;"&amp;M323)=0,1,0),0)</f>
        <v/>
      </c>
    </row>
    <row r="324">
      <c r="A324" s="1" t="n"/>
      <c r="B324" s="30" t="n">
        <v>46101</v>
      </c>
      <c r="C324" s="31" t="n">
        <v>0.6006944444444444</v>
      </c>
      <c r="D324" s="32" t="inlineStr">
        <is>
          <t>Mia Cole</t>
        </is>
      </c>
      <c r="E324" s="32" t="inlineStr">
        <is>
          <t>Women's haircut</t>
        </is>
      </c>
      <c r="F324" s="33" t="inlineStr">
        <is>
          <t>Done</t>
        </is>
      </c>
      <c r="G324" s="27">
        <f>IF(E324="","",MAX(0,IFERROR(INDEX(Services!$C$6:$C$35,MATCH(E324,Services!$B$6:$B$35,0)),0)-N(H324)))</f>
        <v/>
      </c>
      <c r="H324" s="34" t="n"/>
      <c r="I324" s="34" t="n">
        <v>55</v>
      </c>
      <c r="J324" s="33" t="inlineStr">
        <is>
          <t>Card</t>
        </is>
      </c>
      <c r="K324" s="28">
        <f>IF(OR(B324="",F324&lt;&gt;"Done",J324="Package"),"",IF(N(G324)-N(I324)&gt;0,N(G324)-N(I324),""))</f>
        <v/>
      </c>
      <c r="L324" s="32" t="n"/>
      <c r="M324" s="1">
        <f>IF(OR(B324="",D324="",F324="Cancelled"),"",B324+N(C324)+ROW()/10000000)</f>
        <v/>
      </c>
      <c r="N324">
        <f>IF(AND(F324="Done",M324&lt;&gt;""),IF(COUNTIFS(Appointments!$D$6:$D$2005,D324,Appointments!$F$6:$F$2005,"Done",Appointments!$M$6:$M$2005,"&gt;"&amp;M324)=0,1,0),0)</f>
        <v/>
      </c>
      <c r="O324">
        <f>IF(AND(F324="Booked",M324&lt;&gt;"",N(B324)&gt;=TODAY()),IF(COUNTIFS(Appointments!$D$6:$D$2005,D324,Appointments!$F$6:$F$2005,"Booked",Appointments!$B$6:$B$2005,"&gt;="&amp;TODAY(),Appointments!$M$6:$M$2005,"&lt;"&amp;M324)=0,1,0),0)</f>
        <v/>
      </c>
    </row>
    <row r="325">
      <c r="A325" s="1" t="n"/>
      <c r="B325" s="30" t="n">
        <v>46101</v>
      </c>
      <c r="C325" s="31" t="n">
        <v>0.6493055555555556</v>
      </c>
      <c r="D325" s="32" t="inlineStr">
        <is>
          <t>Nora Walsh</t>
        </is>
      </c>
      <c r="E325" s="32" t="inlineStr">
        <is>
          <t>Women's haircut</t>
        </is>
      </c>
      <c r="F325" s="33" t="inlineStr">
        <is>
          <t>No-show</t>
        </is>
      </c>
      <c r="G325" s="27">
        <f>IF(E325="","",MAX(0,IFERROR(INDEX(Services!$C$6:$C$35,MATCH(E325,Services!$B$6:$B$35,0)),0)-N(H325)))</f>
        <v/>
      </c>
      <c r="H325" s="34" t="n"/>
      <c r="I325" s="34" t="n"/>
      <c r="J325" s="33" t="n"/>
      <c r="K325" s="28">
        <f>IF(OR(B325="",F325&lt;&gt;"Done",J325="Package"),"",IF(N(G325)-N(I325)&gt;0,N(G325)-N(I325),""))</f>
        <v/>
      </c>
      <c r="L325" s="32" t="n"/>
      <c r="M325" s="1">
        <f>IF(OR(B325="",D325="",F325="Cancelled"),"",B325+N(C325)+ROW()/10000000)</f>
        <v/>
      </c>
      <c r="N325">
        <f>IF(AND(F325="Done",M325&lt;&gt;""),IF(COUNTIFS(Appointments!$D$6:$D$2005,D325,Appointments!$F$6:$F$2005,"Done",Appointments!$M$6:$M$2005,"&gt;"&amp;M325)=0,1,0),0)</f>
        <v/>
      </c>
      <c r="O325">
        <f>IF(AND(F325="Booked",M325&lt;&gt;"",N(B325)&gt;=TODAY()),IF(COUNTIFS(Appointments!$D$6:$D$2005,D325,Appointments!$F$6:$F$2005,"Booked",Appointments!$B$6:$B$2005,"&gt;="&amp;TODAY(),Appointments!$M$6:$M$2005,"&lt;"&amp;M325)=0,1,0),0)</f>
        <v/>
      </c>
    </row>
    <row r="326">
      <c r="A326" s="1" t="n"/>
      <c r="B326" s="30" t="n">
        <v>46101</v>
      </c>
      <c r="C326" s="31" t="n">
        <v>0.6979166666666666</v>
      </c>
      <c r="D326" s="32" t="inlineStr">
        <is>
          <t>Zoe Turner</t>
        </is>
      </c>
      <c r="E326" s="32" t="inlineStr">
        <is>
          <t>Women's haircut</t>
        </is>
      </c>
      <c r="F326" s="33" t="inlineStr">
        <is>
          <t>Done</t>
        </is>
      </c>
      <c r="G326" s="27">
        <f>IF(E326="","",MAX(0,IFERROR(INDEX(Services!$C$6:$C$35,MATCH(E326,Services!$B$6:$B$35,0)),0)-N(H326)))</f>
        <v/>
      </c>
      <c r="H326" s="34" t="n"/>
      <c r="I326" s="34" t="n">
        <v>55</v>
      </c>
      <c r="J326" s="33" t="inlineStr">
        <is>
          <t>Cash</t>
        </is>
      </c>
      <c r="K326" s="28">
        <f>IF(OR(B326="",F326&lt;&gt;"Done",J326="Package"),"",IF(N(G326)-N(I326)&gt;0,N(G326)-N(I326),""))</f>
        <v/>
      </c>
      <c r="L326" s="32" t="n"/>
      <c r="M326" s="1">
        <f>IF(OR(B326="",D326="",F326="Cancelled"),"",B326+N(C326)+ROW()/10000000)</f>
        <v/>
      </c>
      <c r="N326">
        <f>IF(AND(F326="Done",M326&lt;&gt;""),IF(COUNTIFS(Appointments!$D$6:$D$2005,D326,Appointments!$F$6:$F$2005,"Done",Appointments!$M$6:$M$2005,"&gt;"&amp;M326)=0,1,0),0)</f>
        <v/>
      </c>
      <c r="O326">
        <f>IF(AND(F326="Booked",M326&lt;&gt;"",N(B326)&gt;=TODAY()),IF(COUNTIFS(Appointments!$D$6:$D$2005,D326,Appointments!$F$6:$F$2005,"Booked",Appointments!$B$6:$B$2005,"&gt;="&amp;TODAY(),Appointments!$M$6:$M$2005,"&lt;"&amp;M326)=0,1,0),0)</f>
        <v/>
      </c>
    </row>
    <row r="327">
      <c r="A327" s="1" t="n"/>
      <c r="B327" s="30" t="n">
        <v>46102</v>
      </c>
      <c r="C327" s="31" t="n">
        <v>0.375</v>
      </c>
      <c r="D327" s="32" t="inlineStr">
        <is>
          <t>Beth Reid</t>
        </is>
      </c>
      <c r="E327" s="32" t="inlineStr">
        <is>
          <t>Highlights</t>
        </is>
      </c>
      <c r="F327" s="33" t="inlineStr">
        <is>
          <t>Done</t>
        </is>
      </c>
      <c r="G327" s="27">
        <f>IF(E327="","",MAX(0,IFERROR(INDEX(Services!$C$6:$C$35,MATCH(E327,Services!$B$6:$B$35,0)),0)-N(H327)))</f>
        <v/>
      </c>
      <c r="H327" s="34" t="n"/>
      <c r="I327" s="34" t="n">
        <v>140</v>
      </c>
      <c r="J327" s="33" t="inlineStr">
        <is>
          <t>Card</t>
        </is>
      </c>
      <c r="K327" s="28">
        <f>IF(OR(B327="",F327&lt;&gt;"Done",J327="Package"),"",IF(N(G327)-N(I327)&gt;0,N(G327)-N(I327),""))</f>
        <v/>
      </c>
      <c r="L327" s="32" t="n"/>
      <c r="M327" s="1">
        <f>IF(OR(B327="",D327="",F327="Cancelled"),"",B327+N(C327)+ROW()/10000000)</f>
        <v/>
      </c>
      <c r="N327">
        <f>IF(AND(F327="Done",M327&lt;&gt;""),IF(COUNTIFS(Appointments!$D$6:$D$2005,D327,Appointments!$F$6:$F$2005,"Done",Appointments!$M$6:$M$2005,"&gt;"&amp;M327)=0,1,0),0)</f>
        <v/>
      </c>
      <c r="O327">
        <f>IF(AND(F327="Booked",M327&lt;&gt;"",N(B327)&gt;=TODAY()),IF(COUNTIFS(Appointments!$D$6:$D$2005,D327,Appointments!$F$6:$F$2005,"Booked",Appointments!$B$6:$B$2005,"&gt;="&amp;TODAY(),Appointments!$M$6:$M$2005,"&lt;"&amp;M327)=0,1,0),0)</f>
        <v/>
      </c>
    </row>
    <row r="328">
      <c r="A328" s="1" t="n"/>
      <c r="B328" s="30" t="n">
        <v>46102</v>
      </c>
      <c r="C328" s="31" t="n">
        <v>0.4861111111111111</v>
      </c>
      <c r="D328" s="32" t="inlineStr">
        <is>
          <t>Fiona Fox</t>
        </is>
      </c>
      <c r="E328" s="32" t="inlineStr">
        <is>
          <t>Women's haircut</t>
        </is>
      </c>
      <c r="F328" s="33" t="inlineStr">
        <is>
          <t>Done</t>
        </is>
      </c>
      <c r="G328" s="27">
        <f>IF(E328="","",MAX(0,IFERROR(INDEX(Services!$C$6:$C$35,MATCH(E328,Services!$B$6:$B$35,0)),0)-N(H328)))</f>
        <v/>
      </c>
      <c r="H328" s="34" t="n"/>
      <c r="I328" s="34" t="n">
        <v>55</v>
      </c>
      <c r="J328" s="33" t="inlineStr">
        <is>
          <t>Card</t>
        </is>
      </c>
      <c r="K328" s="28">
        <f>IF(OR(B328="",F328&lt;&gt;"Done",J328="Package"),"",IF(N(G328)-N(I328)&gt;0,N(G328)-N(I328),""))</f>
        <v/>
      </c>
      <c r="L328" s="32" t="n"/>
      <c r="M328" s="1">
        <f>IF(OR(B328="",D328="",F328="Cancelled"),"",B328+N(C328)+ROW()/10000000)</f>
        <v/>
      </c>
      <c r="N328">
        <f>IF(AND(F328="Done",M328&lt;&gt;""),IF(COUNTIFS(Appointments!$D$6:$D$2005,D328,Appointments!$F$6:$F$2005,"Done",Appointments!$M$6:$M$2005,"&gt;"&amp;M328)=0,1,0),0)</f>
        <v/>
      </c>
      <c r="O328">
        <f>IF(AND(F328="Booked",M328&lt;&gt;"",N(B328)&gt;=TODAY()),IF(COUNTIFS(Appointments!$D$6:$D$2005,D328,Appointments!$F$6:$F$2005,"Booked",Appointments!$B$6:$B$2005,"&gt;="&amp;TODAY(),Appointments!$M$6:$M$2005,"&lt;"&amp;M328)=0,1,0),0)</f>
        <v/>
      </c>
    </row>
    <row r="329">
      <c r="A329" s="1" t="n"/>
      <c r="B329" s="30" t="n">
        <v>46102</v>
      </c>
      <c r="C329" s="31" t="n">
        <v>0.5347222222222222</v>
      </c>
      <c r="D329" s="32" t="inlineStr">
        <is>
          <t>Jade Hill</t>
        </is>
      </c>
      <c r="E329" s="32" t="inlineStr">
        <is>
          <t>Women's haircut</t>
        </is>
      </c>
      <c r="F329" s="33" t="inlineStr">
        <is>
          <t>Done</t>
        </is>
      </c>
      <c r="G329" s="27">
        <f>IF(E329="","",MAX(0,IFERROR(INDEX(Services!$C$6:$C$35,MATCH(E329,Services!$B$6:$B$35,0)),0)-N(H329)))</f>
        <v/>
      </c>
      <c r="H329" s="34" t="n"/>
      <c r="I329" s="34" t="n">
        <v>55</v>
      </c>
      <c r="J329" s="33" t="inlineStr">
        <is>
          <t>Cash</t>
        </is>
      </c>
      <c r="K329" s="28">
        <f>IF(OR(B329="",F329&lt;&gt;"Done",J329="Package"),"",IF(N(G329)-N(I329)&gt;0,N(G329)-N(I329),""))</f>
        <v/>
      </c>
      <c r="L329" s="32" t="n"/>
      <c r="M329" s="1">
        <f>IF(OR(B329="",D329="",F329="Cancelled"),"",B329+N(C329)+ROW()/10000000)</f>
        <v/>
      </c>
      <c r="N329">
        <f>IF(AND(F329="Done",M329&lt;&gt;""),IF(COUNTIFS(Appointments!$D$6:$D$2005,D329,Appointments!$F$6:$F$2005,"Done",Appointments!$M$6:$M$2005,"&gt;"&amp;M329)=0,1,0),0)</f>
        <v/>
      </c>
      <c r="O329">
        <f>IF(AND(F329="Booked",M329&lt;&gt;"",N(B329)&gt;=TODAY()),IF(COUNTIFS(Appointments!$D$6:$D$2005,D329,Appointments!$F$6:$F$2005,"Booked",Appointments!$B$6:$B$2005,"&gt;="&amp;TODAY(),Appointments!$M$6:$M$2005,"&lt;"&amp;M329)=0,1,0),0)</f>
        <v/>
      </c>
    </row>
    <row r="330">
      <c r="A330" s="1" t="n"/>
      <c r="B330" s="30" t="n">
        <v>46102</v>
      </c>
      <c r="C330" s="31" t="n">
        <v>0.5833333333333334</v>
      </c>
      <c r="D330" s="32" t="inlineStr">
        <is>
          <t>Kyle Fox</t>
        </is>
      </c>
      <c r="E330" s="32" t="inlineStr">
        <is>
          <t>Men's haircut</t>
        </is>
      </c>
      <c r="F330" s="33" t="inlineStr">
        <is>
          <t>Done</t>
        </is>
      </c>
      <c r="G330" s="27">
        <f>IF(E330="","",MAX(0,IFERROR(INDEX(Services!$C$6:$C$35,MATCH(E330,Services!$B$6:$B$35,0)),0)-N(H330)))</f>
        <v/>
      </c>
      <c r="H330" s="34" t="n"/>
      <c r="I330" s="34" t="n">
        <v>30</v>
      </c>
      <c r="J330" s="33" t="inlineStr">
        <is>
          <t>Card</t>
        </is>
      </c>
      <c r="K330" s="28">
        <f>IF(OR(B330="",F330&lt;&gt;"Done",J330="Package"),"",IF(N(G330)-N(I330)&gt;0,N(G330)-N(I330),""))</f>
        <v/>
      </c>
      <c r="L330" s="32" t="n"/>
      <c r="M330" s="1">
        <f>IF(OR(B330="",D330="",F330="Cancelled"),"",B330+N(C330)+ROW()/10000000)</f>
        <v/>
      </c>
      <c r="N330">
        <f>IF(AND(F330="Done",M330&lt;&gt;""),IF(COUNTIFS(Appointments!$D$6:$D$2005,D330,Appointments!$F$6:$F$2005,"Done",Appointments!$M$6:$M$2005,"&gt;"&amp;M330)=0,1,0),0)</f>
        <v/>
      </c>
      <c r="O330">
        <f>IF(AND(F330="Booked",M330&lt;&gt;"",N(B330)&gt;=TODAY()),IF(COUNTIFS(Appointments!$D$6:$D$2005,D330,Appointments!$F$6:$F$2005,"Booked",Appointments!$B$6:$B$2005,"&gt;="&amp;TODAY(),Appointments!$M$6:$M$2005,"&lt;"&amp;M330)=0,1,0),0)</f>
        <v/>
      </c>
    </row>
    <row r="331">
      <c r="A331" s="1" t="n"/>
      <c r="B331" s="30" t="n">
        <v>46102</v>
      </c>
      <c r="C331" s="31" t="n">
        <v>0.6111111111111112</v>
      </c>
      <c r="D331" s="32" t="inlineStr">
        <is>
          <t>Will Baker</t>
        </is>
      </c>
      <c r="E331" s="32" t="inlineStr">
        <is>
          <t>Men's haircut</t>
        </is>
      </c>
      <c r="F331" s="33" t="inlineStr">
        <is>
          <t>Done</t>
        </is>
      </c>
      <c r="G331" s="27">
        <f>IF(E331="","",MAX(0,IFERROR(INDEX(Services!$C$6:$C$35,MATCH(E331,Services!$B$6:$B$35,0)),0)-N(H331)))</f>
        <v/>
      </c>
      <c r="H331" s="34" t="n"/>
      <c r="I331" s="34" t="n">
        <v>30</v>
      </c>
      <c r="J331" s="33" t="inlineStr">
        <is>
          <t>Card</t>
        </is>
      </c>
      <c r="K331" s="28">
        <f>IF(OR(B331="",F331&lt;&gt;"Done",J331="Package"),"",IF(N(G331)-N(I331)&gt;0,N(G331)-N(I331),""))</f>
        <v/>
      </c>
      <c r="L331" s="32" t="n"/>
      <c r="M331" s="1">
        <f>IF(OR(B331="",D331="",F331="Cancelled"),"",B331+N(C331)+ROW()/10000000)</f>
        <v/>
      </c>
      <c r="N331">
        <f>IF(AND(F331="Done",M331&lt;&gt;""),IF(COUNTIFS(Appointments!$D$6:$D$2005,D331,Appointments!$F$6:$F$2005,"Done",Appointments!$M$6:$M$2005,"&gt;"&amp;M331)=0,1,0),0)</f>
        <v/>
      </c>
      <c r="O331">
        <f>IF(AND(F331="Booked",M331&lt;&gt;"",N(B331)&gt;=TODAY()),IF(COUNTIFS(Appointments!$D$6:$D$2005,D331,Appointments!$F$6:$F$2005,"Booked",Appointments!$B$6:$B$2005,"&gt;="&amp;TODAY(),Appointments!$M$6:$M$2005,"&lt;"&amp;M331)=0,1,0),0)</f>
        <v/>
      </c>
    </row>
    <row r="332">
      <c r="A332" s="1" t="n"/>
      <c r="B332" s="30" t="n">
        <v>46105</v>
      </c>
      <c r="C332" s="31" t="n">
        <v>0.375</v>
      </c>
      <c r="D332" s="32" t="inlineStr">
        <is>
          <t>Ava Cox</t>
        </is>
      </c>
      <c r="E332" s="32" t="inlineStr">
        <is>
          <t>Blow dry</t>
        </is>
      </c>
      <c r="F332" s="33" t="inlineStr">
        <is>
          <t>Done</t>
        </is>
      </c>
      <c r="G332" s="27">
        <f>IF(E332="","",MAX(0,IFERROR(INDEX(Services!$C$6:$C$35,MATCH(E332,Services!$B$6:$B$35,0)),0)-N(H332)))</f>
        <v/>
      </c>
      <c r="H332" s="34" t="n"/>
      <c r="I332" s="34" t="n">
        <v>35</v>
      </c>
      <c r="J332" s="33" t="inlineStr">
        <is>
          <t>Card</t>
        </is>
      </c>
      <c r="K332" s="28">
        <f>IF(OR(B332="",F332&lt;&gt;"Done",J332="Package"),"",IF(N(G332)-N(I332)&gt;0,N(G332)-N(I332),""))</f>
        <v/>
      </c>
      <c r="L332" s="32" t="n"/>
      <c r="M332" s="1">
        <f>IF(OR(B332="",D332="",F332="Cancelled"),"",B332+N(C332)+ROW()/10000000)</f>
        <v/>
      </c>
      <c r="N332">
        <f>IF(AND(F332="Done",M332&lt;&gt;""),IF(COUNTIFS(Appointments!$D$6:$D$2005,D332,Appointments!$F$6:$F$2005,"Done",Appointments!$M$6:$M$2005,"&gt;"&amp;M332)=0,1,0),0)</f>
        <v/>
      </c>
      <c r="O332">
        <f>IF(AND(F332="Booked",M332&lt;&gt;"",N(B332)&gt;=TODAY()),IF(COUNTIFS(Appointments!$D$6:$D$2005,D332,Appointments!$F$6:$F$2005,"Booked",Appointments!$B$6:$B$2005,"&gt;="&amp;TODAY(),Appointments!$M$6:$M$2005,"&lt;"&amp;M332)=0,1,0),0)</f>
        <v/>
      </c>
    </row>
    <row r="333">
      <c r="A333" s="1" t="n"/>
      <c r="B333" s="30" t="n">
        <v>46105</v>
      </c>
      <c r="C333" s="31" t="n">
        <v>0.4131944444444444</v>
      </c>
      <c r="D333" s="32" t="inlineStr">
        <is>
          <t>Eva Mills</t>
        </is>
      </c>
      <c r="E333" s="32" t="inlineStr">
        <is>
          <t>Women's haircut</t>
        </is>
      </c>
      <c r="F333" s="33" t="inlineStr">
        <is>
          <t>Done</t>
        </is>
      </c>
      <c r="G333" s="27">
        <f>IF(E333="","",MAX(0,IFERROR(INDEX(Services!$C$6:$C$35,MATCH(E333,Services!$B$6:$B$35,0)),0)-N(H333)))</f>
        <v/>
      </c>
      <c r="H333" s="34" t="n"/>
      <c r="I333" s="34" t="n">
        <v>55</v>
      </c>
      <c r="J333" s="33" t="inlineStr">
        <is>
          <t>Card</t>
        </is>
      </c>
      <c r="K333" s="28">
        <f>IF(OR(B333="",F333&lt;&gt;"Done",J333="Package"),"",IF(N(G333)-N(I333)&gt;0,N(G333)-N(I333),""))</f>
        <v/>
      </c>
      <c r="L333" s="32" t="n"/>
      <c r="M333" s="1">
        <f>IF(OR(B333="",D333="",F333="Cancelled"),"",B333+N(C333)+ROW()/10000000)</f>
        <v/>
      </c>
      <c r="N333">
        <f>IF(AND(F333="Done",M333&lt;&gt;""),IF(COUNTIFS(Appointments!$D$6:$D$2005,D333,Appointments!$F$6:$F$2005,"Done",Appointments!$M$6:$M$2005,"&gt;"&amp;M333)=0,1,0),0)</f>
        <v/>
      </c>
      <c r="O333">
        <f>IF(AND(F333="Booked",M333&lt;&gt;"",N(B333)&gt;=TODAY()),IF(COUNTIFS(Appointments!$D$6:$D$2005,D333,Appointments!$F$6:$F$2005,"Booked",Appointments!$B$6:$B$2005,"&gt;="&amp;TODAY(),Appointments!$M$6:$M$2005,"&lt;"&amp;M333)=0,1,0),0)</f>
        <v/>
      </c>
    </row>
    <row r="334">
      <c r="A334" s="1" t="n"/>
      <c r="B334" s="30" t="n">
        <v>46105</v>
      </c>
      <c r="C334" s="31" t="n">
        <v>0.4618055555555556</v>
      </c>
      <c r="D334" s="32" t="inlineStr">
        <is>
          <t>Harry Adams</t>
        </is>
      </c>
      <c r="E334" s="32" t="inlineStr">
        <is>
          <t>Men's haircut</t>
        </is>
      </c>
      <c r="F334" s="33" t="inlineStr">
        <is>
          <t>Cancelled</t>
        </is>
      </c>
      <c r="G334" s="27">
        <f>IF(E334="","",MAX(0,IFERROR(INDEX(Services!$C$6:$C$35,MATCH(E334,Services!$B$6:$B$35,0)),0)-N(H334)))</f>
        <v/>
      </c>
      <c r="H334" s="34" t="n"/>
      <c r="I334" s="34" t="n"/>
      <c r="J334" s="33" t="n"/>
      <c r="K334" s="28">
        <f>IF(OR(B334="",F334&lt;&gt;"Done",J334="Package"),"",IF(N(G334)-N(I334)&gt;0,N(G334)-N(I334),""))</f>
        <v/>
      </c>
      <c r="L334" s="32" t="n"/>
      <c r="M334" s="1">
        <f>IF(OR(B334="",D334="",F334="Cancelled"),"",B334+N(C334)+ROW()/10000000)</f>
        <v/>
      </c>
      <c r="N334">
        <f>IF(AND(F334="Done",M334&lt;&gt;""),IF(COUNTIFS(Appointments!$D$6:$D$2005,D334,Appointments!$F$6:$F$2005,"Done",Appointments!$M$6:$M$2005,"&gt;"&amp;M334)=0,1,0),0)</f>
        <v/>
      </c>
      <c r="O334">
        <f>IF(AND(F334="Booked",M334&lt;&gt;"",N(B334)&gt;=TODAY()),IF(COUNTIFS(Appointments!$D$6:$D$2005,D334,Appointments!$F$6:$F$2005,"Booked",Appointments!$B$6:$B$2005,"&gt;="&amp;TODAY(),Appointments!$M$6:$M$2005,"&lt;"&amp;M334)=0,1,0),0)</f>
        <v/>
      </c>
    </row>
    <row r="335">
      <c r="A335" s="1" t="n"/>
      <c r="B335" s="30" t="n">
        <v>46105</v>
      </c>
      <c r="C335" s="31" t="n">
        <v>0.4895833333333333</v>
      </c>
      <c r="D335" s="32" t="inlineStr">
        <is>
          <t>Harry Hill</t>
        </is>
      </c>
      <c r="E335" s="32" t="inlineStr">
        <is>
          <t>Men's haircut</t>
        </is>
      </c>
      <c r="F335" s="33" t="inlineStr">
        <is>
          <t>Done</t>
        </is>
      </c>
      <c r="G335" s="27">
        <f>IF(E335="","",MAX(0,IFERROR(INDEX(Services!$C$6:$C$35,MATCH(E335,Services!$B$6:$B$35,0)),0)-N(H335)))</f>
        <v/>
      </c>
      <c r="H335" s="34" t="n"/>
      <c r="I335" s="34" t="n">
        <v>30</v>
      </c>
      <c r="J335" s="33" t="inlineStr">
        <is>
          <t>Cash</t>
        </is>
      </c>
      <c r="K335" s="28">
        <f>IF(OR(B335="",F335&lt;&gt;"Done",J335="Package"),"",IF(N(G335)-N(I335)&gt;0,N(G335)-N(I335),""))</f>
        <v/>
      </c>
      <c r="L335" s="32" t="n"/>
      <c r="M335" s="1">
        <f>IF(OR(B335="",D335="",F335="Cancelled"),"",B335+N(C335)+ROW()/10000000)</f>
        <v/>
      </c>
      <c r="N335">
        <f>IF(AND(F335="Done",M335&lt;&gt;""),IF(COUNTIFS(Appointments!$D$6:$D$2005,D335,Appointments!$F$6:$F$2005,"Done",Appointments!$M$6:$M$2005,"&gt;"&amp;M335)=0,1,0),0)</f>
        <v/>
      </c>
      <c r="O335">
        <f>IF(AND(F335="Booked",M335&lt;&gt;"",N(B335)&gt;=TODAY()),IF(COUNTIFS(Appointments!$D$6:$D$2005,D335,Appointments!$F$6:$F$2005,"Booked",Appointments!$B$6:$B$2005,"&gt;="&amp;TODAY(),Appointments!$M$6:$M$2005,"&lt;"&amp;M335)=0,1,0),0)</f>
        <v/>
      </c>
    </row>
    <row r="336">
      <c r="A336" s="1" t="n"/>
      <c r="B336" s="30" t="n">
        <v>46105</v>
      </c>
      <c r="C336" s="31" t="n">
        <v>0.5173611111111112</v>
      </c>
      <c r="D336" s="32" t="inlineStr">
        <is>
          <t>Kyle Hughes</t>
        </is>
      </c>
      <c r="E336" s="32" t="inlineStr">
        <is>
          <t>Men's haircut</t>
        </is>
      </c>
      <c r="F336" s="33" t="inlineStr">
        <is>
          <t>Done</t>
        </is>
      </c>
      <c r="G336" s="27">
        <f>IF(E336="","",MAX(0,IFERROR(INDEX(Services!$C$6:$C$35,MATCH(E336,Services!$B$6:$B$35,0)),0)-N(H336)))</f>
        <v/>
      </c>
      <c r="H336" s="34" t="n"/>
      <c r="I336" s="34" t="n">
        <v>30</v>
      </c>
      <c r="J336" s="33" t="inlineStr">
        <is>
          <t>Card</t>
        </is>
      </c>
      <c r="K336" s="28">
        <f>IF(OR(B336="",F336&lt;&gt;"Done",J336="Package"),"",IF(N(G336)-N(I336)&gt;0,N(G336)-N(I336),""))</f>
        <v/>
      </c>
      <c r="L336" s="32" t="n"/>
      <c r="M336" s="1">
        <f>IF(OR(B336="",D336="",F336="Cancelled"),"",B336+N(C336)+ROW()/10000000)</f>
        <v/>
      </c>
      <c r="N336">
        <f>IF(AND(F336="Done",M336&lt;&gt;""),IF(COUNTIFS(Appointments!$D$6:$D$2005,D336,Appointments!$F$6:$F$2005,"Done",Appointments!$M$6:$M$2005,"&gt;"&amp;M336)=0,1,0),0)</f>
        <v/>
      </c>
      <c r="O336">
        <f>IF(AND(F336="Booked",M336&lt;&gt;"",N(B336)&gt;=TODAY()),IF(COUNTIFS(Appointments!$D$6:$D$2005,D336,Appointments!$F$6:$F$2005,"Booked",Appointments!$B$6:$B$2005,"&gt;="&amp;TODAY(),Appointments!$M$6:$M$2005,"&lt;"&amp;M336)=0,1,0),0)</f>
        <v/>
      </c>
    </row>
    <row r="337">
      <c r="A337" s="1" t="n"/>
      <c r="B337" s="30" t="n">
        <v>46105</v>
      </c>
      <c r="C337" s="31" t="n">
        <v>0.5451388888888888</v>
      </c>
      <c r="D337" s="32" t="inlineStr">
        <is>
          <t>Matt Ellis</t>
        </is>
      </c>
      <c r="E337" s="32" t="inlineStr">
        <is>
          <t>Men's haircut</t>
        </is>
      </c>
      <c r="F337" s="33" t="inlineStr">
        <is>
          <t>Done</t>
        </is>
      </c>
      <c r="G337" s="27">
        <f>IF(E337="","",MAX(0,IFERROR(INDEX(Services!$C$6:$C$35,MATCH(E337,Services!$B$6:$B$35,0)),0)-N(H337)))</f>
        <v/>
      </c>
      <c r="H337" s="34" t="n"/>
      <c r="I337" s="34" t="n">
        <v>30</v>
      </c>
      <c r="J337" s="33" t="inlineStr">
        <is>
          <t>Card</t>
        </is>
      </c>
      <c r="K337" s="28">
        <f>IF(OR(B337="",F337&lt;&gt;"Done",J337="Package"),"",IF(N(G337)-N(I337)&gt;0,N(G337)-N(I337),""))</f>
        <v/>
      </c>
      <c r="L337" s="32" t="n"/>
      <c r="M337" s="1">
        <f>IF(OR(B337="",D337="",F337="Cancelled"),"",B337+N(C337)+ROW()/10000000)</f>
        <v/>
      </c>
      <c r="N337">
        <f>IF(AND(F337="Done",M337&lt;&gt;""),IF(COUNTIFS(Appointments!$D$6:$D$2005,D337,Appointments!$F$6:$F$2005,"Done",Appointments!$M$6:$M$2005,"&gt;"&amp;M337)=0,1,0),0)</f>
        <v/>
      </c>
      <c r="O337">
        <f>IF(AND(F337="Booked",M337&lt;&gt;"",N(B337)&gt;=TODAY()),IF(COUNTIFS(Appointments!$D$6:$D$2005,D337,Appointments!$F$6:$F$2005,"Booked",Appointments!$B$6:$B$2005,"&gt;="&amp;TODAY(),Appointments!$M$6:$M$2005,"&lt;"&amp;M337)=0,1,0),0)</f>
        <v/>
      </c>
    </row>
    <row r="338">
      <c r="A338" s="1" t="n"/>
      <c r="B338" s="30" t="n">
        <v>46105</v>
      </c>
      <c r="C338" s="31" t="n">
        <v>0.5729166666666666</v>
      </c>
      <c r="D338" s="32" t="inlineStr">
        <is>
          <t>Paul Wright</t>
        </is>
      </c>
      <c r="E338" s="32" t="inlineStr">
        <is>
          <t>Men's haircut</t>
        </is>
      </c>
      <c r="F338" s="33" t="inlineStr">
        <is>
          <t>Cancelled</t>
        </is>
      </c>
      <c r="G338" s="27">
        <f>IF(E338="","",MAX(0,IFERROR(INDEX(Services!$C$6:$C$35,MATCH(E338,Services!$B$6:$B$35,0)),0)-N(H338)))</f>
        <v/>
      </c>
      <c r="H338" s="34" t="n"/>
      <c r="I338" s="34" t="n"/>
      <c r="J338" s="33" t="n"/>
      <c r="K338" s="28">
        <f>IF(OR(B338="",F338&lt;&gt;"Done",J338="Package"),"",IF(N(G338)-N(I338)&gt;0,N(G338)-N(I338),""))</f>
        <v/>
      </c>
      <c r="L338" s="32" t="n"/>
      <c r="M338" s="1">
        <f>IF(OR(B338="",D338="",F338="Cancelled"),"",B338+N(C338)+ROW()/10000000)</f>
        <v/>
      </c>
      <c r="N338">
        <f>IF(AND(F338="Done",M338&lt;&gt;""),IF(COUNTIFS(Appointments!$D$6:$D$2005,D338,Appointments!$F$6:$F$2005,"Done",Appointments!$M$6:$M$2005,"&gt;"&amp;M338)=0,1,0),0)</f>
        <v/>
      </c>
      <c r="O338">
        <f>IF(AND(F338="Booked",M338&lt;&gt;"",N(B338)&gt;=TODAY()),IF(COUNTIFS(Appointments!$D$6:$D$2005,D338,Appointments!$F$6:$F$2005,"Booked",Appointments!$B$6:$B$2005,"&gt;="&amp;TODAY(),Appointments!$M$6:$M$2005,"&lt;"&amp;M338)=0,1,0),0)</f>
        <v/>
      </c>
    </row>
    <row r="339">
      <c r="A339" s="1" t="n"/>
      <c r="B339" s="30" t="n">
        <v>46106</v>
      </c>
      <c r="C339" s="31" t="n">
        <v>0.375</v>
      </c>
      <c r="D339" s="32" t="inlineStr">
        <is>
          <t>Adam Gray</t>
        </is>
      </c>
      <c r="E339" s="32" t="inlineStr">
        <is>
          <t>Men's haircut</t>
        </is>
      </c>
      <c r="F339" s="33" t="inlineStr">
        <is>
          <t>Done</t>
        </is>
      </c>
      <c r="G339" s="27">
        <f>IF(E339="","",MAX(0,IFERROR(INDEX(Services!$C$6:$C$35,MATCH(E339,Services!$B$6:$B$35,0)),0)-N(H339)))</f>
        <v/>
      </c>
      <c r="H339" s="34" t="n"/>
      <c r="I339" s="34" t="n">
        <v>30</v>
      </c>
      <c r="J339" s="33" t="inlineStr">
        <is>
          <t>Card</t>
        </is>
      </c>
      <c r="K339" s="28">
        <f>IF(OR(B339="",F339&lt;&gt;"Done",J339="Package"),"",IF(N(G339)-N(I339)&gt;0,N(G339)-N(I339),""))</f>
        <v/>
      </c>
      <c r="L339" s="32" t="n"/>
      <c r="M339" s="1">
        <f>IF(OR(B339="",D339="",F339="Cancelled"),"",B339+N(C339)+ROW()/10000000)</f>
        <v/>
      </c>
      <c r="N339">
        <f>IF(AND(F339="Done",M339&lt;&gt;""),IF(COUNTIFS(Appointments!$D$6:$D$2005,D339,Appointments!$F$6:$F$2005,"Done",Appointments!$M$6:$M$2005,"&gt;"&amp;M339)=0,1,0),0)</f>
        <v/>
      </c>
      <c r="O339">
        <f>IF(AND(F339="Booked",M339&lt;&gt;"",N(B339)&gt;=TODAY()),IF(COUNTIFS(Appointments!$D$6:$D$2005,D339,Appointments!$F$6:$F$2005,"Booked",Appointments!$B$6:$B$2005,"&gt;="&amp;TODAY(),Appointments!$M$6:$M$2005,"&lt;"&amp;M339)=0,1,0),0)</f>
        <v/>
      </c>
    </row>
    <row r="340">
      <c r="A340" s="1" t="n"/>
      <c r="B340" s="30" t="n">
        <v>46106</v>
      </c>
      <c r="C340" s="31" t="n">
        <v>0.4027777777777778</v>
      </c>
      <c r="D340" s="32" t="inlineStr">
        <is>
          <t>Finn Gray</t>
        </is>
      </c>
      <c r="E340" s="32" t="inlineStr">
        <is>
          <t>Men's haircut</t>
        </is>
      </c>
      <c r="F340" s="33" t="inlineStr">
        <is>
          <t>Done</t>
        </is>
      </c>
      <c r="G340" s="27">
        <f>IF(E340="","",MAX(0,IFERROR(INDEX(Services!$C$6:$C$35,MATCH(E340,Services!$B$6:$B$35,0)),0)-N(H340)))</f>
        <v/>
      </c>
      <c r="H340" s="34" t="n"/>
      <c r="I340" s="34" t="n">
        <v>30</v>
      </c>
      <c r="J340" s="33" t="inlineStr">
        <is>
          <t>Cash</t>
        </is>
      </c>
      <c r="K340" s="28">
        <f>IF(OR(B340="",F340&lt;&gt;"Done",J340="Package"),"",IF(N(G340)-N(I340)&gt;0,N(G340)-N(I340),""))</f>
        <v/>
      </c>
      <c r="L340" s="32" t="n"/>
      <c r="M340" s="1">
        <f>IF(OR(B340="",D340="",F340="Cancelled"),"",B340+N(C340)+ROW()/10000000)</f>
        <v/>
      </c>
      <c r="N340">
        <f>IF(AND(F340="Done",M340&lt;&gt;""),IF(COUNTIFS(Appointments!$D$6:$D$2005,D340,Appointments!$F$6:$F$2005,"Done",Appointments!$M$6:$M$2005,"&gt;"&amp;M340)=0,1,0),0)</f>
        <v/>
      </c>
      <c r="O340">
        <f>IF(AND(F340="Booked",M340&lt;&gt;"",N(B340)&gt;=TODAY()),IF(COUNTIFS(Appointments!$D$6:$D$2005,D340,Appointments!$F$6:$F$2005,"Booked",Appointments!$B$6:$B$2005,"&gt;="&amp;TODAY(),Appointments!$M$6:$M$2005,"&lt;"&amp;M340)=0,1,0),0)</f>
        <v/>
      </c>
    </row>
    <row r="341">
      <c r="A341" s="1" t="n"/>
      <c r="B341" s="30" t="n">
        <v>46106</v>
      </c>
      <c r="C341" s="31" t="n">
        <v>0.4305555555555556</v>
      </c>
      <c r="D341" s="32" t="inlineStr">
        <is>
          <t>Ian Hall</t>
        </is>
      </c>
      <c r="E341" s="32" t="inlineStr">
        <is>
          <t>Men's haircut</t>
        </is>
      </c>
      <c r="F341" s="33" t="inlineStr">
        <is>
          <t>Done</t>
        </is>
      </c>
      <c r="G341" s="27">
        <f>IF(E341="","",MAX(0,IFERROR(INDEX(Services!$C$6:$C$35,MATCH(E341,Services!$B$6:$B$35,0)),0)-N(H341)))</f>
        <v/>
      </c>
      <c r="H341" s="34" t="n"/>
      <c r="I341" s="34" t="n">
        <v>30</v>
      </c>
      <c r="J341" s="33" t="inlineStr">
        <is>
          <t>App</t>
        </is>
      </c>
      <c r="K341" s="28">
        <f>IF(OR(B341="",F341&lt;&gt;"Done",J341="Package"),"",IF(N(G341)-N(I341)&gt;0,N(G341)-N(I341),""))</f>
        <v/>
      </c>
      <c r="L341" s="32" t="n"/>
      <c r="M341" s="1">
        <f>IF(OR(B341="",D341="",F341="Cancelled"),"",B341+N(C341)+ROW()/10000000)</f>
        <v/>
      </c>
      <c r="N341">
        <f>IF(AND(F341="Done",M341&lt;&gt;""),IF(COUNTIFS(Appointments!$D$6:$D$2005,D341,Appointments!$F$6:$F$2005,"Done",Appointments!$M$6:$M$2005,"&gt;"&amp;M341)=0,1,0),0)</f>
        <v/>
      </c>
      <c r="O341">
        <f>IF(AND(F341="Booked",M341&lt;&gt;"",N(B341)&gt;=TODAY()),IF(COUNTIFS(Appointments!$D$6:$D$2005,D341,Appointments!$F$6:$F$2005,"Booked",Appointments!$B$6:$B$2005,"&gt;="&amp;TODAY(),Appointments!$M$6:$M$2005,"&lt;"&amp;M341)=0,1,0),0)</f>
        <v/>
      </c>
    </row>
    <row r="342">
      <c r="A342" s="1" t="n"/>
      <c r="B342" s="30" t="n">
        <v>46106</v>
      </c>
      <c r="C342" s="31" t="n">
        <v>0.4583333333333333</v>
      </c>
      <c r="D342" s="32" t="inlineStr">
        <is>
          <t>Jack Wilson</t>
        </is>
      </c>
      <c r="E342" s="32" t="inlineStr">
        <is>
          <t>Men's haircut</t>
        </is>
      </c>
      <c r="F342" s="33" t="inlineStr">
        <is>
          <t>Done</t>
        </is>
      </c>
      <c r="G342" s="27">
        <f>IF(E342="","",MAX(0,IFERROR(INDEX(Services!$C$6:$C$35,MATCH(E342,Services!$B$6:$B$35,0)),0)-N(H342)))</f>
        <v/>
      </c>
      <c r="H342" s="34" t="n"/>
      <c r="I342" s="34" t="n">
        <v>30</v>
      </c>
      <c r="J342" s="33" t="inlineStr">
        <is>
          <t>Cash</t>
        </is>
      </c>
      <c r="K342" s="28">
        <f>IF(OR(B342="",F342&lt;&gt;"Done",J342="Package"),"",IF(N(G342)-N(I342)&gt;0,N(G342)-N(I342),""))</f>
        <v/>
      </c>
      <c r="L342" s="32" t="n"/>
      <c r="M342" s="1">
        <f>IF(OR(B342="",D342="",F342="Cancelled"),"",B342+N(C342)+ROW()/10000000)</f>
        <v/>
      </c>
      <c r="N342">
        <f>IF(AND(F342="Done",M342&lt;&gt;""),IF(COUNTIFS(Appointments!$D$6:$D$2005,D342,Appointments!$F$6:$F$2005,"Done",Appointments!$M$6:$M$2005,"&gt;"&amp;M342)=0,1,0),0)</f>
        <v/>
      </c>
      <c r="O342">
        <f>IF(AND(F342="Booked",M342&lt;&gt;"",N(B342)&gt;=TODAY()),IF(COUNTIFS(Appointments!$D$6:$D$2005,D342,Appointments!$F$6:$F$2005,"Booked",Appointments!$B$6:$B$2005,"&gt;="&amp;TODAY(),Appointments!$M$6:$M$2005,"&lt;"&amp;M342)=0,1,0),0)</f>
        <v/>
      </c>
    </row>
    <row r="343">
      <c r="A343" s="1" t="n"/>
      <c r="B343" s="30" t="n">
        <v>46106</v>
      </c>
      <c r="C343" s="31" t="n">
        <v>0.4861111111111111</v>
      </c>
      <c r="D343" s="32" t="inlineStr">
        <is>
          <t>Kara Adams</t>
        </is>
      </c>
      <c r="E343" s="32" t="inlineStr">
        <is>
          <t>Women's haircut</t>
        </is>
      </c>
      <c r="F343" s="33" t="inlineStr">
        <is>
          <t>Done</t>
        </is>
      </c>
      <c r="G343" s="27">
        <f>IF(E343="","",MAX(0,IFERROR(INDEX(Services!$C$6:$C$35,MATCH(E343,Services!$B$6:$B$35,0)),0)-N(H343)))</f>
        <v/>
      </c>
      <c r="H343" s="34" t="n"/>
      <c r="I343" s="34" t="n">
        <v>55</v>
      </c>
      <c r="J343" s="33" t="inlineStr">
        <is>
          <t>Cash</t>
        </is>
      </c>
      <c r="K343" s="28">
        <f>IF(OR(B343="",F343&lt;&gt;"Done",J343="Package"),"",IF(N(G343)-N(I343)&gt;0,N(G343)-N(I343),""))</f>
        <v/>
      </c>
      <c r="L343" s="32" t="n"/>
      <c r="M343" s="1">
        <f>IF(OR(B343="",D343="",F343="Cancelled"),"",B343+N(C343)+ROW()/10000000)</f>
        <v/>
      </c>
      <c r="N343">
        <f>IF(AND(F343="Done",M343&lt;&gt;""),IF(COUNTIFS(Appointments!$D$6:$D$2005,D343,Appointments!$F$6:$F$2005,"Done",Appointments!$M$6:$M$2005,"&gt;"&amp;M343)=0,1,0),0)</f>
        <v/>
      </c>
      <c r="O343">
        <f>IF(AND(F343="Booked",M343&lt;&gt;"",N(B343)&gt;=TODAY()),IF(COUNTIFS(Appointments!$D$6:$D$2005,D343,Appointments!$F$6:$F$2005,"Booked",Appointments!$B$6:$B$2005,"&gt;="&amp;TODAY(),Appointments!$M$6:$M$2005,"&lt;"&amp;M343)=0,1,0),0)</f>
        <v/>
      </c>
    </row>
    <row r="344">
      <c r="A344" s="1" t="n"/>
      <c r="B344" s="30" t="n">
        <v>46106</v>
      </c>
      <c r="C344" s="31" t="n">
        <v>0.5347222222222222</v>
      </c>
      <c r="D344" s="32" t="inlineStr">
        <is>
          <t>Luke Reed</t>
        </is>
      </c>
      <c r="E344" s="32" t="inlineStr">
        <is>
          <t>Men's haircut</t>
        </is>
      </c>
      <c r="F344" s="33" t="inlineStr">
        <is>
          <t>Done</t>
        </is>
      </c>
      <c r="G344" s="27">
        <f>IF(E344="","",MAX(0,IFERROR(INDEX(Services!$C$6:$C$35,MATCH(E344,Services!$B$6:$B$35,0)),0)-N(H344)))</f>
        <v/>
      </c>
      <c r="H344" s="34" t="n"/>
      <c r="I344" s="34" t="n">
        <v>30</v>
      </c>
      <c r="J344" s="33" t="inlineStr">
        <is>
          <t>Card</t>
        </is>
      </c>
      <c r="K344" s="28">
        <f>IF(OR(B344="",F344&lt;&gt;"Done",J344="Package"),"",IF(N(G344)-N(I344)&gt;0,N(G344)-N(I344),""))</f>
        <v/>
      </c>
      <c r="L344" s="32" t="n"/>
      <c r="M344" s="1">
        <f>IF(OR(B344="",D344="",F344="Cancelled"),"",B344+N(C344)+ROW()/10000000)</f>
        <v/>
      </c>
      <c r="N344">
        <f>IF(AND(F344="Done",M344&lt;&gt;""),IF(COUNTIFS(Appointments!$D$6:$D$2005,D344,Appointments!$F$6:$F$2005,"Done",Appointments!$M$6:$M$2005,"&gt;"&amp;M344)=0,1,0),0)</f>
        <v/>
      </c>
      <c r="O344">
        <f>IF(AND(F344="Booked",M344&lt;&gt;"",N(B344)&gt;=TODAY()),IF(COUNTIFS(Appointments!$D$6:$D$2005,D344,Appointments!$F$6:$F$2005,"Booked",Appointments!$B$6:$B$2005,"&gt;="&amp;TODAY(),Appointments!$M$6:$M$2005,"&lt;"&amp;M344)=0,1,0),0)</f>
        <v/>
      </c>
    </row>
    <row r="345">
      <c r="A345" s="1" t="n"/>
      <c r="B345" s="30" t="n">
        <v>46106</v>
      </c>
      <c r="C345" s="31" t="n">
        <v>0.5625</v>
      </c>
      <c r="D345" s="32" t="inlineStr">
        <is>
          <t>Tom Gray</t>
        </is>
      </c>
      <c r="E345" s="32" t="inlineStr">
        <is>
          <t>Men's haircut</t>
        </is>
      </c>
      <c r="F345" s="33" t="inlineStr">
        <is>
          <t>Done</t>
        </is>
      </c>
      <c r="G345" s="27">
        <f>IF(E345="","",MAX(0,IFERROR(INDEX(Services!$C$6:$C$35,MATCH(E345,Services!$B$6:$B$35,0)),0)-N(H345)))</f>
        <v/>
      </c>
      <c r="H345" s="34" t="n"/>
      <c r="I345" s="34" t="n">
        <v>30</v>
      </c>
      <c r="J345" s="33" t="inlineStr">
        <is>
          <t>Card</t>
        </is>
      </c>
      <c r="K345" s="28">
        <f>IF(OR(B345="",F345&lt;&gt;"Done",J345="Package"),"",IF(N(G345)-N(I345)&gt;0,N(G345)-N(I345),""))</f>
        <v/>
      </c>
      <c r="L345" s="32" t="n"/>
      <c r="M345" s="1">
        <f>IF(OR(B345="",D345="",F345="Cancelled"),"",B345+N(C345)+ROW()/10000000)</f>
        <v/>
      </c>
      <c r="N345">
        <f>IF(AND(F345="Done",M345&lt;&gt;""),IF(COUNTIFS(Appointments!$D$6:$D$2005,D345,Appointments!$F$6:$F$2005,"Done",Appointments!$M$6:$M$2005,"&gt;"&amp;M345)=0,1,0),0)</f>
        <v/>
      </c>
      <c r="O345">
        <f>IF(AND(F345="Booked",M345&lt;&gt;"",N(B345)&gt;=TODAY()),IF(COUNTIFS(Appointments!$D$6:$D$2005,D345,Appointments!$F$6:$F$2005,"Booked",Appointments!$B$6:$B$2005,"&gt;="&amp;TODAY(),Appointments!$M$6:$M$2005,"&lt;"&amp;M345)=0,1,0),0)</f>
        <v/>
      </c>
    </row>
    <row r="346">
      <c r="A346" s="1" t="n"/>
      <c r="B346" s="30" t="n">
        <v>46107</v>
      </c>
      <c r="C346" s="31" t="n">
        <v>0.375</v>
      </c>
      <c r="D346" s="32" t="inlineStr">
        <is>
          <t>Amy Hughes</t>
        </is>
      </c>
      <c r="E346" s="32" t="inlineStr">
        <is>
          <t>Colour</t>
        </is>
      </c>
      <c r="F346" s="33" t="inlineStr">
        <is>
          <t>Done</t>
        </is>
      </c>
      <c r="G346" s="27">
        <f>IF(E346="","",MAX(0,IFERROR(INDEX(Services!$C$6:$C$35,MATCH(E346,Services!$B$6:$B$35,0)),0)-N(H346)))</f>
        <v/>
      </c>
      <c r="H346" s="34" t="n">
        <v>10</v>
      </c>
      <c r="I346" s="34" t="n">
        <v>85</v>
      </c>
      <c r="J346" s="33" t="inlineStr">
        <is>
          <t>Transfer</t>
        </is>
      </c>
      <c r="K346" s="28">
        <f>IF(OR(B346="",F346&lt;&gt;"Done",J346="Package"),"",IF(N(G346)-N(I346)&gt;0,N(G346)-N(I346),""))</f>
        <v/>
      </c>
      <c r="L346" s="32" t="inlineStr">
        <is>
          <t>Friends and family</t>
        </is>
      </c>
      <c r="M346" s="1">
        <f>IF(OR(B346="",D346="",F346="Cancelled"),"",B346+N(C346)+ROW()/10000000)</f>
        <v/>
      </c>
      <c r="N346">
        <f>IF(AND(F346="Done",M346&lt;&gt;""),IF(COUNTIFS(Appointments!$D$6:$D$2005,D346,Appointments!$F$6:$F$2005,"Done",Appointments!$M$6:$M$2005,"&gt;"&amp;M346)=0,1,0),0)</f>
        <v/>
      </c>
      <c r="O346">
        <f>IF(AND(F346="Booked",M346&lt;&gt;"",N(B346)&gt;=TODAY()),IF(COUNTIFS(Appointments!$D$6:$D$2005,D346,Appointments!$F$6:$F$2005,"Booked",Appointments!$B$6:$B$2005,"&gt;="&amp;TODAY(),Appointments!$M$6:$M$2005,"&lt;"&amp;M346)=0,1,0),0)</f>
        <v/>
      </c>
    </row>
    <row r="347">
      <c r="A347" s="1" t="n"/>
      <c r="B347" s="30" t="n">
        <v>46107</v>
      </c>
      <c r="C347" s="31" t="n">
        <v>0.4652777777777778</v>
      </c>
      <c r="D347" s="32" t="inlineStr">
        <is>
          <t>Harry Hall</t>
        </is>
      </c>
      <c r="E347" s="32" t="inlineStr">
        <is>
          <t>Men's haircut</t>
        </is>
      </c>
      <c r="F347" s="33" t="inlineStr">
        <is>
          <t>Done</t>
        </is>
      </c>
      <c r="G347" s="27">
        <f>IF(E347="","",MAX(0,IFERROR(INDEX(Services!$C$6:$C$35,MATCH(E347,Services!$B$6:$B$35,0)),0)-N(H347)))</f>
        <v/>
      </c>
      <c r="H347" s="34" t="n"/>
      <c r="I347" s="34" t="n">
        <v>30</v>
      </c>
      <c r="J347" s="33" t="inlineStr">
        <is>
          <t>Card</t>
        </is>
      </c>
      <c r="K347" s="28">
        <f>IF(OR(B347="",F347&lt;&gt;"Done",J347="Package"),"",IF(N(G347)-N(I347)&gt;0,N(G347)-N(I347),""))</f>
        <v/>
      </c>
      <c r="L347" s="32" t="n"/>
      <c r="M347" s="1">
        <f>IF(OR(B347="",D347="",F347="Cancelled"),"",B347+N(C347)+ROW()/10000000)</f>
        <v/>
      </c>
      <c r="N347">
        <f>IF(AND(F347="Done",M347&lt;&gt;""),IF(COUNTIFS(Appointments!$D$6:$D$2005,D347,Appointments!$F$6:$F$2005,"Done",Appointments!$M$6:$M$2005,"&gt;"&amp;M347)=0,1,0),0)</f>
        <v/>
      </c>
      <c r="O347">
        <f>IF(AND(F347="Booked",M347&lt;&gt;"",N(B347)&gt;=TODAY()),IF(COUNTIFS(Appointments!$D$6:$D$2005,D347,Appointments!$F$6:$F$2005,"Booked",Appointments!$B$6:$B$2005,"&gt;="&amp;TODAY(),Appointments!$M$6:$M$2005,"&lt;"&amp;M347)=0,1,0),0)</f>
        <v/>
      </c>
    </row>
    <row r="348">
      <c r="A348" s="1" t="n"/>
      <c r="B348" s="30" t="n">
        <v>46108</v>
      </c>
      <c r="C348" s="31" t="n">
        <v>0.375</v>
      </c>
      <c r="D348" s="32" t="inlineStr">
        <is>
          <t>Harry Owens</t>
        </is>
      </c>
      <c r="E348" s="32" t="inlineStr">
        <is>
          <t>Men's haircut</t>
        </is>
      </c>
      <c r="F348" s="33" t="inlineStr">
        <is>
          <t>Done</t>
        </is>
      </c>
      <c r="G348" s="27">
        <f>IF(E348="","",MAX(0,IFERROR(INDEX(Services!$C$6:$C$35,MATCH(E348,Services!$B$6:$B$35,0)),0)-N(H348)))</f>
        <v/>
      </c>
      <c r="H348" s="34" t="n"/>
      <c r="I348" s="34" t="n">
        <v>30</v>
      </c>
      <c r="J348" s="33" t="inlineStr">
        <is>
          <t>Cash</t>
        </is>
      </c>
      <c r="K348" s="28">
        <f>IF(OR(B348="",F348&lt;&gt;"Done",J348="Package"),"",IF(N(G348)-N(I348)&gt;0,N(G348)-N(I348),""))</f>
        <v/>
      </c>
      <c r="L348" s="32" t="n"/>
      <c r="M348" s="1">
        <f>IF(OR(B348="",D348="",F348="Cancelled"),"",B348+N(C348)+ROW()/10000000)</f>
        <v/>
      </c>
      <c r="N348">
        <f>IF(AND(F348="Done",M348&lt;&gt;""),IF(COUNTIFS(Appointments!$D$6:$D$2005,D348,Appointments!$F$6:$F$2005,"Done",Appointments!$M$6:$M$2005,"&gt;"&amp;M348)=0,1,0),0)</f>
        <v/>
      </c>
      <c r="O348">
        <f>IF(AND(F348="Booked",M348&lt;&gt;"",N(B348)&gt;=TODAY()),IF(COUNTIFS(Appointments!$D$6:$D$2005,D348,Appointments!$F$6:$F$2005,"Booked",Appointments!$B$6:$B$2005,"&gt;="&amp;TODAY(),Appointments!$M$6:$M$2005,"&lt;"&amp;M348)=0,1,0),0)</f>
        <v/>
      </c>
    </row>
    <row r="349">
      <c r="A349" s="1" t="n"/>
      <c r="B349" s="30" t="n">
        <v>46108</v>
      </c>
      <c r="C349" s="31" t="n">
        <v>0.4027777777777778</v>
      </c>
      <c r="D349" s="32" t="inlineStr">
        <is>
          <t>Julia Hughes</t>
        </is>
      </c>
      <c r="E349" s="32" t="inlineStr">
        <is>
          <t>Women's haircut</t>
        </is>
      </c>
      <c r="F349" s="33" t="inlineStr">
        <is>
          <t>No-show</t>
        </is>
      </c>
      <c r="G349" s="27">
        <f>IF(E349="","",MAX(0,IFERROR(INDEX(Services!$C$6:$C$35,MATCH(E349,Services!$B$6:$B$35,0)),0)-N(H349)))</f>
        <v/>
      </c>
      <c r="H349" s="34" t="n"/>
      <c r="I349" s="34" t="n"/>
      <c r="J349" s="33" t="n"/>
      <c r="K349" s="28">
        <f>IF(OR(B349="",F349&lt;&gt;"Done",J349="Package"),"",IF(N(G349)-N(I349)&gt;0,N(G349)-N(I349),""))</f>
        <v/>
      </c>
      <c r="L349" s="32" t="n"/>
      <c r="M349" s="1">
        <f>IF(OR(B349="",D349="",F349="Cancelled"),"",B349+N(C349)+ROW()/10000000)</f>
        <v/>
      </c>
      <c r="N349">
        <f>IF(AND(F349="Done",M349&lt;&gt;""),IF(COUNTIFS(Appointments!$D$6:$D$2005,D349,Appointments!$F$6:$F$2005,"Done",Appointments!$M$6:$M$2005,"&gt;"&amp;M349)=0,1,0),0)</f>
        <v/>
      </c>
      <c r="O349">
        <f>IF(AND(F349="Booked",M349&lt;&gt;"",N(B349)&gt;=TODAY()),IF(COUNTIFS(Appointments!$D$6:$D$2005,D349,Appointments!$F$6:$F$2005,"Booked",Appointments!$B$6:$B$2005,"&gt;="&amp;TODAY(),Appointments!$M$6:$M$2005,"&lt;"&amp;M349)=0,1,0),0)</f>
        <v/>
      </c>
    </row>
    <row r="350">
      <c r="A350" s="1" t="n"/>
      <c r="B350" s="30" t="n">
        <v>46108</v>
      </c>
      <c r="C350" s="31" t="n">
        <v>0.4513888888888889</v>
      </c>
      <c r="D350" s="32" t="inlineStr">
        <is>
          <t>Nina Ellis</t>
        </is>
      </c>
      <c r="E350" s="32" t="inlineStr">
        <is>
          <t>Treatment</t>
        </is>
      </c>
      <c r="F350" s="33" t="inlineStr">
        <is>
          <t>Done</t>
        </is>
      </c>
      <c r="G350" s="27">
        <f>IF(E350="","",MAX(0,IFERROR(INDEX(Services!$C$6:$C$35,MATCH(E350,Services!$B$6:$B$35,0)),0)-N(H350)))</f>
        <v/>
      </c>
      <c r="H350" s="34" t="n"/>
      <c r="I350" s="34" t="n">
        <v>30</v>
      </c>
      <c r="J350" s="33" t="inlineStr">
        <is>
          <t>Cash</t>
        </is>
      </c>
      <c r="K350" s="28">
        <f>IF(OR(B350="",F350&lt;&gt;"Done",J350="Package"),"",IF(N(G350)-N(I350)&gt;0,N(G350)-N(I350),""))</f>
        <v/>
      </c>
      <c r="L350" s="32" t="n"/>
      <c r="M350" s="1">
        <f>IF(OR(B350="",D350="",F350="Cancelled"),"",B350+N(C350)+ROW()/10000000)</f>
        <v/>
      </c>
      <c r="N350">
        <f>IF(AND(F350="Done",M350&lt;&gt;""),IF(COUNTIFS(Appointments!$D$6:$D$2005,D350,Appointments!$F$6:$F$2005,"Done",Appointments!$M$6:$M$2005,"&gt;"&amp;M350)=0,1,0),0)</f>
        <v/>
      </c>
      <c r="O350">
        <f>IF(AND(F350="Booked",M350&lt;&gt;"",N(B350)&gt;=TODAY()),IF(COUNTIFS(Appointments!$D$6:$D$2005,D350,Appointments!$F$6:$F$2005,"Booked",Appointments!$B$6:$B$2005,"&gt;="&amp;TODAY(),Appointments!$M$6:$M$2005,"&lt;"&amp;M350)=0,1,0),0)</f>
        <v/>
      </c>
    </row>
    <row r="351">
      <c r="A351" s="1" t="n"/>
      <c r="B351" s="30" t="n">
        <v>46109</v>
      </c>
      <c r="C351" s="31" t="n">
        <v>0.375</v>
      </c>
      <c r="D351" s="32" t="inlineStr">
        <is>
          <t>Amy Kelly</t>
        </is>
      </c>
      <c r="E351" s="32" t="inlineStr">
        <is>
          <t>Treatment</t>
        </is>
      </c>
      <c r="F351" s="33" t="inlineStr">
        <is>
          <t>Done</t>
        </is>
      </c>
      <c r="G351" s="27">
        <f>IF(E351="","",MAX(0,IFERROR(INDEX(Services!$C$6:$C$35,MATCH(E351,Services!$B$6:$B$35,0)),0)-N(H351)))</f>
        <v/>
      </c>
      <c r="H351" s="34" t="n"/>
      <c r="I351" s="34" t="n">
        <v>30</v>
      </c>
      <c r="J351" s="33" t="inlineStr">
        <is>
          <t>Cash</t>
        </is>
      </c>
      <c r="K351" s="28">
        <f>IF(OR(B351="",F351&lt;&gt;"Done",J351="Package"),"",IF(N(G351)-N(I351)&gt;0,N(G351)-N(I351),""))</f>
        <v/>
      </c>
      <c r="L351" s="32" t="n"/>
      <c r="M351" s="1">
        <f>IF(OR(B351="",D351="",F351="Cancelled"),"",B351+N(C351)+ROW()/10000000)</f>
        <v/>
      </c>
      <c r="N351">
        <f>IF(AND(F351="Done",M351&lt;&gt;""),IF(COUNTIFS(Appointments!$D$6:$D$2005,D351,Appointments!$F$6:$F$2005,"Done",Appointments!$M$6:$M$2005,"&gt;"&amp;M351)=0,1,0),0)</f>
        <v/>
      </c>
      <c r="O351">
        <f>IF(AND(F351="Booked",M351&lt;&gt;"",N(B351)&gt;=TODAY()),IF(COUNTIFS(Appointments!$D$6:$D$2005,D351,Appointments!$F$6:$F$2005,"Booked",Appointments!$B$6:$B$2005,"&gt;="&amp;TODAY(),Appointments!$M$6:$M$2005,"&lt;"&amp;M351)=0,1,0),0)</f>
        <v/>
      </c>
    </row>
    <row r="352">
      <c r="A352" s="1" t="n"/>
      <c r="B352" s="30" t="n">
        <v>46109</v>
      </c>
      <c r="C352" s="31" t="n">
        <v>0.4027777777777778</v>
      </c>
      <c r="D352" s="32" t="inlineStr">
        <is>
          <t>Eli Cole</t>
        </is>
      </c>
      <c r="E352" s="32" t="inlineStr">
        <is>
          <t>Men's haircut</t>
        </is>
      </c>
      <c r="F352" s="33" t="inlineStr">
        <is>
          <t>Done</t>
        </is>
      </c>
      <c r="G352" s="27">
        <f>IF(E352="","",MAX(0,IFERROR(INDEX(Services!$C$6:$C$35,MATCH(E352,Services!$B$6:$B$35,0)),0)-N(H352)))</f>
        <v/>
      </c>
      <c r="H352" s="34" t="n"/>
      <c r="I352" s="34" t="n">
        <v>30</v>
      </c>
      <c r="J352" s="33" t="inlineStr">
        <is>
          <t>Card</t>
        </is>
      </c>
      <c r="K352" s="28">
        <f>IF(OR(B352="",F352&lt;&gt;"Done",J352="Package"),"",IF(N(G352)-N(I352)&gt;0,N(G352)-N(I352),""))</f>
        <v/>
      </c>
      <c r="L352" s="32" t="n"/>
      <c r="M352" s="1">
        <f>IF(OR(B352="",D352="",F352="Cancelled"),"",B352+N(C352)+ROW()/10000000)</f>
        <v/>
      </c>
      <c r="N352">
        <f>IF(AND(F352="Done",M352&lt;&gt;""),IF(COUNTIFS(Appointments!$D$6:$D$2005,D352,Appointments!$F$6:$F$2005,"Done",Appointments!$M$6:$M$2005,"&gt;"&amp;M352)=0,1,0),0)</f>
        <v/>
      </c>
      <c r="O352">
        <f>IF(AND(F352="Booked",M352&lt;&gt;"",N(B352)&gt;=TODAY()),IF(COUNTIFS(Appointments!$D$6:$D$2005,D352,Appointments!$F$6:$F$2005,"Booked",Appointments!$B$6:$B$2005,"&gt;="&amp;TODAY(),Appointments!$M$6:$M$2005,"&lt;"&amp;M352)=0,1,0),0)</f>
        <v/>
      </c>
    </row>
    <row r="353">
      <c r="A353" s="1" t="n"/>
      <c r="B353" s="30" t="n">
        <v>46109</v>
      </c>
      <c r="C353" s="31" t="n">
        <v>0.4305555555555556</v>
      </c>
      <c r="D353" s="32" t="inlineStr">
        <is>
          <t>George Mason</t>
        </is>
      </c>
      <c r="E353" s="32" t="inlineStr">
        <is>
          <t>Men's haircut</t>
        </is>
      </c>
      <c r="F353" s="33" t="inlineStr">
        <is>
          <t>Done</t>
        </is>
      </c>
      <c r="G353" s="27">
        <f>IF(E353="","",MAX(0,IFERROR(INDEX(Services!$C$6:$C$35,MATCH(E353,Services!$B$6:$B$35,0)),0)-N(H353)))</f>
        <v/>
      </c>
      <c r="H353" s="34" t="n"/>
      <c r="I353" s="34" t="n">
        <v>30</v>
      </c>
      <c r="J353" s="33" t="inlineStr">
        <is>
          <t>Transfer</t>
        </is>
      </c>
      <c r="K353" s="28">
        <f>IF(OR(B353="",F353&lt;&gt;"Done",J353="Package"),"",IF(N(G353)-N(I353)&gt;0,N(G353)-N(I353),""))</f>
        <v/>
      </c>
      <c r="L353" s="32" t="n"/>
      <c r="M353" s="1">
        <f>IF(OR(B353="",D353="",F353="Cancelled"),"",B353+N(C353)+ROW()/10000000)</f>
        <v/>
      </c>
      <c r="N353">
        <f>IF(AND(F353="Done",M353&lt;&gt;""),IF(COUNTIFS(Appointments!$D$6:$D$2005,D353,Appointments!$F$6:$F$2005,"Done",Appointments!$M$6:$M$2005,"&gt;"&amp;M353)=0,1,0),0)</f>
        <v/>
      </c>
      <c r="O353">
        <f>IF(AND(F353="Booked",M353&lt;&gt;"",N(B353)&gt;=TODAY()),IF(COUNTIFS(Appointments!$D$6:$D$2005,D353,Appointments!$F$6:$F$2005,"Booked",Appointments!$B$6:$B$2005,"&gt;="&amp;TODAY(),Appointments!$M$6:$M$2005,"&lt;"&amp;M353)=0,1,0),0)</f>
        <v/>
      </c>
    </row>
    <row r="354">
      <c r="A354" s="1" t="n"/>
      <c r="B354" s="30" t="n">
        <v>46109</v>
      </c>
      <c r="C354" s="31" t="n">
        <v>0.4583333333333333</v>
      </c>
      <c r="D354" s="32" t="inlineStr">
        <is>
          <t>Jade Hughes</t>
        </is>
      </c>
      <c r="E354" s="32" t="inlineStr">
        <is>
          <t>Blow dry</t>
        </is>
      </c>
      <c r="F354" s="33" t="inlineStr">
        <is>
          <t>Done</t>
        </is>
      </c>
      <c r="G354" s="27">
        <f>IF(E354="","",MAX(0,IFERROR(INDEX(Services!$C$6:$C$35,MATCH(E354,Services!$B$6:$B$35,0)),0)-N(H354)))</f>
        <v/>
      </c>
      <c r="H354" s="34" t="n"/>
      <c r="I354" s="34" t="n">
        <v>35</v>
      </c>
      <c r="J354" s="33" t="inlineStr">
        <is>
          <t>Card</t>
        </is>
      </c>
      <c r="K354" s="28">
        <f>IF(OR(B354="",F354&lt;&gt;"Done",J354="Package"),"",IF(N(G354)-N(I354)&gt;0,N(G354)-N(I354),""))</f>
        <v/>
      </c>
      <c r="L354" s="32" t="n"/>
      <c r="M354" s="1">
        <f>IF(OR(B354="",D354="",F354="Cancelled"),"",B354+N(C354)+ROW()/10000000)</f>
        <v/>
      </c>
      <c r="N354">
        <f>IF(AND(F354="Done",M354&lt;&gt;""),IF(COUNTIFS(Appointments!$D$6:$D$2005,D354,Appointments!$F$6:$F$2005,"Done",Appointments!$M$6:$M$2005,"&gt;"&amp;M354)=0,1,0),0)</f>
        <v/>
      </c>
      <c r="O354">
        <f>IF(AND(F354="Booked",M354&lt;&gt;"",N(B354)&gt;=TODAY()),IF(COUNTIFS(Appointments!$D$6:$D$2005,D354,Appointments!$F$6:$F$2005,"Booked",Appointments!$B$6:$B$2005,"&gt;="&amp;TODAY(),Appointments!$M$6:$M$2005,"&lt;"&amp;M354)=0,1,0),0)</f>
        <v/>
      </c>
    </row>
    <row r="355">
      <c r="A355" s="1" t="n"/>
      <c r="B355" s="30" t="n">
        <v>46109</v>
      </c>
      <c r="C355" s="31" t="n">
        <v>0.4965277777777778</v>
      </c>
      <c r="D355" s="32" t="inlineStr">
        <is>
          <t>Rosa Diaz</t>
        </is>
      </c>
      <c r="E355" s="32" t="inlineStr">
        <is>
          <t>Women's haircut</t>
        </is>
      </c>
      <c r="F355" s="33" t="inlineStr">
        <is>
          <t>Done</t>
        </is>
      </c>
      <c r="G355" s="27">
        <f>IF(E355="","",MAX(0,IFERROR(INDEX(Services!$C$6:$C$35,MATCH(E355,Services!$B$6:$B$35,0)),0)-N(H355)))</f>
        <v/>
      </c>
      <c r="H355" s="34" t="n"/>
      <c r="I355" s="34" t="n">
        <v>55</v>
      </c>
      <c r="J355" s="33" t="inlineStr">
        <is>
          <t>Transfer</t>
        </is>
      </c>
      <c r="K355" s="28">
        <f>IF(OR(B355="",F355&lt;&gt;"Done",J355="Package"),"",IF(N(G355)-N(I355)&gt;0,N(G355)-N(I355),""))</f>
        <v/>
      </c>
      <c r="L355" s="32" t="n"/>
      <c r="M355" s="1">
        <f>IF(OR(B355="",D355="",F355="Cancelled"),"",B355+N(C355)+ROW()/10000000)</f>
        <v/>
      </c>
      <c r="N355">
        <f>IF(AND(F355="Done",M355&lt;&gt;""),IF(COUNTIFS(Appointments!$D$6:$D$2005,D355,Appointments!$F$6:$F$2005,"Done",Appointments!$M$6:$M$2005,"&gt;"&amp;M355)=0,1,0),0)</f>
        <v/>
      </c>
      <c r="O355">
        <f>IF(AND(F355="Booked",M355&lt;&gt;"",N(B355)&gt;=TODAY()),IF(COUNTIFS(Appointments!$D$6:$D$2005,D355,Appointments!$F$6:$F$2005,"Booked",Appointments!$B$6:$B$2005,"&gt;="&amp;TODAY(),Appointments!$M$6:$M$2005,"&lt;"&amp;M355)=0,1,0),0)</f>
        <v/>
      </c>
    </row>
    <row r="356">
      <c r="A356" s="1" t="n"/>
      <c r="B356" s="30" t="n">
        <v>46109</v>
      </c>
      <c r="C356" s="31" t="n">
        <v>0.5451388888888888</v>
      </c>
      <c r="D356" s="32" t="inlineStr">
        <is>
          <t>Tom Davies</t>
        </is>
      </c>
      <c r="E356" s="32" t="inlineStr">
        <is>
          <t>Men's haircut</t>
        </is>
      </c>
      <c r="F356" s="33" t="inlineStr">
        <is>
          <t>Done</t>
        </is>
      </c>
      <c r="G356" s="27">
        <f>IF(E356="","",MAX(0,IFERROR(INDEX(Services!$C$6:$C$35,MATCH(E356,Services!$B$6:$B$35,0)),0)-N(H356)))</f>
        <v/>
      </c>
      <c r="H356" s="34" t="n"/>
      <c r="I356" s="34" t="n">
        <v>30</v>
      </c>
      <c r="J356" s="33" t="inlineStr">
        <is>
          <t>Card</t>
        </is>
      </c>
      <c r="K356" s="28">
        <f>IF(OR(B356="",F356&lt;&gt;"Done",J356="Package"),"",IF(N(G356)-N(I356)&gt;0,N(G356)-N(I356),""))</f>
        <v/>
      </c>
      <c r="L356" s="32" t="n"/>
      <c r="M356" s="1">
        <f>IF(OR(B356="",D356="",F356="Cancelled"),"",B356+N(C356)+ROW()/10000000)</f>
        <v/>
      </c>
      <c r="N356">
        <f>IF(AND(F356="Done",M356&lt;&gt;""),IF(COUNTIFS(Appointments!$D$6:$D$2005,D356,Appointments!$F$6:$F$2005,"Done",Appointments!$M$6:$M$2005,"&gt;"&amp;M356)=0,1,0),0)</f>
        <v/>
      </c>
      <c r="O356">
        <f>IF(AND(F356="Booked",M356&lt;&gt;"",N(B356)&gt;=TODAY()),IF(COUNTIFS(Appointments!$D$6:$D$2005,D356,Appointments!$F$6:$F$2005,"Booked",Appointments!$B$6:$B$2005,"&gt;="&amp;TODAY(),Appointments!$M$6:$M$2005,"&lt;"&amp;M356)=0,1,0),0)</f>
        <v/>
      </c>
    </row>
    <row r="357">
      <c r="A357" s="1" t="n"/>
      <c r="B357" s="30" t="n">
        <v>46109</v>
      </c>
      <c r="C357" s="31" t="n">
        <v>0.5729166666666666</v>
      </c>
      <c r="D357" s="32" t="inlineStr">
        <is>
          <t>Tom Ellis</t>
        </is>
      </c>
      <c r="E357" s="32" t="inlineStr">
        <is>
          <t>Men's haircut</t>
        </is>
      </c>
      <c r="F357" s="33" t="inlineStr">
        <is>
          <t>Done</t>
        </is>
      </c>
      <c r="G357" s="27">
        <f>IF(E357="","",MAX(0,IFERROR(INDEX(Services!$C$6:$C$35,MATCH(E357,Services!$B$6:$B$35,0)),0)-N(H357)))</f>
        <v/>
      </c>
      <c r="H357" s="34" t="n"/>
      <c r="I357" s="34" t="n">
        <v>30</v>
      </c>
      <c r="J357" s="33" t="inlineStr">
        <is>
          <t>Card</t>
        </is>
      </c>
      <c r="K357" s="28">
        <f>IF(OR(B357="",F357&lt;&gt;"Done",J357="Package"),"",IF(N(G357)-N(I357)&gt;0,N(G357)-N(I357),""))</f>
        <v/>
      </c>
      <c r="L357" s="32" t="n"/>
      <c r="M357" s="1">
        <f>IF(OR(B357="",D357="",F357="Cancelled"),"",B357+N(C357)+ROW()/10000000)</f>
        <v/>
      </c>
      <c r="N357">
        <f>IF(AND(F357="Done",M357&lt;&gt;""),IF(COUNTIFS(Appointments!$D$6:$D$2005,D357,Appointments!$F$6:$F$2005,"Done",Appointments!$M$6:$M$2005,"&gt;"&amp;M357)=0,1,0),0)</f>
        <v/>
      </c>
      <c r="O357">
        <f>IF(AND(F357="Booked",M357&lt;&gt;"",N(B357)&gt;=TODAY()),IF(COUNTIFS(Appointments!$D$6:$D$2005,D357,Appointments!$F$6:$F$2005,"Booked",Appointments!$B$6:$B$2005,"&gt;="&amp;TODAY(),Appointments!$M$6:$M$2005,"&lt;"&amp;M357)=0,1,0),0)</f>
        <v/>
      </c>
    </row>
    <row r="358">
      <c r="A358" s="1" t="n"/>
      <c r="B358" s="30" t="n">
        <v>46112</v>
      </c>
      <c r="C358" s="31" t="n">
        <v>0.375</v>
      </c>
      <c r="D358" s="32" t="inlineStr">
        <is>
          <t>Jon Reid</t>
        </is>
      </c>
      <c r="E358" s="32" t="inlineStr">
        <is>
          <t>Men's haircut</t>
        </is>
      </c>
      <c r="F358" s="33" t="inlineStr">
        <is>
          <t>Done</t>
        </is>
      </c>
      <c r="G358" s="27">
        <f>IF(E358="","",MAX(0,IFERROR(INDEX(Services!$C$6:$C$35,MATCH(E358,Services!$B$6:$B$35,0)),0)-N(H358)))</f>
        <v/>
      </c>
      <c r="H358" s="34" t="n"/>
      <c r="I358" s="34" t="n">
        <v>30</v>
      </c>
      <c r="J358" s="33" t="inlineStr">
        <is>
          <t>Transfer</t>
        </is>
      </c>
      <c r="K358" s="28">
        <f>IF(OR(B358="",F358&lt;&gt;"Done",J358="Package"),"",IF(N(G358)-N(I358)&gt;0,N(G358)-N(I358),""))</f>
        <v/>
      </c>
      <c r="L358" s="32" t="n"/>
      <c r="M358" s="1">
        <f>IF(OR(B358="",D358="",F358="Cancelled"),"",B358+N(C358)+ROW()/10000000)</f>
        <v/>
      </c>
      <c r="N358">
        <f>IF(AND(F358="Done",M358&lt;&gt;""),IF(COUNTIFS(Appointments!$D$6:$D$2005,D358,Appointments!$F$6:$F$2005,"Done",Appointments!$M$6:$M$2005,"&gt;"&amp;M358)=0,1,0),0)</f>
        <v/>
      </c>
      <c r="O358">
        <f>IF(AND(F358="Booked",M358&lt;&gt;"",N(B358)&gt;=TODAY()),IF(COUNTIFS(Appointments!$D$6:$D$2005,D358,Appointments!$F$6:$F$2005,"Booked",Appointments!$B$6:$B$2005,"&gt;="&amp;TODAY(),Appointments!$M$6:$M$2005,"&lt;"&amp;M358)=0,1,0),0)</f>
        <v/>
      </c>
    </row>
    <row r="359">
      <c r="A359" s="1" t="n"/>
      <c r="B359" s="30" t="n">
        <v>46112</v>
      </c>
      <c r="C359" s="31" t="n">
        <v>0.4027777777777778</v>
      </c>
      <c r="D359" s="32" t="inlineStr">
        <is>
          <t>Liam Evans</t>
        </is>
      </c>
      <c r="E359" s="32" t="inlineStr">
        <is>
          <t>Men's haircut</t>
        </is>
      </c>
      <c r="F359" s="33" t="inlineStr">
        <is>
          <t>Done</t>
        </is>
      </c>
      <c r="G359" s="27">
        <f>IF(E359="","",MAX(0,IFERROR(INDEX(Services!$C$6:$C$35,MATCH(E359,Services!$B$6:$B$35,0)),0)-N(H359)))</f>
        <v/>
      </c>
      <c r="H359" s="34" t="n"/>
      <c r="I359" s="34" t="n">
        <v>30</v>
      </c>
      <c r="J359" s="33" t="inlineStr">
        <is>
          <t>Card</t>
        </is>
      </c>
      <c r="K359" s="28">
        <f>IF(OR(B359="",F359&lt;&gt;"Done",J359="Package"),"",IF(N(G359)-N(I359)&gt;0,N(G359)-N(I359),""))</f>
        <v/>
      </c>
      <c r="L359" s="32" t="n"/>
      <c r="M359" s="1">
        <f>IF(OR(B359="",D359="",F359="Cancelled"),"",B359+N(C359)+ROW()/10000000)</f>
        <v/>
      </c>
      <c r="N359">
        <f>IF(AND(F359="Done",M359&lt;&gt;""),IF(COUNTIFS(Appointments!$D$6:$D$2005,D359,Appointments!$F$6:$F$2005,"Done",Appointments!$M$6:$M$2005,"&gt;"&amp;M359)=0,1,0),0)</f>
        <v/>
      </c>
      <c r="O359">
        <f>IF(AND(F359="Booked",M359&lt;&gt;"",N(B359)&gt;=TODAY()),IF(COUNTIFS(Appointments!$D$6:$D$2005,D359,Appointments!$F$6:$F$2005,"Booked",Appointments!$B$6:$B$2005,"&gt;="&amp;TODAY(),Appointments!$M$6:$M$2005,"&lt;"&amp;M359)=0,1,0),0)</f>
        <v/>
      </c>
    </row>
    <row r="360">
      <c r="A360" s="1" t="n"/>
      <c r="B360" s="30" t="n">
        <v>46112</v>
      </c>
      <c r="C360" s="31" t="n">
        <v>0.4305555555555556</v>
      </c>
      <c r="D360" s="32" t="inlineStr">
        <is>
          <t>Lily Wood</t>
        </is>
      </c>
      <c r="E360" s="32" t="inlineStr">
        <is>
          <t>Colour</t>
        </is>
      </c>
      <c r="F360" s="33" t="inlineStr">
        <is>
          <t>Done</t>
        </is>
      </c>
      <c r="G360" s="27">
        <f>IF(E360="","",MAX(0,IFERROR(INDEX(Services!$C$6:$C$35,MATCH(E360,Services!$B$6:$B$35,0)),0)-N(H360)))</f>
        <v/>
      </c>
      <c r="H360" s="34" t="n"/>
      <c r="I360" s="34" t="n">
        <v>95</v>
      </c>
      <c r="J360" s="33" t="inlineStr">
        <is>
          <t>Cash</t>
        </is>
      </c>
      <c r="K360" s="28">
        <f>IF(OR(B360="",F360&lt;&gt;"Done",J360="Package"),"",IF(N(G360)-N(I360)&gt;0,N(G360)-N(I360),""))</f>
        <v/>
      </c>
      <c r="L360" s="32" t="n"/>
      <c r="M360" s="1">
        <f>IF(OR(B360="",D360="",F360="Cancelled"),"",B360+N(C360)+ROW()/10000000)</f>
        <v/>
      </c>
      <c r="N360">
        <f>IF(AND(F360="Done",M360&lt;&gt;""),IF(COUNTIFS(Appointments!$D$6:$D$2005,D360,Appointments!$F$6:$F$2005,"Done",Appointments!$M$6:$M$2005,"&gt;"&amp;M360)=0,1,0),0)</f>
        <v/>
      </c>
      <c r="O360">
        <f>IF(AND(F360="Booked",M360&lt;&gt;"",N(B360)&gt;=TODAY()),IF(COUNTIFS(Appointments!$D$6:$D$2005,D360,Appointments!$F$6:$F$2005,"Booked",Appointments!$B$6:$B$2005,"&gt;="&amp;TODAY(),Appointments!$M$6:$M$2005,"&lt;"&amp;M360)=0,1,0),0)</f>
        <v/>
      </c>
    </row>
    <row r="361">
      <c r="A361" s="1" t="n"/>
      <c r="B361" s="30" t="n">
        <v>46112</v>
      </c>
      <c r="C361" s="31" t="n">
        <v>0.5208333333333334</v>
      </c>
      <c r="D361" s="32" t="inlineStr">
        <is>
          <t>Nick Young</t>
        </is>
      </c>
      <c r="E361" s="32" t="inlineStr">
        <is>
          <t>Men's haircut</t>
        </is>
      </c>
      <c r="F361" s="33" t="inlineStr">
        <is>
          <t>Done</t>
        </is>
      </c>
      <c r="G361" s="27">
        <f>IF(E361="","",MAX(0,IFERROR(INDEX(Services!$C$6:$C$35,MATCH(E361,Services!$B$6:$B$35,0)),0)-N(H361)))</f>
        <v/>
      </c>
      <c r="H361" s="34" t="n"/>
      <c r="I361" s="34" t="n">
        <v>30</v>
      </c>
      <c r="J361" s="33" t="inlineStr">
        <is>
          <t>Card</t>
        </is>
      </c>
      <c r="K361" s="28">
        <f>IF(OR(B361="",F361&lt;&gt;"Done",J361="Package"),"",IF(N(G361)-N(I361)&gt;0,N(G361)-N(I361),""))</f>
        <v/>
      </c>
      <c r="L361" s="32" t="n"/>
      <c r="M361" s="1">
        <f>IF(OR(B361="",D361="",F361="Cancelled"),"",B361+N(C361)+ROW()/10000000)</f>
        <v/>
      </c>
      <c r="N361">
        <f>IF(AND(F361="Done",M361&lt;&gt;""),IF(COUNTIFS(Appointments!$D$6:$D$2005,D361,Appointments!$F$6:$F$2005,"Done",Appointments!$M$6:$M$2005,"&gt;"&amp;M361)=0,1,0),0)</f>
        <v/>
      </c>
      <c r="O361">
        <f>IF(AND(F361="Booked",M361&lt;&gt;"",N(B361)&gt;=TODAY()),IF(COUNTIFS(Appointments!$D$6:$D$2005,D361,Appointments!$F$6:$F$2005,"Booked",Appointments!$B$6:$B$2005,"&gt;="&amp;TODAY(),Appointments!$M$6:$M$2005,"&lt;"&amp;M361)=0,1,0),0)</f>
        <v/>
      </c>
    </row>
    <row r="362">
      <c r="A362" s="1" t="n"/>
      <c r="B362" s="30" t="n">
        <v>46112</v>
      </c>
      <c r="C362" s="31" t="n">
        <v>0.5486111111111112</v>
      </c>
      <c r="D362" s="32" t="inlineStr">
        <is>
          <t>Olivia Green</t>
        </is>
      </c>
      <c r="E362" s="32" t="inlineStr">
        <is>
          <t>Women's haircut</t>
        </is>
      </c>
      <c r="F362" s="33" t="inlineStr">
        <is>
          <t>Done</t>
        </is>
      </c>
      <c r="G362" s="27">
        <f>IF(E362="","",MAX(0,IFERROR(INDEX(Services!$C$6:$C$35,MATCH(E362,Services!$B$6:$B$35,0)),0)-N(H362)))</f>
        <v/>
      </c>
      <c r="H362" s="34" t="n"/>
      <c r="I362" s="34" t="n">
        <v>55</v>
      </c>
      <c r="J362" s="33" t="inlineStr">
        <is>
          <t>Card</t>
        </is>
      </c>
      <c r="K362" s="28">
        <f>IF(OR(B362="",F362&lt;&gt;"Done",J362="Package"),"",IF(N(G362)-N(I362)&gt;0,N(G362)-N(I362),""))</f>
        <v/>
      </c>
      <c r="L362" s="32" t="n"/>
      <c r="M362" s="1">
        <f>IF(OR(B362="",D362="",F362="Cancelled"),"",B362+N(C362)+ROW()/10000000)</f>
        <v/>
      </c>
      <c r="N362">
        <f>IF(AND(F362="Done",M362&lt;&gt;""),IF(COUNTIFS(Appointments!$D$6:$D$2005,D362,Appointments!$F$6:$F$2005,"Done",Appointments!$M$6:$M$2005,"&gt;"&amp;M362)=0,1,0),0)</f>
        <v/>
      </c>
      <c r="O362">
        <f>IF(AND(F362="Booked",M362&lt;&gt;"",N(B362)&gt;=TODAY()),IF(COUNTIFS(Appointments!$D$6:$D$2005,D362,Appointments!$F$6:$F$2005,"Booked",Appointments!$B$6:$B$2005,"&gt;="&amp;TODAY(),Appointments!$M$6:$M$2005,"&lt;"&amp;M362)=0,1,0),0)</f>
        <v/>
      </c>
    </row>
    <row r="363">
      <c r="A363" s="1" t="n"/>
      <c r="B363" s="30" t="n">
        <v>46112</v>
      </c>
      <c r="C363" s="31" t="n">
        <v>0.5972222222222222</v>
      </c>
      <c r="D363" s="32" t="inlineStr">
        <is>
          <t>Sophie Cox</t>
        </is>
      </c>
      <c r="E363" s="32" t="inlineStr">
        <is>
          <t>Blow dry</t>
        </is>
      </c>
      <c r="F363" s="33" t="inlineStr">
        <is>
          <t>Cancelled</t>
        </is>
      </c>
      <c r="G363" s="27">
        <f>IF(E363="","",MAX(0,IFERROR(INDEX(Services!$C$6:$C$35,MATCH(E363,Services!$B$6:$B$35,0)),0)-N(H363)))</f>
        <v/>
      </c>
      <c r="H363" s="34" t="n"/>
      <c r="I363" s="34" t="n"/>
      <c r="J363" s="33" t="n"/>
      <c r="K363" s="28">
        <f>IF(OR(B363="",F363&lt;&gt;"Done",J363="Package"),"",IF(N(G363)-N(I363)&gt;0,N(G363)-N(I363),""))</f>
        <v/>
      </c>
      <c r="L363" s="32" t="n"/>
      <c r="M363" s="1">
        <f>IF(OR(B363="",D363="",F363="Cancelled"),"",B363+N(C363)+ROW()/10000000)</f>
        <v/>
      </c>
      <c r="N363">
        <f>IF(AND(F363="Done",M363&lt;&gt;""),IF(COUNTIFS(Appointments!$D$6:$D$2005,D363,Appointments!$F$6:$F$2005,"Done",Appointments!$M$6:$M$2005,"&gt;"&amp;M363)=0,1,0),0)</f>
        <v/>
      </c>
      <c r="O363">
        <f>IF(AND(F363="Booked",M363&lt;&gt;"",N(B363)&gt;=TODAY()),IF(COUNTIFS(Appointments!$D$6:$D$2005,D363,Appointments!$F$6:$F$2005,"Booked",Appointments!$B$6:$B$2005,"&gt;="&amp;TODAY(),Appointments!$M$6:$M$2005,"&lt;"&amp;M363)=0,1,0),0)</f>
        <v/>
      </c>
    </row>
    <row r="364">
      <c r="A364" s="1" t="n"/>
      <c r="B364" s="30" t="n">
        <v>46112</v>
      </c>
      <c r="C364" s="31" t="n">
        <v>0.6354166666666666</v>
      </c>
      <c r="D364" s="32" t="inlineStr">
        <is>
          <t>Victor Lane</t>
        </is>
      </c>
      <c r="E364" s="32" t="inlineStr">
        <is>
          <t>Men's haircut</t>
        </is>
      </c>
      <c r="F364" s="33" t="inlineStr">
        <is>
          <t>Done</t>
        </is>
      </c>
      <c r="G364" s="27">
        <f>IF(E364="","",MAX(0,IFERROR(INDEX(Services!$C$6:$C$35,MATCH(E364,Services!$B$6:$B$35,0)),0)-N(H364)))</f>
        <v/>
      </c>
      <c r="H364" s="34" t="n"/>
      <c r="I364" s="34" t="n">
        <v>30</v>
      </c>
      <c r="J364" s="33" t="inlineStr">
        <is>
          <t>Card</t>
        </is>
      </c>
      <c r="K364" s="28">
        <f>IF(OR(B364="",F364&lt;&gt;"Done",J364="Package"),"",IF(N(G364)-N(I364)&gt;0,N(G364)-N(I364),""))</f>
        <v/>
      </c>
      <c r="L364" s="32" t="n"/>
      <c r="M364" s="1">
        <f>IF(OR(B364="",D364="",F364="Cancelled"),"",B364+N(C364)+ROW()/10000000)</f>
        <v/>
      </c>
      <c r="N364">
        <f>IF(AND(F364="Done",M364&lt;&gt;""),IF(COUNTIFS(Appointments!$D$6:$D$2005,D364,Appointments!$F$6:$F$2005,"Done",Appointments!$M$6:$M$2005,"&gt;"&amp;M364)=0,1,0),0)</f>
        <v/>
      </c>
      <c r="O364">
        <f>IF(AND(F364="Booked",M364&lt;&gt;"",N(B364)&gt;=TODAY()),IF(COUNTIFS(Appointments!$D$6:$D$2005,D364,Appointments!$F$6:$F$2005,"Booked",Appointments!$B$6:$B$2005,"&gt;="&amp;TODAY(),Appointments!$M$6:$M$2005,"&lt;"&amp;M364)=0,1,0),0)</f>
        <v/>
      </c>
    </row>
    <row r="365">
      <c r="A365" s="1" t="n"/>
      <c r="B365" s="30" t="n">
        <v>46113</v>
      </c>
      <c r="C365" s="31" t="n">
        <v>0.375</v>
      </c>
      <c r="D365" s="32" t="inlineStr">
        <is>
          <t>Alice Ward</t>
        </is>
      </c>
      <c r="E365" s="32" t="inlineStr">
        <is>
          <t>Women's haircut</t>
        </is>
      </c>
      <c r="F365" s="33" t="inlineStr">
        <is>
          <t>Done</t>
        </is>
      </c>
      <c r="G365" s="27">
        <f>IF(E365="","",MAX(0,IFERROR(INDEX(Services!$C$6:$C$35,MATCH(E365,Services!$B$6:$B$35,0)),0)-N(H365)))</f>
        <v/>
      </c>
      <c r="H365" s="34" t="n"/>
      <c r="I365" s="34" t="n">
        <v>55</v>
      </c>
      <c r="J365" s="33" t="inlineStr">
        <is>
          <t>Cash</t>
        </is>
      </c>
      <c r="K365" s="28">
        <f>IF(OR(B365="",F365&lt;&gt;"Done",J365="Package"),"",IF(N(G365)-N(I365)&gt;0,N(G365)-N(I365),""))</f>
        <v/>
      </c>
      <c r="L365" s="32" t="n"/>
      <c r="M365" s="1">
        <f>IF(OR(B365="",D365="",F365="Cancelled"),"",B365+N(C365)+ROW()/10000000)</f>
        <v/>
      </c>
      <c r="N365">
        <f>IF(AND(F365="Done",M365&lt;&gt;""),IF(COUNTIFS(Appointments!$D$6:$D$2005,D365,Appointments!$F$6:$F$2005,"Done",Appointments!$M$6:$M$2005,"&gt;"&amp;M365)=0,1,0),0)</f>
        <v/>
      </c>
      <c r="O365">
        <f>IF(AND(F365="Booked",M365&lt;&gt;"",N(B365)&gt;=TODAY()),IF(COUNTIFS(Appointments!$D$6:$D$2005,D365,Appointments!$F$6:$F$2005,"Booked",Appointments!$B$6:$B$2005,"&gt;="&amp;TODAY(),Appointments!$M$6:$M$2005,"&lt;"&amp;M365)=0,1,0),0)</f>
        <v/>
      </c>
    </row>
    <row r="366">
      <c r="A366" s="1" t="n"/>
      <c r="B366" s="30" t="n">
        <v>46113</v>
      </c>
      <c r="C366" s="31" t="n">
        <v>0.4236111111111111</v>
      </c>
      <c r="D366" s="32" t="inlineStr">
        <is>
          <t>Ella Morgan</t>
        </is>
      </c>
      <c r="E366" s="32" t="inlineStr">
        <is>
          <t>Colour</t>
        </is>
      </c>
      <c r="F366" s="33" t="inlineStr">
        <is>
          <t>Done</t>
        </is>
      </c>
      <c r="G366" s="27">
        <f>IF(E366="","",MAX(0,IFERROR(INDEX(Services!$C$6:$C$35,MATCH(E366,Services!$B$6:$B$35,0)),0)-N(H366)))</f>
        <v/>
      </c>
      <c r="H366" s="34" t="n"/>
      <c r="I366" s="34" t="n">
        <v>95</v>
      </c>
      <c r="J366" s="33" t="inlineStr">
        <is>
          <t>Transfer</t>
        </is>
      </c>
      <c r="K366" s="28">
        <f>IF(OR(B366="",F366&lt;&gt;"Done",J366="Package"),"",IF(N(G366)-N(I366)&gt;0,N(G366)-N(I366),""))</f>
        <v/>
      </c>
      <c r="L366" s="32" t="n"/>
      <c r="M366" s="1">
        <f>IF(OR(B366="",D366="",F366="Cancelled"),"",B366+N(C366)+ROW()/10000000)</f>
        <v/>
      </c>
      <c r="N366">
        <f>IF(AND(F366="Done",M366&lt;&gt;""),IF(COUNTIFS(Appointments!$D$6:$D$2005,D366,Appointments!$F$6:$F$2005,"Done",Appointments!$M$6:$M$2005,"&gt;"&amp;M366)=0,1,0),0)</f>
        <v/>
      </c>
      <c r="O366">
        <f>IF(AND(F366="Booked",M366&lt;&gt;"",N(B366)&gt;=TODAY()),IF(COUNTIFS(Appointments!$D$6:$D$2005,D366,Appointments!$F$6:$F$2005,"Booked",Appointments!$B$6:$B$2005,"&gt;="&amp;TODAY(),Appointments!$M$6:$M$2005,"&lt;"&amp;M366)=0,1,0),0)</f>
        <v/>
      </c>
    </row>
    <row r="367">
      <c r="A367" s="1" t="n"/>
      <c r="B367" s="30" t="n">
        <v>46113</v>
      </c>
      <c r="C367" s="31" t="n">
        <v>0.5138888888888888</v>
      </c>
      <c r="D367" s="32" t="inlineStr">
        <is>
          <t>Finn Cook</t>
        </is>
      </c>
      <c r="E367" s="32" t="inlineStr">
        <is>
          <t>Men's haircut</t>
        </is>
      </c>
      <c r="F367" s="33" t="inlineStr">
        <is>
          <t>Done</t>
        </is>
      </c>
      <c r="G367" s="27">
        <f>IF(E367="","",MAX(0,IFERROR(INDEX(Services!$C$6:$C$35,MATCH(E367,Services!$B$6:$B$35,0)),0)-N(H367)))</f>
        <v/>
      </c>
      <c r="H367" s="34" t="n"/>
      <c r="I367" s="34" t="n">
        <v>30</v>
      </c>
      <c r="J367" s="33" t="inlineStr">
        <is>
          <t>Transfer</t>
        </is>
      </c>
      <c r="K367" s="28">
        <f>IF(OR(B367="",F367&lt;&gt;"Done",J367="Package"),"",IF(N(G367)-N(I367)&gt;0,N(G367)-N(I367),""))</f>
        <v/>
      </c>
      <c r="L367" s="32" t="n"/>
      <c r="M367" s="1">
        <f>IF(OR(B367="",D367="",F367="Cancelled"),"",B367+N(C367)+ROW()/10000000)</f>
        <v/>
      </c>
      <c r="N367">
        <f>IF(AND(F367="Done",M367&lt;&gt;""),IF(COUNTIFS(Appointments!$D$6:$D$2005,D367,Appointments!$F$6:$F$2005,"Done",Appointments!$M$6:$M$2005,"&gt;"&amp;M367)=0,1,0),0)</f>
        <v/>
      </c>
      <c r="O367">
        <f>IF(AND(F367="Booked",M367&lt;&gt;"",N(B367)&gt;=TODAY()),IF(COUNTIFS(Appointments!$D$6:$D$2005,D367,Appointments!$F$6:$F$2005,"Booked",Appointments!$B$6:$B$2005,"&gt;="&amp;TODAY(),Appointments!$M$6:$M$2005,"&lt;"&amp;M367)=0,1,0),0)</f>
        <v/>
      </c>
    </row>
    <row r="368">
      <c r="A368" s="1" t="n"/>
      <c r="B368" s="30" t="n">
        <v>46113</v>
      </c>
      <c r="C368" s="31" t="n">
        <v>0.5416666666666666</v>
      </c>
      <c r="D368" s="32" t="inlineStr">
        <is>
          <t>Harry Lewis</t>
        </is>
      </c>
      <c r="E368" s="32" t="inlineStr">
        <is>
          <t>Men's haircut</t>
        </is>
      </c>
      <c r="F368" s="33" t="inlineStr">
        <is>
          <t>Done</t>
        </is>
      </c>
      <c r="G368" s="27">
        <f>IF(E368="","",MAX(0,IFERROR(INDEX(Services!$C$6:$C$35,MATCH(E368,Services!$B$6:$B$35,0)),0)-N(H368)))</f>
        <v/>
      </c>
      <c r="H368" s="34" t="n"/>
      <c r="I368" s="34" t="n">
        <v>30</v>
      </c>
      <c r="J368" s="33" t="inlineStr">
        <is>
          <t>Cash</t>
        </is>
      </c>
      <c r="K368" s="28">
        <f>IF(OR(B368="",F368&lt;&gt;"Done",J368="Package"),"",IF(N(G368)-N(I368)&gt;0,N(G368)-N(I368),""))</f>
        <v/>
      </c>
      <c r="L368" s="32" t="n"/>
      <c r="M368" s="1">
        <f>IF(OR(B368="",D368="",F368="Cancelled"),"",B368+N(C368)+ROW()/10000000)</f>
        <v/>
      </c>
      <c r="N368">
        <f>IF(AND(F368="Done",M368&lt;&gt;""),IF(COUNTIFS(Appointments!$D$6:$D$2005,D368,Appointments!$F$6:$F$2005,"Done",Appointments!$M$6:$M$2005,"&gt;"&amp;M368)=0,1,0),0)</f>
        <v/>
      </c>
      <c r="O368">
        <f>IF(AND(F368="Booked",M368&lt;&gt;"",N(B368)&gt;=TODAY()),IF(COUNTIFS(Appointments!$D$6:$D$2005,D368,Appointments!$F$6:$F$2005,"Booked",Appointments!$B$6:$B$2005,"&gt;="&amp;TODAY(),Appointments!$M$6:$M$2005,"&lt;"&amp;M368)=0,1,0),0)</f>
        <v/>
      </c>
    </row>
    <row r="369">
      <c r="A369" s="1" t="n"/>
      <c r="B369" s="30" t="n">
        <v>46113</v>
      </c>
      <c r="C369" s="31" t="n">
        <v>0.5694444444444444</v>
      </c>
      <c r="D369" s="32" t="inlineStr">
        <is>
          <t>Ian Bell</t>
        </is>
      </c>
      <c r="E369" s="32" t="inlineStr">
        <is>
          <t>Men's haircut</t>
        </is>
      </c>
      <c r="F369" s="33" t="inlineStr">
        <is>
          <t>Cancelled</t>
        </is>
      </c>
      <c r="G369" s="27">
        <f>IF(E369="","",MAX(0,IFERROR(INDEX(Services!$C$6:$C$35,MATCH(E369,Services!$B$6:$B$35,0)),0)-N(H369)))</f>
        <v/>
      </c>
      <c r="H369" s="34" t="n"/>
      <c r="I369" s="34" t="n"/>
      <c r="J369" s="33" t="n"/>
      <c r="K369" s="28">
        <f>IF(OR(B369="",F369&lt;&gt;"Done",J369="Package"),"",IF(N(G369)-N(I369)&gt;0,N(G369)-N(I369),""))</f>
        <v/>
      </c>
      <c r="L369" s="32" t="n"/>
      <c r="M369" s="1">
        <f>IF(OR(B369="",D369="",F369="Cancelled"),"",B369+N(C369)+ROW()/10000000)</f>
        <v/>
      </c>
      <c r="N369">
        <f>IF(AND(F369="Done",M369&lt;&gt;""),IF(COUNTIFS(Appointments!$D$6:$D$2005,D369,Appointments!$F$6:$F$2005,"Done",Appointments!$M$6:$M$2005,"&gt;"&amp;M369)=0,1,0),0)</f>
        <v/>
      </c>
      <c r="O369">
        <f>IF(AND(F369="Booked",M369&lt;&gt;"",N(B369)&gt;=TODAY()),IF(COUNTIFS(Appointments!$D$6:$D$2005,D369,Appointments!$F$6:$F$2005,"Booked",Appointments!$B$6:$B$2005,"&gt;="&amp;TODAY(),Appointments!$M$6:$M$2005,"&lt;"&amp;M369)=0,1,0),0)</f>
        <v/>
      </c>
    </row>
    <row r="370">
      <c r="A370" s="1" t="n"/>
      <c r="B370" s="30" t="n">
        <v>46113</v>
      </c>
      <c r="C370" s="31" t="n">
        <v>0.5972222222222222</v>
      </c>
      <c r="D370" s="32" t="inlineStr">
        <is>
          <t>Ryan Davies</t>
        </is>
      </c>
      <c r="E370" s="32" t="inlineStr">
        <is>
          <t>Men's haircut</t>
        </is>
      </c>
      <c r="F370" s="33" t="inlineStr">
        <is>
          <t>Done</t>
        </is>
      </c>
      <c r="G370" s="27">
        <f>IF(E370="","",MAX(0,IFERROR(INDEX(Services!$C$6:$C$35,MATCH(E370,Services!$B$6:$B$35,0)),0)-N(H370)))</f>
        <v/>
      </c>
      <c r="H370" s="34" t="n"/>
      <c r="I370" s="34" t="n">
        <v>30</v>
      </c>
      <c r="J370" s="33" t="inlineStr">
        <is>
          <t>Card</t>
        </is>
      </c>
      <c r="K370" s="28">
        <f>IF(OR(B370="",F370&lt;&gt;"Done",J370="Package"),"",IF(N(G370)-N(I370)&gt;0,N(G370)-N(I370),""))</f>
        <v/>
      </c>
      <c r="L370" s="32" t="n"/>
      <c r="M370" s="1">
        <f>IF(OR(B370="",D370="",F370="Cancelled"),"",B370+N(C370)+ROW()/10000000)</f>
        <v/>
      </c>
      <c r="N370">
        <f>IF(AND(F370="Done",M370&lt;&gt;""),IF(COUNTIFS(Appointments!$D$6:$D$2005,D370,Appointments!$F$6:$F$2005,"Done",Appointments!$M$6:$M$2005,"&gt;"&amp;M370)=0,1,0),0)</f>
        <v/>
      </c>
      <c r="O370">
        <f>IF(AND(F370="Booked",M370&lt;&gt;"",N(B370)&gt;=TODAY()),IF(COUNTIFS(Appointments!$D$6:$D$2005,D370,Appointments!$F$6:$F$2005,"Booked",Appointments!$B$6:$B$2005,"&gt;="&amp;TODAY(),Appointments!$M$6:$M$2005,"&lt;"&amp;M370)=0,1,0),0)</f>
        <v/>
      </c>
    </row>
    <row r="371">
      <c r="A371" s="1" t="n"/>
      <c r="B371" s="30" t="n">
        <v>46113</v>
      </c>
      <c r="C371" s="31" t="n">
        <v>0.625</v>
      </c>
      <c r="D371" s="32" t="inlineStr">
        <is>
          <t>Tina Walsh</t>
        </is>
      </c>
      <c r="E371" s="32" t="inlineStr">
        <is>
          <t>Blow dry</t>
        </is>
      </c>
      <c r="F371" s="33" t="inlineStr">
        <is>
          <t>Done</t>
        </is>
      </c>
      <c r="G371" s="27">
        <f>IF(E371="","",MAX(0,IFERROR(INDEX(Services!$C$6:$C$35,MATCH(E371,Services!$B$6:$B$35,0)),0)-N(H371)))</f>
        <v/>
      </c>
      <c r="H371" s="34" t="n"/>
      <c r="I371" s="34" t="n">
        <v>35</v>
      </c>
      <c r="J371" s="33" t="inlineStr">
        <is>
          <t>Card</t>
        </is>
      </c>
      <c r="K371" s="28">
        <f>IF(OR(B371="",F371&lt;&gt;"Done",J371="Package"),"",IF(N(G371)-N(I371)&gt;0,N(G371)-N(I371),""))</f>
        <v/>
      </c>
      <c r="L371" s="32" t="n"/>
      <c r="M371" s="1">
        <f>IF(OR(B371="",D371="",F371="Cancelled"),"",B371+N(C371)+ROW()/10000000)</f>
        <v/>
      </c>
      <c r="N371">
        <f>IF(AND(F371="Done",M371&lt;&gt;""),IF(COUNTIFS(Appointments!$D$6:$D$2005,D371,Appointments!$F$6:$F$2005,"Done",Appointments!$M$6:$M$2005,"&gt;"&amp;M371)=0,1,0),0)</f>
        <v/>
      </c>
      <c r="O371">
        <f>IF(AND(F371="Booked",M371&lt;&gt;"",N(B371)&gt;=TODAY()),IF(COUNTIFS(Appointments!$D$6:$D$2005,D371,Appointments!$F$6:$F$2005,"Booked",Appointments!$B$6:$B$2005,"&gt;="&amp;TODAY(),Appointments!$M$6:$M$2005,"&lt;"&amp;M371)=0,1,0),0)</f>
        <v/>
      </c>
    </row>
    <row r="372">
      <c r="A372" s="1" t="n"/>
      <c r="B372" s="30" t="n">
        <v>46114</v>
      </c>
      <c r="C372" s="31" t="n">
        <v>0.375</v>
      </c>
      <c r="D372" s="32" t="inlineStr">
        <is>
          <t>Chris Ellis</t>
        </is>
      </c>
      <c r="E372" s="32" t="inlineStr">
        <is>
          <t>Men's haircut</t>
        </is>
      </c>
      <c r="F372" s="33" t="inlineStr">
        <is>
          <t>Done</t>
        </is>
      </c>
      <c r="G372" s="27">
        <f>IF(E372="","",MAX(0,IFERROR(INDEX(Services!$C$6:$C$35,MATCH(E372,Services!$B$6:$B$35,0)),0)-N(H372)))</f>
        <v/>
      </c>
      <c r="H372" s="34" t="n"/>
      <c r="I372" s="34" t="n">
        <v>30</v>
      </c>
      <c r="J372" s="33" t="inlineStr">
        <is>
          <t>Card</t>
        </is>
      </c>
      <c r="K372" s="28">
        <f>IF(OR(B372="",F372&lt;&gt;"Done",J372="Package"),"",IF(N(G372)-N(I372)&gt;0,N(G372)-N(I372),""))</f>
        <v/>
      </c>
      <c r="L372" s="32" t="n"/>
      <c r="M372" s="1">
        <f>IF(OR(B372="",D372="",F372="Cancelled"),"",B372+N(C372)+ROW()/10000000)</f>
        <v/>
      </c>
      <c r="N372">
        <f>IF(AND(F372="Done",M372&lt;&gt;""),IF(COUNTIFS(Appointments!$D$6:$D$2005,D372,Appointments!$F$6:$F$2005,"Done",Appointments!$M$6:$M$2005,"&gt;"&amp;M372)=0,1,0),0)</f>
        <v/>
      </c>
      <c r="O372">
        <f>IF(AND(F372="Booked",M372&lt;&gt;"",N(B372)&gt;=TODAY()),IF(COUNTIFS(Appointments!$D$6:$D$2005,D372,Appointments!$F$6:$F$2005,"Booked",Appointments!$B$6:$B$2005,"&gt;="&amp;TODAY(),Appointments!$M$6:$M$2005,"&lt;"&amp;M372)=0,1,0),0)</f>
        <v/>
      </c>
    </row>
    <row r="373">
      <c r="A373" s="1" t="n"/>
      <c r="B373" s="30" t="n">
        <v>46114</v>
      </c>
      <c r="C373" s="31" t="n">
        <v>0.4027777777777778</v>
      </c>
      <c r="D373" s="32" t="inlineStr">
        <is>
          <t>Chris West</t>
        </is>
      </c>
      <c r="E373" s="32" t="inlineStr">
        <is>
          <t>Men's haircut</t>
        </is>
      </c>
      <c r="F373" s="33" t="inlineStr">
        <is>
          <t>Done</t>
        </is>
      </c>
      <c r="G373" s="27">
        <f>IF(E373="","",MAX(0,IFERROR(INDEX(Services!$C$6:$C$35,MATCH(E373,Services!$B$6:$B$35,0)),0)-N(H373)))</f>
        <v/>
      </c>
      <c r="H373" s="34" t="n"/>
      <c r="I373" s="34" t="n">
        <v>30</v>
      </c>
      <c r="J373" s="33" t="inlineStr">
        <is>
          <t>Card</t>
        </is>
      </c>
      <c r="K373" s="28">
        <f>IF(OR(B373="",F373&lt;&gt;"Done",J373="Package"),"",IF(N(G373)-N(I373)&gt;0,N(G373)-N(I373),""))</f>
        <v/>
      </c>
      <c r="L373" s="32" t="n"/>
      <c r="M373" s="1">
        <f>IF(OR(B373="",D373="",F373="Cancelled"),"",B373+N(C373)+ROW()/10000000)</f>
        <v/>
      </c>
      <c r="N373">
        <f>IF(AND(F373="Done",M373&lt;&gt;""),IF(COUNTIFS(Appointments!$D$6:$D$2005,D373,Appointments!$F$6:$F$2005,"Done",Appointments!$M$6:$M$2005,"&gt;"&amp;M373)=0,1,0),0)</f>
        <v/>
      </c>
      <c r="O373">
        <f>IF(AND(F373="Booked",M373&lt;&gt;"",N(B373)&gt;=TODAY()),IF(COUNTIFS(Appointments!$D$6:$D$2005,D373,Appointments!$F$6:$F$2005,"Booked",Appointments!$B$6:$B$2005,"&gt;="&amp;TODAY(),Appointments!$M$6:$M$2005,"&lt;"&amp;M373)=0,1,0),0)</f>
        <v/>
      </c>
    </row>
    <row r="374">
      <c r="A374" s="1" t="n"/>
      <c r="B374" s="30" t="n">
        <v>46114</v>
      </c>
      <c r="C374" s="31" t="n">
        <v>0.4305555555555556</v>
      </c>
      <c r="D374" s="32" t="inlineStr">
        <is>
          <t>Dina West</t>
        </is>
      </c>
      <c r="E374" s="32" t="inlineStr">
        <is>
          <t>Treatment</t>
        </is>
      </c>
      <c r="F374" s="33" t="inlineStr">
        <is>
          <t>Done</t>
        </is>
      </c>
      <c r="G374" s="27">
        <f>IF(E374="","",MAX(0,IFERROR(INDEX(Services!$C$6:$C$35,MATCH(E374,Services!$B$6:$B$35,0)),0)-N(H374)))</f>
        <v/>
      </c>
      <c r="H374" s="34" t="n"/>
      <c r="I374" s="34" t="n">
        <v>30</v>
      </c>
      <c r="J374" s="33" t="inlineStr">
        <is>
          <t>Cash</t>
        </is>
      </c>
      <c r="K374" s="28">
        <f>IF(OR(B374="",F374&lt;&gt;"Done",J374="Package"),"",IF(N(G374)-N(I374)&gt;0,N(G374)-N(I374),""))</f>
        <v/>
      </c>
      <c r="L374" s="32" t="n"/>
      <c r="M374" s="1">
        <f>IF(OR(B374="",D374="",F374="Cancelled"),"",B374+N(C374)+ROW()/10000000)</f>
        <v/>
      </c>
      <c r="N374">
        <f>IF(AND(F374="Done",M374&lt;&gt;""),IF(COUNTIFS(Appointments!$D$6:$D$2005,D374,Appointments!$F$6:$F$2005,"Done",Appointments!$M$6:$M$2005,"&gt;"&amp;M374)=0,1,0),0)</f>
        <v/>
      </c>
      <c r="O374">
        <f>IF(AND(F374="Booked",M374&lt;&gt;"",N(B374)&gt;=TODAY()),IF(COUNTIFS(Appointments!$D$6:$D$2005,D374,Appointments!$F$6:$F$2005,"Booked",Appointments!$B$6:$B$2005,"&gt;="&amp;TODAY(),Appointments!$M$6:$M$2005,"&lt;"&amp;M374)=0,1,0),0)</f>
        <v/>
      </c>
    </row>
    <row r="375">
      <c r="A375" s="1" t="n"/>
      <c r="B375" s="30" t="n">
        <v>46114</v>
      </c>
      <c r="C375" s="31" t="n">
        <v>0.4583333333333333</v>
      </c>
      <c r="D375" s="32" t="inlineStr">
        <is>
          <t>Finn Wood</t>
        </is>
      </c>
      <c r="E375" s="32" t="inlineStr">
        <is>
          <t>Men's haircut</t>
        </is>
      </c>
      <c r="F375" s="33" t="inlineStr">
        <is>
          <t>Done</t>
        </is>
      </c>
      <c r="G375" s="27">
        <f>IF(E375="","",MAX(0,IFERROR(INDEX(Services!$C$6:$C$35,MATCH(E375,Services!$B$6:$B$35,0)),0)-N(H375)))</f>
        <v/>
      </c>
      <c r="H375" s="34" t="n"/>
      <c r="I375" s="34" t="n">
        <v>30</v>
      </c>
      <c r="J375" s="33" t="inlineStr">
        <is>
          <t>Cash</t>
        </is>
      </c>
      <c r="K375" s="28">
        <f>IF(OR(B375="",F375&lt;&gt;"Done",J375="Package"),"",IF(N(G375)-N(I375)&gt;0,N(G375)-N(I375),""))</f>
        <v/>
      </c>
      <c r="L375" s="32" t="n"/>
      <c r="M375" s="1">
        <f>IF(OR(B375="",D375="",F375="Cancelled"),"",B375+N(C375)+ROW()/10000000)</f>
        <v/>
      </c>
      <c r="N375">
        <f>IF(AND(F375="Done",M375&lt;&gt;""),IF(COUNTIFS(Appointments!$D$6:$D$2005,D375,Appointments!$F$6:$F$2005,"Done",Appointments!$M$6:$M$2005,"&gt;"&amp;M375)=0,1,0),0)</f>
        <v/>
      </c>
      <c r="O375">
        <f>IF(AND(F375="Booked",M375&lt;&gt;"",N(B375)&gt;=TODAY()),IF(COUNTIFS(Appointments!$D$6:$D$2005,D375,Appointments!$F$6:$F$2005,"Booked",Appointments!$B$6:$B$2005,"&gt;="&amp;TODAY(),Appointments!$M$6:$M$2005,"&lt;"&amp;M375)=0,1,0),0)</f>
        <v/>
      </c>
    </row>
    <row r="376">
      <c r="A376" s="1" t="n"/>
      <c r="B376" s="30" t="n">
        <v>46114</v>
      </c>
      <c r="C376" s="31" t="n">
        <v>0.4861111111111111</v>
      </c>
      <c r="D376" s="32" t="inlineStr">
        <is>
          <t>Julia Lewis</t>
        </is>
      </c>
      <c r="E376" s="32" t="inlineStr">
        <is>
          <t>Blow dry</t>
        </is>
      </c>
      <c r="F376" s="33" t="inlineStr">
        <is>
          <t>Done</t>
        </is>
      </c>
      <c r="G376" s="27">
        <f>IF(E376="","",MAX(0,IFERROR(INDEX(Services!$C$6:$C$35,MATCH(E376,Services!$B$6:$B$35,0)),0)-N(H376)))</f>
        <v/>
      </c>
      <c r="H376" s="34" t="n"/>
      <c r="I376" s="34" t="n">
        <v>35</v>
      </c>
      <c r="J376" s="33" t="inlineStr">
        <is>
          <t>Card</t>
        </is>
      </c>
      <c r="K376" s="28">
        <f>IF(OR(B376="",F376&lt;&gt;"Done",J376="Package"),"",IF(N(G376)-N(I376)&gt;0,N(G376)-N(I376),""))</f>
        <v/>
      </c>
      <c r="L376" s="32" t="n"/>
      <c r="M376" s="1">
        <f>IF(OR(B376="",D376="",F376="Cancelled"),"",B376+N(C376)+ROW()/10000000)</f>
        <v/>
      </c>
      <c r="N376">
        <f>IF(AND(F376="Done",M376&lt;&gt;""),IF(COUNTIFS(Appointments!$D$6:$D$2005,D376,Appointments!$F$6:$F$2005,"Done",Appointments!$M$6:$M$2005,"&gt;"&amp;M376)=0,1,0),0)</f>
        <v/>
      </c>
      <c r="O376">
        <f>IF(AND(F376="Booked",M376&lt;&gt;"",N(B376)&gt;=TODAY()),IF(COUNTIFS(Appointments!$D$6:$D$2005,D376,Appointments!$F$6:$F$2005,"Booked",Appointments!$B$6:$B$2005,"&gt;="&amp;TODAY(),Appointments!$M$6:$M$2005,"&lt;"&amp;M376)=0,1,0),0)</f>
        <v/>
      </c>
    </row>
    <row r="377">
      <c r="A377" s="1" t="n"/>
      <c r="B377" s="30" t="n">
        <v>46114</v>
      </c>
      <c r="C377" s="31" t="n">
        <v>0.5243055555555556</v>
      </c>
      <c r="D377" s="32" t="inlineStr">
        <is>
          <t>Ryan Webb</t>
        </is>
      </c>
      <c r="E377" s="32" t="inlineStr">
        <is>
          <t>Men's haircut</t>
        </is>
      </c>
      <c r="F377" s="33" t="inlineStr">
        <is>
          <t>Done</t>
        </is>
      </c>
      <c r="G377" s="27">
        <f>IF(E377="","",MAX(0,IFERROR(INDEX(Services!$C$6:$C$35,MATCH(E377,Services!$B$6:$B$35,0)),0)-N(H377)))</f>
        <v/>
      </c>
      <c r="H377" s="34" t="n"/>
      <c r="I377" s="34" t="n">
        <v>30</v>
      </c>
      <c r="J377" s="33" t="inlineStr">
        <is>
          <t>Cash</t>
        </is>
      </c>
      <c r="K377" s="28">
        <f>IF(OR(B377="",F377&lt;&gt;"Done",J377="Package"),"",IF(N(G377)-N(I377)&gt;0,N(G377)-N(I377),""))</f>
        <v/>
      </c>
      <c r="L377" s="32" t="n"/>
      <c r="M377" s="1">
        <f>IF(OR(B377="",D377="",F377="Cancelled"),"",B377+N(C377)+ROW()/10000000)</f>
        <v/>
      </c>
      <c r="N377">
        <f>IF(AND(F377="Done",M377&lt;&gt;""),IF(COUNTIFS(Appointments!$D$6:$D$2005,D377,Appointments!$F$6:$F$2005,"Done",Appointments!$M$6:$M$2005,"&gt;"&amp;M377)=0,1,0),0)</f>
        <v/>
      </c>
      <c r="O377">
        <f>IF(AND(F377="Booked",M377&lt;&gt;"",N(B377)&gt;=TODAY()),IF(COUNTIFS(Appointments!$D$6:$D$2005,D377,Appointments!$F$6:$F$2005,"Booked",Appointments!$B$6:$B$2005,"&gt;="&amp;TODAY(),Appointments!$M$6:$M$2005,"&lt;"&amp;M377)=0,1,0),0)</f>
        <v/>
      </c>
    </row>
    <row r="378">
      <c r="A378" s="1" t="n"/>
      <c r="B378" s="30" t="n">
        <v>46114</v>
      </c>
      <c r="C378" s="31" t="n">
        <v>0.5520833333333334</v>
      </c>
      <c r="D378" s="32" t="inlineStr">
        <is>
          <t>Sara Hughes</t>
        </is>
      </c>
      <c r="E378" s="32" t="inlineStr">
        <is>
          <t>Highlights</t>
        </is>
      </c>
      <c r="F378" s="33" t="inlineStr">
        <is>
          <t>Done</t>
        </is>
      </c>
      <c r="G378" s="27">
        <f>IF(E378="","",MAX(0,IFERROR(INDEX(Services!$C$6:$C$35,MATCH(E378,Services!$B$6:$B$35,0)),0)-N(H378)))</f>
        <v/>
      </c>
      <c r="H378" s="34" t="n"/>
      <c r="I378" s="34" t="n">
        <v>140</v>
      </c>
      <c r="J378" s="33" t="inlineStr">
        <is>
          <t>Card</t>
        </is>
      </c>
      <c r="K378" s="28">
        <f>IF(OR(B378="",F378&lt;&gt;"Done",J378="Package"),"",IF(N(G378)-N(I378)&gt;0,N(G378)-N(I378),""))</f>
        <v/>
      </c>
      <c r="L378" s="32" t="n"/>
      <c r="M378" s="1">
        <f>IF(OR(B378="",D378="",F378="Cancelled"),"",B378+N(C378)+ROW()/10000000)</f>
        <v/>
      </c>
      <c r="N378">
        <f>IF(AND(F378="Done",M378&lt;&gt;""),IF(COUNTIFS(Appointments!$D$6:$D$2005,D378,Appointments!$F$6:$F$2005,"Done",Appointments!$M$6:$M$2005,"&gt;"&amp;M378)=0,1,0),0)</f>
        <v/>
      </c>
      <c r="O378">
        <f>IF(AND(F378="Booked",M378&lt;&gt;"",N(B378)&gt;=TODAY()),IF(COUNTIFS(Appointments!$D$6:$D$2005,D378,Appointments!$F$6:$F$2005,"Booked",Appointments!$B$6:$B$2005,"&gt;="&amp;TODAY(),Appointments!$M$6:$M$2005,"&lt;"&amp;M378)=0,1,0),0)</f>
        <v/>
      </c>
    </row>
    <row r="379">
      <c r="A379" s="1" t="n"/>
      <c r="B379" s="30" t="n">
        <v>46115</v>
      </c>
      <c r="C379" s="31" t="n">
        <v>0.375</v>
      </c>
      <c r="D379" s="32" t="inlineStr">
        <is>
          <t>Ava Lewis</t>
        </is>
      </c>
      <c r="E379" s="32" t="inlineStr">
        <is>
          <t>Colour</t>
        </is>
      </c>
      <c r="F379" s="33" t="inlineStr">
        <is>
          <t>Done</t>
        </is>
      </c>
      <c r="G379" s="27">
        <f>IF(E379="","",MAX(0,IFERROR(INDEX(Services!$C$6:$C$35,MATCH(E379,Services!$B$6:$B$35,0)),0)-N(H379)))</f>
        <v/>
      </c>
      <c r="H379" s="34" t="n"/>
      <c r="I379" s="34" t="n">
        <v>95</v>
      </c>
      <c r="J379" s="33" t="inlineStr">
        <is>
          <t>Card</t>
        </is>
      </c>
      <c r="K379" s="28">
        <f>IF(OR(B379="",F379&lt;&gt;"Done",J379="Package"),"",IF(N(G379)-N(I379)&gt;0,N(G379)-N(I379),""))</f>
        <v/>
      </c>
      <c r="L379" s="32" t="n"/>
      <c r="M379" s="1">
        <f>IF(OR(B379="",D379="",F379="Cancelled"),"",B379+N(C379)+ROW()/10000000)</f>
        <v/>
      </c>
      <c r="N379">
        <f>IF(AND(F379="Done",M379&lt;&gt;""),IF(COUNTIFS(Appointments!$D$6:$D$2005,D379,Appointments!$F$6:$F$2005,"Done",Appointments!$M$6:$M$2005,"&gt;"&amp;M379)=0,1,0),0)</f>
        <v/>
      </c>
      <c r="O379">
        <f>IF(AND(F379="Booked",M379&lt;&gt;"",N(B379)&gt;=TODAY()),IF(COUNTIFS(Appointments!$D$6:$D$2005,D379,Appointments!$F$6:$F$2005,"Booked",Appointments!$B$6:$B$2005,"&gt;="&amp;TODAY(),Appointments!$M$6:$M$2005,"&lt;"&amp;M379)=0,1,0),0)</f>
        <v/>
      </c>
    </row>
    <row r="380">
      <c r="A380" s="1" t="n"/>
      <c r="B380" s="30" t="n">
        <v>46115</v>
      </c>
      <c r="C380" s="31" t="n">
        <v>0.4652777777777778</v>
      </c>
      <c r="D380" s="32" t="inlineStr">
        <is>
          <t>Grace Lee</t>
        </is>
      </c>
      <c r="E380" s="32" t="inlineStr">
        <is>
          <t>Women's haircut</t>
        </is>
      </c>
      <c r="F380" s="33" t="inlineStr">
        <is>
          <t>Done</t>
        </is>
      </c>
      <c r="G380" s="27">
        <f>IF(E380="","",MAX(0,IFERROR(INDEX(Services!$C$6:$C$35,MATCH(E380,Services!$B$6:$B$35,0)),0)-N(H380)))</f>
        <v/>
      </c>
      <c r="H380" s="34" t="n"/>
      <c r="I380" s="34" t="n">
        <v>55</v>
      </c>
      <c r="J380" s="33" t="inlineStr">
        <is>
          <t>Card</t>
        </is>
      </c>
      <c r="K380" s="28">
        <f>IF(OR(B380="",F380&lt;&gt;"Done",J380="Package"),"",IF(N(G380)-N(I380)&gt;0,N(G380)-N(I380),""))</f>
        <v/>
      </c>
      <c r="L380" s="32" t="n"/>
      <c r="M380" s="1">
        <f>IF(OR(B380="",D380="",F380="Cancelled"),"",B380+N(C380)+ROW()/10000000)</f>
        <v/>
      </c>
      <c r="N380">
        <f>IF(AND(F380="Done",M380&lt;&gt;""),IF(COUNTIFS(Appointments!$D$6:$D$2005,D380,Appointments!$F$6:$F$2005,"Done",Appointments!$M$6:$M$2005,"&gt;"&amp;M380)=0,1,0),0)</f>
        <v/>
      </c>
      <c r="O380">
        <f>IF(AND(F380="Booked",M380&lt;&gt;"",N(B380)&gt;=TODAY()),IF(COUNTIFS(Appointments!$D$6:$D$2005,D380,Appointments!$F$6:$F$2005,"Booked",Appointments!$B$6:$B$2005,"&gt;="&amp;TODAY(),Appointments!$M$6:$M$2005,"&lt;"&amp;M380)=0,1,0),0)</f>
        <v/>
      </c>
    </row>
    <row r="381">
      <c r="A381" s="1" t="n"/>
      <c r="B381" s="30" t="n">
        <v>46115</v>
      </c>
      <c r="C381" s="31" t="n">
        <v>0.5138888888888888</v>
      </c>
      <c r="D381" s="32" t="inlineStr">
        <is>
          <t>Helen Mason</t>
        </is>
      </c>
      <c r="E381" s="32" t="inlineStr">
        <is>
          <t>Blow dry</t>
        </is>
      </c>
      <c r="F381" s="33" t="inlineStr">
        <is>
          <t>Done</t>
        </is>
      </c>
      <c r="G381" s="27">
        <f>IF(E381="","",MAX(0,IFERROR(INDEX(Services!$C$6:$C$35,MATCH(E381,Services!$B$6:$B$35,0)),0)-N(H381)))</f>
        <v/>
      </c>
      <c r="H381" s="34" t="n"/>
      <c r="I381" s="34" t="n">
        <v>35</v>
      </c>
      <c r="J381" s="33" t="inlineStr">
        <is>
          <t>Transfer</t>
        </is>
      </c>
      <c r="K381" s="28">
        <f>IF(OR(B381="",F381&lt;&gt;"Done",J381="Package"),"",IF(N(G381)-N(I381)&gt;0,N(G381)-N(I381),""))</f>
        <v/>
      </c>
      <c r="L381" s="32" t="n"/>
      <c r="M381" s="1">
        <f>IF(OR(B381="",D381="",F381="Cancelled"),"",B381+N(C381)+ROW()/10000000)</f>
        <v/>
      </c>
      <c r="N381">
        <f>IF(AND(F381="Done",M381&lt;&gt;""),IF(COUNTIFS(Appointments!$D$6:$D$2005,D381,Appointments!$F$6:$F$2005,"Done",Appointments!$M$6:$M$2005,"&gt;"&amp;M381)=0,1,0),0)</f>
        <v/>
      </c>
      <c r="O381">
        <f>IF(AND(F381="Booked",M381&lt;&gt;"",N(B381)&gt;=TODAY()),IF(COUNTIFS(Appointments!$D$6:$D$2005,D381,Appointments!$F$6:$F$2005,"Booked",Appointments!$B$6:$B$2005,"&gt;="&amp;TODAY(),Appointments!$M$6:$M$2005,"&lt;"&amp;M381)=0,1,0),0)</f>
        <v/>
      </c>
    </row>
    <row r="382">
      <c r="A382" s="1" t="n"/>
      <c r="B382" s="30" t="n">
        <v>46115</v>
      </c>
      <c r="C382" s="31" t="n">
        <v>0.5520833333333334</v>
      </c>
      <c r="D382" s="32" t="inlineStr">
        <is>
          <t>Pete Young</t>
        </is>
      </c>
      <c r="E382" s="32" t="inlineStr">
        <is>
          <t>Men's haircut</t>
        </is>
      </c>
      <c r="F382" s="33" t="inlineStr">
        <is>
          <t>Done</t>
        </is>
      </c>
      <c r="G382" s="27">
        <f>IF(E382="","",MAX(0,IFERROR(INDEX(Services!$C$6:$C$35,MATCH(E382,Services!$B$6:$B$35,0)),0)-N(H382)))</f>
        <v/>
      </c>
      <c r="H382" s="34" t="n"/>
      <c r="I382" s="34" t="n">
        <v>30</v>
      </c>
      <c r="J382" s="33" t="inlineStr">
        <is>
          <t>Card</t>
        </is>
      </c>
      <c r="K382" s="28">
        <f>IF(OR(B382="",F382&lt;&gt;"Done",J382="Package"),"",IF(N(G382)-N(I382)&gt;0,N(G382)-N(I382),""))</f>
        <v/>
      </c>
      <c r="L382" s="32" t="n"/>
      <c r="M382" s="1">
        <f>IF(OR(B382="",D382="",F382="Cancelled"),"",B382+N(C382)+ROW()/10000000)</f>
        <v/>
      </c>
      <c r="N382">
        <f>IF(AND(F382="Done",M382&lt;&gt;""),IF(COUNTIFS(Appointments!$D$6:$D$2005,D382,Appointments!$F$6:$F$2005,"Done",Appointments!$M$6:$M$2005,"&gt;"&amp;M382)=0,1,0),0)</f>
        <v/>
      </c>
      <c r="O382">
        <f>IF(AND(F382="Booked",M382&lt;&gt;"",N(B382)&gt;=TODAY()),IF(COUNTIFS(Appointments!$D$6:$D$2005,D382,Appointments!$F$6:$F$2005,"Booked",Appointments!$B$6:$B$2005,"&gt;="&amp;TODAY(),Appointments!$M$6:$M$2005,"&lt;"&amp;M382)=0,1,0),0)</f>
        <v/>
      </c>
    </row>
    <row r="383">
      <c r="A383" s="1" t="n"/>
      <c r="B383" s="30" t="n">
        <v>46115</v>
      </c>
      <c r="C383" s="31" t="n">
        <v>0.5798611111111112</v>
      </c>
      <c r="D383" s="32" t="inlineStr">
        <is>
          <t>Tara Singh</t>
        </is>
      </c>
      <c r="E383" s="32" t="inlineStr">
        <is>
          <t>Treatment</t>
        </is>
      </c>
      <c r="F383" s="33" t="inlineStr">
        <is>
          <t>Done</t>
        </is>
      </c>
      <c r="G383" s="27">
        <f>IF(E383="","",MAX(0,IFERROR(INDEX(Services!$C$6:$C$35,MATCH(E383,Services!$B$6:$B$35,0)),0)-N(H383)))</f>
        <v/>
      </c>
      <c r="H383" s="34" t="n"/>
      <c r="I383" s="34" t="n">
        <v>30</v>
      </c>
      <c r="J383" s="33" t="inlineStr">
        <is>
          <t>Cash</t>
        </is>
      </c>
      <c r="K383" s="28">
        <f>IF(OR(B383="",F383&lt;&gt;"Done",J383="Package"),"",IF(N(G383)-N(I383)&gt;0,N(G383)-N(I383),""))</f>
        <v/>
      </c>
      <c r="L383" s="32" t="n"/>
      <c r="M383" s="1">
        <f>IF(OR(B383="",D383="",F383="Cancelled"),"",B383+N(C383)+ROW()/10000000)</f>
        <v/>
      </c>
      <c r="N383">
        <f>IF(AND(F383="Done",M383&lt;&gt;""),IF(COUNTIFS(Appointments!$D$6:$D$2005,D383,Appointments!$F$6:$F$2005,"Done",Appointments!$M$6:$M$2005,"&gt;"&amp;M383)=0,1,0),0)</f>
        <v/>
      </c>
      <c r="O383">
        <f>IF(AND(F383="Booked",M383&lt;&gt;"",N(B383)&gt;=TODAY()),IF(COUNTIFS(Appointments!$D$6:$D$2005,D383,Appointments!$F$6:$F$2005,"Booked",Appointments!$B$6:$B$2005,"&gt;="&amp;TODAY(),Appointments!$M$6:$M$2005,"&lt;"&amp;M383)=0,1,0),0)</f>
        <v/>
      </c>
    </row>
    <row r="384">
      <c r="A384" s="1" t="n"/>
      <c r="B384" s="30" t="n">
        <v>46115</v>
      </c>
      <c r="C384" s="31" t="n">
        <v>0.6076388888888888</v>
      </c>
      <c r="D384" s="32" t="inlineStr">
        <is>
          <t>Tom Cole</t>
        </is>
      </c>
      <c r="E384" s="32" t="inlineStr">
        <is>
          <t>Men's haircut</t>
        </is>
      </c>
      <c r="F384" s="33" t="inlineStr">
        <is>
          <t>Done</t>
        </is>
      </c>
      <c r="G384" s="27">
        <f>IF(E384="","",MAX(0,IFERROR(INDEX(Services!$C$6:$C$35,MATCH(E384,Services!$B$6:$B$35,0)),0)-N(H384)))</f>
        <v/>
      </c>
      <c r="H384" s="34" t="n"/>
      <c r="I384" s="34" t="n">
        <v>30</v>
      </c>
      <c r="J384" s="33" t="inlineStr">
        <is>
          <t>Cash</t>
        </is>
      </c>
      <c r="K384" s="28">
        <f>IF(OR(B384="",F384&lt;&gt;"Done",J384="Package"),"",IF(N(G384)-N(I384)&gt;0,N(G384)-N(I384),""))</f>
        <v/>
      </c>
      <c r="L384" s="32" t="n"/>
      <c r="M384" s="1">
        <f>IF(OR(B384="",D384="",F384="Cancelled"),"",B384+N(C384)+ROW()/10000000)</f>
        <v/>
      </c>
      <c r="N384">
        <f>IF(AND(F384="Done",M384&lt;&gt;""),IF(COUNTIFS(Appointments!$D$6:$D$2005,D384,Appointments!$F$6:$F$2005,"Done",Appointments!$M$6:$M$2005,"&gt;"&amp;M384)=0,1,0),0)</f>
        <v/>
      </c>
      <c r="O384">
        <f>IF(AND(F384="Booked",M384&lt;&gt;"",N(B384)&gt;=TODAY()),IF(COUNTIFS(Appointments!$D$6:$D$2005,D384,Appointments!$F$6:$F$2005,"Booked",Appointments!$B$6:$B$2005,"&gt;="&amp;TODAY(),Appointments!$M$6:$M$2005,"&lt;"&amp;M384)=0,1,0),0)</f>
        <v/>
      </c>
    </row>
    <row r="385">
      <c r="A385" s="1" t="n"/>
      <c r="B385" s="30" t="n">
        <v>46116</v>
      </c>
      <c r="C385" s="31" t="n">
        <v>0.375</v>
      </c>
      <c r="D385" s="32" t="inlineStr">
        <is>
          <t>Fiona Price</t>
        </is>
      </c>
      <c r="E385" s="32" t="inlineStr">
        <is>
          <t>Highlights</t>
        </is>
      </c>
      <c r="F385" s="33" t="inlineStr">
        <is>
          <t>Done</t>
        </is>
      </c>
      <c r="G385" s="27">
        <f>IF(E385="","",MAX(0,IFERROR(INDEX(Services!$C$6:$C$35,MATCH(E385,Services!$B$6:$B$35,0)),0)-N(H385)))</f>
        <v/>
      </c>
      <c r="H385" s="34" t="n"/>
      <c r="I385" s="34" t="n">
        <v>140</v>
      </c>
      <c r="J385" s="33" t="inlineStr">
        <is>
          <t>Card</t>
        </is>
      </c>
      <c r="K385" s="28">
        <f>IF(OR(B385="",F385&lt;&gt;"Done",J385="Package"),"",IF(N(G385)-N(I385)&gt;0,N(G385)-N(I385),""))</f>
        <v/>
      </c>
      <c r="L385" s="32" t="n"/>
      <c r="M385" s="1">
        <f>IF(OR(B385="",D385="",F385="Cancelled"),"",B385+N(C385)+ROW()/10000000)</f>
        <v/>
      </c>
      <c r="N385">
        <f>IF(AND(F385="Done",M385&lt;&gt;""),IF(COUNTIFS(Appointments!$D$6:$D$2005,D385,Appointments!$F$6:$F$2005,"Done",Appointments!$M$6:$M$2005,"&gt;"&amp;M385)=0,1,0),0)</f>
        <v/>
      </c>
      <c r="O385">
        <f>IF(AND(F385="Booked",M385&lt;&gt;"",N(B385)&gt;=TODAY()),IF(COUNTIFS(Appointments!$D$6:$D$2005,D385,Appointments!$F$6:$F$2005,"Booked",Appointments!$B$6:$B$2005,"&gt;="&amp;TODAY(),Appointments!$M$6:$M$2005,"&lt;"&amp;M385)=0,1,0),0)</f>
        <v/>
      </c>
    </row>
    <row r="386">
      <c r="A386" s="1" t="n"/>
      <c r="B386" s="30" t="n">
        <v>46119</v>
      </c>
      <c r="C386" s="31" t="n">
        <v>0.375</v>
      </c>
      <c r="D386" s="32" t="inlineStr">
        <is>
          <t>Adam King</t>
        </is>
      </c>
      <c r="E386" s="32" t="inlineStr">
        <is>
          <t>Men's haircut</t>
        </is>
      </c>
      <c r="F386" s="33" t="inlineStr">
        <is>
          <t>Done</t>
        </is>
      </c>
      <c r="G386" s="27">
        <f>IF(E386="","",MAX(0,IFERROR(INDEX(Services!$C$6:$C$35,MATCH(E386,Services!$B$6:$B$35,0)),0)-N(H386)))</f>
        <v/>
      </c>
      <c r="H386" s="34" t="n"/>
      <c r="I386" s="34" t="n">
        <v>30</v>
      </c>
      <c r="J386" s="33" t="inlineStr">
        <is>
          <t>Cash</t>
        </is>
      </c>
      <c r="K386" s="28">
        <f>IF(OR(B386="",F386&lt;&gt;"Done",J386="Package"),"",IF(N(G386)-N(I386)&gt;0,N(G386)-N(I386),""))</f>
        <v/>
      </c>
      <c r="L386" s="32" t="n"/>
      <c r="M386" s="1">
        <f>IF(OR(B386="",D386="",F386="Cancelled"),"",B386+N(C386)+ROW()/10000000)</f>
        <v/>
      </c>
      <c r="N386">
        <f>IF(AND(F386="Done",M386&lt;&gt;""),IF(COUNTIFS(Appointments!$D$6:$D$2005,D386,Appointments!$F$6:$F$2005,"Done",Appointments!$M$6:$M$2005,"&gt;"&amp;M386)=0,1,0),0)</f>
        <v/>
      </c>
      <c r="O386">
        <f>IF(AND(F386="Booked",M386&lt;&gt;"",N(B386)&gt;=TODAY()),IF(COUNTIFS(Appointments!$D$6:$D$2005,D386,Appointments!$F$6:$F$2005,"Booked",Appointments!$B$6:$B$2005,"&gt;="&amp;TODAY(),Appointments!$M$6:$M$2005,"&lt;"&amp;M386)=0,1,0),0)</f>
        <v/>
      </c>
    </row>
    <row r="387">
      <c r="A387" s="1" t="n"/>
      <c r="B387" s="30" t="n">
        <v>46119</v>
      </c>
      <c r="C387" s="31" t="n">
        <v>0.4027777777777778</v>
      </c>
      <c r="D387" s="32" t="inlineStr">
        <is>
          <t>Clara Morgan</t>
        </is>
      </c>
      <c r="E387" s="32" t="inlineStr">
        <is>
          <t>Women's haircut</t>
        </is>
      </c>
      <c r="F387" s="33" t="inlineStr">
        <is>
          <t>Done</t>
        </is>
      </c>
      <c r="G387" s="27">
        <f>IF(E387="","",MAX(0,IFERROR(INDEX(Services!$C$6:$C$35,MATCH(E387,Services!$B$6:$B$35,0)),0)-N(H387)))</f>
        <v/>
      </c>
      <c r="H387" s="34" t="n"/>
      <c r="I387" s="34" t="n">
        <v>55</v>
      </c>
      <c r="J387" s="33" t="inlineStr">
        <is>
          <t>Card</t>
        </is>
      </c>
      <c r="K387" s="28">
        <f>IF(OR(B387="",F387&lt;&gt;"Done",J387="Package"),"",IF(N(G387)-N(I387)&gt;0,N(G387)-N(I387),""))</f>
        <v/>
      </c>
      <c r="L387" s="32" t="n"/>
      <c r="M387" s="1">
        <f>IF(OR(B387="",D387="",F387="Cancelled"),"",B387+N(C387)+ROW()/10000000)</f>
        <v/>
      </c>
      <c r="N387">
        <f>IF(AND(F387="Done",M387&lt;&gt;""),IF(COUNTIFS(Appointments!$D$6:$D$2005,D387,Appointments!$F$6:$F$2005,"Done",Appointments!$M$6:$M$2005,"&gt;"&amp;M387)=0,1,0),0)</f>
        <v/>
      </c>
      <c r="O387">
        <f>IF(AND(F387="Booked",M387&lt;&gt;"",N(B387)&gt;=TODAY()),IF(COUNTIFS(Appointments!$D$6:$D$2005,D387,Appointments!$F$6:$F$2005,"Booked",Appointments!$B$6:$B$2005,"&gt;="&amp;TODAY(),Appointments!$M$6:$M$2005,"&lt;"&amp;M387)=0,1,0),0)</f>
        <v/>
      </c>
    </row>
    <row r="388">
      <c r="A388" s="1" t="n"/>
      <c r="B388" s="30" t="n">
        <v>46119</v>
      </c>
      <c r="C388" s="31" t="n">
        <v>0.4513888888888889</v>
      </c>
      <c r="D388" s="32" t="inlineStr">
        <is>
          <t>Eli James</t>
        </is>
      </c>
      <c r="E388" s="32" t="inlineStr">
        <is>
          <t>Men's haircut</t>
        </is>
      </c>
      <c r="F388" s="33" t="inlineStr">
        <is>
          <t>Done</t>
        </is>
      </c>
      <c r="G388" s="27">
        <f>IF(E388="","",MAX(0,IFERROR(INDEX(Services!$C$6:$C$35,MATCH(E388,Services!$B$6:$B$35,0)),0)-N(H388)))</f>
        <v/>
      </c>
      <c r="H388" s="34" t="n"/>
      <c r="I388" s="34" t="n">
        <v>30</v>
      </c>
      <c r="J388" s="33" t="inlineStr">
        <is>
          <t>Card</t>
        </is>
      </c>
      <c r="K388" s="28">
        <f>IF(OR(B388="",F388&lt;&gt;"Done",J388="Package"),"",IF(N(G388)-N(I388)&gt;0,N(G388)-N(I388),""))</f>
        <v/>
      </c>
      <c r="L388" s="32" t="n"/>
      <c r="M388" s="1">
        <f>IF(OR(B388="",D388="",F388="Cancelled"),"",B388+N(C388)+ROW()/10000000)</f>
        <v/>
      </c>
      <c r="N388">
        <f>IF(AND(F388="Done",M388&lt;&gt;""),IF(COUNTIFS(Appointments!$D$6:$D$2005,D388,Appointments!$F$6:$F$2005,"Done",Appointments!$M$6:$M$2005,"&gt;"&amp;M388)=0,1,0),0)</f>
        <v/>
      </c>
      <c r="O388">
        <f>IF(AND(F388="Booked",M388&lt;&gt;"",N(B388)&gt;=TODAY()),IF(COUNTIFS(Appointments!$D$6:$D$2005,D388,Appointments!$F$6:$F$2005,"Booked",Appointments!$B$6:$B$2005,"&gt;="&amp;TODAY(),Appointments!$M$6:$M$2005,"&lt;"&amp;M388)=0,1,0),0)</f>
        <v/>
      </c>
    </row>
    <row r="389">
      <c r="A389" s="1" t="n"/>
      <c r="B389" s="30" t="n">
        <v>46119</v>
      </c>
      <c r="C389" s="31" t="n">
        <v>0.4791666666666667</v>
      </c>
      <c r="D389" s="32" t="inlineStr">
        <is>
          <t>Julia Young</t>
        </is>
      </c>
      <c r="E389" s="32" t="inlineStr">
        <is>
          <t>Colour</t>
        </is>
      </c>
      <c r="F389" s="33" t="inlineStr">
        <is>
          <t>Done</t>
        </is>
      </c>
      <c r="G389" s="27">
        <f>IF(E389="","",MAX(0,IFERROR(INDEX(Services!$C$6:$C$35,MATCH(E389,Services!$B$6:$B$35,0)),0)-N(H389)))</f>
        <v/>
      </c>
      <c r="H389" s="34" t="n"/>
      <c r="I389" s="34" t="n">
        <v>95</v>
      </c>
      <c r="J389" s="33" t="inlineStr">
        <is>
          <t>Card</t>
        </is>
      </c>
      <c r="K389" s="28">
        <f>IF(OR(B389="",F389&lt;&gt;"Done",J389="Package"),"",IF(N(G389)-N(I389)&gt;0,N(G389)-N(I389),""))</f>
        <v/>
      </c>
      <c r="L389" s="32" t="n"/>
      <c r="M389" s="1">
        <f>IF(OR(B389="",D389="",F389="Cancelled"),"",B389+N(C389)+ROW()/10000000)</f>
        <v/>
      </c>
      <c r="N389">
        <f>IF(AND(F389="Done",M389&lt;&gt;""),IF(COUNTIFS(Appointments!$D$6:$D$2005,D389,Appointments!$F$6:$F$2005,"Done",Appointments!$M$6:$M$2005,"&gt;"&amp;M389)=0,1,0),0)</f>
        <v/>
      </c>
      <c r="O389">
        <f>IF(AND(F389="Booked",M389&lt;&gt;"",N(B389)&gt;=TODAY()),IF(COUNTIFS(Appointments!$D$6:$D$2005,D389,Appointments!$F$6:$F$2005,"Booked",Appointments!$B$6:$B$2005,"&gt;="&amp;TODAY(),Appointments!$M$6:$M$2005,"&lt;"&amp;M389)=0,1,0),0)</f>
        <v/>
      </c>
    </row>
    <row r="390">
      <c r="A390" s="1" t="n"/>
      <c r="B390" s="30" t="n">
        <v>46119</v>
      </c>
      <c r="C390" s="31" t="n">
        <v>0.5694444444444444</v>
      </c>
      <c r="D390" s="32" t="inlineStr">
        <is>
          <t>Luke Hall</t>
        </is>
      </c>
      <c r="E390" s="32" t="inlineStr">
        <is>
          <t>Men's haircut</t>
        </is>
      </c>
      <c r="F390" s="33" t="inlineStr">
        <is>
          <t>No-show</t>
        </is>
      </c>
      <c r="G390" s="27">
        <f>IF(E390="","",MAX(0,IFERROR(INDEX(Services!$C$6:$C$35,MATCH(E390,Services!$B$6:$B$35,0)),0)-N(H390)))</f>
        <v/>
      </c>
      <c r="H390" s="34" t="n"/>
      <c r="I390" s="34" t="n"/>
      <c r="J390" s="33" t="n"/>
      <c r="K390" s="28">
        <f>IF(OR(B390="",F390&lt;&gt;"Done",J390="Package"),"",IF(N(G390)-N(I390)&gt;0,N(G390)-N(I390),""))</f>
        <v/>
      </c>
      <c r="L390" s="32" t="n"/>
      <c r="M390" s="1">
        <f>IF(OR(B390="",D390="",F390="Cancelled"),"",B390+N(C390)+ROW()/10000000)</f>
        <v/>
      </c>
      <c r="N390">
        <f>IF(AND(F390="Done",M390&lt;&gt;""),IF(COUNTIFS(Appointments!$D$6:$D$2005,D390,Appointments!$F$6:$F$2005,"Done",Appointments!$M$6:$M$2005,"&gt;"&amp;M390)=0,1,0),0)</f>
        <v/>
      </c>
      <c r="O390">
        <f>IF(AND(F390="Booked",M390&lt;&gt;"",N(B390)&gt;=TODAY()),IF(COUNTIFS(Appointments!$D$6:$D$2005,D390,Appointments!$F$6:$F$2005,"Booked",Appointments!$B$6:$B$2005,"&gt;="&amp;TODAY(),Appointments!$M$6:$M$2005,"&lt;"&amp;M390)=0,1,0),0)</f>
        <v/>
      </c>
    </row>
    <row r="391">
      <c r="A391" s="1" t="n"/>
      <c r="B391" s="30" t="n">
        <v>46119</v>
      </c>
      <c r="C391" s="31" t="n">
        <v>0.5972222222222222</v>
      </c>
      <c r="D391" s="32" t="inlineStr">
        <is>
          <t>Owen Lewis</t>
        </is>
      </c>
      <c r="E391" s="32" t="inlineStr">
        <is>
          <t>Men's haircut</t>
        </is>
      </c>
      <c r="F391" s="33" t="inlineStr">
        <is>
          <t>Done</t>
        </is>
      </c>
      <c r="G391" s="27">
        <f>IF(E391="","",MAX(0,IFERROR(INDEX(Services!$C$6:$C$35,MATCH(E391,Services!$B$6:$B$35,0)),0)-N(H391)))</f>
        <v/>
      </c>
      <c r="H391" s="34" t="n">
        <v>10</v>
      </c>
      <c r="I391" s="34" t="n">
        <v>20</v>
      </c>
      <c r="J391" s="33" t="inlineStr">
        <is>
          <t>Transfer</t>
        </is>
      </c>
      <c r="K391" s="28">
        <f>IF(OR(B391="",F391&lt;&gt;"Done",J391="Package"),"",IF(N(G391)-N(I391)&gt;0,N(G391)-N(I391),""))</f>
        <v/>
      </c>
      <c r="L391" s="32" t="inlineStr">
        <is>
          <t>Friends and family</t>
        </is>
      </c>
      <c r="M391" s="1">
        <f>IF(OR(B391="",D391="",F391="Cancelled"),"",B391+N(C391)+ROW()/10000000)</f>
        <v/>
      </c>
      <c r="N391">
        <f>IF(AND(F391="Done",M391&lt;&gt;""),IF(COUNTIFS(Appointments!$D$6:$D$2005,D391,Appointments!$F$6:$F$2005,"Done",Appointments!$M$6:$M$2005,"&gt;"&amp;M391)=0,1,0),0)</f>
        <v/>
      </c>
      <c r="O391">
        <f>IF(AND(F391="Booked",M391&lt;&gt;"",N(B391)&gt;=TODAY()),IF(COUNTIFS(Appointments!$D$6:$D$2005,D391,Appointments!$F$6:$F$2005,"Booked",Appointments!$B$6:$B$2005,"&gt;="&amp;TODAY(),Appointments!$M$6:$M$2005,"&lt;"&amp;M391)=0,1,0),0)</f>
        <v/>
      </c>
    </row>
    <row r="392">
      <c r="A392" s="1" t="n"/>
      <c r="B392" s="30" t="n">
        <v>46119</v>
      </c>
      <c r="C392" s="31" t="n">
        <v>0.625</v>
      </c>
      <c r="D392" s="32" t="inlineStr">
        <is>
          <t>Uma Nair</t>
        </is>
      </c>
      <c r="E392" s="32" t="inlineStr">
        <is>
          <t>Women's haircut</t>
        </is>
      </c>
      <c r="F392" s="33" t="inlineStr">
        <is>
          <t>Done</t>
        </is>
      </c>
      <c r="G392" s="27">
        <f>IF(E392="","",MAX(0,IFERROR(INDEX(Services!$C$6:$C$35,MATCH(E392,Services!$B$6:$B$35,0)),0)-N(H392)))</f>
        <v/>
      </c>
      <c r="H392" s="34" t="n"/>
      <c r="I392" s="34" t="n">
        <v>55</v>
      </c>
      <c r="J392" s="33" t="inlineStr">
        <is>
          <t>Card</t>
        </is>
      </c>
      <c r="K392" s="28">
        <f>IF(OR(B392="",F392&lt;&gt;"Done",J392="Package"),"",IF(N(G392)-N(I392)&gt;0,N(G392)-N(I392),""))</f>
        <v/>
      </c>
      <c r="L392" s="32" t="n"/>
      <c r="M392" s="1">
        <f>IF(OR(B392="",D392="",F392="Cancelled"),"",B392+N(C392)+ROW()/10000000)</f>
        <v/>
      </c>
      <c r="N392">
        <f>IF(AND(F392="Done",M392&lt;&gt;""),IF(COUNTIFS(Appointments!$D$6:$D$2005,D392,Appointments!$F$6:$F$2005,"Done",Appointments!$M$6:$M$2005,"&gt;"&amp;M392)=0,1,0),0)</f>
        <v/>
      </c>
      <c r="O392">
        <f>IF(AND(F392="Booked",M392&lt;&gt;"",N(B392)&gt;=TODAY()),IF(COUNTIFS(Appointments!$D$6:$D$2005,D392,Appointments!$F$6:$F$2005,"Booked",Appointments!$B$6:$B$2005,"&gt;="&amp;TODAY(),Appointments!$M$6:$M$2005,"&lt;"&amp;M392)=0,1,0),0)</f>
        <v/>
      </c>
    </row>
    <row r="393">
      <c r="A393" s="1" t="n"/>
      <c r="B393" s="30" t="n">
        <v>46120</v>
      </c>
      <c r="C393" s="31" t="n">
        <v>0.375</v>
      </c>
      <c r="D393" s="32" t="inlineStr">
        <is>
          <t>Finn Davies</t>
        </is>
      </c>
      <c r="E393" s="32" t="inlineStr">
        <is>
          <t>Men's haircut</t>
        </is>
      </c>
      <c r="F393" s="33" t="inlineStr">
        <is>
          <t>Done</t>
        </is>
      </c>
      <c r="G393" s="27">
        <f>IF(E393="","",MAX(0,IFERROR(INDEX(Services!$C$6:$C$35,MATCH(E393,Services!$B$6:$B$35,0)),0)-N(H393)))</f>
        <v/>
      </c>
      <c r="H393" s="34" t="n"/>
      <c r="I393" s="34" t="n">
        <v>30</v>
      </c>
      <c r="J393" s="33" t="inlineStr">
        <is>
          <t>App</t>
        </is>
      </c>
      <c r="K393" s="28">
        <f>IF(OR(B393="",F393&lt;&gt;"Done",J393="Package"),"",IF(N(G393)-N(I393)&gt;0,N(G393)-N(I393),""))</f>
        <v/>
      </c>
      <c r="L393" s="32" t="n"/>
      <c r="M393" s="1">
        <f>IF(OR(B393="",D393="",F393="Cancelled"),"",B393+N(C393)+ROW()/10000000)</f>
        <v/>
      </c>
      <c r="N393">
        <f>IF(AND(F393="Done",M393&lt;&gt;""),IF(COUNTIFS(Appointments!$D$6:$D$2005,D393,Appointments!$F$6:$F$2005,"Done",Appointments!$M$6:$M$2005,"&gt;"&amp;M393)=0,1,0),0)</f>
        <v/>
      </c>
      <c r="O393">
        <f>IF(AND(F393="Booked",M393&lt;&gt;"",N(B393)&gt;=TODAY()),IF(COUNTIFS(Appointments!$D$6:$D$2005,D393,Appointments!$F$6:$F$2005,"Booked",Appointments!$B$6:$B$2005,"&gt;="&amp;TODAY(),Appointments!$M$6:$M$2005,"&lt;"&amp;M393)=0,1,0),0)</f>
        <v/>
      </c>
    </row>
    <row r="394">
      <c r="A394" s="1" t="n"/>
      <c r="B394" s="30" t="n">
        <v>46120</v>
      </c>
      <c r="C394" s="31" t="n">
        <v>0.4027777777777778</v>
      </c>
      <c r="D394" s="32" t="inlineStr">
        <is>
          <t>Harry Cox</t>
        </is>
      </c>
      <c r="E394" s="32" t="inlineStr">
        <is>
          <t>Men's haircut</t>
        </is>
      </c>
      <c r="F394" s="33" t="inlineStr">
        <is>
          <t>Done</t>
        </is>
      </c>
      <c r="G394" s="27">
        <f>IF(E394="","",MAX(0,IFERROR(INDEX(Services!$C$6:$C$35,MATCH(E394,Services!$B$6:$B$35,0)),0)-N(H394)))</f>
        <v/>
      </c>
      <c r="H394" s="34" t="n"/>
      <c r="I394" s="34" t="n">
        <v>30</v>
      </c>
      <c r="J394" s="33" t="inlineStr">
        <is>
          <t>Card</t>
        </is>
      </c>
      <c r="K394" s="28">
        <f>IF(OR(B394="",F394&lt;&gt;"Done",J394="Package"),"",IF(N(G394)-N(I394)&gt;0,N(G394)-N(I394),""))</f>
        <v/>
      </c>
      <c r="L394" s="32" t="n"/>
      <c r="M394" s="1">
        <f>IF(OR(B394="",D394="",F394="Cancelled"),"",B394+N(C394)+ROW()/10000000)</f>
        <v/>
      </c>
      <c r="N394">
        <f>IF(AND(F394="Done",M394&lt;&gt;""),IF(COUNTIFS(Appointments!$D$6:$D$2005,D394,Appointments!$F$6:$F$2005,"Done",Appointments!$M$6:$M$2005,"&gt;"&amp;M394)=0,1,0),0)</f>
        <v/>
      </c>
      <c r="O394">
        <f>IF(AND(F394="Booked",M394&lt;&gt;"",N(B394)&gt;=TODAY()),IF(COUNTIFS(Appointments!$D$6:$D$2005,D394,Appointments!$F$6:$F$2005,"Booked",Appointments!$B$6:$B$2005,"&gt;="&amp;TODAY(),Appointments!$M$6:$M$2005,"&lt;"&amp;M394)=0,1,0),0)</f>
        <v/>
      </c>
    </row>
    <row r="395">
      <c r="A395" s="1" t="n"/>
      <c r="B395" s="30" t="n">
        <v>46120</v>
      </c>
      <c r="C395" s="31" t="n">
        <v>0.4305555555555556</v>
      </c>
      <c r="D395" s="32" t="inlineStr">
        <is>
          <t>Owen Morgan</t>
        </is>
      </c>
      <c r="E395" s="32" t="inlineStr">
        <is>
          <t>Men's haircut</t>
        </is>
      </c>
      <c r="F395" s="33" t="inlineStr">
        <is>
          <t>Done</t>
        </is>
      </c>
      <c r="G395" s="27">
        <f>IF(E395="","",MAX(0,IFERROR(INDEX(Services!$C$6:$C$35,MATCH(E395,Services!$B$6:$B$35,0)),0)-N(H395)))</f>
        <v/>
      </c>
      <c r="H395" s="34" t="n"/>
      <c r="I395" s="34" t="n">
        <v>30</v>
      </c>
      <c r="J395" s="33" t="inlineStr">
        <is>
          <t>Card</t>
        </is>
      </c>
      <c r="K395" s="28">
        <f>IF(OR(B395="",F395&lt;&gt;"Done",J395="Package"),"",IF(N(G395)-N(I395)&gt;0,N(G395)-N(I395),""))</f>
        <v/>
      </c>
      <c r="L395" s="32" t="n"/>
      <c r="M395" s="1">
        <f>IF(OR(B395="",D395="",F395="Cancelled"),"",B395+N(C395)+ROW()/10000000)</f>
        <v/>
      </c>
      <c r="N395">
        <f>IF(AND(F395="Done",M395&lt;&gt;""),IF(COUNTIFS(Appointments!$D$6:$D$2005,D395,Appointments!$F$6:$F$2005,"Done",Appointments!$M$6:$M$2005,"&gt;"&amp;M395)=0,1,0),0)</f>
        <v/>
      </c>
      <c r="O395">
        <f>IF(AND(F395="Booked",M395&lt;&gt;"",N(B395)&gt;=TODAY()),IF(COUNTIFS(Appointments!$D$6:$D$2005,D395,Appointments!$F$6:$F$2005,"Booked",Appointments!$B$6:$B$2005,"&gt;="&amp;TODAY(),Appointments!$M$6:$M$2005,"&lt;"&amp;M395)=0,1,0),0)</f>
        <v/>
      </c>
    </row>
    <row r="396">
      <c r="A396" s="1" t="n"/>
      <c r="B396" s="30" t="n">
        <v>46120</v>
      </c>
      <c r="C396" s="31" t="n">
        <v>0.4583333333333333</v>
      </c>
      <c r="D396" s="32" t="inlineStr">
        <is>
          <t>Owen Walsh</t>
        </is>
      </c>
      <c r="E396" s="32" t="inlineStr">
        <is>
          <t>Men's haircut</t>
        </is>
      </c>
      <c r="F396" s="33" t="inlineStr">
        <is>
          <t>Done</t>
        </is>
      </c>
      <c r="G396" s="27">
        <f>IF(E396="","",MAX(0,IFERROR(INDEX(Services!$C$6:$C$35,MATCH(E396,Services!$B$6:$B$35,0)),0)-N(H396)))</f>
        <v/>
      </c>
      <c r="H396" s="34" t="n"/>
      <c r="I396" s="34" t="n">
        <v>30</v>
      </c>
      <c r="J396" s="33" t="inlineStr">
        <is>
          <t>Card</t>
        </is>
      </c>
      <c r="K396" s="28">
        <f>IF(OR(B396="",F396&lt;&gt;"Done",J396="Package"),"",IF(N(G396)-N(I396)&gt;0,N(G396)-N(I396),""))</f>
        <v/>
      </c>
      <c r="L396" s="32" t="n"/>
      <c r="M396" s="1">
        <f>IF(OR(B396="",D396="",F396="Cancelled"),"",B396+N(C396)+ROW()/10000000)</f>
        <v/>
      </c>
      <c r="N396">
        <f>IF(AND(F396="Done",M396&lt;&gt;""),IF(COUNTIFS(Appointments!$D$6:$D$2005,D396,Appointments!$F$6:$F$2005,"Done",Appointments!$M$6:$M$2005,"&gt;"&amp;M396)=0,1,0),0)</f>
        <v/>
      </c>
      <c r="O396">
        <f>IF(AND(F396="Booked",M396&lt;&gt;"",N(B396)&gt;=TODAY()),IF(COUNTIFS(Appointments!$D$6:$D$2005,D396,Appointments!$F$6:$F$2005,"Booked",Appointments!$B$6:$B$2005,"&gt;="&amp;TODAY(),Appointments!$M$6:$M$2005,"&lt;"&amp;M396)=0,1,0),0)</f>
        <v/>
      </c>
    </row>
    <row r="397">
      <c r="A397" s="1" t="n"/>
      <c r="B397" s="30" t="n">
        <v>46120</v>
      </c>
      <c r="C397" s="31" t="n">
        <v>0.4861111111111111</v>
      </c>
      <c r="D397" s="32" t="inlineStr">
        <is>
          <t>Owen Webb</t>
        </is>
      </c>
      <c r="E397" s="32" t="inlineStr">
        <is>
          <t>Men's haircut</t>
        </is>
      </c>
      <c r="F397" s="33" t="inlineStr">
        <is>
          <t>Done</t>
        </is>
      </c>
      <c r="G397" s="27">
        <f>IF(E397="","",MAX(0,IFERROR(INDEX(Services!$C$6:$C$35,MATCH(E397,Services!$B$6:$B$35,0)),0)-N(H397)))</f>
        <v/>
      </c>
      <c r="H397" s="34" t="n"/>
      <c r="I397" s="34" t="n">
        <v>30</v>
      </c>
      <c r="J397" s="33" t="inlineStr">
        <is>
          <t>Card</t>
        </is>
      </c>
      <c r="K397" s="28">
        <f>IF(OR(B397="",F397&lt;&gt;"Done",J397="Package"),"",IF(N(G397)-N(I397)&gt;0,N(G397)-N(I397),""))</f>
        <v/>
      </c>
      <c r="L397" s="32" t="n"/>
      <c r="M397" s="1">
        <f>IF(OR(B397="",D397="",F397="Cancelled"),"",B397+N(C397)+ROW()/10000000)</f>
        <v/>
      </c>
      <c r="N397">
        <f>IF(AND(F397="Done",M397&lt;&gt;""),IF(COUNTIFS(Appointments!$D$6:$D$2005,D397,Appointments!$F$6:$F$2005,"Done",Appointments!$M$6:$M$2005,"&gt;"&amp;M397)=0,1,0),0)</f>
        <v/>
      </c>
      <c r="O397">
        <f>IF(AND(F397="Booked",M397&lt;&gt;"",N(B397)&gt;=TODAY()),IF(COUNTIFS(Appointments!$D$6:$D$2005,D397,Appointments!$F$6:$F$2005,"Booked",Appointments!$B$6:$B$2005,"&gt;="&amp;TODAY(),Appointments!$M$6:$M$2005,"&lt;"&amp;M397)=0,1,0),0)</f>
        <v/>
      </c>
    </row>
    <row r="398">
      <c r="A398" s="1" t="n"/>
      <c r="B398" s="30" t="n">
        <v>46120</v>
      </c>
      <c r="C398" s="31" t="n">
        <v>0.5138888888888888</v>
      </c>
      <c r="D398" s="32" t="inlineStr">
        <is>
          <t>Sara Cox</t>
        </is>
      </c>
      <c r="E398" s="32" t="inlineStr">
        <is>
          <t>Colour</t>
        </is>
      </c>
      <c r="F398" s="33" t="inlineStr">
        <is>
          <t>No-show</t>
        </is>
      </c>
      <c r="G398" s="27">
        <f>IF(E398="","",MAX(0,IFERROR(INDEX(Services!$C$6:$C$35,MATCH(E398,Services!$B$6:$B$35,0)),0)-N(H398)))</f>
        <v/>
      </c>
      <c r="H398" s="34" t="n"/>
      <c r="I398" s="34" t="n"/>
      <c r="J398" s="33" t="n"/>
      <c r="K398" s="28">
        <f>IF(OR(B398="",F398&lt;&gt;"Done",J398="Package"),"",IF(N(G398)-N(I398)&gt;0,N(G398)-N(I398),""))</f>
        <v/>
      </c>
      <c r="L398" s="32" t="n"/>
      <c r="M398" s="1">
        <f>IF(OR(B398="",D398="",F398="Cancelled"),"",B398+N(C398)+ROW()/10000000)</f>
        <v/>
      </c>
      <c r="N398">
        <f>IF(AND(F398="Done",M398&lt;&gt;""),IF(COUNTIFS(Appointments!$D$6:$D$2005,D398,Appointments!$F$6:$F$2005,"Done",Appointments!$M$6:$M$2005,"&gt;"&amp;M398)=0,1,0),0)</f>
        <v/>
      </c>
      <c r="O398">
        <f>IF(AND(F398="Booked",M398&lt;&gt;"",N(B398)&gt;=TODAY()),IF(COUNTIFS(Appointments!$D$6:$D$2005,D398,Appointments!$F$6:$F$2005,"Booked",Appointments!$B$6:$B$2005,"&gt;="&amp;TODAY(),Appointments!$M$6:$M$2005,"&lt;"&amp;M398)=0,1,0),0)</f>
        <v/>
      </c>
    </row>
    <row r="399">
      <c r="A399" s="1" t="n"/>
      <c r="B399" s="30" t="n">
        <v>46120</v>
      </c>
      <c r="C399" s="31" t="n">
        <v>0.6041666666666666</v>
      </c>
      <c r="D399" s="32" t="inlineStr">
        <is>
          <t>Wendy Scott</t>
        </is>
      </c>
      <c r="E399" s="32" t="inlineStr">
        <is>
          <t>Women's haircut</t>
        </is>
      </c>
      <c r="F399" s="33" t="inlineStr">
        <is>
          <t>Done</t>
        </is>
      </c>
      <c r="G399" s="27">
        <f>IF(E399="","",MAX(0,IFERROR(INDEX(Services!$C$6:$C$35,MATCH(E399,Services!$B$6:$B$35,0)),0)-N(H399)))</f>
        <v/>
      </c>
      <c r="H399" s="34" t="n"/>
      <c r="I399" s="34" t="n">
        <v>55</v>
      </c>
      <c r="J399" s="33" t="inlineStr">
        <is>
          <t>Card</t>
        </is>
      </c>
      <c r="K399" s="28">
        <f>IF(OR(B399="",F399&lt;&gt;"Done",J399="Package"),"",IF(N(G399)-N(I399)&gt;0,N(G399)-N(I399),""))</f>
        <v/>
      </c>
      <c r="L399" s="32" t="n"/>
      <c r="M399" s="1">
        <f>IF(OR(B399="",D399="",F399="Cancelled"),"",B399+N(C399)+ROW()/10000000)</f>
        <v/>
      </c>
      <c r="N399">
        <f>IF(AND(F399="Done",M399&lt;&gt;""),IF(COUNTIFS(Appointments!$D$6:$D$2005,D399,Appointments!$F$6:$F$2005,"Done",Appointments!$M$6:$M$2005,"&gt;"&amp;M399)=0,1,0),0)</f>
        <v/>
      </c>
      <c r="O399">
        <f>IF(AND(F399="Booked",M399&lt;&gt;"",N(B399)&gt;=TODAY()),IF(COUNTIFS(Appointments!$D$6:$D$2005,D399,Appointments!$F$6:$F$2005,"Booked",Appointments!$B$6:$B$2005,"&gt;="&amp;TODAY(),Appointments!$M$6:$M$2005,"&lt;"&amp;M399)=0,1,0),0)</f>
        <v/>
      </c>
    </row>
    <row r="400">
      <c r="A400" s="1" t="n"/>
      <c r="B400" s="30" t="n">
        <v>46121</v>
      </c>
      <c r="C400" s="31" t="n">
        <v>0.375</v>
      </c>
      <c r="D400" s="32" t="inlineStr">
        <is>
          <t>Chloe Martin</t>
        </is>
      </c>
      <c r="E400" s="32" t="inlineStr">
        <is>
          <t>Toner</t>
        </is>
      </c>
      <c r="F400" s="33" t="inlineStr">
        <is>
          <t>Done</t>
        </is>
      </c>
      <c r="G400" s="27">
        <f>IF(E400="","",MAX(0,IFERROR(INDEX(Services!$C$6:$C$35,MATCH(E400,Services!$B$6:$B$35,0)),0)-N(H400)))</f>
        <v/>
      </c>
      <c r="H400" s="34" t="n"/>
      <c r="I400" s="34" t="n">
        <v>40</v>
      </c>
      <c r="J400" s="33" t="inlineStr">
        <is>
          <t>Card</t>
        </is>
      </c>
      <c r="K400" s="28">
        <f>IF(OR(B400="",F400&lt;&gt;"Done",J400="Package"),"",IF(N(G400)-N(I400)&gt;0,N(G400)-N(I400),""))</f>
        <v/>
      </c>
      <c r="L400" s="32" t="n"/>
      <c r="M400" s="1">
        <f>IF(OR(B400="",D400="",F400="Cancelled"),"",B400+N(C400)+ROW()/10000000)</f>
        <v/>
      </c>
      <c r="N400">
        <f>IF(AND(F400="Done",M400&lt;&gt;""),IF(COUNTIFS(Appointments!$D$6:$D$2005,D400,Appointments!$F$6:$F$2005,"Done",Appointments!$M$6:$M$2005,"&gt;"&amp;M400)=0,1,0),0)</f>
        <v/>
      </c>
      <c r="O400">
        <f>IF(AND(F400="Booked",M400&lt;&gt;"",N(B400)&gt;=TODAY()),IF(COUNTIFS(Appointments!$D$6:$D$2005,D400,Appointments!$F$6:$F$2005,"Booked",Appointments!$B$6:$B$2005,"&gt;="&amp;TODAY(),Appointments!$M$6:$M$2005,"&lt;"&amp;M400)=0,1,0),0)</f>
        <v/>
      </c>
    </row>
    <row r="401">
      <c r="A401" s="1" t="n"/>
      <c r="B401" s="30" t="n">
        <v>46121</v>
      </c>
      <c r="C401" s="31" t="n">
        <v>0.4027777777777778</v>
      </c>
      <c r="D401" s="32" t="inlineStr">
        <is>
          <t>Chris Cook</t>
        </is>
      </c>
      <c r="E401" s="32" t="inlineStr">
        <is>
          <t>Men's haircut</t>
        </is>
      </c>
      <c r="F401" s="33" t="inlineStr">
        <is>
          <t>Done</t>
        </is>
      </c>
      <c r="G401" s="27">
        <f>IF(E401="","",MAX(0,IFERROR(INDEX(Services!$C$6:$C$35,MATCH(E401,Services!$B$6:$B$35,0)),0)-N(H401)))</f>
        <v/>
      </c>
      <c r="H401" s="34" t="n"/>
      <c r="I401" s="34" t="n">
        <v>30</v>
      </c>
      <c r="J401" s="33" t="inlineStr">
        <is>
          <t>Cash</t>
        </is>
      </c>
      <c r="K401" s="28">
        <f>IF(OR(B401="",F401&lt;&gt;"Done",J401="Package"),"",IF(N(G401)-N(I401)&gt;0,N(G401)-N(I401),""))</f>
        <v/>
      </c>
      <c r="L401" s="32" t="n"/>
      <c r="M401" s="1">
        <f>IF(OR(B401="",D401="",F401="Cancelled"),"",B401+N(C401)+ROW()/10000000)</f>
        <v/>
      </c>
      <c r="N401">
        <f>IF(AND(F401="Done",M401&lt;&gt;""),IF(COUNTIFS(Appointments!$D$6:$D$2005,D401,Appointments!$F$6:$F$2005,"Done",Appointments!$M$6:$M$2005,"&gt;"&amp;M401)=0,1,0),0)</f>
        <v/>
      </c>
      <c r="O401">
        <f>IF(AND(F401="Booked",M401&lt;&gt;"",N(B401)&gt;=TODAY()),IF(COUNTIFS(Appointments!$D$6:$D$2005,D401,Appointments!$F$6:$F$2005,"Booked",Appointments!$B$6:$B$2005,"&gt;="&amp;TODAY(),Appointments!$M$6:$M$2005,"&lt;"&amp;M401)=0,1,0),0)</f>
        <v/>
      </c>
    </row>
    <row r="402">
      <c r="A402" s="1" t="n"/>
      <c r="B402" s="30" t="n">
        <v>46121</v>
      </c>
      <c r="C402" s="31" t="n">
        <v>0.4305555555555556</v>
      </c>
      <c r="D402" s="32" t="inlineStr">
        <is>
          <t>Chris Cox</t>
        </is>
      </c>
      <c r="E402" s="32" t="inlineStr">
        <is>
          <t>Men's haircut</t>
        </is>
      </c>
      <c r="F402" s="33" t="inlineStr">
        <is>
          <t>No-show</t>
        </is>
      </c>
      <c r="G402" s="27">
        <f>IF(E402="","",MAX(0,IFERROR(INDEX(Services!$C$6:$C$35,MATCH(E402,Services!$B$6:$B$35,0)),0)-N(H402)))</f>
        <v/>
      </c>
      <c r="H402" s="34" t="n"/>
      <c r="I402" s="34" t="n"/>
      <c r="J402" s="33" t="n"/>
      <c r="K402" s="28">
        <f>IF(OR(B402="",F402&lt;&gt;"Done",J402="Package"),"",IF(N(G402)-N(I402)&gt;0,N(G402)-N(I402),""))</f>
        <v/>
      </c>
      <c r="L402" s="32" t="n"/>
      <c r="M402" s="1">
        <f>IF(OR(B402="",D402="",F402="Cancelled"),"",B402+N(C402)+ROW()/10000000)</f>
        <v/>
      </c>
      <c r="N402">
        <f>IF(AND(F402="Done",M402&lt;&gt;""),IF(COUNTIFS(Appointments!$D$6:$D$2005,D402,Appointments!$F$6:$F$2005,"Done",Appointments!$M$6:$M$2005,"&gt;"&amp;M402)=0,1,0),0)</f>
        <v/>
      </c>
      <c r="O402">
        <f>IF(AND(F402="Booked",M402&lt;&gt;"",N(B402)&gt;=TODAY()),IF(COUNTIFS(Appointments!$D$6:$D$2005,D402,Appointments!$F$6:$F$2005,"Booked",Appointments!$B$6:$B$2005,"&gt;="&amp;TODAY(),Appointments!$M$6:$M$2005,"&lt;"&amp;M402)=0,1,0),0)</f>
        <v/>
      </c>
    </row>
    <row r="403">
      <c r="A403" s="1" t="n"/>
      <c r="B403" s="30" t="n">
        <v>46121</v>
      </c>
      <c r="C403" s="31" t="n">
        <v>0.4583333333333333</v>
      </c>
      <c r="D403" s="32" t="inlineStr">
        <is>
          <t>Dan Owens</t>
        </is>
      </c>
      <c r="E403" s="32" t="inlineStr">
        <is>
          <t>Men's haircut</t>
        </is>
      </c>
      <c r="F403" s="33" t="inlineStr">
        <is>
          <t>Done</t>
        </is>
      </c>
      <c r="G403" s="27">
        <f>IF(E403="","",MAX(0,IFERROR(INDEX(Services!$C$6:$C$35,MATCH(E403,Services!$B$6:$B$35,0)),0)-N(H403)))</f>
        <v/>
      </c>
      <c r="H403" s="34" t="n"/>
      <c r="I403" s="34" t="n">
        <v>30</v>
      </c>
      <c r="J403" s="33" t="inlineStr">
        <is>
          <t>Card</t>
        </is>
      </c>
      <c r="K403" s="28">
        <f>IF(OR(B403="",F403&lt;&gt;"Done",J403="Package"),"",IF(N(G403)-N(I403)&gt;0,N(G403)-N(I403),""))</f>
        <v/>
      </c>
      <c r="L403" s="32" t="n"/>
      <c r="M403" s="1">
        <f>IF(OR(B403="",D403="",F403="Cancelled"),"",B403+N(C403)+ROW()/10000000)</f>
        <v/>
      </c>
      <c r="N403">
        <f>IF(AND(F403="Done",M403&lt;&gt;""),IF(COUNTIFS(Appointments!$D$6:$D$2005,D403,Appointments!$F$6:$F$2005,"Done",Appointments!$M$6:$M$2005,"&gt;"&amp;M403)=0,1,0),0)</f>
        <v/>
      </c>
      <c r="O403">
        <f>IF(AND(F403="Booked",M403&lt;&gt;"",N(B403)&gt;=TODAY()),IF(COUNTIFS(Appointments!$D$6:$D$2005,D403,Appointments!$F$6:$F$2005,"Booked",Appointments!$B$6:$B$2005,"&gt;="&amp;TODAY(),Appointments!$M$6:$M$2005,"&lt;"&amp;M403)=0,1,0),0)</f>
        <v/>
      </c>
    </row>
    <row r="404">
      <c r="A404" s="1" t="n"/>
      <c r="B404" s="30" t="n">
        <v>46121</v>
      </c>
      <c r="C404" s="31" t="n">
        <v>0.4861111111111111</v>
      </c>
      <c r="D404" s="32" t="inlineStr">
        <is>
          <t>George Kelly</t>
        </is>
      </c>
      <c r="E404" s="32" t="inlineStr">
        <is>
          <t>Men's haircut</t>
        </is>
      </c>
      <c r="F404" s="33" t="inlineStr">
        <is>
          <t>Done</t>
        </is>
      </c>
      <c r="G404" s="27">
        <f>IF(E404="","",MAX(0,IFERROR(INDEX(Services!$C$6:$C$35,MATCH(E404,Services!$B$6:$B$35,0)),0)-N(H404)))</f>
        <v/>
      </c>
      <c r="H404" s="34" t="n"/>
      <c r="I404" s="34" t="n">
        <v>30</v>
      </c>
      <c r="J404" s="33" t="inlineStr">
        <is>
          <t>Card</t>
        </is>
      </c>
      <c r="K404" s="28">
        <f>IF(OR(B404="",F404&lt;&gt;"Done",J404="Package"),"",IF(N(G404)-N(I404)&gt;0,N(G404)-N(I404),""))</f>
        <v/>
      </c>
      <c r="L404" s="32" t="n"/>
      <c r="M404" s="1">
        <f>IF(OR(B404="",D404="",F404="Cancelled"),"",B404+N(C404)+ROW()/10000000)</f>
        <v/>
      </c>
      <c r="N404">
        <f>IF(AND(F404="Done",M404&lt;&gt;""),IF(COUNTIFS(Appointments!$D$6:$D$2005,D404,Appointments!$F$6:$F$2005,"Done",Appointments!$M$6:$M$2005,"&gt;"&amp;M404)=0,1,0),0)</f>
        <v/>
      </c>
      <c r="O404">
        <f>IF(AND(F404="Booked",M404&lt;&gt;"",N(B404)&gt;=TODAY()),IF(COUNTIFS(Appointments!$D$6:$D$2005,D404,Appointments!$F$6:$F$2005,"Booked",Appointments!$B$6:$B$2005,"&gt;="&amp;TODAY(),Appointments!$M$6:$M$2005,"&lt;"&amp;M404)=0,1,0),0)</f>
        <v/>
      </c>
    </row>
    <row r="405">
      <c r="A405" s="1" t="n"/>
      <c r="B405" s="30" t="n">
        <v>46121</v>
      </c>
      <c r="C405" s="31" t="n">
        <v>0.5138888888888888</v>
      </c>
      <c r="D405" s="32" t="inlineStr">
        <is>
          <t>Holly Shaw</t>
        </is>
      </c>
      <c r="E405" s="32" t="inlineStr">
        <is>
          <t>Women's haircut</t>
        </is>
      </c>
      <c r="F405" s="33" t="inlineStr">
        <is>
          <t>Done</t>
        </is>
      </c>
      <c r="G405" s="27">
        <f>IF(E405="","",MAX(0,IFERROR(INDEX(Services!$C$6:$C$35,MATCH(E405,Services!$B$6:$B$35,0)),0)-N(H405)))</f>
        <v/>
      </c>
      <c r="H405" s="34" t="n"/>
      <c r="I405" s="34" t="n">
        <v>55</v>
      </c>
      <c r="J405" s="33" t="inlineStr">
        <is>
          <t>Card</t>
        </is>
      </c>
      <c r="K405" s="28">
        <f>IF(OR(B405="",F405&lt;&gt;"Done",J405="Package"),"",IF(N(G405)-N(I405)&gt;0,N(G405)-N(I405),""))</f>
        <v/>
      </c>
      <c r="L405" s="32" t="n"/>
      <c r="M405" s="1">
        <f>IF(OR(B405="",D405="",F405="Cancelled"),"",B405+N(C405)+ROW()/10000000)</f>
        <v/>
      </c>
      <c r="N405">
        <f>IF(AND(F405="Done",M405&lt;&gt;""),IF(COUNTIFS(Appointments!$D$6:$D$2005,D405,Appointments!$F$6:$F$2005,"Done",Appointments!$M$6:$M$2005,"&gt;"&amp;M405)=0,1,0),0)</f>
        <v/>
      </c>
      <c r="O405">
        <f>IF(AND(F405="Booked",M405&lt;&gt;"",N(B405)&gt;=TODAY()),IF(COUNTIFS(Appointments!$D$6:$D$2005,D405,Appointments!$F$6:$F$2005,"Booked",Appointments!$B$6:$B$2005,"&gt;="&amp;TODAY(),Appointments!$M$6:$M$2005,"&lt;"&amp;M405)=0,1,0),0)</f>
        <v/>
      </c>
    </row>
    <row r="406">
      <c r="A406" s="1" t="n"/>
      <c r="B406" s="30" t="n">
        <v>46121</v>
      </c>
      <c r="C406" s="31" t="n">
        <v>0.5625</v>
      </c>
      <c r="D406" s="32" t="inlineStr">
        <is>
          <t>Sam Clarke</t>
        </is>
      </c>
      <c r="E406" s="32" t="inlineStr">
        <is>
          <t>Men's haircut</t>
        </is>
      </c>
      <c r="F406" s="33" t="inlineStr">
        <is>
          <t>Done</t>
        </is>
      </c>
      <c r="G406" s="27">
        <f>IF(E406="","",MAX(0,IFERROR(INDEX(Services!$C$6:$C$35,MATCH(E406,Services!$B$6:$B$35,0)),0)-N(H406)))</f>
        <v/>
      </c>
      <c r="H406" s="34" t="n"/>
      <c r="I406" s="34" t="n">
        <v>30</v>
      </c>
      <c r="J406" s="33" t="inlineStr">
        <is>
          <t>Card</t>
        </is>
      </c>
      <c r="K406" s="28">
        <f>IF(OR(B406="",F406&lt;&gt;"Done",J406="Package"),"",IF(N(G406)-N(I406)&gt;0,N(G406)-N(I406),""))</f>
        <v/>
      </c>
      <c r="L406" s="32" t="n"/>
      <c r="M406" s="1">
        <f>IF(OR(B406="",D406="",F406="Cancelled"),"",B406+N(C406)+ROW()/10000000)</f>
        <v/>
      </c>
      <c r="N406">
        <f>IF(AND(F406="Done",M406&lt;&gt;""),IF(COUNTIFS(Appointments!$D$6:$D$2005,D406,Appointments!$F$6:$F$2005,"Done",Appointments!$M$6:$M$2005,"&gt;"&amp;M406)=0,1,0),0)</f>
        <v/>
      </c>
      <c r="O406">
        <f>IF(AND(F406="Booked",M406&lt;&gt;"",N(B406)&gt;=TODAY()),IF(COUNTIFS(Appointments!$D$6:$D$2005,D406,Appointments!$F$6:$F$2005,"Booked",Appointments!$B$6:$B$2005,"&gt;="&amp;TODAY(),Appointments!$M$6:$M$2005,"&lt;"&amp;M406)=0,1,0),0)</f>
        <v/>
      </c>
    </row>
    <row r="407">
      <c r="A407" s="1" t="n"/>
      <c r="B407" s="30" t="n">
        <v>46122</v>
      </c>
      <c r="C407" s="31" t="n">
        <v>0.375</v>
      </c>
      <c r="D407" s="32" t="inlineStr">
        <is>
          <t>Dina Adams</t>
        </is>
      </c>
      <c r="E407" s="32" t="inlineStr">
        <is>
          <t>Women's haircut</t>
        </is>
      </c>
      <c r="F407" s="33" t="inlineStr">
        <is>
          <t>Cancelled</t>
        </is>
      </c>
      <c r="G407" s="27">
        <f>IF(E407="","",MAX(0,IFERROR(INDEX(Services!$C$6:$C$35,MATCH(E407,Services!$B$6:$B$35,0)),0)-N(H407)))</f>
        <v/>
      </c>
      <c r="H407" s="34" t="n"/>
      <c r="I407" s="34" t="n"/>
      <c r="J407" s="33" t="n"/>
      <c r="K407" s="28">
        <f>IF(OR(B407="",F407&lt;&gt;"Done",J407="Package"),"",IF(N(G407)-N(I407)&gt;0,N(G407)-N(I407),""))</f>
        <v/>
      </c>
      <c r="L407" s="32" t="n"/>
      <c r="M407" s="1">
        <f>IF(OR(B407="",D407="",F407="Cancelled"),"",B407+N(C407)+ROW()/10000000)</f>
        <v/>
      </c>
      <c r="N407">
        <f>IF(AND(F407="Done",M407&lt;&gt;""),IF(COUNTIFS(Appointments!$D$6:$D$2005,D407,Appointments!$F$6:$F$2005,"Done",Appointments!$M$6:$M$2005,"&gt;"&amp;M407)=0,1,0),0)</f>
        <v/>
      </c>
      <c r="O407">
        <f>IF(AND(F407="Booked",M407&lt;&gt;"",N(B407)&gt;=TODAY()),IF(COUNTIFS(Appointments!$D$6:$D$2005,D407,Appointments!$F$6:$F$2005,"Booked",Appointments!$B$6:$B$2005,"&gt;="&amp;TODAY(),Appointments!$M$6:$M$2005,"&lt;"&amp;M407)=0,1,0),0)</f>
        <v/>
      </c>
    </row>
    <row r="408">
      <c r="A408" s="1" t="n"/>
      <c r="B408" s="30" t="n">
        <v>46122</v>
      </c>
      <c r="C408" s="31" t="n">
        <v>0.4236111111111111</v>
      </c>
      <c r="D408" s="32" t="inlineStr">
        <is>
          <t>Gina Adams</t>
        </is>
      </c>
      <c r="E408" s="32" t="inlineStr">
        <is>
          <t>Highlights</t>
        </is>
      </c>
      <c r="F408" s="33" t="inlineStr">
        <is>
          <t>Done</t>
        </is>
      </c>
      <c r="G408" s="27">
        <f>IF(E408="","",MAX(0,IFERROR(INDEX(Services!$C$6:$C$35,MATCH(E408,Services!$B$6:$B$35,0)),0)-N(H408)))</f>
        <v/>
      </c>
      <c r="H408" s="34" t="n"/>
      <c r="I408" s="34" t="n">
        <v>140</v>
      </c>
      <c r="J408" s="33" t="inlineStr">
        <is>
          <t>Cash</t>
        </is>
      </c>
      <c r="K408" s="28">
        <f>IF(OR(B408="",F408&lt;&gt;"Done",J408="Package"),"",IF(N(G408)-N(I408)&gt;0,N(G408)-N(I408),""))</f>
        <v/>
      </c>
      <c r="L408" s="32" t="n"/>
      <c r="M408" s="1">
        <f>IF(OR(B408="",D408="",F408="Cancelled"),"",B408+N(C408)+ROW()/10000000)</f>
        <v/>
      </c>
      <c r="N408">
        <f>IF(AND(F408="Done",M408&lt;&gt;""),IF(COUNTIFS(Appointments!$D$6:$D$2005,D408,Appointments!$F$6:$F$2005,"Done",Appointments!$M$6:$M$2005,"&gt;"&amp;M408)=0,1,0),0)</f>
        <v/>
      </c>
      <c r="O408">
        <f>IF(AND(F408="Booked",M408&lt;&gt;"",N(B408)&gt;=TODAY()),IF(COUNTIFS(Appointments!$D$6:$D$2005,D408,Appointments!$F$6:$F$2005,"Booked",Appointments!$B$6:$B$2005,"&gt;="&amp;TODAY(),Appointments!$M$6:$M$2005,"&lt;"&amp;M408)=0,1,0),0)</f>
        <v/>
      </c>
    </row>
    <row r="409">
      <c r="A409" s="1" t="n"/>
      <c r="B409" s="30" t="n">
        <v>46122</v>
      </c>
      <c r="C409" s="31" t="n">
        <v>0.5347222222222222</v>
      </c>
      <c r="D409" s="32" t="inlineStr">
        <is>
          <t>Harry Adams</t>
        </is>
      </c>
      <c r="E409" s="32" t="inlineStr">
        <is>
          <t>Men's haircut</t>
        </is>
      </c>
      <c r="F409" s="33" t="inlineStr">
        <is>
          <t>Done</t>
        </is>
      </c>
      <c r="G409" s="27">
        <f>IF(E409="","",MAX(0,IFERROR(INDEX(Services!$C$6:$C$35,MATCH(E409,Services!$B$6:$B$35,0)),0)-N(H409)))</f>
        <v/>
      </c>
      <c r="H409" s="34" t="n"/>
      <c r="I409" s="34" t="n">
        <v>30</v>
      </c>
      <c r="J409" s="33" t="inlineStr">
        <is>
          <t>Cash</t>
        </is>
      </c>
      <c r="K409" s="28">
        <f>IF(OR(B409="",F409&lt;&gt;"Done",J409="Package"),"",IF(N(G409)-N(I409)&gt;0,N(G409)-N(I409),""))</f>
        <v/>
      </c>
      <c r="L409" s="32" t="n"/>
      <c r="M409" s="1">
        <f>IF(OR(B409="",D409="",F409="Cancelled"),"",B409+N(C409)+ROW()/10000000)</f>
        <v/>
      </c>
      <c r="N409">
        <f>IF(AND(F409="Done",M409&lt;&gt;""),IF(COUNTIFS(Appointments!$D$6:$D$2005,D409,Appointments!$F$6:$F$2005,"Done",Appointments!$M$6:$M$2005,"&gt;"&amp;M409)=0,1,0),0)</f>
        <v/>
      </c>
      <c r="O409">
        <f>IF(AND(F409="Booked",M409&lt;&gt;"",N(B409)&gt;=TODAY()),IF(COUNTIFS(Appointments!$D$6:$D$2005,D409,Appointments!$F$6:$F$2005,"Booked",Appointments!$B$6:$B$2005,"&gt;="&amp;TODAY(),Appointments!$M$6:$M$2005,"&lt;"&amp;M409)=0,1,0),0)</f>
        <v/>
      </c>
    </row>
    <row r="410">
      <c r="A410" s="1" t="n"/>
      <c r="B410" s="30" t="n">
        <v>46122</v>
      </c>
      <c r="C410" s="31" t="n">
        <v>0.5625</v>
      </c>
      <c r="D410" s="32" t="inlineStr">
        <is>
          <t>Ian Reed</t>
        </is>
      </c>
      <c r="E410" s="32" t="inlineStr">
        <is>
          <t>Men's haircut</t>
        </is>
      </c>
      <c r="F410" s="33" t="inlineStr">
        <is>
          <t>Done</t>
        </is>
      </c>
      <c r="G410" s="27">
        <f>IF(E410="","",MAX(0,IFERROR(INDEX(Services!$C$6:$C$35,MATCH(E410,Services!$B$6:$B$35,0)),0)-N(H410)))</f>
        <v/>
      </c>
      <c r="H410" s="34" t="n"/>
      <c r="I410" s="34" t="n">
        <v>30</v>
      </c>
      <c r="J410" s="33" t="inlineStr">
        <is>
          <t>Card</t>
        </is>
      </c>
      <c r="K410" s="28">
        <f>IF(OR(B410="",F410&lt;&gt;"Done",J410="Package"),"",IF(N(G410)-N(I410)&gt;0,N(G410)-N(I410),""))</f>
        <v/>
      </c>
      <c r="L410" s="32" t="n"/>
      <c r="M410" s="1">
        <f>IF(OR(B410="",D410="",F410="Cancelled"),"",B410+N(C410)+ROW()/10000000)</f>
        <v/>
      </c>
      <c r="N410">
        <f>IF(AND(F410="Done",M410&lt;&gt;""),IF(COUNTIFS(Appointments!$D$6:$D$2005,D410,Appointments!$F$6:$F$2005,"Done",Appointments!$M$6:$M$2005,"&gt;"&amp;M410)=0,1,0),0)</f>
        <v/>
      </c>
      <c r="O410">
        <f>IF(AND(F410="Booked",M410&lt;&gt;"",N(B410)&gt;=TODAY()),IF(COUNTIFS(Appointments!$D$6:$D$2005,D410,Appointments!$F$6:$F$2005,"Booked",Appointments!$B$6:$B$2005,"&gt;="&amp;TODAY(),Appointments!$M$6:$M$2005,"&lt;"&amp;M410)=0,1,0),0)</f>
        <v/>
      </c>
    </row>
    <row r="411">
      <c r="A411" s="1" t="n"/>
      <c r="B411" s="30" t="n">
        <v>46122</v>
      </c>
      <c r="C411" s="31" t="n">
        <v>0.5902777777777778</v>
      </c>
      <c r="D411" s="32" t="inlineStr">
        <is>
          <t>Matt Ellis</t>
        </is>
      </c>
      <c r="E411" s="32" t="inlineStr">
        <is>
          <t>Men's haircut</t>
        </is>
      </c>
      <c r="F411" s="33" t="inlineStr">
        <is>
          <t>Done</t>
        </is>
      </c>
      <c r="G411" s="27">
        <f>IF(E411="","",MAX(0,IFERROR(INDEX(Services!$C$6:$C$35,MATCH(E411,Services!$B$6:$B$35,0)),0)-N(H411)))</f>
        <v/>
      </c>
      <c r="H411" s="34" t="n"/>
      <c r="I411" s="34" t="n">
        <v>30</v>
      </c>
      <c r="J411" s="33" t="inlineStr">
        <is>
          <t>Card</t>
        </is>
      </c>
      <c r="K411" s="28">
        <f>IF(OR(B411="",F411&lt;&gt;"Done",J411="Package"),"",IF(N(G411)-N(I411)&gt;0,N(G411)-N(I411),""))</f>
        <v/>
      </c>
      <c r="L411" s="32" t="n"/>
      <c r="M411" s="1">
        <f>IF(OR(B411="",D411="",F411="Cancelled"),"",B411+N(C411)+ROW()/10000000)</f>
        <v/>
      </c>
      <c r="N411">
        <f>IF(AND(F411="Done",M411&lt;&gt;""),IF(COUNTIFS(Appointments!$D$6:$D$2005,D411,Appointments!$F$6:$F$2005,"Done",Appointments!$M$6:$M$2005,"&gt;"&amp;M411)=0,1,0),0)</f>
        <v/>
      </c>
      <c r="O411">
        <f>IF(AND(F411="Booked",M411&lt;&gt;"",N(B411)&gt;=TODAY()),IF(COUNTIFS(Appointments!$D$6:$D$2005,D411,Appointments!$F$6:$F$2005,"Booked",Appointments!$B$6:$B$2005,"&gt;="&amp;TODAY(),Appointments!$M$6:$M$2005,"&lt;"&amp;M411)=0,1,0),0)</f>
        <v/>
      </c>
    </row>
    <row r="412">
      <c r="A412" s="1" t="n"/>
      <c r="B412" s="30" t="n">
        <v>46122</v>
      </c>
      <c r="C412" s="31" t="n">
        <v>0.6180555555555556</v>
      </c>
      <c r="D412" s="32" t="inlineStr">
        <is>
          <t>Tina Baker</t>
        </is>
      </c>
      <c r="E412" s="32" t="inlineStr">
        <is>
          <t>Colour</t>
        </is>
      </c>
      <c r="F412" s="33" t="inlineStr">
        <is>
          <t>Done</t>
        </is>
      </c>
      <c r="G412" s="27">
        <f>IF(E412="","",MAX(0,IFERROR(INDEX(Services!$C$6:$C$35,MATCH(E412,Services!$B$6:$B$35,0)),0)-N(H412)))</f>
        <v/>
      </c>
      <c r="H412" s="34" t="n"/>
      <c r="I412" s="34" t="n">
        <v>95</v>
      </c>
      <c r="J412" s="33" t="inlineStr">
        <is>
          <t>Cash</t>
        </is>
      </c>
      <c r="K412" s="28">
        <f>IF(OR(B412="",F412&lt;&gt;"Done",J412="Package"),"",IF(N(G412)-N(I412)&gt;0,N(G412)-N(I412),""))</f>
        <v/>
      </c>
      <c r="L412" s="32" t="n"/>
      <c r="M412" s="1">
        <f>IF(OR(B412="",D412="",F412="Cancelled"),"",B412+N(C412)+ROW()/10000000)</f>
        <v/>
      </c>
      <c r="N412">
        <f>IF(AND(F412="Done",M412&lt;&gt;""),IF(COUNTIFS(Appointments!$D$6:$D$2005,D412,Appointments!$F$6:$F$2005,"Done",Appointments!$M$6:$M$2005,"&gt;"&amp;M412)=0,1,0),0)</f>
        <v/>
      </c>
      <c r="O412">
        <f>IF(AND(F412="Booked",M412&lt;&gt;"",N(B412)&gt;=TODAY()),IF(COUNTIFS(Appointments!$D$6:$D$2005,D412,Appointments!$F$6:$F$2005,"Booked",Appointments!$B$6:$B$2005,"&gt;="&amp;TODAY(),Appointments!$M$6:$M$2005,"&lt;"&amp;M412)=0,1,0),0)</f>
        <v/>
      </c>
    </row>
    <row r="413">
      <c r="A413" s="1" t="n"/>
      <c r="B413" s="30" t="n">
        <v>46123</v>
      </c>
      <c r="C413" s="31" t="n">
        <v>0.375</v>
      </c>
      <c r="D413" s="32" t="inlineStr">
        <is>
          <t>Eva Brooks</t>
        </is>
      </c>
      <c r="E413" s="32" t="inlineStr">
        <is>
          <t>Women's haircut</t>
        </is>
      </c>
      <c r="F413" s="33" t="inlineStr">
        <is>
          <t>Done</t>
        </is>
      </c>
      <c r="G413" s="27">
        <f>IF(E413="","",MAX(0,IFERROR(INDEX(Services!$C$6:$C$35,MATCH(E413,Services!$B$6:$B$35,0)),0)-N(H413)))</f>
        <v/>
      </c>
      <c r="H413" s="34" t="n"/>
      <c r="I413" s="34" t="n">
        <v>55</v>
      </c>
      <c r="J413" s="33" t="inlineStr">
        <is>
          <t>Cash</t>
        </is>
      </c>
      <c r="K413" s="28">
        <f>IF(OR(B413="",F413&lt;&gt;"Done",J413="Package"),"",IF(N(G413)-N(I413)&gt;0,N(G413)-N(I413),""))</f>
        <v/>
      </c>
      <c r="L413" s="32" t="n"/>
      <c r="M413" s="1">
        <f>IF(OR(B413="",D413="",F413="Cancelled"),"",B413+N(C413)+ROW()/10000000)</f>
        <v/>
      </c>
      <c r="N413">
        <f>IF(AND(F413="Done",M413&lt;&gt;""),IF(COUNTIFS(Appointments!$D$6:$D$2005,D413,Appointments!$F$6:$F$2005,"Done",Appointments!$M$6:$M$2005,"&gt;"&amp;M413)=0,1,0),0)</f>
        <v/>
      </c>
      <c r="O413">
        <f>IF(AND(F413="Booked",M413&lt;&gt;"",N(B413)&gt;=TODAY()),IF(COUNTIFS(Appointments!$D$6:$D$2005,D413,Appointments!$F$6:$F$2005,"Booked",Appointments!$B$6:$B$2005,"&gt;="&amp;TODAY(),Appointments!$M$6:$M$2005,"&lt;"&amp;M413)=0,1,0),0)</f>
        <v/>
      </c>
    </row>
    <row r="414">
      <c r="A414" s="1" t="n"/>
      <c r="B414" s="30" t="n">
        <v>46123</v>
      </c>
      <c r="C414" s="31" t="n">
        <v>0.4236111111111111</v>
      </c>
      <c r="D414" s="32" t="inlineStr">
        <is>
          <t>Finn Price</t>
        </is>
      </c>
      <c r="E414" s="32" t="inlineStr">
        <is>
          <t>Men's haircut</t>
        </is>
      </c>
      <c r="F414" s="33" t="inlineStr">
        <is>
          <t>Done</t>
        </is>
      </c>
      <c r="G414" s="27">
        <f>IF(E414="","",MAX(0,IFERROR(INDEX(Services!$C$6:$C$35,MATCH(E414,Services!$B$6:$B$35,0)),0)-N(H414)))</f>
        <v/>
      </c>
      <c r="H414" s="34" t="n"/>
      <c r="I414" s="34" t="n">
        <v>30</v>
      </c>
      <c r="J414" s="33" t="inlineStr">
        <is>
          <t>Card</t>
        </is>
      </c>
      <c r="K414" s="28">
        <f>IF(OR(B414="",F414&lt;&gt;"Done",J414="Package"),"",IF(N(G414)-N(I414)&gt;0,N(G414)-N(I414),""))</f>
        <v/>
      </c>
      <c r="L414" s="32" t="n"/>
      <c r="M414" s="1">
        <f>IF(OR(B414="",D414="",F414="Cancelled"),"",B414+N(C414)+ROW()/10000000)</f>
        <v/>
      </c>
      <c r="N414">
        <f>IF(AND(F414="Done",M414&lt;&gt;""),IF(COUNTIFS(Appointments!$D$6:$D$2005,D414,Appointments!$F$6:$F$2005,"Done",Appointments!$M$6:$M$2005,"&gt;"&amp;M414)=0,1,0),0)</f>
        <v/>
      </c>
      <c r="O414">
        <f>IF(AND(F414="Booked",M414&lt;&gt;"",N(B414)&gt;=TODAY()),IF(COUNTIFS(Appointments!$D$6:$D$2005,D414,Appointments!$F$6:$F$2005,"Booked",Appointments!$B$6:$B$2005,"&gt;="&amp;TODAY(),Appointments!$M$6:$M$2005,"&lt;"&amp;M414)=0,1,0),0)</f>
        <v/>
      </c>
    </row>
    <row r="415">
      <c r="A415" s="1" t="n"/>
      <c r="B415" s="30" t="n">
        <v>46123</v>
      </c>
      <c r="C415" s="31" t="n">
        <v>0.4513888888888889</v>
      </c>
      <c r="D415" s="32" t="inlineStr">
        <is>
          <t>Sophie Ellis</t>
        </is>
      </c>
      <c r="E415" s="32" t="inlineStr">
        <is>
          <t>Treatment</t>
        </is>
      </c>
      <c r="F415" s="33" t="inlineStr">
        <is>
          <t>Cancelled</t>
        </is>
      </c>
      <c r="G415" s="27">
        <f>IF(E415="","",MAX(0,IFERROR(INDEX(Services!$C$6:$C$35,MATCH(E415,Services!$B$6:$B$35,0)),0)-N(H415)))</f>
        <v/>
      </c>
      <c r="H415" s="34" t="n"/>
      <c r="I415" s="34" t="n"/>
      <c r="J415" s="33" t="n"/>
      <c r="K415" s="28">
        <f>IF(OR(B415="",F415&lt;&gt;"Done",J415="Package"),"",IF(N(G415)-N(I415)&gt;0,N(G415)-N(I415),""))</f>
        <v/>
      </c>
      <c r="L415" s="32" t="n"/>
      <c r="M415" s="1">
        <f>IF(OR(B415="",D415="",F415="Cancelled"),"",B415+N(C415)+ROW()/10000000)</f>
        <v/>
      </c>
      <c r="N415">
        <f>IF(AND(F415="Done",M415&lt;&gt;""),IF(COUNTIFS(Appointments!$D$6:$D$2005,D415,Appointments!$F$6:$F$2005,"Done",Appointments!$M$6:$M$2005,"&gt;"&amp;M415)=0,1,0),0)</f>
        <v/>
      </c>
      <c r="O415">
        <f>IF(AND(F415="Booked",M415&lt;&gt;"",N(B415)&gt;=TODAY()),IF(COUNTIFS(Appointments!$D$6:$D$2005,D415,Appointments!$F$6:$F$2005,"Booked",Appointments!$B$6:$B$2005,"&gt;="&amp;TODAY(),Appointments!$M$6:$M$2005,"&lt;"&amp;M415)=0,1,0),0)</f>
        <v/>
      </c>
    </row>
    <row r="416">
      <c r="A416" s="1" t="n"/>
      <c r="B416" s="30" t="n">
        <v>46126</v>
      </c>
      <c r="C416" s="31" t="n">
        <v>0.375</v>
      </c>
      <c r="D416" s="32" t="inlineStr">
        <is>
          <t>Hannah Kelly</t>
        </is>
      </c>
      <c r="E416" s="32" t="inlineStr">
        <is>
          <t>Colour</t>
        </is>
      </c>
      <c r="F416" s="33" t="inlineStr">
        <is>
          <t>Done</t>
        </is>
      </c>
      <c r="G416" s="27">
        <f>IF(E416="","",MAX(0,IFERROR(INDEX(Services!$C$6:$C$35,MATCH(E416,Services!$B$6:$B$35,0)),0)-N(H416)))</f>
        <v/>
      </c>
      <c r="H416" s="34" t="n">
        <v>10</v>
      </c>
      <c r="I416" s="34" t="n">
        <v>85</v>
      </c>
      <c r="J416" s="33" t="inlineStr">
        <is>
          <t>Card</t>
        </is>
      </c>
      <c r="K416" s="28">
        <f>IF(OR(B416="",F416&lt;&gt;"Done",J416="Package"),"",IF(N(G416)-N(I416)&gt;0,N(G416)-N(I416),""))</f>
        <v/>
      </c>
      <c r="L416" s="32" t="inlineStr">
        <is>
          <t>Friends and family</t>
        </is>
      </c>
      <c r="M416" s="1">
        <f>IF(OR(B416="",D416="",F416="Cancelled"),"",B416+N(C416)+ROW()/10000000)</f>
        <v/>
      </c>
      <c r="N416">
        <f>IF(AND(F416="Done",M416&lt;&gt;""),IF(COUNTIFS(Appointments!$D$6:$D$2005,D416,Appointments!$F$6:$F$2005,"Done",Appointments!$M$6:$M$2005,"&gt;"&amp;M416)=0,1,0),0)</f>
        <v/>
      </c>
      <c r="O416">
        <f>IF(AND(F416="Booked",M416&lt;&gt;"",N(B416)&gt;=TODAY()),IF(COUNTIFS(Appointments!$D$6:$D$2005,D416,Appointments!$F$6:$F$2005,"Booked",Appointments!$B$6:$B$2005,"&gt;="&amp;TODAY(),Appointments!$M$6:$M$2005,"&lt;"&amp;M416)=0,1,0),0)</f>
        <v/>
      </c>
    </row>
    <row r="417">
      <c r="A417" s="1" t="n"/>
      <c r="B417" s="30" t="n">
        <v>46126</v>
      </c>
      <c r="C417" s="31" t="n">
        <v>0.4652777777777778</v>
      </c>
      <c r="D417" s="32" t="inlineStr">
        <is>
          <t>Harry Ellis</t>
        </is>
      </c>
      <c r="E417" s="32" t="inlineStr">
        <is>
          <t>Men's haircut</t>
        </is>
      </c>
      <c r="F417" s="33" t="inlineStr">
        <is>
          <t>Done</t>
        </is>
      </c>
      <c r="G417" s="27">
        <f>IF(E417="","",MAX(0,IFERROR(INDEX(Services!$C$6:$C$35,MATCH(E417,Services!$B$6:$B$35,0)),0)-N(H417)))</f>
        <v/>
      </c>
      <c r="H417" s="34" t="n"/>
      <c r="I417" s="34" t="n">
        <v>30</v>
      </c>
      <c r="J417" s="33" t="inlineStr">
        <is>
          <t>Card</t>
        </is>
      </c>
      <c r="K417" s="28">
        <f>IF(OR(B417="",F417&lt;&gt;"Done",J417="Package"),"",IF(N(G417)-N(I417)&gt;0,N(G417)-N(I417),""))</f>
        <v/>
      </c>
      <c r="L417" s="32" t="n"/>
      <c r="M417" s="1">
        <f>IF(OR(B417="",D417="",F417="Cancelled"),"",B417+N(C417)+ROW()/10000000)</f>
        <v/>
      </c>
      <c r="N417">
        <f>IF(AND(F417="Done",M417&lt;&gt;""),IF(COUNTIFS(Appointments!$D$6:$D$2005,D417,Appointments!$F$6:$F$2005,"Done",Appointments!$M$6:$M$2005,"&gt;"&amp;M417)=0,1,0),0)</f>
        <v/>
      </c>
      <c r="O417">
        <f>IF(AND(F417="Booked",M417&lt;&gt;"",N(B417)&gt;=TODAY()),IF(COUNTIFS(Appointments!$D$6:$D$2005,D417,Appointments!$F$6:$F$2005,"Booked",Appointments!$B$6:$B$2005,"&gt;="&amp;TODAY(),Appointments!$M$6:$M$2005,"&lt;"&amp;M417)=0,1,0),0)</f>
        <v/>
      </c>
    </row>
    <row r="418">
      <c r="A418" s="1" t="n"/>
      <c r="B418" s="30" t="n">
        <v>46126</v>
      </c>
      <c r="C418" s="31" t="n">
        <v>0.4930555555555556</v>
      </c>
      <c r="D418" s="32" t="inlineStr">
        <is>
          <t>Isla Brown</t>
        </is>
      </c>
      <c r="E418" s="32" t="inlineStr">
        <is>
          <t>Women's haircut</t>
        </is>
      </c>
      <c r="F418" s="33" t="inlineStr">
        <is>
          <t>Done</t>
        </is>
      </c>
      <c r="G418" s="27">
        <f>IF(E418="","",MAX(0,IFERROR(INDEX(Services!$C$6:$C$35,MATCH(E418,Services!$B$6:$B$35,0)),0)-N(H418)))</f>
        <v/>
      </c>
      <c r="H418" s="34" t="n"/>
      <c r="I418" s="34" t="n">
        <v>55</v>
      </c>
      <c r="J418" s="33" t="inlineStr">
        <is>
          <t>Cash</t>
        </is>
      </c>
      <c r="K418" s="28">
        <f>IF(OR(B418="",F418&lt;&gt;"Done",J418="Package"),"",IF(N(G418)-N(I418)&gt;0,N(G418)-N(I418),""))</f>
        <v/>
      </c>
      <c r="L418" s="32" t="n"/>
      <c r="M418" s="1">
        <f>IF(OR(B418="",D418="",F418="Cancelled"),"",B418+N(C418)+ROW()/10000000)</f>
        <v/>
      </c>
      <c r="N418">
        <f>IF(AND(F418="Done",M418&lt;&gt;""),IF(COUNTIFS(Appointments!$D$6:$D$2005,D418,Appointments!$F$6:$F$2005,"Done",Appointments!$M$6:$M$2005,"&gt;"&amp;M418)=0,1,0),0)</f>
        <v/>
      </c>
      <c r="O418">
        <f>IF(AND(F418="Booked",M418&lt;&gt;"",N(B418)&gt;=TODAY()),IF(COUNTIFS(Appointments!$D$6:$D$2005,D418,Appointments!$F$6:$F$2005,"Booked",Appointments!$B$6:$B$2005,"&gt;="&amp;TODAY(),Appointments!$M$6:$M$2005,"&lt;"&amp;M418)=0,1,0),0)</f>
        <v/>
      </c>
    </row>
    <row r="419">
      <c r="A419" s="1" t="n"/>
      <c r="B419" s="30" t="n">
        <v>46126</v>
      </c>
      <c r="C419" s="31" t="n">
        <v>0.5416666666666666</v>
      </c>
      <c r="D419" s="32" t="inlineStr">
        <is>
          <t>Jack Wilson</t>
        </is>
      </c>
      <c r="E419" s="32" t="inlineStr">
        <is>
          <t>Men's haircut</t>
        </is>
      </c>
      <c r="F419" s="33" t="inlineStr">
        <is>
          <t>Done</t>
        </is>
      </c>
      <c r="G419" s="27">
        <f>IF(E419="","",MAX(0,IFERROR(INDEX(Services!$C$6:$C$35,MATCH(E419,Services!$B$6:$B$35,0)),0)-N(H419)))</f>
        <v/>
      </c>
      <c r="H419" s="34" t="n"/>
      <c r="I419" s="34" t="n">
        <v>30</v>
      </c>
      <c r="J419" s="33" t="inlineStr">
        <is>
          <t>Card</t>
        </is>
      </c>
      <c r="K419" s="28">
        <f>IF(OR(B419="",F419&lt;&gt;"Done",J419="Package"),"",IF(N(G419)-N(I419)&gt;0,N(G419)-N(I419),""))</f>
        <v/>
      </c>
      <c r="L419" s="32" t="n"/>
      <c r="M419" s="1">
        <f>IF(OR(B419="",D419="",F419="Cancelled"),"",B419+N(C419)+ROW()/10000000)</f>
        <v/>
      </c>
      <c r="N419">
        <f>IF(AND(F419="Done",M419&lt;&gt;""),IF(COUNTIFS(Appointments!$D$6:$D$2005,D419,Appointments!$F$6:$F$2005,"Done",Appointments!$M$6:$M$2005,"&gt;"&amp;M419)=0,1,0),0)</f>
        <v/>
      </c>
      <c r="O419">
        <f>IF(AND(F419="Booked",M419&lt;&gt;"",N(B419)&gt;=TODAY()),IF(COUNTIFS(Appointments!$D$6:$D$2005,D419,Appointments!$F$6:$F$2005,"Booked",Appointments!$B$6:$B$2005,"&gt;="&amp;TODAY(),Appointments!$M$6:$M$2005,"&lt;"&amp;M419)=0,1,0),0)</f>
        <v/>
      </c>
    </row>
    <row r="420">
      <c r="A420" s="1" t="n"/>
      <c r="B420" s="30" t="n">
        <v>46126</v>
      </c>
      <c r="C420" s="31" t="n">
        <v>0.5694444444444444</v>
      </c>
      <c r="D420" s="32" t="inlineStr">
        <is>
          <t>Paula Cook</t>
        </is>
      </c>
      <c r="E420" s="32" t="inlineStr">
        <is>
          <t>Women's haircut</t>
        </is>
      </c>
      <c r="F420" s="33" t="inlineStr">
        <is>
          <t>Done</t>
        </is>
      </c>
      <c r="G420" s="27">
        <f>IF(E420="","",MAX(0,IFERROR(INDEX(Services!$C$6:$C$35,MATCH(E420,Services!$B$6:$B$35,0)),0)-N(H420)))</f>
        <v/>
      </c>
      <c r="H420" s="34" t="n"/>
      <c r="I420" s="34" t="n">
        <v>55</v>
      </c>
      <c r="J420" s="33" t="inlineStr">
        <is>
          <t>Card</t>
        </is>
      </c>
      <c r="K420" s="28">
        <f>IF(OR(B420="",F420&lt;&gt;"Done",J420="Package"),"",IF(N(G420)-N(I420)&gt;0,N(G420)-N(I420),""))</f>
        <v/>
      </c>
      <c r="L420" s="32" t="n"/>
      <c r="M420" s="1">
        <f>IF(OR(B420="",D420="",F420="Cancelled"),"",B420+N(C420)+ROW()/10000000)</f>
        <v/>
      </c>
      <c r="N420">
        <f>IF(AND(F420="Done",M420&lt;&gt;""),IF(COUNTIFS(Appointments!$D$6:$D$2005,D420,Appointments!$F$6:$F$2005,"Done",Appointments!$M$6:$M$2005,"&gt;"&amp;M420)=0,1,0),0)</f>
        <v/>
      </c>
      <c r="O420">
        <f>IF(AND(F420="Booked",M420&lt;&gt;"",N(B420)&gt;=TODAY()),IF(COUNTIFS(Appointments!$D$6:$D$2005,D420,Appointments!$F$6:$F$2005,"Booked",Appointments!$B$6:$B$2005,"&gt;="&amp;TODAY(),Appointments!$M$6:$M$2005,"&lt;"&amp;M420)=0,1,0),0)</f>
        <v/>
      </c>
    </row>
    <row r="421">
      <c r="A421" s="1" t="n"/>
      <c r="B421" s="30" t="n">
        <v>46126</v>
      </c>
      <c r="C421" s="31" t="n">
        <v>0.6180555555555556</v>
      </c>
      <c r="D421" s="32" t="inlineStr">
        <is>
          <t>Ruby Shaw</t>
        </is>
      </c>
      <c r="E421" s="32" t="inlineStr">
        <is>
          <t>Blow dry</t>
        </is>
      </c>
      <c r="F421" s="33" t="inlineStr">
        <is>
          <t>Done</t>
        </is>
      </c>
      <c r="G421" s="27">
        <f>IF(E421="","",MAX(0,IFERROR(INDEX(Services!$C$6:$C$35,MATCH(E421,Services!$B$6:$B$35,0)),0)-N(H421)))</f>
        <v/>
      </c>
      <c r="H421" s="34" t="n"/>
      <c r="I421" s="34" t="n">
        <v>35</v>
      </c>
      <c r="J421" s="33" t="inlineStr">
        <is>
          <t>Transfer</t>
        </is>
      </c>
      <c r="K421" s="28">
        <f>IF(OR(B421="",F421&lt;&gt;"Done",J421="Package"),"",IF(N(G421)-N(I421)&gt;0,N(G421)-N(I421),""))</f>
        <v/>
      </c>
      <c r="L421" s="32" t="n"/>
      <c r="M421" s="1">
        <f>IF(OR(B421="",D421="",F421="Cancelled"),"",B421+N(C421)+ROW()/10000000)</f>
        <v/>
      </c>
      <c r="N421">
        <f>IF(AND(F421="Done",M421&lt;&gt;""),IF(COUNTIFS(Appointments!$D$6:$D$2005,D421,Appointments!$F$6:$F$2005,"Done",Appointments!$M$6:$M$2005,"&gt;"&amp;M421)=0,1,0),0)</f>
        <v/>
      </c>
      <c r="O421">
        <f>IF(AND(F421="Booked",M421&lt;&gt;"",N(B421)&gt;=TODAY()),IF(COUNTIFS(Appointments!$D$6:$D$2005,D421,Appointments!$F$6:$F$2005,"Booked",Appointments!$B$6:$B$2005,"&gt;="&amp;TODAY(),Appointments!$M$6:$M$2005,"&lt;"&amp;M421)=0,1,0),0)</f>
        <v/>
      </c>
    </row>
    <row r="422">
      <c r="A422" s="1" t="n"/>
      <c r="B422" s="30" t="n">
        <v>46126</v>
      </c>
      <c r="C422" s="31" t="n">
        <v>0.65625</v>
      </c>
      <c r="D422" s="32" t="inlineStr">
        <is>
          <t>Ruby Webb</t>
        </is>
      </c>
      <c r="E422" s="32" t="inlineStr">
        <is>
          <t>Women's haircut</t>
        </is>
      </c>
      <c r="F422" s="33" t="inlineStr">
        <is>
          <t>Done</t>
        </is>
      </c>
      <c r="G422" s="27">
        <f>IF(E422="","",MAX(0,IFERROR(INDEX(Services!$C$6:$C$35,MATCH(E422,Services!$B$6:$B$35,0)),0)-N(H422)))</f>
        <v/>
      </c>
      <c r="H422" s="34" t="n"/>
      <c r="I422" s="34" t="n">
        <v>55</v>
      </c>
      <c r="J422" s="33" t="inlineStr">
        <is>
          <t>Card</t>
        </is>
      </c>
      <c r="K422" s="28">
        <f>IF(OR(B422="",F422&lt;&gt;"Done",J422="Package"),"",IF(N(G422)-N(I422)&gt;0,N(G422)-N(I422),""))</f>
        <v/>
      </c>
      <c r="L422" s="32" t="n"/>
      <c r="M422" s="1">
        <f>IF(OR(B422="",D422="",F422="Cancelled"),"",B422+N(C422)+ROW()/10000000)</f>
        <v/>
      </c>
      <c r="N422">
        <f>IF(AND(F422="Done",M422&lt;&gt;""),IF(COUNTIFS(Appointments!$D$6:$D$2005,D422,Appointments!$F$6:$F$2005,"Done",Appointments!$M$6:$M$2005,"&gt;"&amp;M422)=0,1,0),0)</f>
        <v/>
      </c>
      <c r="O422">
        <f>IF(AND(F422="Booked",M422&lt;&gt;"",N(B422)&gt;=TODAY()),IF(COUNTIFS(Appointments!$D$6:$D$2005,D422,Appointments!$F$6:$F$2005,"Booked",Appointments!$B$6:$B$2005,"&gt;="&amp;TODAY(),Appointments!$M$6:$M$2005,"&lt;"&amp;M422)=0,1,0),0)</f>
        <v/>
      </c>
    </row>
    <row r="423">
      <c r="A423" s="1" t="n"/>
      <c r="B423" s="30" t="n">
        <v>46127</v>
      </c>
      <c r="C423" s="31" t="n">
        <v>0.375</v>
      </c>
      <c r="D423" s="32" t="inlineStr">
        <is>
          <t>Amy Hall</t>
        </is>
      </c>
      <c r="E423" s="32" t="inlineStr">
        <is>
          <t>Women's haircut</t>
        </is>
      </c>
      <c r="F423" s="33" t="inlineStr">
        <is>
          <t>Done</t>
        </is>
      </c>
      <c r="G423" s="27">
        <f>IF(E423="","",MAX(0,IFERROR(INDEX(Services!$C$6:$C$35,MATCH(E423,Services!$B$6:$B$35,0)),0)-N(H423)))</f>
        <v/>
      </c>
      <c r="H423" s="34" t="n"/>
      <c r="I423" s="34" t="n">
        <v>55</v>
      </c>
      <c r="J423" s="33" t="inlineStr">
        <is>
          <t>Card</t>
        </is>
      </c>
      <c r="K423" s="28">
        <f>IF(OR(B423="",F423&lt;&gt;"Done",J423="Package"),"",IF(N(G423)-N(I423)&gt;0,N(G423)-N(I423),""))</f>
        <v/>
      </c>
      <c r="L423" s="32" t="n"/>
      <c r="M423" s="1">
        <f>IF(OR(B423="",D423="",F423="Cancelled"),"",B423+N(C423)+ROW()/10000000)</f>
        <v/>
      </c>
      <c r="N423">
        <f>IF(AND(F423="Done",M423&lt;&gt;""),IF(COUNTIFS(Appointments!$D$6:$D$2005,D423,Appointments!$F$6:$F$2005,"Done",Appointments!$M$6:$M$2005,"&gt;"&amp;M423)=0,1,0),0)</f>
        <v/>
      </c>
      <c r="O423">
        <f>IF(AND(F423="Booked",M423&lt;&gt;"",N(B423)&gt;=TODAY()),IF(COUNTIFS(Appointments!$D$6:$D$2005,D423,Appointments!$F$6:$F$2005,"Booked",Appointments!$B$6:$B$2005,"&gt;="&amp;TODAY(),Appointments!$M$6:$M$2005,"&lt;"&amp;M423)=0,1,0),0)</f>
        <v/>
      </c>
    </row>
    <row r="424">
      <c r="A424" s="1" t="n"/>
      <c r="B424" s="30" t="n">
        <v>46127</v>
      </c>
      <c r="C424" s="31" t="n">
        <v>0.4236111111111111</v>
      </c>
      <c r="D424" s="32" t="inlineStr">
        <is>
          <t>Harry Hall</t>
        </is>
      </c>
      <c r="E424" s="32" t="inlineStr">
        <is>
          <t>Men's haircut</t>
        </is>
      </c>
      <c r="F424" s="33" t="inlineStr">
        <is>
          <t>Done</t>
        </is>
      </c>
      <c r="G424" s="27">
        <f>IF(E424="","",MAX(0,IFERROR(INDEX(Services!$C$6:$C$35,MATCH(E424,Services!$B$6:$B$35,0)),0)-N(H424)))</f>
        <v/>
      </c>
      <c r="H424" s="34" t="n">
        <v>10</v>
      </c>
      <c r="I424" s="34" t="n">
        <v>20</v>
      </c>
      <c r="J424" s="33" t="inlineStr">
        <is>
          <t>Transfer</t>
        </is>
      </c>
      <c r="K424" s="28">
        <f>IF(OR(B424="",F424&lt;&gt;"Done",J424="Package"),"",IF(N(G424)-N(I424)&gt;0,N(G424)-N(I424),""))</f>
        <v/>
      </c>
      <c r="L424" s="32" t="inlineStr">
        <is>
          <t>Friends and family</t>
        </is>
      </c>
      <c r="M424" s="1">
        <f>IF(OR(B424="",D424="",F424="Cancelled"),"",B424+N(C424)+ROW()/10000000)</f>
        <v/>
      </c>
      <c r="N424">
        <f>IF(AND(F424="Done",M424&lt;&gt;""),IF(COUNTIFS(Appointments!$D$6:$D$2005,D424,Appointments!$F$6:$F$2005,"Done",Appointments!$M$6:$M$2005,"&gt;"&amp;M424)=0,1,0),0)</f>
        <v/>
      </c>
      <c r="O424">
        <f>IF(AND(F424="Booked",M424&lt;&gt;"",N(B424)&gt;=TODAY()),IF(COUNTIFS(Appointments!$D$6:$D$2005,D424,Appointments!$F$6:$F$2005,"Booked",Appointments!$B$6:$B$2005,"&gt;="&amp;TODAY(),Appointments!$M$6:$M$2005,"&lt;"&amp;M424)=0,1,0),0)</f>
        <v/>
      </c>
    </row>
    <row r="425">
      <c r="A425" s="1" t="n"/>
      <c r="B425" s="30" t="n">
        <v>46127</v>
      </c>
      <c r="C425" s="31" t="n">
        <v>0.4513888888888889</v>
      </c>
      <c r="D425" s="32" t="inlineStr">
        <is>
          <t>Lily Lewis</t>
        </is>
      </c>
      <c r="E425" s="32" t="inlineStr">
        <is>
          <t>Blow dry</t>
        </is>
      </c>
      <c r="F425" s="33" t="inlineStr">
        <is>
          <t>Done</t>
        </is>
      </c>
      <c r="G425" s="27">
        <f>IF(E425="","",MAX(0,IFERROR(INDEX(Services!$C$6:$C$35,MATCH(E425,Services!$B$6:$B$35,0)),0)-N(H425)))</f>
        <v/>
      </c>
      <c r="H425" s="34" t="n"/>
      <c r="I425" s="34" t="n">
        <v>35</v>
      </c>
      <c r="J425" s="33" t="inlineStr">
        <is>
          <t>Card</t>
        </is>
      </c>
      <c r="K425" s="28">
        <f>IF(OR(B425="",F425&lt;&gt;"Done",J425="Package"),"",IF(N(G425)-N(I425)&gt;0,N(G425)-N(I425),""))</f>
        <v/>
      </c>
      <c r="L425" s="32" t="n"/>
      <c r="M425" s="1">
        <f>IF(OR(B425="",D425="",F425="Cancelled"),"",B425+N(C425)+ROW()/10000000)</f>
        <v/>
      </c>
      <c r="N425">
        <f>IF(AND(F425="Done",M425&lt;&gt;""),IF(COUNTIFS(Appointments!$D$6:$D$2005,D425,Appointments!$F$6:$F$2005,"Done",Appointments!$M$6:$M$2005,"&gt;"&amp;M425)=0,1,0),0)</f>
        <v/>
      </c>
      <c r="O425">
        <f>IF(AND(F425="Booked",M425&lt;&gt;"",N(B425)&gt;=TODAY()),IF(COUNTIFS(Appointments!$D$6:$D$2005,D425,Appointments!$F$6:$F$2005,"Booked",Appointments!$B$6:$B$2005,"&gt;="&amp;TODAY(),Appointments!$M$6:$M$2005,"&lt;"&amp;M425)=0,1,0),0)</f>
        <v/>
      </c>
    </row>
    <row r="426">
      <c r="A426" s="1" t="n"/>
      <c r="B426" s="30" t="n">
        <v>46127</v>
      </c>
      <c r="C426" s="31" t="n">
        <v>0.4895833333333333</v>
      </c>
      <c r="D426" s="32" t="inlineStr">
        <is>
          <t>Lucy Wood</t>
        </is>
      </c>
      <c r="E426" s="32" t="inlineStr">
        <is>
          <t>Women's haircut</t>
        </is>
      </c>
      <c r="F426" s="33" t="inlineStr">
        <is>
          <t>Done</t>
        </is>
      </c>
      <c r="G426" s="27">
        <f>IF(E426="","",MAX(0,IFERROR(INDEX(Services!$C$6:$C$35,MATCH(E426,Services!$B$6:$B$35,0)),0)-N(H426)))</f>
        <v/>
      </c>
      <c r="H426" s="34" t="n"/>
      <c r="I426" s="34" t="n">
        <v>55</v>
      </c>
      <c r="J426" s="33" t="inlineStr">
        <is>
          <t>Card</t>
        </is>
      </c>
      <c r="K426" s="28">
        <f>IF(OR(B426="",F426&lt;&gt;"Done",J426="Package"),"",IF(N(G426)-N(I426)&gt;0,N(G426)-N(I426),""))</f>
        <v/>
      </c>
      <c r="L426" s="32" t="n"/>
      <c r="M426" s="1">
        <f>IF(OR(B426="",D426="",F426="Cancelled"),"",B426+N(C426)+ROW()/10000000)</f>
        <v/>
      </c>
      <c r="N426">
        <f>IF(AND(F426="Done",M426&lt;&gt;""),IF(COUNTIFS(Appointments!$D$6:$D$2005,D426,Appointments!$F$6:$F$2005,"Done",Appointments!$M$6:$M$2005,"&gt;"&amp;M426)=0,1,0),0)</f>
        <v/>
      </c>
      <c r="O426">
        <f>IF(AND(F426="Booked",M426&lt;&gt;"",N(B426)&gt;=TODAY()),IF(COUNTIFS(Appointments!$D$6:$D$2005,D426,Appointments!$F$6:$F$2005,"Booked",Appointments!$B$6:$B$2005,"&gt;="&amp;TODAY(),Appointments!$M$6:$M$2005,"&lt;"&amp;M426)=0,1,0),0)</f>
        <v/>
      </c>
    </row>
    <row r="427">
      <c r="A427" s="1" t="n"/>
      <c r="B427" s="30" t="n">
        <v>46127</v>
      </c>
      <c r="C427" s="31" t="n">
        <v>0.5381944444444444</v>
      </c>
      <c r="D427" s="32" t="inlineStr">
        <is>
          <t>Luke Lewis</t>
        </is>
      </c>
      <c r="E427" s="32" t="inlineStr">
        <is>
          <t>Men's haircut</t>
        </is>
      </c>
      <c r="F427" s="33" t="inlineStr">
        <is>
          <t>Done</t>
        </is>
      </c>
      <c r="G427" s="27">
        <f>IF(E427="","",MAX(0,IFERROR(INDEX(Services!$C$6:$C$35,MATCH(E427,Services!$B$6:$B$35,0)),0)-N(H427)))</f>
        <v/>
      </c>
      <c r="H427" s="34" t="n"/>
      <c r="I427" s="34" t="n">
        <v>30</v>
      </c>
      <c r="J427" s="33" t="inlineStr">
        <is>
          <t>Card</t>
        </is>
      </c>
      <c r="K427" s="28">
        <f>IF(OR(B427="",F427&lt;&gt;"Done",J427="Package"),"",IF(N(G427)-N(I427)&gt;0,N(G427)-N(I427),""))</f>
        <v/>
      </c>
      <c r="L427" s="32" t="n"/>
      <c r="M427" s="1">
        <f>IF(OR(B427="",D427="",F427="Cancelled"),"",B427+N(C427)+ROW()/10000000)</f>
        <v/>
      </c>
      <c r="N427">
        <f>IF(AND(F427="Done",M427&lt;&gt;""),IF(COUNTIFS(Appointments!$D$6:$D$2005,D427,Appointments!$F$6:$F$2005,"Done",Appointments!$M$6:$M$2005,"&gt;"&amp;M427)=0,1,0),0)</f>
        <v/>
      </c>
      <c r="O427">
        <f>IF(AND(F427="Booked",M427&lt;&gt;"",N(B427)&gt;=TODAY()),IF(COUNTIFS(Appointments!$D$6:$D$2005,D427,Appointments!$F$6:$F$2005,"Booked",Appointments!$B$6:$B$2005,"&gt;="&amp;TODAY(),Appointments!$M$6:$M$2005,"&lt;"&amp;M427)=0,1,0),0)</f>
        <v/>
      </c>
    </row>
    <row r="428">
      <c r="A428" s="1" t="n"/>
      <c r="B428" s="30" t="n">
        <v>46127</v>
      </c>
      <c r="C428" s="31" t="n">
        <v>0.5659722222222222</v>
      </c>
      <c r="D428" s="32" t="inlineStr">
        <is>
          <t>Luke Walsh</t>
        </is>
      </c>
      <c r="E428" s="32" t="inlineStr">
        <is>
          <t>Men's haircut</t>
        </is>
      </c>
      <c r="F428" s="33" t="inlineStr">
        <is>
          <t>Done</t>
        </is>
      </c>
      <c r="G428" s="27">
        <f>IF(E428="","",MAX(0,IFERROR(INDEX(Services!$C$6:$C$35,MATCH(E428,Services!$B$6:$B$35,0)),0)-N(H428)))</f>
        <v/>
      </c>
      <c r="H428" s="34" t="n"/>
      <c r="I428" s="34" t="n">
        <v>30</v>
      </c>
      <c r="J428" s="33" t="inlineStr">
        <is>
          <t>Card</t>
        </is>
      </c>
      <c r="K428" s="28">
        <f>IF(OR(B428="",F428&lt;&gt;"Done",J428="Package"),"",IF(N(G428)-N(I428)&gt;0,N(G428)-N(I428),""))</f>
        <v/>
      </c>
      <c r="L428" s="32" t="n"/>
      <c r="M428" s="1">
        <f>IF(OR(B428="",D428="",F428="Cancelled"),"",B428+N(C428)+ROW()/10000000)</f>
        <v/>
      </c>
      <c r="N428">
        <f>IF(AND(F428="Done",M428&lt;&gt;""),IF(COUNTIFS(Appointments!$D$6:$D$2005,D428,Appointments!$F$6:$F$2005,"Done",Appointments!$M$6:$M$2005,"&gt;"&amp;M428)=0,1,0),0)</f>
        <v/>
      </c>
      <c r="O428">
        <f>IF(AND(F428="Booked",M428&lt;&gt;"",N(B428)&gt;=TODAY()),IF(COUNTIFS(Appointments!$D$6:$D$2005,D428,Appointments!$F$6:$F$2005,"Booked",Appointments!$B$6:$B$2005,"&gt;="&amp;TODAY(),Appointments!$M$6:$M$2005,"&lt;"&amp;M428)=0,1,0),0)</f>
        <v/>
      </c>
    </row>
    <row r="429">
      <c r="A429" s="1" t="n"/>
      <c r="B429" s="30" t="n">
        <v>46127</v>
      </c>
      <c r="C429" s="31" t="n">
        <v>0.59375</v>
      </c>
      <c r="D429" s="32" t="inlineStr">
        <is>
          <t>Sophie Stone</t>
        </is>
      </c>
      <c r="E429" s="32" t="inlineStr">
        <is>
          <t>Women's haircut</t>
        </is>
      </c>
      <c r="F429" s="33" t="inlineStr">
        <is>
          <t>Done</t>
        </is>
      </c>
      <c r="G429" s="27">
        <f>IF(E429="","",MAX(0,IFERROR(INDEX(Services!$C$6:$C$35,MATCH(E429,Services!$B$6:$B$35,0)),0)-N(H429)))</f>
        <v/>
      </c>
      <c r="H429" s="34" t="n"/>
      <c r="I429" s="34" t="n">
        <v>55</v>
      </c>
      <c r="J429" s="33" t="inlineStr">
        <is>
          <t>Card</t>
        </is>
      </c>
      <c r="K429" s="28">
        <f>IF(OR(B429="",F429&lt;&gt;"Done",J429="Package"),"",IF(N(G429)-N(I429)&gt;0,N(G429)-N(I429),""))</f>
        <v/>
      </c>
      <c r="L429" s="32" t="n"/>
      <c r="M429" s="1">
        <f>IF(OR(B429="",D429="",F429="Cancelled"),"",B429+N(C429)+ROW()/10000000)</f>
        <v/>
      </c>
      <c r="N429">
        <f>IF(AND(F429="Done",M429&lt;&gt;""),IF(COUNTIFS(Appointments!$D$6:$D$2005,D429,Appointments!$F$6:$F$2005,"Done",Appointments!$M$6:$M$2005,"&gt;"&amp;M429)=0,1,0),0)</f>
        <v/>
      </c>
      <c r="O429">
        <f>IF(AND(F429="Booked",M429&lt;&gt;"",N(B429)&gt;=TODAY()),IF(COUNTIFS(Appointments!$D$6:$D$2005,D429,Appointments!$F$6:$F$2005,"Booked",Appointments!$B$6:$B$2005,"&gt;="&amp;TODAY(),Appointments!$M$6:$M$2005,"&lt;"&amp;M429)=0,1,0),0)</f>
        <v/>
      </c>
    </row>
    <row r="430">
      <c r="A430" s="1" t="n"/>
      <c r="B430" s="30" t="n">
        <v>46128</v>
      </c>
      <c r="C430" s="31" t="n">
        <v>0.375</v>
      </c>
      <c r="D430" s="32" t="inlineStr">
        <is>
          <t>Alice Stone</t>
        </is>
      </c>
      <c r="E430" s="32" t="inlineStr">
        <is>
          <t>Highlights</t>
        </is>
      </c>
      <c r="F430" s="33" t="inlineStr">
        <is>
          <t>Done</t>
        </is>
      </c>
      <c r="G430" s="27">
        <f>IF(E430="","",MAX(0,IFERROR(INDEX(Services!$C$6:$C$35,MATCH(E430,Services!$B$6:$B$35,0)),0)-N(H430)))</f>
        <v/>
      </c>
      <c r="H430" s="34" t="n"/>
      <c r="I430" s="34" t="n">
        <v>140</v>
      </c>
      <c r="J430" s="33" t="inlineStr">
        <is>
          <t>Card</t>
        </is>
      </c>
      <c r="K430" s="28">
        <f>IF(OR(B430="",F430&lt;&gt;"Done",J430="Package"),"",IF(N(G430)-N(I430)&gt;0,N(G430)-N(I430),""))</f>
        <v/>
      </c>
      <c r="L430" s="32" t="n"/>
      <c r="M430" s="1">
        <f>IF(OR(B430="",D430="",F430="Cancelled"),"",B430+N(C430)+ROW()/10000000)</f>
        <v/>
      </c>
      <c r="N430">
        <f>IF(AND(F430="Done",M430&lt;&gt;""),IF(COUNTIFS(Appointments!$D$6:$D$2005,D430,Appointments!$F$6:$F$2005,"Done",Appointments!$M$6:$M$2005,"&gt;"&amp;M430)=0,1,0),0)</f>
        <v/>
      </c>
      <c r="O430">
        <f>IF(AND(F430="Booked",M430&lt;&gt;"",N(B430)&gt;=TODAY()),IF(COUNTIFS(Appointments!$D$6:$D$2005,D430,Appointments!$F$6:$F$2005,"Booked",Appointments!$B$6:$B$2005,"&gt;="&amp;TODAY(),Appointments!$M$6:$M$2005,"&lt;"&amp;M430)=0,1,0),0)</f>
        <v/>
      </c>
    </row>
    <row r="431">
      <c r="A431" s="1" t="n"/>
      <c r="B431" s="30" t="n">
        <v>46128</v>
      </c>
      <c r="C431" s="31" t="n">
        <v>0.4861111111111111</v>
      </c>
      <c r="D431" s="32" t="inlineStr">
        <is>
          <t>Ava Reed</t>
        </is>
      </c>
      <c r="E431" s="32" t="inlineStr">
        <is>
          <t>Highlights</t>
        </is>
      </c>
      <c r="F431" s="33" t="inlineStr">
        <is>
          <t>Done</t>
        </is>
      </c>
      <c r="G431" s="27">
        <f>IF(E431="","",MAX(0,IFERROR(INDEX(Services!$C$6:$C$35,MATCH(E431,Services!$B$6:$B$35,0)),0)-N(H431)))</f>
        <v/>
      </c>
      <c r="H431" s="34" t="n"/>
      <c r="I431" s="34" t="n">
        <v>140</v>
      </c>
      <c r="J431" s="33" t="inlineStr">
        <is>
          <t>Card</t>
        </is>
      </c>
      <c r="K431" s="28">
        <f>IF(OR(B431="",F431&lt;&gt;"Done",J431="Package"),"",IF(N(G431)-N(I431)&gt;0,N(G431)-N(I431),""))</f>
        <v/>
      </c>
      <c r="L431" s="32" t="n"/>
      <c r="M431" s="1">
        <f>IF(OR(B431="",D431="",F431="Cancelled"),"",B431+N(C431)+ROW()/10000000)</f>
        <v/>
      </c>
      <c r="N431">
        <f>IF(AND(F431="Done",M431&lt;&gt;""),IF(COUNTIFS(Appointments!$D$6:$D$2005,D431,Appointments!$F$6:$F$2005,"Done",Appointments!$M$6:$M$2005,"&gt;"&amp;M431)=0,1,0),0)</f>
        <v/>
      </c>
      <c r="O431">
        <f>IF(AND(F431="Booked",M431&lt;&gt;"",N(B431)&gt;=TODAY()),IF(COUNTIFS(Appointments!$D$6:$D$2005,D431,Appointments!$F$6:$F$2005,"Booked",Appointments!$B$6:$B$2005,"&gt;="&amp;TODAY(),Appointments!$M$6:$M$2005,"&lt;"&amp;M431)=0,1,0),0)</f>
        <v/>
      </c>
    </row>
    <row r="432">
      <c r="A432" s="1" t="n"/>
      <c r="B432" s="30" t="n">
        <v>46128</v>
      </c>
      <c r="C432" s="31" t="n">
        <v>0.5972222222222222</v>
      </c>
      <c r="D432" s="32" t="inlineStr">
        <is>
          <t>Eli Hughes</t>
        </is>
      </c>
      <c r="E432" s="32" t="inlineStr">
        <is>
          <t>Men's haircut</t>
        </is>
      </c>
      <c r="F432" s="33" t="inlineStr">
        <is>
          <t>Done</t>
        </is>
      </c>
      <c r="G432" s="27">
        <f>IF(E432="","",MAX(0,IFERROR(INDEX(Services!$C$6:$C$35,MATCH(E432,Services!$B$6:$B$35,0)),0)-N(H432)))</f>
        <v/>
      </c>
      <c r="H432" s="34" t="n"/>
      <c r="I432" s="34" t="n">
        <v>30</v>
      </c>
      <c r="J432" s="33" t="inlineStr">
        <is>
          <t>Card</t>
        </is>
      </c>
      <c r="K432" s="28">
        <f>IF(OR(B432="",F432&lt;&gt;"Done",J432="Package"),"",IF(N(G432)-N(I432)&gt;0,N(G432)-N(I432),""))</f>
        <v/>
      </c>
      <c r="L432" s="32" t="n"/>
      <c r="M432" s="1">
        <f>IF(OR(B432="",D432="",F432="Cancelled"),"",B432+N(C432)+ROW()/10000000)</f>
        <v/>
      </c>
      <c r="N432">
        <f>IF(AND(F432="Done",M432&lt;&gt;""),IF(COUNTIFS(Appointments!$D$6:$D$2005,D432,Appointments!$F$6:$F$2005,"Done",Appointments!$M$6:$M$2005,"&gt;"&amp;M432)=0,1,0),0)</f>
        <v/>
      </c>
      <c r="O432">
        <f>IF(AND(F432="Booked",M432&lt;&gt;"",N(B432)&gt;=TODAY()),IF(COUNTIFS(Appointments!$D$6:$D$2005,D432,Appointments!$F$6:$F$2005,"Booked",Appointments!$B$6:$B$2005,"&gt;="&amp;TODAY(),Appointments!$M$6:$M$2005,"&lt;"&amp;M432)=0,1,0),0)</f>
        <v/>
      </c>
    </row>
    <row r="433">
      <c r="A433" s="1" t="n"/>
      <c r="B433" s="30" t="n">
        <v>46128</v>
      </c>
      <c r="C433" s="31" t="n">
        <v>0.625</v>
      </c>
      <c r="D433" s="32" t="inlineStr">
        <is>
          <t>Ella Kelly</t>
        </is>
      </c>
      <c r="E433" s="32" t="inlineStr">
        <is>
          <t>Treatment</t>
        </is>
      </c>
      <c r="F433" s="33" t="inlineStr">
        <is>
          <t>Done</t>
        </is>
      </c>
      <c r="G433" s="27">
        <f>IF(E433="","",MAX(0,IFERROR(INDEX(Services!$C$6:$C$35,MATCH(E433,Services!$B$6:$B$35,0)),0)-N(H433)))</f>
        <v/>
      </c>
      <c r="H433" s="34" t="n"/>
      <c r="I433" s="34" t="n">
        <v>30</v>
      </c>
      <c r="J433" s="33" t="inlineStr">
        <is>
          <t>Card</t>
        </is>
      </c>
      <c r="K433" s="28">
        <f>IF(OR(B433="",F433&lt;&gt;"Done",J433="Package"),"",IF(N(G433)-N(I433)&gt;0,N(G433)-N(I433),""))</f>
        <v/>
      </c>
      <c r="L433" s="32" t="n"/>
      <c r="M433" s="1">
        <f>IF(OR(B433="",D433="",F433="Cancelled"),"",B433+N(C433)+ROW()/10000000)</f>
        <v/>
      </c>
      <c r="N433">
        <f>IF(AND(F433="Done",M433&lt;&gt;""),IF(COUNTIFS(Appointments!$D$6:$D$2005,D433,Appointments!$F$6:$F$2005,"Done",Appointments!$M$6:$M$2005,"&gt;"&amp;M433)=0,1,0),0)</f>
        <v/>
      </c>
      <c r="O433">
        <f>IF(AND(F433="Booked",M433&lt;&gt;"",N(B433)&gt;=TODAY()),IF(COUNTIFS(Appointments!$D$6:$D$2005,D433,Appointments!$F$6:$F$2005,"Booked",Appointments!$B$6:$B$2005,"&gt;="&amp;TODAY(),Appointments!$M$6:$M$2005,"&lt;"&amp;M433)=0,1,0),0)</f>
        <v/>
      </c>
    </row>
    <row r="434">
      <c r="A434" s="1" t="n"/>
      <c r="B434" s="30" t="n">
        <v>46128</v>
      </c>
      <c r="C434" s="31" t="n">
        <v>0.6527777777777778</v>
      </c>
      <c r="D434" s="32" t="inlineStr">
        <is>
          <t>Ian Hall</t>
        </is>
      </c>
      <c r="E434" s="32" t="inlineStr">
        <is>
          <t>Men's haircut</t>
        </is>
      </c>
      <c r="F434" s="33" t="inlineStr">
        <is>
          <t>Done</t>
        </is>
      </c>
      <c r="G434" s="27">
        <f>IF(E434="","",MAX(0,IFERROR(INDEX(Services!$C$6:$C$35,MATCH(E434,Services!$B$6:$B$35,0)),0)-N(H434)))</f>
        <v/>
      </c>
      <c r="H434" s="34" t="n"/>
      <c r="I434" s="34" t="n">
        <v>30</v>
      </c>
      <c r="J434" s="33" t="inlineStr">
        <is>
          <t>Transfer</t>
        </is>
      </c>
      <c r="K434" s="28">
        <f>IF(OR(B434="",F434&lt;&gt;"Done",J434="Package"),"",IF(N(G434)-N(I434)&gt;0,N(G434)-N(I434),""))</f>
        <v/>
      </c>
      <c r="L434" s="32" t="n"/>
      <c r="M434" s="1">
        <f>IF(OR(B434="",D434="",F434="Cancelled"),"",B434+N(C434)+ROW()/10000000)</f>
        <v/>
      </c>
      <c r="N434">
        <f>IF(AND(F434="Done",M434&lt;&gt;""),IF(COUNTIFS(Appointments!$D$6:$D$2005,D434,Appointments!$F$6:$F$2005,"Done",Appointments!$M$6:$M$2005,"&gt;"&amp;M434)=0,1,0),0)</f>
        <v/>
      </c>
      <c r="O434">
        <f>IF(AND(F434="Booked",M434&lt;&gt;"",N(B434)&gt;=TODAY()),IF(COUNTIFS(Appointments!$D$6:$D$2005,D434,Appointments!$F$6:$F$2005,"Booked",Appointments!$B$6:$B$2005,"&gt;="&amp;TODAY(),Appointments!$M$6:$M$2005,"&lt;"&amp;M434)=0,1,0),0)</f>
        <v/>
      </c>
    </row>
    <row r="435">
      <c r="A435" s="1" t="n"/>
      <c r="B435" s="30" t="n">
        <v>46128</v>
      </c>
      <c r="C435" s="31" t="n">
        <v>0.6805555555555556</v>
      </c>
      <c r="D435" s="32" t="inlineStr">
        <is>
          <t>Jon Gray</t>
        </is>
      </c>
      <c r="E435" s="32" t="inlineStr">
        <is>
          <t>Men's haircut</t>
        </is>
      </c>
      <c r="F435" s="33" t="inlineStr">
        <is>
          <t>Done</t>
        </is>
      </c>
      <c r="G435" s="27">
        <f>IF(E435="","",MAX(0,IFERROR(INDEX(Services!$C$6:$C$35,MATCH(E435,Services!$B$6:$B$35,0)),0)-N(H435)))</f>
        <v/>
      </c>
      <c r="H435" s="34" t="n"/>
      <c r="I435" s="34" t="n">
        <v>30</v>
      </c>
      <c r="J435" s="33" t="inlineStr">
        <is>
          <t>Cash</t>
        </is>
      </c>
      <c r="K435" s="28">
        <f>IF(OR(B435="",F435&lt;&gt;"Done",J435="Package"),"",IF(N(G435)-N(I435)&gt;0,N(G435)-N(I435),""))</f>
        <v/>
      </c>
      <c r="L435" s="32" t="n"/>
      <c r="M435" s="1">
        <f>IF(OR(B435="",D435="",F435="Cancelled"),"",B435+N(C435)+ROW()/10000000)</f>
        <v/>
      </c>
      <c r="N435">
        <f>IF(AND(F435="Done",M435&lt;&gt;""),IF(COUNTIFS(Appointments!$D$6:$D$2005,D435,Appointments!$F$6:$F$2005,"Done",Appointments!$M$6:$M$2005,"&gt;"&amp;M435)=0,1,0),0)</f>
        <v/>
      </c>
      <c r="O435">
        <f>IF(AND(F435="Booked",M435&lt;&gt;"",N(B435)&gt;=TODAY()),IF(COUNTIFS(Appointments!$D$6:$D$2005,D435,Appointments!$F$6:$F$2005,"Booked",Appointments!$B$6:$B$2005,"&gt;="&amp;TODAY(),Appointments!$M$6:$M$2005,"&lt;"&amp;M435)=0,1,0),0)</f>
        <v/>
      </c>
    </row>
    <row r="436">
      <c r="A436" s="1" t="n"/>
      <c r="B436" s="30" t="n">
        <v>46128</v>
      </c>
      <c r="C436" s="31" t="n">
        <v>0.7083333333333334</v>
      </c>
      <c r="D436" s="32" t="inlineStr">
        <is>
          <t>Will Baker</t>
        </is>
      </c>
      <c r="E436" s="32" t="inlineStr">
        <is>
          <t>Men's haircut</t>
        </is>
      </c>
      <c r="F436" s="33" t="inlineStr">
        <is>
          <t>Done</t>
        </is>
      </c>
      <c r="G436" s="27">
        <f>IF(E436="","",MAX(0,IFERROR(INDEX(Services!$C$6:$C$35,MATCH(E436,Services!$B$6:$B$35,0)),0)-N(H436)))</f>
        <v/>
      </c>
      <c r="H436" s="34" t="n"/>
      <c r="I436" s="34" t="n">
        <v>30</v>
      </c>
      <c r="J436" s="33" t="inlineStr">
        <is>
          <t>Cash</t>
        </is>
      </c>
      <c r="K436" s="28">
        <f>IF(OR(B436="",F436&lt;&gt;"Done",J436="Package"),"",IF(N(G436)-N(I436)&gt;0,N(G436)-N(I436),""))</f>
        <v/>
      </c>
      <c r="L436" s="32" t="n"/>
      <c r="M436" s="1">
        <f>IF(OR(B436="",D436="",F436="Cancelled"),"",B436+N(C436)+ROW()/10000000)</f>
        <v/>
      </c>
      <c r="N436">
        <f>IF(AND(F436="Done",M436&lt;&gt;""),IF(COUNTIFS(Appointments!$D$6:$D$2005,D436,Appointments!$F$6:$F$2005,"Done",Appointments!$M$6:$M$2005,"&gt;"&amp;M436)=0,1,0),0)</f>
        <v/>
      </c>
      <c r="O436">
        <f>IF(AND(F436="Booked",M436&lt;&gt;"",N(B436)&gt;=TODAY()),IF(COUNTIFS(Appointments!$D$6:$D$2005,D436,Appointments!$F$6:$F$2005,"Booked",Appointments!$B$6:$B$2005,"&gt;="&amp;TODAY(),Appointments!$M$6:$M$2005,"&lt;"&amp;M436)=0,1,0),0)</f>
        <v/>
      </c>
    </row>
    <row r="437">
      <c r="A437" s="1" t="n"/>
      <c r="B437" s="30" t="n">
        <v>46129</v>
      </c>
      <c r="C437" s="31" t="n">
        <v>0.375</v>
      </c>
      <c r="D437" s="32" t="inlineStr">
        <is>
          <t>Dina Baker</t>
        </is>
      </c>
      <c r="E437" s="32" t="inlineStr">
        <is>
          <t>Colour</t>
        </is>
      </c>
      <c r="F437" s="33" t="inlineStr">
        <is>
          <t>Done</t>
        </is>
      </c>
      <c r="G437" s="27">
        <f>IF(E437="","",MAX(0,IFERROR(INDEX(Services!$C$6:$C$35,MATCH(E437,Services!$B$6:$B$35,0)),0)-N(H437)))</f>
        <v/>
      </c>
      <c r="H437" s="34" t="n"/>
      <c r="I437" s="34" t="n">
        <v>95</v>
      </c>
      <c r="J437" s="33" t="inlineStr">
        <is>
          <t>Card</t>
        </is>
      </c>
      <c r="K437" s="28">
        <f>IF(OR(B437="",F437&lt;&gt;"Done",J437="Package"),"",IF(N(G437)-N(I437)&gt;0,N(G437)-N(I437),""))</f>
        <v/>
      </c>
      <c r="L437" s="32" t="n"/>
      <c r="M437" s="1">
        <f>IF(OR(B437="",D437="",F437="Cancelled"),"",B437+N(C437)+ROW()/10000000)</f>
        <v/>
      </c>
      <c r="N437">
        <f>IF(AND(F437="Done",M437&lt;&gt;""),IF(COUNTIFS(Appointments!$D$6:$D$2005,D437,Appointments!$F$6:$F$2005,"Done",Appointments!$M$6:$M$2005,"&gt;"&amp;M437)=0,1,0),0)</f>
        <v/>
      </c>
      <c r="O437">
        <f>IF(AND(F437="Booked",M437&lt;&gt;"",N(B437)&gt;=TODAY()),IF(COUNTIFS(Appointments!$D$6:$D$2005,D437,Appointments!$F$6:$F$2005,"Booked",Appointments!$B$6:$B$2005,"&gt;="&amp;TODAY(),Appointments!$M$6:$M$2005,"&lt;"&amp;M437)=0,1,0),0)</f>
        <v/>
      </c>
    </row>
    <row r="438">
      <c r="A438" s="1" t="n"/>
      <c r="B438" s="30" t="n">
        <v>46129</v>
      </c>
      <c r="C438" s="31" t="n">
        <v>0.4652777777777778</v>
      </c>
      <c r="D438" s="32" t="inlineStr">
        <is>
          <t>Eva Mills</t>
        </is>
      </c>
      <c r="E438" s="32" t="inlineStr">
        <is>
          <t>Women's haircut</t>
        </is>
      </c>
      <c r="F438" s="33" t="inlineStr">
        <is>
          <t>Done</t>
        </is>
      </c>
      <c r="G438" s="27">
        <f>IF(E438="","",MAX(0,IFERROR(INDEX(Services!$C$6:$C$35,MATCH(E438,Services!$B$6:$B$35,0)),0)-N(H438)))</f>
        <v/>
      </c>
      <c r="H438" s="34" t="n"/>
      <c r="I438" s="34" t="n">
        <v>55</v>
      </c>
      <c r="J438" s="33" t="inlineStr">
        <is>
          <t>Card</t>
        </is>
      </c>
      <c r="K438" s="28">
        <f>IF(OR(B438="",F438&lt;&gt;"Done",J438="Package"),"",IF(N(G438)-N(I438)&gt;0,N(G438)-N(I438),""))</f>
        <v/>
      </c>
      <c r="L438" s="32" t="n"/>
      <c r="M438" s="1">
        <f>IF(OR(B438="",D438="",F438="Cancelled"),"",B438+N(C438)+ROW()/10000000)</f>
        <v/>
      </c>
      <c r="N438">
        <f>IF(AND(F438="Done",M438&lt;&gt;""),IF(COUNTIFS(Appointments!$D$6:$D$2005,D438,Appointments!$F$6:$F$2005,"Done",Appointments!$M$6:$M$2005,"&gt;"&amp;M438)=0,1,0),0)</f>
        <v/>
      </c>
      <c r="O438">
        <f>IF(AND(F438="Booked",M438&lt;&gt;"",N(B438)&gt;=TODAY()),IF(COUNTIFS(Appointments!$D$6:$D$2005,D438,Appointments!$F$6:$F$2005,"Booked",Appointments!$B$6:$B$2005,"&gt;="&amp;TODAY(),Appointments!$M$6:$M$2005,"&lt;"&amp;M438)=0,1,0),0)</f>
        <v/>
      </c>
    </row>
    <row r="439">
      <c r="A439" s="1" t="n"/>
      <c r="B439" s="30" t="n">
        <v>46129</v>
      </c>
      <c r="C439" s="31" t="n">
        <v>0.5138888888888888</v>
      </c>
      <c r="D439" s="32" t="inlineStr">
        <is>
          <t>Hannah Ellis</t>
        </is>
      </c>
      <c r="E439" s="32" t="inlineStr">
        <is>
          <t>Colour</t>
        </is>
      </c>
      <c r="F439" s="33" t="inlineStr">
        <is>
          <t>Done</t>
        </is>
      </c>
      <c r="G439" s="27">
        <f>IF(E439="","",MAX(0,IFERROR(INDEX(Services!$C$6:$C$35,MATCH(E439,Services!$B$6:$B$35,0)),0)-N(H439)))</f>
        <v/>
      </c>
      <c r="H439" s="34" t="n"/>
      <c r="I439" s="34" t="n">
        <v>95</v>
      </c>
      <c r="J439" s="33" t="inlineStr">
        <is>
          <t>Card</t>
        </is>
      </c>
      <c r="K439" s="28">
        <f>IF(OR(B439="",F439&lt;&gt;"Done",J439="Package"),"",IF(N(G439)-N(I439)&gt;0,N(G439)-N(I439),""))</f>
        <v/>
      </c>
      <c r="L439" s="32" t="n"/>
      <c r="M439" s="1">
        <f>IF(OR(B439="",D439="",F439="Cancelled"),"",B439+N(C439)+ROW()/10000000)</f>
        <v/>
      </c>
      <c r="N439">
        <f>IF(AND(F439="Done",M439&lt;&gt;""),IF(COUNTIFS(Appointments!$D$6:$D$2005,D439,Appointments!$F$6:$F$2005,"Done",Appointments!$M$6:$M$2005,"&gt;"&amp;M439)=0,1,0),0)</f>
        <v/>
      </c>
      <c r="O439">
        <f>IF(AND(F439="Booked",M439&lt;&gt;"",N(B439)&gt;=TODAY()),IF(COUNTIFS(Appointments!$D$6:$D$2005,D439,Appointments!$F$6:$F$2005,"Booked",Appointments!$B$6:$B$2005,"&gt;="&amp;TODAY(),Appointments!$M$6:$M$2005,"&lt;"&amp;M439)=0,1,0),0)</f>
        <v/>
      </c>
    </row>
    <row r="440">
      <c r="A440" s="1" t="n"/>
      <c r="B440" s="30" t="n">
        <v>46129</v>
      </c>
      <c r="C440" s="31" t="n">
        <v>0.6041666666666666</v>
      </c>
      <c r="D440" s="32" t="inlineStr">
        <is>
          <t>Holly Fox</t>
        </is>
      </c>
      <c r="E440" s="32" t="inlineStr">
        <is>
          <t>Blow dry</t>
        </is>
      </c>
      <c r="F440" s="33" t="inlineStr">
        <is>
          <t>Done</t>
        </is>
      </c>
      <c r="G440" s="27">
        <f>IF(E440="","",MAX(0,IFERROR(INDEX(Services!$C$6:$C$35,MATCH(E440,Services!$B$6:$B$35,0)),0)-N(H440)))</f>
        <v/>
      </c>
      <c r="H440" s="34" t="n"/>
      <c r="I440" s="34" t="n">
        <v>35</v>
      </c>
      <c r="J440" s="33" t="inlineStr">
        <is>
          <t>App</t>
        </is>
      </c>
      <c r="K440" s="28">
        <f>IF(OR(B440="",F440&lt;&gt;"Done",J440="Package"),"",IF(N(G440)-N(I440)&gt;0,N(G440)-N(I440),""))</f>
        <v/>
      </c>
      <c r="L440" s="32" t="n"/>
      <c r="M440" s="1">
        <f>IF(OR(B440="",D440="",F440="Cancelled"),"",B440+N(C440)+ROW()/10000000)</f>
        <v/>
      </c>
      <c r="N440">
        <f>IF(AND(F440="Done",M440&lt;&gt;""),IF(COUNTIFS(Appointments!$D$6:$D$2005,D440,Appointments!$F$6:$F$2005,"Done",Appointments!$M$6:$M$2005,"&gt;"&amp;M440)=0,1,0),0)</f>
        <v/>
      </c>
      <c r="O440">
        <f>IF(AND(F440="Booked",M440&lt;&gt;"",N(B440)&gt;=TODAY()),IF(COUNTIFS(Appointments!$D$6:$D$2005,D440,Appointments!$F$6:$F$2005,"Booked",Appointments!$B$6:$B$2005,"&gt;="&amp;TODAY(),Appointments!$M$6:$M$2005,"&lt;"&amp;M440)=0,1,0),0)</f>
        <v/>
      </c>
    </row>
    <row r="441">
      <c r="A441" s="1" t="n"/>
      <c r="B441" s="30" t="n">
        <v>46129</v>
      </c>
      <c r="C441" s="31" t="n">
        <v>0.6423611111111112</v>
      </c>
      <c r="D441" s="32" t="inlineStr">
        <is>
          <t>Hugo Silva</t>
        </is>
      </c>
      <c r="E441" s="32" t="inlineStr">
        <is>
          <t>Men's haircut</t>
        </is>
      </c>
      <c r="F441" s="33" t="inlineStr">
        <is>
          <t>Done</t>
        </is>
      </c>
      <c r="G441" s="27">
        <f>IF(E441="","",MAX(0,IFERROR(INDEX(Services!$C$6:$C$35,MATCH(E441,Services!$B$6:$B$35,0)),0)-N(H441)))</f>
        <v/>
      </c>
      <c r="H441" s="34" t="n"/>
      <c r="I441" s="34" t="n">
        <v>30</v>
      </c>
      <c r="J441" s="33" t="inlineStr">
        <is>
          <t>Card</t>
        </is>
      </c>
      <c r="K441" s="28">
        <f>IF(OR(B441="",F441&lt;&gt;"Done",J441="Package"),"",IF(N(G441)-N(I441)&gt;0,N(G441)-N(I441),""))</f>
        <v/>
      </c>
      <c r="L441" s="32" t="n"/>
      <c r="M441" s="1">
        <f>IF(OR(B441="",D441="",F441="Cancelled"),"",B441+N(C441)+ROW()/10000000)</f>
        <v/>
      </c>
      <c r="N441">
        <f>IF(AND(F441="Done",M441&lt;&gt;""),IF(COUNTIFS(Appointments!$D$6:$D$2005,D441,Appointments!$F$6:$F$2005,"Done",Appointments!$M$6:$M$2005,"&gt;"&amp;M441)=0,1,0),0)</f>
        <v/>
      </c>
      <c r="O441">
        <f>IF(AND(F441="Booked",M441&lt;&gt;"",N(B441)&gt;=TODAY()),IF(COUNTIFS(Appointments!$D$6:$D$2005,D441,Appointments!$F$6:$F$2005,"Booked",Appointments!$B$6:$B$2005,"&gt;="&amp;TODAY(),Appointments!$M$6:$M$2005,"&lt;"&amp;M441)=0,1,0),0)</f>
        <v/>
      </c>
    </row>
    <row r="442">
      <c r="A442" s="1" t="n"/>
      <c r="B442" s="30" t="n">
        <v>46129</v>
      </c>
      <c r="C442" s="31" t="n">
        <v>0.6701388888888888</v>
      </c>
      <c r="D442" s="32" t="inlineStr">
        <is>
          <t>Lily Young</t>
        </is>
      </c>
      <c r="E442" s="32" t="inlineStr">
        <is>
          <t>Blow dry</t>
        </is>
      </c>
      <c r="F442" s="33" t="inlineStr">
        <is>
          <t>Done</t>
        </is>
      </c>
      <c r="G442" s="27">
        <f>IF(E442="","",MAX(0,IFERROR(INDEX(Services!$C$6:$C$35,MATCH(E442,Services!$B$6:$B$35,0)),0)-N(H442)))</f>
        <v/>
      </c>
      <c r="H442" s="34" t="n"/>
      <c r="I442" s="34" t="n">
        <v>35</v>
      </c>
      <c r="J442" s="33" t="inlineStr">
        <is>
          <t>Card</t>
        </is>
      </c>
      <c r="K442" s="28">
        <f>IF(OR(B442="",F442&lt;&gt;"Done",J442="Package"),"",IF(N(G442)-N(I442)&gt;0,N(G442)-N(I442),""))</f>
        <v/>
      </c>
      <c r="L442" s="32" t="n"/>
      <c r="M442" s="1">
        <f>IF(OR(B442="",D442="",F442="Cancelled"),"",B442+N(C442)+ROW()/10000000)</f>
        <v/>
      </c>
      <c r="N442">
        <f>IF(AND(F442="Done",M442&lt;&gt;""),IF(COUNTIFS(Appointments!$D$6:$D$2005,D442,Appointments!$F$6:$F$2005,"Done",Appointments!$M$6:$M$2005,"&gt;"&amp;M442)=0,1,0),0)</f>
        <v/>
      </c>
      <c r="O442">
        <f>IF(AND(F442="Booked",M442&lt;&gt;"",N(B442)&gt;=TODAY()),IF(COUNTIFS(Appointments!$D$6:$D$2005,D442,Appointments!$F$6:$F$2005,"Booked",Appointments!$B$6:$B$2005,"&gt;="&amp;TODAY(),Appointments!$M$6:$M$2005,"&lt;"&amp;M442)=0,1,0),0)</f>
        <v/>
      </c>
    </row>
    <row r="443">
      <c r="A443" s="1" t="n"/>
      <c r="B443" s="30" t="n">
        <v>46129</v>
      </c>
      <c r="C443" s="31" t="n">
        <v>0.7083333333333334</v>
      </c>
      <c r="D443" s="32" t="inlineStr">
        <is>
          <t>Ruby Cook</t>
        </is>
      </c>
      <c r="E443" s="32" t="inlineStr">
        <is>
          <t>Blow dry</t>
        </is>
      </c>
      <c r="F443" s="33" t="inlineStr">
        <is>
          <t>Done</t>
        </is>
      </c>
      <c r="G443" s="27">
        <f>IF(E443="","",MAX(0,IFERROR(INDEX(Services!$C$6:$C$35,MATCH(E443,Services!$B$6:$B$35,0)),0)-N(H443)))</f>
        <v/>
      </c>
      <c r="H443" s="34" t="n"/>
      <c r="I443" s="34" t="n">
        <v>35</v>
      </c>
      <c r="J443" s="33" t="inlineStr">
        <is>
          <t>Card</t>
        </is>
      </c>
      <c r="K443" s="28">
        <f>IF(OR(B443="",F443&lt;&gt;"Done",J443="Package"),"",IF(N(G443)-N(I443)&gt;0,N(G443)-N(I443),""))</f>
        <v/>
      </c>
      <c r="L443" s="32" t="n"/>
      <c r="M443" s="1">
        <f>IF(OR(B443="",D443="",F443="Cancelled"),"",B443+N(C443)+ROW()/10000000)</f>
        <v/>
      </c>
      <c r="N443">
        <f>IF(AND(F443="Done",M443&lt;&gt;""),IF(COUNTIFS(Appointments!$D$6:$D$2005,D443,Appointments!$F$6:$F$2005,"Done",Appointments!$M$6:$M$2005,"&gt;"&amp;M443)=0,1,0),0)</f>
        <v/>
      </c>
      <c r="O443">
        <f>IF(AND(F443="Booked",M443&lt;&gt;"",N(B443)&gt;=TODAY()),IF(COUNTIFS(Appointments!$D$6:$D$2005,D443,Appointments!$F$6:$F$2005,"Booked",Appointments!$B$6:$B$2005,"&gt;="&amp;TODAY(),Appointments!$M$6:$M$2005,"&lt;"&amp;M443)=0,1,0),0)</f>
        <v/>
      </c>
    </row>
    <row r="444">
      <c r="A444" s="1" t="n"/>
      <c r="B444" s="30" t="n">
        <v>46130</v>
      </c>
      <c r="C444" s="31" t="n">
        <v>0.375</v>
      </c>
      <c r="D444" s="32" t="inlineStr">
        <is>
          <t>Ben Carter</t>
        </is>
      </c>
      <c r="E444" s="32" t="inlineStr">
        <is>
          <t>Men's haircut</t>
        </is>
      </c>
      <c r="F444" s="33" t="inlineStr">
        <is>
          <t>Done</t>
        </is>
      </c>
      <c r="G444" s="27">
        <f>IF(E444="","",MAX(0,IFERROR(INDEX(Services!$C$6:$C$35,MATCH(E444,Services!$B$6:$B$35,0)),0)-N(H444)))</f>
        <v/>
      </c>
      <c r="H444" s="34" t="n"/>
      <c r="I444" s="34" t="n">
        <v>30</v>
      </c>
      <c r="J444" s="33" t="inlineStr">
        <is>
          <t>Cash</t>
        </is>
      </c>
      <c r="K444" s="28">
        <f>IF(OR(B444="",F444&lt;&gt;"Done",J444="Package"),"",IF(N(G444)-N(I444)&gt;0,N(G444)-N(I444),""))</f>
        <v/>
      </c>
      <c r="L444" s="32" t="n"/>
      <c r="M444" s="1">
        <f>IF(OR(B444="",D444="",F444="Cancelled"),"",B444+N(C444)+ROW()/10000000)</f>
        <v/>
      </c>
      <c r="N444">
        <f>IF(AND(F444="Done",M444&lt;&gt;""),IF(COUNTIFS(Appointments!$D$6:$D$2005,D444,Appointments!$F$6:$F$2005,"Done",Appointments!$M$6:$M$2005,"&gt;"&amp;M444)=0,1,0),0)</f>
        <v/>
      </c>
      <c r="O444">
        <f>IF(AND(F444="Booked",M444&lt;&gt;"",N(B444)&gt;=TODAY()),IF(COUNTIFS(Appointments!$D$6:$D$2005,D444,Appointments!$F$6:$F$2005,"Booked",Appointments!$B$6:$B$2005,"&gt;="&amp;TODAY(),Appointments!$M$6:$M$2005,"&lt;"&amp;M444)=0,1,0),0)</f>
        <v/>
      </c>
    </row>
    <row r="445">
      <c r="A445" s="1" t="n"/>
      <c r="B445" s="30" t="n">
        <v>46130</v>
      </c>
      <c r="C445" s="31" t="n">
        <v>0.4027777777777778</v>
      </c>
      <c r="D445" s="32" t="inlineStr">
        <is>
          <t>Katie Moore</t>
        </is>
      </c>
      <c r="E445" s="32" t="inlineStr">
        <is>
          <t>Women's haircut</t>
        </is>
      </c>
      <c r="F445" s="33" t="inlineStr">
        <is>
          <t>Done</t>
        </is>
      </c>
      <c r="G445" s="27">
        <f>IF(E445="","",MAX(0,IFERROR(INDEX(Services!$C$6:$C$35,MATCH(E445,Services!$B$6:$B$35,0)),0)-N(H445)))</f>
        <v/>
      </c>
      <c r="H445" s="34" t="n"/>
      <c r="I445" s="34" t="n">
        <v>55</v>
      </c>
      <c r="J445" s="33" t="inlineStr">
        <is>
          <t>Card</t>
        </is>
      </c>
      <c r="K445" s="28">
        <f>IF(OR(B445="",F445&lt;&gt;"Done",J445="Package"),"",IF(N(G445)-N(I445)&gt;0,N(G445)-N(I445),""))</f>
        <v/>
      </c>
      <c r="L445" s="32" t="n"/>
      <c r="M445" s="1">
        <f>IF(OR(B445="",D445="",F445="Cancelled"),"",B445+N(C445)+ROW()/10000000)</f>
        <v/>
      </c>
      <c r="N445">
        <f>IF(AND(F445="Done",M445&lt;&gt;""),IF(COUNTIFS(Appointments!$D$6:$D$2005,D445,Appointments!$F$6:$F$2005,"Done",Appointments!$M$6:$M$2005,"&gt;"&amp;M445)=0,1,0),0)</f>
        <v/>
      </c>
      <c r="O445">
        <f>IF(AND(F445="Booked",M445&lt;&gt;"",N(B445)&gt;=TODAY()),IF(COUNTIFS(Appointments!$D$6:$D$2005,D445,Appointments!$F$6:$F$2005,"Booked",Appointments!$B$6:$B$2005,"&gt;="&amp;TODAY(),Appointments!$M$6:$M$2005,"&lt;"&amp;M445)=0,1,0),0)</f>
        <v/>
      </c>
    </row>
    <row r="446">
      <c r="A446" s="1" t="n"/>
      <c r="B446" s="30" t="n">
        <v>46130</v>
      </c>
      <c r="C446" s="31" t="n">
        <v>0.4513888888888889</v>
      </c>
      <c r="D446" s="32" t="inlineStr">
        <is>
          <t>Kyle Fox</t>
        </is>
      </c>
      <c r="E446" s="32" t="inlineStr">
        <is>
          <t>Men's haircut</t>
        </is>
      </c>
      <c r="F446" s="33" t="inlineStr">
        <is>
          <t>Done</t>
        </is>
      </c>
      <c r="G446" s="27">
        <f>IF(E446="","",MAX(0,IFERROR(INDEX(Services!$C$6:$C$35,MATCH(E446,Services!$B$6:$B$35,0)),0)-N(H446)))</f>
        <v/>
      </c>
      <c r="H446" s="34" t="n"/>
      <c r="I446" s="34" t="n">
        <v>30</v>
      </c>
      <c r="J446" s="33" t="inlineStr">
        <is>
          <t>App</t>
        </is>
      </c>
      <c r="K446" s="28">
        <f>IF(OR(B446="",F446&lt;&gt;"Done",J446="Package"),"",IF(N(G446)-N(I446)&gt;0,N(G446)-N(I446),""))</f>
        <v/>
      </c>
      <c r="L446" s="32" t="n"/>
      <c r="M446" s="1">
        <f>IF(OR(B446="",D446="",F446="Cancelled"),"",B446+N(C446)+ROW()/10000000)</f>
        <v/>
      </c>
      <c r="N446">
        <f>IF(AND(F446="Done",M446&lt;&gt;""),IF(COUNTIFS(Appointments!$D$6:$D$2005,D446,Appointments!$F$6:$F$2005,"Done",Appointments!$M$6:$M$2005,"&gt;"&amp;M446)=0,1,0),0)</f>
        <v/>
      </c>
      <c r="O446">
        <f>IF(AND(F446="Booked",M446&lt;&gt;"",N(B446)&gt;=TODAY()),IF(COUNTIFS(Appointments!$D$6:$D$2005,D446,Appointments!$F$6:$F$2005,"Booked",Appointments!$B$6:$B$2005,"&gt;="&amp;TODAY(),Appointments!$M$6:$M$2005,"&lt;"&amp;M446)=0,1,0),0)</f>
        <v/>
      </c>
    </row>
    <row r="447">
      <c r="A447" s="1" t="n"/>
      <c r="B447" s="30" t="n">
        <v>46130</v>
      </c>
      <c r="C447" s="31" t="n">
        <v>0.4791666666666667</v>
      </c>
      <c r="D447" s="32" t="inlineStr">
        <is>
          <t>Ryan Adams</t>
        </is>
      </c>
      <c r="E447" s="32" t="inlineStr">
        <is>
          <t>Men's haircut</t>
        </is>
      </c>
      <c r="F447" s="33" t="inlineStr">
        <is>
          <t>Done</t>
        </is>
      </c>
      <c r="G447" s="27">
        <f>IF(E447="","",MAX(0,IFERROR(INDEX(Services!$C$6:$C$35,MATCH(E447,Services!$B$6:$B$35,0)),0)-N(H447)))</f>
        <v/>
      </c>
      <c r="H447" s="34" t="n"/>
      <c r="I447" s="34" t="n">
        <v>30</v>
      </c>
      <c r="J447" s="33" t="inlineStr">
        <is>
          <t>Card</t>
        </is>
      </c>
      <c r="K447" s="28">
        <f>IF(OR(B447="",F447&lt;&gt;"Done",J447="Package"),"",IF(N(G447)-N(I447)&gt;0,N(G447)-N(I447),""))</f>
        <v/>
      </c>
      <c r="L447" s="32" t="n"/>
      <c r="M447" s="1">
        <f>IF(OR(B447="",D447="",F447="Cancelled"),"",B447+N(C447)+ROW()/10000000)</f>
        <v/>
      </c>
      <c r="N447">
        <f>IF(AND(F447="Done",M447&lt;&gt;""),IF(COUNTIFS(Appointments!$D$6:$D$2005,D447,Appointments!$F$6:$F$2005,"Done",Appointments!$M$6:$M$2005,"&gt;"&amp;M447)=0,1,0),0)</f>
        <v/>
      </c>
      <c r="O447">
        <f>IF(AND(F447="Booked",M447&lt;&gt;"",N(B447)&gt;=TODAY()),IF(COUNTIFS(Appointments!$D$6:$D$2005,D447,Appointments!$F$6:$F$2005,"Booked",Appointments!$B$6:$B$2005,"&gt;="&amp;TODAY(),Appointments!$M$6:$M$2005,"&lt;"&amp;M447)=0,1,0),0)</f>
        <v/>
      </c>
    </row>
    <row r="448">
      <c r="A448" s="1" t="n"/>
      <c r="B448" s="30" t="n">
        <v>46130</v>
      </c>
      <c r="C448" s="31" t="n">
        <v>0.5069444444444444</v>
      </c>
      <c r="D448" s="32" t="inlineStr">
        <is>
          <t>Sara Reed</t>
        </is>
      </c>
      <c r="E448" s="32" t="inlineStr">
        <is>
          <t>Women's haircut</t>
        </is>
      </c>
      <c r="F448" s="33" t="inlineStr">
        <is>
          <t>Done</t>
        </is>
      </c>
      <c r="G448" s="27">
        <f>IF(E448="","",MAX(0,IFERROR(INDEX(Services!$C$6:$C$35,MATCH(E448,Services!$B$6:$B$35,0)),0)-N(H448)))</f>
        <v/>
      </c>
      <c r="H448" s="34" t="n"/>
      <c r="I448" s="34" t="n">
        <v>55</v>
      </c>
      <c r="J448" s="33" t="inlineStr">
        <is>
          <t>Card</t>
        </is>
      </c>
      <c r="K448" s="28">
        <f>IF(OR(B448="",F448&lt;&gt;"Done",J448="Package"),"",IF(N(G448)-N(I448)&gt;0,N(G448)-N(I448),""))</f>
        <v/>
      </c>
      <c r="L448" s="32" t="n"/>
      <c r="M448" s="1">
        <f>IF(OR(B448="",D448="",F448="Cancelled"),"",B448+N(C448)+ROW()/10000000)</f>
        <v/>
      </c>
      <c r="N448">
        <f>IF(AND(F448="Done",M448&lt;&gt;""),IF(COUNTIFS(Appointments!$D$6:$D$2005,D448,Appointments!$F$6:$F$2005,"Done",Appointments!$M$6:$M$2005,"&gt;"&amp;M448)=0,1,0),0)</f>
        <v/>
      </c>
      <c r="O448">
        <f>IF(AND(F448="Booked",M448&lt;&gt;"",N(B448)&gt;=TODAY()),IF(COUNTIFS(Appointments!$D$6:$D$2005,D448,Appointments!$F$6:$F$2005,"Booked",Appointments!$B$6:$B$2005,"&gt;="&amp;TODAY(),Appointments!$M$6:$M$2005,"&lt;"&amp;M448)=0,1,0),0)</f>
        <v/>
      </c>
    </row>
    <row r="449">
      <c r="A449" s="1" t="n"/>
      <c r="B449" s="30" t="n">
        <v>46133</v>
      </c>
      <c r="C449" s="31" t="n">
        <v>0.375</v>
      </c>
      <c r="D449" s="32" t="inlineStr">
        <is>
          <t>Daniel Kim</t>
        </is>
      </c>
      <c r="E449" s="32" t="inlineStr">
        <is>
          <t>Men's haircut</t>
        </is>
      </c>
      <c r="F449" s="33" t="inlineStr">
        <is>
          <t>Done</t>
        </is>
      </c>
      <c r="G449" s="27">
        <f>IF(E449="","",MAX(0,IFERROR(INDEX(Services!$C$6:$C$35,MATCH(E449,Services!$B$6:$B$35,0)),0)-N(H449)))</f>
        <v/>
      </c>
      <c r="H449" s="34" t="n"/>
      <c r="I449" s="34" t="n">
        <v>30</v>
      </c>
      <c r="J449" s="33" t="inlineStr">
        <is>
          <t>Card</t>
        </is>
      </c>
      <c r="K449" s="28">
        <f>IF(OR(B449="",F449&lt;&gt;"Done",J449="Package"),"",IF(N(G449)-N(I449)&gt;0,N(G449)-N(I449),""))</f>
        <v/>
      </c>
      <c r="L449" s="32" t="n"/>
      <c r="M449" s="1">
        <f>IF(OR(B449="",D449="",F449="Cancelled"),"",B449+N(C449)+ROW()/10000000)</f>
        <v/>
      </c>
      <c r="N449">
        <f>IF(AND(F449="Done",M449&lt;&gt;""),IF(COUNTIFS(Appointments!$D$6:$D$2005,D449,Appointments!$F$6:$F$2005,"Done",Appointments!$M$6:$M$2005,"&gt;"&amp;M449)=0,1,0),0)</f>
        <v/>
      </c>
      <c r="O449">
        <f>IF(AND(F449="Booked",M449&lt;&gt;"",N(B449)&gt;=TODAY()),IF(COUNTIFS(Appointments!$D$6:$D$2005,D449,Appointments!$F$6:$F$2005,"Booked",Appointments!$B$6:$B$2005,"&gt;="&amp;TODAY(),Appointments!$M$6:$M$2005,"&lt;"&amp;M449)=0,1,0),0)</f>
        <v/>
      </c>
    </row>
    <row r="450">
      <c r="A450" s="1" t="n"/>
      <c r="B450" s="30" t="n">
        <v>46133</v>
      </c>
      <c r="C450" s="31" t="n">
        <v>0.4027777777777778</v>
      </c>
      <c r="D450" s="32" t="inlineStr">
        <is>
          <t>Megan Morgan</t>
        </is>
      </c>
      <c r="E450" s="32" t="inlineStr">
        <is>
          <t>Blow dry</t>
        </is>
      </c>
      <c r="F450" s="33" t="inlineStr">
        <is>
          <t>Done</t>
        </is>
      </c>
      <c r="G450" s="27">
        <f>IF(E450="","",MAX(0,IFERROR(INDEX(Services!$C$6:$C$35,MATCH(E450,Services!$B$6:$B$35,0)),0)-N(H450)))</f>
        <v/>
      </c>
      <c r="H450" s="34" t="n"/>
      <c r="I450" s="34" t="n">
        <v>35</v>
      </c>
      <c r="J450" s="33" t="inlineStr">
        <is>
          <t>Cash</t>
        </is>
      </c>
      <c r="K450" s="28">
        <f>IF(OR(B450="",F450&lt;&gt;"Done",J450="Package"),"",IF(N(G450)-N(I450)&gt;0,N(G450)-N(I450),""))</f>
        <v/>
      </c>
      <c r="L450" s="32" t="n"/>
      <c r="M450" s="1">
        <f>IF(OR(B450="",D450="",F450="Cancelled"),"",B450+N(C450)+ROW()/10000000)</f>
        <v/>
      </c>
      <c r="N450">
        <f>IF(AND(F450="Done",M450&lt;&gt;""),IF(COUNTIFS(Appointments!$D$6:$D$2005,D450,Appointments!$F$6:$F$2005,"Done",Appointments!$M$6:$M$2005,"&gt;"&amp;M450)=0,1,0),0)</f>
        <v/>
      </c>
      <c r="O450">
        <f>IF(AND(F450="Booked",M450&lt;&gt;"",N(B450)&gt;=TODAY()),IF(COUNTIFS(Appointments!$D$6:$D$2005,D450,Appointments!$F$6:$F$2005,"Booked",Appointments!$B$6:$B$2005,"&gt;="&amp;TODAY(),Appointments!$M$6:$M$2005,"&lt;"&amp;M450)=0,1,0),0)</f>
        <v/>
      </c>
    </row>
    <row r="451">
      <c r="A451" s="1" t="n"/>
      <c r="B451" s="30" t="n">
        <v>46133</v>
      </c>
      <c r="C451" s="31" t="n">
        <v>0.4409722222222222</v>
      </c>
      <c r="D451" s="32" t="inlineStr">
        <is>
          <t>Mia Cole</t>
        </is>
      </c>
      <c r="E451" s="32" t="inlineStr">
        <is>
          <t>Treatment</t>
        </is>
      </c>
      <c r="F451" s="33" t="inlineStr">
        <is>
          <t>Done</t>
        </is>
      </c>
      <c r="G451" s="27">
        <f>IF(E451="","",MAX(0,IFERROR(INDEX(Services!$C$6:$C$35,MATCH(E451,Services!$B$6:$B$35,0)),0)-N(H451)))</f>
        <v/>
      </c>
      <c r="H451" s="34" t="n"/>
      <c r="I451" s="34" t="n">
        <v>30</v>
      </c>
      <c r="J451" s="33" t="inlineStr">
        <is>
          <t>Card</t>
        </is>
      </c>
      <c r="K451" s="28">
        <f>IF(OR(B451="",F451&lt;&gt;"Done",J451="Package"),"",IF(N(G451)-N(I451)&gt;0,N(G451)-N(I451),""))</f>
        <v/>
      </c>
      <c r="L451" s="32" t="n"/>
      <c r="M451" s="1">
        <f>IF(OR(B451="",D451="",F451="Cancelled"),"",B451+N(C451)+ROW()/10000000)</f>
        <v/>
      </c>
      <c r="N451">
        <f>IF(AND(F451="Done",M451&lt;&gt;""),IF(COUNTIFS(Appointments!$D$6:$D$2005,D451,Appointments!$F$6:$F$2005,"Done",Appointments!$M$6:$M$2005,"&gt;"&amp;M451)=0,1,0),0)</f>
        <v/>
      </c>
      <c r="O451">
        <f>IF(AND(F451="Booked",M451&lt;&gt;"",N(B451)&gt;=TODAY()),IF(COUNTIFS(Appointments!$D$6:$D$2005,D451,Appointments!$F$6:$F$2005,"Booked",Appointments!$B$6:$B$2005,"&gt;="&amp;TODAY(),Appointments!$M$6:$M$2005,"&lt;"&amp;M451)=0,1,0),0)</f>
        <v/>
      </c>
    </row>
    <row r="452">
      <c r="A452" s="1" t="n"/>
      <c r="B452" s="30" t="n">
        <v>46133</v>
      </c>
      <c r="C452" s="31" t="n">
        <v>0.46875</v>
      </c>
      <c r="D452" s="32" t="inlineStr">
        <is>
          <t>Nina Baker</t>
        </is>
      </c>
      <c r="E452" s="32" t="inlineStr">
        <is>
          <t>Women's haircut</t>
        </is>
      </c>
      <c r="F452" s="33" t="inlineStr">
        <is>
          <t>Done</t>
        </is>
      </c>
      <c r="G452" s="27">
        <f>IF(E452="","",MAX(0,IFERROR(INDEX(Services!$C$6:$C$35,MATCH(E452,Services!$B$6:$B$35,0)),0)-N(H452)))</f>
        <v/>
      </c>
      <c r="H452" s="34" t="n"/>
      <c r="I452" s="34" t="n">
        <v>55</v>
      </c>
      <c r="J452" s="33" t="inlineStr">
        <is>
          <t>Card</t>
        </is>
      </c>
      <c r="K452" s="28">
        <f>IF(OR(B452="",F452&lt;&gt;"Done",J452="Package"),"",IF(N(G452)-N(I452)&gt;0,N(G452)-N(I452),""))</f>
        <v/>
      </c>
      <c r="L452" s="32" t="n"/>
      <c r="M452" s="1">
        <f>IF(OR(B452="",D452="",F452="Cancelled"),"",B452+N(C452)+ROW()/10000000)</f>
        <v/>
      </c>
      <c r="N452">
        <f>IF(AND(F452="Done",M452&lt;&gt;""),IF(COUNTIFS(Appointments!$D$6:$D$2005,D452,Appointments!$F$6:$F$2005,"Done",Appointments!$M$6:$M$2005,"&gt;"&amp;M452)=0,1,0),0)</f>
        <v/>
      </c>
      <c r="O452">
        <f>IF(AND(F452="Booked",M452&lt;&gt;"",N(B452)&gt;=TODAY()),IF(COUNTIFS(Appointments!$D$6:$D$2005,D452,Appointments!$F$6:$F$2005,"Booked",Appointments!$B$6:$B$2005,"&gt;="&amp;TODAY(),Appointments!$M$6:$M$2005,"&lt;"&amp;M452)=0,1,0),0)</f>
        <v/>
      </c>
    </row>
    <row r="453">
      <c r="A453" s="1" t="n"/>
      <c r="B453" s="30" t="n">
        <v>46133</v>
      </c>
      <c r="C453" s="31" t="n">
        <v>0.5173611111111112</v>
      </c>
      <c r="D453" s="32" t="inlineStr">
        <is>
          <t>Paula Mason</t>
        </is>
      </c>
      <c r="E453" s="32" t="inlineStr">
        <is>
          <t>Highlights</t>
        </is>
      </c>
      <c r="F453" s="33" t="inlineStr">
        <is>
          <t>Done</t>
        </is>
      </c>
      <c r="G453" s="27">
        <f>IF(E453="","",MAX(0,IFERROR(INDEX(Services!$C$6:$C$35,MATCH(E453,Services!$B$6:$B$35,0)),0)-N(H453)))</f>
        <v/>
      </c>
      <c r="H453" s="34" t="n"/>
      <c r="I453" s="34" t="n">
        <v>140</v>
      </c>
      <c r="J453" s="33" t="inlineStr">
        <is>
          <t>Card</t>
        </is>
      </c>
      <c r="K453" s="28">
        <f>IF(OR(B453="",F453&lt;&gt;"Done",J453="Package"),"",IF(N(G453)-N(I453)&gt;0,N(G453)-N(I453),""))</f>
        <v/>
      </c>
      <c r="L453" s="32" t="n"/>
      <c r="M453" s="1">
        <f>IF(OR(B453="",D453="",F453="Cancelled"),"",B453+N(C453)+ROW()/10000000)</f>
        <v/>
      </c>
      <c r="N453">
        <f>IF(AND(F453="Done",M453&lt;&gt;""),IF(COUNTIFS(Appointments!$D$6:$D$2005,D453,Appointments!$F$6:$F$2005,"Done",Appointments!$M$6:$M$2005,"&gt;"&amp;M453)=0,1,0),0)</f>
        <v/>
      </c>
      <c r="O453">
        <f>IF(AND(F453="Booked",M453&lt;&gt;"",N(B453)&gt;=TODAY()),IF(COUNTIFS(Appointments!$D$6:$D$2005,D453,Appointments!$F$6:$F$2005,"Booked",Appointments!$B$6:$B$2005,"&gt;="&amp;TODAY(),Appointments!$M$6:$M$2005,"&lt;"&amp;M453)=0,1,0),0)</f>
        <v/>
      </c>
    </row>
    <row r="454">
      <c r="A454" s="1" t="n"/>
      <c r="B454" s="30" t="n">
        <v>46133</v>
      </c>
      <c r="C454" s="31" t="n">
        <v>0.6284722222222222</v>
      </c>
      <c r="D454" s="32" t="inlineStr">
        <is>
          <t>Tom Ellis</t>
        </is>
      </c>
      <c r="E454" s="32" t="inlineStr">
        <is>
          <t>Men's haircut</t>
        </is>
      </c>
      <c r="F454" s="33" t="inlineStr">
        <is>
          <t>Done</t>
        </is>
      </c>
      <c r="G454" s="27">
        <f>IF(E454="","",MAX(0,IFERROR(INDEX(Services!$C$6:$C$35,MATCH(E454,Services!$B$6:$B$35,0)),0)-N(H454)))</f>
        <v/>
      </c>
      <c r="H454" s="34" t="n"/>
      <c r="I454" s="34" t="n">
        <v>30</v>
      </c>
      <c r="J454" s="33" t="inlineStr">
        <is>
          <t>App</t>
        </is>
      </c>
      <c r="K454" s="28">
        <f>IF(OR(B454="",F454&lt;&gt;"Done",J454="Package"),"",IF(N(G454)-N(I454)&gt;0,N(G454)-N(I454),""))</f>
        <v/>
      </c>
      <c r="L454" s="32" t="n"/>
      <c r="M454" s="1">
        <f>IF(OR(B454="",D454="",F454="Cancelled"),"",B454+N(C454)+ROW()/10000000)</f>
        <v/>
      </c>
      <c r="N454">
        <f>IF(AND(F454="Done",M454&lt;&gt;""),IF(COUNTIFS(Appointments!$D$6:$D$2005,D454,Appointments!$F$6:$F$2005,"Done",Appointments!$M$6:$M$2005,"&gt;"&amp;M454)=0,1,0),0)</f>
        <v/>
      </c>
      <c r="O454">
        <f>IF(AND(F454="Booked",M454&lt;&gt;"",N(B454)&gt;=TODAY()),IF(COUNTIFS(Appointments!$D$6:$D$2005,D454,Appointments!$F$6:$F$2005,"Booked",Appointments!$B$6:$B$2005,"&gt;="&amp;TODAY(),Appointments!$M$6:$M$2005,"&lt;"&amp;M454)=0,1,0),0)</f>
        <v/>
      </c>
    </row>
    <row r="455">
      <c r="A455" s="1" t="n"/>
      <c r="B455" s="30" t="n">
        <v>46133</v>
      </c>
      <c r="C455" s="31" t="n">
        <v>0.65625</v>
      </c>
      <c r="D455" s="32" t="inlineStr">
        <is>
          <t>Zoe Turner</t>
        </is>
      </c>
      <c r="E455" s="32" t="inlineStr">
        <is>
          <t>Women's haircut</t>
        </is>
      </c>
      <c r="F455" s="33" t="inlineStr">
        <is>
          <t>Cancelled</t>
        </is>
      </c>
      <c r="G455" s="27">
        <f>IF(E455="","",MAX(0,IFERROR(INDEX(Services!$C$6:$C$35,MATCH(E455,Services!$B$6:$B$35,0)),0)-N(H455)))</f>
        <v/>
      </c>
      <c r="H455" s="34" t="n"/>
      <c r="I455" s="34" t="n"/>
      <c r="J455" s="33" t="n"/>
      <c r="K455" s="28">
        <f>IF(OR(B455="",F455&lt;&gt;"Done",J455="Package"),"",IF(N(G455)-N(I455)&gt;0,N(G455)-N(I455),""))</f>
        <v/>
      </c>
      <c r="L455" s="32" t="n"/>
      <c r="M455" s="1">
        <f>IF(OR(B455="",D455="",F455="Cancelled"),"",B455+N(C455)+ROW()/10000000)</f>
        <v/>
      </c>
      <c r="N455">
        <f>IF(AND(F455="Done",M455&lt;&gt;""),IF(COUNTIFS(Appointments!$D$6:$D$2005,D455,Appointments!$F$6:$F$2005,"Done",Appointments!$M$6:$M$2005,"&gt;"&amp;M455)=0,1,0),0)</f>
        <v/>
      </c>
      <c r="O455">
        <f>IF(AND(F455="Booked",M455&lt;&gt;"",N(B455)&gt;=TODAY()),IF(COUNTIFS(Appointments!$D$6:$D$2005,D455,Appointments!$F$6:$F$2005,"Booked",Appointments!$B$6:$B$2005,"&gt;="&amp;TODAY(),Appointments!$M$6:$M$2005,"&lt;"&amp;M455)=0,1,0),0)</f>
        <v/>
      </c>
    </row>
    <row r="456">
      <c r="A456" s="1" t="n"/>
      <c r="B456" s="30" t="n">
        <v>46134</v>
      </c>
      <c r="C456" s="31" t="n">
        <v>0.375</v>
      </c>
      <c r="D456" s="32" t="inlineStr">
        <is>
          <t>Dan Hill</t>
        </is>
      </c>
      <c r="E456" s="32" t="inlineStr">
        <is>
          <t>Men's haircut</t>
        </is>
      </c>
      <c r="F456" s="33" t="inlineStr">
        <is>
          <t>Done</t>
        </is>
      </c>
      <c r="G456" s="27">
        <f>IF(E456="","",MAX(0,IFERROR(INDEX(Services!$C$6:$C$35,MATCH(E456,Services!$B$6:$B$35,0)),0)-N(H456)))</f>
        <v/>
      </c>
      <c r="H456" s="34" t="n"/>
      <c r="I456" s="34" t="n">
        <v>30</v>
      </c>
      <c r="J456" s="33" t="inlineStr">
        <is>
          <t>Card</t>
        </is>
      </c>
      <c r="K456" s="28">
        <f>IF(OR(B456="",F456&lt;&gt;"Done",J456="Package"),"",IF(N(G456)-N(I456)&gt;0,N(G456)-N(I456),""))</f>
        <v/>
      </c>
      <c r="L456" s="32" t="n"/>
      <c r="M456" s="1">
        <f>IF(OR(B456="",D456="",F456="Cancelled"),"",B456+N(C456)+ROW()/10000000)</f>
        <v/>
      </c>
      <c r="N456">
        <f>IF(AND(F456="Done",M456&lt;&gt;""),IF(COUNTIFS(Appointments!$D$6:$D$2005,D456,Appointments!$F$6:$F$2005,"Done",Appointments!$M$6:$M$2005,"&gt;"&amp;M456)=0,1,0),0)</f>
        <v/>
      </c>
      <c r="O456">
        <f>IF(AND(F456="Booked",M456&lt;&gt;"",N(B456)&gt;=TODAY()),IF(COUNTIFS(Appointments!$D$6:$D$2005,D456,Appointments!$F$6:$F$2005,"Booked",Appointments!$B$6:$B$2005,"&gt;="&amp;TODAY(),Appointments!$M$6:$M$2005,"&lt;"&amp;M456)=0,1,0),0)</f>
        <v/>
      </c>
    </row>
    <row r="457">
      <c r="A457" s="1" t="n"/>
      <c r="B457" s="30" t="n">
        <v>46134</v>
      </c>
      <c r="C457" s="31" t="n">
        <v>0.4027777777777778</v>
      </c>
      <c r="D457" s="32" t="inlineStr">
        <is>
          <t>Eli Brooks</t>
        </is>
      </c>
      <c r="E457" s="32" t="inlineStr">
        <is>
          <t>Men's haircut</t>
        </is>
      </c>
      <c r="F457" s="33" t="inlineStr">
        <is>
          <t>Done</t>
        </is>
      </c>
      <c r="G457" s="27">
        <f>IF(E457="","",MAX(0,IFERROR(INDEX(Services!$C$6:$C$35,MATCH(E457,Services!$B$6:$B$35,0)),0)-N(H457)))</f>
        <v/>
      </c>
      <c r="H457" s="34" t="n"/>
      <c r="I457" s="34" t="n">
        <v>30</v>
      </c>
      <c r="J457" s="33" t="inlineStr">
        <is>
          <t>Card</t>
        </is>
      </c>
      <c r="K457" s="28">
        <f>IF(OR(B457="",F457&lt;&gt;"Done",J457="Package"),"",IF(N(G457)-N(I457)&gt;0,N(G457)-N(I457),""))</f>
        <v/>
      </c>
      <c r="L457" s="32" t="n"/>
      <c r="M457" s="1">
        <f>IF(OR(B457="",D457="",F457="Cancelled"),"",B457+N(C457)+ROW()/10000000)</f>
        <v/>
      </c>
      <c r="N457">
        <f>IF(AND(F457="Done",M457&lt;&gt;""),IF(COUNTIFS(Appointments!$D$6:$D$2005,D457,Appointments!$F$6:$F$2005,"Done",Appointments!$M$6:$M$2005,"&gt;"&amp;M457)=0,1,0),0)</f>
        <v/>
      </c>
      <c r="O457">
        <f>IF(AND(F457="Booked",M457&lt;&gt;"",N(B457)&gt;=TODAY()),IF(COUNTIFS(Appointments!$D$6:$D$2005,D457,Appointments!$F$6:$F$2005,"Booked",Appointments!$B$6:$B$2005,"&gt;="&amp;TODAY(),Appointments!$M$6:$M$2005,"&lt;"&amp;M457)=0,1,0),0)</f>
        <v/>
      </c>
    </row>
    <row r="458">
      <c r="A458" s="1" t="n"/>
      <c r="B458" s="30" t="n">
        <v>46134</v>
      </c>
      <c r="C458" s="31" t="n">
        <v>0.4305555555555556</v>
      </c>
      <c r="D458" s="32" t="inlineStr">
        <is>
          <t>Farah Ali</t>
        </is>
      </c>
      <c r="E458" s="32" t="inlineStr">
        <is>
          <t>Colour</t>
        </is>
      </c>
      <c r="F458" s="33" t="inlineStr">
        <is>
          <t>Done</t>
        </is>
      </c>
      <c r="G458" s="27">
        <f>IF(E458="","",MAX(0,IFERROR(INDEX(Services!$C$6:$C$35,MATCH(E458,Services!$B$6:$B$35,0)),0)-N(H458)))</f>
        <v/>
      </c>
      <c r="H458" s="34" t="n"/>
      <c r="I458" s="34" t="n">
        <v>95</v>
      </c>
      <c r="J458" s="33" t="inlineStr">
        <is>
          <t>Card</t>
        </is>
      </c>
      <c r="K458" s="28">
        <f>IF(OR(B458="",F458&lt;&gt;"Done",J458="Package"),"",IF(N(G458)-N(I458)&gt;0,N(G458)-N(I458),""))</f>
        <v/>
      </c>
      <c r="L458" s="32" t="n"/>
      <c r="M458" s="1">
        <f>IF(OR(B458="",D458="",F458="Cancelled"),"",B458+N(C458)+ROW()/10000000)</f>
        <v/>
      </c>
      <c r="N458">
        <f>IF(AND(F458="Done",M458&lt;&gt;""),IF(COUNTIFS(Appointments!$D$6:$D$2005,D458,Appointments!$F$6:$F$2005,"Done",Appointments!$M$6:$M$2005,"&gt;"&amp;M458)=0,1,0),0)</f>
        <v/>
      </c>
      <c r="O458">
        <f>IF(AND(F458="Booked",M458&lt;&gt;"",N(B458)&gt;=TODAY()),IF(COUNTIFS(Appointments!$D$6:$D$2005,D458,Appointments!$F$6:$F$2005,"Booked",Appointments!$B$6:$B$2005,"&gt;="&amp;TODAY(),Appointments!$M$6:$M$2005,"&lt;"&amp;M458)=0,1,0),0)</f>
        <v/>
      </c>
    </row>
    <row r="459">
      <c r="A459" s="1" t="n"/>
      <c r="B459" s="30" t="n">
        <v>46134</v>
      </c>
      <c r="C459" s="31" t="n">
        <v>0.5208333333333334</v>
      </c>
      <c r="D459" s="32" t="inlineStr">
        <is>
          <t>Gina Reid</t>
        </is>
      </c>
      <c r="E459" s="32" t="inlineStr">
        <is>
          <t>Toner</t>
        </is>
      </c>
      <c r="F459" s="33" t="inlineStr">
        <is>
          <t>Done</t>
        </is>
      </c>
      <c r="G459" s="27">
        <f>IF(E459="","",MAX(0,IFERROR(INDEX(Services!$C$6:$C$35,MATCH(E459,Services!$B$6:$B$35,0)),0)-N(H459)))</f>
        <v/>
      </c>
      <c r="H459" s="34" t="n"/>
      <c r="I459" s="34" t="n">
        <v>40</v>
      </c>
      <c r="J459" s="33" t="inlineStr">
        <is>
          <t>Card</t>
        </is>
      </c>
      <c r="K459" s="28">
        <f>IF(OR(B459="",F459&lt;&gt;"Done",J459="Package"),"",IF(N(G459)-N(I459)&gt;0,N(G459)-N(I459),""))</f>
        <v/>
      </c>
      <c r="L459" s="32" t="n"/>
      <c r="M459" s="1">
        <f>IF(OR(B459="",D459="",F459="Cancelled"),"",B459+N(C459)+ROW()/10000000)</f>
        <v/>
      </c>
      <c r="N459">
        <f>IF(AND(F459="Done",M459&lt;&gt;""),IF(COUNTIFS(Appointments!$D$6:$D$2005,D459,Appointments!$F$6:$F$2005,"Done",Appointments!$M$6:$M$2005,"&gt;"&amp;M459)=0,1,0),0)</f>
        <v/>
      </c>
      <c r="O459">
        <f>IF(AND(F459="Booked",M459&lt;&gt;"",N(B459)&gt;=TODAY()),IF(COUNTIFS(Appointments!$D$6:$D$2005,D459,Appointments!$F$6:$F$2005,"Booked",Appointments!$B$6:$B$2005,"&gt;="&amp;TODAY(),Appointments!$M$6:$M$2005,"&lt;"&amp;M459)=0,1,0),0)</f>
        <v/>
      </c>
    </row>
    <row r="460">
      <c r="A460" s="1" t="n"/>
      <c r="B460" s="30" t="n">
        <v>46134</v>
      </c>
      <c r="C460" s="31" t="n">
        <v>0.5486111111111112</v>
      </c>
      <c r="D460" s="32" t="inlineStr">
        <is>
          <t>Harry Hill</t>
        </is>
      </c>
      <c r="E460" s="32" t="inlineStr">
        <is>
          <t>Men's haircut</t>
        </is>
      </c>
      <c r="F460" s="33" t="inlineStr">
        <is>
          <t>Done</t>
        </is>
      </c>
      <c r="G460" s="27">
        <f>IF(E460="","",MAX(0,IFERROR(INDEX(Services!$C$6:$C$35,MATCH(E460,Services!$B$6:$B$35,0)),0)-N(H460)))</f>
        <v/>
      </c>
      <c r="H460" s="34" t="n"/>
      <c r="I460" s="34" t="n">
        <v>30</v>
      </c>
      <c r="J460" s="33" t="inlineStr">
        <is>
          <t>Cash</t>
        </is>
      </c>
      <c r="K460" s="28">
        <f>IF(OR(B460="",F460&lt;&gt;"Done",J460="Package"),"",IF(N(G460)-N(I460)&gt;0,N(G460)-N(I460),""))</f>
        <v/>
      </c>
      <c r="L460" s="32" t="n"/>
      <c r="M460" s="1">
        <f>IF(OR(B460="",D460="",F460="Cancelled"),"",B460+N(C460)+ROW()/10000000)</f>
        <v/>
      </c>
      <c r="N460">
        <f>IF(AND(F460="Done",M460&lt;&gt;""),IF(COUNTIFS(Appointments!$D$6:$D$2005,D460,Appointments!$F$6:$F$2005,"Done",Appointments!$M$6:$M$2005,"&gt;"&amp;M460)=0,1,0),0)</f>
        <v/>
      </c>
      <c r="O460">
        <f>IF(AND(F460="Booked",M460&lt;&gt;"",N(B460)&gt;=TODAY()),IF(COUNTIFS(Appointments!$D$6:$D$2005,D460,Appointments!$F$6:$F$2005,"Booked",Appointments!$B$6:$B$2005,"&gt;="&amp;TODAY(),Appointments!$M$6:$M$2005,"&lt;"&amp;M460)=0,1,0),0)</f>
        <v/>
      </c>
    </row>
    <row r="461">
      <c r="A461" s="1" t="n"/>
      <c r="B461" s="30" t="n">
        <v>46134</v>
      </c>
      <c r="C461" s="31" t="n">
        <v>0.5763888888888888</v>
      </c>
      <c r="D461" s="32" t="inlineStr">
        <is>
          <t>Luke Reed</t>
        </is>
      </c>
      <c r="E461" s="32" t="inlineStr">
        <is>
          <t>Men's haircut</t>
        </is>
      </c>
      <c r="F461" s="33" t="inlineStr">
        <is>
          <t>Done</t>
        </is>
      </c>
      <c r="G461" s="27">
        <f>IF(E461="","",MAX(0,IFERROR(INDEX(Services!$C$6:$C$35,MATCH(E461,Services!$B$6:$B$35,0)),0)-N(H461)))</f>
        <v/>
      </c>
      <c r="H461" s="34" t="n"/>
      <c r="I461" s="34" t="n">
        <v>30</v>
      </c>
      <c r="J461" s="33" t="inlineStr">
        <is>
          <t>Cash</t>
        </is>
      </c>
      <c r="K461" s="28">
        <f>IF(OR(B461="",F461&lt;&gt;"Done",J461="Package"),"",IF(N(G461)-N(I461)&gt;0,N(G461)-N(I461),""))</f>
        <v/>
      </c>
      <c r="L461" s="32" t="n"/>
      <c r="M461" s="1">
        <f>IF(OR(B461="",D461="",F461="Cancelled"),"",B461+N(C461)+ROW()/10000000)</f>
        <v/>
      </c>
      <c r="N461">
        <f>IF(AND(F461="Done",M461&lt;&gt;""),IF(COUNTIFS(Appointments!$D$6:$D$2005,D461,Appointments!$F$6:$F$2005,"Done",Appointments!$M$6:$M$2005,"&gt;"&amp;M461)=0,1,0),0)</f>
        <v/>
      </c>
      <c r="O461">
        <f>IF(AND(F461="Booked",M461&lt;&gt;"",N(B461)&gt;=TODAY()),IF(COUNTIFS(Appointments!$D$6:$D$2005,D461,Appointments!$F$6:$F$2005,"Booked",Appointments!$B$6:$B$2005,"&gt;="&amp;TODAY(),Appointments!$M$6:$M$2005,"&lt;"&amp;M461)=0,1,0),0)</f>
        <v/>
      </c>
    </row>
    <row r="462">
      <c r="A462" s="1" t="n"/>
      <c r="B462" s="30" t="n">
        <v>46134</v>
      </c>
      <c r="C462" s="31" t="n">
        <v>0.6041666666666666</v>
      </c>
      <c r="D462" s="32" t="inlineStr">
        <is>
          <t>Nick Young</t>
        </is>
      </c>
      <c r="E462" s="32" t="inlineStr">
        <is>
          <t>Men's haircut</t>
        </is>
      </c>
      <c r="F462" s="33" t="inlineStr">
        <is>
          <t>Done</t>
        </is>
      </c>
      <c r="G462" s="27">
        <f>IF(E462="","",MAX(0,IFERROR(INDEX(Services!$C$6:$C$35,MATCH(E462,Services!$B$6:$B$35,0)),0)-N(H462)))</f>
        <v/>
      </c>
      <c r="H462" s="34" t="n"/>
      <c r="I462" s="34" t="n">
        <v>30</v>
      </c>
      <c r="J462" s="33" t="inlineStr">
        <is>
          <t>Card</t>
        </is>
      </c>
      <c r="K462" s="28">
        <f>IF(OR(B462="",F462&lt;&gt;"Done",J462="Package"),"",IF(N(G462)-N(I462)&gt;0,N(G462)-N(I462),""))</f>
        <v/>
      </c>
      <c r="L462" s="32" t="n"/>
      <c r="M462" s="1">
        <f>IF(OR(B462="",D462="",F462="Cancelled"),"",B462+N(C462)+ROW()/10000000)</f>
        <v/>
      </c>
      <c r="N462">
        <f>IF(AND(F462="Done",M462&lt;&gt;""),IF(COUNTIFS(Appointments!$D$6:$D$2005,D462,Appointments!$F$6:$F$2005,"Done",Appointments!$M$6:$M$2005,"&gt;"&amp;M462)=0,1,0),0)</f>
        <v/>
      </c>
      <c r="O462">
        <f>IF(AND(F462="Booked",M462&lt;&gt;"",N(B462)&gt;=TODAY()),IF(COUNTIFS(Appointments!$D$6:$D$2005,D462,Appointments!$F$6:$F$2005,"Booked",Appointments!$B$6:$B$2005,"&gt;="&amp;TODAY(),Appointments!$M$6:$M$2005,"&lt;"&amp;M462)=0,1,0),0)</f>
        <v/>
      </c>
    </row>
    <row r="463">
      <c r="A463" s="1" t="n"/>
      <c r="B463" s="30" t="n">
        <v>46135</v>
      </c>
      <c r="C463" s="31" t="n">
        <v>0.375</v>
      </c>
      <c r="D463" s="32" t="inlineStr">
        <is>
          <t>Nina Cook</t>
        </is>
      </c>
      <c r="E463" s="32" t="inlineStr">
        <is>
          <t>Toner</t>
        </is>
      </c>
      <c r="F463" s="33" t="inlineStr">
        <is>
          <t>Done</t>
        </is>
      </c>
      <c r="G463" s="27">
        <f>IF(E463="","",MAX(0,IFERROR(INDEX(Services!$C$6:$C$35,MATCH(E463,Services!$B$6:$B$35,0)),0)-N(H463)))</f>
        <v/>
      </c>
      <c r="H463" s="34" t="n"/>
      <c r="I463" s="34" t="n">
        <v>40</v>
      </c>
      <c r="J463" s="33" t="inlineStr">
        <is>
          <t>Card</t>
        </is>
      </c>
      <c r="K463" s="28">
        <f>IF(OR(B463="",F463&lt;&gt;"Done",J463="Package"),"",IF(N(G463)-N(I463)&gt;0,N(G463)-N(I463),""))</f>
        <v/>
      </c>
      <c r="L463" s="32" t="n"/>
      <c r="M463" s="1">
        <f>IF(OR(B463="",D463="",F463="Cancelled"),"",B463+N(C463)+ROW()/10000000)</f>
        <v/>
      </c>
      <c r="N463">
        <f>IF(AND(F463="Done",M463&lt;&gt;""),IF(COUNTIFS(Appointments!$D$6:$D$2005,D463,Appointments!$F$6:$F$2005,"Done",Appointments!$M$6:$M$2005,"&gt;"&amp;M463)=0,1,0),0)</f>
        <v/>
      </c>
      <c r="O463">
        <f>IF(AND(F463="Booked",M463&lt;&gt;"",N(B463)&gt;=TODAY()),IF(COUNTIFS(Appointments!$D$6:$D$2005,D463,Appointments!$F$6:$F$2005,"Booked",Appointments!$B$6:$B$2005,"&gt;="&amp;TODAY(),Appointments!$M$6:$M$2005,"&lt;"&amp;M463)=0,1,0),0)</f>
        <v/>
      </c>
    </row>
    <row r="464">
      <c r="A464" s="1" t="n"/>
      <c r="B464" s="30" t="n">
        <v>46135</v>
      </c>
      <c r="C464" s="31" t="n">
        <v>0.4027777777777778</v>
      </c>
      <c r="D464" s="32" t="inlineStr">
        <is>
          <t>Ryan Davies</t>
        </is>
      </c>
      <c r="E464" s="32" t="inlineStr">
        <is>
          <t>Men's haircut</t>
        </is>
      </c>
      <c r="F464" s="33" t="inlineStr">
        <is>
          <t>Done</t>
        </is>
      </c>
      <c r="G464" s="27">
        <f>IF(E464="","",MAX(0,IFERROR(INDEX(Services!$C$6:$C$35,MATCH(E464,Services!$B$6:$B$35,0)),0)-N(H464)))</f>
        <v/>
      </c>
      <c r="H464" s="34" t="n"/>
      <c r="I464" s="34" t="n">
        <v>30</v>
      </c>
      <c r="J464" s="33" t="inlineStr">
        <is>
          <t>Cash</t>
        </is>
      </c>
      <c r="K464" s="28">
        <f>IF(OR(B464="",F464&lt;&gt;"Done",J464="Package"),"",IF(N(G464)-N(I464)&gt;0,N(G464)-N(I464),""))</f>
        <v/>
      </c>
      <c r="L464" s="32" t="n"/>
      <c r="M464" s="1">
        <f>IF(OR(B464="",D464="",F464="Cancelled"),"",B464+N(C464)+ROW()/10000000)</f>
        <v/>
      </c>
      <c r="N464">
        <f>IF(AND(F464="Done",M464&lt;&gt;""),IF(COUNTIFS(Appointments!$D$6:$D$2005,D464,Appointments!$F$6:$F$2005,"Done",Appointments!$M$6:$M$2005,"&gt;"&amp;M464)=0,1,0),0)</f>
        <v/>
      </c>
      <c r="O464">
        <f>IF(AND(F464="Booked",M464&lt;&gt;"",N(B464)&gt;=TODAY()),IF(COUNTIFS(Appointments!$D$6:$D$2005,D464,Appointments!$F$6:$F$2005,"Booked",Appointments!$B$6:$B$2005,"&gt;="&amp;TODAY(),Appointments!$M$6:$M$2005,"&lt;"&amp;M464)=0,1,0),0)</f>
        <v/>
      </c>
    </row>
    <row r="465">
      <c r="A465" s="1" t="n"/>
      <c r="B465" s="30" t="n">
        <v>46135</v>
      </c>
      <c r="C465" s="31" t="n">
        <v>0.4305555555555556</v>
      </c>
      <c r="D465" s="32" t="inlineStr">
        <is>
          <t>Tina Cook</t>
        </is>
      </c>
      <c r="E465" s="32" t="inlineStr">
        <is>
          <t>Women's haircut</t>
        </is>
      </c>
      <c r="F465" s="33" t="inlineStr">
        <is>
          <t>Done</t>
        </is>
      </c>
      <c r="G465" s="27">
        <f>IF(E465="","",MAX(0,IFERROR(INDEX(Services!$C$6:$C$35,MATCH(E465,Services!$B$6:$B$35,0)),0)-N(H465)))</f>
        <v/>
      </c>
      <c r="H465" s="34" t="n"/>
      <c r="I465" s="34" t="n">
        <v>55</v>
      </c>
      <c r="J465" s="33" t="inlineStr">
        <is>
          <t>Cash</t>
        </is>
      </c>
      <c r="K465" s="28">
        <f>IF(OR(B465="",F465&lt;&gt;"Done",J465="Package"),"",IF(N(G465)-N(I465)&gt;0,N(G465)-N(I465),""))</f>
        <v/>
      </c>
      <c r="L465" s="32" t="n"/>
      <c r="M465" s="1">
        <f>IF(OR(B465="",D465="",F465="Cancelled"),"",B465+N(C465)+ROW()/10000000)</f>
        <v/>
      </c>
      <c r="N465">
        <f>IF(AND(F465="Done",M465&lt;&gt;""),IF(COUNTIFS(Appointments!$D$6:$D$2005,D465,Appointments!$F$6:$F$2005,"Done",Appointments!$M$6:$M$2005,"&gt;"&amp;M465)=0,1,0),0)</f>
        <v/>
      </c>
      <c r="O465">
        <f>IF(AND(F465="Booked",M465&lt;&gt;"",N(B465)&gt;=TODAY()),IF(COUNTIFS(Appointments!$D$6:$D$2005,D465,Appointments!$F$6:$F$2005,"Booked",Appointments!$B$6:$B$2005,"&gt;="&amp;TODAY(),Appointments!$M$6:$M$2005,"&lt;"&amp;M465)=0,1,0),0)</f>
        <v/>
      </c>
    </row>
    <row r="466">
      <c r="A466" s="1" t="n"/>
      <c r="B466" s="30" t="n">
        <v>46136</v>
      </c>
      <c r="C466" s="31" t="n">
        <v>0.375</v>
      </c>
      <c r="D466" s="32" t="inlineStr">
        <is>
          <t>Chris Ellis</t>
        </is>
      </c>
      <c r="E466" s="32" t="inlineStr">
        <is>
          <t>Men's haircut</t>
        </is>
      </c>
      <c r="F466" s="33" t="inlineStr">
        <is>
          <t>Done</t>
        </is>
      </c>
      <c r="G466" s="27">
        <f>IF(E466="","",MAX(0,IFERROR(INDEX(Services!$C$6:$C$35,MATCH(E466,Services!$B$6:$B$35,0)),0)-N(H466)))</f>
        <v/>
      </c>
      <c r="H466" s="34" t="n"/>
      <c r="I466" s="34" t="n">
        <v>30</v>
      </c>
      <c r="J466" s="33" t="inlineStr">
        <is>
          <t>Cash</t>
        </is>
      </c>
      <c r="K466" s="28">
        <f>IF(OR(B466="",F466&lt;&gt;"Done",J466="Package"),"",IF(N(G466)-N(I466)&gt;0,N(G466)-N(I466),""))</f>
        <v/>
      </c>
      <c r="L466" s="32" t="n"/>
      <c r="M466" s="1">
        <f>IF(OR(B466="",D466="",F466="Cancelled"),"",B466+N(C466)+ROW()/10000000)</f>
        <v/>
      </c>
      <c r="N466">
        <f>IF(AND(F466="Done",M466&lt;&gt;""),IF(COUNTIFS(Appointments!$D$6:$D$2005,D466,Appointments!$F$6:$F$2005,"Done",Appointments!$M$6:$M$2005,"&gt;"&amp;M466)=0,1,0),0)</f>
        <v/>
      </c>
      <c r="O466">
        <f>IF(AND(F466="Booked",M466&lt;&gt;"",N(B466)&gt;=TODAY()),IF(COUNTIFS(Appointments!$D$6:$D$2005,D466,Appointments!$F$6:$F$2005,"Booked",Appointments!$B$6:$B$2005,"&gt;="&amp;TODAY(),Appointments!$M$6:$M$2005,"&lt;"&amp;M466)=0,1,0),0)</f>
        <v/>
      </c>
    </row>
    <row r="467">
      <c r="A467" s="1" t="n"/>
      <c r="B467" s="30" t="n">
        <v>46136</v>
      </c>
      <c r="C467" s="31" t="n">
        <v>0.4027777777777778</v>
      </c>
      <c r="D467" s="32" t="inlineStr">
        <is>
          <t>Fiona Fox</t>
        </is>
      </c>
      <c r="E467" s="32" t="inlineStr">
        <is>
          <t>Women's haircut</t>
        </is>
      </c>
      <c r="F467" s="33" t="inlineStr">
        <is>
          <t>Done</t>
        </is>
      </c>
      <c r="G467" s="27">
        <f>IF(E467="","",MAX(0,IFERROR(INDEX(Services!$C$6:$C$35,MATCH(E467,Services!$B$6:$B$35,0)),0)-N(H467)))</f>
        <v/>
      </c>
      <c r="H467" s="34" t="n"/>
      <c r="I467" s="34" t="n">
        <v>55</v>
      </c>
      <c r="J467" s="33" t="inlineStr">
        <is>
          <t>Card</t>
        </is>
      </c>
      <c r="K467" s="28">
        <f>IF(OR(B467="",F467&lt;&gt;"Done",J467="Package"),"",IF(N(G467)-N(I467)&gt;0,N(G467)-N(I467),""))</f>
        <v/>
      </c>
      <c r="L467" s="32" t="n"/>
      <c r="M467" s="1">
        <f>IF(OR(B467="",D467="",F467="Cancelled"),"",B467+N(C467)+ROW()/10000000)</f>
        <v/>
      </c>
      <c r="N467">
        <f>IF(AND(F467="Done",M467&lt;&gt;""),IF(COUNTIFS(Appointments!$D$6:$D$2005,D467,Appointments!$F$6:$F$2005,"Done",Appointments!$M$6:$M$2005,"&gt;"&amp;M467)=0,1,0),0)</f>
        <v/>
      </c>
      <c r="O467">
        <f>IF(AND(F467="Booked",M467&lt;&gt;"",N(B467)&gt;=TODAY()),IF(COUNTIFS(Appointments!$D$6:$D$2005,D467,Appointments!$F$6:$F$2005,"Booked",Appointments!$B$6:$B$2005,"&gt;="&amp;TODAY(),Appointments!$M$6:$M$2005,"&lt;"&amp;M467)=0,1,0),0)</f>
        <v/>
      </c>
    </row>
    <row r="468">
      <c r="A468" s="1" t="n"/>
      <c r="B468" s="30" t="n">
        <v>46136</v>
      </c>
      <c r="C468" s="31" t="n">
        <v>0.4513888888888889</v>
      </c>
      <c r="D468" s="32" t="inlineStr">
        <is>
          <t>Jade Hughes</t>
        </is>
      </c>
      <c r="E468" s="32" t="inlineStr">
        <is>
          <t>Women's haircut</t>
        </is>
      </c>
      <c r="F468" s="33" t="inlineStr">
        <is>
          <t>Done</t>
        </is>
      </c>
      <c r="G468" s="27">
        <f>IF(E468="","",MAX(0,IFERROR(INDEX(Services!$C$6:$C$35,MATCH(E468,Services!$B$6:$B$35,0)),0)-N(H468)))</f>
        <v/>
      </c>
      <c r="H468" s="34" t="n"/>
      <c r="I468" s="34" t="n">
        <v>55</v>
      </c>
      <c r="J468" s="33" t="inlineStr">
        <is>
          <t>Card</t>
        </is>
      </c>
      <c r="K468" s="28">
        <f>IF(OR(B468="",F468&lt;&gt;"Done",J468="Package"),"",IF(N(G468)-N(I468)&gt;0,N(G468)-N(I468),""))</f>
        <v/>
      </c>
      <c r="L468" s="32" t="n"/>
      <c r="M468" s="1">
        <f>IF(OR(B468="",D468="",F468="Cancelled"),"",B468+N(C468)+ROW()/10000000)</f>
        <v/>
      </c>
      <c r="N468">
        <f>IF(AND(F468="Done",M468&lt;&gt;""),IF(COUNTIFS(Appointments!$D$6:$D$2005,D468,Appointments!$F$6:$F$2005,"Done",Appointments!$M$6:$M$2005,"&gt;"&amp;M468)=0,1,0),0)</f>
        <v/>
      </c>
      <c r="O468">
        <f>IF(AND(F468="Booked",M468&lt;&gt;"",N(B468)&gt;=TODAY()),IF(COUNTIFS(Appointments!$D$6:$D$2005,D468,Appointments!$F$6:$F$2005,"Booked",Appointments!$B$6:$B$2005,"&gt;="&amp;TODAY(),Appointments!$M$6:$M$2005,"&lt;"&amp;M468)=0,1,0),0)</f>
        <v/>
      </c>
    </row>
    <row r="469">
      <c r="A469" s="1" t="n"/>
      <c r="B469" s="30" t="n">
        <v>46136</v>
      </c>
      <c r="C469" s="31" t="n">
        <v>0.5</v>
      </c>
      <c r="D469" s="32" t="inlineStr">
        <is>
          <t>Luke Hall</t>
        </is>
      </c>
      <c r="E469" s="32" t="inlineStr">
        <is>
          <t>Men's haircut</t>
        </is>
      </c>
      <c r="F469" s="33" t="inlineStr">
        <is>
          <t>Done</t>
        </is>
      </c>
      <c r="G469" s="27">
        <f>IF(E469="","",MAX(0,IFERROR(INDEX(Services!$C$6:$C$35,MATCH(E469,Services!$B$6:$B$35,0)),0)-N(H469)))</f>
        <v/>
      </c>
      <c r="H469" s="34" t="n"/>
      <c r="I469" s="34" t="n">
        <v>30</v>
      </c>
      <c r="J469" s="33" t="inlineStr">
        <is>
          <t>Cash</t>
        </is>
      </c>
      <c r="K469" s="28">
        <f>IF(OR(B469="",F469&lt;&gt;"Done",J469="Package"),"",IF(N(G469)-N(I469)&gt;0,N(G469)-N(I469),""))</f>
        <v/>
      </c>
      <c r="L469" s="32" t="n"/>
      <c r="M469" s="1">
        <f>IF(OR(B469="",D469="",F469="Cancelled"),"",B469+N(C469)+ROW()/10000000)</f>
        <v/>
      </c>
      <c r="N469">
        <f>IF(AND(F469="Done",M469&lt;&gt;""),IF(COUNTIFS(Appointments!$D$6:$D$2005,D469,Appointments!$F$6:$F$2005,"Done",Appointments!$M$6:$M$2005,"&gt;"&amp;M469)=0,1,0),0)</f>
        <v/>
      </c>
      <c r="O469">
        <f>IF(AND(F469="Booked",M469&lt;&gt;"",N(B469)&gt;=TODAY()),IF(COUNTIFS(Appointments!$D$6:$D$2005,D469,Appointments!$F$6:$F$2005,"Booked",Appointments!$B$6:$B$2005,"&gt;="&amp;TODAY(),Appointments!$M$6:$M$2005,"&lt;"&amp;M469)=0,1,0),0)</f>
        <v/>
      </c>
    </row>
    <row r="470">
      <c r="A470" s="1" t="n"/>
      <c r="B470" s="30" t="n">
        <v>46137</v>
      </c>
      <c r="C470" s="31" t="n">
        <v>0.375</v>
      </c>
      <c r="D470" s="32" t="inlineStr">
        <is>
          <t>Anna Rossi</t>
        </is>
      </c>
      <c r="E470" s="32" t="inlineStr">
        <is>
          <t>Women's haircut</t>
        </is>
      </c>
      <c r="F470" s="33" t="inlineStr">
        <is>
          <t>Done</t>
        </is>
      </c>
      <c r="G470" s="27">
        <f>IF(E470="","",MAX(0,IFERROR(INDEX(Services!$C$6:$C$35,MATCH(E470,Services!$B$6:$B$35,0)),0)-N(H470)))</f>
        <v/>
      </c>
      <c r="H470" s="34" t="n"/>
      <c r="I470" s="34" t="n">
        <v>55</v>
      </c>
      <c r="J470" s="33" t="inlineStr">
        <is>
          <t>Card</t>
        </is>
      </c>
      <c r="K470" s="28">
        <f>IF(OR(B470="",F470&lt;&gt;"Done",J470="Package"),"",IF(N(G470)-N(I470)&gt;0,N(G470)-N(I470),""))</f>
        <v/>
      </c>
      <c r="L470" s="32" t="n"/>
      <c r="M470" s="1">
        <f>IF(OR(B470="",D470="",F470="Cancelled"),"",B470+N(C470)+ROW()/10000000)</f>
        <v/>
      </c>
      <c r="N470">
        <f>IF(AND(F470="Done",M470&lt;&gt;""),IF(COUNTIFS(Appointments!$D$6:$D$2005,D470,Appointments!$F$6:$F$2005,"Done",Appointments!$M$6:$M$2005,"&gt;"&amp;M470)=0,1,0),0)</f>
        <v/>
      </c>
      <c r="O470">
        <f>IF(AND(F470="Booked",M470&lt;&gt;"",N(B470)&gt;=TODAY()),IF(COUNTIFS(Appointments!$D$6:$D$2005,D470,Appointments!$F$6:$F$2005,"Booked",Appointments!$B$6:$B$2005,"&gt;="&amp;TODAY(),Appointments!$M$6:$M$2005,"&lt;"&amp;M470)=0,1,0),0)</f>
        <v/>
      </c>
    </row>
    <row r="471">
      <c r="A471" s="1" t="n"/>
      <c r="B471" s="30" t="n">
        <v>46137</v>
      </c>
      <c r="C471" s="31" t="n">
        <v>0.4236111111111111</v>
      </c>
      <c r="D471" s="32" t="inlineStr">
        <is>
          <t>Harry Cox</t>
        </is>
      </c>
      <c r="E471" s="32" t="inlineStr">
        <is>
          <t>Men's haircut</t>
        </is>
      </c>
      <c r="F471" s="33" t="inlineStr">
        <is>
          <t>Done</t>
        </is>
      </c>
      <c r="G471" s="27">
        <f>IF(E471="","",MAX(0,IFERROR(INDEX(Services!$C$6:$C$35,MATCH(E471,Services!$B$6:$B$35,0)),0)-N(H471)))</f>
        <v/>
      </c>
      <c r="H471" s="34" t="n"/>
      <c r="I471" s="34" t="n">
        <v>30</v>
      </c>
      <c r="J471" s="33" t="inlineStr">
        <is>
          <t>Card</t>
        </is>
      </c>
      <c r="K471" s="28">
        <f>IF(OR(B471="",F471&lt;&gt;"Done",J471="Package"),"",IF(N(G471)-N(I471)&gt;0,N(G471)-N(I471),""))</f>
        <v/>
      </c>
      <c r="L471" s="32" t="n"/>
      <c r="M471" s="1">
        <f>IF(OR(B471="",D471="",F471="Cancelled"),"",B471+N(C471)+ROW()/10000000)</f>
        <v/>
      </c>
      <c r="N471">
        <f>IF(AND(F471="Done",M471&lt;&gt;""),IF(COUNTIFS(Appointments!$D$6:$D$2005,D471,Appointments!$F$6:$F$2005,"Done",Appointments!$M$6:$M$2005,"&gt;"&amp;M471)=0,1,0),0)</f>
        <v/>
      </c>
      <c r="O471">
        <f>IF(AND(F471="Booked",M471&lt;&gt;"",N(B471)&gt;=TODAY()),IF(COUNTIFS(Appointments!$D$6:$D$2005,D471,Appointments!$F$6:$F$2005,"Booked",Appointments!$B$6:$B$2005,"&gt;="&amp;TODAY(),Appointments!$M$6:$M$2005,"&lt;"&amp;M471)=0,1,0),0)</f>
        <v/>
      </c>
    </row>
    <row r="472">
      <c r="A472" s="1" t="n"/>
      <c r="B472" s="30" t="n">
        <v>46137</v>
      </c>
      <c r="C472" s="31" t="n">
        <v>0.4513888888888889</v>
      </c>
      <c r="D472" s="32" t="inlineStr">
        <is>
          <t>Jade Hill</t>
        </is>
      </c>
      <c r="E472" s="32" t="inlineStr">
        <is>
          <t>Women's haircut</t>
        </is>
      </c>
      <c r="F472" s="33" t="inlineStr">
        <is>
          <t>Cancelled</t>
        </is>
      </c>
      <c r="G472" s="27">
        <f>IF(E472="","",MAX(0,IFERROR(INDEX(Services!$C$6:$C$35,MATCH(E472,Services!$B$6:$B$35,0)),0)-N(H472)))</f>
        <v/>
      </c>
      <c r="H472" s="34" t="n"/>
      <c r="I472" s="34" t="n"/>
      <c r="J472" s="33" t="n"/>
      <c r="K472" s="28">
        <f>IF(OR(B472="",F472&lt;&gt;"Done",J472="Package"),"",IF(N(G472)-N(I472)&gt;0,N(G472)-N(I472),""))</f>
        <v/>
      </c>
      <c r="L472" s="32" t="n"/>
      <c r="M472" s="1">
        <f>IF(OR(B472="",D472="",F472="Cancelled"),"",B472+N(C472)+ROW()/10000000)</f>
        <v/>
      </c>
      <c r="N472">
        <f>IF(AND(F472="Done",M472&lt;&gt;""),IF(COUNTIFS(Appointments!$D$6:$D$2005,D472,Appointments!$F$6:$F$2005,"Done",Appointments!$M$6:$M$2005,"&gt;"&amp;M472)=0,1,0),0)</f>
        <v/>
      </c>
      <c r="O472">
        <f>IF(AND(F472="Booked",M472&lt;&gt;"",N(B472)&gt;=TODAY()),IF(COUNTIFS(Appointments!$D$6:$D$2005,D472,Appointments!$F$6:$F$2005,"Booked",Appointments!$B$6:$B$2005,"&gt;="&amp;TODAY(),Appointments!$M$6:$M$2005,"&lt;"&amp;M472)=0,1,0),0)</f>
        <v/>
      </c>
    </row>
    <row r="473">
      <c r="A473" s="1" t="n"/>
      <c r="B473" s="30" t="n">
        <v>46137</v>
      </c>
      <c r="C473" s="31" t="n">
        <v>0.5</v>
      </c>
      <c r="D473" s="32" t="inlineStr">
        <is>
          <t>Jon Reid</t>
        </is>
      </c>
      <c r="E473" s="32" t="inlineStr">
        <is>
          <t>Men's haircut</t>
        </is>
      </c>
      <c r="F473" s="33" t="inlineStr">
        <is>
          <t>Done</t>
        </is>
      </c>
      <c r="G473" s="27">
        <f>IF(E473="","",MAX(0,IFERROR(INDEX(Services!$C$6:$C$35,MATCH(E473,Services!$B$6:$B$35,0)),0)-N(H473)))</f>
        <v/>
      </c>
      <c r="H473" s="34" t="n"/>
      <c r="I473" s="34" t="n">
        <v>30</v>
      </c>
      <c r="J473" s="33" t="inlineStr">
        <is>
          <t>Card</t>
        </is>
      </c>
      <c r="K473" s="28">
        <f>IF(OR(B473="",F473&lt;&gt;"Done",J473="Package"),"",IF(N(G473)-N(I473)&gt;0,N(G473)-N(I473),""))</f>
        <v/>
      </c>
      <c r="L473" s="32" t="n"/>
      <c r="M473" s="1">
        <f>IF(OR(B473="",D473="",F473="Cancelled"),"",B473+N(C473)+ROW()/10000000)</f>
        <v/>
      </c>
      <c r="N473">
        <f>IF(AND(F473="Done",M473&lt;&gt;""),IF(COUNTIFS(Appointments!$D$6:$D$2005,D473,Appointments!$F$6:$F$2005,"Done",Appointments!$M$6:$M$2005,"&gt;"&amp;M473)=0,1,0),0)</f>
        <v/>
      </c>
      <c r="O473">
        <f>IF(AND(F473="Booked",M473&lt;&gt;"",N(B473)&gt;=TODAY()),IF(COUNTIFS(Appointments!$D$6:$D$2005,D473,Appointments!$F$6:$F$2005,"Booked",Appointments!$B$6:$B$2005,"&gt;="&amp;TODAY(),Appointments!$M$6:$M$2005,"&lt;"&amp;M473)=0,1,0),0)</f>
        <v/>
      </c>
    </row>
    <row r="474">
      <c r="A474" s="1" t="n"/>
      <c r="B474" s="30" t="n">
        <v>46137</v>
      </c>
      <c r="C474" s="31" t="n">
        <v>0.5277777777777778</v>
      </c>
      <c r="D474" s="32" t="inlineStr">
        <is>
          <t>Noah Taylor</t>
        </is>
      </c>
      <c r="E474" s="32" t="inlineStr">
        <is>
          <t>Men's haircut</t>
        </is>
      </c>
      <c r="F474" s="33" t="inlineStr">
        <is>
          <t>Done</t>
        </is>
      </c>
      <c r="G474" s="27">
        <f>IF(E474="","",MAX(0,IFERROR(INDEX(Services!$C$6:$C$35,MATCH(E474,Services!$B$6:$B$35,0)),0)-N(H474)))</f>
        <v/>
      </c>
      <c r="H474" s="34" t="n"/>
      <c r="I474" s="34" t="n">
        <v>30</v>
      </c>
      <c r="J474" s="33" t="inlineStr">
        <is>
          <t>Cash</t>
        </is>
      </c>
      <c r="K474" s="28">
        <f>IF(OR(B474="",F474&lt;&gt;"Done",J474="Package"),"",IF(N(G474)-N(I474)&gt;0,N(G474)-N(I474),""))</f>
        <v/>
      </c>
      <c r="L474" s="32" t="n"/>
      <c r="M474" s="1">
        <f>IF(OR(B474="",D474="",F474="Cancelled"),"",B474+N(C474)+ROW()/10000000)</f>
        <v/>
      </c>
      <c r="N474">
        <f>IF(AND(F474="Done",M474&lt;&gt;""),IF(COUNTIFS(Appointments!$D$6:$D$2005,D474,Appointments!$F$6:$F$2005,"Done",Appointments!$M$6:$M$2005,"&gt;"&amp;M474)=0,1,0),0)</f>
        <v/>
      </c>
      <c r="O474">
        <f>IF(AND(F474="Booked",M474&lt;&gt;"",N(B474)&gt;=TODAY()),IF(COUNTIFS(Appointments!$D$6:$D$2005,D474,Appointments!$F$6:$F$2005,"Booked",Appointments!$B$6:$B$2005,"&gt;="&amp;TODAY(),Appointments!$M$6:$M$2005,"&lt;"&amp;M474)=0,1,0),0)</f>
        <v/>
      </c>
    </row>
    <row r="475">
      <c r="A475" s="1" t="n"/>
      <c r="B475" s="30" t="n">
        <v>46137</v>
      </c>
      <c r="C475" s="31" t="n">
        <v>0.5555555555555556</v>
      </c>
      <c r="D475" s="32" t="inlineStr">
        <is>
          <t>Noah Taylor</t>
        </is>
      </c>
      <c r="E475" s="32" t="inlineStr">
        <is>
          <t>Kids haircut</t>
        </is>
      </c>
      <c r="F475" s="33" t="inlineStr">
        <is>
          <t>Done</t>
        </is>
      </c>
      <c r="G475" s="27">
        <f>IF(E475="","",MAX(0,IFERROR(INDEX(Services!$C$6:$C$35,MATCH(E475,Services!$B$6:$B$35,0)),0)-N(H475)))</f>
        <v/>
      </c>
      <c r="H475" s="34" t="n"/>
      <c r="I475" s="34" t="n">
        <v>20</v>
      </c>
      <c r="J475" s="33" t="inlineStr">
        <is>
          <t>Cash</t>
        </is>
      </c>
      <c r="K475" s="28">
        <f>IF(OR(B475="",F475&lt;&gt;"Done",J475="Package"),"",IF(N(G475)-N(I475)&gt;0,N(G475)-N(I475),""))</f>
        <v/>
      </c>
      <c r="L475" s="32" t="n"/>
      <c r="M475" s="1">
        <f>IF(OR(B475="",D475="",F475="Cancelled"),"",B475+N(C475)+ROW()/10000000)</f>
        <v/>
      </c>
      <c r="N475">
        <f>IF(AND(F475="Done",M475&lt;&gt;""),IF(COUNTIFS(Appointments!$D$6:$D$2005,D475,Appointments!$F$6:$F$2005,"Done",Appointments!$M$6:$M$2005,"&gt;"&amp;M475)=0,1,0),0)</f>
        <v/>
      </c>
      <c r="O475">
        <f>IF(AND(F475="Booked",M475&lt;&gt;"",N(B475)&gt;=TODAY()),IF(COUNTIFS(Appointments!$D$6:$D$2005,D475,Appointments!$F$6:$F$2005,"Booked",Appointments!$B$6:$B$2005,"&gt;="&amp;TODAY(),Appointments!$M$6:$M$2005,"&lt;"&amp;M475)=0,1,0),0)</f>
        <v/>
      </c>
    </row>
    <row r="476">
      <c r="A476" s="1" t="n"/>
      <c r="B476" s="30" t="n">
        <v>46137</v>
      </c>
      <c r="C476" s="31" t="n">
        <v>0.5833333333333334</v>
      </c>
      <c r="D476" s="32" t="inlineStr">
        <is>
          <t>Sara Ward</t>
        </is>
      </c>
      <c r="E476" s="32" t="inlineStr">
        <is>
          <t>Women's haircut</t>
        </is>
      </c>
      <c r="F476" s="33" t="inlineStr">
        <is>
          <t>Done</t>
        </is>
      </c>
      <c r="G476" s="27">
        <f>IF(E476="","",MAX(0,IFERROR(INDEX(Services!$C$6:$C$35,MATCH(E476,Services!$B$6:$B$35,0)),0)-N(H476)))</f>
        <v/>
      </c>
      <c r="H476" s="34" t="n"/>
      <c r="I476" s="34" t="n">
        <v>55</v>
      </c>
      <c r="J476" s="33" t="inlineStr">
        <is>
          <t>App</t>
        </is>
      </c>
      <c r="K476" s="28">
        <f>IF(OR(B476="",F476&lt;&gt;"Done",J476="Package"),"",IF(N(G476)-N(I476)&gt;0,N(G476)-N(I476),""))</f>
        <v/>
      </c>
      <c r="L476" s="32" t="n"/>
      <c r="M476" s="1">
        <f>IF(OR(B476="",D476="",F476="Cancelled"),"",B476+N(C476)+ROW()/10000000)</f>
        <v/>
      </c>
      <c r="N476">
        <f>IF(AND(F476="Done",M476&lt;&gt;""),IF(COUNTIFS(Appointments!$D$6:$D$2005,D476,Appointments!$F$6:$F$2005,"Done",Appointments!$M$6:$M$2005,"&gt;"&amp;M476)=0,1,0),0)</f>
        <v/>
      </c>
      <c r="O476">
        <f>IF(AND(F476="Booked",M476&lt;&gt;"",N(B476)&gt;=TODAY()),IF(COUNTIFS(Appointments!$D$6:$D$2005,D476,Appointments!$F$6:$F$2005,"Booked",Appointments!$B$6:$B$2005,"&gt;="&amp;TODAY(),Appointments!$M$6:$M$2005,"&lt;"&amp;M476)=0,1,0),0)</f>
        <v/>
      </c>
    </row>
    <row r="477">
      <c r="A477" s="1" t="n"/>
      <c r="B477" s="30" t="n">
        <v>46137</v>
      </c>
      <c r="C477" s="31" t="n">
        <v>0.6319444444444444</v>
      </c>
      <c r="D477" s="32" t="inlineStr">
        <is>
          <t>Tom Davies</t>
        </is>
      </c>
      <c r="E477" s="32" t="inlineStr">
        <is>
          <t>Men's haircut</t>
        </is>
      </c>
      <c r="F477" s="33" t="inlineStr">
        <is>
          <t>Done</t>
        </is>
      </c>
      <c r="G477" s="27">
        <f>IF(E477="","",MAX(0,IFERROR(INDEX(Services!$C$6:$C$35,MATCH(E477,Services!$B$6:$B$35,0)),0)-N(H477)))</f>
        <v/>
      </c>
      <c r="H477" s="34" t="n"/>
      <c r="I477" s="34" t="n">
        <v>30</v>
      </c>
      <c r="J477" s="33" t="inlineStr">
        <is>
          <t>Card</t>
        </is>
      </c>
      <c r="K477" s="28">
        <f>IF(OR(B477="",F477&lt;&gt;"Done",J477="Package"),"",IF(N(G477)-N(I477)&gt;0,N(G477)-N(I477),""))</f>
        <v/>
      </c>
      <c r="L477" s="32" t="n"/>
      <c r="M477" s="1">
        <f>IF(OR(B477="",D477="",F477="Cancelled"),"",B477+N(C477)+ROW()/10000000)</f>
        <v/>
      </c>
      <c r="N477">
        <f>IF(AND(F477="Done",M477&lt;&gt;""),IF(COUNTIFS(Appointments!$D$6:$D$2005,D477,Appointments!$F$6:$F$2005,"Done",Appointments!$M$6:$M$2005,"&gt;"&amp;M477)=0,1,0),0)</f>
        <v/>
      </c>
      <c r="O477">
        <f>IF(AND(F477="Booked",M477&lt;&gt;"",N(B477)&gt;=TODAY()),IF(COUNTIFS(Appointments!$D$6:$D$2005,D477,Appointments!$F$6:$F$2005,"Booked",Appointments!$B$6:$B$2005,"&gt;="&amp;TODAY(),Appointments!$M$6:$M$2005,"&lt;"&amp;M477)=0,1,0),0)</f>
        <v/>
      </c>
    </row>
    <row r="478">
      <c r="A478" s="1" t="n"/>
      <c r="B478" s="30" t="n">
        <v>46140</v>
      </c>
      <c r="C478" s="31" t="n">
        <v>0.375</v>
      </c>
      <c r="D478" s="32" t="inlineStr">
        <is>
          <t>George Mason</t>
        </is>
      </c>
      <c r="E478" s="32" t="inlineStr">
        <is>
          <t>Men's haircut</t>
        </is>
      </c>
      <c r="F478" s="33" t="inlineStr">
        <is>
          <t>Done</t>
        </is>
      </c>
      <c r="G478" s="27">
        <f>IF(E478="","",MAX(0,IFERROR(INDEX(Services!$C$6:$C$35,MATCH(E478,Services!$B$6:$B$35,0)),0)-N(H478)))</f>
        <v/>
      </c>
      <c r="H478" s="34" t="n"/>
      <c r="I478" s="34" t="n">
        <v>30</v>
      </c>
      <c r="J478" s="33" t="inlineStr">
        <is>
          <t>Transfer</t>
        </is>
      </c>
      <c r="K478" s="28">
        <f>IF(OR(B478="",F478&lt;&gt;"Done",J478="Package"),"",IF(N(G478)-N(I478)&gt;0,N(G478)-N(I478),""))</f>
        <v/>
      </c>
      <c r="L478" s="32" t="n"/>
      <c r="M478" s="1">
        <f>IF(OR(B478="",D478="",F478="Cancelled"),"",B478+N(C478)+ROW()/10000000)</f>
        <v/>
      </c>
      <c r="N478">
        <f>IF(AND(F478="Done",M478&lt;&gt;""),IF(COUNTIFS(Appointments!$D$6:$D$2005,D478,Appointments!$F$6:$F$2005,"Done",Appointments!$M$6:$M$2005,"&gt;"&amp;M478)=0,1,0),0)</f>
        <v/>
      </c>
      <c r="O478">
        <f>IF(AND(F478="Booked",M478&lt;&gt;"",N(B478)&gt;=TODAY()),IF(COUNTIFS(Appointments!$D$6:$D$2005,D478,Appointments!$F$6:$F$2005,"Booked",Appointments!$B$6:$B$2005,"&gt;="&amp;TODAY(),Appointments!$M$6:$M$2005,"&lt;"&amp;M478)=0,1,0),0)</f>
        <v/>
      </c>
    </row>
    <row r="479">
      <c r="A479" s="1" t="n"/>
      <c r="B479" s="30" t="n">
        <v>46140</v>
      </c>
      <c r="C479" s="31" t="n">
        <v>0.4027777777777778</v>
      </c>
      <c r="D479" s="32" t="inlineStr">
        <is>
          <t>Harry Owens</t>
        </is>
      </c>
      <c r="E479" s="32" t="inlineStr">
        <is>
          <t>Men's haircut</t>
        </is>
      </c>
      <c r="F479" s="33" t="inlineStr">
        <is>
          <t>Done</t>
        </is>
      </c>
      <c r="G479" s="27">
        <f>IF(E479="","",MAX(0,IFERROR(INDEX(Services!$C$6:$C$35,MATCH(E479,Services!$B$6:$B$35,0)),0)-N(H479)))</f>
        <v/>
      </c>
      <c r="H479" s="34" t="n"/>
      <c r="I479" s="34" t="n">
        <v>30</v>
      </c>
      <c r="J479" s="33" t="inlineStr">
        <is>
          <t>Card</t>
        </is>
      </c>
      <c r="K479" s="28">
        <f>IF(OR(B479="",F479&lt;&gt;"Done",J479="Package"),"",IF(N(G479)-N(I479)&gt;0,N(G479)-N(I479),""))</f>
        <v/>
      </c>
      <c r="L479" s="32" t="n"/>
      <c r="M479" s="1">
        <f>IF(OR(B479="",D479="",F479="Cancelled"),"",B479+N(C479)+ROW()/10000000)</f>
        <v/>
      </c>
      <c r="N479">
        <f>IF(AND(F479="Done",M479&lt;&gt;""),IF(COUNTIFS(Appointments!$D$6:$D$2005,D479,Appointments!$F$6:$F$2005,"Done",Appointments!$M$6:$M$2005,"&gt;"&amp;M479)=0,1,0),0)</f>
        <v/>
      </c>
      <c r="O479">
        <f>IF(AND(F479="Booked",M479&lt;&gt;"",N(B479)&gt;=TODAY()),IF(COUNTIFS(Appointments!$D$6:$D$2005,D479,Appointments!$F$6:$F$2005,"Booked",Appointments!$B$6:$B$2005,"&gt;="&amp;TODAY(),Appointments!$M$6:$M$2005,"&lt;"&amp;M479)=0,1,0),0)</f>
        <v/>
      </c>
    </row>
    <row r="480">
      <c r="A480" s="1" t="n"/>
      <c r="B480" s="30" t="n">
        <v>46140</v>
      </c>
      <c r="C480" s="31" t="n">
        <v>0.4305555555555556</v>
      </c>
      <c r="D480" s="32" t="inlineStr">
        <is>
          <t>Kara Adams</t>
        </is>
      </c>
      <c r="E480" s="32" t="inlineStr">
        <is>
          <t>Women's haircut</t>
        </is>
      </c>
      <c r="F480" s="33" t="inlineStr">
        <is>
          <t>Done</t>
        </is>
      </c>
      <c r="G480" s="27">
        <f>IF(E480="","",MAX(0,IFERROR(INDEX(Services!$C$6:$C$35,MATCH(E480,Services!$B$6:$B$35,0)),0)-N(H480)))</f>
        <v/>
      </c>
      <c r="H480" s="34" t="n"/>
      <c r="I480" s="34" t="n">
        <v>55</v>
      </c>
      <c r="J480" s="33" t="inlineStr">
        <is>
          <t>Cash</t>
        </is>
      </c>
      <c r="K480" s="28">
        <f>IF(OR(B480="",F480&lt;&gt;"Done",J480="Package"),"",IF(N(G480)-N(I480)&gt;0,N(G480)-N(I480),""))</f>
        <v/>
      </c>
      <c r="L480" s="32" t="n"/>
      <c r="M480" s="1">
        <f>IF(OR(B480="",D480="",F480="Cancelled"),"",B480+N(C480)+ROW()/10000000)</f>
        <v/>
      </c>
      <c r="N480">
        <f>IF(AND(F480="Done",M480&lt;&gt;""),IF(COUNTIFS(Appointments!$D$6:$D$2005,D480,Appointments!$F$6:$F$2005,"Done",Appointments!$M$6:$M$2005,"&gt;"&amp;M480)=0,1,0),0)</f>
        <v/>
      </c>
      <c r="O480">
        <f>IF(AND(F480="Booked",M480&lt;&gt;"",N(B480)&gt;=TODAY()),IF(COUNTIFS(Appointments!$D$6:$D$2005,D480,Appointments!$F$6:$F$2005,"Booked",Appointments!$B$6:$B$2005,"&gt;="&amp;TODAY(),Appointments!$M$6:$M$2005,"&lt;"&amp;M480)=0,1,0),0)</f>
        <v/>
      </c>
    </row>
    <row r="481">
      <c r="A481" s="1" t="n"/>
      <c r="B481" s="30" t="n">
        <v>46140</v>
      </c>
      <c r="C481" s="31" t="n">
        <v>0.4791666666666667</v>
      </c>
      <c r="D481" s="32" t="inlineStr">
        <is>
          <t>Nina Ellis</t>
        </is>
      </c>
      <c r="E481" s="32" t="inlineStr">
        <is>
          <t>Treatment</t>
        </is>
      </c>
      <c r="F481" s="33" t="inlineStr">
        <is>
          <t>Done</t>
        </is>
      </c>
      <c r="G481" s="27">
        <f>IF(E481="","",MAX(0,IFERROR(INDEX(Services!$C$6:$C$35,MATCH(E481,Services!$B$6:$B$35,0)),0)-N(H481)))</f>
        <v/>
      </c>
      <c r="H481" s="34" t="n"/>
      <c r="I481" s="34" t="n">
        <v>30</v>
      </c>
      <c r="J481" s="33" t="inlineStr">
        <is>
          <t>Cash</t>
        </is>
      </c>
      <c r="K481" s="28">
        <f>IF(OR(B481="",F481&lt;&gt;"Done",J481="Package"),"",IF(N(G481)-N(I481)&gt;0,N(G481)-N(I481),""))</f>
        <v/>
      </c>
      <c r="L481" s="32" t="n"/>
      <c r="M481" s="1">
        <f>IF(OR(B481="",D481="",F481="Cancelled"),"",B481+N(C481)+ROW()/10000000)</f>
        <v/>
      </c>
      <c r="N481">
        <f>IF(AND(F481="Done",M481&lt;&gt;""),IF(COUNTIFS(Appointments!$D$6:$D$2005,D481,Appointments!$F$6:$F$2005,"Done",Appointments!$M$6:$M$2005,"&gt;"&amp;M481)=0,1,0),0)</f>
        <v/>
      </c>
      <c r="O481">
        <f>IF(AND(F481="Booked",M481&lt;&gt;"",N(B481)&gt;=TODAY()),IF(COUNTIFS(Appointments!$D$6:$D$2005,D481,Appointments!$F$6:$F$2005,"Booked",Appointments!$B$6:$B$2005,"&gt;="&amp;TODAY(),Appointments!$M$6:$M$2005,"&lt;"&amp;M481)=0,1,0),0)</f>
        <v/>
      </c>
    </row>
    <row r="482">
      <c r="A482" s="1" t="n"/>
      <c r="B482" s="30" t="n">
        <v>46140</v>
      </c>
      <c r="C482" s="31" t="n">
        <v>0.5069444444444444</v>
      </c>
      <c r="D482" s="32" t="inlineStr">
        <is>
          <t>Rosa Diaz</t>
        </is>
      </c>
      <c r="E482" s="32" t="inlineStr">
        <is>
          <t>Colour</t>
        </is>
      </c>
      <c r="F482" s="33" t="inlineStr">
        <is>
          <t>Done</t>
        </is>
      </c>
      <c r="G482" s="27">
        <f>IF(E482="","",MAX(0,IFERROR(INDEX(Services!$C$6:$C$35,MATCH(E482,Services!$B$6:$B$35,0)),0)-N(H482)))</f>
        <v/>
      </c>
      <c r="H482" s="34" t="n"/>
      <c r="I482" s="34" t="n">
        <v>95</v>
      </c>
      <c r="J482" s="33" t="inlineStr">
        <is>
          <t>Cash</t>
        </is>
      </c>
      <c r="K482" s="28">
        <f>IF(OR(B482="",F482&lt;&gt;"Done",J482="Package"),"",IF(N(G482)-N(I482)&gt;0,N(G482)-N(I482),""))</f>
        <v/>
      </c>
      <c r="L482" s="32" t="n"/>
      <c r="M482" s="1">
        <f>IF(OR(B482="",D482="",F482="Cancelled"),"",B482+N(C482)+ROW()/10000000)</f>
        <v/>
      </c>
      <c r="N482">
        <f>IF(AND(F482="Done",M482&lt;&gt;""),IF(COUNTIFS(Appointments!$D$6:$D$2005,D482,Appointments!$F$6:$F$2005,"Done",Appointments!$M$6:$M$2005,"&gt;"&amp;M482)=0,1,0),0)</f>
        <v/>
      </c>
      <c r="O482">
        <f>IF(AND(F482="Booked",M482&lt;&gt;"",N(B482)&gt;=TODAY()),IF(COUNTIFS(Appointments!$D$6:$D$2005,D482,Appointments!$F$6:$F$2005,"Booked",Appointments!$B$6:$B$2005,"&gt;="&amp;TODAY(),Appointments!$M$6:$M$2005,"&lt;"&amp;M482)=0,1,0),0)</f>
        <v/>
      </c>
    </row>
    <row r="483">
      <c r="A483" s="1" t="n"/>
      <c r="B483" s="30" t="n">
        <v>46140</v>
      </c>
      <c r="C483" s="31" t="n">
        <v>0.5972222222222222</v>
      </c>
      <c r="D483" s="32" t="inlineStr">
        <is>
          <t>Tom Gray</t>
        </is>
      </c>
      <c r="E483" s="32" t="inlineStr">
        <is>
          <t>Men's haircut</t>
        </is>
      </c>
      <c r="F483" s="33" t="inlineStr">
        <is>
          <t>Done</t>
        </is>
      </c>
      <c r="G483" s="27">
        <f>IF(E483="","",MAX(0,IFERROR(INDEX(Services!$C$6:$C$35,MATCH(E483,Services!$B$6:$B$35,0)),0)-N(H483)))</f>
        <v/>
      </c>
      <c r="H483" s="34" t="n"/>
      <c r="I483" s="34" t="n">
        <v>30</v>
      </c>
      <c r="J483" s="33" t="inlineStr">
        <is>
          <t>Cash</t>
        </is>
      </c>
      <c r="K483" s="28">
        <f>IF(OR(B483="",F483&lt;&gt;"Done",J483="Package"),"",IF(N(G483)-N(I483)&gt;0,N(G483)-N(I483),""))</f>
        <v/>
      </c>
      <c r="L483" s="32" t="n"/>
      <c r="M483" s="1">
        <f>IF(OR(B483="",D483="",F483="Cancelled"),"",B483+N(C483)+ROW()/10000000)</f>
        <v/>
      </c>
      <c r="N483">
        <f>IF(AND(F483="Done",M483&lt;&gt;""),IF(COUNTIFS(Appointments!$D$6:$D$2005,D483,Appointments!$F$6:$F$2005,"Done",Appointments!$M$6:$M$2005,"&gt;"&amp;M483)=0,1,0),0)</f>
        <v/>
      </c>
      <c r="O483">
        <f>IF(AND(F483="Booked",M483&lt;&gt;"",N(B483)&gt;=TODAY()),IF(COUNTIFS(Appointments!$D$6:$D$2005,D483,Appointments!$F$6:$F$2005,"Booked",Appointments!$B$6:$B$2005,"&gt;="&amp;TODAY(),Appointments!$M$6:$M$2005,"&lt;"&amp;M483)=0,1,0),0)</f>
        <v/>
      </c>
    </row>
    <row r="484">
      <c r="A484" s="1" t="n"/>
      <c r="B484" s="30" t="n">
        <v>46140</v>
      </c>
      <c r="C484" s="31" t="n">
        <v>0.625</v>
      </c>
      <c r="D484" s="32" t="inlineStr">
        <is>
          <t>Victor Lane</t>
        </is>
      </c>
      <c r="E484" s="32" t="inlineStr">
        <is>
          <t>Men's haircut</t>
        </is>
      </c>
      <c r="F484" s="33" t="inlineStr">
        <is>
          <t>Done</t>
        </is>
      </c>
      <c r="G484" s="27">
        <f>IF(E484="","",MAX(0,IFERROR(INDEX(Services!$C$6:$C$35,MATCH(E484,Services!$B$6:$B$35,0)),0)-N(H484)))</f>
        <v/>
      </c>
      <c r="H484" s="34" t="n"/>
      <c r="I484" s="34" t="n">
        <v>30</v>
      </c>
      <c r="J484" s="33" t="inlineStr">
        <is>
          <t>Card</t>
        </is>
      </c>
      <c r="K484" s="28">
        <f>IF(OR(B484="",F484&lt;&gt;"Done",J484="Package"),"",IF(N(G484)-N(I484)&gt;0,N(G484)-N(I484),""))</f>
        <v/>
      </c>
      <c r="L484" s="32" t="n"/>
      <c r="M484" s="1">
        <f>IF(OR(B484="",D484="",F484="Cancelled"),"",B484+N(C484)+ROW()/10000000)</f>
        <v/>
      </c>
      <c r="N484">
        <f>IF(AND(F484="Done",M484&lt;&gt;""),IF(COUNTIFS(Appointments!$D$6:$D$2005,D484,Appointments!$F$6:$F$2005,"Done",Appointments!$M$6:$M$2005,"&gt;"&amp;M484)=0,1,0),0)</f>
        <v/>
      </c>
      <c r="O484">
        <f>IF(AND(F484="Booked",M484&lt;&gt;"",N(B484)&gt;=TODAY()),IF(COUNTIFS(Appointments!$D$6:$D$2005,D484,Appointments!$F$6:$F$2005,"Booked",Appointments!$B$6:$B$2005,"&gt;="&amp;TODAY(),Appointments!$M$6:$M$2005,"&lt;"&amp;M484)=0,1,0),0)</f>
        <v/>
      </c>
    </row>
    <row r="485">
      <c r="A485" s="1" t="n"/>
      <c r="B485" s="30" t="n">
        <v>46141</v>
      </c>
      <c r="C485" s="31" t="n">
        <v>0.375</v>
      </c>
      <c r="D485" s="32" t="inlineStr">
        <is>
          <t>Adam Gray</t>
        </is>
      </c>
      <c r="E485" s="32" t="inlineStr">
        <is>
          <t>Men's haircut</t>
        </is>
      </c>
      <c r="F485" s="33" t="inlineStr">
        <is>
          <t>Done</t>
        </is>
      </c>
      <c r="G485" s="27">
        <f>IF(E485="","",MAX(0,IFERROR(INDEX(Services!$C$6:$C$35,MATCH(E485,Services!$B$6:$B$35,0)),0)-N(H485)))</f>
        <v/>
      </c>
      <c r="H485" s="34" t="n"/>
      <c r="I485" s="34" t="n">
        <v>30</v>
      </c>
      <c r="J485" s="33" t="inlineStr">
        <is>
          <t>Transfer</t>
        </is>
      </c>
      <c r="K485" s="28">
        <f>IF(OR(B485="",F485&lt;&gt;"Done",J485="Package"),"",IF(N(G485)-N(I485)&gt;0,N(G485)-N(I485),""))</f>
        <v/>
      </c>
      <c r="L485" s="32" t="n"/>
      <c r="M485" s="1">
        <f>IF(OR(B485="",D485="",F485="Cancelled"),"",B485+N(C485)+ROW()/10000000)</f>
        <v/>
      </c>
      <c r="N485">
        <f>IF(AND(F485="Done",M485&lt;&gt;""),IF(COUNTIFS(Appointments!$D$6:$D$2005,D485,Appointments!$F$6:$F$2005,"Done",Appointments!$M$6:$M$2005,"&gt;"&amp;M485)=0,1,0),0)</f>
        <v/>
      </c>
      <c r="O485">
        <f>IF(AND(F485="Booked",M485&lt;&gt;"",N(B485)&gt;=TODAY()),IF(COUNTIFS(Appointments!$D$6:$D$2005,D485,Appointments!$F$6:$F$2005,"Booked",Appointments!$B$6:$B$2005,"&gt;="&amp;TODAY(),Appointments!$M$6:$M$2005,"&lt;"&amp;M485)=0,1,0),0)</f>
        <v/>
      </c>
    </row>
    <row r="486">
      <c r="A486" s="1" t="n"/>
      <c r="B486" s="30" t="n">
        <v>46141</v>
      </c>
      <c r="C486" s="31" t="n">
        <v>0.4027777777777778</v>
      </c>
      <c r="D486" s="32" t="inlineStr">
        <is>
          <t>Eli Cole</t>
        </is>
      </c>
      <c r="E486" s="32" t="inlineStr">
        <is>
          <t>Men's haircut</t>
        </is>
      </c>
      <c r="F486" s="33" t="inlineStr">
        <is>
          <t>Done</t>
        </is>
      </c>
      <c r="G486" s="27">
        <f>IF(E486="","",MAX(0,IFERROR(INDEX(Services!$C$6:$C$35,MATCH(E486,Services!$B$6:$B$35,0)),0)-N(H486)))</f>
        <v/>
      </c>
      <c r="H486" s="34" t="n"/>
      <c r="I486" s="34" t="n">
        <v>30</v>
      </c>
      <c r="J486" s="33" t="inlineStr">
        <is>
          <t>Card</t>
        </is>
      </c>
      <c r="K486" s="28">
        <f>IF(OR(B486="",F486&lt;&gt;"Done",J486="Package"),"",IF(N(G486)-N(I486)&gt;0,N(G486)-N(I486),""))</f>
        <v/>
      </c>
      <c r="L486" s="32" t="n"/>
      <c r="M486" s="1">
        <f>IF(OR(B486="",D486="",F486="Cancelled"),"",B486+N(C486)+ROW()/10000000)</f>
        <v/>
      </c>
      <c r="N486">
        <f>IF(AND(F486="Done",M486&lt;&gt;""),IF(COUNTIFS(Appointments!$D$6:$D$2005,D486,Appointments!$F$6:$F$2005,"Done",Appointments!$M$6:$M$2005,"&gt;"&amp;M486)=0,1,0),0)</f>
        <v/>
      </c>
      <c r="O486">
        <f>IF(AND(F486="Booked",M486&lt;&gt;"",N(B486)&gt;=TODAY()),IF(COUNTIFS(Appointments!$D$6:$D$2005,D486,Appointments!$F$6:$F$2005,"Booked",Appointments!$B$6:$B$2005,"&gt;="&amp;TODAY(),Appointments!$M$6:$M$2005,"&lt;"&amp;M486)=0,1,0),0)</f>
        <v/>
      </c>
    </row>
    <row r="487">
      <c r="A487" s="1" t="n"/>
      <c r="B487" s="30" t="n">
        <v>46141</v>
      </c>
      <c r="C487" s="31" t="n">
        <v>0.4305555555555556</v>
      </c>
      <c r="D487" s="32" t="inlineStr">
        <is>
          <t>Harry Adams</t>
        </is>
      </c>
      <c r="E487" s="32" t="inlineStr">
        <is>
          <t>Men's haircut</t>
        </is>
      </c>
      <c r="F487" s="33" t="inlineStr">
        <is>
          <t>Done</t>
        </is>
      </c>
      <c r="G487" s="27">
        <f>IF(E487="","",MAX(0,IFERROR(INDEX(Services!$C$6:$C$35,MATCH(E487,Services!$B$6:$B$35,0)),0)-N(H487)))</f>
        <v/>
      </c>
      <c r="H487" s="34" t="n"/>
      <c r="I487" s="34" t="n">
        <v>30</v>
      </c>
      <c r="J487" s="33" t="inlineStr">
        <is>
          <t>Transfer</t>
        </is>
      </c>
      <c r="K487" s="28">
        <f>IF(OR(B487="",F487&lt;&gt;"Done",J487="Package"),"",IF(N(G487)-N(I487)&gt;0,N(G487)-N(I487),""))</f>
        <v/>
      </c>
      <c r="L487" s="32" t="n"/>
      <c r="M487" s="1">
        <f>IF(OR(B487="",D487="",F487="Cancelled"),"",B487+N(C487)+ROW()/10000000)</f>
        <v/>
      </c>
      <c r="N487">
        <f>IF(AND(F487="Done",M487&lt;&gt;""),IF(COUNTIFS(Appointments!$D$6:$D$2005,D487,Appointments!$F$6:$F$2005,"Done",Appointments!$M$6:$M$2005,"&gt;"&amp;M487)=0,1,0),0)</f>
        <v/>
      </c>
      <c r="O487">
        <f>IF(AND(F487="Booked",M487&lt;&gt;"",N(B487)&gt;=TODAY()),IF(COUNTIFS(Appointments!$D$6:$D$2005,D487,Appointments!$F$6:$F$2005,"Booked",Appointments!$B$6:$B$2005,"&gt;="&amp;TODAY(),Appointments!$M$6:$M$2005,"&lt;"&amp;M487)=0,1,0),0)</f>
        <v/>
      </c>
    </row>
    <row r="488">
      <c r="A488" s="1" t="n"/>
      <c r="B488" s="30" t="n">
        <v>46141</v>
      </c>
      <c r="C488" s="31" t="n">
        <v>0.4583333333333333</v>
      </c>
      <c r="D488" s="32" t="inlineStr">
        <is>
          <t>Iris West</t>
        </is>
      </c>
      <c r="E488" s="32" t="inlineStr">
        <is>
          <t>Women's haircut</t>
        </is>
      </c>
      <c r="F488" s="33" t="inlineStr">
        <is>
          <t>Done</t>
        </is>
      </c>
      <c r="G488" s="27">
        <f>IF(E488="","",MAX(0,IFERROR(INDEX(Services!$C$6:$C$35,MATCH(E488,Services!$B$6:$B$35,0)),0)-N(H488)))</f>
        <v/>
      </c>
      <c r="H488" s="34" t="n"/>
      <c r="I488" s="34" t="n">
        <v>55</v>
      </c>
      <c r="J488" s="33" t="inlineStr">
        <is>
          <t>Cash</t>
        </is>
      </c>
      <c r="K488" s="28">
        <f>IF(OR(B488="",F488&lt;&gt;"Done",J488="Package"),"",IF(N(G488)-N(I488)&gt;0,N(G488)-N(I488),""))</f>
        <v/>
      </c>
      <c r="L488" s="32" t="n"/>
      <c r="M488" s="1">
        <f>IF(OR(B488="",D488="",F488="Cancelled"),"",B488+N(C488)+ROW()/10000000)</f>
        <v/>
      </c>
      <c r="N488">
        <f>IF(AND(F488="Done",M488&lt;&gt;""),IF(COUNTIFS(Appointments!$D$6:$D$2005,D488,Appointments!$F$6:$F$2005,"Done",Appointments!$M$6:$M$2005,"&gt;"&amp;M488)=0,1,0),0)</f>
        <v/>
      </c>
      <c r="O488">
        <f>IF(AND(F488="Booked",M488&lt;&gt;"",N(B488)&gt;=TODAY()),IF(COUNTIFS(Appointments!$D$6:$D$2005,D488,Appointments!$F$6:$F$2005,"Booked",Appointments!$B$6:$B$2005,"&gt;="&amp;TODAY(),Appointments!$M$6:$M$2005,"&lt;"&amp;M488)=0,1,0),0)</f>
        <v/>
      </c>
    </row>
    <row r="489">
      <c r="A489" s="1" t="n"/>
      <c r="B489" s="30" t="n">
        <v>46141</v>
      </c>
      <c r="C489" s="31" t="n">
        <v>0.5069444444444444</v>
      </c>
      <c r="D489" s="32" t="inlineStr">
        <is>
          <t>Kara Young</t>
        </is>
      </c>
      <c r="E489" s="32" t="inlineStr">
        <is>
          <t>Toner</t>
        </is>
      </c>
      <c r="F489" s="33" t="inlineStr">
        <is>
          <t>Done</t>
        </is>
      </c>
      <c r="G489" s="27">
        <f>IF(E489="","",MAX(0,IFERROR(INDEX(Services!$C$6:$C$35,MATCH(E489,Services!$B$6:$B$35,0)),0)-N(H489)))</f>
        <v/>
      </c>
      <c r="H489" s="34" t="n"/>
      <c r="I489" s="34" t="n">
        <v>40</v>
      </c>
      <c r="J489" s="33" t="inlineStr">
        <is>
          <t>Card</t>
        </is>
      </c>
      <c r="K489" s="28">
        <f>IF(OR(B489="",F489&lt;&gt;"Done",J489="Package"),"",IF(N(G489)-N(I489)&gt;0,N(G489)-N(I489),""))</f>
        <v/>
      </c>
      <c r="L489" s="32" t="n"/>
      <c r="M489" s="1">
        <f>IF(OR(B489="",D489="",F489="Cancelled"),"",B489+N(C489)+ROW()/10000000)</f>
        <v/>
      </c>
      <c r="N489">
        <f>IF(AND(F489="Done",M489&lt;&gt;""),IF(COUNTIFS(Appointments!$D$6:$D$2005,D489,Appointments!$F$6:$F$2005,"Done",Appointments!$M$6:$M$2005,"&gt;"&amp;M489)=0,1,0),0)</f>
        <v/>
      </c>
      <c r="O489">
        <f>IF(AND(F489="Booked",M489&lt;&gt;"",N(B489)&gt;=TODAY()),IF(COUNTIFS(Appointments!$D$6:$D$2005,D489,Appointments!$F$6:$F$2005,"Booked",Appointments!$B$6:$B$2005,"&gt;="&amp;TODAY(),Appointments!$M$6:$M$2005,"&lt;"&amp;M489)=0,1,0),0)</f>
        <v/>
      </c>
    </row>
    <row r="490">
      <c r="A490" s="1" t="n"/>
      <c r="B490" s="30" t="n">
        <v>46141</v>
      </c>
      <c r="C490" s="31" t="n">
        <v>0.5347222222222222</v>
      </c>
      <c r="D490" s="32" t="inlineStr">
        <is>
          <t>Liam Evans</t>
        </is>
      </c>
      <c r="E490" s="32" t="inlineStr">
        <is>
          <t>Men's haircut</t>
        </is>
      </c>
      <c r="F490" s="33" t="inlineStr">
        <is>
          <t>Done</t>
        </is>
      </c>
      <c r="G490" s="27">
        <f>IF(E490="","",MAX(0,IFERROR(INDEX(Services!$C$6:$C$35,MATCH(E490,Services!$B$6:$B$35,0)),0)-N(H490)))</f>
        <v/>
      </c>
      <c r="H490" s="34" t="n"/>
      <c r="I490" s="34" t="n">
        <v>30</v>
      </c>
      <c r="J490" s="33" t="inlineStr">
        <is>
          <t>Card</t>
        </is>
      </c>
      <c r="K490" s="28">
        <f>IF(OR(B490="",F490&lt;&gt;"Done",J490="Package"),"",IF(N(G490)-N(I490)&gt;0,N(G490)-N(I490),""))</f>
        <v/>
      </c>
      <c r="L490" s="32" t="n"/>
      <c r="M490" s="1">
        <f>IF(OR(B490="",D490="",F490="Cancelled"),"",B490+N(C490)+ROW()/10000000)</f>
        <v/>
      </c>
      <c r="N490">
        <f>IF(AND(F490="Done",M490&lt;&gt;""),IF(COUNTIFS(Appointments!$D$6:$D$2005,D490,Appointments!$F$6:$F$2005,"Done",Appointments!$M$6:$M$2005,"&gt;"&amp;M490)=0,1,0),0)</f>
        <v/>
      </c>
      <c r="O490">
        <f>IF(AND(F490="Booked",M490&lt;&gt;"",N(B490)&gt;=TODAY()),IF(COUNTIFS(Appointments!$D$6:$D$2005,D490,Appointments!$F$6:$F$2005,"Booked",Appointments!$B$6:$B$2005,"&gt;="&amp;TODAY(),Appointments!$M$6:$M$2005,"&lt;"&amp;M490)=0,1,0),0)</f>
        <v/>
      </c>
    </row>
    <row r="491">
      <c r="A491" s="1" t="n"/>
      <c r="B491" s="30" t="n">
        <v>46141</v>
      </c>
      <c r="C491" s="31" t="n">
        <v>0.5625</v>
      </c>
      <c r="D491" s="32" t="inlineStr">
        <is>
          <t>Matt Ellis</t>
        </is>
      </c>
      <c r="E491" s="32" t="inlineStr">
        <is>
          <t>Men's haircut</t>
        </is>
      </c>
      <c r="F491" s="33" t="inlineStr">
        <is>
          <t>Done</t>
        </is>
      </c>
      <c r="G491" s="27">
        <f>IF(E491="","",MAX(0,IFERROR(INDEX(Services!$C$6:$C$35,MATCH(E491,Services!$B$6:$B$35,0)),0)-N(H491)))</f>
        <v/>
      </c>
      <c r="H491" s="34" t="n"/>
      <c r="I491" s="34" t="n">
        <v>30</v>
      </c>
      <c r="J491" s="33" t="inlineStr">
        <is>
          <t>Transfer</t>
        </is>
      </c>
      <c r="K491" s="28">
        <f>IF(OR(B491="",F491&lt;&gt;"Done",J491="Package"),"",IF(N(G491)-N(I491)&gt;0,N(G491)-N(I491),""))</f>
        <v/>
      </c>
      <c r="L491" s="32" t="n"/>
      <c r="M491" s="1">
        <f>IF(OR(B491="",D491="",F491="Cancelled"),"",B491+N(C491)+ROW()/10000000)</f>
        <v/>
      </c>
      <c r="N491">
        <f>IF(AND(F491="Done",M491&lt;&gt;""),IF(COUNTIFS(Appointments!$D$6:$D$2005,D491,Appointments!$F$6:$F$2005,"Done",Appointments!$M$6:$M$2005,"&gt;"&amp;M491)=0,1,0),0)</f>
        <v/>
      </c>
      <c r="O491">
        <f>IF(AND(F491="Booked",M491&lt;&gt;"",N(B491)&gt;=TODAY()),IF(COUNTIFS(Appointments!$D$6:$D$2005,D491,Appointments!$F$6:$F$2005,"Booked",Appointments!$B$6:$B$2005,"&gt;="&amp;TODAY(),Appointments!$M$6:$M$2005,"&lt;"&amp;M491)=0,1,0),0)</f>
        <v/>
      </c>
    </row>
    <row r="492">
      <c r="A492" s="1" t="n"/>
      <c r="B492" s="30" t="n">
        <v>46142</v>
      </c>
      <c r="C492" s="31" t="n">
        <v>0.375</v>
      </c>
      <c r="D492" s="32" t="inlineStr">
        <is>
          <t>Ella James</t>
        </is>
      </c>
      <c r="E492" s="32" t="inlineStr">
        <is>
          <t>Treatment</t>
        </is>
      </c>
      <c r="F492" s="33" t="inlineStr">
        <is>
          <t>Done</t>
        </is>
      </c>
      <c r="G492" s="27">
        <f>IF(E492="","",MAX(0,IFERROR(INDEX(Services!$C$6:$C$35,MATCH(E492,Services!$B$6:$B$35,0)),0)-N(H492)))</f>
        <v/>
      </c>
      <c r="H492" s="34" t="n"/>
      <c r="I492" s="34" t="n">
        <v>30</v>
      </c>
      <c r="J492" s="33" t="inlineStr">
        <is>
          <t>Cash</t>
        </is>
      </c>
      <c r="K492" s="28">
        <f>IF(OR(B492="",F492&lt;&gt;"Done",J492="Package"),"",IF(N(G492)-N(I492)&gt;0,N(G492)-N(I492),""))</f>
        <v/>
      </c>
      <c r="L492" s="32" t="n"/>
      <c r="M492" s="1">
        <f>IF(OR(B492="",D492="",F492="Cancelled"),"",B492+N(C492)+ROW()/10000000)</f>
        <v/>
      </c>
      <c r="N492">
        <f>IF(AND(F492="Done",M492&lt;&gt;""),IF(COUNTIFS(Appointments!$D$6:$D$2005,D492,Appointments!$F$6:$F$2005,"Done",Appointments!$M$6:$M$2005,"&gt;"&amp;M492)=0,1,0),0)</f>
        <v/>
      </c>
      <c r="O492">
        <f>IF(AND(F492="Booked",M492&lt;&gt;"",N(B492)&gt;=TODAY()),IF(COUNTIFS(Appointments!$D$6:$D$2005,D492,Appointments!$F$6:$F$2005,"Booked",Appointments!$B$6:$B$2005,"&gt;="&amp;TODAY(),Appointments!$M$6:$M$2005,"&lt;"&amp;M492)=0,1,0),0)</f>
        <v/>
      </c>
    </row>
    <row r="493">
      <c r="A493" s="1" t="n"/>
      <c r="B493" s="30" t="n">
        <v>46142</v>
      </c>
      <c r="C493" s="31" t="n">
        <v>0.4027777777777778</v>
      </c>
      <c r="D493" s="32" t="inlineStr">
        <is>
          <t>Finn Cook</t>
        </is>
      </c>
      <c r="E493" s="32" t="inlineStr">
        <is>
          <t>Men's haircut</t>
        </is>
      </c>
      <c r="F493" s="33" t="inlineStr">
        <is>
          <t>Done</t>
        </is>
      </c>
      <c r="G493" s="27">
        <f>IF(E493="","",MAX(0,IFERROR(INDEX(Services!$C$6:$C$35,MATCH(E493,Services!$B$6:$B$35,0)),0)-N(H493)))</f>
        <v/>
      </c>
      <c r="H493" s="34" t="n"/>
      <c r="I493" s="34" t="n">
        <v>30</v>
      </c>
      <c r="J493" s="33" t="inlineStr">
        <is>
          <t>Card</t>
        </is>
      </c>
      <c r="K493" s="28">
        <f>IF(OR(B493="",F493&lt;&gt;"Done",J493="Package"),"",IF(N(G493)-N(I493)&gt;0,N(G493)-N(I493),""))</f>
        <v/>
      </c>
      <c r="L493" s="32" t="n"/>
      <c r="M493" s="1">
        <f>IF(OR(B493="",D493="",F493="Cancelled"),"",B493+N(C493)+ROW()/10000000)</f>
        <v/>
      </c>
      <c r="N493">
        <f>IF(AND(F493="Done",M493&lt;&gt;""),IF(COUNTIFS(Appointments!$D$6:$D$2005,D493,Appointments!$F$6:$F$2005,"Done",Appointments!$M$6:$M$2005,"&gt;"&amp;M493)=0,1,0),0)</f>
        <v/>
      </c>
      <c r="O493">
        <f>IF(AND(F493="Booked",M493&lt;&gt;"",N(B493)&gt;=TODAY()),IF(COUNTIFS(Appointments!$D$6:$D$2005,D493,Appointments!$F$6:$F$2005,"Booked",Appointments!$B$6:$B$2005,"&gt;="&amp;TODAY(),Appointments!$M$6:$M$2005,"&lt;"&amp;M493)=0,1,0),0)</f>
        <v/>
      </c>
    </row>
    <row r="494">
      <c r="A494" s="1" t="n"/>
      <c r="B494" s="30" t="n">
        <v>46142</v>
      </c>
      <c r="C494" s="31" t="n">
        <v>0.4305555555555556</v>
      </c>
      <c r="D494" s="32" t="inlineStr">
        <is>
          <t>Finn Gray</t>
        </is>
      </c>
      <c r="E494" s="32" t="inlineStr">
        <is>
          <t>Men's haircut</t>
        </is>
      </c>
      <c r="F494" s="33" t="inlineStr">
        <is>
          <t>Done</t>
        </is>
      </c>
      <c r="G494" s="27">
        <f>IF(E494="","",MAX(0,IFERROR(INDEX(Services!$C$6:$C$35,MATCH(E494,Services!$B$6:$B$35,0)),0)-N(H494)))</f>
        <v/>
      </c>
      <c r="H494" s="34" t="n"/>
      <c r="I494" s="34" t="n">
        <v>30</v>
      </c>
      <c r="J494" s="33" t="inlineStr">
        <is>
          <t>App</t>
        </is>
      </c>
      <c r="K494" s="28">
        <f>IF(OR(B494="",F494&lt;&gt;"Done",J494="Package"),"",IF(N(G494)-N(I494)&gt;0,N(G494)-N(I494),""))</f>
        <v/>
      </c>
      <c r="L494" s="32" t="n"/>
      <c r="M494" s="1">
        <f>IF(OR(B494="",D494="",F494="Cancelled"),"",B494+N(C494)+ROW()/10000000)</f>
        <v/>
      </c>
      <c r="N494">
        <f>IF(AND(F494="Done",M494&lt;&gt;""),IF(COUNTIFS(Appointments!$D$6:$D$2005,D494,Appointments!$F$6:$F$2005,"Done",Appointments!$M$6:$M$2005,"&gt;"&amp;M494)=0,1,0),0)</f>
        <v/>
      </c>
      <c r="O494">
        <f>IF(AND(F494="Booked",M494&lt;&gt;"",N(B494)&gt;=TODAY()),IF(COUNTIFS(Appointments!$D$6:$D$2005,D494,Appointments!$F$6:$F$2005,"Booked",Appointments!$B$6:$B$2005,"&gt;="&amp;TODAY(),Appointments!$M$6:$M$2005,"&lt;"&amp;M494)=0,1,0),0)</f>
        <v/>
      </c>
    </row>
    <row r="495">
      <c r="A495" s="1" t="n"/>
      <c r="B495" s="30" t="n">
        <v>46142</v>
      </c>
      <c r="C495" s="31" t="n">
        <v>0.4583333333333333</v>
      </c>
      <c r="D495" s="32" t="inlineStr">
        <is>
          <t>Harry Lewis</t>
        </is>
      </c>
      <c r="E495" s="32" t="inlineStr">
        <is>
          <t>Men's haircut</t>
        </is>
      </c>
      <c r="F495" s="33" t="inlineStr">
        <is>
          <t>Done</t>
        </is>
      </c>
      <c r="G495" s="27">
        <f>IF(E495="","",MAX(0,IFERROR(INDEX(Services!$C$6:$C$35,MATCH(E495,Services!$B$6:$B$35,0)),0)-N(H495)))</f>
        <v/>
      </c>
      <c r="H495" s="34" t="n"/>
      <c r="I495" s="34" t="n">
        <v>30</v>
      </c>
      <c r="J495" s="33" t="inlineStr">
        <is>
          <t>Card</t>
        </is>
      </c>
      <c r="K495" s="28">
        <f>IF(OR(B495="",F495&lt;&gt;"Done",J495="Package"),"",IF(N(G495)-N(I495)&gt;0,N(G495)-N(I495),""))</f>
        <v/>
      </c>
      <c r="L495" s="32" t="n"/>
      <c r="M495" s="1">
        <f>IF(OR(B495="",D495="",F495="Cancelled"),"",B495+N(C495)+ROW()/10000000)</f>
        <v/>
      </c>
      <c r="N495">
        <f>IF(AND(F495="Done",M495&lt;&gt;""),IF(COUNTIFS(Appointments!$D$6:$D$2005,D495,Appointments!$F$6:$F$2005,"Done",Appointments!$M$6:$M$2005,"&gt;"&amp;M495)=0,1,0),0)</f>
        <v/>
      </c>
      <c r="O495">
        <f>IF(AND(F495="Booked",M495&lt;&gt;"",N(B495)&gt;=TODAY()),IF(COUNTIFS(Appointments!$D$6:$D$2005,D495,Appointments!$F$6:$F$2005,"Booked",Appointments!$B$6:$B$2005,"&gt;="&amp;TODAY(),Appointments!$M$6:$M$2005,"&lt;"&amp;M495)=0,1,0),0)</f>
        <v/>
      </c>
    </row>
    <row r="496">
      <c r="A496" s="1" t="n"/>
      <c r="B496" s="30" t="n">
        <v>46142</v>
      </c>
      <c r="C496" s="31" t="n">
        <v>0.4861111111111111</v>
      </c>
      <c r="D496" s="32" t="inlineStr">
        <is>
          <t>Kyle Hughes</t>
        </is>
      </c>
      <c r="E496" s="32" t="inlineStr">
        <is>
          <t>Men's haircut</t>
        </is>
      </c>
      <c r="F496" s="33" t="inlineStr">
        <is>
          <t>Done</t>
        </is>
      </c>
      <c r="G496" s="27">
        <f>IF(E496="","",MAX(0,IFERROR(INDEX(Services!$C$6:$C$35,MATCH(E496,Services!$B$6:$B$35,0)),0)-N(H496)))</f>
        <v/>
      </c>
      <c r="H496" s="34" t="n"/>
      <c r="I496" s="34" t="n">
        <v>30</v>
      </c>
      <c r="J496" s="33" t="inlineStr">
        <is>
          <t>Cash</t>
        </is>
      </c>
      <c r="K496" s="28">
        <f>IF(OR(B496="",F496&lt;&gt;"Done",J496="Package"),"",IF(N(G496)-N(I496)&gt;0,N(G496)-N(I496),""))</f>
        <v/>
      </c>
      <c r="L496" s="32" t="n"/>
      <c r="M496" s="1">
        <f>IF(OR(B496="",D496="",F496="Cancelled"),"",B496+N(C496)+ROW()/10000000)</f>
        <v/>
      </c>
      <c r="N496">
        <f>IF(AND(F496="Done",M496&lt;&gt;""),IF(COUNTIFS(Appointments!$D$6:$D$2005,D496,Appointments!$F$6:$F$2005,"Done",Appointments!$M$6:$M$2005,"&gt;"&amp;M496)=0,1,0),0)</f>
        <v/>
      </c>
      <c r="O496">
        <f>IF(AND(F496="Booked",M496&lt;&gt;"",N(B496)&gt;=TODAY()),IF(COUNTIFS(Appointments!$D$6:$D$2005,D496,Appointments!$F$6:$F$2005,"Booked",Appointments!$B$6:$B$2005,"&gt;="&amp;TODAY(),Appointments!$M$6:$M$2005,"&lt;"&amp;M496)=0,1,0),0)</f>
        <v/>
      </c>
    </row>
    <row r="497">
      <c r="A497" s="1" t="n"/>
      <c r="B497" s="30" t="n">
        <v>46142</v>
      </c>
      <c r="C497" s="31" t="n">
        <v>0.5138888888888888</v>
      </c>
      <c r="D497" s="32" t="inlineStr">
        <is>
          <t>Owen Morgan</t>
        </is>
      </c>
      <c r="E497" s="32" t="inlineStr">
        <is>
          <t>Men's haircut</t>
        </is>
      </c>
      <c r="F497" s="33" t="inlineStr">
        <is>
          <t>Done</t>
        </is>
      </c>
      <c r="G497" s="27">
        <f>IF(E497="","",MAX(0,IFERROR(INDEX(Services!$C$6:$C$35,MATCH(E497,Services!$B$6:$B$35,0)),0)-N(H497)))</f>
        <v/>
      </c>
      <c r="H497" s="34" t="n"/>
      <c r="I497" s="34" t="n">
        <v>30</v>
      </c>
      <c r="J497" s="33" t="inlineStr">
        <is>
          <t>Cash</t>
        </is>
      </c>
      <c r="K497" s="28">
        <f>IF(OR(B497="",F497&lt;&gt;"Done",J497="Package"),"",IF(N(G497)-N(I497)&gt;0,N(G497)-N(I497),""))</f>
        <v/>
      </c>
      <c r="L497" s="32" t="n"/>
      <c r="M497" s="1">
        <f>IF(OR(B497="",D497="",F497="Cancelled"),"",B497+N(C497)+ROW()/10000000)</f>
        <v/>
      </c>
      <c r="N497">
        <f>IF(AND(F497="Done",M497&lt;&gt;""),IF(COUNTIFS(Appointments!$D$6:$D$2005,D497,Appointments!$F$6:$F$2005,"Done",Appointments!$M$6:$M$2005,"&gt;"&amp;M497)=0,1,0),0)</f>
        <v/>
      </c>
      <c r="O497">
        <f>IF(AND(F497="Booked",M497&lt;&gt;"",N(B497)&gt;=TODAY()),IF(COUNTIFS(Appointments!$D$6:$D$2005,D497,Appointments!$F$6:$F$2005,"Booked",Appointments!$B$6:$B$2005,"&gt;="&amp;TODAY(),Appointments!$M$6:$M$2005,"&lt;"&amp;M497)=0,1,0),0)</f>
        <v/>
      </c>
    </row>
    <row r="498">
      <c r="A498" s="1" t="n"/>
      <c r="B498" s="30" t="n">
        <v>46142</v>
      </c>
      <c r="C498" s="31" t="n">
        <v>0.5416666666666666</v>
      </c>
      <c r="D498" s="32" t="inlineStr">
        <is>
          <t>Sara Stone</t>
        </is>
      </c>
      <c r="E498" s="32" t="inlineStr">
        <is>
          <t>Blow dry</t>
        </is>
      </c>
      <c r="F498" s="33" t="inlineStr">
        <is>
          <t>Done</t>
        </is>
      </c>
      <c r="G498" s="27">
        <f>IF(E498="","",MAX(0,IFERROR(INDEX(Services!$C$6:$C$35,MATCH(E498,Services!$B$6:$B$35,0)),0)-N(H498)))</f>
        <v/>
      </c>
      <c r="H498" s="34" t="n"/>
      <c r="I498" s="34" t="n">
        <v>35</v>
      </c>
      <c r="J498" s="33" t="inlineStr">
        <is>
          <t>Card</t>
        </is>
      </c>
      <c r="K498" s="28">
        <f>IF(OR(B498="",F498&lt;&gt;"Done",J498="Package"),"",IF(N(G498)-N(I498)&gt;0,N(G498)-N(I498),""))</f>
        <v/>
      </c>
      <c r="L498" s="32" t="n"/>
      <c r="M498" s="1">
        <f>IF(OR(B498="",D498="",F498="Cancelled"),"",B498+N(C498)+ROW()/10000000)</f>
        <v/>
      </c>
      <c r="N498">
        <f>IF(AND(F498="Done",M498&lt;&gt;""),IF(COUNTIFS(Appointments!$D$6:$D$2005,D498,Appointments!$F$6:$F$2005,"Done",Appointments!$M$6:$M$2005,"&gt;"&amp;M498)=0,1,0),0)</f>
        <v/>
      </c>
      <c r="O498">
        <f>IF(AND(F498="Booked",M498&lt;&gt;"",N(B498)&gt;=TODAY()),IF(COUNTIFS(Appointments!$D$6:$D$2005,D498,Appointments!$F$6:$F$2005,"Booked",Appointments!$B$6:$B$2005,"&gt;="&amp;TODAY(),Appointments!$M$6:$M$2005,"&lt;"&amp;M498)=0,1,0),0)</f>
        <v/>
      </c>
    </row>
    <row r="499">
      <c r="A499" s="1" t="n"/>
      <c r="B499" s="30" t="n">
        <v>46143</v>
      </c>
      <c r="C499" s="31" t="n">
        <v>0.375</v>
      </c>
      <c r="D499" s="32" t="inlineStr">
        <is>
          <t>Adam King</t>
        </is>
      </c>
      <c r="E499" s="32" t="inlineStr">
        <is>
          <t>Men's haircut</t>
        </is>
      </c>
      <c r="F499" s="33" t="inlineStr">
        <is>
          <t>Done</t>
        </is>
      </c>
      <c r="G499" s="27">
        <f>IF(E499="","",MAX(0,IFERROR(INDEX(Services!$C$6:$C$35,MATCH(E499,Services!$B$6:$B$35,0)),0)-N(H499)))</f>
        <v/>
      </c>
      <c r="H499" s="34" t="n"/>
      <c r="I499" s="34" t="n">
        <v>30</v>
      </c>
      <c r="J499" s="33" t="inlineStr">
        <is>
          <t>Cash</t>
        </is>
      </c>
      <c r="K499" s="28">
        <f>IF(OR(B499="",F499&lt;&gt;"Done",J499="Package"),"",IF(N(G499)-N(I499)&gt;0,N(G499)-N(I499),""))</f>
        <v/>
      </c>
      <c r="L499" s="32" t="n"/>
      <c r="M499" s="1">
        <f>IF(OR(B499="",D499="",F499="Cancelled"),"",B499+N(C499)+ROW()/10000000)</f>
        <v/>
      </c>
      <c r="N499">
        <f>IF(AND(F499="Done",M499&lt;&gt;""),IF(COUNTIFS(Appointments!$D$6:$D$2005,D499,Appointments!$F$6:$F$2005,"Done",Appointments!$M$6:$M$2005,"&gt;"&amp;M499)=0,1,0),0)</f>
        <v/>
      </c>
      <c r="O499">
        <f>IF(AND(F499="Booked",M499&lt;&gt;"",N(B499)&gt;=TODAY()),IF(COUNTIFS(Appointments!$D$6:$D$2005,D499,Appointments!$F$6:$F$2005,"Booked",Appointments!$B$6:$B$2005,"&gt;="&amp;TODAY(),Appointments!$M$6:$M$2005,"&lt;"&amp;M499)=0,1,0),0)</f>
        <v/>
      </c>
    </row>
    <row r="500">
      <c r="A500" s="1" t="n"/>
      <c r="B500" s="30" t="n">
        <v>46143</v>
      </c>
      <c r="C500" s="31" t="n">
        <v>0.4027777777777778</v>
      </c>
      <c r="D500" s="32" t="inlineStr">
        <is>
          <t>Chris West</t>
        </is>
      </c>
      <c r="E500" s="32" t="inlineStr">
        <is>
          <t>Men's haircut</t>
        </is>
      </c>
      <c r="F500" s="33" t="inlineStr">
        <is>
          <t>Done</t>
        </is>
      </c>
      <c r="G500" s="27">
        <f>IF(E500="","",MAX(0,IFERROR(INDEX(Services!$C$6:$C$35,MATCH(E500,Services!$B$6:$B$35,0)),0)-N(H500)))</f>
        <v/>
      </c>
      <c r="H500" s="34" t="n"/>
      <c r="I500" s="34" t="n">
        <v>30</v>
      </c>
      <c r="J500" s="33" t="inlineStr">
        <is>
          <t>Card</t>
        </is>
      </c>
      <c r="K500" s="28">
        <f>IF(OR(B500="",F500&lt;&gt;"Done",J500="Package"),"",IF(N(G500)-N(I500)&gt;0,N(G500)-N(I500),""))</f>
        <v/>
      </c>
      <c r="L500" s="32" t="n"/>
      <c r="M500" s="1">
        <f>IF(OR(B500="",D500="",F500="Cancelled"),"",B500+N(C500)+ROW()/10000000)</f>
        <v/>
      </c>
      <c r="N500">
        <f>IF(AND(F500="Done",M500&lt;&gt;""),IF(COUNTIFS(Appointments!$D$6:$D$2005,D500,Appointments!$F$6:$F$2005,"Done",Appointments!$M$6:$M$2005,"&gt;"&amp;M500)=0,1,0),0)</f>
        <v/>
      </c>
      <c r="O500">
        <f>IF(AND(F500="Booked",M500&lt;&gt;"",N(B500)&gt;=TODAY()),IF(COUNTIFS(Appointments!$D$6:$D$2005,D500,Appointments!$F$6:$F$2005,"Booked",Appointments!$B$6:$B$2005,"&gt;="&amp;TODAY(),Appointments!$M$6:$M$2005,"&lt;"&amp;M500)=0,1,0),0)</f>
        <v/>
      </c>
    </row>
    <row r="501">
      <c r="A501" s="1" t="n"/>
      <c r="B501" s="30" t="n">
        <v>46143</v>
      </c>
      <c r="C501" s="31" t="n">
        <v>0.4305555555555556</v>
      </c>
      <c r="D501" s="32" t="inlineStr">
        <is>
          <t>Dina West</t>
        </is>
      </c>
      <c r="E501" s="32" t="inlineStr">
        <is>
          <t>Treatment</t>
        </is>
      </c>
      <c r="F501" s="33" t="inlineStr">
        <is>
          <t>Done</t>
        </is>
      </c>
      <c r="G501" s="27">
        <f>IF(E501="","",MAX(0,IFERROR(INDEX(Services!$C$6:$C$35,MATCH(E501,Services!$B$6:$B$35,0)),0)-N(H501)))</f>
        <v/>
      </c>
      <c r="H501" s="34" t="n"/>
      <c r="I501" s="34" t="n">
        <v>30</v>
      </c>
      <c r="J501" s="33" t="inlineStr">
        <is>
          <t>App</t>
        </is>
      </c>
      <c r="K501" s="28">
        <f>IF(OR(B501="",F501&lt;&gt;"Done",J501="Package"),"",IF(N(G501)-N(I501)&gt;0,N(G501)-N(I501),""))</f>
        <v/>
      </c>
      <c r="L501" s="32" t="n"/>
      <c r="M501" s="1">
        <f>IF(OR(B501="",D501="",F501="Cancelled"),"",B501+N(C501)+ROW()/10000000)</f>
        <v/>
      </c>
      <c r="N501">
        <f>IF(AND(F501="Done",M501&lt;&gt;""),IF(COUNTIFS(Appointments!$D$6:$D$2005,D501,Appointments!$F$6:$F$2005,"Done",Appointments!$M$6:$M$2005,"&gt;"&amp;M501)=0,1,0),0)</f>
        <v/>
      </c>
      <c r="O501">
        <f>IF(AND(F501="Booked",M501&lt;&gt;"",N(B501)&gt;=TODAY()),IF(COUNTIFS(Appointments!$D$6:$D$2005,D501,Appointments!$F$6:$F$2005,"Booked",Appointments!$B$6:$B$2005,"&gt;="&amp;TODAY(),Appointments!$M$6:$M$2005,"&lt;"&amp;M501)=0,1,0),0)</f>
        <v/>
      </c>
    </row>
    <row r="502">
      <c r="A502" s="1" t="n"/>
      <c r="B502" s="30" t="n">
        <v>46143</v>
      </c>
      <c r="C502" s="31" t="n">
        <v>0.4583333333333333</v>
      </c>
      <c r="D502" s="32" t="inlineStr">
        <is>
          <t>Finn Wood</t>
        </is>
      </c>
      <c r="E502" s="32" t="inlineStr">
        <is>
          <t>Men's haircut</t>
        </is>
      </c>
      <c r="F502" s="33" t="inlineStr">
        <is>
          <t>Done</t>
        </is>
      </c>
      <c r="G502" s="27">
        <f>IF(E502="","",MAX(0,IFERROR(INDEX(Services!$C$6:$C$35,MATCH(E502,Services!$B$6:$B$35,0)),0)-N(H502)))</f>
        <v/>
      </c>
      <c r="H502" s="34" t="n"/>
      <c r="I502" s="34" t="n">
        <v>30</v>
      </c>
      <c r="J502" s="33" t="inlineStr">
        <is>
          <t>Card</t>
        </is>
      </c>
      <c r="K502" s="28">
        <f>IF(OR(B502="",F502&lt;&gt;"Done",J502="Package"),"",IF(N(G502)-N(I502)&gt;0,N(G502)-N(I502),""))</f>
        <v/>
      </c>
      <c r="L502" s="32" t="n"/>
      <c r="M502" s="1">
        <f>IF(OR(B502="",D502="",F502="Cancelled"),"",B502+N(C502)+ROW()/10000000)</f>
        <v/>
      </c>
      <c r="N502">
        <f>IF(AND(F502="Done",M502&lt;&gt;""),IF(COUNTIFS(Appointments!$D$6:$D$2005,D502,Appointments!$F$6:$F$2005,"Done",Appointments!$M$6:$M$2005,"&gt;"&amp;M502)=0,1,0),0)</f>
        <v/>
      </c>
      <c r="O502">
        <f>IF(AND(F502="Booked",M502&lt;&gt;"",N(B502)&gt;=TODAY()),IF(COUNTIFS(Appointments!$D$6:$D$2005,D502,Appointments!$F$6:$F$2005,"Booked",Appointments!$B$6:$B$2005,"&gt;="&amp;TODAY(),Appointments!$M$6:$M$2005,"&lt;"&amp;M502)=0,1,0),0)</f>
        <v/>
      </c>
    </row>
    <row r="503">
      <c r="A503" s="1" t="n"/>
      <c r="B503" s="30" t="n">
        <v>46143</v>
      </c>
      <c r="C503" s="31" t="n">
        <v>0.4861111111111111</v>
      </c>
      <c r="D503" s="32" t="inlineStr">
        <is>
          <t>Julia Hughes</t>
        </is>
      </c>
      <c r="E503" s="32" t="inlineStr">
        <is>
          <t>Women's haircut</t>
        </is>
      </c>
      <c r="F503" s="33" t="inlineStr">
        <is>
          <t>Done</t>
        </is>
      </c>
      <c r="G503" s="27">
        <f>IF(E503="","",MAX(0,IFERROR(INDEX(Services!$C$6:$C$35,MATCH(E503,Services!$B$6:$B$35,0)),0)-N(H503)))</f>
        <v/>
      </c>
      <c r="H503" s="34" t="n"/>
      <c r="I503" s="34" t="n">
        <v>55</v>
      </c>
      <c r="J503" s="33" t="inlineStr">
        <is>
          <t>Card</t>
        </is>
      </c>
      <c r="K503" s="28">
        <f>IF(OR(B503="",F503&lt;&gt;"Done",J503="Package"),"",IF(N(G503)-N(I503)&gt;0,N(G503)-N(I503),""))</f>
        <v/>
      </c>
      <c r="L503" s="32" t="n"/>
      <c r="M503" s="1">
        <f>IF(OR(B503="",D503="",F503="Cancelled"),"",B503+N(C503)+ROW()/10000000)</f>
        <v/>
      </c>
      <c r="N503">
        <f>IF(AND(F503="Done",M503&lt;&gt;""),IF(COUNTIFS(Appointments!$D$6:$D$2005,D503,Appointments!$F$6:$F$2005,"Done",Appointments!$M$6:$M$2005,"&gt;"&amp;M503)=0,1,0),0)</f>
        <v/>
      </c>
      <c r="O503">
        <f>IF(AND(F503="Booked",M503&lt;&gt;"",N(B503)&gt;=TODAY()),IF(COUNTIFS(Appointments!$D$6:$D$2005,D503,Appointments!$F$6:$F$2005,"Booked",Appointments!$B$6:$B$2005,"&gt;="&amp;TODAY(),Appointments!$M$6:$M$2005,"&lt;"&amp;M503)=0,1,0),0)</f>
        <v/>
      </c>
    </row>
    <row r="504">
      <c r="A504" s="1" t="n"/>
      <c r="B504" s="30" t="n">
        <v>46143</v>
      </c>
      <c r="C504" s="31" t="n">
        <v>0.5347222222222222</v>
      </c>
      <c r="D504" s="32" t="inlineStr">
        <is>
          <t>Julia Lewis</t>
        </is>
      </c>
      <c r="E504" s="32" t="inlineStr">
        <is>
          <t>Blow dry</t>
        </is>
      </c>
      <c r="F504" s="33" t="inlineStr">
        <is>
          <t>Done</t>
        </is>
      </c>
      <c r="G504" s="27">
        <f>IF(E504="","",MAX(0,IFERROR(INDEX(Services!$C$6:$C$35,MATCH(E504,Services!$B$6:$B$35,0)),0)-N(H504)))</f>
        <v/>
      </c>
      <c r="H504" s="34" t="n"/>
      <c r="I504" s="34" t="n">
        <v>35</v>
      </c>
      <c r="J504" s="33" t="inlineStr">
        <is>
          <t>Card</t>
        </is>
      </c>
      <c r="K504" s="28">
        <f>IF(OR(B504="",F504&lt;&gt;"Done",J504="Package"),"",IF(N(G504)-N(I504)&gt;0,N(G504)-N(I504),""))</f>
        <v/>
      </c>
      <c r="L504" s="32" t="n"/>
      <c r="M504" s="1">
        <f>IF(OR(B504="",D504="",F504="Cancelled"),"",B504+N(C504)+ROW()/10000000)</f>
        <v/>
      </c>
      <c r="N504">
        <f>IF(AND(F504="Done",M504&lt;&gt;""),IF(COUNTIFS(Appointments!$D$6:$D$2005,D504,Appointments!$F$6:$F$2005,"Done",Appointments!$M$6:$M$2005,"&gt;"&amp;M504)=0,1,0),0)</f>
        <v/>
      </c>
      <c r="O504">
        <f>IF(AND(F504="Booked",M504&lt;&gt;"",N(B504)&gt;=TODAY()),IF(COUNTIFS(Appointments!$D$6:$D$2005,D504,Appointments!$F$6:$F$2005,"Booked",Appointments!$B$6:$B$2005,"&gt;="&amp;TODAY(),Appointments!$M$6:$M$2005,"&lt;"&amp;M504)=0,1,0),0)</f>
        <v/>
      </c>
    </row>
    <row r="505">
      <c r="A505" s="1" t="n"/>
      <c r="B505" s="30" t="n">
        <v>46143</v>
      </c>
      <c r="C505" s="31" t="n">
        <v>0.5729166666666666</v>
      </c>
      <c r="D505" s="32" t="inlineStr">
        <is>
          <t>Owen Lewis</t>
        </is>
      </c>
      <c r="E505" s="32" t="inlineStr">
        <is>
          <t>Men's haircut</t>
        </is>
      </c>
      <c r="F505" s="33" t="inlineStr">
        <is>
          <t>Done</t>
        </is>
      </c>
      <c r="G505" s="27">
        <f>IF(E505="","",MAX(0,IFERROR(INDEX(Services!$C$6:$C$35,MATCH(E505,Services!$B$6:$B$35,0)),0)-N(H505)))</f>
        <v/>
      </c>
      <c r="H505" s="34" t="n"/>
      <c r="I505" s="34" t="n">
        <v>30</v>
      </c>
      <c r="J505" s="33" t="inlineStr">
        <is>
          <t>Card</t>
        </is>
      </c>
      <c r="K505" s="28">
        <f>IF(OR(B505="",F505&lt;&gt;"Done",J505="Package"),"",IF(N(G505)-N(I505)&gt;0,N(G505)-N(I505),""))</f>
        <v/>
      </c>
      <c r="L505" s="32" t="n"/>
      <c r="M505" s="1">
        <f>IF(OR(B505="",D505="",F505="Cancelled"),"",B505+N(C505)+ROW()/10000000)</f>
        <v/>
      </c>
      <c r="N505">
        <f>IF(AND(F505="Done",M505&lt;&gt;""),IF(COUNTIFS(Appointments!$D$6:$D$2005,D505,Appointments!$F$6:$F$2005,"Done",Appointments!$M$6:$M$2005,"&gt;"&amp;M505)=0,1,0),0)</f>
        <v/>
      </c>
      <c r="O505">
        <f>IF(AND(F505="Booked",M505&lt;&gt;"",N(B505)&gt;=TODAY()),IF(COUNTIFS(Appointments!$D$6:$D$2005,D505,Appointments!$F$6:$F$2005,"Booked",Appointments!$B$6:$B$2005,"&gt;="&amp;TODAY(),Appointments!$M$6:$M$2005,"&lt;"&amp;M505)=0,1,0),0)</f>
        <v/>
      </c>
    </row>
    <row r="506">
      <c r="A506" s="1" t="n"/>
      <c r="B506" s="30" t="n">
        <v>46144</v>
      </c>
      <c r="C506" s="31" t="n">
        <v>0.375</v>
      </c>
      <c r="D506" s="32" t="inlineStr">
        <is>
          <t>Finn Price</t>
        </is>
      </c>
      <c r="E506" s="32" t="inlineStr">
        <is>
          <t>Men's haircut</t>
        </is>
      </c>
      <c r="F506" s="33" t="inlineStr">
        <is>
          <t>No-show</t>
        </is>
      </c>
      <c r="G506" s="27">
        <f>IF(E506="","",MAX(0,IFERROR(INDEX(Services!$C$6:$C$35,MATCH(E506,Services!$B$6:$B$35,0)),0)-N(H506)))</f>
        <v/>
      </c>
      <c r="H506" s="34" t="n"/>
      <c r="I506" s="34" t="n"/>
      <c r="J506" s="33" t="n"/>
      <c r="K506" s="28">
        <f>IF(OR(B506="",F506&lt;&gt;"Done",J506="Package"),"",IF(N(G506)-N(I506)&gt;0,N(G506)-N(I506),""))</f>
        <v/>
      </c>
      <c r="L506" s="32" t="n"/>
      <c r="M506" s="1">
        <f>IF(OR(B506="",D506="",F506="Cancelled"),"",B506+N(C506)+ROW()/10000000)</f>
        <v/>
      </c>
      <c r="N506">
        <f>IF(AND(F506="Done",M506&lt;&gt;""),IF(COUNTIFS(Appointments!$D$6:$D$2005,D506,Appointments!$F$6:$F$2005,"Done",Appointments!$M$6:$M$2005,"&gt;"&amp;M506)=0,1,0),0)</f>
        <v/>
      </c>
      <c r="O506">
        <f>IF(AND(F506="Booked",M506&lt;&gt;"",N(B506)&gt;=TODAY()),IF(COUNTIFS(Appointments!$D$6:$D$2005,D506,Appointments!$F$6:$F$2005,"Booked",Appointments!$B$6:$B$2005,"&gt;="&amp;TODAY(),Appointments!$M$6:$M$2005,"&lt;"&amp;M506)=0,1,0),0)</f>
        <v/>
      </c>
    </row>
    <row r="507">
      <c r="A507" s="1" t="n"/>
      <c r="B507" s="30" t="n">
        <v>46144</v>
      </c>
      <c r="C507" s="31" t="n">
        <v>0.4027777777777778</v>
      </c>
      <c r="D507" s="32" t="inlineStr">
        <is>
          <t>Hannah Hughes</t>
        </is>
      </c>
      <c r="E507" s="32" t="inlineStr">
        <is>
          <t>Women's haircut</t>
        </is>
      </c>
      <c r="F507" s="33" t="inlineStr">
        <is>
          <t>Done</t>
        </is>
      </c>
      <c r="G507" s="27">
        <f>IF(E507="","",MAX(0,IFERROR(INDEX(Services!$C$6:$C$35,MATCH(E507,Services!$B$6:$B$35,0)),0)-N(H507)))</f>
        <v/>
      </c>
      <c r="H507" s="34" t="n"/>
      <c r="I507" s="34" t="n">
        <v>55</v>
      </c>
      <c r="J507" s="33" t="inlineStr">
        <is>
          <t>App</t>
        </is>
      </c>
      <c r="K507" s="28">
        <f>IF(OR(B507="",F507&lt;&gt;"Done",J507="Package"),"",IF(N(G507)-N(I507)&gt;0,N(G507)-N(I507),""))</f>
        <v/>
      </c>
      <c r="L507" s="32" t="n"/>
      <c r="M507" s="1">
        <f>IF(OR(B507="",D507="",F507="Cancelled"),"",B507+N(C507)+ROW()/10000000)</f>
        <v/>
      </c>
      <c r="N507">
        <f>IF(AND(F507="Done",M507&lt;&gt;""),IF(COUNTIFS(Appointments!$D$6:$D$2005,D507,Appointments!$F$6:$F$2005,"Done",Appointments!$M$6:$M$2005,"&gt;"&amp;M507)=0,1,0),0)</f>
        <v/>
      </c>
      <c r="O507">
        <f>IF(AND(F507="Booked",M507&lt;&gt;"",N(B507)&gt;=TODAY()),IF(COUNTIFS(Appointments!$D$6:$D$2005,D507,Appointments!$F$6:$F$2005,"Booked",Appointments!$B$6:$B$2005,"&gt;="&amp;TODAY(),Appointments!$M$6:$M$2005,"&lt;"&amp;M507)=0,1,0),0)</f>
        <v/>
      </c>
    </row>
    <row r="508">
      <c r="A508" s="1" t="n"/>
      <c r="B508" s="30" t="n">
        <v>46144</v>
      </c>
      <c r="C508" s="31" t="n">
        <v>0.4513888888888889</v>
      </c>
      <c r="D508" s="32" t="inlineStr">
        <is>
          <t>Pete Young</t>
        </is>
      </c>
      <c r="E508" s="32" t="inlineStr">
        <is>
          <t>Men's haircut</t>
        </is>
      </c>
      <c r="F508" s="33" t="inlineStr">
        <is>
          <t>Done</t>
        </is>
      </c>
      <c r="G508" s="27">
        <f>IF(E508="","",MAX(0,IFERROR(INDEX(Services!$C$6:$C$35,MATCH(E508,Services!$B$6:$B$35,0)),0)-N(H508)))</f>
        <v/>
      </c>
      <c r="H508" s="34" t="n"/>
      <c r="I508" s="34" t="n">
        <v>30</v>
      </c>
      <c r="J508" s="33" t="inlineStr">
        <is>
          <t>Card</t>
        </is>
      </c>
      <c r="K508" s="28">
        <f>IF(OR(B508="",F508&lt;&gt;"Done",J508="Package"),"",IF(N(G508)-N(I508)&gt;0,N(G508)-N(I508),""))</f>
        <v/>
      </c>
      <c r="L508" s="32" t="n"/>
      <c r="M508" s="1">
        <f>IF(OR(B508="",D508="",F508="Cancelled"),"",B508+N(C508)+ROW()/10000000)</f>
        <v/>
      </c>
      <c r="N508">
        <f>IF(AND(F508="Done",M508&lt;&gt;""),IF(COUNTIFS(Appointments!$D$6:$D$2005,D508,Appointments!$F$6:$F$2005,"Done",Appointments!$M$6:$M$2005,"&gt;"&amp;M508)=0,1,0),0)</f>
        <v/>
      </c>
      <c r="O508">
        <f>IF(AND(F508="Booked",M508&lt;&gt;"",N(B508)&gt;=TODAY()),IF(COUNTIFS(Appointments!$D$6:$D$2005,D508,Appointments!$F$6:$F$2005,"Booked",Appointments!$B$6:$B$2005,"&gt;="&amp;TODAY(),Appointments!$M$6:$M$2005,"&lt;"&amp;M508)=0,1,0),0)</f>
        <v/>
      </c>
    </row>
    <row r="509">
      <c r="A509" s="1" t="n"/>
      <c r="B509" s="30" t="n">
        <v>46144</v>
      </c>
      <c r="C509" s="31" t="n">
        <v>0.4791666666666667</v>
      </c>
      <c r="D509" s="32" t="inlineStr">
        <is>
          <t>Ryan Webb</t>
        </is>
      </c>
      <c r="E509" s="32" t="inlineStr">
        <is>
          <t>Men's haircut</t>
        </is>
      </c>
      <c r="F509" s="33" t="inlineStr">
        <is>
          <t>Done</t>
        </is>
      </c>
      <c r="G509" s="27">
        <f>IF(E509="","",MAX(0,IFERROR(INDEX(Services!$C$6:$C$35,MATCH(E509,Services!$B$6:$B$35,0)),0)-N(H509)))</f>
        <v/>
      </c>
      <c r="H509" s="34" t="n"/>
      <c r="I509" s="34" t="n">
        <v>30</v>
      </c>
      <c r="J509" s="33" t="inlineStr">
        <is>
          <t>Card</t>
        </is>
      </c>
      <c r="K509" s="28">
        <f>IF(OR(B509="",F509&lt;&gt;"Done",J509="Package"),"",IF(N(G509)-N(I509)&gt;0,N(G509)-N(I509),""))</f>
        <v/>
      </c>
      <c r="L509" s="32" t="n"/>
      <c r="M509" s="1">
        <f>IF(OR(B509="",D509="",F509="Cancelled"),"",B509+N(C509)+ROW()/10000000)</f>
        <v/>
      </c>
      <c r="N509">
        <f>IF(AND(F509="Done",M509&lt;&gt;""),IF(COUNTIFS(Appointments!$D$6:$D$2005,D509,Appointments!$F$6:$F$2005,"Done",Appointments!$M$6:$M$2005,"&gt;"&amp;M509)=0,1,0),0)</f>
        <v/>
      </c>
      <c r="O509">
        <f>IF(AND(F509="Booked",M509&lt;&gt;"",N(B509)&gt;=TODAY()),IF(COUNTIFS(Appointments!$D$6:$D$2005,D509,Appointments!$F$6:$F$2005,"Booked",Appointments!$B$6:$B$2005,"&gt;="&amp;TODAY(),Appointments!$M$6:$M$2005,"&lt;"&amp;M509)=0,1,0),0)</f>
        <v/>
      </c>
    </row>
    <row r="510">
      <c r="A510" s="1" t="n"/>
      <c r="B510" s="30" t="n">
        <v>46144</v>
      </c>
      <c r="C510" s="31" t="n">
        <v>0.5069444444444444</v>
      </c>
      <c r="D510" s="32" t="inlineStr">
        <is>
          <t>Tom Cole</t>
        </is>
      </c>
      <c r="E510" s="32" t="inlineStr">
        <is>
          <t>Men's haircut</t>
        </is>
      </c>
      <c r="F510" s="33" t="inlineStr">
        <is>
          <t>Done</t>
        </is>
      </c>
      <c r="G510" s="27">
        <f>IF(E510="","",MAX(0,IFERROR(INDEX(Services!$C$6:$C$35,MATCH(E510,Services!$B$6:$B$35,0)),0)-N(H510)))</f>
        <v/>
      </c>
      <c r="H510" s="34" t="n"/>
      <c r="I510" s="34" t="n">
        <v>30</v>
      </c>
      <c r="J510" s="33" t="inlineStr">
        <is>
          <t>Transfer</t>
        </is>
      </c>
      <c r="K510" s="28">
        <f>IF(OR(B510="",F510&lt;&gt;"Done",J510="Package"),"",IF(N(G510)-N(I510)&gt;0,N(G510)-N(I510),""))</f>
        <v/>
      </c>
      <c r="L510" s="32" t="n"/>
      <c r="M510" s="1">
        <f>IF(OR(B510="",D510="",F510="Cancelled"),"",B510+N(C510)+ROW()/10000000)</f>
        <v/>
      </c>
      <c r="N510">
        <f>IF(AND(F510="Done",M510&lt;&gt;""),IF(COUNTIFS(Appointments!$D$6:$D$2005,D510,Appointments!$F$6:$F$2005,"Done",Appointments!$M$6:$M$2005,"&gt;"&amp;M510)=0,1,0),0)</f>
        <v/>
      </c>
      <c r="O510">
        <f>IF(AND(F510="Booked",M510&lt;&gt;"",N(B510)&gt;=TODAY()),IF(COUNTIFS(Appointments!$D$6:$D$2005,D510,Appointments!$F$6:$F$2005,"Booked",Appointments!$B$6:$B$2005,"&gt;="&amp;TODAY(),Appointments!$M$6:$M$2005,"&lt;"&amp;M510)=0,1,0),0)</f>
        <v/>
      </c>
    </row>
    <row r="511">
      <c r="A511" s="1" t="n"/>
      <c r="B511" s="30" t="n">
        <v>46147</v>
      </c>
      <c r="C511" s="31" t="n">
        <v>0.375</v>
      </c>
      <c r="D511" s="32" t="inlineStr">
        <is>
          <t>Ava Lewis</t>
        </is>
      </c>
      <c r="E511" s="32" t="inlineStr">
        <is>
          <t>Colour</t>
        </is>
      </c>
      <c r="F511" s="33" t="inlineStr">
        <is>
          <t>Done</t>
        </is>
      </c>
      <c r="G511" s="27">
        <f>IF(E511="","",MAX(0,IFERROR(INDEX(Services!$C$6:$C$35,MATCH(E511,Services!$B$6:$B$35,0)),0)-N(H511)))</f>
        <v/>
      </c>
      <c r="H511" s="34" t="n"/>
      <c r="I511" s="34" t="n">
        <v>95</v>
      </c>
      <c r="J511" s="33" t="inlineStr">
        <is>
          <t>Cash</t>
        </is>
      </c>
      <c r="K511" s="28">
        <f>IF(OR(B511="",F511&lt;&gt;"Done",J511="Package"),"",IF(N(G511)-N(I511)&gt;0,N(G511)-N(I511),""))</f>
        <v/>
      </c>
      <c r="L511" s="32" t="n"/>
      <c r="M511" s="1">
        <f>IF(OR(B511="",D511="",F511="Cancelled"),"",B511+N(C511)+ROW()/10000000)</f>
        <v/>
      </c>
      <c r="N511">
        <f>IF(AND(F511="Done",M511&lt;&gt;""),IF(COUNTIFS(Appointments!$D$6:$D$2005,D511,Appointments!$F$6:$F$2005,"Done",Appointments!$M$6:$M$2005,"&gt;"&amp;M511)=0,1,0),0)</f>
        <v/>
      </c>
      <c r="O511">
        <f>IF(AND(F511="Booked",M511&lt;&gt;"",N(B511)&gt;=TODAY()),IF(COUNTIFS(Appointments!$D$6:$D$2005,D511,Appointments!$F$6:$F$2005,"Booked",Appointments!$B$6:$B$2005,"&gt;="&amp;TODAY(),Appointments!$M$6:$M$2005,"&lt;"&amp;M511)=0,1,0),0)</f>
        <v/>
      </c>
    </row>
    <row r="512">
      <c r="A512" s="1" t="n"/>
      <c r="B512" s="30" t="n">
        <v>46147</v>
      </c>
      <c r="C512" s="31" t="n">
        <v>0.4652777777777778</v>
      </c>
      <c r="D512" s="32" t="inlineStr">
        <is>
          <t>Holly Shaw</t>
        </is>
      </c>
      <c r="E512" s="32" t="inlineStr">
        <is>
          <t>Women's haircut</t>
        </is>
      </c>
      <c r="F512" s="33" t="inlineStr">
        <is>
          <t>Done</t>
        </is>
      </c>
      <c r="G512" s="27">
        <f>IF(E512="","",MAX(0,IFERROR(INDEX(Services!$C$6:$C$35,MATCH(E512,Services!$B$6:$B$35,0)),0)-N(H512)))</f>
        <v/>
      </c>
      <c r="H512" s="34" t="n"/>
      <c r="I512" s="34" t="n">
        <v>55</v>
      </c>
      <c r="J512" s="33" t="inlineStr">
        <is>
          <t>Transfer</t>
        </is>
      </c>
      <c r="K512" s="28">
        <f>IF(OR(B512="",F512&lt;&gt;"Done",J512="Package"),"",IF(N(G512)-N(I512)&gt;0,N(G512)-N(I512),""))</f>
        <v/>
      </c>
      <c r="L512" s="32" t="n"/>
      <c r="M512" s="1">
        <f>IF(OR(B512="",D512="",F512="Cancelled"),"",B512+N(C512)+ROW()/10000000)</f>
        <v/>
      </c>
      <c r="N512">
        <f>IF(AND(F512="Done",M512&lt;&gt;""),IF(COUNTIFS(Appointments!$D$6:$D$2005,D512,Appointments!$F$6:$F$2005,"Done",Appointments!$M$6:$M$2005,"&gt;"&amp;M512)=0,1,0),0)</f>
        <v/>
      </c>
      <c r="O512">
        <f>IF(AND(F512="Booked",M512&lt;&gt;"",N(B512)&gt;=TODAY()),IF(COUNTIFS(Appointments!$D$6:$D$2005,D512,Appointments!$F$6:$F$2005,"Booked",Appointments!$B$6:$B$2005,"&gt;="&amp;TODAY(),Appointments!$M$6:$M$2005,"&lt;"&amp;M512)=0,1,0),0)</f>
        <v/>
      </c>
    </row>
    <row r="513">
      <c r="A513" s="1" t="n"/>
      <c r="B513" s="30" t="n">
        <v>46147</v>
      </c>
      <c r="C513" s="31" t="n">
        <v>0.5138888888888888</v>
      </c>
      <c r="D513" s="32" t="inlineStr">
        <is>
          <t>Ian Hall</t>
        </is>
      </c>
      <c r="E513" s="32" t="inlineStr">
        <is>
          <t>Men's haircut</t>
        </is>
      </c>
      <c r="F513" s="33" t="inlineStr">
        <is>
          <t>Done</t>
        </is>
      </c>
      <c r="G513" s="27">
        <f>IF(E513="","",MAX(0,IFERROR(INDEX(Services!$C$6:$C$35,MATCH(E513,Services!$B$6:$B$35,0)),0)-N(H513)))</f>
        <v/>
      </c>
      <c r="H513" s="34" t="n"/>
      <c r="I513" s="34" t="n">
        <v>30</v>
      </c>
      <c r="J513" s="33" t="inlineStr">
        <is>
          <t>Transfer</t>
        </is>
      </c>
      <c r="K513" s="28">
        <f>IF(OR(B513="",F513&lt;&gt;"Done",J513="Package"),"",IF(N(G513)-N(I513)&gt;0,N(G513)-N(I513),""))</f>
        <v/>
      </c>
      <c r="L513" s="32" t="n"/>
      <c r="M513" s="1">
        <f>IF(OR(B513="",D513="",F513="Cancelled"),"",B513+N(C513)+ROW()/10000000)</f>
        <v/>
      </c>
      <c r="N513">
        <f>IF(AND(F513="Done",M513&lt;&gt;""),IF(COUNTIFS(Appointments!$D$6:$D$2005,D513,Appointments!$F$6:$F$2005,"Done",Appointments!$M$6:$M$2005,"&gt;"&amp;M513)=0,1,0),0)</f>
        <v/>
      </c>
      <c r="O513">
        <f>IF(AND(F513="Booked",M513&lt;&gt;"",N(B513)&gt;=TODAY()),IF(COUNTIFS(Appointments!$D$6:$D$2005,D513,Appointments!$F$6:$F$2005,"Booked",Appointments!$B$6:$B$2005,"&gt;="&amp;TODAY(),Appointments!$M$6:$M$2005,"&lt;"&amp;M513)=0,1,0),0)</f>
        <v/>
      </c>
    </row>
    <row r="514">
      <c r="A514" s="1" t="n"/>
      <c r="B514" s="30" t="n">
        <v>46147</v>
      </c>
      <c r="C514" s="31" t="n">
        <v>0.5416666666666666</v>
      </c>
      <c r="D514" s="32" t="inlineStr">
        <is>
          <t>Luke Lewis</t>
        </is>
      </c>
      <c r="E514" s="32" t="inlineStr">
        <is>
          <t>Men's haircut</t>
        </is>
      </c>
      <c r="F514" s="33" t="inlineStr">
        <is>
          <t>Done</t>
        </is>
      </c>
      <c r="G514" s="27">
        <f>IF(E514="","",MAX(0,IFERROR(INDEX(Services!$C$6:$C$35,MATCH(E514,Services!$B$6:$B$35,0)),0)-N(H514)))</f>
        <v/>
      </c>
      <c r="H514" s="34" t="n"/>
      <c r="I514" s="34" t="n">
        <v>30</v>
      </c>
      <c r="J514" s="33" t="inlineStr">
        <is>
          <t>Cash</t>
        </is>
      </c>
      <c r="K514" s="28">
        <f>IF(OR(B514="",F514&lt;&gt;"Done",J514="Package"),"",IF(N(G514)-N(I514)&gt;0,N(G514)-N(I514),""))</f>
        <v/>
      </c>
      <c r="L514" s="32" t="n"/>
      <c r="M514" s="1">
        <f>IF(OR(B514="",D514="",F514="Cancelled"),"",B514+N(C514)+ROW()/10000000)</f>
        <v/>
      </c>
      <c r="N514">
        <f>IF(AND(F514="Done",M514&lt;&gt;""),IF(COUNTIFS(Appointments!$D$6:$D$2005,D514,Appointments!$F$6:$F$2005,"Done",Appointments!$M$6:$M$2005,"&gt;"&amp;M514)=0,1,0),0)</f>
        <v/>
      </c>
      <c r="O514">
        <f>IF(AND(F514="Booked",M514&lt;&gt;"",N(B514)&gt;=TODAY()),IF(COUNTIFS(Appointments!$D$6:$D$2005,D514,Appointments!$F$6:$F$2005,"Booked",Appointments!$B$6:$B$2005,"&gt;="&amp;TODAY(),Appointments!$M$6:$M$2005,"&lt;"&amp;M514)=0,1,0),0)</f>
        <v/>
      </c>
    </row>
    <row r="515">
      <c r="A515" s="1" t="n"/>
      <c r="B515" s="30" t="n">
        <v>46147</v>
      </c>
      <c r="C515" s="31" t="n">
        <v>0.5694444444444444</v>
      </c>
      <c r="D515" s="32" t="inlineStr">
        <is>
          <t>Olivia Green</t>
        </is>
      </c>
      <c r="E515" s="32" t="inlineStr">
        <is>
          <t>Women's haircut</t>
        </is>
      </c>
      <c r="F515" s="33" t="inlineStr">
        <is>
          <t>Cancelled</t>
        </is>
      </c>
      <c r="G515" s="27">
        <f>IF(E515="","",MAX(0,IFERROR(INDEX(Services!$C$6:$C$35,MATCH(E515,Services!$B$6:$B$35,0)),0)-N(H515)))</f>
        <v/>
      </c>
      <c r="H515" s="34" t="n"/>
      <c r="I515" s="34" t="n"/>
      <c r="J515" s="33" t="n"/>
      <c r="K515" s="28">
        <f>IF(OR(B515="",F515&lt;&gt;"Done",J515="Package"),"",IF(N(G515)-N(I515)&gt;0,N(G515)-N(I515),""))</f>
        <v/>
      </c>
      <c r="L515" s="32" t="n"/>
      <c r="M515" s="1">
        <f>IF(OR(B515="",D515="",F515="Cancelled"),"",B515+N(C515)+ROW()/10000000)</f>
        <v/>
      </c>
      <c r="N515">
        <f>IF(AND(F515="Done",M515&lt;&gt;""),IF(COUNTIFS(Appointments!$D$6:$D$2005,D515,Appointments!$F$6:$F$2005,"Done",Appointments!$M$6:$M$2005,"&gt;"&amp;M515)=0,1,0),0)</f>
        <v/>
      </c>
      <c r="O515">
        <f>IF(AND(F515="Booked",M515&lt;&gt;"",N(B515)&gt;=TODAY()),IF(COUNTIFS(Appointments!$D$6:$D$2005,D515,Appointments!$F$6:$F$2005,"Booked",Appointments!$B$6:$B$2005,"&gt;="&amp;TODAY(),Appointments!$M$6:$M$2005,"&lt;"&amp;M515)=0,1,0),0)</f>
        <v/>
      </c>
    </row>
    <row r="516">
      <c r="A516" s="1" t="n"/>
      <c r="B516" s="30" t="n">
        <v>46147</v>
      </c>
      <c r="C516" s="31" t="n">
        <v>0.6180555555555556</v>
      </c>
      <c r="D516" s="32" t="inlineStr">
        <is>
          <t>Tina Walsh</t>
        </is>
      </c>
      <c r="E516" s="32" t="inlineStr">
        <is>
          <t>Women's haircut</t>
        </is>
      </c>
      <c r="F516" s="33" t="inlineStr">
        <is>
          <t>Done</t>
        </is>
      </c>
      <c r="G516" s="27">
        <f>IF(E516="","",MAX(0,IFERROR(INDEX(Services!$C$6:$C$35,MATCH(E516,Services!$B$6:$B$35,0)),0)-N(H516)))</f>
        <v/>
      </c>
      <c r="H516" s="34" t="n"/>
      <c r="I516" s="34" t="n">
        <v>55</v>
      </c>
      <c r="J516" s="33" t="inlineStr">
        <is>
          <t>Cash</t>
        </is>
      </c>
      <c r="K516" s="28">
        <f>IF(OR(B516="",F516&lt;&gt;"Done",J516="Package"),"",IF(N(G516)-N(I516)&gt;0,N(G516)-N(I516),""))</f>
        <v/>
      </c>
      <c r="L516" s="32" t="n"/>
      <c r="M516" s="1">
        <f>IF(OR(B516="",D516="",F516="Cancelled"),"",B516+N(C516)+ROW()/10000000)</f>
        <v/>
      </c>
      <c r="N516">
        <f>IF(AND(F516="Done",M516&lt;&gt;""),IF(COUNTIFS(Appointments!$D$6:$D$2005,D516,Appointments!$F$6:$F$2005,"Done",Appointments!$M$6:$M$2005,"&gt;"&amp;M516)=0,1,0),0)</f>
        <v/>
      </c>
      <c r="O516">
        <f>IF(AND(F516="Booked",M516&lt;&gt;"",N(B516)&gt;=TODAY()),IF(COUNTIFS(Appointments!$D$6:$D$2005,D516,Appointments!$F$6:$F$2005,"Booked",Appointments!$B$6:$B$2005,"&gt;="&amp;TODAY(),Appointments!$M$6:$M$2005,"&lt;"&amp;M516)=0,1,0),0)</f>
        <v/>
      </c>
    </row>
    <row r="517">
      <c r="A517" s="1" t="n"/>
      <c r="B517" s="30" t="n">
        <v>46148</v>
      </c>
      <c r="C517" s="31" t="n">
        <v>0.375</v>
      </c>
      <c r="D517" s="32" t="inlineStr">
        <is>
          <t>Dan Owens</t>
        </is>
      </c>
      <c r="E517" s="32" t="inlineStr">
        <is>
          <t>Men's haircut</t>
        </is>
      </c>
      <c r="F517" s="33" t="inlineStr">
        <is>
          <t>Done</t>
        </is>
      </c>
      <c r="G517" s="27">
        <f>IF(E517="","",MAX(0,IFERROR(INDEX(Services!$C$6:$C$35,MATCH(E517,Services!$B$6:$B$35,0)),0)-N(H517)))</f>
        <v/>
      </c>
      <c r="H517" s="34" t="n"/>
      <c r="I517" s="34" t="n">
        <v>30</v>
      </c>
      <c r="J517" s="33" t="inlineStr">
        <is>
          <t>Cash</t>
        </is>
      </c>
      <c r="K517" s="28">
        <f>IF(OR(B517="",F517&lt;&gt;"Done",J517="Package"),"",IF(N(G517)-N(I517)&gt;0,N(G517)-N(I517),""))</f>
        <v/>
      </c>
      <c r="L517" s="32" t="n"/>
      <c r="M517" s="1">
        <f>IF(OR(B517="",D517="",F517="Cancelled"),"",B517+N(C517)+ROW()/10000000)</f>
        <v/>
      </c>
      <c r="N517">
        <f>IF(AND(F517="Done",M517&lt;&gt;""),IF(COUNTIFS(Appointments!$D$6:$D$2005,D517,Appointments!$F$6:$F$2005,"Done",Appointments!$M$6:$M$2005,"&gt;"&amp;M517)=0,1,0),0)</f>
        <v/>
      </c>
      <c r="O517">
        <f>IF(AND(F517="Booked",M517&lt;&gt;"",N(B517)&gt;=TODAY()),IF(COUNTIFS(Appointments!$D$6:$D$2005,D517,Appointments!$F$6:$F$2005,"Booked",Appointments!$B$6:$B$2005,"&gt;="&amp;TODAY(),Appointments!$M$6:$M$2005,"&lt;"&amp;M517)=0,1,0),0)</f>
        <v/>
      </c>
    </row>
    <row r="518">
      <c r="A518" s="1" t="n"/>
      <c r="B518" s="30" t="n">
        <v>46148</v>
      </c>
      <c r="C518" s="31" t="n">
        <v>0.4027777777777778</v>
      </c>
      <c r="D518" s="32" t="inlineStr">
        <is>
          <t>Eli James</t>
        </is>
      </c>
      <c r="E518" s="32" t="inlineStr">
        <is>
          <t>Men's haircut</t>
        </is>
      </c>
      <c r="F518" s="33" t="inlineStr">
        <is>
          <t>Done</t>
        </is>
      </c>
      <c r="G518" s="27">
        <f>IF(E518="","",MAX(0,IFERROR(INDEX(Services!$C$6:$C$35,MATCH(E518,Services!$B$6:$B$35,0)),0)-N(H518)))</f>
        <v/>
      </c>
      <c r="H518" s="34" t="n"/>
      <c r="I518" s="34" t="n">
        <v>30</v>
      </c>
      <c r="J518" s="33" t="inlineStr">
        <is>
          <t>Card</t>
        </is>
      </c>
      <c r="K518" s="28">
        <f>IF(OR(B518="",F518&lt;&gt;"Done",J518="Package"),"",IF(N(G518)-N(I518)&gt;0,N(G518)-N(I518),""))</f>
        <v/>
      </c>
      <c r="L518" s="32" t="n"/>
      <c r="M518" s="1">
        <f>IF(OR(B518="",D518="",F518="Cancelled"),"",B518+N(C518)+ROW()/10000000)</f>
        <v/>
      </c>
      <c r="N518">
        <f>IF(AND(F518="Done",M518&lt;&gt;""),IF(COUNTIFS(Appointments!$D$6:$D$2005,D518,Appointments!$F$6:$F$2005,"Done",Appointments!$M$6:$M$2005,"&gt;"&amp;M518)=0,1,0),0)</f>
        <v/>
      </c>
      <c r="O518">
        <f>IF(AND(F518="Booked",M518&lt;&gt;"",N(B518)&gt;=TODAY()),IF(COUNTIFS(Appointments!$D$6:$D$2005,D518,Appointments!$F$6:$F$2005,"Booked",Appointments!$B$6:$B$2005,"&gt;="&amp;TODAY(),Appointments!$M$6:$M$2005,"&lt;"&amp;M518)=0,1,0),0)</f>
        <v/>
      </c>
    </row>
    <row r="519">
      <c r="A519" s="1" t="n"/>
      <c r="B519" s="30" t="n">
        <v>46148</v>
      </c>
      <c r="C519" s="31" t="n">
        <v>0.4305555555555556</v>
      </c>
      <c r="D519" s="32" t="inlineStr">
        <is>
          <t>Grace Lee</t>
        </is>
      </c>
      <c r="E519" s="32" t="inlineStr">
        <is>
          <t>Blow dry</t>
        </is>
      </c>
      <c r="F519" s="33" t="inlineStr">
        <is>
          <t>Done</t>
        </is>
      </c>
      <c r="G519" s="27">
        <f>IF(E519="","",MAX(0,IFERROR(INDEX(Services!$C$6:$C$35,MATCH(E519,Services!$B$6:$B$35,0)),0)-N(H519)))</f>
        <v/>
      </c>
      <c r="H519" s="34" t="n"/>
      <c r="I519" s="34" t="n">
        <v>35</v>
      </c>
      <c r="J519" s="33" t="inlineStr">
        <is>
          <t>Card</t>
        </is>
      </c>
      <c r="K519" s="28">
        <f>IF(OR(B519="",F519&lt;&gt;"Done",J519="Package"),"",IF(N(G519)-N(I519)&gt;0,N(G519)-N(I519),""))</f>
        <v/>
      </c>
      <c r="L519" s="32" t="n"/>
      <c r="M519" s="1">
        <f>IF(OR(B519="",D519="",F519="Cancelled"),"",B519+N(C519)+ROW()/10000000)</f>
        <v/>
      </c>
      <c r="N519">
        <f>IF(AND(F519="Done",M519&lt;&gt;""),IF(COUNTIFS(Appointments!$D$6:$D$2005,D519,Appointments!$F$6:$F$2005,"Done",Appointments!$M$6:$M$2005,"&gt;"&amp;M519)=0,1,0),0)</f>
        <v/>
      </c>
      <c r="O519">
        <f>IF(AND(F519="Booked",M519&lt;&gt;"",N(B519)&gt;=TODAY()),IF(COUNTIFS(Appointments!$D$6:$D$2005,D519,Appointments!$F$6:$F$2005,"Booked",Appointments!$B$6:$B$2005,"&gt;="&amp;TODAY(),Appointments!$M$6:$M$2005,"&lt;"&amp;M519)=0,1,0),0)</f>
        <v/>
      </c>
    </row>
    <row r="520">
      <c r="A520" s="1" t="n"/>
      <c r="B520" s="30" t="n">
        <v>46148</v>
      </c>
      <c r="C520" s="31" t="n">
        <v>0.46875</v>
      </c>
      <c r="D520" s="32" t="inlineStr">
        <is>
          <t>Harry Hall</t>
        </is>
      </c>
      <c r="E520" s="32" t="inlineStr">
        <is>
          <t>Men's haircut</t>
        </is>
      </c>
      <c r="F520" s="33" t="inlineStr">
        <is>
          <t>Done</t>
        </is>
      </c>
      <c r="G520" s="27">
        <f>IF(E520="","",MAX(0,IFERROR(INDEX(Services!$C$6:$C$35,MATCH(E520,Services!$B$6:$B$35,0)),0)-N(H520)))</f>
        <v/>
      </c>
      <c r="H520" s="34" t="n"/>
      <c r="I520" s="34" t="n">
        <v>30</v>
      </c>
      <c r="J520" s="33" t="inlineStr">
        <is>
          <t>App</t>
        </is>
      </c>
      <c r="K520" s="28">
        <f>IF(OR(B520="",F520&lt;&gt;"Done",J520="Package"),"",IF(N(G520)-N(I520)&gt;0,N(G520)-N(I520),""))</f>
        <v/>
      </c>
      <c r="L520" s="32" t="n"/>
      <c r="M520" s="1">
        <f>IF(OR(B520="",D520="",F520="Cancelled"),"",B520+N(C520)+ROW()/10000000)</f>
        <v/>
      </c>
      <c r="N520">
        <f>IF(AND(F520="Done",M520&lt;&gt;""),IF(COUNTIFS(Appointments!$D$6:$D$2005,D520,Appointments!$F$6:$F$2005,"Done",Appointments!$M$6:$M$2005,"&gt;"&amp;M520)=0,1,0),0)</f>
        <v/>
      </c>
      <c r="O520">
        <f>IF(AND(F520="Booked",M520&lt;&gt;"",N(B520)&gt;=TODAY()),IF(COUNTIFS(Appointments!$D$6:$D$2005,D520,Appointments!$F$6:$F$2005,"Booked",Appointments!$B$6:$B$2005,"&gt;="&amp;TODAY(),Appointments!$M$6:$M$2005,"&lt;"&amp;M520)=0,1,0),0)</f>
        <v/>
      </c>
    </row>
    <row r="521">
      <c r="A521" s="1" t="n"/>
      <c r="B521" s="30" t="n">
        <v>46148</v>
      </c>
      <c r="C521" s="31" t="n">
        <v>0.4965277777777778</v>
      </c>
      <c r="D521" s="32" t="inlineStr">
        <is>
          <t>Ian Bell</t>
        </is>
      </c>
      <c r="E521" s="32" t="inlineStr">
        <is>
          <t>Men's haircut</t>
        </is>
      </c>
      <c r="F521" s="33" t="inlineStr">
        <is>
          <t>Done</t>
        </is>
      </c>
      <c r="G521" s="27">
        <f>IF(E521="","",MAX(0,IFERROR(INDEX(Services!$C$6:$C$35,MATCH(E521,Services!$B$6:$B$35,0)),0)-N(H521)))</f>
        <v/>
      </c>
      <c r="H521" s="34" t="n"/>
      <c r="I521" s="34" t="n">
        <v>30</v>
      </c>
      <c r="J521" s="33" t="inlineStr">
        <is>
          <t>Card</t>
        </is>
      </c>
      <c r="K521" s="28">
        <f>IF(OR(B521="",F521&lt;&gt;"Done",J521="Package"),"",IF(N(G521)-N(I521)&gt;0,N(G521)-N(I521),""))</f>
        <v/>
      </c>
      <c r="L521" s="32" t="n"/>
      <c r="M521" s="1">
        <f>IF(OR(B521="",D521="",F521="Cancelled"),"",B521+N(C521)+ROW()/10000000)</f>
        <v/>
      </c>
      <c r="N521">
        <f>IF(AND(F521="Done",M521&lt;&gt;""),IF(COUNTIFS(Appointments!$D$6:$D$2005,D521,Appointments!$F$6:$F$2005,"Done",Appointments!$M$6:$M$2005,"&gt;"&amp;M521)=0,1,0),0)</f>
        <v/>
      </c>
      <c r="O521">
        <f>IF(AND(F521="Booked",M521&lt;&gt;"",N(B521)&gt;=TODAY()),IF(COUNTIFS(Appointments!$D$6:$D$2005,D521,Appointments!$F$6:$F$2005,"Booked",Appointments!$B$6:$B$2005,"&gt;="&amp;TODAY(),Appointments!$M$6:$M$2005,"&lt;"&amp;M521)=0,1,0),0)</f>
        <v/>
      </c>
    </row>
    <row r="522">
      <c r="A522" s="1" t="n"/>
      <c r="B522" s="30" t="n">
        <v>46148</v>
      </c>
      <c r="C522" s="31" t="n">
        <v>0.5243055555555556</v>
      </c>
      <c r="D522" s="32" t="inlineStr">
        <is>
          <t>Ian Reed</t>
        </is>
      </c>
      <c r="E522" s="32" t="inlineStr">
        <is>
          <t>Men's haircut</t>
        </is>
      </c>
      <c r="F522" s="33" t="inlineStr">
        <is>
          <t>Done</t>
        </is>
      </c>
      <c r="G522" s="27">
        <f>IF(E522="","",MAX(0,IFERROR(INDEX(Services!$C$6:$C$35,MATCH(E522,Services!$B$6:$B$35,0)),0)-N(H522)))</f>
        <v/>
      </c>
      <c r="H522" s="34" t="n"/>
      <c r="I522" s="34" t="n">
        <v>30</v>
      </c>
      <c r="J522" s="33" t="inlineStr">
        <is>
          <t>Card</t>
        </is>
      </c>
      <c r="K522" s="28">
        <f>IF(OR(B522="",F522&lt;&gt;"Done",J522="Package"),"",IF(N(G522)-N(I522)&gt;0,N(G522)-N(I522),""))</f>
        <v/>
      </c>
      <c r="L522" s="32" t="n"/>
      <c r="M522" s="1">
        <f>IF(OR(B522="",D522="",F522="Cancelled"),"",B522+N(C522)+ROW()/10000000)</f>
        <v/>
      </c>
      <c r="N522">
        <f>IF(AND(F522="Done",M522&lt;&gt;""),IF(COUNTIFS(Appointments!$D$6:$D$2005,D522,Appointments!$F$6:$F$2005,"Done",Appointments!$M$6:$M$2005,"&gt;"&amp;M522)=0,1,0),0)</f>
        <v/>
      </c>
      <c r="O522">
        <f>IF(AND(F522="Booked",M522&lt;&gt;"",N(B522)&gt;=TODAY()),IF(COUNTIFS(Appointments!$D$6:$D$2005,D522,Appointments!$F$6:$F$2005,"Booked",Appointments!$B$6:$B$2005,"&gt;="&amp;TODAY(),Appointments!$M$6:$M$2005,"&lt;"&amp;M522)=0,1,0),0)</f>
        <v/>
      </c>
    </row>
    <row r="523">
      <c r="A523" s="1" t="n"/>
      <c r="B523" s="30" t="n">
        <v>46149</v>
      </c>
      <c r="C523" s="31" t="n">
        <v>0.375</v>
      </c>
      <c r="D523" s="32" t="inlineStr">
        <is>
          <t>Chris Cox</t>
        </is>
      </c>
      <c r="E523" s="32" t="inlineStr">
        <is>
          <t>Men's haircut</t>
        </is>
      </c>
      <c r="F523" s="33" t="inlineStr">
        <is>
          <t>Done</t>
        </is>
      </c>
      <c r="G523" s="27">
        <f>IF(E523="","",MAX(0,IFERROR(INDEX(Services!$C$6:$C$35,MATCH(E523,Services!$B$6:$B$35,0)),0)-N(H523)))</f>
        <v/>
      </c>
      <c r="H523" s="34" t="n"/>
      <c r="I523" s="34" t="n">
        <v>30</v>
      </c>
      <c r="J523" s="33" t="inlineStr">
        <is>
          <t>Card</t>
        </is>
      </c>
      <c r="K523" s="28">
        <f>IF(OR(B523="",F523&lt;&gt;"Done",J523="Package"),"",IF(N(G523)-N(I523)&gt;0,N(G523)-N(I523),""))</f>
        <v/>
      </c>
      <c r="L523" s="32" t="n"/>
      <c r="M523" s="1">
        <f>IF(OR(B523="",D523="",F523="Cancelled"),"",B523+N(C523)+ROW()/10000000)</f>
        <v/>
      </c>
      <c r="N523">
        <f>IF(AND(F523="Done",M523&lt;&gt;""),IF(COUNTIFS(Appointments!$D$6:$D$2005,D523,Appointments!$F$6:$F$2005,"Done",Appointments!$M$6:$M$2005,"&gt;"&amp;M523)=0,1,0),0)</f>
        <v/>
      </c>
      <c r="O523">
        <f>IF(AND(F523="Booked",M523&lt;&gt;"",N(B523)&gt;=TODAY()),IF(COUNTIFS(Appointments!$D$6:$D$2005,D523,Appointments!$F$6:$F$2005,"Booked",Appointments!$B$6:$B$2005,"&gt;="&amp;TODAY(),Appointments!$M$6:$M$2005,"&lt;"&amp;M523)=0,1,0),0)</f>
        <v/>
      </c>
    </row>
    <row r="524">
      <c r="A524" s="1" t="n"/>
      <c r="B524" s="30" t="n">
        <v>46149</v>
      </c>
      <c r="C524" s="31" t="n">
        <v>0.4027777777777778</v>
      </c>
      <c r="D524" s="32" t="inlineStr">
        <is>
          <t>Megan Lewis</t>
        </is>
      </c>
      <c r="E524" s="32" t="inlineStr">
        <is>
          <t>Treatment</t>
        </is>
      </c>
      <c r="F524" s="33" t="inlineStr">
        <is>
          <t>No-show</t>
        </is>
      </c>
      <c r="G524" s="27">
        <f>IF(E524="","",MAX(0,IFERROR(INDEX(Services!$C$6:$C$35,MATCH(E524,Services!$B$6:$B$35,0)),0)-N(H524)))</f>
        <v/>
      </c>
      <c r="H524" s="34" t="n"/>
      <c r="I524" s="34" t="n"/>
      <c r="J524" s="33" t="n"/>
      <c r="K524" s="28">
        <f>IF(OR(B524="",F524&lt;&gt;"Done",J524="Package"),"",IF(N(G524)-N(I524)&gt;0,N(G524)-N(I524),""))</f>
        <v/>
      </c>
      <c r="L524" s="32" t="n"/>
      <c r="M524" s="1">
        <f>IF(OR(B524="",D524="",F524="Cancelled"),"",B524+N(C524)+ROW()/10000000)</f>
        <v/>
      </c>
      <c r="N524">
        <f>IF(AND(F524="Done",M524&lt;&gt;""),IF(COUNTIFS(Appointments!$D$6:$D$2005,D524,Appointments!$F$6:$F$2005,"Done",Appointments!$M$6:$M$2005,"&gt;"&amp;M524)=0,1,0),0)</f>
        <v/>
      </c>
      <c r="O524">
        <f>IF(AND(F524="Booked",M524&lt;&gt;"",N(B524)&gt;=TODAY()),IF(COUNTIFS(Appointments!$D$6:$D$2005,D524,Appointments!$F$6:$F$2005,"Booked",Appointments!$B$6:$B$2005,"&gt;="&amp;TODAY(),Appointments!$M$6:$M$2005,"&lt;"&amp;M524)=0,1,0),0)</f>
        <v/>
      </c>
    </row>
    <row r="525">
      <c r="A525" s="1" t="n"/>
      <c r="B525" s="30" t="n">
        <v>46149</v>
      </c>
      <c r="C525" s="31" t="n">
        <v>0.4305555555555556</v>
      </c>
      <c r="D525" s="32" t="inlineStr">
        <is>
          <t>Sara Hughes</t>
        </is>
      </c>
      <c r="E525" s="32" t="inlineStr">
        <is>
          <t>Toner</t>
        </is>
      </c>
      <c r="F525" s="33" t="inlineStr">
        <is>
          <t>Done</t>
        </is>
      </c>
      <c r="G525" s="27">
        <f>IF(E525="","",MAX(0,IFERROR(INDEX(Services!$C$6:$C$35,MATCH(E525,Services!$B$6:$B$35,0)),0)-N(H525)))</f>
        <v/>
      </c>
      <c r="H525" s="34" t="n"/>
      <c r="I525" s="34" t="n">
        <v>40</v>
      </c>
      <c r="J525" s="33" t="inlineStr">
        <is>
          <t>App</t>
        </is>
      </c>
      <c r="K525" s="28">
        <f>IF(OR(B525="",F525&lt;&gt;"Done",J525="Package"),"",IF(N(G525)-N(I525)&gt;0,N(G525)-N(I525),""))</f>
        <v/>
      </c>
      <c r="L525" s="32" t="n"/>
      <c r="M525" s="1">
        <f>IF(OR(B525="",D525="",F525="Cancelled"),"",B525+N(C525)+ROW()/10000000)</f>
        <v/>
      </c>
      <c r="N525">
        <f>IF(AND(F525="Done",M525&lt;&gt;""),IF(COUNTIFS(Appointments!$D$6:$D$2005,D525,Appointments!$F$6:$F$2005,"Done",Appointments!$M$6:$M$2005,"&gt;"&amp;M525)=0,1,0),0)</f>
        <v/>
      </c>
      <c r="O525">
        <f>IF(AND(F525="Booked",M525&lt;&gt;"",N(B525)&gt;=TODAY()),IF(COUNTIFS(Appointments!$D$6:$D$2005,D525,Appointments!$F$6:$F$2005,"Booked",Appointments!$B$6:$B$2005,"&gt;="&amp;TODAY(),Appointments!$M$6:$M$2005,"&lt;"&amp;M525)=0,1,0),0)</f>
        <v/>
      </c>
    </row>
    <row r="526">
      <c r="A526" s="1" t="n"/>
      <c r="B526" s="30" t="n">
        <v>46150</v>
      </c>
      <c r="C526" s="31" t="n">
        <v>0.375</v>
      </c>
      <c r="D526" s="32" t="inlineStr">
        <is>
          <t>Ella Morgan</t>
        </is>
      </c>
      <c r="E526" s="32" t="inlineStr">
        <is>
          <t>Women's haircut</t>
        </is>
      </c>
      <c r="F526" s="33" t="inlineStr">
        <is>
          <t>Done</t>
        </is>
      </c>
      <c r="G526" s="27">
        <f>IF(E526="","",MAX(0,IFERROR(INDEX(Services!$C$6:$C$35,MATCH(E526,Services!$B$6:$B$35,0)),0)-N(H526)))</f>
        <v/>
      </c>
      <c r="H526" s="34" t="n"/>
      <c r="I526" s="34" t="n">
        <v>55</v>
      </c>
      <c r="J526" s="33" t="inlineStr">
        <is>
          <t>Cash</t>
        </is>
      </c>
      <c r="K526" s="28">
        <f>IF(OR(B526="",F526&lt;&gt;"Done",J526="Package"),"",IF(N(G526)-N(I526)&gt;0,N(G526)-N(I526),""))</f>
        <v/>
      </c>
      <c r="L526" s="32" t="n"/>
      <c r="M526" s="1">
        <f>IF(OR(B526="",D526="",F526="Cancelled"),"",B526+N(C526)+ROW()/10000000)</f>
        <v/>
      </c>
      <c r="N526">
        <f>IF(AND(F526="Done",M526&lt;&gt;""),IF(COUNTIFS(Appointments!$D$6:$D$2005,D526,Appointments!$F$6:$F$2005,"Done",Appointments!$M$6:$M$2005,"&gt;"&amp;M526)=0,1,0),0)</f>
        <v/>
      </c>
      <c r="O526">
        <f>IF(AND(F526="Booked",M526&lt;&gt;"",N(B526)&gt;=TODAY()),IF(COUNTIFS(Appointments!$D$6:$D$2005,D526,Appointments!$F$6:$F$2005,"Booked",Appointments!$B$6:$B$2005,"&gt;="&amp;TODAY(),Appointments!$M$6:$M$2005,"&lt;"&amp;M526)=0,1,0),0)</f>
        <v/>
      </c>
    </row>
    <row r="527">
      <c r="A527" s="1" t="n"/>
      <c r="B527" s="30" t="n">
        <v>46150</v>
      </c>
      <c r="C527" s="31" t="n">
        <v>0.4236111111111111</v>
      </c>
      <c r="D527" s="32" t="inlineStr">
        <is>
          <t>Nina Young</t>
        </is>
      </c>
      <c r="E527" s="32" t="inlineStr">
        <is>
          <t>Treatment</t>
        </is>
      </c>
      <c r="F527" s="33" t="inlineStr">
        <is>
          <t>Done</t>
        </is>
      </c>
      <c r="G527" s="27">
        <f>IF(E527="","",MAX(0,IFERROR(INDEX(Services!$C$6:$C$35,MATCH(E527,Services!$B$6:$B$35,0)),0)-N(H527)))</f>
        <v/>
      </c>
      <c r="H527" s="34" t="n"/>
      <c r="I527" s="34" t="n">
        <v>30</v>
      </c>
      <c r="J527" s="33" t="inlineStr">
        <is>
          <t>Card</t>
        </is>
      </c>
      <c r="K527" s="28">
        <f>IF(OR(B527="",F527&lt;&gt;"Done",J527="Package"),"",IF(N(G527)-N(I527)&gt;0,N(G527)-N(I527),""))</f>
        <v/>
      </c>
      <c r="L527" s="32" t="n"/>
      <c r="M527" s="1">
        <f>IF(OR(B527="",D527="",F527="Cancelled"),"",B527+N(C527)+ROW()/10000000)</f>
        <v/>
      </c>
      <c r="N527">
        <f>IF(AND(F527="Done",M527&lt;&gt;""),IF(COUNTIFS(Appointments!$D$6:$D$2005,D527,Appointments!$F$6:$F$2005,"Done",Appointments!$M$6:$M$2005,"&gt;"&amp;M527)=0,1,0),0)</f>
        <v/>
      </c>
      <c r="O527">
        <f>IF(AND(F527="Booked",M527&lt;&gt;"",N(B527)&gt;=TODAY()),IF(COUNTIFS(Appointments!$D$6:$D$2005,D527,Appointments!$F$6:$F$2005,"Booked",Appointments!$B$6:$B$2005,"&gt;="&amp;TODAY(),Appointments!$M$6:$M$2005,"&lt;"&amp;M527)=0,1,0),0)</f>
        <v/>
      </c>
    </row>
    <row r="528">
      <c r="A528" s="1" t="n"/>
      <c r="B528" s="30" t="n">
        <v>46150</v>
      </c>
      <c r="C528" s="31" t="n">
        <v>0.4513888888888889</v>
      </c>
      <c r="D528" s="32" t="inlineStr">
        <is>
          <t>Nora Walsh</t>
        </is>
      </c>
      <c r="E528" s="32" t="inlineStr">
        <is>
          <t>Women's haircut</t>
        </is>
      </c>
      <c r="F528" s="33" t="inlineStr">
        <is>
          <t>Done</t>
        </is>
      </c>
      <c r="G528" s="27">
        <f>IF(E528="","",MAX(0,IFERROR(INDEX(Services!$C$6:$C$35,MATCH(E528,Services!$B$6:$B$35,0)),0)-N(H528)))</f>
        <v/>
      </c>
      <c r="H528" s="34" t="n"/>
      <c r="I528" s="34" t="n">
        <v>55</v>
      </c>
      <c r="J528" s="33" t="inlineStr">
        <is>
          <t>Card</t>
        </is>
      </c>
      <c r="K528" s="28">
        <f>IF(OR(B528="",F528&lt;&gt;"Done",J528="Package"),"",IF(N(G528)-N(I528)&gt;0,N(G528)-N(I528),""))</f>
        <v/>
      </c>
      <c r="L528" s="32" t="n"/>
      <c r="M528" s="1">
        <f>IF(OR(B528="",D528="",F528="Cancelled"),"",B528+N(C528)+ROW()/10000000)</f>
        <v/>
      </c>
      <c r="N528">
        <f>IF(AND(F528="Done",M528&lt;&gt;""),IF(COUNTIFS(Appointments!$D$6:$D$2005,D528,Appointments!$F$6:$F$2005,"Done",Appointments!$M$6:$M$2005,"&gt;"&amp;M528)=0,1,0),0)</f>
        <v/>
      </c>
      <c r="O528">
        <f>IF(AND(F528="Booked",M528&lt;&gt;"",N(B528)&gt;=TODAY()),IF(COUNTIFS(Appointments!$D$6:$D$2005,D528,Appointments!$F$6:$F$2005,"Booked",Appointments!$B$6:$B$2005,"&gt;="&amp;TODAY(),Appointments!$M$6:$M$2005,"&lt;"&amp;M528)=0,1,0),0)</f>
        <v/>
      </c>
    </row>
    <row r="529">
      <c r="A529" s="1" t="n"/>
      <c r="B529" s="30" t="n">
        <v>46151</v>
      </c>
      <c r="C529" s="31" t="n">
        <v>0.375</v>
      </c>
      <c r="D529" s="32" t="inlineStr">
        <is>
          <t>Jack Wilson</t>
        </is>
      </c>
      <c r="E529" s="32" t="inlineStr">
        <is>
          <t>Men's haircut</t>
        </is>
      </c>
      <c r="F529" s="33" t="inlineStr">
        <is>
          <t>Done</t>
        </is>
      </c>
      <c r="G529" s="27">
        <f>IF(E529="","",MAX(0,IFERROR(INDEX(Services!$C$6:$C$35,MATCH(E529,Services!$B$6:$B$35,0)),0)-N(H529)))</f>
        <v/>
      </c>
      <c r="H529" s="34" t="n"/>
      <c r="I529" s="34" t="n">
        <v>30</v>
      </c>
      <c r="J529" s="33" t="inlineStr">
        <is>
          <t>Card</t>
        </is>
      </c>
      <c r="K529" s="28">
        <f>IF(OR(B529="",F529&lt;&gt;"Done",J529="Package"),"",IF(N(G529)-N(I529)&gt;0,N(G529)-N(I529),""))</f>
        <v/>
      </c>
      <c r="L529" s="32" t="n"/>
      <c r="M529" s="1">
        <f>IF(OR(B529="",D529="",F529="Cancelled"),"",B529+N(C529)+ROW()/10000000)</f>
        <v/>
      </c>
      <c r="N529">
        <f>IF(AND(F529="Done",M529&lt;&gt;""),IF(COUNTIFS(Appointments!$D$6:$D$2005,D529,Appointments!$F$6:$F$2005,"Done",Appointments!$M$6:$M$2005,"&gt;"&amp;M529)=0,1,0),0)</f>
        <v/>
      </c>
      <c r="O529">
        <f>IF(AND(F529="Booked",M529&lt;&gt;"",N(B529)&gt;=TODAY()),IF(COUNTIFS(Appointments!$D$6:$D$2005,D529,Appointments!$F$6:$F$2005,"Booked",Appointments!$B$6:$B$2005,"&gt;="&amp;TODAY(),Appointments!$M$6:$M$2005,"&lt;"&amp;M529)=0,1,0),0)</f>
        <v/>
      </c>
    </row>
    <row r="530">
      <c r="A530" s="1" t="n"/>
      <c r="B530" s="30" t="n">
        <v>46151</v>
      </c>
      <c r="C530" s="31" t="n">
        <v>0.4027777777777778</v>
      </c>
      <c r="D530" s="32" t="inlineStr">
        <is>
          <t>Owen Walsh</t>
        </is>
      </c>
      <c r="E530" s="32" t="inlineStr">
        <is>
          <t>Men's haircut</t>
        </is>
      </c>
      <c r="F530" s="33" t="inlineStr">
        <is>
          <t>Done</t>
        </is>
      </c>
      <c r="G530" s="27">
        <f>IF(E530="","",MAX(0,IFERROR(INDEX(Services!$C$6:$C$35,MATCH(E530,Services!$B$6:$B$35,0)),0)-N(H530)))</f>
        <v/>
      </c>
      <c r="H530" s="34" t="n"/>
      <c r="I530" s="34" t="n">
        <v>30</v>
      </c>
      <c r="J530" s="33" t="inlineStr">
        <is>
          <t>Card</t>
        </is>
      </c>
      <c r="K530" s="28">
        <f>IF(OR(B530="",F530&lt;&gt;"Done",J530="Package"),"",IF(N(G530)-N(I530)&gt;0,N(G530)-N(I530),""))</f>
        <v/>
      </c>
      <c r="L530" s="32" t="n"/>
      <c r="M530" s="1">
        <f>IF(OR(B530="",D530="",F530="Cancelled"),"",B530+N(C530)+ROW()/10000000)</f>
        <v/>
      </c>
      <c r="N530">
        <f>IF(AND(F530="Done",M530&lt;&gt;""),IF(COUNTIFS(Appointments!$D$6:$D$2005,D530,Appointments!$F$6:$F$2005,"Done",Appointments!$M$6:$M$2005,"&gt;"&amp;M530)=0,1,0),0)</f>
        <v/>
      </c>
      <c r="O530">
        <f>IF(AND(F530="Booked",M530&lt;&gt;"",N(B530)&gt;=TODAY()),IF(COUNTIFS(Appointments!$D$6:$D$2005,D530,Appointments!$F$6:$F$2005,"Booked",Appointments!$B$6:$B$2005,"&gt;="&amp;TODAY(),Appointments!$M$6:$M$2005,"&lt;"&amp;M530)=0,1,0),0)</f>
        <v/>
      </c>
    </row>
    <row r="531">
      <c r="A531" s="1" t="n"/>
      <c r="B531" s="30" t="n">
        <v>46151</v>
      </c>
      <c r="C531" s="31" t="n">
        <v>0.4305555555555556</v>
      </c>
      <c r="D531" s="32" t="inlineStr">
        <is>
          <t>Sophie Cox</t>
        </is>
      </c>
      <c r="E531" s="32" t="inlineStr">
        <is>
          <t>Blow dry</t>
        </is>
      </c>
      <c r="F531" s="33" t="inlineStr">
        <is>
          <t>Done</t>
        </is>
      </c>
      <c r="G531" s="27">
        <f>IF(E531="","",MAX(0,IFERROR(INDEX(Services!$C$6:$C$35,MATCH(E531,Services!$B$6:$B$35,0)),0)-N(H531)))</f>
        <v/>
      </c>
      <c r="H531" s="34" t="n"/>
      <c r="I531" s="34" t="n">
        <v>35</v>
      </c>
      <c r="J531" s="33" t="inlineStr">
        <is>
          <t>App</t>
        </is>
      </c>
      <c r="K531" s="28">
        <f>IF(OR(B531="",F531&lt;&gt;"Done",J531="Package"),"",IF(N(G531)-N(I531)&gt;0,N(G531)-N(I531),""))</f>
        <v/>
      </c>
      <c r="L531" s="32" t="n"/>
      <c r="M531" s="1">
        <f>IF(OR(B531="",D531="",F531="Cancelled"),"",B531+N(C531)+ROW()/10000000)</f>
        <v/>
      </c>
      <c r="N531">
        <f>IF(AND(F531="Done",M531&lt;&gt;""),IF(COUNTIFS(Appointments!$D$6:$D$2005,D531,Appointments!$F$6:$F$2005,"Done",Appointments!$M$6:$M$2005,"&gt;"&amp;M531)=0,1,0),0)</f>
        <v/>
      </c>
      <c r="O531">
        <f>IF(AND(F531="Booked",M531&lt;&gt;"",N(B531)&gt;=TODAY()),IF(COUNTIFS(Appointments!$D$6:$D$2005,D531,Appointments!$F$6:$F$2005,"Booked",Appointments!$B$6:$B$2005,"&gt;="&amp;TODAY(),Appointments!$M$6:$M$2005,"&lt;"&amp;M531)=0,1,0),0)</f>
        <v/>
      </c>
    </row>
    <row r="532">
      <c r="A532" s="1" t="n"/>
      <c r="B532" s="30" t="n">
        <v>46154</v>
      </c>
      <c r="C532" s="31" t="n">
        <v>0.375</v>
      </c>
      <c r="D532" s="32" t="inlineStr">
        <is>
          <t>Clara Morgan</t>
        </is>
      </c>
      <c r="E532" s="32" t="inlineStr">
        <is>
          <t>Colour</t>
        </is>
      </c>
      <c r="F532" s="33" t="inlineStr">
        <is>
          <t>Done</t>
        </is>
      </c>
      <c r="G532" s="27">
        <f>IF(E532="","",MAX(0,IFERROR(INDEX(Services!$C$6:$C$35,MATCH(E532,Services!$B$6:$B$35,0)),0)-N(H532)))</f>
        <v/>
      </c>
      <c r="H532" s="34" t="n"/>
      <c r="I532" s="34" t="n">
        <v>95</v>
      </c>
      <c r="J532" s="33" t="inlineStr">
        <is>
          <t>Cash</t>
        </is>
      </c>
      <c r="K532" s="28">
        <f>IF(OR(B532="",F532&lt;&gt;"Done",J532="Package"),"",IF(N(G532)-N(I532)&gt;0,N(G532)-N(I532),""))</f>
        <v/>
      </c>
      <c r="L532" s="32" t="n"/>
      <c r="M532" s="1">
        <f>IF(OR(B532="",D532="",F532="Cancelled"),"",B532+N(C532)+ROW()/10000000)</f>
        <v/>
      </c>
      <c r="N532">
        <f>IF(AND(F532="Done",M532&lt;&gt;""),IF(COUNTIFS(Appointments!$D$6:$D$2005,D532,Appointments!$F$6:$F$2005,"Done",Appointments!$M$6:$M$2005,"&gt;"&amp;M532)=0,1,0),0)</f>
        <v/>
      </c>
      <c r="O532">
        <f>IF(AND(F532="Booked",M532&lt;&gt;"",N(B532)&gt;=TODAY()),IF(COUNTIFS(Appointments!$D$6:$D$2005,D532,Appointments!$F$6:$F$2005,"Booked",Appointments!$B$6:$B$2005,"&gt;="&amp;TODAY(),Appointments!$M$6:$M$2005,"&lt;"&amp;M532)=0,1,0),0)</f>
        <v/>
      </c>
    </row>
    <row r="533">
      <c r="A533" s="1" t="n"/>
      <c r="B533" s="30" t="n">
        <v>46154</v>
      </c>
      <c r="C533" s="31" t="n">
        <v>0.4652777777777778</v>
      </c>
      <c r="D533" s="32" t="inlineStr">
        <is>
          <t>Finn Davies</t>
        </is>
      </c>
      <c r="E533" s="32" t="inlineStr">
        <is>
          <t>Men's haircut</t>
        </is>
      </c>
      <c r="F533" s="33" t="inlineStr">
        <is>
          <t>Done</t>
        </is>
      </c>
      <c r="G533" s="27">
        <f>IF(E533="","",MAX(0,IFERROR(INDEX(Services!$C$6:$C$35,MATCH(E533,Services!$B$6:$B$35,0)),0)-N(H533)))</f>
        <v/>
      </c>
      <c r="H533" s="34" t="n"/>
      <c r="I533" s="34" t="n">
        <v>30</v>
      </c>
      <c r="J533" s="33" t="inlineStr">
        <is>
          <t>Cash</t>
        </is>
      </c>
      <c r="K533" s="28">
        <f>IF(OR(B533="",F533&lt;&gt;"Done",J533="Package"),"",IF(N(G533)-N(I533)&gt;0,N(G533)-N(I533),""))</f>
        <v/>
      </c>
      <c r="L533" s="32" t="n"/>
      <c r="M533" s="1">
        <f>IF(OR(B533="",D533="",F533="Cancelled"),"",B533+N(C533)+ROW()/10000000)</f>
        <v/>
      </c>
      <c r="N533">
        <f>IF(AND(F533="Done",M533&lt;&gt;""),IF(COUNTIFS(Appointments!$D$6:$D$2005,D533,Appointments!$F$6:$F$2005,"Done",Appointments!$M$6:$M$2005,"&gt;"&amp;M533)=0,1,0),0)</f>
        <v/>
      </c>
      <c r="O533">
        <f>IF(AND(F533="Booked",M533&lt;&gt;"",N(B533)&gt;=TODAY()),IF(COUNTIFS(Appointments!$D$6:$D$2005,D533,Appointments!$F$6:$F$2005,"Booked",Appointments!$B$6:$B$2005,"&gt;="&amp;TODAY(),Appointments!$M$6:$M$2005,"&lt;"&amp;M533)=0,1,0),0)</f>
        <v/>
      </c>
    </row>
    <row r="534">
      <c r="A534" s="1" t="n"/>
      <c r="B534" s="30" t="n">
        <v>46154</v>
      </c>
      <c r="C534" s="31" t="n">
        <v>0.4930555555555556</v>
      </c>
      <c r="D534" s="32" t="inlineStr">
        <is>
          <t>Harry Ellis</t>
        </is>
      </c>
      <c r="E534" s="32" t="inlineStr">
        <is>
          <t>Men's haircut</t>
        </is>
      </c>
      <c r="F534" s="33" t="inlineStr">
        <is>
          <t>Done</t>
        </is>
      </c>
      <c r="G534" s="27">
        <f>IF(E534="","",MAX(0,IFERROR(INDEX(Services!$C$6:$C$35,MATCH(E534,Services!$B$6:$B$35,0)),0)-N(H534)))</f>
        <v/>
      </c>
      <c r="H534" s="34" t="n"/>
      <c r="I534" s="34" t="n">
        <v>30</v>
      </c>
      <c r="J534" s="33" t="inlineStr">
        <is>
          <t>Card</t>
        </is>
      </c>
      <c r="K534" s="28">
        <f>IF(OR(B534="",F534&lt;&gt;"Done",J534="Package"),"",IF(N(G534)-N(I534)&gt;0,N(G534)-N(I534),""))</f>
        <v/>
      </c>
      <c r="L534" s="32" t="n"/>
      <c r="M534" s="1">
        <f>IF(OR(B534="",D534="",F534="Cancelled"),"",B534+N(C534)+ROW()/10000000)</f>
        <v/>
      </c>
      <c r="N534">
        <f>IF(AND(F534="Done",M534&lt;&gt;""),IF(COUNTIFS(Appointments!$D$6:$D$2005,D534,Appointments!$F$6:$F$2005,"Done",Appointments!$M$6:$M$2005,"&gt;"&amp;M534)=0,1,0),0)</f>
        <v/>
      </c>
      <c r="O534">
        <f>IF(AND(F534="Booked",M534&lt;&gt;"",N(B534)&gt;=TODAY()),IF(COUNTIFS(Appointments!$D$6:$D$2005,D534,Appointments!$F$6:$F$2005,"Booked",Appointments!$B$6:$B$2005,"&gt;="&amp;TODAY(),Appointments!$M$6:$M$2005,"&lt;"&amp;M534)=0,1,0),0)</f>
        <v/>
      </c>
    </row>
    <row r="535">
      <c r="A535" s="1" t="n"/>
      <c r="B535" s="30" t="n">
        <v>46154</v>
      </c>
      <c r="C535" s="31" t="n">
        <v>0.5208333333333334</v>
      </c>
      <c r="D535" s="32" t="inlineStr">
        <is>
          <t>Holly Gray</t>
        </is>
      </c>
      <c r="E535" s="32" t="inlineStr">
        <is>
          <t>Women's haircut</t>
        </is>
      </c>
      <c r="F535" s="33" t="inlineStr">
        <is>
          <t>Done</t>
        </is>
      </c>
      <c r="G535" s="27">
        <f>IF(E535="","",MAX(0,IFERROR(INDEX(Services!$C$6:$C$35,MATCH(E535,Services!$B$6:$B$35,0)),0)-N(H535)))</f>
        <v/>
      </c>
      <c r="H535" s="34" t="n"/>
      <c r="I535" s="34" t="n">
        <v>55</v>
      </c>
      <c r="J535" s="33" t="inlineStr">
        <is>
          <t>Card</t>
        </is>
      </c>
      <c r="K535" s="28">
        <f>IF(OR(B535="",F535&lt;&gt;"Done",J535="Package"),"",IF(N(G535)-N(I535)&gt;0,N(G535)-N(I535),""))</f>
        <v/>
      </c>
      <c r="L535" s="32" t="n"/>
      <c r="M535" s="1">
        <f>IF(OR(B535="",D535="",F535="Cancelled"),"",B535+N(C535)+ROW()/10000000)</f>
        <v/>
      </c>
      <c r="N535">
        <f>IF(AND(F535="Done",M535&lt;&gt;""),IF(COUNTIFS(Appointments!$D$6:$D$2005,D535,Appointments!$F$6:$F$2005,"Done",Appointments!$M$6:$M$2005,"&gt;"&amp;M535)=0,1,0),0)</f>
        <v/>
      </c>
      <c r="O535">
        <f>IF(AND(F535="Booked",M535&lt;&gt;"",N(B535)&gt;=TODAY()),IF(COUNTIFS(Appointments!$D$6:$D$2005,D535,Appointments!$F$6:$F$2005,"Booked",Appointments!$B$6:$B$2005,"&gt;="&amp;TODAY(),Appointments!$M$6:$M$2005,"&lt;"&amp;M535)=0,1,0),0)</f>
        <v/>
      </c>
    </row>
    <row r="536">
      <c r="A536" s="1" t="n"/>
      <c r="B536" s="30" t="n">
        <v>46154</v>
      </c>
      <c r="C536" s="31" t="n">
        <v>0.5694444444444444</v>
      </c>
      <c r="D536" s="32" t="inlineStr">
        <is>
          <t>Paul Wright</t>
        </is>
      </c>
      <c r="E536" s="32" t="inlineStr">
        <is>
          <t>Men's haircut</t>
        </is>
      </c>
      <c r="F536" s="33" t="inlineStr">
        <is>
          <t>Done</t>
        </is>
      </c>
      <c r="G536" s="27">
        <f>IF(E536="","",MAX(0,IFERROR(INDEX(Services!$C$6:$C$35,MATCH(E536,Services!$B$6:$B$35,0)),0)-N(H536)))</f>
        <v/>
      </c>
      <c r="H536" s="34" t="n"/>
      <c r="I536" s="34" t="n">
        <v>30</v>
      </c>
      <c r="J536" s="33" t="inlineStr">
        <is>
          <t>Cash</t>
        </is>
      </c>
      <c r="K536" s="28">
        <f>IF(OR(B536="",F536&lt;&gt;"Done",J536="Package"),"",IF(N(G536)-N(I536)&gt;0,N(G536)-N(I536),""))</f>
        <v/>
      </c>
      <c r="L536" s="32" t="n"/>
      <c r="M536" s="1">
        <f>IF(OR(B536="",D536="",F536="Cancelled"),"",B536+N(C536)+ROW()/10000000)</f>
        <v/>
      </c>
      <c r="N536">
        <f>IF(AND(F536="Done",M536&lt;&gt;""),IF(COUNTIFS(Appointments!$D$6:$D$2005,D536,Appointments!$F$6:$F$2005,"Done",Appointments!$M$6:$M$2005,"&gt;"&amp;M536)=0,1,0),0)</f>
        <v/>
      </c>
      <c r="O536">
        <f>IF(AND(F536="Booked",M536&lt;&gt;"",N(B536)&gt;=TODAY()),IF(COUNTIFS(Appointments!$D$6:$D$2005,D536,Appointments!$F$6:$F$2005,"Booked",Appointments!$B$6:$B$2005,"&gt;="&amp;TODAY(),Appointments!$M$6:$M$2005,"&lt;"&amp;M536)=0,1,0),0)</f>
        <v/>
      </c>
    </row>
    <row r="537">
      <c r="A537" s="1" t="n"/>
      <c r="B537" s="30" t="n">
        <v>46154</v>
      </c>
      <c r="C537" s="31" t="n">
        <v>0.5972222222222222</v>
      </c>
      <c r="D537" s="32" t="inlineStr">
        <is>
          <t>Quinn Harris</t>
        </is>
      </c>
      <c r="E537" s="32" t="inlineStr">
        <is>
          <t>Highlights</t>
        </is>
      </c>
      <c r="F537" s="33" t="inlineStr">
        <is>
          <t>Done</t>
        </is>
      </c>
      <c r="G537" s="27">
        <f>IF(E537="","",MAX(0,IFERROR(INDEX(Services!$C$6:$C$35,MATCH(E537,Services!$B$6:$B$35,0)),0)-N(H537)))</f>
        <v/>
      </c>
      <c r="H537" s="34" t="n"/>
      <c r="I537" s="34" t="n">
        <v>140</v>
      </c>
      <c r="J537" s="33" t="inlineStr">
        <is>
          <t>Card</t>
        </is>
      </c>
      <c r="K537" s="28">
        <f>IF(OR(B537="",F537&lt;&gt;"Done",J537="Package"),"",IF(N(G537)-N(I537)&gt;0,N(G537)-N(I537),""))</f>
        <v/>
      </c>
      <c r="L537" s="32" t="n"/>
      <c r="M537" s="1">
        <f>IF(OR(B537="",D537="",F537="Cancelled"),"",B537+N(C537)+ROW()/10000000)</f>
        <v/>
      </c>
      <c r="N537">
        <f>IF(AND(F537="Done",M537&lt;&gt;""),IF(COUNTIFS(Appointments!$D$6:$D$2005,D537,Appointments!$F$6:$F$2005,"Done",Appointments!$M$6:$M$2005,"&gt;"&amp;M537)=0,1,0),0)</f>
        <v/>
      </c>
      <c r="O537">
        <f>IF(AND(F537="Booked",M537&lt;&gt;"",N(B537)&gt;=TODAY()),IF(COUNTIFS(Appointments!$D$6:$D$2005,D537,Appointments!$F$6:$F$2005,"Booked",Appointments!$B$6:$B$2005,"&gt;="&amp;TODAY(),Appointments!$M$6:$M$2005,"&lt;"&amp;M537)=0,1,0),0)</f>
        <v/>
      </c>
    </row>
    <row r="538">
      <c r="A538" s="1" t="n"/>
      <c r="B538" s="30" t="n">
        <v>46154</v>
      </c>
      <c r="C538" s="31" t="n">
        <v>0.7083333333333334</v>
      </c>
      <c r="D538" s="32" t="inlineStr">
        <is>
          <t>Sam Clarke</t>
        </is>
      </c>
      <c r="E538" s="32" t="inlineStr">
        <is>
          <t>Men's haircut</t>
        </is>
      </c>
      <c r="F538" s="33" t="inlineStr">
        <is>
          <t>Done</t>
        </is>
      </c>
      <c r="G538" s="27">
        <f>IF(E538="","",MAX(0,IFERROR(INDEX(Services!$C$6:$C$35,MATCH(E538,Services!$B$6:$B$35,0)),0)-N(H538)))</f>
        <v/>
      </c>
      <c r="H538" s="34" t="n"/>
      <c r="I538" s="34" t="n">
        <v>30</v>
      </c>
      <c r="J538" s="33" t="inlineStr">
        <is>
          <t>Card</t>
        </is>
      </c>
      <c r="K538" s="28">
        <f>IF(OR(B538="",F538&lt;&gt;"Done",J538="Package"),"",IF(N(G538)-N(I538)&gt;0,N(G538)-N(I538),""))</f>
        <v/>
      </c>
      <c r="L538" s="32" t="n"/>
      <c r="M538" s="1">
        <f>IF(OR(B538="",D538="",F538="Cancelled"),"",B538+N(C538)+ROW()/10000000)</f>
        <v/>
      </c>
      <c r="N538">
        <f>IF(AND(F538="Done",M538&lt;&gt;""),IF(COUNTIFS(Appointments!$D$6:$D$2005,D538,Appointments!$F$6:$F$2005,"Done",Appointments!$M$6:$M$2005,"&gt;"&amp;M538)=0,1,0),0)</f>
        <v/>
      </c>
      <c r="O538">
        <f>IF(AND(F538="Booked",M538&lt;&gt;"",N(B538)&gt;=TODAY()),IF(COUNTIFS(Appointments!$D$6:$D$2005,D538,Appointments!$F$6:$F$2005,"Booked",Appointments!$B$6:$B$2005,"&gt;="&amp;TODAY(),Appointments!$M$6:$M$2005,"&lt;"&amp;M538)=0,1,0),0)</f>
        <v/>
      </c>
    </row>
    <row r="539">
      <c r="A539" s="1" t="n"/>
      <c r="B539" s="30" t="n">
        <v>46155</v>
      </c>
      <c r="C539" s="31" t="n">
        <v>0.375</v>
      </c>
      <c r="D539" s="32" t="inlineStr">
        <is>
          <t>Chris Cook</t>
        </is>
      </c>
      <c r="E539" s="32" t="inlineStr">
        <is>
          <t>Men's haircut</t>
        </is>
      </c>
      <c r="F539" s="33" t="inlineStr">
        <is>
          <t>Done</t>
        </is>
      </c>
      <c r="G539" s="27">
        <f>IF(E539="","",MAX(0,IFERROR(INDEX(Services!$C$6:$C$35,MATCH(E539,Services!$B$6:$B$35,0)),0)-N(H539)))</f>
        <v/>
      </c>
      <c r="H539" s="34" t="n"/>
      <c r="I539" s="34" t="n">
        <v>30</v>
      </c>
      <c r="J539" s="33" t="inlineStr">
        <is>
          <t>Card</t>
        </is>
      </c>
      <c r="K539" s="28">
        <f>IF(OR(B539="",F539&lt;&gt;"Done",J539="Package"),"",IF(N(G539)-N(I539)&gt;0,N(G539)-N(I539),""))</f>
        <v/>
      </c>
      <c r="L539" s="32" t="n"/>
      <c r="M539" s="1">
        <f>IF(OR(B539="",D539="",F539="Cancelled"),"",B539+N(C539)+ROW()/10000000)</f>
        <v/>
      </c>
      <c r="N539">
        <f>IF(AND(F539="Done",M539&lt;&gt;""),IF(COUNTIFS(Appointments!$D$6:$D$2005,D539,Appointments!$F$6:$F$2005,"Done",Appointments!$M$6:$M$2005,"&gt;"&amp;M539)=0,1,0),0)</f>
        <v/>
      </c>
      <c r="O539">
        <f>IF(AND(F539="Booked",M539&lt;&gt;"",N(B539)&gt;=TODAY()),IF(COUNTIFS(Appointments!$D$6:$D$2005,D539,Appointments!$F$6:$F$2005,"Booked",Appointments!$B$6:$B$2005,"&gt;="&amp;TODAY(),Appointments!$M$6:$M$2005,"&lt;"&amp;M539)=0,1,0),0)</f>
        <v/>
      </c>
    </row>
    <row r="540">
      <c r="A540" s="1" t="n"/>
      <c r="B540" s="30" t="n">
        <v>46155</v>
      </c>
      <c r="C540" s="31" t="n">
        <v>0.4027777777777778</v>
      </c>
      <c r="D540" s="32" t="inlineStr">
        <is>
          <t>Dina Baker</t>
        </is>
      </c>
      <c r="E540" s="32" t="inlineStr">
        <is>
          <t>Women's haircut</t>
        </is>
      </c>
      <c r="F540" s="33" t="inlineStr">
        <is>
          <t>No-show</t>
        </is>
      </c>
      <c r="G540" s="27">
        <f>IF(E540="","",MAX(0,IFERROR(INDEX(Services!$C$6:$C$35,MATCH(E540,Services!$B$6:$B$35,0)),0)-N(H540)))</f>
        <v/>
      </c>
      <c r="H540" s="34" t="n"/>
      <c r="I540" s="34" t="n"/>
      <c r="J540" s="33" t="n"/>
      <c r="K540" s="28">
        <f>IF(OR(B540="",F540&lt;&gt;"Done",J540="Package"),"",IF(N(G540)-N(I540)&gt;0,N(G540)-N(I540),""))</f>
        <v/>
      </c>
      <c r="L540" s="32" t="n"/>
      <c r="M540" s="1">
        <f>IF(OR(B540="",D540="",F540="Cancelled"),"",B540+N(C540)+ROW()/10000000)</f>
        <v/>
      </c>
      <c r="N540">
        <f>IF(AND(F540="Done",M540&lt;&gt;""),IF(COUNTIFS(Appointments!$D$6:$D$2005,D540,Appointments!$F$6:$F$2005,"Done",Appointments!$M$6:$M$2005,"&gt;"&amp;M540)=0,1,0),0)</f>
        <v/>
      </c>
      <c r="O540">
        <f>IF(AND(F540="Booked",M540&lt;&gt;"",N(B540)&gt;=TODAY()),IF(COUNTIFS(Appointments!$D$6:$D$2005,D540,Appointments!$F$6:$F$2005,"Booked",Appointments!$B$6:$B$2005,"&gt;="&amp;TODAY(),Appointments!$M$6:$M$2005,"&lt;"&amp;M540)=0,1,0),0)</f>
        <v/>
      </c>
    </row>
    <row r="541">
      <c r="A541" s="1" t="n"/>
      <c r="B541" s="30" t="n">
        <v>46155</v>
      </c>
      <c r="C541" s="31" t="n">
        <v>0.4513888888888889</v>
      </c>
      <c r="D541" s="32" t="inlineStr">
        <is>
          <t>George Kelly</t>
        </is>
      </c>
      <c r="E541" s="32" t="inlineStr">
        <is>
          <t>Men's haircut</t>
        </is>
      </c>
      <c r="F541" s="33" t="inlineStr">
        <is>
          <t>Done</t>
        </is>
      </c>
      <c r="G541" s="27">
        <f>IF(E541="","",MAX(0,IFERROR(INDEX(Services!$C$6:$C$35,MATCH(E541,Services!$B$6:$B$35,0)),0)-N(H541)))</f>
        <v/>
      </c>
      <c r="H541" s="34" t="n"/>
      <c r="I541" s="34" t="n">
        <v>30</v>
      </c>
      <c r="J541" s="33" t="inlineStr">
        <is>
          <t>Card</t>
        </is>
      </c>
      <c r="K541" s="28">
        <f>IF(OR(B541="",F541&lt;&gt;"Done",J541="Package"),"",IF(N(G541)-N(I541)&gt;0,N(G541)-N(I541),""))</f>
        <v/>
      </c>
      <c r="L541" s="32" t="n"/>
      <c r="M541" s="1">
        <f>IF(OR(B541="",D541="",F541="Cancelled"),"",B541+N(C541)+ROW()/10000000)</f>
        <v/>
      </c>
      <c r="N541">
        <f>IF(AND(F541="Done",M541&lt;&gt;""),IF(COUNTIFS(Appointments!$D$6:$D$2005,D541,Appointments!$F$6:$F$2005,"Done",Appointments!$M$6:$M$2005,"&gt;"&amp;M541)=0,1,0),0)</f>
        <v/>
      </c>
      <c r="O541">
        <f>IF(AND(F541="Booked",M541&lt;&gt;"",N(B541)&gt;=TODAY()),IF(COUNTIFS(Appointments!$D$6:$D$2005,D541,Appointments!$F$6:$F$2005,"Booked",Appointments!$B$6:$B$2005,"&gt;="&amp;TODAY(),Appointments!$M$6:$M$2005,"&lt;"&amp;M541)=0,1,0),0)</f>
        <v/>
      </c>
    </row>
    <row r="542">
      <c r="A542" s="1" t="n"/>
      <c r="B542" s="30" t="n">
        <v>46155</v>
      </c>
      <c r="C542" s="31" t="n">
        <v>0.4791666666666667</v>
      </c>
      <c r="D542" s="32" t="inlineStr">
        <is>
          <t>Hugo Silva</t>
        </is>
      </c>
      <c r="E542" s="32" t="inlineStr">
        <is>
          <t>Men's haircut</t>
        </is>
      </c>
      <c r="F542" s="33" t="inlineStr">
        <is>
          <t>Done</t>
        </is>
      </c>
      <c r="G542" s="27">
        <f>IF(E542="","",MAX(0,IFERROR(INDEX(Services!$C$6:$C$35,MATCH(E542,Services!$B$6:$B$35,0)),0)-N(H542)))</f>
        <v/>
      </c>
      <c r="H542" s="34" t="n"/>
      <c r="I542" s="34" t="n">
        <v>30</v>
      </c>
      <c r="J542" s="33" t="inlineStr">
        <is>
          <t>Card</t>
        </is>
      </c>
      <c r="K542" s="28">
        <f>IF(OR(B542="",F542&lt;&gt;"Done",J542="Package"),"",IF(N(G542)-N(I542)&gt;0,N(G542)-N(I542),""))</f>
        <v/>
      </c>
      <c r="L542" s="32" t="n"/>
      <c r="M542" s="1">
        <f>IF(OR(B542="",D542="",F542="Cancelled"),"",B542+N(C542)+ROW()/10000000)</f>
        <v/>
      </c>
      <c r="N542">
        <f>IF(AND(F542="Done",M542&lt;&gt;""),IF(COUNTIFS(Appointments!$D$6:$D$2005,D542,Appointments!$F$6:$F$2005,"Done",Appointments!$M$6:$M$2005,"&gt;"&amp;M542)=0,1,0),0)</f>
        <v/>
      </c>
      <c r="O542">
        <f>IF(AND(F542="Booked",M542&lt;&gt;"",N(B542)&gt;=TODAY()),IF(COUNTIFS(Appointments!$D$6:$D$2005,D542,Appointments!$F$6:$F$2005,"Booked",Appointments!$B$6:$B$2005,"&gt;="&amp;TODAY(),Appointments!$M$6:$M$2005,"&lt;"&amp;M542)=0,1,0),0)</f>
        <v/>
      </c>
    </row>
    <row r="543">
      <c r="A543" s="1" t="n"/>
      <c r="B543" s="30" t="n">
        <v>46155</v>
      </c>
      <c r="C543" s="31" t="n">
        <v>0.5069444444444444</v>
      </c>
      <c r="D543" s="32" t="inlineStr">
        <is>
          <t>Jade Davies</t>
        </is>
      </c>
      <c r="E543" s="32" t="inlineStr">
        <is>
          <t>Women's haircut</t>
        </is>
      </c>
      <c r="F543" s="33" t="inlineStr">
        <is>
          <t>Done</t>
        </is>
      </c>
      <c r="G543" s="27">
        <f>IF(E543="","",MAX(0,IFERROR(INDEX(Services!$C$6:$C$35,MATCH(E543,Services!$B$6:$B$35,0)),0)-N(H543)))</f>
        <v/>
      </c>
      <c r="H543" s="34" t="n"/>
      <c r="I543" s="34" t="n">
        <v>55</v>
      </c>
      <c r="J543" s="33" t="inlineStr">
        <is>
          <t>Card</t>
        </is>
      </c>
      <c r="K543" s="28">
        <f>IF(OR(B543="",F543&lt;&gt;"Done",J543="Package"),"",IF(N(G543)-N(I543)&gt;0,N(G543)-N(I543),""))</f>
        <v/>
      </c>
      <c r="L543" s="32" t="n"/>
      <c r="M543" s="1">
        <f>IF(OR(B543="",D543="",F543="Cancelled"),"",B543+N(C543)+ROW()/10000000)</f>
        <v/>
      </c>
      <c r="N543">
        <f>IF(AND(F543="Done",M543&lt;&gt;""),IF(COUNTIFS(Appointments!$D$6:$D$2005,D543,Appointments!$F$6:$F$2005,"Done",Appointments!$M$6:$M$2005,"&gt;"&amp;M543)=0,1,0),0)</f>
        <v/>
      </c>
      <c r="O543">
        <f>IF(AND(F543="Booked",M543&lt;&gt;"",N(B543)&gt;=TODAY()),IF(COUNTIFS(Appointments!$D$6:$D$2005,D543,Appointments!$F$6:$F$2005,"Booked",Appointments!$B$6:$B$2005,"&gt;="&amp;TODAY(),Appointments!$M$6:$M$2005,"&lt;"&amp;M543)=0,1,0),0)</f>
        <v/>
      </c>
    </row>
    <row r="544">
      <c r="A544" s="1" t="n"/>
      <c r="B544" s="30" t="n">
        <v>46155</v>
      </c>
      <c r="C544" s="31" t="n">
        <v>0.5555555555555556</v>
      </c>
      <c r="D544" s="32" t="inlineStr">
        <is>
          <t>Ryan Davies</t>
        </is>
      </c>
      <c r="E544" s="32" t="inlineStr">
        <is>
          <t>Men's haircut</t>
        </is>
      </c>
      <c r="F544" s="33" t="inlineStr">
        <is>
          <t>Done</t>
        </is>
      </c>
      <c r="G544" s="27">
        <f>IF(E544="","",MAX(0,IFERROR(INDEX(Services!$C$6:$C$35,MATCH(E544,Services!$B$6:$B$35,0)),0)-N(H544)))</f>
        <v/>
      </c>
      <c r="H544" s="34" t="n"/>
      <c r="I544" s="34" t="n">
        <v>30</v>
      </c>
      <c r="J544" s="33" t="inlineStr">
        <is>
          <t>Card</t>
        </is>
      </c>
      <c r="K544" s="28">
        <f>IF(OR(B544="",F544&lt;&gt;"Done",J544="Package"),"",IF(N(G544)-N(I544)&gt;0,N(G544)-N(I544),""))</f>
        <v/>
      </c>
      <c r="L544" s="32" t="n"/>
      <c r="M544" s="1">
        <f>IF(OR(B544="",D544="",F544="Cancelled"),"",B544+N(C544)+ROW()/10000000)</f>
        <v/>
      </c>
      <c r="N544">
        <f>IF(AND(F544="Done",M544&lt;&gt;""),IF(COUNTIFS(Appointments!$D$6:$D$2005,D544,Appointments!$F$6:$F$2005,"Done",Appointments!$M$6:$M$2005,"&gt;"&amp;M544)=0,1,0),0)</f>
        <v/>
      </c>
      <c r="O544">
        <f>IF(AND(F544="Booked",M544&lt;&gt;"",N(B544)&gt;=TODAY()),IF(COUNTIFS(Appointments!$D$6:$D$2005,D544,Appointments!$F$6:$F$2005,"Booked",Appointments!$B$6:$B$2005,"&gt;="&amp;TODAY(),Appointments!$M$6:$M$2005,"&lt;"&amp;M544)=0,1,0),0)</f>
        <v/>
      </c>
    </row>
    <row r="545">
      <c r="A545" s="1" t="n"/>
      <c r="B545" s="30" t="n">
        <v>46155</v>
      </c>
      <c r="C545" s="31" t="n">
        <v>0.5833333333333334</v>
      </c>
      <c r="D545" s="32" t="inlineStr">
        <is>
          <t>Sara Cox</t>
        </is>
      </c>
      <c r="E545" s="32" t="inlineStr">
        <is>
          <t>Colour</t>
        </is>
      </c>
      <c r="F545" s="33" t="inlineStr">
        <is>
          <t>Done</t>
        </is>
      </c>
      <c r="G545" s="27">
        <f>IF(E545="","",MAX(0,IFERROR(INDEX(Services!$C$6:$C$35,MATCH(E545,Services!$B$6:$B$35,0)),0)-N(H545)))</f>
        <v/>
      </c>
      <c r="H545" s="34" t="n"/>
      <c r="I545" s="34" t="n">
        <v>95</v>
      </c>
      <c r="J545" s="33" t="inlineStr">
        <is>
          <t>Transfer</t>
        </is>
      </c>
      <c r="K545" s="28">
        <f>IF(OR(B545="",F545&lt;&gt;"Done",J545="Package"),"",IF(N(G545)-N(I545)&gt;0,N(G545)-N(I545),""))</f>
        <v/>
      </c>
      <c r="L545" s="32" t="n"/>
      <c r="M545" s="1">
        <f>IF(OR(B545="",D545="",F545="Cancelled"),"",B545+N(C545)+ROW()/10000000)</f>
        <v/>
      </c>
      <c r="N545">
        <f>IF(AND(F545="Done",M545&lt;&gt;""),IF(COUNTIFS(Appointments!$D$6:$D$2005,D545,Appointments!$F$6:$F$2005,"Done",Appointments!$M$6:$M$2005,"&gt;"&amp;M545)=0,1,0),0)</f>
        <v/>
      </c>
      <c r="O545">
        <f>IF(AND(F545="Booked",M545&lt;&gt;"",N(B545)&gt;=TODAY()),IF(COUNTIFS(Appointments!$D$6:$D$2005,D545,Appointments!$F$6:$F$2005,"Booked",Appointments!$B$6:$B$2005,"&gt;="&amp;TODAY(),Appointments!$M$6:$M$2005,"&lt;"&amp;M545)=0,1,0),0)</f>
        <v/>
      </c>
    </row>
    <row r="546">
      <c r="A546" s="1" t="n"/>
      <c r="B546" s="30" t="n">
        <v>46156</v>
      </c>
      <c r="C546" s="31" t="n">
        <v>0.375</v>
      </c>
      <c r="D546" s="32" t="inlineStr">
        <is>
          <t>Beth Reid</t>
        </is>
      </c>
      <c r="E546" s="32" t="inlineStr">
        <is>
          <t>Highlights</t>
        </is>
      </c>
      <c r="F546" s="33" t="inlineStr">
        <is>
          <t>Done</t>
        </is>
      </c>
      <c r="G546" s="27">
        <f>IF(E546="","",MAX(0,IFERROR(INDEX(Services!$C$6:$C$35,MATCH(E546,Services!$B$6:$B$35,0)),0)-N(H546)))</f>
        <v/>
      </c>
      <c r="H546" s="34" t="n"/>
      <c r="I546" s="34" t="n">
        <v>140</v>
      </c>
      <c r="J546" s="33" t="inlineStr">
        <is>
          <t>Card</t>
        </is>
      </c>
      <c r="K546" s="28">
        <f>IF(OR(B546="",F546&lt;&gt;"Done",J546="Package"),"",IF(N(G546)-N(I546)&gt;0,N(G546)-N(I546),""))</f>
        <v/>
      </c>
      <c r="L546" s="32" t="n"/>
      <c r="M546" s="1">
        <f>IF(OR(B546="",D546="",F546="Cancelled"),"",B546+N(C546)+ROW()/10000000)</f>
        <v/>
      </c>
      <c r="N546">
        <f>IF(AND(F546="Done",M546&lt;&gt;""),IF(COUNTIFS(Appointments!$D$6:$D$2005,D546,Appointments!$F$6:$F$2005,"Done",Appointments!$M$6:$M$2005,"&gt;"&amp;M546)=0,1,0),0)</f>
        <v/>
      </c>
      <c r="O546">
        <f>IF(AND(F546="Booked",M546&lt;&gt;"",N(B546)&gt;=TODAY()),IF(COUNTIFS(Appointments!$D$6:$D$2005,D546,Appointments!$F$6:$F$2005,"Booked",Appointments!$B$6:$B$2005,"&gt;="&amp;TODAY(),Appointments!$M$6:$M$2005,"&lt;"&amp;M546)=0,1,0),0)</f>
        <v/>
      </c>
    </row>
    <row r="547">
      <c r="A547" s="1" t="n"/>
      <c r="B547" s="30" t="n">
        <v>46156</v>
      </c>
      <c r="C547" s="31" t="n">
        <v>0.4861111111111111</v>
      </c>
      <c r="D547" s="32" t="inlineStr">
        <is>
          <t>Eva Brooks</t>
        </is>
      </c>
      <c r="E547" s="32" t="inlineStr">
        <is>
          <t>Women's haircut</t>
        </is>
      </c>
      <c r="F547" s="33" t="inlineStr">
        <is>
          <t>Done</t>
        </is>
      </c>
      <c r="G547" s="27">
        <f>IF(E547="","",MAX(0,IFERROR(INDEX(Services!$C$6:$C$35,MATCH(E547,Services!$B$6:$B$35,0)),0)-N(H547)))</f>
        <v/>
      </c>
      <c r="H547" s="34" t="n"/>
      <c r="I547" s="34" t="n">
        <v>55</v>
      </c>
      <c r="J547" s="33" t="inlineStr">
        <is>
          <t>Card</t>
        </is>
      </c>
      <c r="K547" s="28">
        <f>IF(OR(B547="",F547&lt;&gt;"Done",J547="Package"),"",IF(N(G547)-N(I547)&gt;0,N(G547)-N(I547),""))</f>
        <v/>
      </c>
      <c r="L547" s="32" t="n"/>
      <c r="M547" s="1">
        <f>IF(OR(B547="",D547="",F547="Cancelled"),"",B547+N(C547)+ROW()/10000000)</f>
        <v/>
      </c>
      <c r="N547">
        <f>IF(AND(F547="Done",M547&lt;&gt;""),IF(COUNTIFS(Appointments!$D$6:$D$2005,D547,Appointments!$F$6:$F$2005,"Done",Appointments!$M$6:$M$2005,"&gt;"&amp;M547)=0,1,0),0)</f>
        <v/>
      </c>
      <c r="O547">
        <f>IF(AND(F547="Booked",M547&lt;&gt;"",N(B547)&gt;=TODAY()),IF(COUNTIFS(Appointments!$D$6:$D$2005,D547,Appointments!$F$6:$F$2005,"Booked",Appointments!$B$6:$B$2005,"&gt;="&amp;TODAY(),Appointments!$M$6:$M$2005,"&lt;"&amp;M547)=0,1,0),0)</f>
        <v/>
      </c>
    </row>
    <row r="548">
      <c r="A548" s="1" t="n"/>
      <c r="B548" s="30" t="n">
        <v>46156</v>
      </c>
      <c r="C548" s="31" t="n">
        <v>0.5347222222222222</v>
      </c>
      <c r="D548" s="32" t="inlineStr">
        <is>
          <t>Harry Cox</t>
        </is>
      </c>
      <c r="E548" s="32" t="inlineStr">
        <is>
          <t>Men's haircut</t>
        </is>
      </c>
      <c r="F548" s="33" t="inlineStr">
        <is>
          <t>Done</t>
        </is>
      </c>
      <c r="G548" s="27">
        <f>IF(E548="","",MAX(0,IFERROR(INDEX(Services!$C$6:$C$35,MATCH(E548,Services!$B$6:$B$35,0)),0)-N(H548)))</f>
        <v/>
      </c>
      <c r="H548" s="34" t="n"/>
      <c r="I548" s="34" t="n">
        <v>30</v>
      </c>
      <c r="J548" s="33" t="inlineStr">
        <is>
          <t>Card</t>
        </is>
      </c>
      <c r="K548" s="28">
        <f>IF(OR(B548="",F548&lt;&gt;"Done",J548="Package"),"",IF(N(G548)-N(I548)&gt;0,N(G548)-N(I548),""))</f>
        <v/>
      </c>
      <c r="L548" s="32" t="n"/>
      <c r="M548" s="1">
        <f>IF(OR(B548="",D548="",F548="Cancelled"),"",B548+N(C548)+ROW()/10000000)</f>
        <v/>
      </c>
      <c r="N548">
        <f>IF(AND(F548="Done",M548&lt;&gt;""),IF(COUNTIFS(Appointments!$D$6:$D$2005,D548,Appointments!$F$6:$F$2005,"Done",Appointments!$M$6:$M$2005,"&gt;"&amp;M548)=0,1,0),0)</f>
        <v/>
      </c>
      <c r="O548">
        <f>IF(AND(F548="Booked",M548&lt;&gt;"",N(B548)&gt;=TODAY()),IF(COUNTIFS(Appointments!$D$6:$D$2005,D548,Appointments!$F$6:$F$2005,"Booked",Appointments!$B$6:$B$2005,"&gt;="&amp;TODAY(),Appointments!$M$6:$M$2005,"&lt;"&amp;M548)=0,1,0),0)</f>
        <v/>
      </c>
    </row>
    <row r="549">
      <c r="A549" s="1" t="n"/>
      <c r="B549" s="30" t="n">
        <v>46156</v>
      </c>
      <c r="C549" s="31" t="n">
        <v>0.5625</v>
      </c>
      <c r="D549" s="32" t="inlineStr">
        <is>
          <t>Helen Mason</t>
        </is>
      </c>
      <c r="E549" s="32" t="inlineStr">
        <is>
          <t>Blow dry</t>
        </is>
      </c>
      <c r="F549" s="33" t="inlineStr">
        <is>
          <t>Done</t>
        </is>
      </c>
      <c r="G549" s="27">
        <f>IF(E549="","",MAX(0,IFERROR(INDEX(Services!$C$6:$C$35,MATCH(E549,Services!$B$6:$B$35,0)),0)-N(H549)))</f>
        <v/>
      </c>
      <c r="H549" s="34" t="n"/>
      <c r="I549" s="34" t="n">
        <v>35</v>
      </c>
      <c r="J549" s="33" t="inlineStr">
        <is>
          <t>Card</t>
        </is>
      </c>
      <c r="K549" s="28">
        <f>IF(OR(B549="",F549&lt;&gt;"Done",J549="Package"),"",IF(N(G549)-N(I549)&gt;0,N(G549)-N(I549),""))</f>
        <v/>
      </c>
      <c r="L549" s="32" t="n"/>
      <c r="M549" s="1">
        <f>IF(OR(B549="",D549="",F549="Cancelled"),"",B549+N(C549)+ROW()/10000000)</f>
        <v/>
      </c>
      <c r="N549">
        <f>IF(AND(F549="Done",M549&lt;&gt;""),IF(COUNTIFS(Appointments!$D$6:$D$2005,D549,Appointments!$F$6:$F$2005,"Done",Appointments!$M$6:$M$2005,"&gt;"&amp;M549)=0,1,0),0)</f>
        <v/>
      </c>
      <c r="O549">
        <f>IF(AND(F549="Booked",M549&lt;&gt;"",N(B549)&gt;=TODAY()),IF(COUNTIFS(Appointments!$D$6:$D$2005,D549,Appointments!$F$6:$F$2005,"Booked",Appointments!$B$6:$B$2005,"&gt;="&amp;TODAY(),Appointments!$M$6:$M$2005,"&lt;"&amp;M549)=0,1,0),0)</f>
        <v/>
      </c>
    </row>
    <row r="550">
      <c r="A550" s="1" t="n"/>
      <c r="B550" s="30" t="n">
        <v>46156</v>
      </c>
      <c r="C550" s="31" t="n">
        <v>0.6006944444444444</v>
      </c>
      <c r="D550" s="32" t="inlineStr">
        <is>
          <t>Jon Gray</t>
        </is>
      </c>
      <c r="E550" s="32" t="inlineStr">
        <is>
          <t>Men's haircut</t>
        </is>
      </c>
      <c r="F550" s="33" t="inlineStr">
        <is>
          <t>Cancelled</t>
        </is>
      </c>
      <c r="G550" s="27">
        <f>IF(E550="","",MAX(0,IFERROR(INDEX(Services!$C$6:$C$35,MATCH(E550,Services!$B$6:$B$35,0)),0)-N(H550)))</f>
        <v/>
      </c>
      <c r="H550" s="34" t="n"/>
      <c r="I550" s="34" t="n"/>
      <c r="J550" s="33" t="n"/>
      <c r="K550" s="28">
        <f>IF(OR(B550="",F550&lt;&gt;"Done",J550="Package"),"",IF(N(G550)-N(I550)&gt;0,N(G550)-N(I550),""))</f>
        <v/>
      </c>
      <c r="L550" s="32" t="n"/>
      <c r="M550" s="1">
        <f>IF(OR(B550="",D550="",F550="Cancelled"),"",B550+N(C550)+ROW()/10000000)</f>
        <v/>
      </c>
      <c r="N550">
        <f>IF(AND(F550="Done",M550&lt;&gt;""),IF(COUNTIFS(Appointments!$D$6:$D$2005,D550,Appointments!$F$6:$F$2005,"Done",Appointments!$M$6:$M$2005,"&gt;"&amp;M550)=0,1,0),0)</f>
        <v/>
      </c>
      <c r="O550">
        <f>IF(AND(F550="Booked",M550&lt;&gt;"",N(B550)&gt;=TODAY()),IF(COUNTIFS(Appointments!$D$6:$D$2005,D550,Appointments!$F$6:$F$2005,"Booked",Appointments!$B$6:$B$2005,"&gt;="&amp;TODAY(),Appointments!$M$6:$M$2005,"&lt;"&amp;M550)=0,1,0),0)</f>
        <v/>
      </c>
    </row>
    <row r="551">
      <c r="A551" s="1" t="n"/>
      <c r="B551" s="30" t="n">
        <v>46156</v>
      </c>
      <c r="C551" s="31" t="n">
        <v>0.6284722222222222</v>
      </c>
      <c r="D551" s="32" t="inlineStr">
        <is>
          <t>Ryan Adams</t>
        </is>
      </c>
      <c r="E551" s="32" t="inlineStr">
        <is>
          <t>Men's haircut</t>
        </is>
      </c>
      <c r="F551" s="33" t="inlineStr">
        <is>
          <t>Done</t>
        </is>
      </c>
      <c r="G551" s="27">
        <f>IF(E551="","",MAX(0,IFERROR(INDEX(Services!$C$6:$C$35,MATCH(E551,Services!$B$6:$B$35,0)),0)-N(H551)))</f>
        <v/>
      </c>
      <c r="H551" s="34" t="n"/>
      <c r="I551" s="34" t="n">
        <v>30</v>
      </c>
      <c r="J551" s="33" t="inlineStr">
        <is>
          <t>Card</t>
        </is>
      </c>
      <c r="K551" s="28">
        <f>IF(OR(B551="",F551&lt;&gt;"Done",J551="Package"),"",IF(N(G551)-N(I551)&gt;0,N(G551)-N(I551),""))</f>
        <v/>
      </c>
      <c r="L551" s="32" t="n"/>
      <c r="M551" s="1">
        <f>IF(OR(B551="",D551="",F551="Cancelled"),"",B551+N(C551)+ROW()/10000000)</f>
        <v/>
      </c>
      <c r="N551">
        <f>IF(AND(F551="Done",M551&lt;&gt;""),IF(COUNTIFS(Appointments!$D$6:$D$2005,D551,Appointments!$F$6:$F$2005,"Done",Appointments!$M$6:$M$2005,"&gt;"&amp;M551)=0,1,0),0)</f>
        <v/>
      </c>
      <c r="O551">
        <f>IF(AND(F551="Booked",M551&lt;&gt;"",N(B551)&gt;=TODAY()),IF(COUNTIFS(Appointments!$D$6:$D$2005,D551,Appointments!$F$6:$F$2005,"Booked",Appointments!$B$6:$B$2005,"&gt;="&amp;TODAY(),Appointments!$M$6:$M$2005,"&lt;"&amp;M551)=0,1,0),0)</f>
        <v/>
      </c>
    </row>
    <row r="552">
      <c r="A552" s="1" t="n"/>
      <c r="B552" s="30" t="n">
        <v>46156</v>
      </c>
      <c r="C552" s="31" t="n">
        <v>0.65625</v>
      </c>
      <c r="D552" s="32" t="inlineStr">
        <is>
          <t>Sophie Ellis</t>
        </is>
      </c>
      <c r="E552" s="32" t="inlineStr">
        <is>
          <t>Treatment</t>
        </is>
      </c>
      <c r="F552" s="33" t="inlineStr">
        <is>
          <t>Done</t>
        </is>
      </c>
      <c r="G552" s="27">
        <f>IF(E552="","",MAX(0,IFERROR(INDEX(Services!$C$6:$C$35,MATCH(E552,Services!$B$6:$B$35,0)),0)-N(H552)))</f>
        <v/>
      </c>
      <c r="H552" s="34" t="n"/>
      <c r="I552" s="34" t="n">
        <v>30</v>
      </c>
      <c r="J552" s="33" t="inlineStr">
        <is>
          <t>App</t>
        </is>
      </c>
      <c r="K552" s="28">
        <f>IF(OR(B552="",F552&lt;&gt;"Done",J552="Package"),"",IF(N(G552)-N(I552)&gt;0,N(G552)-N(I552),""))</f>
        <v/>
      </c>
      <c r="L552" s="32" t="n"/>
      <c r="M552" s="1">
        <f>IF(OR(B552="",D552="",F552="Cancelled"),"",B552+N(C552)+ROW()/10000000)</f>
        <v/>
      </c>
      <c r="N552">
        <f>IF(AND(F552="Done",M552&lt;&gt;""),IF(COUNTIFS(Appointments!$D$6:$D$2005,D552,Appointments!$F$6:$F$2005,"Done",Appointments!$M$6:$M$2005,"&gt;"&amp;M552)=0,1,0),0)</f>
        <v/>
      </c>
      <c r="O552">
        <f>IF(AND(F552="Booked",M552&lt;&gt;"",N(B552)&gt;=TODAY()),IF(COUNTIFS(Appointments!$D$6:$D$2005,D552,Appointments!$F$6:$F$2005,"Booked",Appointments!$B$6:$B$2005,"&gt;="&amp;TODAY(),Appointments!$M$6:$M$2005,"&lt;"&amp;M552)=0,1,0),0)</f>
        <v/>
      </c>
    </row>
    <row r="553">
      <c r="A553" s="1" t="n"/>
      <c r="B553" s="30" t="n">
        <v>46157</v>
      </c>
      <c r="C553" s="31" t="n">
        <v>0.375</v>
      </c>
      <c r="D553" s="32" t="inlineStr">
        <is>
          <t>Ava Cox</t>
        </is>
      </c>
      <c r="E553" s="32" t="inlineStr">
        <is>
          <t>Women's haircut</t>
        </is>
      </c>
      <c r="F553" s="33" t="inlineStr">
        <is>
          <t>Done</t>
        </is>
      </c>
      <c r="G553" s="27">
        <f>IF(E553="","",MAX(0,IFERROR(INDEX(Services!$C$6:$C$35,MATCH(E553,Services!$B$6:$B$35,0)),0)-N(H553)))</f>
        <v/>
      </c>
      <c r="H553" s="34" t="n"/>
      <c r="I553" s="34" t="n">
        <v>55</v>
      </c>
      <c r="J553" s="33" t="inlineStr">
        <is>
          <t>Card</t>
        </is>
      </c>
      <c r="K553" s="28">
        <f>IF(OR(B553="",F553&lt;&gt;"Done",J553="Package"),"",IF(N(G553)-N(I553)&gt;0,N(G553)-N(I553),""))</f>
        <v/>
      </c>
      <c r="L553" s="32" t="n"/>
      <c r="M553" s="1">
        <f>IF(OR(B553="",D553="",F553="Cancelled"),"",B553+N(C553)+ROW()/10000000)</f>
        <v/>
      </c>
      <c r="N553">
        <f>IF(AND(F553="Done",M553&lt;&gt;""),IF(COUNTIFS(Appointments!$D$6:$D$2005,D553,Appointments!$F$6:$F$2005,"Done",Appointments!$M$6:$M$2005,"&gt;"&amp;M553)=0,1,0),0)</f>
        <v/>
      </c>
      <c r="O553">
        <f>IF(AND(F553="Booked",M553&lt;&gt;"",N(B553)&gt;=TODAY()),IF(COUNTIFS(Appointments!$D$6:$D$2005,D553,Appointments!$F$6:$F$2005,"Booked",Appointments!$B$6:$B$2005,"&gt;="&amp;TODAY(),Appointments!$M$6:$M$2005,"&lt;"&amp;M553)=0,1,0),0)</f>
        <v/>
      </c>
    </row>
    <row r="554">
      <c r="A554" s="1" t="n"/>
      <c r="B554" s="30" t="n">
        <v>46157</v>
      </c>
      <c r="C554" s="31" t="n">
        <v>0.4236111111111111</v>
      </c>
      <c r="D554" s="32" t="inlineStr">
        <is>
          <t>Ben Carter</t>
        </is>
      </c>
      <c r="E554" s="32" t="inlineStr">
        <is>
          <t>Men's haircut</t>
        </is>
      </c>
      <c r="F554" s="33" t="inlineStr">
        <is>
          <t>Done</t>
        </is>
      </c>
      <c r="G554" s="27">
        <f>IF(E554="","",MAX(0,IFERROR(INDEX(Services!$C$6:$C$35,MATCH(E554,Services!$B$6:$B$35,0)),0)-N(H554)))</f>
        <v/>
      </c>
      <c r="H554" s="34" t="n"/>
      <c r="I554" s="34" t="n">
        <v>30</v>
      </c>
      <c r="J554" s="33" t="inlineStr">
        <is>
          <t>Card</t>
        </is>
      </c>
      <c r="K554" s="28">
        <f>IF(OR(B554="",F554&lt;&gt;"Done",J554="Package"),"",IF(N(G554)-N(I554)&gt;0,N(G554)-N(I554),""))</f>
        <v/>
      </c>
      <c r="L554" s="32" t="n"/>
      <c r="M554" s="1">
        <f>IF(OR(B554="",D554="",F554="Cancelled"),"",B554+N(C554)+ROW()/10000000)</f>
        <v/>
      </c>
      <c r="N554">
        <f>IF(AND(F554="Done",M554&lt;&gt;""),IF(COUNTIFS(Appointments!$D$6:$D$2005,D554,Appointments!$F$6:$F$2005,"Done",Appointments!$M$6:$M$2005,"&gt;"&amp;M554)=0,1,0),0)</f>
        <v/>
      </c>
      <c r="O554">
        <f>IF(AND(F554="Booked",M554&lt;&gt;"",N(B554)&gt;=TODAY()),IF(COUNTIFS(Appointments!$D$6:$D$2005,D554,Appointments!$F$6:$F$2005,"Booked",Appointments!$B$6:$B$2005,"&gt;="&amp;TODAY(),Appointments!$M$6:$M$2005,"&lt;"&amp;M554)=0,1,0),0)</f>
        <v/>
      </c>
    </row>
    <row r="555">
      <c r="A555" s="1" t="n"/>
      <c r="B555" s="30" t="n">
        <v>46157</v>
      </c>
      <c r="C555" s="31" t="n">
        <v>0.4513888888888889</v>
      </c>
      <c r="D555" s="32" t="inlineStr">
        <is>
          <t>Chris Ellis</t>
        </is>
      </c>
      <c r="E555" s="32" t="inlineStr">
        <is>
          <t>Men's haircut</t>
        </is>
      </c>
      <c r="F555" s="33" t="inlineStr">
        <is>
          <t>Done</t>
        </is>
      </c>
      <c r="G555" s="27">
        <f>IF(E555="","",MAX(0,IFERROR(INDEX(Services!$C$6:$C$35,MATCH(E555,Services!$B$6:$B$35,0)),0)-N(H555)))</f>
        <v/>
      </c>
      <c r="H555" s="34" t="n"/>
      <c r="I555" s="34" t="n">
        <v>30</v>
      </c>
      <c r="J555" s="33" t="inlineStr">
        <is>
          <t>Cash</t>
        </is>
      </c>
      <c r="K555" s="28">
        <f>IF(OR(B555="",F555&lt;&gt;"Done",J555="Package"),"",IF(N(G555)-N(I555)&gt;0,N(G555)-N(I555),""))</f>
        <v/>
      </c>
      <c r="L555" s="32" t="n"/>
      <c r="M555" s="1">
        <f>IF(OR(B555="",D555="",F555="Cancelled"),"",B555+N(C555)+ROW()/10000000)</f>
        <v/>
      </c>
      <c r="N555">
        <f>IF(AND(F555="Done",M555&lt;&gt;""),IF(COUNTIFS(Appointments!$D$6:$D$2005,D555,Appointments!$F$6:$F$2005,"Done",Appointments!$M$6:$M$2005,"&gt;"&amp;M555)=0,1,0),0)</f>
        <v/>
      </c>
      <c r="O555">
        <f>IF(AND(F555="Booked",M555&lt;&gt;"",N(B555)&gt;=TODAY()),IF(COUNTIFS(Appointments!$D$6:$D$2005,D555,Appointments!$F$6:$F$2005,"Booked",Appointments!$B$6:$B$2005,"&gt;="&amp;TODAY(),Appointments!$M$6:$M$2005,"&lt;"&amp;M555)=0,1,0),0)</f>
        <v/>
      </c>
    </row>
    <row r="556">
      <c r="A556" s="1" t="n"/>
      <c r="B556" s="30" t="n">
        <v>46157</v>
      </c>
      <c r="C556" s="31" t="n">
        <v>0.4791666666666667</v>
      </c>
      <c r="D556" s="32" t="inlineStr">
        <is>
          <t>Jon Reid</t>
        </is>
      </c>
      <c r="E556" s="32" t="inlineStr">
        <is>
          <t>Men's haircut</t>
        </is>
      </c>
      <c r="F556" s="33" t="inlineStr">
        <is>
          <t>Done</t>
        </is>
      </c>
      <c r="G556" s="27">
        <f>IF(E556="","",MAX(0,IFERROR(INDEX(Services!$C$6:$C$35,MATCH(E556,Services!$B$6:$B$35,0)),0)-N(H556)))</f>
        <v/>
      </c>
      <c r="H556" s="34" t="n"/>
      <c r="I556" s="34" t="n">
        <v>30</v>
      </c>
      <c r="J556" s="33" t="inlineStr">
        <is>
          <t>Card</t>
        </is>
      </c>
      <c r="K556" s="28">
        <f>IF(OR(B556="",F556&lt;&gt;"Done",J556="Package"),"",IF(N(G556)-N(I556)&gt;0,N(G556)-N(I556),""))</f>
        <v/>
      </c>
      <c r="L556" s="32" t="n"/>
      <c r="M556" s="1">
        <f>IF(OR(B556="",D556="",F556="Cancelled"),"",B556+N(C556)+ROW()/10000000)</f>
        <v/>
      </c>
      <c r="N556">
        <f>IF(AND(F556="Done",M556&lt;&gt;""),IF(COUNTIFS(Appointments!$D$6:$D$2005,D556,Appointments!$F$6:$F$2005,"Done",Appointments!$M$6:$M$2005,"&gt;"&amp;M556)=0,1,0),0)</f>
        <v/>
      </c>
      <c r="O556">
        <f>IF(AND(F556="Booked",M556&lt;&gt;"",N(B556)&gt;=TODAY()),IF(COUNTIFS(Appointments!$D$6:$D$2005,D556,Appointments!$F$6:$F$2005,"Booked",Appointments!$B$6:$B$2005,"&gt;="&amp;TODAY(),Appointments!$M$6:$M$2005,"&lt;"&amp;M556)=0,1,0),0)</f>
        <v/>
      </c>
    </row>
    <row r="557">
      <c r="A557" s="1" t="n"/>
      <c r="B557" s="30" t="n">
        <v>46157</v>
      </c>
      <c r="C557" s="31" t="n">
        <v>0.5069444444444444</v>
      </c>
      <c r="D557" s="32" t="inlineStr">
        <is>
          <t>Kyle Fox</t>
        </is>
      </c>
      <c r="E557" s="32" t="inlineStr">
        <is>
          <t>Men's haircut</t>
        </is>
      </c>
      <c r="F557" s="33" t="inlineStr">
        <is>
          <t>Done</t>
        </is>
      </c>
      <c r="G557" s="27">
        <f>IF(E557="","",MAX(0,IFERROR(INDEX(Services!$C$6:$C$35,MATCH(E557,Services!$B$6:$B$35,0)),0)-N(H557)))</f>
        <v/>
      </c>
      <c r="H557" s="34" t="n"/>
      <c r="I557" s="34" t="n">
        <v>30</v>
      </c>
      <c r="J557" s="33" t="inlineStr">
        <is>
          <t>Card</t>
        </is>
      </c>
      <c r="K557" s="28">
        <f>IF(OR(B557="",F557&lt;&gt;"Done",J557="Package"),"",IF(N(G557)-N(I557)&gt;0,N(G557)-N(I557),""))</f>
        <v/>
      </c>
      <c r="L557" s="32" t="n"/>
      <c r="M557" s="1">
        <f>IF(OR(B557="",D557="",F557="Cancelled"),"",B557+N(C557)+ROW()/10000000)</f>
        <v/>
      </c>
      <c r="N557">
        <f>IF(AND(F557="Done",M557&lt;&gt;""),IF(COUNTIFS(Appointments!$D$6:$D$2005,D557,Appointments!$F$6:$F$2005,"Done",Appointments!$M$6:$M$2005,"&gt;"&amp;M557)=0,1,0),0)</f>
        <v/>
      </c>
      <c r="O557">
        <f>IF(AND(F557="Booked",M557&lt;&gt;"",N(B557)&gt;=TODAY()),IF(COUNTIFS(Appointments!$D$6:$D$2005,D557,Appointments!$F$6:$F$2005,"Booked",Appointments!$B$6:$B$2005,"&gt;="&amp;TODAY(),Appointments!$M$6:$M$2005,"&lt;"&amp;M557)=0,1,0),0)</f>
        <v/>
      </c>
    </row>
    <row r="558">
      <c r="A558" s="1" t="n"/>
      <c r="B558" s="30" t="n">
        <v>46157</v>
      </c>
      <c r="C558" s="31" t="n">
        <v>0.5347222222222222</v>
      </c>
      <c r="D558" s="32" t="inlineStr">
        <is>
          <t>Lily Wood</t>
        </is>
      </c>
      <c r="E558" s="32" t="inlineStr">
        <is>
          <t>Women's haircut</t>
        </is>
      </c>
      <c r="F558" s="33" t="inlineStr">
        <is>
          <t>Done</t>
        </is>
      </c>
      <c r="G558" s="27">
        <f>IF(E558="","",MAX(0,IFERROR(INDEX(Services!$C$6:$C$35,MATCH(E558,Services!$B$6:$B$35,0)),0)-N(H558)))</f>
        <v/>
      </c>
      <c r="H558" s="34" t="n"/>
      <c r="I558" s="34" t="n">
        <v>55</v>
      </c>
      <c r="J558" s="33" t="inlineStr">
        <is>
          <t>Card</t>
        </is>
      </c>
      <c r="K558" s="28">
        <f>IF(OR(B558="",F558&lt;&gt;"Done",J558="Package"),"",IF(N(G558)-N(I558)&gt;0,N(G558)-N(I558),""))</f>
        <v/>
      </c>
      <c r="L558" s="32" t="n"/>
      <c r="M558" s="1">
        <f>IF(OR(B558="",D558="",F558="Cancelled"),"",B558+N(C558)+ROW()/10000000)</f>
        <v/>
      </c>
      <c r="N558">
        <f>IF(AND(F558="Done",M558&lt;&gt;""),IF(COUNTIFS(Appointments!$D$6:$D$2005,D558,Appointments!$F$6:$F$2005,"Done",Appointments!$M$6:$M$2005,"&gt;"&amp;M558)=0,1,0),0)</f>
        <v/>
      </c>
      <c r="O558">
        <f>IF(AND(F558="Booked",M558&lt;&gt;"",N(B558)&gt;=TODAY()),IF(COUNTIFS(Appointments!$D$6:$D$2005,D558,Appointments!$F$6:$F$2005,"Booked",Appointments!$B$6:$B$2005,"&gt;="&amp;TODAY(),Appointments!$M$6:$M$2005,"&lt;"&amp;M558)=0,1,0),0)</f>
        <v/>
      </c>
    </row>
    <row r="559">
      <c r="A559" s="1" t="n"/>
      <c r="B559" s="30" t="n">
        <v>46157</v>
      </c>
      <c r="C559" s="31" t="n">
        <v>0.5833333333333334</v>
      </c>
      <c r="D559" s="32" t="inlineStr">
        <is>
          <t>Tom Ellis</t>
        </is>
      </c>
      <c r="E559" s="32" t="inlineStr">
        <is>
          <t>Men's haircut</t>
        </is>
      </c>
      <c r="F559" s="33" t="inlineStr">
        <is>
          <t>Done</t>
        </is>
      </c>
      <c r="G559" s="27">
        <f>IF(E559="","",MAX(0,IFERROR(INDEX(Services!$C$6:$C$35,MATCH(E559,Services!$B$6:$B$35,0)),0)-N(H559)))</f>
        <v/>
      </c>
      <c r="H559" s="34" t="n"/>
      <c r="I559" s="34" t="n">
        <v>30</v>
      </c>
      <c r="J559" s="33" t="inlineStr">
        <is>
          <t>Card</t>
        </is>
      </c>
      <c r="K559" s="28">
        <f>IF(OR(B559="",F559&lt;&gt;"Done",J559="Package"),"",IF(N(G559)-N(I559)&gt;0,N(G559)-N(I559),""))</f>
        <v/>
      </c>
      <c r="L559" s="32" t="n"/>
      <c r="M559" s="1">
        <f>IF(OR(B559="",D559="",F559="Cancelled"),"",B559+N(C559)+ROW()/10000000)</f>
        <v/>
      </c>
      <c r="N559">
        <f>IF(AND(F559="Done",M559&lt;&gt;""),IF(COUNTIFS(Appointments!$D$6:$D$2005,D559,Appointments!$F$6:$F$2005,"Done",Appointments!$M$6:$M$2005,"&gt;"&amp;M559)=0,1,0),0)</f>
        <v/>
      </c>
      <c r="O559">
        <f>IF(AND(F559="Booked",M559&lt;&gt;"",N(B559)&gt;=TODAY()),IF(COUNTIFS(Appointments!$D$6:$D$2005,D559,Appointments!$F$6:$F$2005,"Booked",Appointments!$B$6:$B$2005,"&gt;="&amp;TODAY(),Appointments!$M$6:$M$2005,"&lt;"&amp;M559)=0,1,0),0)</f>
        <v/>
      </c>
    </row>
    <row r="560">
      <c r="A560" s="1" t="n"/>
      <c r="B560" s="30" t="n">
        <v>46158</v>
      </c>
      <c r="C560" s="31" t="n">
        <v>0.375</v>
      </c>
      <c r="D560" s="32" t="inlineStr">
        <is>
          <t>Nick Young</t>
        </is>
      </c>
      <c r="E560" s="32" t="inlineStr">
        <is>
          <t>Men's haircut</t>
        </is>
      </c>
      <c r="F560" s="33" t="inlineStr">
        <is>
          <t>Done</t>
        </is>
      </c>
      <c r="G560" s="27">
        <f>IF(E560="","",MAX(0,IFERROR(INDEX(Services!$C$6:$C$35,MATCH(E560,Services!$B$6:$B$35,0)),0)-N(H560)))</f>
        <v/>
      </c>
      <c r="H560" s="34" t="n"/>
      <c r="I560" s="34" t="n">
        <v>30</v>
      </c>
      <c r="J560" s="33" t="inlineStr">
        <is>
          <t>Transfer</t>
        </is>
      </c>
      <c r="K560" s="28">
        <f>IF(OR(B560="",F560&lt;&gt;"Done",J560="Package"),"",IF(N(G560)-N(I560)&gt;0,N(G560)-N(I560),""))</f>
        <v/>
      </c>
      <c r="L560" s="32" t="n"/>
      <c r="M560" s="1">
        <f>IF(OR(B560="",D560="",F560="Cancelled"),"",B560+N(C560)+ROW()/10000000)</f>
        <v/>
      </c>
      <c r="N560">
        <f>IF(AND(F560="Done",M560&lt;&gt;""),IF(COUNTIFS(Appointments!$D$6:$D$2005,D560,Appointments!$F$6:$F$2005,"Done",Appointments!$M$6:$M$2005,"&gt;"&amp;M560)=0,1,0),0)</f>
        <v/>
      </c>
      <c r="O560">
        <f>IF(AND(F560="Booked",M560&lt;&gt;"",N(B560)&gt;=TODAY()),IF(COUNTIFS(Appointments!$D$6:$D$2005,D560,Appointments!$F$6:$F$2005,"Booked",Appointments!$B$6:$B$2005,"&gt;="&amp;TODAY(),Appointments!$M$6:$M$2005,"&lt;"&amp;M560)=0,1,0),0)</f>
        <v/>
      </c>
    </row>
    <row r="561">
      <c r="A561" s="1" t="n"/>
      <c r="B561" s="30" t="n">
        <v>46158</v>
      </c>
      <c r="C561" s="31" t="n">
        <v>0.4027777777777778</v>
      </c>
      <c r="D561" s="32" t="inlineStr">
        <is>
          <t>Paula Cook</t>
        </is>
      </c>
      <c r="E561" s="32" t="inlineStr">
        <is>
          <t>Women's haircut</t>
        </is>
      </c>
      <c r="F561" s="33" t="inlineStr">
        <is>
          <t>Done</t>
        </is>
      </c>
      <c r="G561" s="27">
        <f>IF(E561="","",MAX(0,IFERROR(INDEX(Services!$C$6:$C$35,MATCH(E561,Services!$B$6:$B$35,0)),0)-N(H561)))</f>
        <v/>
      </c>
      <c r="H561" s="34" t="n"/>
      <c r="I561" s="34" t="n">
        <v>55</v>
      </c>
      <c r="J561" s="33" t="inlineStr">
        <is>
          <t>Card</t>
        </is>
      </c>
      <c r="K561" s="28">
        <f>IF(OR(B561="",F561&lt;&gt;"Done",J561="Package"),"",IF(N(G561)-N(I561)&gt;0,N(G561)-N(I561),""))</f>
        <v/>
      </c>
      <c r="L561" s="32" t="n"/>
      <c r="M561" s="1">
        <f>IF(OR(B561="",D561="",F561="Cancelled"),"",B561+N(C561)+ROW()/10000000)</f>
        <v/>
      </c>
      <c r="N561">
        <f>IF(AND(F561="Done",M561&lt;&gt;""),IF(COUNTIFS(Appointments!$D$6:$D$2005,D561,Appointments!$F$6:$F$2005,"Done",Appointments!$M$6:$M$2005,"&gt;"&amp;M561)=0,1,0),0)</f>
        <v/>
      </c>
      <c r="O561">
        <f>IF(AND(F561="Booked",M561&lt;&gt;"",N(B561)&gt;=TODAY()),IF(COUNTIFS(Appointments!$D$6:$D$2005,D561,Appointments!$F$6:$F$2005,"Booked",Appointments!$B$6:$B$2005,"&gt;="&amp;TODAY(),Appointments!$M$6:$M$2005,"&lt;"&amp;M561)=0,1,0),0)</f>
        <v/>
      </c>
    </row>
    <row r="562">
      <c r="A562" s="1" t="n"/>
      <c r="B562" s="30" t="n">
        <v>46161</v>
      </c>
      <c r="C562" s="31" t="n">
        <v>0.375</v>
      </c>
      <c r="D562" s="32" t="inlineStr">
        <is>
          <t>Amy Kelly</t>
        </is>
      </c>
      <c r="E562" s="32" t="inlineStr">
        <is>
          <t>Women's haircut</t>
        </is>
      </c>
      <c r="F562" s="33" t="inlineStr">
        <is>
          <t>Done</t>
        </is>
      </c>
      <c r="G562" s="27">
        <f>IF(E562="","",MAX(0,IFERROR(INDEX(Services!$C$6:$C$35,MATCH(E562,Services!$B$6:$B$35,0)),0)-N(H562)))</f>
        <v/>
      </c>
      <c r="H562" s="34" t="n">
        <v>10</v>
      </c>
      <c r="I562" s="34" t="n">
        <v>45</v>
      </c>
      <c r="J562" s="33" t="inlineStr">
        <is>
          <t>Card</t>
        </is>
      </c>
      <c r="K562" s="28">
        <f>IF(OR(B562="",F562&lt;&gt;"Done",J562="Package"),"",IF(N(G562)-N(I562)&gt;0,N(G562)-N(I562),""))</f>
        <v/>
      </c>
      <c r="L562" s="32" t="inlineStr">
        <is>
          <t>Friends and family</t>
        </is>
      </c>
      <c r="M562" s="1">
        <f>IF(OR(B562="",D562="",F562="Cancelled"),"",B562+N(C562)+ROW()/10000000)</f>
        <v/>
      </c>
      <c r="N562">
        <f>IF(AND(F562="Done",M562&lt;&gt;""),IF(COUNTIFS(Appointments!$D$6:$D$2005,D562,Appointments!$F$6:$F$2005,"Done",Appointments!$M$6:$M$2005,"&gt;"&amp;M562)=0,1,0),0)</f>
        <v/>
      </c>
      <c r="O562">
        <f>IF(AND(F562="Booked",M562&lt;&gt;"",N(B562)&gt;=TODAY()),IF(COUNTIFS(Appointments!$D$6:$D$2005,D562,Appointments!$F$6:$F$2005,"Booked",Appointments!$B$6:$B$2005,"&gt;="&amp;TODAY(),Appointments!$M$6:$M$2005,"&lt;"&amp;M562)=0,1,0),0)</f>
        <v/>
      </c>
    </row>
    <row r="563">
      <c r="A563" s="1" t="n"/>
      <c r="B563" s="30" t="n">
        <v>46161</v>
      </c>
      <c r="C563" s="31" t="n">
        <v>0.4236111111111111</v>
      </c>
      <c r="D563" s="32" t="inlineStr">
        <is>
          <t>Chloe Martin</t>
        </is>
      </c>
      <c r="E563" s="32" t="inlineStr">
        <is>
          <t>Highlights</t>
        </is>
      </c>
      <c r="F563" s="33" t="inlineStr">
        <is>
          <t>Done</t>
        </is>
      </c>
      <c r="G563" s="27">
        <f>IF(E563="","",MAX(0,IFERROR(INDEX(Services!$C$6:$C$35,MATCH(E563,Services!$B$6:$B$35,0)),0)-N(H563)))</f>
        <v/>
      </c>
      <c r="H563" s="34" t="n"/>
      <c r="I563" s="34" t="n">
        <v>140</v>
      </c>
      <c r="J563" s="33" t="inlineStr">
        <is>
          <t>Card</t>
        </is>
      </c>
      <c r="K563" s="28">
        <f>IF(OR(B563="",F563&lt;&gt;"Done",J563="Package"),"",IF(N(G563)-N(I563)&gt;0,N(G563)-N(I563),""))</f>
        <v/>
      </c>
      <c r="L563" s="32" t="n"/>
      <c r="M563" s="1">
        <f>IF(OR(B563="",D563="",F563="Cancelled"),"",B563+N(C563)+ROW()/10000000)</f>
        <v/>
      </c>
      <c r="N563">
        <f>IF(AND(F563="Done",M563&lt;&gt;""),IF(COUNTIFS(Appointments!$D$6:$D$2005,D563,Appointments!$F$6:$F$2005,"Done",Appointments!$M$6:$M$2005,"&gt;"&amp;M563)=0,1,0),0)</f>
        <v/>
      </c>
      <c r="O563">
        <f>IF(AND(F563="Booked",M563&lt;&gt;"",N(B563)&gt;=TODAY()),IF(COUNTIFS(Appointments!$D$6:$D$2005,D563,Appointments!$F$6:$F$2005,"Booked",Appointments!$B$6:$B$2005,"&gt;="&amp;TODAY(),Appointments!$M$6:$M$2005,"&lt;"&amp;M563)=0,1,0),0)</f>
        <v/>
      </c>
    </row>
    <row r="564">
      <c r="A564" s="1" t="n"/>
      <c r="B564" s="30" t="n">
        <v>46161</v>
      </c>
      <c r="C564" s="31" t="n">
        <v>0.5347222222222222</v>
      </c>
      <c r="D564" s="32" t="inlineStr">
        <is>
          <t>Eva Mills</t>
        </is>
      </c>
      <c r="E564" s="32" t="inlineStr">
        <is>
          <t>Women's haircut</t>
        </is>
      </c>
      <c r="F564" s="33" t="inlineStr">
        <is>
          <t>Done</t>
        </is>
      </c>
      <c r="G564" s="27">
        <f>IF(E564="","",MAX(0,IFERROR(INDEX(Services!$C$6:$C$35,MATCH(E564,Services!$B$6:$B$35,0)),0)-N(H564)))</f>
        <v/>
      </c>
      <c r="H564" s="34" t="n">
        <v>10</v>
      </c>
      <c r="I564" s="34" t="n">
        <v>45</v>
      </c>
      <c r="J564" s="33" t="inlineStr">
        <is>
          <t>Card</t>
        </is>
      </c>
      <c r="K564" s="28">
        <f>IF(OR(B564="",F564&lt;&gt;"Done",J564="Package"),"",IF(N(G564)-N(I564)&gt;0,N(G564)-N(I564),""))</f>
        <v/>
      </c>
      <c r="L564" s="32" t="inlineStr">
        <is>
          <t>Friends and family</t>
        </is>
      </c>
      <c r="M564" s="1">
        <f>IF(OR(B564="",D564="",F564="Cancelled"),"",B564+N(C564)+ROW()/10000000)</f>
        <v/>
      </c>
      <c r="N564">
        <f>IF(AND(F564="Done",M564&lt;&gt;""),IF(COUNTIFS(Appointments!$D$6:$D$2005,D564,Appointments!$F$6:$F$2005,"Done",Appointments!$M$6:$M$2005,"&gt;"&amp;M564)=0,1,0),0)</f>
        <v/>
      </c>
      <c r="O564">
        <f>IF(AND(F564="Booked",M564&lt;&gt;"",N(B564)&gt;=TODAY()),IF(COUNTIFS(Appointments!$D$6:$D$2005,D564,Appointments!$F$6:$F$2005,"Booked",Appointments!$B$6:$B$2005,"&gt;="&amp;TODAY(),Appointments!$M$6:$M$2005,"&lt;"&amp;M564)=0,1,0),0)</f>
        <v/>
      </c>
    </row>
    <row r="565">
      <c r="A565" s="1" t="n"/>
      <c r="B565" s="30" t="n">
        <v>46161</v>
      </c>
      <c r="C565" s="31" t="n">
        <v>0.5833333333333334</v>
      </c>
      <c r="D565" s="32" t="inlineStr">
        <is>
          <t>Fiona Price</t>
        </is>
      </c>
      <c r="E565" s="32" t="inlineStr">
        <is>
          <t>Highlights</t>
        </is>
      </c>
      <c r="F565" s="33" t="inlineStr">
        <is>
          <t>Done</t>
        </is>
      </c>
      <c r="G565" s="27">
        <f>IF(E565="","",MAX(0,IFERROR(INDEX(Services!$C$6:$C$35,MATCH(E565,Services!$B$6:$B$35,0)),0)-N(H565)))</f>
        <v/>
      </c>
      <c r="H565" s="34" t="n"/>
      <c r="I565" s="34" t="n">
        <v>140</v>
      </c>
      <c r="J565" s="33" t="inlineStr">
        <is>
          <t>Cash</t>
        </is>
      </c>
      <c r="K565" s="28">
        <f>IF(OR(B565="",F565&lt;&gt;"Done",J565="Package"),"",IF(N(G565)-N(I565)&gt;0,N(G565)-N(I565),""))</f>
        <v/>
      </c>
      <c r="L565" s="32" t="n"/>
      <c r="M565" s="1">
        <f>IF(OR(B565="",D565="",F565="Cancelled"),"",B565+N(C565)+ROW()/10000000)</f>
        <v/>
      </c>
      <c r="N565">
        <f>IF(AND(F565="Done",M565&lt;&gt;""),IF(COUNTIFS(Appointments!$D$6:$D$2005,D565,Appointments!$F$6:$F$2005,"Done",Appointments!$M$6:$M$2005,"&gt;"&amp;M565)=0,1,0),0)</f>
        <v/>
      </c>
      <c r="O565">
        <f>IF(AND(F565="Booked",M565&lt;&gt;"",N(B565)&gt;=TODAY()),IF(COUNTIFS(Appointments!$D$6:$D$2005,D565,Appointments!$F$6:$F$2005,"Booked",Appointments!$B$6:$B$2005,"&gt;="&amp;TODAY(),Appointments!$M$6:$M$2005,"&lt;"&amp;M565)=0,1,0),0)</f>
        <v/>
      </c>
    </row>
    <row r="566">
      <c r="A566" s="1" t="n"/>
      <c r="B566" s="30" t="n">
        <v>46161</v>
      </c>
      <c r="C566" s="31" t="n">
        <v>0.6944444444444444</v>
      </c>
      <c r="D566" s="32" t="inlineStr">
        <is>
          <t>Luke Hall</t>
        </is>
      </c>
      <c r="E566" s="32" t="inlineStr">
        <is>
          <t>Men's haircut</t>
        </is>
      </c>
      <c r="F566" s="33" t="inlineStr">
        <is>
          <t>Done</t>
        </is>
      </c>
      <c r="G566" s="27">
        <f>IF(E566="","",MAX(0,IFERROR(INDEX(Services!$C$6:$C$35,MATCH(E566,Services!$B$6:$B$35,0)),0)-N(H566)))</f>
        <v/>
      </c>
      <c r="H566" s="34" t="n"/>
      <c r="I566" s="34" t="n">
        <v>30</v>
      </c>
      <c r="J566" s="33" t="inlineStr">
        <is>
          <t>Card</t>
        </is>
      </c>
      <c r="K566" s="28">
        <f>IF(OR(B566="",F566&lt;&gt;"Done",J566="Package"),"",IF(N(G566)-N(I566)&gt;0,N(G566)-N(I566),""))</f>
        <v/>
      </c>
      <c r="L566" s="32" t="n"/>
      <c r="M566" s="1">
        <f>IF(OR(B566="",D566="",F566="Cancelled"),"",B566+N(C566)+ROW()/10000000)</f>
        <v/>
      </c>
      <c r="N566">
        <f>IF(AND(F566="Done",M566&lt;&gt;""),IF(COUNTIFS(Appointments!$D$6:$D$2005,D566,Appointments!$F$6:$F$2005,"Done",Appointments!$M$6:$M$2005,"&gt;"&amp;M566)=0,1,0),0)</f>
        <v/>
      </c>
      <c r="O566">
        <f>IF(AND(F566="Booked",M566&lt;&gt;"",N(B566)&gt;=TODAY()),IF(COUNTIFS(Appointments!$D$6:$D$2005,D566,Appointments!$F$6:$F$2005,"Booked",Appointments!$B$6:$B$2005,"&gt;="&amp;TODAY(),Appointments!$M$6:$M$2005,"&lt;"&amp;M566)=0,1,0),0)</f>
        <v/>
      </c>
    </row>
    <row r="567">
      <c r="A567" s="1" t="n"/>
      <c r="B567" s="30" t="n">
        <v>46161</v>
      </c>
      <c r="C567" s="31" t="n">
        <v>0.7222222222222222</v>
      </c>
      <c r="D567" s="32" t="inlineStr">
        <is>
          <t>Uma Nair</t>
        </is>
      </c>
      <c r="E567" s="32" t="inlineStr">
        <is>
          <t>Women's haircut</t>
        </is>
      </c>
      <c r="F567" s="33" t="inlineStr">
        <is>
          <t>Done</t>
        </is>
      </c>
      <c r="G567" s="27">
        <f>IF(E567="","",MAX(0,IFERROR(INDEX(Services!$C$6:$C$35,MATCH(E567,Services!$B$6:$B$35,0)),0)-N(H567)))</f>
        <v/>
      </c>
      <c r="H567" s="34" t="n"/>
      <c r="I567" s="34" t="n">
        <v>55</v>
      </c>
      <c r="J567" s="33" t="inlineStr">
        <is>
          <t>Card</t>
        </is>
      </c>
      <c r="K567" s="28">
        <f>IF(OR(B567="",F567&lt;&gt;"Done",J567="Package"),"",IF(N(G567)-N(I567)&gt;0,N(G567)-N(I567),""))</f>
        <v/>
      </c>
      <c r="L567" s="32" t="n"/>
      <c r="M567" s="1">
        <f>IF(OR(B567="",D567="",F567="Cancelled"),"",B567+N(C567)+ROW()/10000000)</f>
        <v/>
      </c>
      <c r="N567">
        <f>IF(AND(F567="Done",M567&lt;&gt;""),IF(COUNTIFS(Appointments!$D$6:$D$2005,D567,Appointments!$F$6:$F$2005,"Done",Appointments!$M$6:$M$2005,"&gt;"&amp;M567)=0,1,0),0)</f>
        <v/>
      </c>
      <c r="O567">
        <f>IF(AND(F567="Booked",M567&lt;&gt;"",N(B567)&gt;=TODAY()),IF(COUNTIFS(Appointments!$D$6:$D$2005,D567,Appointments!$F$6:$F$2005,"Booked",Appointments!$B$6:$B$2005,"&gt;="&amp;TODAY(),Appointments!$M$6:$M$2005,"&lt;"&amp;M567)=0,1,0),0)</f>
        <v/>
      </c>
    </row>
    <row r="568">
      <c r="A568" s="1" t="n"/>
      <c r="B568" s="30" t="n">
        <v>46161</v>
      </c>
      <c r="C568" s="31" t="n">
        <v>0.3854166666666667</v>
      </c>
      <c r="D568" s="32" t="inlineStr">
        <is>
          <t>Will Baker</t>
        </is>
      </c>
      <c r="E568" s="32" t="inlineStr">
        <is>
          <t>Men's haircut</t>
        </is>
      </c>
      <c r="F568" s="33" t="inlineStr">
        <is>
          <t>Done</t>
        </is>
      </c>
      <c r="G568" s="27">
        <f>IF(E568="","",MAX(0,IFERROR(INDEX(Services!$C$6:$C$35,MATCH(E568,Services!$B$6:$B$35,0)),0)-N(H568)))</f>
        <v/>
      </c>
      <c r="H568" s="34" t="n"/>
      <c r="I568" s="34" t="n">
        <v>30</v>
      </c>
      <c r="J568" s="33" t="inlineStr">
        <is>
          <t>Card</t>
        </is>
      </c>
      <c r="K568" s="28">
        <f>IF(OR(B568="",F568&lt;&gt;"Done",J568="Package"),"",IF(N(G568)-N(I568)&gt;0,N(G568)-N(I568),""))</f>
        <v/>
      </c>
      <c r="L568" s="32" t="n"/>
      <c r="M568" s="1">
        <f>IF(OR(B568="",D568="",F568="Cancelled"),"",B568+N(C568)+ROW()/10000000)</f>
        <v/>
      </c>
      <c r="N568">
        <f>IF(AND(F568="Done",M568&lt;&gt;""),IF(COUNTIFS(Appointments!$D$6:$D$2005,D568,Appointments!$F$6:$F$2005,"Done",Appointments!$M$6:$M$2005,"&gt;"&amp;M568)=0,1,0),0)</f>
        <v/>
      </c>
      <c r="O568">
        <f>IF(AND(F568="Booked",M568&lt;&gt;"",N(B568)&gt;=TODAY()),IF(COUNTIFS(Appointments!$D$6:$D$2005,D568,Appointments!$F$6:$F$2005,"Booked",Appointments!$B$6:$B$2005,"&gt;="&amp;TODAY(),Appointments!$M$6:$M$2005,"&lt;"&amp;M568)=0,1,0),0)</f>
        <v/>
      </c>
    </row>
    <row r="569">
      <c r="A569" s="1" t="n"/>
      <c r="B569" s="30" t="n">
        <v>46162</v>
      </c>
      <c r="C569" s="31" t="n">
        <v>0.375</v>
      </c>
      <c r="D569" s="32" t="inlineStr">
        <is>
          <t>Amy Hughes</t>
        </is>
      </c>
      <c r="E569" s="32" t="inlineStr">
        <is>
          <t>Colour</t>
        </is>
      </c>
      <c r="F569" s="33" t="inlineStr">
        <is>
          <t>Done</t>
        </is>
      </c>
      <c r="G569" s="27">
        <f>IF(E569="","",MAX(0,IFERROR(INDEX(Services!$C$6:$C$35,MATCH(E569,Services!$B$6:$B$35,0)),0)-N(H569)))</f>
        <v/>
      </c>
      <c r="H569" s="34" t="n"/>
      <c r="I569" s="34" t="n">
        <v>95</v>
      </c>
      <c r="J569" s="33" t="inlineStr">
        <is>
          <t>Card</t>
        </is>
      </c>
      <c r="K569" s="28">
        <f>IF(OR(B569="",F569&lt;&gt;"Done",J569="Package"),"",IF(N(G569)-N(I569)&gt;0,N(G569)-N(I569),""))</f>
        <v/>
      </c>
      <c r="L569" s="32" t="n"/>
      <c r="M569" s="1">
        <f>IF(OR(B569="",D569="",F569="Cancelled"),"",B569+N(C569)+ROW()/10000000)</f>
        <v/>
      </c>
      <c r="N569">
        <f>IF(AND(F569="Done",M569&lt;&gt;""),IF(COUNTIFS(Appointments!$D$6:$D$2005,D569,Appointments!$F$6:$F$2005,"Done",Appointments!$M$6:$M$2005,"&gt;"&amp;M569)=0,1,0),0)</f>
        <v/>
      </c>
      <c r="O569">
        <f>IF(AND(F569="Booked",M569&lt;&gt;"",N(B569)&gt;=TODAY()),IF(COUNTIFS(Appointments!$D$6:$D$2005,D569,Appointments!$F$6:$F$2005,"Booked",Appointments!$B$6:$B$2005,"&gt;="&amp;TODAY(),Appointments!$M$6:$M$2005,"&lt;"&amp;M569)=0,1,0),0)</f>
        <v/>
      </c>
    </row>
    <row r="570">
      <c r="A570" s="1" t="n"/>
      <c r="B570" s="30" t="n">
        <v>46162</v>
      </c>
      <c r="C570" s="31" t="n">
        <v>0.4652777777777778</v>
      </c>
      <c r="D570" s="32" t="inlineStr">
        <is>
          <t>Eli Hughes</t>
        </is>
      </c>
      <c r="E570" s="32" t="inlineStr">
        <is>
          <t>Men's haircut</t>
        </is>
      </c>
      <c r="F570" s="33" t="inlineStr">
        <is>
          <t>Done</t>
        </is>
      </c>
      <c r="G570" s="27">
        <f>IF(E570="","",MAX(0,IFERROR(INDEX(Services!$C$6:$C$35,MATCH(E570,Services!$B$6:$B$35,0)),0)-N(H570)))</f>
        <v/>
      </c>
      <c r="H570" s="34" t="n"/>
      <c r="I570" s="34" t="n">
        <v>30</v>
      </c>
      <c r="J570" s="33" t="inlineStr">
        <is>
          <t>Card</t>
        </is>
      </c>
      <c r="K570" s="28">
        <f>IF(OR(B570="",F570&lt;&gt;"Done",J570="Package"),"",IF(N(G570)-N(I570)&gt;0,N(G570)-N(I570),""))</f>
        <v/>
      </c>
      <c r="L570" s="32" t="n"/>
      <c r="M570" s="1">
        <f>IF(OR(B570="",D570="",F570="Cancelled"),"",B570+N(C570)+ROW()/10000000)</f>
        <v/>
      </c>
      <c r="N570">
        <f>IF(AND(F570="Done",M570&lt;&gt;""),IF(COUNTIFS(Appointments!$D$6:$D$2005,D570,Appointments!$F$6:$F$2005,"Done",Appointments!$M$6:$M$2005,"&gt;"&amp;M570)=0,1,0),0)</f>
        <v/>
      </c>
      <c r="O570">
        <f>IF(AND(F570="Booked",M570&lt;&gt;"",N(B570)&gt;=TODAY()),IF(COUNTIFS(Appointments!$D$6:$D$2005,D570,Appointments!$F$6:$F$2005,"Booked",Appointments!$B$6:$B$2005,"&gt;="&amp;TODAY(),Appointments!$M$6:$M$2005,"&lt;"&amp;M570)=0,1,0),0)</f>
        <v/>
      </c>
    </row>
    <row r="571">
      <c r="A571" s="1" t="n"/>
      <c r="B571" s="30" t="n">
        <v>46162</v>
      </c>
      <c r="C571" s="31" t="n">
        <v>0.4930555555555556</v>
      </c>
      <c r="D571" s="32" t="inlineStr">
        <is>
          <t>Matt Ellis</t>
        </is>
      </c>
      <c r="E571" s="32" t="inlineStr">
        <is>
          <t>Men's haircut</t>
        </is>
      </c>
      <c r="F571" s="33" t="inlineStr">
        <is>
          <t>Done</t>
        </is>
      </c>
      <c r="G571" s="27">
        <f>IF(E571="","",MAX(0,IFERROR(INDEX(Services!$C$6:$C$35,MATCH(E571,Services!$B$6:$B$35,0)),0)-N(H571)))</f>
        <v/>
      </c>
      <c r="H571" s="34" t="n"/>
      <c r="I571" s="34" t="n">
        <v>30</v>
      </c>
      <c r="J571" s="33" t="inlineStr">
        <is>
          <t>Cash</t>
        </is>
      </c>
      <c r="K571" s="28">
        <f>IF(OR(B571="",F571&lt;&gt;"Done",J571="Package"),"",IF(N(G571)-N(I571)&gt;0,N(G571)-N(I571),""))</f>
        <v/>
      </c>
      <c r="L571" s="32" t="n"/>
      <c r="M571" s="1">
        <f>IF(OR(B571="",D571="",F571="Cancelled"),"",B571+N(C571)+ROW()/10000000)</f>
        <v/>
      </c>
      <c r="N571">
        <f>IF(AND(F571="Done",M571&lt;&gt;""),IF(COUNTIFS(Appointments!$D$6:$D$2005,D571,Appointments!$F$6:$F$2005,"Done",Appointments!$M$6:$M$2005,"&gt;"&amp;M571)=0,1,0),0)</f>
        <v/>
      </c>
      <c r="O571">
        <f>IF(AND(F571="Booked",M571&lt;&gt;"",N(B571)&gt;=TODAY()),IF(COUNTIFS(Appointments!$D$6:$D$2005,D571,Appointments!$F$6:$F$2005,"Booked",Appointments!$B$6:$B$2005,"&gt;="&amp;TODAY(),Appointments!$M$6:$M$2005,"&lt;"&amp;M571)=0,1,0),0)</f>
        <v/>
      </c>
    </row>
    <row r="572">
      <c r="A572" s="1" t="n"/>
      <c r="B572" s="30" t="n">
        <v>46162</v>
      </c>
      <c r="C572" s="31" t="n">
        <v>0.5208333333333334</v>
      </c>
      <c r="D572" s="32" t="inlineStr">
        <is>
          <t>Owen Morgan</t>
        </is>
      </c>
      <c r="E572" s="32" t="inlineStr">
        <is>
          <t>Men's haircut</t>
        </is>
      </c>
      <c r="F572" s="33" t="inlineStr">
        <is>
          <t>Done</t>
        </is>
      </c>
      <c r="G572" s="27">
        <f>IF(E572="","",MAX(0,IFERROR(INDEX(Services!$C$6:$C$35,MATCH(E572,Services!$B$6:$B$35,0)),0)-N(H572)))</f>
        <v/>
      </c>
      <c r="H572" s="34" t="n"/>
      <c r="I572" s="34" t="n">
        <v>30</v>
      </c>
      <c r="J572" s="33" t="inlineStr">
        <is>
          <t>Card</t>
        </is>
      </c>
      <c r="K572" s="28">
        <f>IF(OR(B572="",F572&lt;&gt;"Done",J572="Package"),"",IF(N(G572)-N(I572)&gt;0,N(G572)-N(I572),""))</f>
        <v/>
      </c>
      <c r="L572" s="32" t="n"/>
      <c r="M572" s="1">
        <f>IF(OR(B572="",D572="",F572="Cancelled"),"",B572+N(C572)+ROW()/10000000)</f>
        <v/>
      </c>
      <c r="N572">
        <f>IF(AND(F572="Done",M572&lt;&gt;""),IF(COUNTIFS(Appointments!$D$6:$D$2005,D572,Appointments!$F$6:$F$2005,"Done",Appointments!$M$6:$M$2005,"&gt;"&amp;M572)=0,1,0),0)</f>
        <v/>
      </c>
      <c r="O572">
        <f>IF(AND(F572="Booked",M572&lt;&gt;"",N(B572)&gt;=TODAY()),IF(COUNTIFS(Appointments!$D$6:$D$2005,D572,Appointments!$F$6:$F$2005,"Booked",Appointments!$B$6:$B$2005,"&gt;="&amp;TODAY(),Appointments!$M$6:$M$2005,"&lt;"&amp;M572)=0,1,0),0)</f>
        <v/>
      </c>
    </row>
    <row r="573">
      <c r="A573" s="1" t="n"/>
      <c r="B573" s="30" t="n">
        <v>46162</v>
      </c>
      <c r="C573" s="31" t="n">
        <v>0.5486111111111112</v>
      </c>
      <c r="D573" s="32" t="inlineStr">
        <is>
          <t>Owen Webb</t>
        </is>
      </c>
      <c r="E573" s="32" t="inlineStr">
        <is>
          <t>Men's haircut</t>
        </is>
      </c>
      <c r="F573" s="33" t="inlineStr">
        <is>
          <t>Done</t>
        </is>
      </c>
      <c r="G573" s="27">
        <f>IF(E573="","",MAX(0,IFERROR(INDEX(Services!$C$6:$C$35,MATCH(E573,Services!$B$6:$B$35,0)),0)-N(H573)))</f>
        <v/>
      </c>
      <c r="H573" s="34" t="n"/>
      <c r="I573" s="34" t="n">
        <v>30</v>
      </c>
      <c r="J573" s="33" t="inlineStr">
        <is>
          <t>Transfer</t>
        </is>
      </c>
      <c r="K573" s="28">
        <f>IF(OR(B573="",F573&lt;&gt;"Done",J573="Package"),"",IF(N(G573)-N(I573)&gt;0,N(G573)-N(I573),""))</f>
        <v/>
      </c>
      <c r="L573" s="32" t="n"/>
      <c r="M573" s="1">
        <f>IF(OR(B573="",D573="",F573="Cancelled"),"",B573+N(C573)+ROW()/10000000)</f>
        <v/>
      </c>
      <c r="N573">
        <f>IF(AND(F573="Done",M573&lt;&gt;""),IF(COUNTIFS(Appointments!$D$6:$D$2005,D573,Appointments!$F$6:$F$2005,"Done",Appointments!$M$6:$M$2005,"&gt;"&amp;M573)=0,1,0),0)</f>
        <v/>
      </c>
      <c r="O573">
        <f>IF(AND(F573="Booked",M573&lt;&gt;"",N(B573)&gt;=TODAY()),IF(COUNTIFS(Appointments!$D$6:$D$2005,D573,Appointments!$F$6:$F$2005,"Booked",Appointments!$B$6:$B$2005,"&gt;="&amp;TODAY(),Appointments!$M$6:$M$2005,"&lt;"&amp;M573)=0,1,0),0)</f>
        <v/>
      </c>
    </row>
    <row r="574">
      <c r="A574" s="1" t="n"/>
      <c r="B574" s="30" t="n">
        <v>46162</v>
      </c>
      <c r="C574" s="31" t="n">
        <v>0.5763888888888888</v>
      </c>
      <c r="D574" s="32" t="inlineStr">
        <is>
          <t>Ruby Shaw</t>
        </is>
      </c>
      <c r="E574" s="32" t="inlineStr">
        <is>
          <t>Blow dry</t>
        </is>
      </c>
      <c r="F574" s="33" t="inlineStr">
        <is>
          <t>Done</t>
        </is>
      </c>
      <c r="G574" s="27">
        <f>IF(E574="","",MAX(0,IFERROR(INDEX(Services!$C$6:$C$35,MATCH(E574,Services!$B$6:$B$35,0)),0)-N(H574)))</f>
        <v/>
      </c>
      <c r="H574" s="34" t="n"/>
      <c r="I574" s="34" t="n">
        <v>35</v>
      </c>
      <c r="J574" s="33" t="inlineStr">
        <is>
          <t>Card</t>
        </is>
      </c>
      <c r="K574" s="28">
        <f>IF(OR(B574="",F574&lt;&gt;"Done",J574="Package"),"",IF(N(G574)-N(I574)&gt;0,N(G574)-N(I574),""))</f>
        <v/>
      </c>
      <c r="L574" s="32" t="n"/>
      <c r="M574" s="1">
        <f>IF(OR(B574="",D574="",F574="Cancelled"),"",B574+N(C574)+ROW()/10000000)</f>
        <v/>
      </c>
      <c r="N574">
        <f>IF(AND(F574="Done",M574&lt;&gt;""),IF(COUNTIFS(Appointments!$D$6:$D$2005,D574,Appointments!$F$6:$F$2005,"Done",Appointments!$M$6:$M$2005,"&gt;"&amp;M574)=0,1,0),0)</f>
        <v/>
      </c>
      <c r="O574">
        <f>IF(AND(F574="Booked",M574&lt;&gt;"",N(B574)&gt;=TODAY()),IF(COUNTIFS(Appointments!$D$6:$D$2005,D574,Appointments!$F$6:$F$2005,"Booked",Appointments!$B$6:$B$2005,"&gt;="&amp;TODAY(),Appointments!$M$6:$M$2005,"&lt;"&amp;M574)=0,1,0),0)</f>
        <v/>
      </c>
    </row>
    <row r="575">
      <c r="A575" s="1" t="n"/>
      <c r="B575" s="30" t="n">
        <v>46162</v>
      </c>
      <c r="C575" s="31" t="n">
        <v>0.6145833333333334</v>
      </c>
      <c r="D575" s="32" t="inlineStr">
        <is>
          <t>Tom Davies</t>
        </is>
      </c>
      <c r="E575" s="32" t="inlineStr">
        <is>
          <t>Men's haircut</t>
        </is>
      </c>
      <c r="F575" s="33" t="inlineStr">
        <is>
          <t>Done</t>
        </is>
      </c>
      <c r="G575" s="27">
        <f>IF(E575="","",MAX(0,IFERROR(INDEX(Services!$C$6:$C$35,MATCH(E575,Services!$B$6:$B$35,0)),0)-N(H575)))</f>
        <v/>
      </c>
      <c r="H575" s="34" t="n"/>
      <c r="I575" s="34" t="n">
        <v>30</v>
      </c>
      <c r="J575" s="33" t="inlineStr">
        <is>
          <t>Card</t>
        </is>
      </c>
      <c r="K575" s="28">
        <f>IF(OR(B575="",F575&lt;&gt;"Done",J575="Package"),"",IF(N(G575)-N(I575)&gt;0,N(G575)-N(I575),""))</f>
        <v/>
      </c>
      <c r="L575" s="32" t="n"/>
      <c r="M575" s="1">
        <f>IF(OR(B575="",D575="",F575="Cancelled"),"",B575+N(C575)+ROW()/10000000)</f>
        <v/>
      </c>
      <c r="N575">
        <f>IF(AND(F575="Done",M575&lt;&gt;""),IF(COUNTIFS(Appointments!$D$6:$D$2005,D575,Appointments!$F$6:$F$2005,"Done",Appointments!$M$6:$M$2005,"&gt;"&amp;M575)=0,1,0),0)</f>
        <v/>
      </c>
      <c r="O575">
        <f>IF(AND(F575="Booked",M575&lt;&gt;"",N(B575)&gt;=TODAY()),IF(COUNTIFS(Appointments!$D$6:$D$2005,D575,Appointments!$F$6:$F$2005,"Booked",Appointments!$B$6:$B$2005,"&gt;="&amp;TODAY(),Appointments!$M$6:$M$2005,"&lt;"&amp;M575)=0,1,0),0)</f>
        <v/>
      </c>
    </row>
    <row r="576">
      <c r="A576" s="1" t="n"/>
      <c r="B576" s="30" t="n">
        <v>46163</v>
      </c>
      <c r="C576" s="31" t="n">
        <v>0.375</v>
      </c>
      <c r="D576" s="32" t="inlineStr">
        <is>
          <t>Amy Hall</t>
        </is>
      </c>
      <c r="E576" s="32" t="inlineStr">
        <is>
          <t>Women's haircut</t>
        </is>
      </c>
      <c r="F576" s="33" t="inlineStr">
        <is>
          <t>Done</t>
        </is>
      </c>
      <c r="G576" s="27">
        <f>IF(E576="","",MAX(0,IFERROR(INDEX(Services!$C$6:$C$35,MATCH(E576,Services!$B$6:$B$35,0)),0)-N(H576)))</f>
        <v/>
      </c>
      <c r="H576" s="34" t="n"/>
      <c r="I576" s="34" t="n">
        <v>55</v>
      </c>
      <c r="J576" s="33" t="inlineStr">
        <is>
          <t>Cash</t>
        </is>
      </c>
      <c r="K576" s="28">
        <f>IF(OR(B576="",F576&lt;&gt;"Done",J576="Package"),"",IF(N(G576)-N(I576)&gt;0,N(G576)-N(I576),""))</f>
        <v/>
      </c>
      <c r="L576" s="32" t="n"/>
      <c r="M576" s="1">
        <f>IF(OR(B576="",D576="",F576="Cancelled"),"",B576+N(C576)+ROW()/10000000)</f>
        <v/>
      </c>
      <c r="N576">
        <f>IF(AND(F576="Done",M576&lt;&gt;""),IF(COUNTIFS(Appointments!$D$6:$D$2005,D576,Appointments!$F$6:$F$2005,"Done",Appointments!$M$6:$M$2005,"&gt;"&amp;M576)=0,1,0),0)</f>
        <v/>
      </c>
      <c r="O576">
        <f>IF(AND(F576="Booked",M576&lt;&gt;"",N(B576)&gt;=TODAY()),IF(COUNTIFS(Appointments!$D$6:$D$2005,D576,Appointments!$F$6:$F$2005,"Booked",Appointments!$B$6:$B$2005,"&gt;="&amp;TODAY(),Appointments!$M$6:$M$2005,"&lt;"&amp;M576)=0,1,0),0)</f>
        <v/>
      </c>
    </row>
    <row r="577">
      <c r="A577" s="1" t="n"/>
      <c r="B577" s="30" t="n">
        <v>46163</v>
      </c>
      <c r="C577" s="31" t="n">
        <v>0.4236111111111111</v>
      </c>
      <c r="D577" s="32" t="inlineStr">
        <is>
          <t>Eli Brooks</t>
        </is>
      </c>
      <c r="E577" s="32" t="inlineStr">
        <is>
          <t>Men's haircut</t>
        </is>
      </c>
      <c r="F577" s="33" t="inlineStr">
        <is>
          <t>Done</t>
        </is>
      </c>
      <c r="G577" s="27">
        <f>IF(E577="","",MAX(0,IFERROR(INDEX(Services!$C$6:$C$35,MATCH(E577,Services!$B$6:$B$35,0)),0)-N(H577)))</f>
        <v/>
      </c>
      <c r="H577" s="34" t="n"/>
      <c r="I577" s="34" t="n">
        <v>30</v>
      </c>
      <c r="J577" s="33" t="inlineStr">
        <is>
          <t>Card</t>
        </is>
      </c>
      <c r="K577" s="28">
        <f>IF(OR(B577="",F577&lt;&gt;"Done",J577="Package"),"",IF(N(G577)-N(I577)&gt;0,N(G577)-N(I577),""))</f>
        <v/>
      </c>
      <c r="L577" s="32" t="n"/>
      <c r="M577" s="1">
        <f>IF(OR(B577="",D577="",F577="Cancelled"),"",B577+N(C577)+ROW()/10000000)</f>
        <v/>
      </c>
      <c r="N577">
        <f>IF(AND(F577="Done",M577&lt;&gt;""),IF(COUNTIFS(Appointments!$D$6:$D$2005,D577,Appointments!$F$6:$F$2005,"Done",Appointments!$M$6:$M$2005,"&gt;"&amp;M577)=0,1,0),0)</f>
        <v/>
      </c>
      <c r="O577">
        <f>IF(AND(F577="Booked",M577&lt;&gt;"",N(B577)&gt;=TODAY()),IF(COUNTIFS(Appointments!$D$6:$D$2005,D577,Appointments!$F$6:$F$2005,"Booked",Appointments!$B$6:$B$2005,"&gt;="&amp;TODAY(),Appointments!$M$6:$M$2005,"&lt;"&amp;M577)=0,1,0),0)</f>
        <v/>
      </c>
    </row>
    <row r="578">
      <c r="A578" s="1" t="n"/>
      <c r="B578" s="30" t="n">
        <v>46163</v>
      </c>
      <c r="C578" s="31" t="n">
        <v>0.4513888888888889</v>
      </c>
      <c r="D578" s="32" t="inlineStr">
        <is>
          <t>Luke Reed</t>
        </is>
      </c>
      <c r="E578" s="32" t="inlineStr">
        <is>
          <t>Men's haircut</t>
        </is>
      </c>
      <c r="F578" s="33" t="inlineStr">
        <is>
          <t>Done</t>
        </is>
      </c>
      <c r="G578" s="27">
        <f>IF(E578="","",MAX(0,IFERROR(INDEX(Services!$C$6:$C$35,MATCH(E578,Services!$B$6:$B$35,0)),0)-N(H578)))</f>
        <v/>
      </c>
      <c r="H578" s="34" t="n"/>
      <c r="I578" s="34" t="n">
        <v>30</v>
      </c>
      <c r="J578" s="33" t="inlineStr">
        <is>
          <t>Card</t>
        </is>
      </c>
      <c r="K578" s="28">
        <f>IF(OR(B578="",F578&lt;&gt;"Done",J578="Package"),"",IF(N(G578)-N(I578)&gt;0,N(G578)-N(I578),""))</f>
        <v/>
      </c>
      <c r="L578" s="32" t="n"/>
      <c r="M578" s="1">
        <f>IF(OR(B578="",D578="",F578="Cancelled"),"",B578+N(C578)+ROW()/10000000)</f>
        <v/>
      </c>
      <c r="N578">
        <f>IF(AND(F578="Done",M578&lt;&gt;""),IF(COUNTIFS(Appointments!$D$6:$D$2005,D578,Appointments!$F$6:$F$2005,"Done",Appointments!$M$6:$M$2005,"&gt;"&amp;M578)=0,1,0),0)</f>
        <v/>
      </c>
      <c r="O578">
        <f>IF(AND(F578="Booked",M578&lt;&gt;"",N(B578)&gt;=TODAY()),IF(COUNTIFS(Appointments!$D$6:$D$2005,D578,Appointments!$F$6:$F$2005,"Booked",Appointments!$B$6:$B$2005,"&gt;="&amp;TODAY(),Appointments!$M$6:$M$2005,"&lt;"&amp;M578)=0,1,0),0)</f>
        <v/>
      </c>
    </row>
    <row r="579">
      <c r="A579" s="1" t="n"/>
      <c r="B579" s="30" t="n">
        <v>46163</v>
      </c>
      <c r="C579" s="31" t="n">
        <v>0.4791666666666667</v>
      </c>
      <c r="D579" s="32" t="inlineStr">
        <is>
          <t>Luke Walsh</t>
        </is>
      </c>
      <c r="E579" s="32" t="inlineStr">
        <is>
          <t>Men's haircut</t>
        </is>
      </c>
      <c r="F579" s="33" t="inlineStr">
        <is>
          <t>Done</t>
        </is>
      </c>
      <c r="G579" s="27">
        <f>IF(E579="","",MAX(0,IFERROR(INDEX(Services!$C$6:$C$35,MATCH(E579,Services!$B$6:$B$35,0)),0)-N(H579)))</f>
        <v/>
      </c>
      <c r="H579" s="34" t="n"/>
      <c r="I579" s="34" t="n">
        <v>30</v>
      </c>
      <c r="J579" s="33" t="inlineStr">
        <is>
          <t>Card</t>
        </is>
      </c>
      <c r="K579" s="28">
        <f>IF(OR(B579="",F579&lt;&gt;"Done",J579="Package"),"",IF(N(G579)-N(I579)&gt;0,N(G579)-N(I579),""))</f>
        <v/>
      </c>
      <c r="L579" s="32" t="n"/>
      <c r="M579" s="1">
        <f>IF(OR(B579="",D579="",F579="Cancelled"),"",B579+N(C579)+ROW()/10000000)</f>
        <v/>
      </c>
      <c r="N579">
        <f>IF(AND(F579="Done",M579&lt;&gt;""),IF(COUNTIFS(Appointments!$D$6:$D$2005,D579,Appointments!$F$6:$F$2005,"Done",Appointments!$M$6:$M$2005,"&gt;"&amp;M579)=0,1,0),0)</f>
        <v/>
      </c>
      <c r="O579">
        <f>IF(AND(F579="Booked",M579&lt;&gt;"",N(B579)&gt;=TODAY()),IF(COUNTIFS(Appointments!$D$6:$D$2005,D579,Appointments!$F$6:$F$2005,"Booked",Appointments!$B$6:$B$2005,"&gt;="&amp;TODAY(),Appointments!$M$6:$M$2005,"&lt;"&amp;M579)=0,1,0),0)</f>
        <v/>
      </c>
    </row>
    <row r="580">
      <c r="A580" s="1" t="n"/>
      <c r="B580" s="30" t="n">
        <v>46163</v>
      </c>
      <c r="C580" s="31" t="n">
        <v>0.5069444444444444</v>
      </c>
      <c r="D580" s="32" t="inlineStr">
        <is>
          <t>Tina Baker</t>
        </is>
      </c>
      <c r="E580" s="32" t="inlineStr">
        <is>
          <t>Colour</t>
        </is>
      </c>
      <c r="F580" s="33" t="inlineStr">
        <is>
          <t>Done</t>
        </is>
      </c>
      <c r="G580" s="27">
        <f>IF(E580="","",MAX(0,IFERROR(INDEX(Services!$C$6:$C$35,MATCH(E580,Services!$B$6:$B$35,0)),0)-N(H580)))</f>
        <v/>
      </c>
      <c r="H580" s="34" t="n"/>
      <c r="I580" s="34" t="n">
        <v>95</v>
      </c>
      <c r="J580" s="33" t="inlineStr">
        <is>
          <t>Card</t>
        </is>
      </c>
      <c r="K580" s="28">
        <f>IF(OR(B580="",F580&lt;&gt;"Done",J580="Package"),"",IF(N(G580)-N(I580)&gt;0,N(G580)-N(I580),""))</f>
        <v/>
      </c>
      <c r="L580" s="32" t="n"/>
      <c r="M580" s="1">
        <f>IF(OR(B580="",D580="",F580="Cancelled"),"",B580+N(C580)+ROW()/10000000)</f>
        <v/>
      </c>
      <c r="N580">
        <f>IF(AND(F580="Done",M580&lt;&gt;""),IF(COUNTIFS(Appointments!$D$6:$D$2005,D580,Appointments!$F$6:$F$2005,"Done",Appointments!$M$6:$M$2005,"&gt;"&amp;M580)=0,1,0),0)</f>
        <v/>
      </c>
      <c r="O580">
        <f>IF(AND(F580="Booked",M580&lt;&gt;"",N(B580)&gt;=TODAY()),IF(COUNTIFS(Appointments!$D$6:$D$2005,D580,Appointments!$F$6:$F$2005,"Booked",Appointments!$B$6:$B$2005,"&gt;="&amp;TODAY(),Appointments!$M$6:$M$2005,"&lt;"&amp;M580)=0,1,0),0)</f>
        <v/>
      </c>
    </row>
    <row r="581">
      <c r="A581" s="1" t="n"/>
      <c r="B581" s="30" t="n">
        <v>46164</v>
      </c>
      <c r="C581" s="31" t="n">
        <v>0.375</v>
      </c>
      <c r="D581" s="32" t="inlineStr">
        <is>
          <t>Gina Reid</t>
        </is>
      </c>
      <c r="E581" s="32" t="inlineStr">
        <is>
          <t>Highlights</t>
        </is>
      </c>
      <c r="F581" s="33" t="inlineStr">
        <is>
          <t>Done</t>
        </is>
      </c>
      <c r="G581" s="27">
        <f>IF(E581="","",MAX(0,IFERROR(INDEX(Services!$C$6:$C$35,MATCH(E581,Services!$B$6:$B$35,0)),0)-N(H581)))</f>
        <v/>
      </c>
      <c r="H581" s="34" t="n"/>
      <c r="I581" s="34" t="n">
        <v>140</v>
      </c>
      <c r="J581" s="33" t="inlineStr">
        <is>
          <t>Cash</t>
        </is>
      </c>
      <c r="K581" s="28">
        <f>IF(OR(B581="",F581&lt;&gt;"Done",J581="Package"),"",IF(N(G581)-N(I581)&gt;0,N(G581)-N(I581),""))</f>
        <v/>
      </c>
      <c r="L581" s="32" t="n"/>
      <c r="M581" s="1">
        <f>IF(OR(B581="",D581="",F581="Cancelled"),"",B581+N(C581)+ROW()/10000000)</f>
        <v/>
      </c>
      <c r="N581">
        <f>IF(AND(F581="Done",M581&lt;&gt;""),IF(COUNTIFS(Appointments!$D$6:$D$2005,D581,Appointments!$F$6:$F$2005,"Done",Appointments!$M$6:$M$2005,"&gt;"&amp;M581)=0,1,0),0)</f>
        <v/>
      </c>
      <c r="O581">
        <f>IF(AND(F581="Booked",M581&lt;&gt;"",N(B581)&gt;=TODAY()),IF(COUNTIFS(Appointments!$D$6:$D$2005,D581,Appointments!$F$6:$F$2005,"Booked",Appointments!$B$6:$B$2005,"&gt;="&amp;TODAY(),Appointments!$M$6:$M$2005,"&lt;"&amp;M581)=0,1,0),0)</f>
        <v/>
      </c>
    </row>
    <row r="582">
      <c r="A582" s="1" t="n"/>
      <c r="B582" s="30" t="n">
        <v>46164</v>
      </c>
      <c r="C582" s="31" t="n">
        <v>0.4861111111111111</v>
      </c>
      <c r="D582" s="32" t="inlineStr">
        <is>
          <t>Harry Adams</t>
        </is>
      </c>
      <c r="E582" s="32" t="inlineStr">
        <is>
          <t>Men's haircut</t>
        </is>
      </c>
      <c r="F582" s="33" t="inlineStr">
        <is>
          <t>Done</t>
        </is>
      </c>
      <c r="G582" s="27">
        <f>IF(E582="","",MAX(0,IFERROR(INDEX(Services!$C$6:$C$35,MATCH(E582,Services!$B$6:$B$35,0)),0)-N(H582)))</f>
        <v/>
      </c>
      <c r="H582" s="34" t="n"/>
      <c r="I582" s="34" t="n">
        <v>30</v>
      </c>
      <c r="J582" s="33" t="inlineStr">
        <is>
          <t>Card</t>
        </is>
      </c>
      <c r="K582" s="28">
        <f>IF(OR(B582="",F582&lt;&gt;"Done",J582="Package"),"",IF(N(G582)-N(I582)&gt;0,N(G582)-N(I582),""))</f>
        <v/>
      </c>
      <c r="L582" s="32" t="n"/>
      <c r="M582" s="1">
        <f>IF(OR(B582="",D582="",F582="Cancelled"),"",B582+N(C582)+ROW()/10000000)</f>
        <v/>
      </c>
      <c r="N582">
        <f>IF(AND(F582="Done",M582&lt;&gt;""),IF(COUNTIFS(Appointments!$D$6:$D$2005,D582,Appointments!$F$6:$F$2005,"Done",Appointments!$M$6:$M$2005,"&gt;"&amp;M582)=0,1,0),0)</f>
        <v/>
      </c>
      <c r="O582">
        <f>IF(AND(F582="Booked",M582&lt;&gt;"",N(B582)&gt;=TODAY()),IF(COUNTIFS(Appointments!$D$6:$D$2005,D582,Appointments!$F$6:$F$2005,"Booked",Appointments!$B$6:$B$2005,"&gt;="&amp;TODAY(),Appointments!$M$6:$M$2005,"&lt;"&amp;M582)=0,1,0),0)</f>
        <v/>
      </c>
    </row>
    <row r="583">
      <c r="A583" s="1" t="n"/>
      <c r="B583" s="30" t="n">
        <v>46164</v>
      </c>
      <c r="C583" s="31" t="n">
        <v>0.5138888888888888</v>
      </c>
      <c r="D583" s="32" t="inlineStr">
        <is>
          <t>Harry Hill</t>
        </is>
      </c>
      <c r="E583" s="32" t="inlineStr">
        <is>
          <t>Men's haircut</t>
        </is>
      </c>
      <c r="F583" s="33" t="inlineStr">
        <is>
          <t>Done</t>
        </is>
      </c>
      <c r="G583" s="27">
        <f>IF(E583="","",MAX(0,IFERROR(INDEX(Services!$C$6:$C$35,MATCH(E583,Services!$B$6:$B$35,0)),0)-N(H583)))</f>
        <v/>
      </c>
      <c r="H583" s="34" t="n"/>
      <c r="I583" s="34" t="n">
        <v>30</v>
      </c>
      <c r="J583" s="33" t="inlineStr">
        <is>
          <t>Card</t>
        </is>
      </c>
      <c r="K583" s="28">
        <f>IF(OR(B583="",F583&lt;&gt;"Done",J583="Package"),"",IF(N(G583)-N(I583)&gt;0,N(G583)-N(I583),""))</f>
        <v/>
      </c>
      <c r="L583" s="32" t="n"/>
      <c r="M583" s="1">
        <f>IF(OR(B583="",D583="",F583="Cancelled"),"",B583+N(C583)+ROW()/10000000)</f>
        <v/>
      </c>
      <c r="N583">
        <f>IF(AND(F583="Done",M583&lt;&gt;""),IF(COUNTIFS(Appointments!$D$6:$D$2005,D583,Appointments!$F$6:$F$2005,"Done",Appointments!$M$6:$M$2005,"&gt;"&amp;M583)=0,1,0),0)</f>
        <v/>
      </c>
      <c r="O583">
        <f>IF(AND(F583="Booked",M583&lt;&gt;"",N(B583)&gt;=TODAY()),IF(COUNTIFS(Appointments!$D$6:$D$2005,D583,Appointments!$F$6:$F$2005,"Booked",Appointments!$B$6:$B$2005,"&gt;="&amp;TODAY(),Appointments!$M$6:$M$2005,"&lt;"&amp;M583)=0,1,0),0)</f>
        <v/>
      </c>
    </row>
    <row r="584">
      <c r="A584" s="1" t="n"/>
      <c r="B584" s="30" t="n">
        <v>46164</v>
      </c>
      <c r="C584" s="31" t="n">
        <v>0.5416666666666666</v>
      </c>
      <c r="D584" s="32" t="inlineStr">
        <is>
          <t>Tara Singh</t>
        </is>
      </c>
      <c r="E584" s="32" t="inlineStr">
        <is>
          <t>Treatment</t>
        </is>
      </c>
      <c r="F584" s="33" t="inlineStr">
        <is>
          <t>Done</t>
        </is>
      </c>
      <c r="G584" s="27">
        <f>IF(E584="","",MAX(0,IFERROR(INDEX(Services!$C$6:$C$35,MATCH(E584,Services!$B$6:$B$35,0)),0)-N(H584)))</f>
        <v/>
      </c>
      <c r="H584" s="34" t="n"/>
      <c r="I584" s="34" t="n">
        <v>30</v>
      </c>
      <c r="J584" s="33" t="inlineStr">
        <is>
          <t>Cash</t>
        </is>
      </c>
      <c r="K584" s="28">
        <f>IF(OR(B584="",F584&lt;&gt;"Done",J584="Package"),"",IF(N(G584)-N(I584)&gt;0,N(G584)-N(I584),""))</f>
        <v/>
      </c>
      <c r="L584" s="32" t="n"/>
      <c r="M584" s="1">
        <f>IF(OR(B584="",D584="",F584="Cancelled"),"",B584+N(C584)+ROW()/10000000)</f>
        <v/>
      </c>
      <c r="N584">
        <f>IF(AND(F584="Done",M584&lt;&gt;""),IF(COUNTIFS(Appointments!$D$6:$D$2005,D584,Appointments!$F$6:$F$2005,"Done",Appointments!$M$6:$M$2005,"&gt;"&amp;M584)=0,1,0),0)</f>
        <v/>
      </c>
      <c r="O584">
        <f>IF(AND(F584="Booked",M584&lt;&gt;"",N(B584)&gt;=TODAY()),IF(COUNTIFS(Appointments!$D$6:$D$2005,D584,Appointments!$F$6:$F$2005,"Booked",Appointments!$B$6:$B$2005,"&gt;="&amp;TODAY(),Appointments!$M$6:$M$2005,"&lt;"&amp;M584)=0,1,0),0)</f>
        <v/>
      </c>
    </row>
    <row r="585">
      <c r="A585" s="1" t="n"/>
      <c r="B585" s="30" t="n">
        <v>46165</v>
      </c>
      <c r="C585" s="31" t="n">
        <v>0.375</v>
      </c>
      <c r="D585" s="32" t="inlineStr">
        <is>
          <t>Holly Fox</t>
        </is>
      </c>
      <c r="E585" s="32" t="inlineStr">
        <is>
          <t>Blow dry</t>
        </is>
      </c>
      <c r="F585" s="33" t="inlineStr">
        <is>
          <t>Done</t>
        </is>
      </c>
      <c r="G585" s="27">
        <f>IF(E585="","",MAX(0,IFERROR(INDEX(Services!$C$6:$C$35,MATCH(E585,Services!$B$6:$B$35,0)),0)-N(H585)))</f>
        <v/>
      </c>
      <c r="H585" s="34" t="n"/>
      <c r="I585" s="34" t="n">
        <v>35</v>
      </c>
      <c r="J585" s="33" t="inlineStr">
        <is>
          <t>Card</t>
        </is>
      </c>
      <c r="K585" s="28">
        <f>IF(OR(B585="",F585&lt;&gt;"Done",J585="Package"),"",IF(N(G585)-N(I585)&gt;0,N(G585)-N(I585),""))</f>
        <v/>
      </c>
      <c r="L585" s="32" t="n"/>
      <c r="M585" s="1">
        <f>IF(OR(B585="",D585="",F585="Cancelled"),"",B585+N(C585)+ROW()/10000000)</f>
        <v/>
      </c>
      <c r="N585">
        <f>IF(AND(F585="Done",M585&lt;&gt;""),IF(COUNTIFS(Appointments!$D$6:$D$2005,D585,Appointments!$F$6:$F$2005,"Done",Appointments!$M$6:$M$2005,"&gt;"&amp;M585)=0,1,0),0)</f>
        <v/>
      </c>
      <c r="O585">
        <f>IF(AND(F585="Booked",M585&lt;&gt;"",N(B585)&gt;=TODAY()),IF(COUNTIFS(Appointments!$D$6:$D$2005,D585,Appointments!$F$6:$F$2005,"Booked",Appointments!$B$6:$B$2005,"&gt;="&amp;TODAY(),Appointments!$M$6:$M$2005,"&lt;"&amp;M585)=0,1,0),0)</f>
        <v/>
      </c>
    </row>
    <row r="586">
      <c r="A586" s="1" t="n"/>
      <c r="B586" s="30" t="n">
        <v>46165</v>
      </c>
      <c r="C586" s="31" t="n">
        <v>0.4131944444444444</v>
      </c>
      <c r="D586" s="32" t="inlineStr">
        <is>
          <t>Ian Hall</t>
        </is>
      </c>
      <c r="E586" s="32" t="inlineStr">
        <is>
          <t>Men's haircut</t>
        </is>
      </c>
      <c r="F586" s="33" t="inlineStr">
        <is>
          <t>Done</t>
        </is>
      </c>
      <c r="G586" s="27">
        <f>IF(E586="","",MAX(0,IFERROR(INDEX(Services!$C$6:$C$35,MATCH(E586,Services!$B$6:$B$35,0)),0)-N(H586)))</f>
        <v/>
      </c>
      <c r="H586" s="34" t="n"/>
      <c r="I586" s="34" t="n">
        <v>30</v>
      </c>
      <c r="J586" s="33" t="inlineStr">
        <is>
          <t>Cash</t>
        </is>
      </c>
      <c r="K586" s="28">
        <f>IF(OR(B586="",F586&lt;&gt;"Done",J586="Package"),"",IF(N(G586)-N(I586)&gt;0,N(G586)-N(I586),""))</f>
        <v/>
      </c>
      <c r="L586" s="32" t="n"/>
      <c r="M586" s="1">
        <f>IF(OR(B586="",D586="",F586="Cancelled"),"",B586+N(C586)+ROW()/10000000)</f>
        <v/>
      </c>
      <c r="N586">
        <f>IF(AND(F586="Done",M586&lt;&gt;""),IF(COUNTIFS(Appointments!$D$6:$D$2005,D586,Appointments!$F$6:$F$2005,"Done",Appointments!$M$6:$M$2005,"&gt;"&amp;M586)=0,1,0),0)</f>
        <v/>
      </c>
      <c r="O586">
        <f>IF(AND(F586="Booked",M586&lt;&gt;"",N(B586)&gt;=TODAY()),IF(COUNTIFS(Appointments!$D$6:$D$2005,D586,Appointments!$F$6:$F$2005,"Booked",Appointments!$B$6:$B$2005,"&gt;="&amp;TODAY(),Appointments!$M$6:$M$2005,"&lt;"&amp;M586)=0,1,0),0)</f>
        <v/>
      </c>
    </row>
    <row r="587">
      <c r="A587" s="1" t="n"/>
      <c r="B587" s="30" t="n">
        <v>46165</v>
      </c>
      <c r="C587" s="31" t="n">
        <v>0.4409722222222222</v>
      </c>
      <c r="D587" s="32" t="inlineStr">
        <is>
          <t>Jade Hughes</t>
        </is>
      </c>
      <c r="E587" s="32" t="inlineStr">
        <is>
          <t>Women's haircut</t>
        </is>
      </c>
      <c r="F587" s="33" t="inlineStr">
        <is>
          <t>Done</t>
        </is>
      </c>
      <c r="G587" s="27">
        <f>IF(E587="","",MAX(0,IFERROR(INDEX(Services!$C$6:$C$35,MATCH(E587,Services!$B$6:$B$35,0)),0)-N(H587)))</f>
        <v/>
      </c>
      <c r="H587" s="34" t="n">
        <v>10</v>
      </c>
      <c r="I587" s="34" t="n">
        <v>45</v>
      </c>
      <c r="J587" s="33" t="inlineStr">
        <is>
          <t>App</t>
        </is>
      </c>
      <c r="K587" s="28">
        <f>IF(OR(B587="",F587&lt;&gt;"Done",J587="Package"),"",IF(N(G587)-N(I587)&gt;0,N(G587)-N(I587),""))</f>
        <v/>
      </c>
      <c r="L587" s="32" t="inlineStr">
        <is>
          <t>Friends and family</t>
        </is>
      </c>
      <c r="M587" s="1">
        <f>IF(OR(B587="",D587="",F587="Cancelled"),"",B587+N(C587)+ROW()/10000000)</f>
        <v/>
      </c>
      <c r="N587">
        <f>IF(AND(F587="Done",M587&lt;&gt;""),IF(COUNTIFS(Appointments!$D$6:$D$2005,D587,Appointments!$F$6:$F$2005,"Done",Appointments!$M$6:$M$2005,"&gt;"&amp;M587)=0,1,0),0)</f>
        <v/>
      </c>
      <c r="O587">
        <f>IF(AND(F587="Booked",M587&lt;&gt;"",N(B587)&gt;=TODAY()),IF(COUNTIFS(Appointments!$D$6:$D$2005,D587,Appointments!$F$6:$F$2005,"Booked",Appointments!$B$6:$B$2005,"&gt;="&amp;TODAY(),Appointments!$M$6:$M$2005,"&lt;"&amp;M587)=0,1,0),0)</f>
        <v/>
      </c>
    </row>
    <row r="588">
      <c r="A588" s="1" t="n"/>
      <c r="B588" s="30" t="n">
        <v>46165</v>
      </c>
      <c r="C588" s="31" t="n">
        <v>0.4895833333333333</v>
      </c>
      <c r="D588" s="32" t="inlineStr">
        <is>
          <t>Lily Young</t>
        </is>
      </c>
      <c r="E588" s="32" t="inlineStr">
        <is>
          <t>Women's haircut</t>
        </is>
      </c>
      <c r="F588" s="33" t="inlineStr">
        <is>
          <t>Done</t>
        </is>
      </c>
      <c r="G588" s="27">
        <f>IF(E588="","",MAX(0,IFERROR(INDEX(Services!$C$6:$C$35,MATCH(E588,Services!$B$6:$B$35,0)),0)-N(H588)))</f>
        <v/>
      </c>
      <c r="H588" s="34" t="n"/>
      <c r="I588" s="34" t="n">
        <v>55</v>
      </c>
      <c r="J588" s="33" t="inlineStr">
        <is>
          <t>Card</t>
        </is>
      </c>
      <c r="K588" s="28">
        <f>IF(OR(B588="",F588&lt;&gt;"Done",J588="Package"),"",IF(N(G588)-N(I588)&gt;0,N(G588)-N(I588),""))</f>
        <v/>
      </c>
      <c r="L588" s="32" t="n"/>
      <c r="M588" s="1">
        <f>IF(OR(B588="",D588="",F588="Cancelled"),"",B588+N(C588)+ROW()/10000000)</f>
        <v/>
      </c>
      <c r="N588">
        <f>IF(AND(F588="Done",M588&lt;&gt;""),IF(COUNTIFS(Appointments!$D$6:$D$2005,D588,Appointments!$F$6:$F$2005,"Done",Appointments!$M$6:$M$2005,"&gt;"&amp;M588)=0,1,0),0)</f>
        <v/>
      </c>
      <c r="O588">
        <f>IF(AND(F588="Booked",M588&lt;&gt;"",N(B588)&gt;=TODAY()),IF(COUNTIFS(Appointments!$D$6:$D$2005,D588,Appointments!$F$6:$F$2005,"Booked",Appointments!$B$6:$B$2005,"&gt;="&amp;TODAY(),Appointments!$M$6:$M$2005,"&lt;"&amp;M588)=0,1,0),0)</f>
        <v/>
      </c>
    </row>
    <row r="589">
      <c r="A589" s="1" t="n"/>
      <c r="B589" s="30" t="n">
        <v>46165</v>
      </c>
      <c r="C589" s="31" t="n">
        <v>0.5381944444444444</v>
      </c>
      <c r="D589" s="32" t="inlineStr">
        <is>
          <t>Lucy Wood</t>
        </is>
      </c>
      <c r="E589" s="32" t="inlineStr">
        <is>
          <t>Women's haircut</t>
        </is>
      </c>
      <c r="F589" s="33" t="inlineStr">
        <is>
          <t>Done</t>
        </is>
      </c>
      <c r="G589" s="27">
        <f>IF(E589="","",MAX(0,IFERROR(INDEX(Services!$C$6:$C$35,MATCH(E589,Services!$B$6:$B$35,0)),0)-N(H589)))</f>
        <v/>
      </c>
      <c r="H589" s="34" t="n"/>
      <c r="I589" s="34" t="n">
        <v>55</v>
      </c>
      <c r="J589" s="33" t="inlineStr">
        <is>
          <t>Cash</t>
        </is>
      </c>
      <c r="K589" s="28">
        <f>IF(OR(B589="",F589&lt;&gt;"Done",J589="Package"),"",IF(N(G589)-N(I589)&gt;0,N(G589)-N(I589),""))</f>
        <v/>
      </c>
      <c r="L589" s="32" t="n"/>
      <c r="M589" s="1">
        <f>IF(OR(B589="",D589="",F589="Cancelled"),"",B589+N(C589)+ROW()/10000000)</f>
        <v/>
      </c>
      <c r="N589">
        <f>IF(AND(F589="Done",M589&lt;&gt;""),IF(COUNTIFS(Appointments!$D$6:$D$2005,D589,Appointments!$F$6:$F$2005,"Done",Appointments!$M$6:$M$2005,"&gt;"&amp;M589)=0,1,0),0)</f>
        <v/>
      </c>
      <c r="O589">
        <f>IF(AND(F589="Booked",M589&lt;&gt;"",N(B589)&gt;=TODAY()),IF(COUNTIFS(Appointments!$D$6:$D$2005,D589,Appointments!$F$6:$F$2005,"Booked",Appointments!$B$6:$B$2005,"&gt;="&amp;TODAY(),Appointments!$M$6:$M$2005,"&lt;"&amp;M589)=0,1,0),0)</f>
        <v/>
      </c>
    </row>
    <row r="590">
      <c r="A590" s="1" t="n"/>
      <c r="B590" s="30" t="n">
        <v>46165</v>
      </c>
      <c r="C590" s="31" t="n">
        <v>0.5868055555555556</v>
      </c>
      <c r="D590" s="32" t="inlineStr">
        <is>
          <t>Luke Lewis</t>
        </is>
      </c>
      <c r="E590" s="32" t="inlineStr">
        <is>
          <t>Men's haircut</t>
        </is>
      </c>
      <c r="F590" s="33" t="inlineStr">
        <is>
          <t>Done</t>
        </is>
      </c>
      <c r="G590" s="27">
        <f>IF(E590="","",MAX(0,IFERROR(INDEX(Services!$C$6:$C$35,MATCH(E590,Services!$B$6:$B$35,0)),0)-N(H590)))</f>
        <v/>
      </c>
      <c r="H590" s="34" t="n"/>
      <c r="I590" s="34" t="n">
        <v>30</v>
      </c>
      <c r="J590" s="33" t="inlineStr">
        <is>
          <t>Transfer</t>
        </is>
      </c>
      <c r="K590" s="28">
        <f>IF(OR(B590="",F590&lt;&gt;"Done",J590="Package"),"",IF(N(G590)-N(I590)&gt;0,N(G590)-N(I590),""))</f>
        <v/>
      </c>
      <c r="L590" s="32" t="n"/>
      <c r="M590" s="1">
        <f>IF(OR(B590="",D590="",F590="Cancelled"),"",B590+N(C590)+ROW()/10000000)</f>
        <v/>
      </c>
      <c r="N590">
        <f>IF(AND(F590="Done",M590&lt;&gt;""),IF(COUNTIFS(Appointments!$D$6:$D$2005,D590,Appointments!$F$6:$F$2005,"Done",Appointments!$M$6:$M$2005,"&gt;"&amp;M590)=0,1,0),0)</f>
        <v/>
      </c>
      <c r="O590">
        <f>IF(AND(F590="Booked",M590&lt;&gt;"",N(B590)&gt;=TODAY()),IF(COUNTIFS(Appointments!$D$6:$D$2005,D590,Appointments!$F$6:$F$2005,"Booked",Appointments!$B$6:$B$2005,"&gt;="&amp;TODAY(),Appointments!$M$6:$M$2005,"&lt;"&amp;M590)=0,1,0),0)</f>
        <v/>
      </c>
    </row>
    <row r="591">
      <c r="A591" s="1" t="n"/>
      <c r="B591" s="30" t="n">
        <v>46165</v>
      </c>
      <c r="C591" s="31" t="n">
        <v>0.6145833333333334</v>
      </c>
      <c r="D591" s="32" t="inlineStr">
        <is>
          <t>Mia Cole</t>
        </is>
      </c>
      <c r="E591" s="32" t="inlineStr">
        <is>
          <t>Women's haircut</t>
        </is>
      </c>
      <c r="F591" s="33" t="inlineStr">
        <is>
          <t>Cancelled</t>
        </is>
      </c>
      <c r="G591" s="27">
        <f>IF(E591="","",MAX(0,IFERROR(INDEX(Services!$C$6:$C$35,MATCH(E591,Services!$B$6:$B$35,0)),0)-N(H591)))</f>
        <v/>
      </c>
      <c r="H591" s="34" t="n"/>
      <c r="I591" s="34" t="n"/>
      <c r="J591" s="33" t="n"/>
      <c r="K591" s="28">
        <f>IF(OR(B591="",F591&lt;&gt;"Done",J591="Package"),"",IF(N(G591)-N(I591)&gt;0,N(G591)-N(I591),""))</f>
        <v/>
      </c>
      <c r="L591" s="32" t="n"/>
      <c r="M591" s="1">
        <f>IF(OR(B591="",D591="",F591="Cancelled"),"",B591+N(C591)+ROW()/10000000)</f>
        <v/>
      </c>
      <c r="N591">
        <f>IF(AND(F591="Done",M591&lt;&gt;""),IF(COUNTIFS(Appointments!$D$6:$D$2005,D591,Appointments!$F$6:$F$2005,"Done",Appointments!$M$6:$M$2005,"&gt;"&amp;M591)=0,1,0),0)</f>
        <v/>
      </c>
      <c r="O591">
        <f>IF(AND(F591="Booked",M591&lt;&gt;"",N(B591)&gt;=TODAY()),IF(COUNTIFS(Appointments!$D$6:$D$2005,D591,Appointments!$F$6:$F$2005,"Booked",Appointments!$B$6:$B$2005,"&gt;="&amp;TODAY(),Appointments!$M$6:$M$2005,"&lt;"&amp;M591)=0,1,0),0)</f>
        <v/>
      </c>
    </row>
    <row r="592">
      <c r="A592" s="1" t="n"/>
      <c r="B592" s="30" t="n">
        <v>46168</v>
      </c>
      <c r="C592" s="31" t="n">
        <v>0.375</v>
      </c>
      <c r="D592" s="32" t="inlineStr">
        <is>
          <t>Daniel Kim</t>
        </is>
      </c>
      <c r="E592" s="32" t="inlineStr">
        <is>
          <t>Men's haircut</t>
        </is>
      </c>
      <c r="F592" s="33" t="inlineStr">
        <is>
          <t>Done</t>
        </is>
      </c>
      <c r="G592" s="27">
        <f>IF(E592="","",MAX(0,IFERROR(INDEX(Services!$C$6:$C$35,MATCH(E592,Services!$B$6:$B$35,0)),0)-N(H592)))</f>
        <v/>
      </c>
      <c r="H592" s="34" t="n"/>
      <c r="I592" s="34" t="n">
        <v>30</v>
      </c>
      <c r="J592" s="33" t="inlineStr">
        <is>
          <t>Cash</t>
        </is>
      </c>
      <c r="K592" s="28">
        <f>IF(OR(B592="",F592&lt;&gt;"Done",J592="Package"),"",IF(N(G592)-N(I592)&gt;0,N(G592)-N(I592),""))</f>
        <v/>
      </c>
      <c r="L592" s="32" t="n"/>
      <c r="M592" s="1">
        <f>IF(OR(B592="",D592="",F592="Cancelled"),"",B592+N(C592)+ROW()/10000000)</f>
        <v/>
      </c>
      <c r="N592">
        <f>IF(AND(F592="Done",M592&lt;&gt;""),IF(COUNTIFS(Appointments!$D$6:$D$2005,D592,Appointments!$F$6:$F$2005,"Done",Appointments!$M$6:$M$2005,"&gt;"&amp;M592)=0,1,0),0)</f>
        <v/>
      </c>
      <c r="O592">
        <f>IF(AND(F592="Booked",M592&lt;&gt;"",N(B592)&gt;=TODAY()),IF(COUNTIFS(Appointments!$D$6:$D$2005,D592,Appointments!$F$6:$F$2005,"Booked",Appointments!$B$6:$B$2005,"&gt;="&amp;TODAY(),Appointments!$M$6:$M$2005,"&lt;"&amp;M592)=0,1,0),0)</f>
        <v/>
      </c>
    </row>
    <row r="593">
      <c r="A593" s="1" t="n"/>
      <c r="B593" s="30" t="n">
        <v>46168</v>
      </c>
      <c r="C593" s="31" t="n">
        <v>0.4027777777777778</v>
      </c>
      <c r="D593" s="32" t="inlineStr">
        <is>
          <t>Eli Cole</t>
        </is>
      </c>
      <c r="E593" s="32" t="inlineStr">
        <is>
          <t>Men's haircut</t>
        </is>
      </c>
      <c r="F593" s="33" t="inlineStr">
        <is>
          <t>Done</t>
        </is>
      </c>
      <c r="G593" s="27">
        <f>IF(E593="","",MAX(0,IFERROR(INDEX(Services!$C$6:$C$35,MATCH(E593,Services!$B$6:$B$35,0)),0)-N(H593)))</f>
        <v/>
      </c>
      <c r="H593" s="34" t="n"/>
      <c r="I593" s="34" t="n">
        <v>30</v>
      </c>
      <c r="J593" s="33" t="inlineStr">
        <is>
          <t>Card</t>
        </is>
      </c>
      <c r="K593" s="28">
        <f>IF(OR(B593="",F593&lt;&gt;"Done",J593="Package"),"",IF(N(G593)-N(I593)&gt;0,N(G593)-N(I593),""))</f>
        <v/>
      </c>
      <c r="L593" s="32" t="n"/>
      <c r="M593" s="1">
        <f>IF(OR(B593="",D593="",F593="Cancelled"),"",B593+N(C593)+ROW()/10000000)</f>
        <v/>
      </c>
      <c r="N593">
        <f>IF(AND(F593="Done",M593&lt;&gt;""),IF(COUNTIFS(Appointments!$D$6:$D$2005,D593,Appointments!$F$6:$F$2005,"Done",Appointments!$M$6:$M$2005,"&gt;"&amp;M593)=0,1,0),0)</f>
        <v/>
      </c>
      <c r="O593">
        <f>IF(AND(F593="Booked",M593&lt;&gt;"",N(B593)&gt;=TODAY()),IF(COUNTIFS(Appointments!$D$6:$D$2005,D593,Appointments!$F$6:$F$2005,"Booked",Appointments!$B$6:$B$2005,"&gt;="&amp;TODAY(),Appointments!$M$6:$M$2005,"&lt;"&amp;M593)=0,1,0),0)</f>
        <v/>
      </c>
    </row>
    <row r="594">
      <c r="A594" s="1" t="n"/>
      <c r="B594" s="30" t="n">
        <v>46168</v>
      </c>
      <c r="C594" s="31" t="n">
        <v>0.4305555555555556</v>
      </c>
      <c r="D594" s="32" t="inlineStr">
        <is>
          <t>Finn Price</t>
        </is>
      </c>
      <c r="E594" s="32" t="inlineStr">
        <is>
          <t>Men's haircut</t>
        </is>
      </c>
      <c r="F594" s="33" t="inlineStr">
        <is>
          <t>Done</t>
        </is>
      </c>
      <c r="G594" s="27">
        <f>IF(E594="","",MAX(0,IFERROR(INDEX(Services!$C$6:$C$35,MATCH(E594,Services!$B$6:$B$35,0)),0)-N(H594)))</f>
        <v/>
      </c>
      <c r="H594" s="34" t="n"/>
      <c r="I594" s="34" t="n">
        <v>30</v>
      </c>
      <c r="J594" s="33" t="inlineStr">
        <is>
          <t>Card</t>
        </is>
      </c>
      <c r="K594" s="28">
        <f>IF(OR(B594="",F594&lt;&gt;"Done",J594="Package"),"",IF(N(G594)-N(I594)&gt;0,N(G594)-N(I594),""))</f>
        <v/>
      </c>
      <c r="L594" s="32" t="n"/>
      <c r="M594" s="1">
        <f>IF(OR(B594="",D594="",F594="Cancelled"),"",B594+N(C594)+ROW()/10000000)</f>
        <v/>
      </c>
      <c r="N594">
        <f>IF(AND(F594="Done",M594&lt;&gt;""),IF(COUNTIFS(Appointments!$D$6:$D$2005,D594,Appointments!$F$6:$F$2005,"Done",Appointments!$M$6:$M$2005,"&gt;"&amp;M594)=0,1,0),0)</f>
        <v/>
      </c>
      <c r="O594">
        <f>IF(AND(F594="Booked",M594&lt;&gt;"",N(B594)&gt;=TODAY()),IF(COUNTIFS(Appointments!$D$6:$D$2005,D594,Appointments!$F$6:$F$2005,"Booked",Appointments!$B$6:$B$2005,"&gt;="&amp;TODAY(),Appointments!$M$6:$M$2005,"&lt;"&amp;M594)=0,1,0),0)</f>
        <v/>
      </c>
    </row>
    <row r="595">
      <c r="A595" s="1" t="n"/>
      <c r="B595" s="30" t="n">
        <v>46168</v>
      </c>
      <c r="C595" s="31" t="n">
        <v>0.4583333333333333</v>
      </c>
      <c r="D595" s="32" t="inlineStr">
        <is>
          <t>Liam Evans</t>
        </is>
      </c>
      <c r="E595" s="32" t="inlineStr">
        <is>
          <t>Men's haircut</t>
        </is>
      </c>
      <c r="F595" s="33" t="inlineStr">
        <is>
          <t>Done</t>
        </is>
      </c>
      <c r="G595" s="27">
        <f>IF(E595="","",MAX(0,IFERROR(INDEX(Services!$C$6:$C$35,MATCH(E595,Services!$B$6:$B$35,0)),0)-N(H595)))</f>
        <v/>
      </c>
      <c r="H595" s="34" t="n"/>
      <c r="I595" s="34" t="n">
        <v>30</v>
      </c>
      <c r="J595" s="33" t="inlineStr">
        <is>
          <t>App</t>
        </is>
      </c>
      <c r="K595" s="28">
        <f>IF(OR(B595="",F595&lt;&gt;"Done",J595="Package"),"",IF(N(G595)-N(I595)&gt;0,N(G595)-N(I595),""))</f>
        <v/>
      </c>
      <c r="L595" s="32" t="n"/>
      <c r="M595" s="1">
        <f>IF(OR(B595="",D595="",F595="Cancelled"),"",B595+N(C595)+ROW()/10000000)</f>
        <v/>
      </c>
      <c r="N595">
        <f>IF(AND(F595="Done",M595&lt;&gt;""),IF(COUNTIFS(Appointments!$D$6:$D$2005,D595,Appointments!$F$6:$F$2005,"Done",Appointments!$M$6:$M$2005,"&gt;"&amp;M595)=0,1,0),0)</f>
        <v/>
      </c>
      <c r="O595">
        <f>IF(AND(F595="Booked",M595&lt;&gt;"",N(B595)&gt;=TODAY()),IF(COUNTIFS(Appointments!$D$6:$D$2005,D595,Appointments!$F$6:$F$2005,"Booked",Appointments!$B$6:$B$2005,"&gt;="&amp;TODAY(),Appointments!$M$6:$M$2005,"&lt;"&amp;M595)=0,1,0),0)</f>
        <v/>
      </c>
    </row>
    <row r="596">
      <c r="A596" s="1" t="n"/>
      <c r="B596" s="30" t="n">
        <v>46168</v>
      </c>
      <c r="C596" s="31" t="n">
        <v>0.4861111111111111</v>
      </c>
      <c r="D596" s="32" t="inlineStr">
        <is>
          <t>Owen Lewis</t>
        </is>
      </c>
      <c r="E596" s="32" t="inlineStr">
        <is>
          <t>Men's haircut</t>
        </is>
      </c>
      <c r="F596" s="33" t="inlineStr">
        <is>
          <t>No-show</t>
        </is>
      </c>
      <c r="G596" s="27">
        <f>IF(E596="","",MAX(0,IFERROR(INDEX(Services!$C$6:$C$35,MATCH(E596,Services!$B$6:$B$35,0)),0)-N(H596)))</f>
        <v/>
      </c>
      <c r="H596" s="34" t="n"/>
      <c r="I596" s="34" t="n"/>
      <c r="J596" s="33" t="n"/>
      <c r="K596" s="28">
        <f>IF(OR(B596="",F596&lt;&gt;"Done",J596="Package"),"",IF(N(G596)-N(I596)&gt;0,N(G596)-N(I596),""))</f>
        <v/>
      </c>
      <c r="L596" s="32" t="n"/>
      <c r="M596" s="1">
        <f>IF(OR(B596="",D596="",F596="Cancelled"),"",B596+N(C596)+ROW()/10000000)</f>
        <v/>
      </c>
      <c r="N596">
        <f>IF(AND(F596="Done",M596&lt;&gt;""),IF(COUNTIFS(Appointments!$D$6:$D$2005,D596,Appointments!$F$6:$F$2005,"Done",Appointments!$M$6:$M$2005,"&gt;"&amp;M596)=0,1,0),0)</f>
        <v/>
      </c>
      <c r="O596">
        <f>IF(AND(F596="Booked",M596&lt;&gt;"",N(B596)&gt;=TODAY()),IF(COUNTIFS(Appointments!$D$6:$D$2005,D596,Appointments!$F$6:$F$2005,"Booked",Appointments!$B$6:$B$2005,"&gt;="&amp;TODAY(),Appointments!$M$6:$M$2005,"&lt;"&amp;M596)=0,1,0),0)</f>
        <v/>
      </c>
    </row>
    <row r="597">
      <c r="A597" s="1" t="n"/>
      <c r="B597" s="30" t="n">
        <v>46168</v>
      </c>
      <c r="C597" s="31" t="n">
        <v>0.5138888888888888</v>
      </c>
      <c r="D597" s="32" t="inlineStr">
        <is>
          <t>Wendy Scott</t>
        </is>
      </c>
      <c r="E597" s="32" t="inlineStr">
        <is>
          <t>Women's haircut</t>
        </is>
      </c>
      <c r="F597" s="33" t="inlineStr">
        <is>
          <t>Done</t>
        </is>
      </c>
      <c r="G597" s="27">
        <f>IF(E597="","",MAX(0,IFERROR(INDEX(Services!$C$6:$C$35,MATCH(E597,Services!$B$6:$B$35,0)),0)-N(H597)))</f>
        <v/>
      </c>
      <c r="H597" s="34" t="n"/>
      <c r="I597" s="34" t="n">
        <v>55</v>
      </c>
      <c r="J597" s="33" t="inlineStr">
        <is>
          <t>Card</t>
        </is>
      </c>
      <c r="K597" s="28">
        <f>IF(OR(B597="",F597&lt;&gt;"Done",J597="Package"),"",IF(N(G597)-N(I597)&gt;0,N(G597)-N(I597),""))</f>
        <v/>
      </c>
      <c r="L597" s="32" t="n"/>
      <c r="M597" s="1">
        <f>IF(OR(B597="",D597="",F597="Cancelled"),"",B597+N(C597)+ROW()/10000000)</f>
        <v/>
      </c>
      <c r="N597">
        <f>IF(AND(F597="Done",M597&lt;&gt;""),IF(COUNTIFS(Appointments!$D$6:$D$2005,D597,Appointments!$F$6:$F$2005,"Done",Appointments!$M$6:$M$2005,"&gt;"&amp;M597)=0,1,0),0)</f>
        <v/>
      </c>
      <c r="O597">
        <f>IF(AND(F597="Booked",M597&lt;&gt;"",N(B597)&gt;=TODAY()),IF(COUNTIFS(Appointments!$D$6:$D$2005,D597,Appointments!$F$6:$F$2005,"Booked",Appointments!$B$6:$B$2005,"&gt;="&amp;TODAY(),Appointments!$M$6:$M$2005,"&lt;"&amp;M597)=0,1,0),0)</f>
        <v/>
      </c>
    </row>
    <row r="598">
      <c r="A598" s="1" t="n"/>
      <c r="B598" s="30" t="n">
        <v>46168</v>
      </c>
      <c r="C598" s="31" t="n">
        <v>0.5625</v>
      </c>
      <c r="D598" s="32" t="inlineStr">
        <is>
          <t>Zoe Turner</t>
        </is>
      </c>
      <c r="E598" s="32" t="inlineStr">
        <is>
          <t>Women's haircut</t>
        </is>
      </c>
      <c r="F598" s="33" t="inlineStr">
        <is>
          <t>Done</t>
        </is>
      </c>
      <c r="G598" s="27">
        <f>IF(E598="","",MAX(0,IFERROR(INDEX(Services!$C$6:$C$35,MATCH(E598,Services!$B$6:$B$35,0)),0)-N(H598)))</f>
        <v/>
      </c>
      <c r="H598" s="34" t="n"/>
      <c r="I598" s="34" t="n">
        <v>55</v>
      </c>
      <c r="J598" s="33" t="inlineStr">
        <is>
          <t>Card</t>
        </is>
      </c>
      <c r="K598" s="28">
        <f>IF(OR(B598="",F598&lt;&gt;"Done",J598="Package"),"",IF(N(G598)-N(I598)&gt;0,N(G598)-N(I598),""))</f>
        <v/>
      </c>
      <c r="L598" s="32" t="n"/>
      <c r="M598" s="1">
        <f>IF(OR(B598="",D598="",F598="Cancelled"),"",B598+N(C598)+ROW()/10000000)</f>
        <v/>
      </c>
      <c r="N598">
        <f>IF(AND(F598="Done",M598&lt;&gt;""),IF(COUNTIFS(Appointments!$D$6:$D$2005,D598,Appointments!$F$6:$F$2005,"Done",Appointments!$M$6:$M$2005,"&gt;"&amp;M598)=0,1,0),0)</f>
        <v/>
      </c>
      <c r="O598">
        <f>IF(AND(F598="Booked",M598&lt;&gt;"",N(B598)&gt;=TODAY()),IF(COUNTIFS(Appointments!$D$6:$D$2005,D598,Appointments!$F$6:$F$2005,"Booked",Appointments!$B$6:$B$2005,"&gt;="&amp;TODAY(),Appointments!$M$6:$M$2005,"&lt;"&amp;M598)=0,1,0),0)</f>
        <v/>
      </c>
    </row>
    <row r="599">
      <c r="A599" s="1" t="n"/>
      <c r="B599" s="30" t="n">
        <v>46169</v>
      </c>
      <c r="C599" s="31" t="n">
        <v>0.375</v>
      </c>
      <c r="D599" s="32" t="inlineStr">
        <is>
          <t>Dina Adams</t>
        </is>
      </c>
      <c r="E599" s="32" t="inlineStr">
        <is>
          <t>Treatment</t>
        </is>
      </c>
      <c r="F599" s="33" t="inlineStr">
        <is>
          <t>Done</t>
        </is>
      </c>
      <c r="G599" s="27">
        <f>IF(E599="","",MAX(0,IFERROR(INDEX(Services!$C$6:$C$35,MATCH(E599,Services!$B$6:$B$35,0)),0)-N(H599)))</f>
        <v/>
      </c>
      <c r="H599" s="34" t="n"/>
      <c r="I599" s="34" t="n">
        <v>30</v>
      </c>
      <c r="J599" s="33" t="inlineStr">
        <is>
          <t>App</t>
        </is>
      </c>
      <c r="K599" s="28">
        <f>IF(OR(B599="",F599&lt;&gt;"Done",J599="Package"),"",IF(N(G599)-N(I599)&gt;0,N(G599)-N(I599),""))</f>
        <v/>
      </c>
      <c r="L599" s="32" t="n"/>
      <c r="M599" s="1">
        <f>IF(OR(B599="",D599="",F599="Cancelled"),"",B599+N(C599)+ROW()/10000000)</f>
        <v/>
      </c>
      <c r="N599">
        <f>IF(AND(F599="Done",M599&lt;&gt;""),IF(COUNTIFS(Appointments!$D$6:$D$2005,D599,Appointments!$F$6:$F$2005,"Done",Appointments!$M$6:$M$2005,"&gt;"&amp;M599)=0,1,0),0)</f>
        <v/>
      </c>
      <c r="O599">
        <f>IF(AND(F599="Booked",M599&lt;&gt;"",N(B599)&gt;=TODAY()),IF(COUNTIFS(Appointments!$D$6:$D$2005,D599,Appointments!$F$6:$F$2005,"Booked",Appointments!$B$6:$B$2005,"&gt;="&amp;TODAY(),Appointments!$M$6:$M$2005,"&lt;"&amp;M599)=0,1,0),0)</f>
        <v/>
      </c>
    </row>
    <row r="600">
      <c r="A600" s="1" t="n"/>
      <c r="B600" s="30" t="n">
        <v>46169</v>
      </c>
      <c r="C600" s="31" t="n">
        <v>0.4027777777777778</v>
      </c>
      <c r="D600" s="32" t="inlineStr">
        <is>
          <t>Finn Cook</t>
        </is>
      </c>
      <c r="E600" s="32" t="inlineStr">
        <is>
          <t>Men's haircut</t>
        </is>
      </c>
      <c r="F600" s="33" t="inlineStr">
        <is>
          <t>Done</t>
        </is>
      </c>
      <c r="G600" s="27">
        <f>IF(E600="","",MAX(0,IFERROR(INDEX(Services!$C$6:$C$35,MATCH(E600,Services!$B$6:$B$35,0)),0)-N(H600)))</f>
        <v/>
      </c>
      <c r="H600" s="34" t="n"/>
      <c r="I600" s="34" t="n">
        <v>30</v>
      </c>
      <c r="J600" s="33" t="inlineStr">
        <is>
          <t>Card</t>
        </is>
      </c>
      <c r="K600" s="28">
        <f>IF(OR(B600="",F600&lt;&gt;"Done",J600="Package"),"",IF(N(G600)-N(I600)&gt;0,N(G600)-N(I600),""))</f>
        <v/>
      </c>
      <c r="L600" s="32" t="n"/>
      <c r="M600" s="1">
        <f>IF(OR(B600="",D600="",F600="Cancelled"),"",B600+N(C600)+ROW()/10000000)</f>
        <v/>
      </c>
      <c r="N600">
        <f>IF(AND(F600="Done",M600&lt;&gt;""),IF(COUNTIFS(Appointments!$D$6:$D$2005,D600,Appointments!$F$6:$F$2005,"Done",Appointments!$M$6:$M$2005,"&gt;"&amp;M600)=0,1,0),0)</f>
        <v/>
      </c>
      <c r="O600">
        <f>IF(AND(F600="Booked",M600&lt;&gt;"",N(B600)&gt;=TODAY()),IF(COUNTIFS(Appointments!$D$6:$D$2005,D600,Appointments!$F$6:$F$2005,"Booked",Appointments!$B$6:$B$2005,"&gt;="&amp;TODAY(),Appointments!$M$6:$M$2005,"&lt;"&amp;M600)=0,1,0),0)</f>
        <v/>
      </c>
    </row>
    <row r="601">
      <c r="A601" s="1" t="n"/>
      <c r="B601" s="30" t="n">
        <v>46169</v>
      </c>
      <c r="C601" s="31" t="n">
        <v>0.4305555555555556</v>
      </c>
      <c r="D601" s="32" t="inlineStr">
        <is>
          <t>Hannah Ellis</t>
        </is>
      </c>
      <c r="E601" s="32" t="inlineStr">
        <is>
          <t>Colour</t>
        </is>
      </c>
      <c r="F601" s="33" t="inlineStr">
        <is>
          <t>Done</t>
        </is>
      </c>
      <c r="G601" s="27">
        <f>IF(E601="","",MAX(0,IFERROR(INDEX(Services!$C$6:$C$35,MATCH(E601,Services!$B$6:$B$35,0)),0)-N(H601)))</f>
        <v/>
      </c>
      <c r="H601" s="34" t="n"/>
      <c r="I601" s="34" t="n">
        <v>95</v>
      </c>
      <c r="J601" s="33" t="inlineStr">
        <is>
          <t>Transfer</t>
        </is>
      </c>
      <c r="K601" s="28">
        <f>IF(OR(B601="",F601&lt;&gt;"Done",J601="Package"),"",IF(N(G601)-N(I601)&gt;0,N(G601)-N(I601),""))</f>
        <v/>
      </c>
      <c r="L601" s="32" t="n"/>
      <c r="M601" s="1">
        <f>IF(OR(B601="",D601="",F601="Cancelled"),"",B601+N(C601)+ROW()/10000000)</f>
        <v/>
      </c>
      <c r="N601">
        <f>IF(AND(F601="Done",M601&lt;&gt;""),IF(COUNTIFS(Appointments!$D$6:$D$2005,D601,Appointments!$F$6:$F$2005,"Done",Appointments!$M$6:$M$2005,"&gt;"&amp;M601)=0,1,0),0)</f>
        <v/>
      </c>
      <c r="O601">
        <f>IF(AND(F601="Booked",M601&lt;&gt;"",N(B601)&gt;=TODAY()),IF(COUNTIFS(Appointments!$D$6:$D$2005,D601,Appointments!$F$6:$F$2005,"Booked",Appointments!$B$6:$B$2005,"&gt;="&amp;TODAY(),Appointments!$M$6:$M$2005,"&lt;"&amp;M601)=0,1,0),0)</f>
        <v/>
      </c>
    </row>
    <row r="602">
      <c r="A602" s="1" t="n"/>
      <c r="B602" s="30" t="n">
        <v>46169</v>
      </c>
      <c r="C602" s="31" t="n">
        <v>0.5208333333333334</v>
      </c>
      <c r="D602" s="32" t="inlineStr">
        <is>
          <t>Harry Owens</t>
        </is>
      </c>
      <c r="E602" s="32" t="inlineStr">
        <is>
          <t>Men's haircut</t>
        </is>
      </c>
      <c r="F602" s="33" t="inlineStr">
        <is>
          <t>Done</t>
        </is>
      </c>
      <c r="G602" s="27">
        <f>IF(E602="","",MAX(0,IFERROR(INDEX(Services!$C$6:$C$35,MATCH(E602,Services!$B$6:$B$35,0)),0)-N(H602)))</f>
        <v/>
      </c>
      <c r="H602" s="34" t="n"/>
      <c r="I602" s="34" t="n">
        <v>30</v>
      </c>
      <c r="J602" s="33" t="inlineStr">
        <is>
          <t>Card</t>
        </is>
      </c>
      <c r="K602" s="28">
        <f>IF(OR(B602="",F602&lt;&gt;"Done",J602="Package"),"",IF(N(G602)-N(I602)&gt;0,N(G602)-N(I602),""))</f>
        <v/>
      </c>
      <c r="L602" s="32" t="n"/>
      <c r="M602" s="1">
        <f>IF(OR(B602="",D602="",F602="Cancelled"),"",B602+N(C602)+ROW()/10000000)</f>
        <v/>
      </c>
      <c r="N602">
        <f>IF(AND(F602="Done",M602&lt;&gt;""),IF(COUNTIFS(Appointments!$D$6:$D$2005,D602,Appointments!$F$6:$F$2005,"Done",Appointments!$M$6:$M$2005,"&gt;"&amp;M602)=0,1,0),0)</f>
        <v/>
      </c>
      <c r="O602">
        <f>IF(AND(F602="Booked",M602&lt;&gt;"",N(B602)&gt;=TODAY()),IF(COUNTIFS(Appointments!$D$6:$D$2005,D602,Appointments!$F$6:$F$2005,"Booked",Appointments!$B$6:$B$2005,"&gt;="&amp;TODAY(),Appointments!$M$6:$M$2005,"&lt;"&amp;M602)=0,1,0),0)</f>
        <v/>
      </c>
    </row>
    <row r="603">
      <c r="A603" s="1" t="n"/>
      <c r="B603" s="30" t="n">
        <v>46169</v>
      </c>
      <c r="C603" s="31" t="n">
        <v>0.5486111111111112</v>
      </c>
      <c r="D603" s="32" t="inlineStr">
        <is>
          <t>Megan Morgan</t>
        </is>
      </c>
      <c r="E603" s="32" t="inlineStr">
        <is>
          <t>Women's haircut</t>
        </is>
      </c>
      <c r="F603" s="33" t="inlineStr">
        <is>
          <t>Cancelled</t>
        </is>
      </c>
      <c r="G603" s="27">
        <f>IF(E603="","",MAX(0,IFERROR(INDEX(Services!$C$6:$C$35,MATCH(E603,Services!$B$6:$B$35,0)),0)-N(H603)))</f>
        <v/>
      </c>
      <c r="H603" s="34" t="n"/>
      <c r="I603" s="34" t="n"/>
      <c r="J603" s="33" t="n"/>
      <c r="K603" s="28">
        <f>IF(OR(B603="",F603&lt;&gt;"Done",J603="Package"),"",IF(N(G603)-N(I603)&gt;0,N(G603)-N(I603),""))</f>
        <v/>
      </c>
      <c r="L603" s="32" t="n"/>
      <c r="M603" s="1">
        <f>IF(OR(B603="",D603="",F603="Cancelled"),"",B603+N(C603)+ROW()/10000000)</f>
        <v/>
      </c>
      <c r="N603">
        <f>IF(AND(F603="Done",M603&lt;&gt;""),IF(COUNTIFS(Appointments!$D$6:$D$2005,D603,Appointments!$F$6:$F$2005,"Done",Appointments!$M$6:$M$2005,"&gt;"&amp;M603)=0,1,0),0)</f>
        <v/>
      </c>
      <c r="O603">
        <f>IF(AND(F603="Booked",M603&lt;&gt;"",N(B603)&gt;=TODAY()),IF(COUNTIFS(Appointments!$D$6:$D$2005,D603,Appointments!$F$6:$F$2005,"Booked",Appointments!$B$6:$B$2005,"&gt;="&amp;TODAY(),Appointments!$M$6:$M$2005,"&lt;"&amp;M603)=0,1,0),0)</f>
        <v/>
      </c>
    </row>
    <row r="604">
      <c r="A604" s="1" t="n"/>
      <c r="B604" s="30" t="n">
        <v>46169</v>
      </c>
      <c r="C604" s="31" t="n">
        <v>0.5972222222222222</v>
      </c>
      <c r="D604" s="32" t="inlineStr">
        <is>
          <t>Nina Baker</t>
        </is>
      </c>
      <c r="E604" s="32" t="inlineStr">
        <is>
          <t>Women's haircut</t>
        </is>
      </c>
      <c r="F604" s="33" t="inlineStr">
        <is>
          <t>Done</t>
        </is>
      </c>
      <c r="G604" s="27">
        <f>IF(E604="","",MAX(0,IFERROR(INDEX(Services!$C$6:$C$35,MATCH(E604,Services!$B$6:$B$35,0)),0)-N(H604)))</f>
        <v/>
      </c>
      <c r="H604" s="34" t="n"/>
      <c r="I604" s="34" t="n">
        <v>55</v>
      </c>
      <c r="J604" s="33" t="inlineStr">
        <is>
          <t>Cash</t>
        </is>
      </c>
      <c r="K604" s="28">
        <f>IF(OR(B604="",F604&lt;&gt;"Done",J604="Package"),"",IF(N(G604)-N(I604)&gt;0,N(G604)-N(I604),""))</f>
        <v/>
      </c>
      <c r="L604" s="32" t="n"/>
      <c r="M604" s="1">
        <f>IF(OR(B604="",D604="",F604="Cancelled"),"",B604+N(C604)+ROW()/10000000)</f>
        <v/>
      </c>
      <c r="N604">
        <f>IF(AND(F604="Done",M604&lt;&gt;""),IF(COUNTIFS(Appointments!$D$6:$D$2005,D604,Appointments!$F$6:$F$2005,"Done",Appointments!$M$6:$M$2005,"&gt;"&amp;M604)=0,1,0),0)</f>
        <v/>
      </c>
      <c r="O604">
        <f>IF(AND(F604="Booked",M604&lt;&gt;"",N(B604)&gt;=TODAY()),IF(COUNTIFS(Appointments!$D$6:$D$2005,D604,Appointments!$F$6:$F$2005,"Booked",Appointments!$B$6:$B$2005,"&gt;="&amp;TODAY(),Appointments!$M$6:$M$2005,"&lt;"&amp;M604)=0,1,0),0)</f>
        <v/>
      </c>
    </row>
    <row r="605">
      <c r="A605" s="1" t="n"/>
      <c r="B605" s="30" t="n">
        <v>46169</v>
      </c>
      <c r="C605" s="31" t="n">
        <v>0.6458333333333334</v>
      </c>
      <c r="D605" s="32" t="inlineStr">
        <is>
          <t>Pete Young</t>
        </is>
      </c>
      <c r="E605" s="32" t="inlineStr">
        <is>
          <t>Men's haircut</t>
        </is>
      </c>
      <c r="F605" s="33" t="inlineStr">
        <is>
          <t>Done</t>
        </is>
      </c>
      <c r="G605" s="27">
        <f>IF(E605="","",MAX(0,IFERROR(INDEX(Services!$C$6:$C$35,MATCH(E605,Services!$B$6:$B$35,0)),0)-N(H605)))</f>
        <v/>
      </c>
      <c r="H605" s="34" t="n"/>
      <c r="I605" s="34" t="n">
        <v>30</v>
      </c>
      <c r="J605" s="33" t="inlineStr">
        <is>
          <t>Transfer</t>
        </is>
      </c>
      <c r="K605" s="28">
        <f>IF(OR(B605="",F605&lt;&gt;"Done",J605="Package"),"",IF(N(G605)-N(I605)&gt;0,N(G605)-N(I605),""))</f>
        <v/>
      </c>
      <c r="L605" s="32" t="n"/>
      <c r="M605" s="1">
        <f>IF(OR(B605="",D605="",F605="Cancelled"),"",B605+N(C605)+ROW()/10000000)</f>
        <v/>
      </c>
      <c r="N605">
        <f>IF(AND(F605="Done",M605&lt;&gt;""),IF(COUNTIFS(Appointments!$D$6:$D$2005,D605,Appointments!$F$6:$F$2005,"Done",Appointments!$M$6:$M$2005,"&gt;"&amp;M605)=0,1,0),0)</f>
        <v/>
      </c>
      <c r="O605">
        <f>IF(AND(F605="Booked",M605&lt;&gt;"",N(B605)&gt;=TODAY()),IF(COUNTIFS(Appointments!$D$6:$D$2005,D605,Appointments!$F$6:$F$2005,"Booked",Appointments!$B$6:$B$2005,"&gt;="&amp;TODAY(),Appointments!$M$6:$M$2005,"&lt;"&amp;M605)=0,1,0),0)</f>
        <v/>
      </c>
    </row>
    <row r="606">
      <c r="A606" s="1" t="n"/>
      <c r="B606" s="30" t="n">
        <v>46170</v>
      </c>
      <c r="C606" s="31" t="n">
        <v>0.375</v>
      </c>
      <c r="D606" s="32" t="inlineStr">
        <is>
          <t>Alice Stone</t>
        </is>
      </c>
      <c r="E606" s="32" t="inlineStr">
        <is>
          <t>Toner</t>
        </is>
      </c>
      <c r="F606" s="33" t="inlineStr">
        <is>
          <t>Done</t>
        </is>
      </c>
      <c r="G606" s="27">
        <f>IF(E606="","",MAX(0,IFERROR(INDEX(Services!$C$6:$C$35,MATCH(E606,Services!$B$6:$B$35,0)),0)-N(H606)))</f>
        <v/>
      </c>
      <c r="H606" s="34" t="n"/>
      <c r="I606" s="34" t="n">
        <v>40</v>
      </c>
      <c r="J606" s="33" t="inlineStr">
        <is>
          <t>Cash</t>
        </is>
      </c>
      <c r="K606" s="28">
        <f>IF(OR(B606="",F606&lt;&gt;"Done",J606="Package"),"",IF(N(G606)-N(I606)&gt;0,N(G606)-N(I606),""))</f>
        <v/>
      </c>
      <c r="L606" s="32" t="n"/>
      <c r="M606" s="1">
        <f>IF(OR(B606="",D606="",F606="Cancelled"),"",B606+N(C606)+ROW()/10000000)</f>
        <v/>
      </c>
      <c r="N606">
        <f>IF(AND(F606="Done",M606&lt;&gt;""),IF(COUNTIFS(Appointments!$D$6:$D$2005,D606,Appointments!$F$6:$F$2005,"Done",Appointments!$M$6:$M$2005,"&gt;"&amp;M606)=0,1,0),0)</f>
        <v/>
      </c>
      <c r="O606">
        <f>IF(AND(F606="Booked",M606&lt;&gt;"",N(B606)&gt;=TODAY()),IF(COUNTIFS(Appointments!$D$6:$D$2005,D606,Appointments!$F$6:$F$2005,"Booked",Appointments!$B$6:$B$2005,"&gt;="&amp;TODAY(),Appointments!$M$6:$M$2005,"&lt;"&amp;M606)=0,1,0),0)</f>
        <v/>
      </c>
    </row>
    <row r="607">
      <c r="A607" s="1" t="n"/>
      <c r="B607" s="30" t="n">
        <v>46170</v>
      </c>
      <c r="C607" s="31" t="n">
        <v>0.4027777777777778</v>
      </c>
      <c r="D607" s="32" t="inlineStr">
        <is>
          <t>Dina West</t>
        </is>
      </c>
      <c r="E607" s="32" t="inlineStr">
        <is>
          <t>Women's haircut</t>
        </is>
      </c>
      <c r="F607" s="33" t="inlineStr">
        <is>
          <t>Cancelled</t>
        </is>
      </c>
      <c r="G607" s="27">
        <f>IF(E607="","",MAX(0,IFERROR(INDEX(Services!$C$6:$C$35,MATCH(E607,Services!$B$6:$B$35,0)),0)-N(H607)))</f>
        <v/>
      </c>
      <c r="H607" s="34" t="n"/>
      <c r="I607" s="34" t="n"/>
      <c r="J607" s="33" t="n"/>
      <c r="K607" s="28">
        <f>IF(OR(B607="",F607&lt;&gt;"Done",J607="Package"),"",IF(N(G607)-N(I607)&gt;0,N(G607)-N(I607),""))</f>
        <v/>
      </c>
      <c r="L607" s="32" t="n"/>
      <c r="M607" s="1">
        <f>IF(OR(B607="",D607="",F607="Cancelled"),"",B607+N(C607)+ROW()/10000000)</f>
        <v/>
      </c>
      <c r="N607">
        <f>IF(AND(F607="Done",M607&lt;&gt;""),IF(COUNTIFS(Appointments!$D$6:$D$2005,D607,Appointments!$F$6:$F$2005,"Done",Appointments!$M$6:$M$2005,"&gt;"&amp;M607)=0,1,0),0)</f>
        <v/>
      </c>
      <c r="O607">
        <f>IF(AND(F607="Booked",M607&lt;&gt;"",N(B607)&gt;=TODAY()),IF(COUNTIFS(Appointments!$D$6:$D$2005,D607,Appointments!$F$6:$F$2005,"Booked",Appointments!$B$6:$B$2005,"&gt;="&amp;TODAY(),Appointments!$M$6:$M$2005,"&lt;"&amp;M607)=0,1,0),0)</f>
        <v/>
      </c>
    </row>
    <row r="608">
      <c r="A608" s="1" t="n"/>
      <c r="B608" s="30" t="n">
        <v>46170</v>
      </c>
      <c r="C608" s="31" t="n">
        <v>0.4513888888888889</v>
      </c>
      <c r="D608" s="32" t="inlineStr">
        <is>
          <t>Ella Kelly</t>
        </is>
      </c>
      <c r="E608" s="32" t="inlineStr">
        <is>
          <t>Women's haircut</t>
        </is>
      </c>
      <c r="F608" s="33" t="inlineStr">
        <is>
          <t>No-show</t>
        </is>
      </c>
      <c r="G608" s="27">
        <f>IF(E608="","",MAX(0,IFERROR(INDEX(Services!$C$6:$C$35,MATCH(E608,Services!$B$6:$B$35,0)),0)-N(H608)))</f>
        <v/>
      </c>
      <c r="H608" s="34" t="n"/>
      <c r="I608" s="34" t="n"/>
      <c r="J608" s="33" t="n"/>
      <c r="K608" s="28">
        <f>IF(OR(B608="",F608&lt;&gt;"Done",J608="Package"),"",IF(N(G608)-N(I608)&gt;0,N(G608)-N(I608),""))</f>
        <v/>
      </c>
      <c r="L608" s="32" t="n"/>
      <c r="M608" s="1">
        <f>IF(OR(B608="",D608="",F608="Cancelled"),"",B608+N(C608)+ROW()/10000000)</f>
        <v/>
      </c>
      <c r="N608">
        <f>IF(AND(F608="Done",M608&lt;&gt;""),IF(COUNTIFS(Appointments!$D$6:$D$2005,D608,Appointments!$F$6:$F$2005,"Done",Appointments!$M$6:$M$2005,"&gt;"&amp;M608)=0,1,0),0)</f>
        <v/>
      </c>
      <c r="O608">
        <f>IF(AND(F608="Booked",M608&lt;&gt;"",N(B608)&gt;=TODAY()),IF(COUNTIFS(Appointments!$D$6:$D$2005,D608,Appointments!$F$6:$F$2005,"Booked",Appointments!$B$6:$B$2005,"&gt;="&amp;TODAY(),Appointments!$M$6:$M$2005,"&lt;"&amp;M608)=0,1,0),0)</f>
        <v/>
      </c>
    </row>
    <row r="609">
      <c r="A609" s="1" t="n"/>
      <c r="B609" s="30" t="n">
        <v>46170</v>
      </c>
      <c r="C609" s="31" t="n">
        <v>0.5</v>
      </c>
      <c r="D609" s="32" t="inlineStr">
        <is>
          <t>Finn Wood</t>
        </is>
      </c>
      <c r="E609" s="32" t="inlineStr">
        <is>
          <t>Men's haircut</t>
        </is>
      </c>
      <c r="F609" s="33" t="inlineStr">
        <is>
          <t>Done</t>
        </is>
      </c>
      <c r="G609" s="27">
        <f>IF(E609="","",MAX(0,IFERROR(INDEX(Services!$C$6:$C$35,MATCH(E609,Services!$B$6:$B$35,0)),0)-N(H609)))</f>
        <v/>
      </c>
      <c r="H609" s="34" t="n"/>
      <c r="I609" s="34" t="n">
        <v>30</v>
      </c>
      <c r="J609" s="33" t="inlineStr">
        <is>
          <t>Card</t>
        </is>
      </c>
      <c r="K609" s="28">
        <f>IF(OR(B609="",F609&lt;&gt;"Done",J609="Package"),"",IF(N(G609)-N(I609)&gt;0,N(G609)-N(I609),""))</f>
        <v/>
      </c>
      <c r="L609" s="32" t="n"/>
      <c r="M609" s="1">
        <f>IF(OR(B609="",D609="",F609="Cancelled"),"",B609+N(C609)+ROW()/10000000)</f>
        <v/>
      </c>
      <c r="N609">
        <f>IF(AND(F609="Done",M609&lt;&gt;""),IF(COUNTIFS(Appointments!$D$6:$D$2005,D609,Appointments!$F$6:$F$2005,"Done",Appointments!$M$6:$M$2005,"&gt;"&amp;M609)=0,1,0),0)</f>
        <v/>
      </c>
      <c r="O609">
        <f>IF(AND(F609="Booked",M609&lt;&gt;"",N(B609)&gt;=TODAY()),IF(COUNTIFS(Appointments!$D$6:$D$2005,D609,Appointments!$F$6:$F$2005,"Booked",Appointments!$B$6:$B$2005,"&gt;="&amp;TODAY(),Appointments!$M$6:$M$2005,"&lt;"&amp;M609)=0,1,0),0)</f>
        <v/>
      </c>
    </row>
    <row r="610">
      <c r="A610" s="1" t="n"/>
      <c r="B610" s="30" t="n">
        <v>46170</v>
      </c>
      <c r="C610" s="31" t="n">
        <v>0.5277777777777778</v>
      </c>
      <c r="D610" s="32" t="inlineStr">
        <is>
          <t>Harry Hall</t>
        </is>
      </c>
      <c r="E610" s="32" t="inlineStr">
        <is>
          <t>Men's haircut</t>
        </is>
      </c>
      <c r="F610" s="33" t="inlineStr">
        <is>
          <t>Done</t>
        </is>
      </c>
      <c r="G610" s="27">
        <f>IF(E610="","",MAX(0,IFERROR(INDEX(Services!$C$6:$C$35,MATCH(E610,Services!$B$6:$B$35,0)),0)-N(H610)))</f>
        <v/>
      </c>
      <c r="H610" s="34" t="n"/>
      <c r="I610" s="34" t="n">
        <v>30</v>
      </c>
      <c r="J610" s="33" t="inlineStr">
        <is>
          <t>Card</t>
        </is>
      </c>
      <c r="K610" s="28">
        <f>IF(OR(B610="",F610&lt;&gt;"Done",J610="Package"),"",IF(N(G610)-N(I610)&gt;0,N(G610)-N(I610),""))</f>
        <v/>
      </c>
      <c r="L610" s="32" t="n"/>
      <c r="M610" s="1">
        <f>IF(OR(B610="",D610="",F610="Cancelled"),"",B610+N(C610)+ROW()/10000000)</f>
        <v/>
      </c>
      <c r="N610">
        <f>IF(AND(F610="Done",M610&lt;&gt;""),IF(COUNTIFS(Appointments!$D$6:$D$2005,D610,Appointments!$F$6:$F$2005,"Done",Appointments!$M$6:$M$2005,"&gt;"&amp;M610)=0,1,0),0)</f>
        <v/>
      </c>
      <c r="O610">
        <f>IF(AND(F610="Booked",M610&lt;&gt;"",N(B610)&gt;=TODAY()),IF(COUNTIFS(Appointments!$D$6:$D$2005,D610,Appointments!$F$6:$F$2005,"Booked",Appointments!$B$6:$B$2005,"&gt;="&amp;TODAY(),Appointments!$M$6:$M$2005,"&lt;"&amp;M610)=0,1,0),0)</f>
        <v/>
      </c>
    </row>
    <row r="611">
      <c r="A611" s="1" t="n"/>
      <c r="B611" s="30" t="n">
        <v>46170</v>
      </c>
      <c r="C611" s="31" t="n">
        <v>0.5555555555555556</v>
      </c>
      <c r="D611" s="32" t="inlineStr">
        <is>
          <t>Ruby Cook</t>
        </is>
      </c>
      <c r="E611" s="32" t="inlineStr">
        <is>
          <t>Women's haircut</t>
        </is>
      </c>
      <c r="F611" s="33" t="inlineStr">
        <is>
          <t>No-show</t>
        </is>
      </c>
      <c r="G611" s="27">
        <f>IF(E611="","",MAX(0,IFERROR(INDEX(Services!$C$6:$C$35,MATCH(E611,Services!$B$6:$B$35,0)),0)-N(H611)))</f>
        <v/>
      </c>
      <c r="H611" s="34" t="n"/>
      <c r="I611" s="34" t="n"/>
      <c r="J611" s="33" t="n"/>
      <c r="K611" s="28">
        <f>IF(OR(B611="",F611&lt;&gt;"Done",J611="Package"),"",IF(N(G611)-N(I611)&gt;0,N(G611)-N(I611),""))</f>
        <v/>
      </c>
      <c r="L611" s="32" t="n"/>
      <c r="M611" s="1">
        <f>IF(OR(B611="",D611="",F611="Cancelled"),"",B611+N(C611)+ROW()/10000000)</f>
        <v/>
      </c>
      <c r="N611">
        <f>IF(AND(F611="Done",M611&lt;&gt;""),IF(COUNTIFS(Appointments!$D$6:$D$2005,D611,Appointments!$F$6:$F$2005,"Done",Appointments!$M$6:$M$2005,"&gt;"&amp;M611)=0,1,0),0)</f>
        <v/>
      </c>
      <c r="O611">
        <f>IF(AND(F611="Booked",M611&lt;&gt;"",N(B611)&gt;=TODAY()),IF(COUNTIFS(Appointments!$D$6:$D$2005,D611,Appointments!$F$6:$F$2005,"Booked",Appointments!$B$6:$B$2005,"&gt;="&amp;TODAY(),Appointments!$M$6:$M$2005,"&lt;"&amp;M611)=0,1,0),0)</f>
        <v/>
      </c>
    </row>
    <row r="612">
      <c r="A612" s="1" t="n"/>
      <c r="B612" s="30" t="n">
        <v>46171</v>
      </c>
      <c r="C612" s="31" t="n">
        <v>0.375</v>
      </c>
      <c r="D612" s="32" t="inlineStr">
        <is>
          <t>Chris West</t>
        </is>
      </c>
      <c r="E612" s="32" t="inlineStr">
        <is>
          <t>Men's haircut</t>
        </is>
      </c>
      <c r="F612" s="33" t="inlineStr">
        <is>
          <t>Cancelled</t>
        </is>
      </c>
      <c r="G612" s="27">
        <f>IF(E612="","",MAX(0,IFERROR(INDEX(Services!$C$6:$C$35,MATCH(E612,Services!$B$6:$B$35,0)),0)-N(H612)))</f>
        <v/>
      </c>
      <c r="H612" s="34" t="n"/>
      <c r="I612" s="34" t="n"/>
      <c r="J612" s="33" t="n"/>
      <c r="K612" s="28">
        <f>IF(OR(B612="",F612&lt;&gt;"Done",J612="Package"),"",IF(N(G612)-N(I612)&gt;0,N(G612)-N(I612),""))</f>
        <v/>
      </c>
      <c r="L612" s="32" t="n"/>
      <c r="M612" s="1">
        <f>IF(OR(B612="",D612="",F612="Cancelled"),"",B612+N(C612)+ROW()/10000000)</f>
        <v/>
      </c>
      <c r="N612">
        <f>IF(AND(F612="Done",M612&lt;&gt;""),IF(COUNTIFS(Appointments!$D$6:$D$2005,D612,Appointments!$F$6:$F$2005,"Done",Appointments!$M$6:$M$2005,"&gt;"&amp;M612)=0,1,0),0)</f>
        <v/>
      </c>
      <c r="O612">
        <f>IF(AND(F612="Booked",M612&lt;&gt;"",N(B612)&gt;=TODAY()),IF(COUNTIFS(Appointments!$D$6:$D$2005,D612,Appointments!$F$6:$F$2005,"Booked",Appointments!$B$6:$B$2005,"&gt;="&amp;TODAY(),Appointments!$M$6:$M$2005,"&lt;"&amp;M612)=0,1,0),0)</f>
        <v/>
      </c>
    </row>
    <row r="613">
      <c r="A613" s="1" t="n"/>
      <c r="B613" s="30" t="n">
        <v>46171</v>
      </c>
      <c r="C613" s="31" t="n">
        <v>0.4027777777777778</v>
      </c>
      <c r="D613" s="32" t="inlineStr">
        <is>
          <t>George Mason</t>
        </is>
      </c>
      <c r="E613" s="32" t="inlineStr">
        <is>
          <t>Men's haircut</t>
        </is>
      </c>
      <c r="F613" s="33" t="inlineStr">
        <is>
          <t>Done</t>
        </is>
      </c>
      <c r="G613" s="27">
        <f>IF(E613="","",MAX(0,IFERROR(INDEX(Services!$C$6:$C$35,MATCH(E613,Services!$B$6:$B$35,0)),0)-N(H613)))</f>
        <v/>
      </c>
      <c r="H613" s="34" t="n"/>
      <c r="I613" s="34" t="n">
        <v>30</v>
      </c>
      <c r="J613" s="33" t="inlineStr">
        <is>
          <t>Card</t>
        </is>
      </c>
      <c r="K613" s="28">
        <f>IF(OR(B613="",F613&lt;&gt;"Done",J613="Package"),"",IF(N(G613)-N(I613)&gt;0,N(G613)-N(I613),""))</f>
        <v/>
      </c>
      <c r="L613" s="32" t="n"/>
      <c r="M613" s="1">
        <f>IF(OR(B613="",D613="",F613="Cancelled"),"",B613+N(C613)+ROW()/10000000)</f>
        <v/>
      </c>
      <c r="N613">
        <f>IF(AND(F613="Done",M613&lt;&gt;""),IF(COUNTIFS(Appointments!$D$6:$D$2005,D613,Appointments!$F$6:$F$2005,"Done",Appointments!$M$6:$M$2005,"&gt;"&amp;M613)=0,1,0),0)</f>
        <v/>
      </c>
      <c r="O613">
        <f>IF(AND(F613="Booked",M613&lt;&gt;"",N(B613)&gt;=TODAY()),IF(COUNTIFS(Appointments!$D$6:$D$2005,D613,Appointments!$F$6:$F$2005,"Booked",Appointments!$B$6:$B$2005,"&gt;="&amp;TODAY(),Appointments!$M$6:$M$2005,"&lt;"&amp;M613)=0,1,0),0)</f>
        <v/>
      </c>
    </row>
    <row r="614">
      <c r="A614" s="1" t="n"/>
      <c r="B614" s="30" t="n">
        <v>46171</v>
      </c>
      <c r="C614" s="31" t="n">
        <v>0.4305555555555556</v>
      </c>
      <c r="D614" s="32" t="inlineStr">
        <is>
          <t>Jade Hill</t>
        </is>
      </c>
      <c r="E614" s="32" t="inlineStr">
        <is>
          <t>Women's haircut</t>
        </is>
      </c>
      <c r="F614" s="33" t="inlineStr">
        <is>
          <t>Done</t>
        </is>
      </c>
      <c r="G614" s="27">
        <f>IF(E614="","",MAX(0,IFERROR(INDEX(Services!$C$6:$C$35,MATCH(E614,Services!$B$6:$B$35,0)),0)-N(H614)))</f>
        <v/>
      </c>
      <c r="H614" s="34" t="n"/>
      <c r="I614" s="34" t="n">
        <v>55</v>
      </c>
      <c r="J614" s="33" t="inlineStr">
        <is>
          <t>Transfer</t>
        </is>
      </c>
      <c r="K614" s="28">
        <f>IF(OR(B614="",F614&lt;&gt;"Done",J614="Package"),"",IF(N(G614)-N(I614)&gt;0,N(G614)-N(I614),""))</f>
        <v/>
      </c>
      <c r="L614" s="32" t="n"/>
      <c r="M614" s="1">
        <f>IF(OR(B614="",D614="",F614="Cancelled"),"",B614+N(C614)+ROW()/10000000)</f>
        <v/>
      </c>
      <c r="N614">
        <f>IF(AND(F614="Done",M614&lt;&gt;""),IF(COUNTIFS(Appointments!$D$6:$D$2005,D614,Appointments!$F$6:$F$2005,"Done",Appointments!$M$6:$M$2005,"&gt;"&amp;M614)=0,1,0),0)</f>
        <v/>
      </c>
      <c r="O614">
        <f>IF(AND(F614="Booked",M614&lt;&gt;"",N(B614)&gt;=TODAY()),IF(COUNTIFS(Appointments!$D$6:$D$2005,D614,Appointments!$F$6:$F$2005,"Booked",Appointments!$B$6:$B$2005,"&gt;="&amp;TODAY(),Appointments!$M$6:$M$2005,"&lt;"&amp;M614)=0,1,0),0)</f>
        <v/>
      </c>
    </row>
    <row r="615">
      <c r="A615" s="1" t="n"/>
      <c r="B615" s="30" t="n">
        <v>46171</v>
      </c>
      <c r="C615" s="31" t="n">
        <v>0.4791666666666667</v>
      </c>
      <c r="D615" s="32" t="inlineStr">
        <is>
          <t>Nina Ellis</t>
        </is>
      </c>
      <c r="E615" s="32" t="inlineStr">
        <is>
          <t>Women's haircut</t>
        </is>
      </c>
      <c r="F615" s="33" t="inlineStr">
        <is>
          <t>Done</t>
        </is>
      </c>
      <c r="G615" s="27">
        <f>IF(E615="","",MAX(0,IFERROR(INDEX(Services!$C$6:$C$35,MATCH(E615,Services!$B$6:$B$35,0)),0)-N(H615)))</f>
        <v/>
      </c>
      <c r="H615" s="34" t="n">
        <v>10</v>
      </c>
      <c r="I615" s="34" t="n">
        <v>45</v>
      </c>
      <c r="J615" s="33" t="inlineStr">
        <is>
          <t>Cash</t>
        </is>
      </c>
      <c r="K615" s="28">
        <f>IF(OR(B615="",F615&lt;&gt;"Done",J615="Package"),"",IF(N(G615)-N(I615)&gt;0,N(G615)-N(I615),""))</f>
        <v/>
      </c>
      <c r="L615" s="32" t="inlineStr">
        <is>
          <t>Friends and family</t>
        </is>
      </c>
      <c r="M615" s="1">
        <f>IF(OR(B615="",D615="",F615="Cancelled"),"",B615+N(C615)+ROW()/10000000)</f>
        <v/>
      </c>
      <c r="N615">
        <f>IF(AND(F615="Done",M615&lt;&gt;""),IF(COUNTIFS(Appointments!$D$6:$D$2005,D615,Appointments!$F$6:$F$2005,"Done",Appointments!$M$6:$M$2005,"&gt;"&amp;M615)=0,1,0),0)</f>
        <v/>
      </c>
      <c r="O615">
        <f>IF(AND(F615="Booked",M615&lt;&gt;"",N(B615)&gt;=TODAY()),IF(COUNTIFS(Appointments!$D$6:$D$2005,D615,Appointments!$F$6:$F$2005,"Booked",Appointments!$B$6:$B$2005,"&gt;="&amp;TODAY(),Appointments!$M$6:$M$2005,"&lt;"&amp;M615)=0,1,0),0)</f>
        <v/>
      </c>
    </row>
    <row r="616">
      <c r="A616" s="1" t="n"/>
      <c r="B616" s="30" t="n">
        <v>46172</v>
      </c>
      <c r="C616" s="31" t="n">
        <v>0.375</v>
      </c>
      <c r="D616" s="32" t="inlineStr">
        <is>
          <t>Alice Ward</t>
        </is>
      </c>
      <c r="E616" s="32" t="inlineStr">
        <is>
          <t>Women's haircut</t>
        </is>
      </c>
      <c r="F616" s="33" t="inlineStr">
        <is>
          <t>Done</t>
        </is>
      </c>
      <c r="G616" s="27">
        <f>IF(E616="","",MAX(0,IFERROR(INDEX(Services!$C$6:$C$35,MATCH(E616,Services!$B$6:$B$35,0)),0)-N(H616)))</f>
        <v/>
      </c>
      <c r="H616" s="34" t="n"/>
      <c r="I616" s="34" t="n">
        <v>55</v>
      </c>
      <c r="J616" s="33" t="inlineStr">
        <is>
          <t>Card</t>
        </is>
      </c>
      <c r="K616" s="28">
        <f>IF(OR(B616="",F616&lt;&gt;"Done",J616="Package"),"",IF(N(G616)-N(I616)&gt;0,N(G616)-N(I616),""))</f>
        <v/>
      </c>
      <c r="L616" s="32" t="n"/>
      <c r="M616" s="1">
        <f>IF(OR(B616="",D616="",F616="Cancelled"),"",B616+N(C616)+ROW()/10000000)</f>
        <v/>
      </c>
      <c r="N616">
        <f>IF(AND(F616="Done",M616&lt;&gt;""),IF(COUNTIFS(Appointments!$D$6:$D$2005,D616,Appointments!$F$6:$F$2005,"Done",Appointments!$M$6:$M$2005,"&gt;"&amp;M616)=0,1,0),0)</f>
        <v/>
      </c>
      <c r="O616">
        <f>IF(AND(F616="Booked",M616&lt;&gt;"",N(B616)&gt;=TODAY()),IF(COUNTIFS(Appointments!$D$6:$D$2005,D616,Appointments!$F$6:$F$2005,"Booked",Appointments!$B$6:$B$2005,"&gt;="&amp;TODAY(),Appointments!$M$6:$M$2005,"&lt;"&amp;M616)=0,1,0),0)</f>
        <v/>
      </c>
    </row>
    <row r="617">
      <c r="A617" s="1" t="n"/>
      <c r="B617" s="30" t="n">
        <v>46172</v>
      </c>
      <c r="C617" s="31" t="n">
        <v>0.4236111111111111</v>
      </c>
      <c r="D617" s="32" t="inlineStr">
        <is>
          <t>Harry Lewis</t>
        </is>
      </c>
      <c r="E617" s="32" t="inlineStr">
        <is>
          <t>Men's haircut</t>
        </is>
      </c>
      <c r="F617" s="33" t="inlineStr">
        <is>
          <t>Done</t>
        </is>
      </c>
      <c r="G617" s="27">
        <f>IF(E617="","",MAX(0,IFERROR(INDEX(Services!$C$6:$C$35,MATCH(E617,Services!$B$6:$B$35,0)),0)-N(H617)))</f>
        <v/>
      </c>
      <c r="H617" s="34" t="n"/>
      <c r="I617" s="34" t="n">
        <v>30</v>
      </c>
      <c r="J617" s="33" t="inlineStr">
        <is>
          <t>Card</t>
        </is>
      </c>
      <c r="K617" s="28">
        <f>IF(OR(B617="",F617&lt;&gt;"Done",J617="Package"),"",IF(N(G617)-N(I617)&gt;0,N(G617)-N(I617),""))</f>
        <v/>
      </c>
      <c r="L617" s="32" t="n"/>
      <c r="M617" s="1">
        <f>IF(OR(B617="",D617="",F617="Cancelled"),"",B617+N(C617)+ROW()/10000000)</f>
        <v/>
      </c>
      <c r="N617">
        <f>IF(AND(F617="Done",M617&lt;&gt;""),IF(COUNTIFS(Appointments!$D$6:$D$2005,D617,Appointments!$F$6:$F$2005,"Done",Appointments!$M$6:$M$2005,"&gt;"&amp;M617)=0,1,0),0)</f>
        <v/>
      </c>
      <c r="O617">
        <f>IF(AND(F617="Booked",M617&lt;&gt;"",N(B617)&gt;=TODAY()),IF(COUNTIFS(Appointments!$D$6:$D$2005,D617,Appointments!$F$6:$F$2005,"Booked",Appointments!$B$6:$B$2005,"&gt;="&amp;TODAY(),Appointments!$M$6:$M$2005,"&lt;"&amp;M617)=0,1,0),0)</f>
        <v/>
      </c>
    </row>
    <row r="618">
      <c r="A618" s="1" t="n"/>
      <c r="B618" s="30" t="n">
        <v>46172</v>
      </c>
      <c r="C618" s="31" t="n">
        <v>0.4513888888888889</v>
      </c>
      <c r="D618" s="32" t="inlineStr">
        <is>
          <t>Julia Lewis</t>
        </is>
      </c>
      <c r="E618" s="32" t="inlineStr">
        <is>
          <t>Blow dry</t>
        </is>
      </c>
      <c r="F618" s="33" t="inlineStr">
        <is>
          <t>Done</t>
        </is>
      </c>
      <c r="G618" s="27">
        <f>IF(E618="","",MAX(0,IFERROR(INDEX(Services!$C$6:$C$35,MATCH(E618,Services!$B$6:$B$35,0)),0)-N(H618)))</f>
        <v/>
      </c>
      <c r="H618" s="34" t="n"/>
      <c r="I618" s="34" t="n">
        <v>35</v>
      </c>
      <c r="J618" s="33" t="inlineStr">
        <is>
          <t>Card</t>
        </is>
      </c>
      <c r="K618" s="28">
        <f>IF(OR(B618="",F618&lt;&gt;"Done",J618="Package"),"",IF(N(G618)-N(I618)&gt;0,N(G618)-N(I618),""))</f>
        <v/>
      </c>
      <c r="L618" s="32" t="n"/>
      <c r="M618" s="1">
        <f>IF(OR(B618="",D618="",F618="Cancelled"),"",B618+N(C618)+ROW()/10000000)</f>
        <v/>
      </c>
      <c r="N618">
        <f>IF(AND(F618="Done",M618&lt;&gt;""),IF(COUNTIFS(Appointments!$D$6:$D$2005,D618,Appointments!$F$6:$F$2005,"Done",Appointments!$M$6:$M$2005,"&gt;"&amp;M618)=0,1,0),0)</f>
        <v/>
      </c>
      <c r="O618">
        <f>IF(AND(F618="Booked",M618&lt;&gt;"",N(B618)&gt;=TODAY()),IF(COUNTIFS(Appointments!$D$6:$D$2005,D618,Appointments!$F$6:$F$2005,"Booked",Appointments!$B$6:$B$2005,"&gt;="&amp;TODAY(),Appointments!$M$6:$M$2005,"&lt;"&amp;M618)=0,1,0),0)</f>
        <v/>
      </c>
    </row>
    <row r="619">
      <c r="A619" s="1" t="n"/>
      <c r="B619" s="30" t="n">
        <v>46172</v>
      </c>
      <c r="C619" s="31" t="n">
        <v>0.4895833333333333</v>
      </c>
      <c r="D619" s="32" t="inlineStr">
        <is>
          <t>Tom Cole</t>
        </is>
      </c>
      <c r="E619" s="32" t="inlineStr">
        <is>
          <t>Men's haircut</t>
        </is>
      </c>
      <c r="F619" s="33" t="inlineStr">
        <is>
          <t>Done</t>
        </is>
      </c>
      <c r="G619" s="27">
        <f>IF(E619="","",MAX(0,IFERROR(INDEX(Services!$C$6:$C$35,MATCH(E619,Services!$B$6:$B$35,0)),0)-N(H619)))</f>
        <v/>
      </c>
      <c r="H619" s="34" t="n"/>
      <c r="I619" s="34" t="n">
        <v>30</v>
      </c>
      <c r="J619" s="33" t="inlineStr">
        <is>
          <t>Card</t>
        </is>
      </c>
      <c r="K619" s="28">
        <f>IF(OR(B619="",F619&lt;&gt;"Done",J619="Package"),"",IF(N(G619)-N(I619)&gt;0,N(G619)-N(I619),""))</f>
        <v/>
      </c>
      <c r="L619" s="32" t="n"/>
      <c r="M619" s="1">
        <f>IF(OR(B619="",D619="",F619="Cancelled"),"",B619+N(C619)+ROW()/10000000)</f>
        <v/>
      </c>
      <c r="N619">
        <f>IF(AND(F619="Done",M619&lt;&gt;""),IF(COUNTIFS(Appointments!$D$6:$D$2005,D619,Appointments!$F$6:$F$2005,"Done",Appointments!$M$6:$M$2005,"&gt;"&amp;M619)=0,1,0),0)</f>
        <v/>
      </c>
      <c r="O619">
        <f>IF(AND(F619="Booked",M619&lt;&gt;"",N(B619)&gt;=TODAY()),IF(COUNTIFS(Appointments!$D$6:$D$2005,D619,Appointments!$F$6:$F$2005,"Booked",Appointments!$B$6:$B$2005,"&gt;="&amp;TODAY(),Appointments!$M$6:$M$2005,"&lt;"&amp;M619)=0,1,0),0)</f>
        <v/>
      </c>
    </row>
    <row r="620">
      <c r="A620" s="1" t="n"/>
      <c r="B620" s="30" t="n">
        <v>46175</v>
      </c>
      <c r="C620" s="31" t="n">
        <v>0.375</v>
      </c>
      <c r="D620" s="32" t="inlineStr">
        <is>
          <t>Anna Rossi</t>
        </is>
      </c>
      <c r="E620" s="32" t="inlineStr">
        <is>
          <t>Women's haircut</t>
        </is>
      </c>
      <c r="F620" s="33" t="inlineStr">
        <is>
          <t>Done</t>
        </is>
      </c>
      <c r="G620" s="27">
        <f>IF(E620="","",MAX(0,IFERROR(INDEX(Services!$C$6:$C$35,MATCH(E620,Services!$B$6:$B$35,0)),0)-N(H620)))</f>
        <v/>
      </c>
      <c r="H620" s="34" t="n"/>
      <c r="I620" s="34" t="n">
        <v>55</v>
      </c>
      <c r="J620" s="33" t="inlineStr">
        <is>
          <t>Card</t>
        </is>
      </c>
      <c r="K620" s="28">
        <f>IF(OR(B620="",F620&lt;&gt;"Done",J620="Package"),"",IF(N(G620)-N(I620)&gt;0,N(G620)-N(I620),""))</f>
        <v/>
      </c>
      <c r="L620" s="32" t="n"/>
      <c r="M620" s="1">
        <f>IF(OR(B620="",D620="",F620="Cancelled"),"",B620+N(C620)+ROW()/10000000)</f>
        <v/>
      </c>
      <c r="N620">
        <f>IF(AND(F620="Done",M620&lt;&gt;""),IF(COUNTIFS(Appointments!$D$6:$D$2005,D620,Appointments!$F$6:$F$2005,"Done",Appointments!$M$6:$M$2005,"&gt;"&amp;M620)=0,1,0),0)</f>
        <v/>
      </c>
      <c r="O620">
        <f>IF(AND(F620="Booked",M620&lt;&gt;"",N(B620)&gt;=TODAY()),IF(COUNTIFS(Appointments!$D$6:$D$2005,D620,Appointments!$F$6:$F$2005,"Booked",Appointments!$B$6:$B$2005,"&gt;="&amp;TODAY(),Appointments!$M$6:$M$2005,"&lt;"&amp;M620)=0,1,0),0)</f>
        <v/>
      </c>
    </row>
    <row r="621">
      <c r="A621" s="1" t="n"/>
      <c r="B621" s="30" t="n">
        <v>46175</v>
      </c>
      <c r="C621" s="31" t="n">
        <v>0.4236111111111111</v>
      </c>
      <c r="D621" s="32" t="inlineStr">
        <is>
          <t>Eli James</t>
        </is>
      </c>
      <c r="E621" s="32" t="inlineStr">
        <is>
          <t>Men's haircut</t>
        </is>
      </c>
      <c r="F621" s="33" t="inlineStr">
        <is>
          <t>Done</t>
        </is>
      </c>
      <c r="G621" s="27">
        <f>IF(E621="","",MAX(0,IFERROR(INDEX(Services!$C$6:$C$35,MATCH(E621,Services!$B$6:$B$35,0)),0)-N(H621)))</f>
        <v/>
      </c>
      <c r="H621" s="34" t="n">
        <v>10</v>
      </c>
      <c r="I621" s="34" t="n">
        <v>20</v>
      </c>
      <c r="J621" s="33" t="inlineStr">
        <is>
          <t>Card</t>
        </is>
      </c>
      <c r="K621" s="28">
        <f>IF(OR(B621="",F621&lt;&gt;"Done",J621="Package"),"",IF(N(G621)-N(I621)&gt;0,N(G621)-N(I621),""))</f>
        <v/>
      </c>
      <c r="L621" s="32" t="inlineStr">
        <is>
          <t>Friends and family</t>
        </is>
      </c>
      <c r="M621" s="1">
        <f>IF(OR(B621="",D621="",F621="Cancelled"),"",B621+N(C621)+ROW()/10000000)</f>
        <v/>
      </c>
      <c r="N621">
        <f>IF(AND(F621="Done",M621&lt;&gt;""),IF(COUNTIFS(Appointments!$D$6:$D$2005,D621,Appointments!$F$6:$F$2005,"Done",Appointments!$M$6:$M$2005,"&gt;"&amp;M621)=0,1,0),0)</f>
        <v/>
      </c>
      <c r="O621">
        <f>IF(AND(F621="Booked",M621&lt;&gt;"",N(B621)&gt;=TODAY()),IF(COUNTIFS(Appointments!$D$6:$D$2005,D621,Appointments!$F$6:$F$2005,"Booked",Appointments!$B$6:$B$2005,"&gt;="&amp;TODAY(),Appointments!$M$6:$M$2005,"&lt;"&amp;M621)=0,1,0),0)</f>
        <v/>
      </c>
    </row>
    <row r="622">
      <c r="A622" s="1" t="n"/>
      <c r="B622" s="30" t="n">
        <v>46175</v>
      </c>
      <c r="C622" s="31" t="n">
        <v>0.4513888888888889</v>
      </c>
      <c r="D622" s="32" t="inlineStr">
        <is>
          <t>Hannah Kelly</t>
        </is>
      </c>
      <c r="E622" s="32" t="inlineStr">
        <is>
          <t>Colour</t>
        </is>
      </c>
      <c r="F622" s="33" t="inlineStr">
        <is>
          <t>No-show</t>
        </is>
      </c>
      <c r="G622" s="27">
        <f>IF(E622="","",MAX(0,IFERROR(INDEX(Services!$C$6:$C$35,MATCH(E622,Services!$B$6:$B$35,0)),0)-N(H622)))</f>
        <v/>
      </c>
      <c r="H622" s="34" t="n"/>
      <c r="I622" s="34" t="n"/>
      <c r="J622" s="33" t="n"/>
      <c r="K622" s="28">
        <f>IF(OR(B622="",F622&lt;&gt;"Done",J622="Package"),"",IF(N(G622)-N(I622)&gt;0,N(G622)-N(I622),""))</f>
        <v/>
      </c>
      <c r="L622" s="32" t="n"/>
      <c r="M622" s="1">
        <f>IF(OR(B622="",D622="",F622="Cancelled"),"",B622+N(C622)+ROW()/10000000)</f>
        <v/>
      </c>
      <c r="N622">
        <f>IF(AND(F622="Done",M622&lt;&gt;""),IF(COUNTIFS(Appointments!$D$6:$D$2005,D622,Appointments!$F$6:$F$2005,"Done",Appointments!$M$6:$M$2005,"&gt;"&amp;M622)=0,1,0),0)</f>
        <v/>
      </c>
      <c r="O622">
        <f>IF(AND(F622="Booked",M622&lt;&gt;"",N(B622)&gt;=TODAY()),IF(COUNTIFS(Appointments!$D$6:$D$2005,D622,Appointments!$F$6:$F$2005,"Booked",Appointments!$B$6:$B$2005,"&gt;="&amp;TODAY(),Appointments!$M$6:$M$2005,"&lt;"&amp;M622)=0,1,0),0)</f>
        <v/>
      </c>
    </row>
    <row r="623">
      <c r="A623" s="1" t="n"/>
      <c r="B623" s="30" t="n">
        <v>46175</v>
      </c>
      <c r="C623" s="31" t="n">
        <v>0.5416666666666666</v>
      </c>
      <c r="D623" s="32" t="inlineStr">
        <is>
          <t>Jack Wilson</t>
        </is>
      </c>
      <c r="E623" s="32" t="inlineStr">
        <is>
          <t>Men's haircut</t>
        </is>
      </c>
      <c r="F623" s="33" t="inlineStr">
        <is>
          <t>Done</t>
        </is>
      </c>
      <c r="G623" s="27">
        <f>IF(E623="","",MAX(0,IFERROR(INDEX(Services!$C$6:$C$35,MATCH(E623,Services!$B$6:$B$35,0)),0)-N(H623)))</f>
        <v/>
      </c>
      <c r="H623" s="34" t="n"/>
      <c r="I623" s="34" t="n">
        <v>30</v>
      </c>
      <c r="J623" s="33" t="inlineStr">
        <is>
          <t>Cash</t>
        </is>
      </c>
      <c r="K623" s="28">
        <f>IF(OR(B623="",F623&lt;&gt;"Done",J623="Package"),"",IF(N(G623)-N(I623)&gt;0,N(G623)-N(I623),""))</f>
        <v/>
      </c>
      <c r="L623" s="32" t="n"/>
      <c r="M623" s="1">
        <f>IF(OR(B623="",D623="",F623="Cancelled"),"",B623+N(C623)+ROW()/10000000)</f>
        <v/>
      </c>
      <c r="N623">
        <f>IF(AND(F623="Done",M623&lt;&gt;""),IF(COUNTIFS(Appointments!$D$6:$D$2005,D623,Appointments!$F$6:$F$2005,"Done",Appointments!$M$6:$M$2005,"&gt;"&amp;M623)=0,1,0),0)</f>
        <v/>
      </c>
      <c r="O623">
        <f>IF(AND(F623="Booked",M623&lt;&gt;"",N(B623)&gt;=TODAY()),IF(COUNTIFS(Appointments!$D$6:$D$2005,D623,Appointments!$F$6:$F$2005,"Booked",Appointments!$B$6:$B$2005,"&gt;="&amp;TODAY(),Appointments!$M$6:$M$2005,"&lt;"&amp;M623)=0,1,0),0)</f>
        <v/>
      </c>
    </row>
    <row r="624">
      <c r="A624" s="1" t="n"/>
      <c r="B624" s="30" t="n">
        <v>46175</v>
      </c>
      <c r="C624" s="31" t="n">
        <v>0.5694444444444444</v>
      </c>
      <c r="D624" s="32" t="inlineStr">
        <is>
          <t>Noah Taylor</t>
        </is>
      </c>
      <c r="E624" s="32" t="inlineStr">
        <is>
          <t>Kids haircut</t>
        </is>
      </c>
      <c r="F624" s="33" t="inlineStr">
        <is>
          <t>Done</t>
        </is>
      </c>
      <c r="G624" s="27">
        <f>IF(E624="","",MAX(0,IFERROR(INDEX(Services!$C$6:$C$35,MATCH(E624,Services!$B$6:$B$35,0)),0)-N(H624)))</f>
        <v/>
      </c>
      <c r="H624" s="34" t="n"/>
      <c r="I624" s="34" t="n">
        <v>20</v>
      </c>
      <c r="J624" s="33" t="inlineStr">
        <is>
          <t>Cash</t>
        </is>
      </c>
      <c r="K624" s="28">
        <f>IF(OR(B624="",F624&lt;&gt;"Done",J624="Package"),"",IF(N(G624)-N(I624)&gt;0,N(G624)-N(I624),""))</f>
        <v/>
      </c>
      <c r="L624" s="32" t="n"/>
      <c r="M624" s="1">
        <f>IF(OR(B624="",D624="",F624="Cancelled"),"",B624+N(C624)+ROW()/10000000)</f>
        <v/>
      </c>
      <c r="N624">
        <f>IF(AND(F624="Done",M624&lt;&gt;""),IF(COUNTIFS(Appointments!$D$6:$D$2005,D624,Appointments!$F$6:$F$2005,"Done",Appointments!$M$6:$M$2005,"&gt;"&amp;M624)=0,1,0),0)</f>
        <v/>
      </c>
      <c r="O624">
        <f>IF(AND(F624="Booked",M624&lt;&gt;"",N(B624)&gt;=TODAY()),IF(COUNTIFS(Appointments!$D$6:$D$2005,D624,Appointments!$F$6:$F$2005,"Booked",Appointments!$B$6:$B$2005,"&gt;="&amp;TODAY(),Appointments!$M$6:$M$2005,"&lt;"&amp;M624)=0,1,0),0)</f>
        <v/>
      </c>
    </row>
    <row r="625">
      <c r="A625" s="1" t="n"/>
      <c r="B625" s="30" t="n">
        <v>46175</v>
      </c>
      <c r="C625" s="31" t="n">
        <v>0.5972222222222222</v>
      </c>
      <c r="D625" s="32" t="inlineStr">
        <is>
          <t>Noah Taylor</t>
        </is>
      </c>
      <c r="E625" s="32" t="inlineStr">
        <is>
          <t>Kids haircut</t>
        </is>
      </c>
      <c r="F625" s="33" t="inlineStr">
        <is>
          <t>Done</t>
        </is>
      </c>
      <c r="G625" s="27">
        <f>IF(E625="","",MAX(0,IFERROR(INDEX(Services!$C$6:$C$35,MATCH(E625,Services!$B$6:$B$35,0)),0)-N(H625)))</f>
        <v/>
      </c>
      <c r="H625" s="34" t="n"/>
      <c r="I625" s="34" t="n">
        <v>20</v>
      </c>
      <c r="J625" s="33" t="inlineStr">
        <is>
          <t>Cash</t>
        </is>
      </c>
      <c r="K625" s="28">
        <f>IF(OR(B625="",F625&lt;&gt;"Done",J625="Package"),"",IF(N(G625)-N(I625)&gt;0,N(G625)-N(I625),""))</f>
        <v/>
      </c>
      <c r="L625" s="32" t="n"/>
      <c r="M625" s="1">
        <f>IF(OR(B625="",D625="",F625="Cancelled"),"",B625+N(C625)+ROW()/10000000)</f>
        <v/>
      </c>
      <c r="N625">
        <f>IF(AND(F625="Done",M625&lt;&gt;""),IF(COUNTIFS(Appointments!$D$6:$D$2005,D625,Appointments!$F$6:$F$2005,"Done",Appointments!$M$6:$M$2005,"&gt;"&amp;M625)=0,1,0),0)</f>
        <v/>
      </c>
      <c r="O625">
        <f>IF(AND(F625="Booked",M625&lt;&gt;"",N(B625)&gt;=TODAY()),IF(COUNTIFS(Appointments!$D$6:$D$2005,D625,Appointments!$F$6:$F$2005,"Booked",Appointments!$B$6:$B$2005,"&gt;="&amp;TODAY(),Appointments!$M$6:$M$2005,"&lt;"&amp;M625)=0,1,0),0)</f>
        <v/>
      </c>
    </row>
    <row r="626">
      <c r="A626" s="1" t="n"/>
      <c r="B626" s="30" t="n">
        <v>46175</v>
      </c>
      <c r="C626" s="31" t="n">
        <v>0.625</v>
      </c>
      <c r="D626" s="32" t="inlineStr">
        <is>
          <t>Tom Ellis</t>
        </is>
      </c>
      <c r="E626" s="32" t="inlineStr">
        <is>
          <t>Men's haircut</t>
        </is>
      </c>
      <c r="F626" s="33" t="inlineStr">
        <is>
          <t>Done</t>
        </is>
      </c>
      <c r="G626" s="27">
        <f>IF(E626="","",MAX(0,IFERROR(INDEX(Services!$C$6:$C$35,MATCH(E626,Services!$B$6:$B$35,0)),0)-N(H626)))</f>
        <v/>
      </c>
      <c r="H626" s="34" t="n">
        <v>10</v>
      </c>
      <c r="I626" s="34" t="n">
        <v>20</v>
      </c>
      <c r="J626" s="33" t="inlineStr">
        <is>
          <t>Cash</t>
        </is>
      </c>
      <c r="K626" s="28">
        <f>IF(OR(B626="",F626&lt;&gt;"Done",J626="Package"),"",IF(N(G626)-N(I626)&gt;0,N(G626)-N(I626),""))</f>
        <v/>
      </c>
      <c r="L626" s="32" t="inlineStr">
        <is>
          <t>Friends and family</t>
        </is>
      </c>
      <c r="M626" s="1">
        <f>IF(OR(B626="",D626="",F626="Cancelled"),"",B626+N(C626)+ROW()/10000000)</f>
        <v/>
      </c>
      <c r="N626">
        <f>IF(AND(F626="Done",M626&lt;&gt;""),IF(COUNTIFS(Appointments!$D$6:$D$2005,D626,Appointments!$F$6:$F$2005,"Done",Appointments!$M$6:$M$2005,"&gt;"&amp;M626)=0,1,0),0)</f>
        <v/>
      </c>
      <c r="O626">
        <f>IF(AND(F626="Booked",M626&lt;&gt;"",N(B626)&gt;=TODAY()),IF(COUNTIFS(Appointments!$D$6:$D$2005,D626,Appointments!$F$6:$F$2005,"Booked",Appointments!$B$6:$B$2005,"&gt;="&amp;TODAY(),Appointments!$M$6:$M$2005,"&lt;"&amp;M626)=0,1,0),0)</f>
        <v/>
      </c>
    </row>
    <row r="627">
      <c r="A627" s="1" t="n"/>
      <c r="B627" s="30" t="n">
        <v>46175</v>
      </c>
      <c r="C627" s="31" t="n">
        <v>0.6527777777777778</v>
      </c>
      <c r="D627" s="32" t="inlineStr">
        <is>
          <t>Victor Lane</t>
        </is>
      </c>
      <c r="E627" s="32" t="inlineStr">
        <is>
          <t>Men's haircut</t>
        </is>
      </c>
      <c r="F627" s="33" t="inlineStr">
        <is>
          <t>Done</t>
        </is>
      </c>
      <c r="G627" s="27">
        <f>IF(E627="","",MAX(0,IFERROR(INDEX(Services!$C$6:$C$35,MATCH(E627,Services!$B$6:$B$35,0)),0)-N(H627)))</f>
        <v/>
      </c>
      <c r="H627" s="34" t="n"/>
      <c r="I627" s="34" t="n">
        <v>30</v>
      </c>
      <c r="J627" s="33" t="inlineStr">
        <is>
          <t>Transfer</t>
        </is>
      </c>
      <c r="K627" s="28">
        <f>IF(OR(B627="",F627&lt;&gt;"Done",J627="Package"),"",IF(N(G627)-N(I627)&gt;0,N(G627)-N(I627),""))</f>
        <v/>
      </c>
      <c r="L627" s="32" t="n"/>
      <c r="M627" s="1">
        <f>IF(OR(B627="",D627="",F627="Cancelled"),"",B627+N(C627)+ROW()/10000000)</f>
        <v/>
      </c>
      <c r="N627">
        <f>IF(AND(F627="Done",M627&lt;&gt;""),IF(COUNTIFS(Appointments!$D$6:$D$2005,D627,Appointments!$F$6:$F$2005,"Done",Appointments!$M$6:$M$2005,"&gt;"&amp;M627)=0,1,0),0)</f>
        <v/>
      </c>
      <c r="O627">
        <f>IF(AND(F627="Booked",M627&lt;&gt;"",N(B627)&gt;=TODAY()),IF(COUNTIFS(Appointments!$D$6:$D$2005,D627,Appointments!$F$6:$F$2005,"Booked",Appointments!$B$6:$B$2005,"&gt;="&amp;TODAY(),Appointments!$M$6:$M$2005,"&lt;"&amp;M627)=0,1,0),0)</f>
        <v/>
      </c>
    </row>
    <row r="628">
      <c r="A628" s="1" t="n"/>
      <c r="B628" s="30" t="n">
        <v>46176</v>
      </c>
      <c r="C628" s="31" t="n">
        <v>0.375</v>
      </c>
      <c r="D628" s="32" t="inlineStr">
        <is>
          <t>Adam King</t>
        </is>
      </c>
      <c r="E628" s="32" t="inlineStr">
        <is>
          <t>Men's haircut</t>
        </is>
      </c>
      <c r="F628" s="33" t="inlineStr">
        <is>
          <t>Done</t>
        </is>
      </c>
      <c r="G628" s="27">
        <f>IF(E628="","",MAX(0,IFERROR(INDEX(Services!$C$6:$C$35,MATCH(E628,Services!$B$6:$B$35,0)),0)-N(H628)))</f>
        <v/>
      </c>
      <c r="H628" s="34" t="n"/>
      <c r="I628" s="34" t="n">
        <v>30</v>
      </c>
      <c r="J628" s="33" t="inlineStr">
        <is>
          <t>Cash</t>
        </is>
      </c>
      <c r="K628" s="28">
        <f>IF(OR(B628="",F628&lt;&gt;"Done",J628="Package"),"",IF(N(G628)-N(I628)&gt;0,N(G628)-N(I628),""))</f>
        <v/>
      </c>
      <c r="L628" s="32" t="n"/>
      <c r="M628" s="1">
        <f>IF(OR(B628="",D628="",F628="Cancelled"),"",B628+N(C628)+ROW()/10000000)</f>
        <v/>
      </c>
      <c r="N628">
        <f>IF(AND(F628="Done",M628&lt;&gt;""),IF(COUNTIFS(Appointments!$D$6:$D$2005,D628,Appointments!$F$6:$F$2005,"Done",Appointments!$M$6:$M$2005,"&gt;"&amp;M628)=0,1,0),0)</f>
        <v/>
      </c>
      <c r="O628">
        <f>IF(AND(F628="Booked",M628&lt;&gt;"",N(B628)&gt;=TODAY()),IF(COUNTIFS(Appointments!$D$6:$D$2005,D628,Appointments!$F$6:$F$2005,"Booked",Appointments!$B$6:$B$2005,"&gt;="&amp;TODAY(),Appointments!$M$6:$M$2005,"&lt;"&amp;M628)=0,1,0),0)</f>
        <v/>
      </c>
    </row>
    <row r="629">
      <c r="A629" s="1" t="n"/>
      <c r="B629" s="30" t="n">
        <v>46176</v>
      </c>
      <c r="C629" s="31" t="n">
        <v>0.4027777777777778</v>
      </c>
      <c r="D629" s="32" t="inlineStr">
        <is>
          <t>Dan Hill</t>
        </is>
      </c>
      <c r="E629" s="32" t="inlineStr">
        <is>
          <t>Men's haircut</t>
        </is>
      </c>
      <c r="F629" s="33" t="inlineStr">
        <is>
          <t>Done</t>
        </is>
      </c>
      <c r="G629" s="27">
        <f>IF(E629="","",MAX(0,IFERROR(INDEX(Services!$C$6:$C$35,MATCH(E629,Services!$B$6:$B$35,0)),0)-N(H629)))</f>
        <v/>
      </c>
      <c r="H629" s="34" t="n"/>
      <c r="I629" s="34" t="n">
        <v>30</v>
      </c>
      <c r="J629" s="33" t="inlineStr">
        <is>
          <t>Card</t>
        </is>
      </c>
      <c r="K629" s="28">
        <f>IF(OR(B629="",F629&lt;&gt;"Done",J629="Package"),"",IF(N(G629)-N(I629)&gt;0,N(G629)-N(I629),""))</f>
        <v/>
      </c>
      <c r="L629" s="32" t="n"/>
      <c r="M629" s="1">
        <f>IF(OR(B629="",D629="",F629="Cancelled"),"",B629+N(C629)+ROW()/10000000)</f>
        <v/>
      </c>
      <c r="N629">
        <f>IF(AND(F629="Done",M629&lt;&gt;""),IF(COUNTIFS(Appointments!$D$6:$D$2005,D629,Appointments!$F$6:$F$2005,"Done",Appointments!$M$6:$M$2005,"&gt;"&amp;M629)=0,1,0),0)</f>
        <v/>
      </c>
      <c r="O629">
        <f>IF(AND(F629="Booked",M629&lt;&gt;"",N(B629)&gt;=TODAY()),IF(COUNTIFS(Appointments!$D$6:$D$2005,D629,Appointments!$F$6:$F$2005,"Booked",Appointments!$B$6:$B$2005,"&gt;="&amp;TODAY(),Appointments!$M$6:$M$2005,"&lt;"&amp;M629)=0,1,0),0)</f>
        <v/>
      </c>
    </row>
    <row r="630">
      <c r="A630" s="1" t="n"/>
      <c r="B630" s="30" t="n">
        <v>46176</v>
      </c>
      <c r="C630" s="31" t="n">
        <v>0.4305555555555556</v>
      </c>
      <c r="D630" s="32" t="inlineStr">
        <is>
          <t>Jon Reid</t>
        </is>
      </c>
      <c r="E630" s="32" t="inlineStr">
        <is>
          <t>Men's haircut</t>
        </is>
      </c>
      <c r="F630" s="33" t="inlineStr">
        <is>
          <t>Done</t>
        </is>
      </c>
      <c r="G630" s="27">
        <f>IF(E630="","",MAX(0,IFERROR(INDEX(Services!$C$6:$C$35,MATCH(E630,Services!$B$6:$B$35,0)),0)-N(H630)))</f>
        <v/>
      </c>
      <c r="H630" s="34" t="n"/>
      <c r="I630" s="34" t="n">
        <v>30</v>
      </c>
      <c r="J630" s="33" t="inlineStr">
        <is>
          <t>Transfer</t>
        </is>
      </c>
      <c r="K630" s="28">
        <f>IF(OR(B630="",F630&lt;&gt;"Done",J630="Package"),"",IF(N(G630)-N(I630)&gt;0,N(G630)-N(I630),""))</f>
        <v/>
      </c>
      <c r="L630" s="32" t="n"/>
      <c r="M630" s="1">
        <f>IF(OR(B630="",D630="",F630="Cancelled"),"",B630+N(C630)+ROW()/10000000)</f>
        <v/>
      </c>
      <c r="N630">
        <f>IF(AND(F630="Done",M630&lt;&gt;""),IF(COUNTIFS(Appointments!$D$6:$D$2005,D630,Appointments!$F$6:$F$2005,"Done",Appointments!$M$6:$M$2005,"&gt;"&amp;M630)=0,1,0),0)</f>
        <v/>
      </c>
      <c r="O630">
        <f>IF(AND(F630="Booked",M630&lt;&gt;"",N(B630)&gt;=TODAY()),IF(COUNTIFS(Appointments!$D$6:$D$2005,D630,Appointments!$F$6:$F$2005,"Booked",Appointments!$B$6:$B$2005,"&gt;="&amp;TODAY(),Appointments!$M$6:$M$2005,"&lt;"&amp;M630)=0,1,0),0)</f>
        <v/>
      </c>
    </row>
    <row r="631">
      <c r="A631" s="1" t="n"/>
      <c r="B631" s="30" t="n">
        <v>46176</v>
      </c>
      <c r="C631" s="31" t="n">
        <v>0.4583333333333333</v>
      </c>
      <c r="D631" s="32" t="inlineStr">
        <is>
          <t>Julia Young</t>
        </is>
      </c>
      <c r="E631" s="32" t="inlineStr">
        <is>
          <t>Colour</t>
        </is>
      </c>
      <c r="F631" s="33" t="inlineStr">
        <is>
          <t>Done</t>
        </is>
      </c>
      <c r="G631" s="27">
        <f>IF(E631="","",MAX(0,IFERROR(INDEX(Services!$C$6:$C$35,MATCH(E631,Services!$B$6:$B$35,0)),0)-N(H631)))</f>
        <v/>
      </c>
      <c r="H631" s="34" t="n"/>
      <c r="I631" s="34" t="n">
        <v>95</v>
      </c>
      <c r="J631" s="33" t="inlineStr">
        <is>
          <t>Card</t>
        </is>
      </c>
      <c r="K631" s="28">
        <f>IF(OR(B631="",F631&lt;&gt;"Done",J631="Package"),"",IF(N(G631)-N(I631)&gt;0,N(G631)-N(I631),""))</f>
        <v/>
      </c>
      <c r="L631" s="32" t="n"/>
      <c r="M631" s="1">
        <f>IF(OR(B631="",D631="",F631="Cancelled"),"",B631+N(C631)+ROW()/10000000)</f>
        <v/>
      </c>
      <c r="N631">
        <f>IF(AND(F631="Done",M631&lt;&gt;""),IF(COUNTIFS(Appointments!$D$6:$D$2005,D631,Appointments!$F$6:$F$2005,"Done",Appointments!$M$6:$M$2005,"&gt;"&amp;M631)=0,1,0),0)</f>
        <v/>
      </c>
      <c r="O631">
        <f>IF(AND(F631="Booked",M631&lt;&gt;"",N(B631)&gt;=TODAY()),IF(COUNTIFS(Appointments!$D$6:$D$2005,D631,Appointments!$F$6:$F$2005,"Booked",Appointments!$B$6:$B$2005,"&gt;="&amp;TODAY(),Appointments!$M$6:$M$2005,"&lt;"&amp;M631)=0,1,0),0)</f>
        <v/>
      </c>
    </row>
    <row r="632">
      <c r="A632" s="1" t="n"/>
      <c r="B632" s="30" t="n">
        <v>46176</v>
      </c>
      <c r="C632" s="31" t="n">
        <v>0.5486111111111112</v>
      </c>
      <c r="D632" s="32" t="inlineStr">
        <is>
          <t>Kyle Hughes</t>
        </is>
      </c>
      <c r="E632" s="32" t="inlineStr">
        <is>
          <t>Men's haircut</t>
        </is>
      </c>
      <c r="F632" s="33" t="inlineStr">
        <is>
          <t>Done</t>
        </is>
      </c>
      <c r="G632" s="27">
        <f>IF(E632="","",MAX(0,IFERROR(INDEX(Services!$C$6:$C$35,MATCH(E632,Services!$B$6:$B$35,0)),0)-N(H632)))</f>
        <v/>
      </c>
      <c r="H632" s="34" t="n"/>
      <c r="I632" s="34" t="n">
        <v>30</v>
      </c>
      <c r="J632" s="33" t="inlineStr">
        <is>
          <t>Card</t>
        </is>
      </c>
      <c r="K632" s="28">
        <f>IF(OR(B632="",F632&lt;&gt;"Done",J632="Package"),"",IF(N(G632)-N(I632)&gt;0,N(G632)-N(I632),""))</f>
        <v/>
      </c>
      <c r="L632" s="32" t="n"/>
      <c r="M632" s="1">
        <f>IF(OR(B632="",D632="",F632="Cancelled"),"",B632+N(C632)+ROW()/10000000)</f>
        <v/>
      </c>
      <c r="N632">
        <f>IF(AND(F632="Done",M632&lt;&gt;""),IF(COUNTIFS(Appointments!$D$6:$D$2005,D632,Appointments!$F$6:$F$2005,"Done",Appointments!$M$6:$M$2005,"&gt;"&amp;M632)=0,1,0),0)</f>
        <v/>
      </c>
      <c r="O632">
        <f>IF(AND(F632="Booked",M632&lt;&gt;"",N(B632)&gt;=TODAY()),IF(COUNTIFS(Appointments!$D$6:$D$2005,D632,Appointments!$F$6:$F$2005,"Booked",Appointments!$B$6:$B$2005,"&gt;="&amp;TODAY(),Appointments!$M$6:$M$2005,"&lt;"&amp;M632)=0,1,0),0)</f>
        <v/>
      </c>
    </row>
    <row r="633">
      <c r="A633" s="1" t="n"/>
      <c r="B633" s="30" t="n">
        <v>46176</v>
      </c>
      <c r="C633" s="31" t="n">
        <v>0.5763888888888888</v>
      </c>
      <c r="D633" s="32" t="inlineStr">
        <is>
          <t>Nick Young</t>
        </is>
      </c>
      <c r="E633" s="32" t="inlineStr">
        <is>
          <t>Men's haircut</t>
        </is>
      </c>
      <c r="F633" s="33" t="inlineStr">
        <is>
          <t>Done</t>
        </is>
      </c>
      <c r="G633" s="27">
        <f>IF(E633="","",MAX(0,IFERROR(INDEX(Services!$C$6:$C$35,MATCH(E633,Services!$B$6:$B$35,0)),0)-N(H633)))</f>
        <v/>
      </c>
      <c r="H633" s="34" t="n"/>
      <c r="I633" s="34" t="n">
        <v>30</v>
      </c>
      <c r="J633" s="33" t="inlineStr">
        <is>
          <t>Cash</t>
        </is>
      </c>
      <c r="K633" s="28">
        <f>IF(OR(B633="",F633&lt;&gt;"Done",J633="Package"),"",IF(N(G633)-N(I633)&gt;0,N(G633)-N(I633),""))</f>
        <v/>
      </c>
      <c r="L633" s="32" t="n"/>
      <c r="M633" s="1">
        <f>IF(OR(B633="",D633="",F633="Cancelled"),"",B633+N(C633)+ROW()/10000000)</f>
        <v/>
      </c>
      <c r="N633">
        <f>IF(AND(F633="Done",M633&lt;&gt;""),IF(COUNTIFS(Appointments!$D$6:$D$2005,D633,Appointments!$F$6:$F$2005,"Done",Appointments!$M$6:$M$2005,"&gt;"&amp;M633)=0,1,0),0)</f>
        <v/>
      </c>
      <c r="O633">
        <f>IF(AND(F633="Booked",M633&lt;&gt;"",N(B633)&gt;=TODAY()),IF(COUNTIFS(Appointments!$D$6:$D$2005,D633,Appointments!$F$6:$F$2005,"Booked",Appointments!$B$6:$B$2005,"&gt;="&amp;TODAY(),Appointments!$M$6:$M$2005,"&lt;"&amp;M633)=0,1,0),0)</f>
        <v/>
      </c>
    </row>
    <row r="634">
      <c r="A634" s="1" t="n"/>
      <c r="B634" s="30" t="n">
        <v>46176</v>
      </c>
      <c r="C634" s="31" t="n">
        <v>0.6041666666666666</v>
      </c>
      <c r="D634" s="32" t="inlineStr">
        <is>
          <t>Tom Gray</t>
        </is>
      </c>
      <c r="E634" s="32" t="inlineStr">
        <is>
          <t>Men's haircut</t>
        </is>
      </c>
      <c r="F634" s="33" t="inlineStr">
        <is>
          <t>Done</t>
        </is>
      </c>
      <c r="G634" s="27">
        <f>IF(E634="","",MAX(0,IFERROR(INDEX(Services!$C$6:$C$35,MATCH(E634,Services!$B$6:$B$35,0)),0)-N(H634)))</f>
        <v/>
      </c>
      <c r="H634" s="34" t="n"/>
      <c r="I634" s="34" t="n">
        <v>30</v>
      </c>
      <c r="J634" s="33" t="inlineStr">
        <is>
          <t>Card</t>
        </is>
      </c>
      <c r="K634" s="28">
        <f>IF(OR(B634="",F634&lt;&gt;"Done",J634="Package"),"",IF(N(G634)-N(I634)&gt;0,N(G634)-N(I634),""))</f>
        <v/>
      </c>
      <c r="L634" s="32" t="n"/>
      <c r="M634" s="1">
        <f>IF(OR(B634="",D634="",F634="Cancelled"),"",B634+N(C634)+ROW()/10000000)</f>
        <v/>
      </c>
      <c r="N634">
        <f>IF(AND(F634="Done",M634&lt;&gt;""),IF(COUNTIFS(Appointments!$D$6:$D$2005,D634,Appointments!$F$6:$F$2005,"Done",Appointments!$M$6:$M$2005,"&gt;"&amp;M634)=0,1,0),0)</f>
        <v/>
      </c>
      <c r="O634">
        <f>IF(AND(F634="Booked",M634&lt;&gt;"",N(B634)&gt;=TODAY()),IF(COUNTIFS(Appointments!$D$6:$D$2005,D634,Appointments!$F$6:$F$2005,"Booked",Appointments!$B$6:$B$2005,"&gt;="&amp;TODAY(),Appointments!$M$6:$M$2005,"&lt;"&amp;M634)=0,1,0),0)</f>
        <v/>
      </c>
    </row>
    <row r="635">
      <c r="A635" s="1" t="n"/>
      <c r="B635" s="30" t="n">
        <v>46177</v>
      </c>
      <c r="C635" s="31" t="n">
        <v>0.375</v>
      </c>
      <c r="D635" s="32" t="inlineStr">
        <is>
          <t>Ava Lewis</t>
        </is>
      </c>
      <c r="E635" s="32" t="inlineStr">
        <is>
          <t>Colour</t>
        </is>
      </c>
      <c r="F635" s="33" t="inlineStr">
        <is>
          <t>Done</t>
        </is>
      </c>
      <c r="G635" s="27">
        <f>IF(E635="","",MAX(0,IFERROR(INDEX(Services!$C$6:$C$35,MATCH(E635,Services!$B$6:$B$35,0)),0)-N(H635)))</f>
        <v/>
      </c>
      <c r="H635" s="34" t="n"/>
      <c r="I635" s="34" t="n">
        <v>95</v>
      </c>
      <c r="J635" s="33" t="inlineStr">
        <is>
          <t>Transfer</t>
        </is>
      </c>
      <c r="K635" s="28">
        <f>IF(OR(B635="",F635&lt;&gt;"Done",J635="Package"),"",IF(N(G635)-N(I635)&gt;0,N(G635)-N(I635),""))</f>
        <v/>
      </c>
      <c r="L635" s="32" t="n"/>
      <c r="M635" s="1">
        <f>IF(OR(B635="",D635="",F635="Cancelled"),"",B635+N(C635)+ROW()/10000000)</f>
        <v/>
      </c>
      <c r="N635">
        <f>IF(AND(F635="Done",M635&lt;&gt;""),IF(COUNTIFS(Appointments!$D$6:$D$2005,D635,Appointments!$F$6:$F$2005,"Done",Appointments!$M$6:$M$2005,"&gt;"&amp;M635)=0,1,0),0)</f>
        <v/>
      </c>
      <c r="O635">
        <f>IF(AND(F635="Booked",M635&lt;&gt;"",N(B635)&gt;=TODAY()),IF(COUNTIFS(Appointments!$D$6:$D$2005,D635,Appointments!$F$6:$F$2005,"Booked",Appointments!$B$6:$B$2005,"&gt;="&amp;TODAY(),Appointments!$M$6:$M$2005,"&lt;"&amp;M635)=0,1,0),0)</f>
        <v/>
      </c>
    </row>
    <row r="636">
      <c r="A636" s="1" t="n"/>
      <c r="B636" s="30" t="n">
        <v>46177</v>
      </c>
      <c r="C636" s="31" t="n">
        <v>0.4652777777777778</v>
      </c>
      <c r="D636" s="32" t="inlineStr">
        <is>
          <t>Chris Ellis</t>
        </is>
      </c>
      <c r="E636" s="32" t="inlineStr">
        <is>
          <t>Men's haircut</t>
        </is>
      </c>
      <c r="F636" s="33" t="inlineStr">
        <is>
          <t>Done</t>
        </is>
      </c>
      <c r="G636" s="27">
        <f>IF(E636="","",MAX(0,IFERROR(INDEX(Services!$C$6:$C$35,MATCH(E636,Services!$B$6:$B$35,0)),0)-N(H636)))</f>
        <v/>
      </c>
      <c r="H636" s="34" t="n"/>
      <c r="I636" s="34" t="n">
        <v>30</v>
      </c>
      <c r="J636" s="33" t="inlineStr">
        <is>
          <t>Card</t>
        </is>
      </c>
      <c r="K636" s="28">
        <f>IF(OR(B636="",F636&lt;&gt;"Done",J636="Package"),"",IF(N(G636)-N(I636)&gt;0,N(G636)-N(I636),""))</f>
        <v/>
      </c>
      <c r="L636" s="32" t="n"/>
      <c r="M636" s="1">
        <f>IF(OR(B636="",D636="",F636="Cancelled"),"",B636+N(C636)+ROW()/10000000)</f>
        <v/>
      </c>
      <c r="N636">
        <f>IF(AND(F636="Done",M636&lt;&gt;""),IF(COUNTIFS(Appointments!$D$6:$D$2005,D636,Appointments!$F$6:$F$2005,"Done",Appointments!$M$6:$M$2005,"&gt;"&amp;M636)=0,1,0),0)</f>
        <v/>
      </c>
      <c r="O636">
        <f>IF(AND(F636="Booked",M636&lt;&gt;"",N(B636)&gt;=TODAY()),IF(COUNTIFS(Appointments!$D$6:$D$2005,D636,Appointments!$F$6:$F$2005,"Booked",Appointments!$B$6:$B$2005,"&gt;="&amp;TODAY(),Appointments!$M$6:$M$2005,"&lt;"&amp;M636)=0,1,0),0)</f>
        <v/>
      </c>
    </row>
    <row r="637">
      <c r="A637" s="1" t="n"/>
      <c r="B637" s="30" t="n">
        <v>46177</v>
      </c>
      <c r="C637" s="31" t="n">
        <v>0.4930555555555556</v>
      </c>
      <c r="D637" s="32" t="inlineStr">
        <is>
          <t>Fiona Fox</t>
        </is>
      </c>
      <c r="E637" s="32" t="inlineStr">
        <is>
          <t>Treatment</t>
        </is>
      </c>
      <c r="F637" s="33" t="inlineStr">
        <is>
          <t>Done</t>
        </is>
      </c>
      <c r="G637" s="27">
        <f>IF(E637="","",MAX(0,IFERROR(INDEX(Services!$C$6:$C$35,MATCH(E637,Services!$B$6:$B$35,0)),0)-N(H637)))</f>
        <v/>
      </c>
      <c r="H637" s="34" t="n"/>
      <c r="I637" s="34" t="n">
        <v>30</v>
      </c>
      <c r="J637" s="33" t="inlineStr">
        <is>
          <t>Card</t>
        </is>
      </c>
      <c r="K637" s="28">
        <f>IF(OR(B637="",F637&lt;&gt;"Done",J637="Package"),"",IF(N(G637)-N(I637)&gt;0,N(G637)-N(I637),""))</f>
        <v/>
      </c>
      <c r="L637" s="32" t="n"/>
      <c r="M637" s="1">
        <f>IF(OR(B637="",D637="",F637="Cancelled"),"",B637+N(C637)+ROW()/10000000)</f>
        <v/>
      </c>
      <c r="N637">
        <f>IF(AND(F637="Done",M637&lt;&gt;""),IF(COUNTIFS(Appointments!$D$6:$D$2005,D637,Appointments!$F$6:$F$2005,"Done",Appointments!$M$6:$M$2005,"&gt;"&amp;M637)=0,1,0),0)</f>
        <v/>
      </c>
      <c r="O637">
        <f>IF(AND(F637="Booked",M637&lt;&gt;"",N(B637)&gt;=TODAY()),IF(COUNTIFS(Appointments!$D$6:$D$2005,D637,Appointments!$F$6:$F$2005,"Booked",Appointments!$B$6:$B$2005,"&gt;="&amp;TODAY(),Appointments!$M$6:$M$2005,"&lt;"&amp;M637)=0,1,0),0)</f>
        <v/>
      </c>
    </row>
    <row r="638">
      <c r="A638" s="1" t="n"/>
      <c r="B638" s="30" t="n">
        <v>46177</v>
      </c>
      <c r="C638" s="31" t="n">
        <v>0.5208333333333334</v>
      </c>
      <c r="D638" s="32" t="inlineStr">
        <is>
          <t>Gina Adams</t>
        </is>
      </c>
      <c r="E638" s="32" t="inlineStr">
        <is>
          <t>Highlights</t>
        </is>
      </c>
      <c r="F638" s="33" t="inlineStr">
        <is>
          <t>Done</t>
        </is>
      </c>
      <c r="G638" s="27">
        <f>IF(E638="","",MAX(0,IFERROR(INDEX(Services!$C$6:$C$35,MATCH(E638,Services!$B$6:$B$35,0)),0)-N(H638)))</f>
        <v/>
      </c>
      <c r="H638" s="34" t="n"/>
      <c r="I638" s="34" t="n">
        <v>140</v>
      </c>
      <c r="J638" s="33" t="inlineStr">
        <is>
          <t>Card</t>
        </is>
      </c>
      <c r="K638" s="28">
        <f>IF(OR(B638="",F638&lt;&gt;"Done",J638="Package"),"",IF(N(G638)-N(I638)&gt;0,N(G638)-N(I638),""))</f>
        <v/>
      </c>
      <c r="L638" s="32" t="n"/>
      <c r="M638" s="1">
        <f>IF(OR(B638="",D638="",F638="Cancelled"),"",B638+N(C638)+ROW()/10000000)</f>
        <v/>
      </c>
      <c r="N638">
        <f>IF(AND(F638="Done",M638&lt;&gt;""),IF(COUNTIFS(Appointments!$D$6:$D$2005,D638,Appointments!$F$6:$F$2005,"Done",Appointments!$M$6:$M$2005,"&gt;"&amp;M638)=0,1,0),0)</f>
        <v/>
      </c>
      <c r="O638">
        <f>IF(AND(F638="Booked",M638&lt;&gt;"",N(B638)&gt;=TODAY()),IF(COUNTIFS(Appointments!$D$6:$D$2005,D638,Appointments!$F$6:$F$2005,"Booked",Appointments!$B$6:$B$2005,"&gt;="&amp;TODAY(),Appointments!$M$6:$M$2005,"&lt;"&amp;M638)=0,1,0),0)</f>
        <v/>
      </c>
    </row>
    <row r="639">
      <c r="A639" s="1" t="n"/>
      <c r="B639" s="30" t="n">
        <v>46177</v>
      </c>
      <c r="C639" s="31" t="n">
        <v>0.6319444444444444</v>
      </c>
      <c r="D639" s="32" t="inlineStr">
        <is>
          <t>Holly Shaw</t>
        </is>
      </c>
      <c r="E639" s="32" t="inlineStr">
        <is>
          <t>Women's haircut</t>
        </is>
      </c>
      <c r="F639" s="33" t="inlineStr">
        <is>
          <t>Done</t>
        </is>
      </c>
      <c r="G639" s="27">
        <f>IF(E639="","",MAX(0,IFERROR(INDEX(Services!$C$6:$C$35,MATCH(E639,Services!$B$6:$B$35,0)),0)-N(H639)))</f>
        <v/>
      </c>
      <c r="H639" s="34" t="n"/>
      <c r="I639" s="34" t="n">
        <v>55</v>
      </c>
      <c r="J639" s="33" t="inlineStr">
        <is>
          <t>Card</t>
        </is>
      </c>
      <c r="K639" s="28">
        <f>IF(OR(B639="",F639&lt;&gt;"Done",J639="Package"),"",IF(N(G639)-N(I639)&gt;0,N(G639)-N(I639),""))</f>
        <v/>
      </c>
      <c r="L639" s="32" t="n"/>
      <c r="M639" s="1">
        <f>IF(OR(B639="",D639="",F639="Cancelled"),"",B639+N(C639)+ROW()/10000000)</f>
        <v/>
      </c>
      <c r="N639">
        <f>IF(AND(F639="Done",M639&lt;&gt;""),IF(COUNTIFS(Appointments!$D$6:$D$2005,D639,Appointments!$F$6:$F$2005,"Done",Appointments!$M$6:$M$2005,"&gt;"&amp;M639)=0,1,0),0)</f>
        <v/>
      </c>
      <c r="O639">
        <f>IF(AND(F639="Booked",M639&lt;&gt;"",N(B639)&gt;=TODAY()),IF(COUNTIFS(Appointments!$D$6:$D$2005,D639,Appointments!$F$6:$F$2005,"Booked",Appointments!$B$6:$B$2005,"&gt;="&amp;TODAY(),Appointments!$M$6:$M$2005,"&lt;"&amp;M639)=0,1,0),0)</f>
        <v/>
      </c>
    </row>
    <row r="640">
      <c r="A640" s="1" t="n"/>
      <c r="B640" s="30" t="n">
        <v>46177</v>
      </c>
      <c r="C640" s="31" t="n">
        <v>0.6805555555555556</v>
      </c>
      <c r="D640" s="32" t="inlineStr">
        <is>
          <t>Kara Adams</t>
        </is>
      </c>
      <c r="E640" s="32" t="inlineStr">
        <is>
          <t>Women's haircut</t>
        </is>
      </c>
      <c r="F640" s="33" t="inlineStr">
        <is>
          <t>Done</t>
        </is>
      </c>
      <c r="G640" s="27">
        <f>IF(E640="","",MAX(0,IFERROR(INDEX(Services!$C$6:$C$35,MATCH(E640,Services!$B$6:$B$35,0)),0)-N(H640)))</f>
        <v/>
      </c>
      <c r="H640" s="34" t="n"/>
      <c r="I640" s="34" t="n">
        <v>55</v>
      </c>
      <c r="J640" s="33" t="inlineStr">
        <is>
          <t>Cash</t>
        </is>
      </c>
      <c r="K640" s="28">
        <f>IF(OR(B640="",F640&lt;&gt;"Done",J640="Package"),"",IF(N(G640)-N(I640)&gt;0,N(G640)-N(I640),""))</f>
        <v/>
      </c>
      <c r="L640" s="32" t="n"/>
      <c r="M640" s="1">
        <f>IF(OR(B640="",D640="",F640="Cancelled"),"",B640+N(C640)+ROW()/10000000)</f>
        <v/>
      </c>
      <c r="N640">
        <f>IF(AND(F640="Done",M640&lt;&gt;""),IF(COUNTIFS(Appointments!$D$6:$D$2005,D640,Appointments!$F$6:$F$2005,"Done",Appointments!$M$6:$M$2005,"&gt;"&amp;M640)=0,1,0),0)</f>
        <v/>
      </c>
      <c r="O640">
        <f>IF(AND(F640="Booked",M640&lt;&gt;"",N(B640)&gt;=TODAY()),IF(COUNTIFS(Appointments!$D$6:$D$2005,D640,Appointments!$F$6:$F$2005,"Booked",Appointments!$B$6:$B$2005,"&gt;="&amp;TODAY(),Appointments!$M$6:$M$2005,"&lt;"&amp;M640)=0,1,0),0)</f>
        <v/>
      </c>
    </row>
    <row r="641">
      <c r="A641" s="1" t="n"/>
      <c r="B641" s="30" t="n">
        <v>46177</v>
      </c>
      <c r="C641" s="31" t="n">
        <v>0.7291666666666666</v>
      </c>
      <c r="D641" s="32" t="inlineStr">
        <is>
          <t>Ryan Davies</t>
        </is>
      </c>
      <c r="E641" s="32" t="inlineStr">
        <is>
          <t>Men's haircut</t>
        </is>
      </c>
      <c r="F641" s="33" t="inlineStr">
        <is>
          <t>Done</t>
        </is>
      </c>
      <c r="G641" s="27">
        <f>IF(E641="","",MAX(0,IFERROR(INDEX(Services!$C$6:$C$35,MATCH(E641,Services!$B$6:$B$35,0)),0)-N(H641)))</f>
        <v/>
      </c>
      <c r="H641" s="34" t="n"/>
      <c r="I641" s="34" t="n">
        <v>30</v>
      </c>
      <c r="J641" s="33" t="inlineStr">
        <is>
          <t>Cash</t>
        </is>
      </c>
      <c r="K641" s="28">
        <f>IF(OR(B641="",F641&lt;&gt;"Done",J641="Package"),"",IF(N(G641)-N(I641)&gt;0,N(G641)-N(I641),""))</f>
        <v/>
      </c>
      <c r="L641" s="32" t="n"/>
      <c r="M641" s="1">
        <f>IF(OR(B641="",D641="",F641="Cancelled"),"",B641+N(C641)+ROW()/10000000)</f>
        <v/>
      </c>
      <c r="N641">
        <f>IF(AND(F641="Done",M641&lt;&gt;""),IF(COUNTIFS(Appointments!$D$6:$D$2005,D641,Appointments!$F$6:$F$2005,"Done",Appointments!$M$6:$M$2005,"&gt;"&amp;M641)=0,1,0),0)</f>
        <v/>
      </c>
      <c r="O641">
        <f>IF(AND(F641="Booked",M641&lt;&gt;"",N(B641)&gt;=TODAY()),IF(COUNTIFS(Appointments!$D$6:$D$2005,D641,Appointments!$F$6:$F$2005,"Booked",Appointments!$B$6:$B$2005,"&gt;="&amp;TODAY(),Appointments!$M$6:$M$2005,"&lt;"&amp;M641)=0,1,0),0)</f>
        <v/>
      </c>
    </row>
    <row r="642">
      <c r="A642" s="1" t="n"/>
      <c r="B642" s="30" t="n">
        <v>46178</v>
      </c>
      <c r="C642" s="31" t="n">
        <v>0.375</v>
      </c>
      <c r="D642" s="32" t="inlineStr">
        <is>
          <t>Ava Reed</t>
        </is>
      </c>
      <c r="E642" s="32" t="inlineStr">
        <is>
          <t>Highlights</t>
        </is>
      </c>
      <c r="F642" s="33" t="inlineStr">
        <is>
          <t>Done</t>
        </is>
      </c>
      <c r="G642" s="27">
        <f>IF(E642="","",MAX(0,IFERROR(INDEX(Services!$C$6:$C$35,MATCH(E642,Services!$B$6:$B$35,0)),0)-N(H642)))</f>
        <v/>
      </c>
      <c r="H642" s="34" t="n"/>
      <c r="I642" s="34" t="n">
        <v>140</v>
      </c>
      <c r="J642" s="33" t="inlineStr">
        <is>
          <t>Card</t>
        </is>
      </c>
      <c r="K642" s="28">
        <f>IF(OR(B642="",F642&lt;&gt;"Done",J642="Package"),"",IF(N(G642)-N(I642)&gt;0,N(G642)-N(I642),""))</f>
        <v/>
      </c>
      <c r="L642" s="32" t="n"/>
      <c r="M642" s="1">
        <f>IF(OR(B642="",D642="",F642="Cancelled"),"",B642+N(C642)+ROW()/10000000)</f>
        <v/>
      </c>
      <c r="N642">
        <f>IF(AND(F642="Done",M642&lt;&gt;""),IF(COUNTIFS(Appointments!$D$6:$D$2005,D642,Appointments!$F$6:$F$2005,"Done",Appointments!$M$6:$M$2005,"&gt;"&amp;M642)=0,1,0),0)</f>
        <v/>
      </c>
      <c r="O642">
        <f>IF(AND(F642="Booked",M642&lt;&gt;"",N(B642)&gt;=TODAY()),IF(COUNTIFS(Appointments!$D$6:$D$2005,D642,Appointments!$F$6:$F$2005,"Booked",Appointments!$B$6:$B$2005,"&gt;="&amp;TODAY(),Appointments!$M$6:$M$2005,"&lt;"&amp;M642)=0,1,0),0)</f>
        <v/>
      </c>
    </row>
    <row r="643">
      <c r="A643" s="1" t="n"/>
      <c r="B643" s="30" t="n">
        <v>46178</v>
      </c>
      <c r="C643" s="31" t="n">
        <v>0.4861111111111111</v>
      </c>
      <c r="D643" s="32" t="inlineStr">
        <is>
          <t>Chris Cox</t>
        </is>
      </c>
      <c r="E643" s="32" t="inlineStr">
        <is>
          <t>Men's haircut</t>
        </is>
      </c>
      <c r="F643" s="33" t="inlineStr">
        <is>
          <t>Done</t>
        </is>
      </c>
      <c r="G643" s="27">
        <f>IF(E643="","",MAX(0,IFERROR(INDEX(Services!$C$6:$C$35,MATCH(E643,Services!$B$6:$B$35,0)),0)-N(H643)))</f>
        <v/>
      </c>
      <c r="H643" s="34" t="n"/>
      <c r="I643" s="34" t="n">
        <v>30</v>
      </c>
      <c r="J643" s="33" t="inlineStr">
        <is>
          <t>Card</t>
        </is>
      </c>
      <c r="K643" s="28">
        <f>IF(OR(B643="",F643&lt;&gt;"Done",J643="Package"),"",IF(N(G643)-N(I643)&gt;0,N(G643)-N(I643),""))</f>
        <v/>
      </c>
      <c r="L643" s="32" t="n"/>
      <c r="M643" s="1">
        <f>IF(OR(B643="",D643="",F643="Cancelled"),"",B643+N(C643)+ROW()/10000000)</f>
        <v/>
      </c>
      <c r="N643">
        <f>IF(AND(F643="Done",M643&lt;&gt;""),IF(COUNTIFS(Appointments!$D$6:$D$2005,D643,Appointments!$F$6:$F$2005,"Done",Appointments!$M$6:$M$2005,"&gt;"&amp;M643)=0,1,0),0)</f>
        <v/>
      </c>
      <c r="O643">
        <f>IF(AND(F643="Booked",M643&lt;&gt;"",N(B643)&gt;=TODAY()),IF(COUNTIFS(Appointments!$D$6:$D$2005,D643,Appointments!$F$6:$F$2005,"Booked",Appointments!$B$6:$B$2005,"&gt;="&amp;TODAY(),Appointments!$M$6:$M$2005,"&lt;"&amp;M643)=0,1,0),0)</f>
        <v/>
      </c>
    </row>
    <row r="644">
      <c r="A644" s="1" t="n"/>
      <c r="B644" s="30" t="n">
        <v>46178</v>
      </c>
      <c r="C644" s="31" t="n">
        <v>0.5138888888888888</v>
      </c>
      <c r="D644" s="32" t="inlineStr">
        <is>
          <t>Finn Gray</t>
        </is>
      </c>
      <c r="E644" s="32" t="inlineStr">
        <is>
          <t>Men's haircut</t>
        </is>
      </c>
      <c r="F644" s="33" t="inlineStr">
        <is>
          <t>Done</t>
        </is>
      </c>
      <c r="G644" s="27">
        <f>IF(E644="","",MAX(0,IFERROR(INDEX(Services!$C$6:$C$35,MATCH(E644,Services!$B$6:$B$35,0)),0)-N(H644)))</f>
        <v/>
      </c>
      <c r="H644" s="34" t="n"/>
      <c r="I644" s="34" t="n">
        <v>30</v>
      </c>
      <c r="J644" s="33" t="inlineStr">
        <is>
          <t>Card</t>
        </is>
      </c>
      <c r="K644" s="28">
        <f>IF(OR(B644="",F644&lt;&gt;"Done",J644="Package"),"",IF(N(G644)-N(I644)&gt;0,N(G644)-N(I644),""))</f>
        <v/>
      </c>
      <c r="L644" s="32" t="n"/>
      <c r="M644" s="1">
        <f>IF(OR(B644="",D644="",F644="Cancelled"),"",B644+N(C644)+ROW()/10000000)</f>
        <v/>
      </c>
      <c r="N644">
        <f>IF(AND(F644="Done",M644&lt;&gt;""),IF(COUNTIFS(Appointments!$D$6:$D$2005,D644,Appointments!$F$6:$F$2005,"Done",Appointments!$M$6:$M$2005,"&gt;"&amp;M644)=0,1,0),0)</f>
        <v/>
      </c>
      <c r="O644">
        <f>IF(AND(F644="Booked",M644&lt;&gt;"",N(B644)&gt;=TODAY()),IF(COUNTIFS(Appointments!$D$6:$D$2005,D644,Appointments!$F$6:$F$2005,"Booked",Appointments!$B$6:$B$2005,"&gt;="&amp;TODAY(),Appointments!$M$6:$M$2005,"&lt;"&amp;M644)=0,1,0),0)</f>
        <v/>
      </c>
    </row>
    <row r="645">
      <c r="A645" s="1" t="n"/>
      <c r="B645" s="30" t="n">
        <v>46178</v>
      </c>
      <c r="C645" s="31" t="n">
        <v>0.5416666666666666</v>
      </c>
      <c r="D645" s="32" t="inlineStr">
        <is>
          <t>Ian Reed</t>
        </is>
      </c>
      <c r="E645" s="32" t="inlineStr">
        <is>
          <t>Men's haircut</t>
        </is>
      </c>
      <c r="F645" s="33" t="inlineStr">
        <is>
          <t>Done</t>
        </is>
      </c>
      <c r="G645" s="27">
        <f>IF(E645="","",MAX(0,IFERROR(INDEX(Services!$C$6:$C$35,MATCH(E645,Services!$B$6:$B$35,0)),0)-N(H645)))</f>
        <v/>
      </c>
      <c r="H645" s="34" t="n"/>
      <c r="I645" s="34" t="n">
        <v>30</v>
      </c>
      <c r="J645" s="33" t="inlineStr">
        <is>
          <t>Card</t>
        </is>
      </c>
      <c r="K645" s="28">
        <f>IF(OR(B645="",F645&lt;&gt;"Done",J645="Package"),"",IF(N(G645)-N(I645)&gt;0,N(G645)-N(I645),""))</f>
        <v/>
      </c>
      <c r="L645" s="32" t="n"/>
      <c r="M645" s="1">
        <f>IF(OR(B645="",D645="",F645="Cancelled"),"",B645+N(C645)+ROW()/10000000)</f>
        <v/>
      </c>
      <c r="N645">
        <f>IF(AND(F645="Done",M645&lt;&gt;""),IF(COUNTIFS(Appointments!$D$6:$D$2005,D645,Appointments!$F$6:$F$2005,"Done",Appointments!$M$6:$M$2005,"&gt;"&amp;M645)=0,1,0),0)</f>
        <v/>
      </c>
      <c r="O645">
        <f>IF(AND(F645="Booked",M645&lt;&gt;"",N(B645)&gt;=TODAY()),IF(COUNTIFS(Appointments!$D$6:$D$2005,D645,Appointments!$F$6:$F$2005,"Booked",Appointments!$B$6:$B$2005,"&gt;="&amp;TODAY(),Appointments!$M$6:$M$2005,"&lt;"&amp;M645)=0,1,0),0)</f>
        <v/>
      </c>
    </row>
    <row r="646">
      <c r="A646" s="1" t="n"/>
      <c r="B646" s="30" t="n">
        <v>46178</v>
      </c>
      <c r="C646" s="31" t="n">
        <v>0.5694444444444444</v>
      </c>
      <c r="D646" s="32" t="inlineStr">
        <is>
          <t>Isla Brown</t>
        </is>
      </c>
      <c r="E646" s="32" t="inlineStr">
        <is>
          <t>Women's haircut</t>
        </is>
      </c>
      <c r="F646" s="33" t="inlineStr">
        <is>
          <t>Done</t>
        </is>
      </c>
      <c r="G646" s="27">
        <f>IF(E646="","",MAX(0,IFERROR(INDEX(Services!$C$6:$C$35,MATCH(E646,Services!$B$6:$B$35,0)),0)-N(H646)))</f>
        <v/>
      </c>
      <c r="H646" s="34" t="n"/>
      <c r="I646" s="34" t="n">
        <v>55</v>
      </c>
      <c r="J646" s="33" t="inlineStr">
        <is>
          <t>Card</t>
        </is>
      </c>
      <c r="K646" s="28">
        <f>IF(OR(B646="",F646&lt;&gt;"Done",J646="Package"),"",IF(N(G646)-N(I646)&gt;0,N(G646)-N(I646),""))</f>
        <v/>
      </c>
      <c r="L646" s="32" t="n"/>
      <c r="M646" s="1">
        <f>IF(OR(B646="",D646="",F646="Cancelled"),"",B646+N(C646)+ROW()/10000000)</f>
        <v/>
      </c>
      <c r="N646">
        <f>IF(AND(F646="Done",M646&lt;&gt;""),IF(COUNTIFS(Appointments!$D$6:$D$2005,D646,Appointments!$F$6:$F$2005,"Done",Appointments!$M$6:$M$2005,"&gt;"&amp;M646)=0,1,0),0)</f>
        <v/>
      </c>
      <c r="O646">
        <f>IF(AND(F646="Booked",M646&lt;&gt;"",N(B646)&gt;=TODAY()),IF(COUNTIFS(Appointments!$D$6:$D$2005,D646,Appointments!$F$6:$F$2005,"Booked",Appointments!$B$6:$B$2005,"&gt;="&amp;TODAY(),Appointments!$M$6:$M$2005,"&lt;"&amp;M646)=0,1,0),0)</f>
        <v/>
      </c>
    </row>
    <row r="647">
      <c r="A647" s="1" t="n"/>
      <c r="B647" s="30" t="n">
        <v>46178</v>
      </c>
      <c r="C647" s="31" t="n">
        <v>0.6180555555555556</v>
      </c>
      <c r="D647" s="32" t="inlineStr">
        <is>
          <t>Owen Walsh</t>
        </is>
      </c>
      <c r="E647" s="32" t="inlineStr">
        <is>
          <t>Men's haircut</t>
        </is>
      </c>
      <c r="F647" s="33" t="inlineStr">
        <is>
          <t>Done</t>
        </is>
      </c>
      <c r="G647" s="27">
        <f>IF(E647="","",MAX(0,IFERROR(INDEX(Services!$C$6:$C$35,MATCH(E647,Services!$B$6:$B$35,0)),0)-N(H647)))</f>
        <v/>
      </c>
      <c r="H647" s="34" t="n"/>
      <c r="I647" s="34" t="n">
        <v>30</v>
      </c>
      <c r="J647" s="33" t="inlineStr">
        <is>
          <t>Card</t>
        </is>
      </c>
      <c r="K647" s="28">
        <f>IF(OR(B647="",F647&lt;&gt;"Done",J647="Package"),"",IF(N(G647)-N(I647)&gt;0,N(G647)-N(I647),""))</f>
        <v/>
      </c>
      <c r="L647" s="32" t="n"/>
      <c r="M647" s="1">
        <f>IF(OR(B647="",D647="",F647="Cancelled"),"",B647+N(C647)+ROW()/10000000)</f>
        <v/>
      </c>
      <c r="N647">
        <f>IF(AND(F647="Done",M647&lt;&gt;""),IF(COUNTIFS(Appointments!$D$6:$D$2005,D647,Appointments!$F$6:$F$2005,"Done",Appointments!$M$6:$M$2005,"&gt;"&amp;M647)=0,1,0),0)</f>
        <v/>
      </c>
      <c r="O647">
        <f>IF(AND(F647="Booked",M647&lt;&gt;"",N(B647)&gt;=TODAY()),IF(COUNTIFS(Appointments!$D$6:$D$2005,D647,Appointments!$F$6:$F$2005,"Booked",Appointments!$B$6:$B$2005,"&gt;="&amp;TODAY(),Appointments!$M$6:$M$2005,"&lt;"&amp;M647)=0,1,0),0)</f>
        <v/>
      </c>
    </row>
    <row r="648">
      <c r="A648" s="1" t="n"/>
      <c r="B648" s="30" t="n">
        <v>46178</v>
      </c>
      <c r="C648" s="31" t="n">
        <v>0.6458333333333334</v>
      </c>
      <c r="D648" s="32" t="inlineStr">
        <is>
          <t>Paula Mason</t>
        </is>
      </c>
      <c r="E648" s="32" t="inlineStr">
        <is>
          <t>Highlights</t>
        </is>
      </c>
      <c r="F648" s="33" t="inlineStr">
        <is>
          <t>Done</t>
        </is>
      </c>
      <c r="G648" s="27">
        <f>IF(E648="","",MAX(0,IFERROR(INDEX(Services!$C$6:$C$35,MATCH(E648,Services!$B$6:$B$35,0)),0)-N(H648)))</f>
        <v/>
      </c>
      <c r="H648" s="34" t="n"/>
      <c r="I648" s="34" t="n">
        <v>140</v>
      </c>
      <c r="J648" s="33" t="inlineStr">
        <is>
          <t>Card</t>
        </is>
      </c>
      <c r="K648" s="28">
        <f>IF(OR(B648="",F648&lt;&gt;"Done",J648="Package"),"",IF(N(G648)-N(I648)&gt;0,N(G648)-N(I648),""))</f>
        <v/>
      </c>
      <c r="L648" s="32" t="n"/>
      <c r="M648" s="1">
        <f>IF(OR(B648="",D648="",F648="Cancelled"),"",B648+N(C648)+ROW()/10000000)</f>
        <v/>
      </c>
      <c r="N648">
        <f>IF(AND(F648="Done",M648&lt;&gt;""),IF(COUNTIFS(Appointments!$D$6:$D$2005,D648,Appointments!$F$6:$F$2005,"Done",Appointments!$M$6:$M$2005,"&gt;"&amp;M648)=0,1,0),0)</f>
        <v/>
      </c>
      <c r="O648">
        <f>IF(AND(F648="Booked",M648&lt;&gt;"",N(B648)&gt;=TODAY()),IF(COUNTIFS(Appointments!$D$6:$D$2005,D648,Appointments!$F$6:$F$2005,"Booked",Appointments!$B$6:$B$2005,"&gt;="&amp;TODAY(),Appointments!$M$6:$M$2005,"&lt;"&amp;M648)=0,1,0),0)</f>
        <v/>
      </c>
    </row>
    <row r="649">
      <c r="A649" s="1" t="n"/>
      <c r="B649" s="30" t="n">
        <v>46179</v>
      </c>
      <c r="C649" s="31" t="n">
        <v>0.375</v>
      </c>
      <c r="D649" s="32" t="inlineStr">
        <is>
          <t>Adam Gray</t>
        </is>
      </c>
      <c r="E649" s="32" t="inlineStr">
        <is>
          <t>Men's haircut</t>
        </is>
      </c>
      <c r="F649" s="33" t="inlineStr">
        <is>
          <t>Done</t>
        </is>
      </c>
      <c r="G649" s="27">
        <f>IF(E649="","",MAX(0,IFERROR(INDEX(Services!$C$6:$C$35,MATCH(E649,Services!$B$6:$B$35,0)),0)-N(H649)))</f>
        <v/>
      </c>
      <c r="H649" s="34" t="n"/>
      <c r="I649" s="34" t="n">
        <v>30</v>
      </c>
      <c r="J649" s="33" t="inlineStr">
        <is>
          <t>Card</t>
        </is>
      </c>
      <c r="K649" s="28">
        <f>IF(OR(B649="",F649&lt;&gt;"Done",J649="Package"),"",IF(N(G649)-N(I649)&gt;0,N(G649)-N(I649),""))</f>
        <v/>
      </c>
      <c r="L649" s="32" t="n"/>
      <c r="M649" s="1">
        <f>IF(OR(B649="",D649="",F649="Cancelled"),"",B649+N(C649)+ROW()/10000000)</f>
        <v/>
      </c>
      <c r="N649">
        <f>IF(AND(F649="Done",M649&lt;&gt;""),IF(COUNTIFS(Appointments!$D$6:$D$2005,D649,Appointments!$F$6:$F$2005,"Done",Appointments!$M$6:$M$2005,"&gt;"&amp;M649)=0,1,0),0)</f>
        <v/>
      </c>
      <c r="O649">
        <f>IF(AND(F649="Booked",M649&lt;&gt;"",N(B649)&gt;=TODAY()),IF(COUNTIFS(Appointments!$D$6:$D$2005,D649,Appointments!$F$6:$F$2005,"Booked",Appointments!$B$6:$B$2005,"&gt;="&amp;TODAY(),Appointments!$M$6:$M$2005,"&lt;"&amp;M649)=0,1,0),0)</f>
        <v/>
      </c>
    </row>
    <row r="650">
      <c r="A650" s="1" t="n"/>
      <c r="B650" s="30" t="n">
        <v>46179</v>
      </c>
      <c r="C650" s="31" t="n">
        <v>0.4027777777777778</v>
      </c>
      <c r="D650" s="32" t="inlineStr">
        <is>
          <t>Dan Owens</t>
        </is>
      </c>
      <c r="E650" s="32" t="inlineStr">
        <is>
          <t>Men's haircut</t>
        </is>
      </c>
      <c r="F650" s="33" t="inlineStr">
        <is>
          <t>Done</t>
        </is>
      </c>
      <c r="G650" s="27">
        <f>IF(E650="","",MAX(0,IFERROR(INDEX(Services!$C$6:$C$35,MATCH(E650,Services!$B$6:$B$35,0)),0)-N(H650)))</f>
        <v/>
      </c>
      <c r="H650" s="34" t="n"/>
      <c r="I650" s="34" t="n">
        <v>30</v>
      </c>
      <c r="J650" s="33" t="inlineStr">
        <is>
          <t>Cash</t>
        </is>
      </c>
      <c r="K650" s="28">
        <f>IF(OR(B650="",F650&lt;&gt;"Done",J650="Package"),"",IF(N(G650)-N(I650)&gt;0,N(G650)-N(I650),""))</f>
        <v/>
      </c>
      <c r="L650" s="32" t="n"/>
      <c r="M650" s="1">
        <f>IF(OR(B650="",D650="",F650="Cancelled"),"",B650+N(C650)+ROW()/10000000)</f>
        <v/>
      </c>
      <c r="N650">
        <f>IF(AND(F650="Done",M650&lt;&gt;""),IF(COUNTIFS(Appointments!$D$6:$D$2005,D650,Appointments!$F$6:$F$2005,"Done",Appointments!$M$6:$M$2005,"&gt;"&amp;M650)=0,1,0),0)</f>
        <v/>
      </c>
      <c r="O650">
        <f>IF(AND(F650="Booked",M650&lt;&gt;"",N(B650)&gt;=TODAY()),IF(COUNTIFS(Appointments!$D$6:$D$2005,D650,Appointments!$F$6:$F$2005,"Booked",Appointments!$B$6:$B$2005,"&gt;="&amp;TODAY(),Appointments!$M$6:$M$2005,"&lt;"&amp;M650)=0,1,0),0)</f>
        <v/>
      </c>
    </row>
    <row r="651">
      <c r="A651" s="1" t="n"/>
      <c r="B651" s="30" t="n">
        <v>46179</v>
      </c>
      <c r="C651" s="31" t="n">
        <v>0.4305555555555556</v>
      </c>
      <c r="D651" s="32" t="inlineStr">
        <is>
          <t>Harry Cox</t>
        </is>
      </c>
      <c r="E651" s="32" t="inlineStr">
        <is>
          <t>Men's haircut</t>
        </is>
      </c>
      <c r="F651" s="33" t="inlineStr">
        <is>
          <t>Done</t>
        </is>
      </c>
      <c r="G651" s="27">
        <f>IF(E651="","",MAX(0,IFERROR(INDEX(Services!$C$6:$C$35,MATCH(E651,Services!$B$6:$B$35,0)),0)-N(H651)))</f>
        <v/>
      </c>
      <c r="H651" s="34" t="n"/>
      <c r="I651" s="34" t="n">
        <v>30</v>
      </c>
      <c r="J651" s="33" t="inlineStr">
        <is>
          <t>Card</t>
        </is>
      </c>
      <c r="K651" s="28">
        <f>IF(OR(B651="",F651&lt;&gt;"Done",J651="Package"),"",IF(N(G651)-N(I651)&gt;0,N(G651)-N(I651),""))</f>
        <v/>
      </c>
      <c r="L651" s="32" t="n"/>
      <c r="M651" s="1">
        <f>IF(OR(B651="",D651="",F651="Cancelled"),"",B651+N(C651)+ROW()/10000000)</f>
        <v/>
      </c>
      <c r="N651">
        <f>IF(AND(F651="Done",M651&lt;&gt;""),IF(COUNTIFS(Appointments!$D$6:$D$2005,D651,Appointments!$F$6:$F$2005,"Done",Appointments!$M$6:$M$2005,"&gt;"&amp;M651)=0,1,0),0)</f>
        <v/>
      </c>
      <c r="O651">
        <f>IF(AND(F651="Booked",M651&lt;&gt;"",N(B651)&gt;=TODAY()),IF(COUNTIFS(Appointments!$D$6:$D$2005,D651,Appointments!$F$6:$F$2005,"Booked",Appointments!$B$6:$B$2005,"&gt;="&amp;TODAY(),Appointments!$M$6:$M$2005,"&lt;"&amp;M651)=0,1,0),0)</f>
        <v/>
      </c>
    </row>
    <row r="652">
      <c r="A652" s="1" t="n"/>
      <c r="B652" s="30" t="n">
        <v>46179</v>
      </c>
      <c r="C652" s="31" t="n">
        <v>0.4583333333333333</v>
      </c>
      <c r="D652" s="32" t="inlineStr">
        <is>
          <t>Lily Lewis</t>
        </is>
      </c>
      <c r="E652" s="32" t="inlineStr">
        <is>
          <t>Women's haircut</t>
        </is>
      </c>
      <c r="F652" s="33" t="inlineStr">
        <is>
          <t>Done</t>
        </is>
      </c>
      <c r="G652" s="27">
        <f>IF(E652="","",MAX(0,IFERROR(INDEX(Services!$C$6:$C$35,MATCH(E652,Services!$B$6:$B$35,0)),0)-N(H652)))</f>
        <v/>
      </c>
      <c r="H652" s="34" t="n"/>
      <c r="I652" s="34" t="n">
        <v>55</v>
      </c>
      <c r="J652" s="33" t="inlineStr">
        <is>
          <t>Card</t>
        </is>
      </c>
      <c r="K652" s="28">
        <f>IF(OR(B652="",F652&lt;&gt;"Done",J652="Package"),"",IF(N(G652)-N(I652)&gt;0,N(G652)-N(I652),""))</f>
        <v/>
      </c>
      <c r="L652" s="32" t="n"/>
      <c r="M652" s="1">
        <f>IF(OR(B652="",D652="",F652="Cancelled"),"",B652+N(C652)+ROW()/10000000)</f>
        <v/>
      </c>
      <c r="N652">
        <f>IF(AND(F652="Done",M652&lt;&gt;""),IF(COUNTIFS(Appointments!$D$6:$D$2005,D652,Appointments!$F$6:$F$2005,"Done",Appointments!$M$6:$M$2005,"&gt;"&amp;M652)=0,1,0),0)</f>
        <v/>
      </c>
      <c r="O652">
        <f>IF(AND(F652="Booked",M652&lt;&gt;"",N(B652)&gt;=TODAY()),IF(COUNTIFS(Appointments!$D$6:$D$2005,D652,Appointments!$F$6:$F$2005,"Booked",Appointments!$B$6:$B$2005,"&gt;="&amp;TODAY(),Appointments!$M$6:$M$2005,"&lt;"&amp;M652)=0,1,0),0)</f>
        <v/>
      </c>
    </row>
    <row r="653">
      <c r="A653" s="1" t="n"/>
      <c r="B653" s="30" t="n">
        <v>46179</v>
      </c>
      <c r="C653" s="31" t="n">
        <v>0.5069444444444444</v>
      </c>
      <c r="D653" s="32" t="inlineStr">
        <is>
          <t>Rosa Diaz</t>
        </is>
      </c>
      <c r="E653" s="32" t="inlineStr">
        <is>
          <t>Colour</t>
        </is>
      </c>
      <c r="F653" s="33" t="inlineStr">
        <is>
          <t>Done</t>
        </is>
      </c>
      <c r="G653" s="27">
        <f>IF(E653="","",MAX(0,IFERROR(INDEX(Services!$C$6:$C$35,MATCH(E653,Services!$B$6:$B$35,0)),0)-N(H653)))</f>
        <v/>
      </c>
      <c r="H653" s="34" t="n"/>
      <c r="I653" s="34" t="n">
        <v>95</v>
      </c>
      <c r="J653" s="33" t="inlineStr">
        <is>
          <t>Card</t>
        </is>
      </c>
      <c r="K653" s="28">
        <f>IF(OR(B653="",F653&lt;&gt;"Done",J653="Package"),"",IF(N(G653)-N(I653)&gt;0,N(G653)-N(I653),""))</f>
        <v/>
      </c>
      <c r="L653" s="32" t="n"/>
      <c r="M653" s="1">
        <f>IF(OR(B653="",D653="",F653="Cancelled"),"",B653+N(C653)+ROW()/10000000)</f>
        <v/>
      </c>
      <c r="N653">
        <f>IF(AND(F653="Done",M653&lt;&gt;""),IF(COUNTIFS(Appointments!$D$6:$D$2005,D653,Appointments!$F$6:$F$2005,"Done",Appointments!$M$6:$M$2005,"&gt;"&amp;M653)=0,1,0),0)</f>
        <v/>
      </c>
      <c r="O653">
        <f>IF(AND(F653="Booked",M653&lt;&gt;"",N(B653)&gt;=TODAY()),IF(COUNTIFS(Appointments!$D$6:$D$2005,D653,Appointments!$F$6:$F$2005,"Booked",Appointments!$B$6:$B$2005,"&gt;="&amp;TODAY(),Appointments!$M$6:$M$2005,"&lt;"&amp;M653)=0,1,0),0)</f>
        <v/>
      </c>
    </row>
    <row r="654">
      <c r="A654" s="1" t="n"/>
      <c r="B654" s="30" t="n">
        <v>46179</v>
      </c>
      <c r="C654" s="31" t="n">
        <v>0.5972222222222222</v>
      </c>
      <c r="D654" s="32" t="inlineStr">
        <is>
          <t>Ruby Webb</t>
        </is>
      </c>
      <c r="E654" s="32" t="inlineStr">
        <is>
          <t>Treatment</t>
        </is>
      </c>
      <c r="F654" s="33" t="inlineStr">
        <is>
          <t>Done</t>
        </is>
      </c>
      <c r="G654" s="27">
        <f>IF(E654="","",MAX(0,IFERROR(INDEX(Services!$C$6:$C$35,MATCH(E654,Services!$B$6:$B$35,0)),0)-N(H654)))</f>
        <v/>
      </c>
      <c r="H654" s="34" t="n"/>
      <c r="I654" s="34" t="n">
        <v>30</v>
      </c>
      <c r="J654" s="33" t="inlineStr">
        <is>
          <t>Card</t>
        </is>
      </c>
      <c r="K654" s="28">
        <f>IF(OR(B654="",F654&lt;&gt;"Done",J654="Package"),"",IF(N(G654)-N(I654)&gt;0,N(G654)-N(I654),""))</f>
        <v/>
      </c>
      <c r="L654" s="32" t="n"/>
      <c r="M654" s="1">
        <f>IF(OR(B654="",D654="",F654="Cancelled"),"",B654+N(C654)+ROW()/10000000)</f>
        <v/>
      </c>
      <c r="N654">
        <f>IF(AND(F654="Done",M654&lt;&gt;""),IF(COUNTIFS(Appointments!$D$6:$D$2005,D654,Appointments!$F$6:$F$2005,"Done",Appointments!$M$6:$M$2005,"&gt;"&amp;M654)=0,1,0),0)</f>
        <v/>
      </c>
      <c r="O654">
        <f>IF(AND(F654="Booked",M654&lt;&gt;"",N(B654)&gt;=TODAY()),IF(COUNTIFS(Appointments!$D$6:$D$2005,D654,Appointments!$F$6:$F$2005,"Booked",Appointments!$B$6:$B$2005,"&gt;="&amp;TODAY(),Appointments!$M$6:$M$2005,"&lt;"&amp;M654)=0,1,0),0)</f>
        <v/>
      </c>
    </row>
    <row r="655">
      <c r="A655" s="1" t="n"/>
      <c r="B655" s="30" t="n">
        <v>46179</v>
      </c>
      <c r="C655" s="31" t="n">
        <v>0.625</v>
      </c>
      <c r="D655" s="32" t="inlineStr">
        <is>
          <t>Sophie Stone</t>
        </is>
      </c>
      <c r="E655" s="32" t="inlineStr">
        <is>
          <t>Blow dry</t>
        </is>
      </c>
      <c r="F655" s="33" t="inlineStr">
        <is>
          <t>Done</t>
        </is>
      </c>
      <c r="G655" s="27">
        <f>IF(E655="","",MAX(0,IFERROR(INDEX(Services!$C$6:$C$35,MATCH(E655,Services!$B$6:$B$35,0)),0)-N(H655)))</f>
        <v/>
      </c>
      <c r="H655" s="34" t="n"/>
      <c r="I655" s="34" t="n">
        <v>35</v>
      </c>
      <c r="J655" s="33" t="inlineStr">
        <is>
          <t>Card</t>
        </is>
      </c>
      <c r="K655" s="28">
        <f>IF(OR(B655="",F655&lt;&gt;"Done",J655="Package"),"",IF(N(G655)-N(I655)&gt;0,N(G655)-N(I655),""))</f>
        <v/>
      </c>
      <c r="L655" s="32" t="n"/>
      <c r="M655" s="1">
        <f>IF(OR(B655="",D655="",F655="Cancelled"),"",B655+N(C655)+ROW()/10000000)</f>
        <v/>
      </c>
      <c r="N655">
        <f>IF(AND(F655="Done",M655&lt;&gt;""),IF(COUNTIFS(Appointments!$D$6:$D$2005,D655,Appointments!$F$6:$F$2005,"Done",Appointments!$M$6:$M$2005,"&gt;"&amp;M655)=0,1,0),0)</f>
        <v/>
      </c>
      <c r="O655">
        <f>IF(AND(F655="Booked",M655&lt;&gt;"",N(B655)&gt;=TODAY()),IF(COUNTIFS(Appointments!$D$6:$D$2005,D655,Appointments!$F$6:$F$2005,"Booked",Appointments!$B$6:$B$2005,"&gt;="&amp;TODAY(),Appointments!$M$6:$M$2005,"&lt;"&amp;M655)=0,1,0),0)</f>
        <v/>
      </c>
    </row>
    <row r="656">
      <c r="A656" s="1" t="n"/>
      <c r="B656" s="30" t="n">
        <v>46182</v>
      </c>
      <c r="C656" s="31" t="n">
        <v>0.375</v>
      </c>
      <c r="D656" s="32" t="inlineStr">
        <is>
          <t>Grace Lee</t>
        </is>
      </c>
      <c r="E656" s="32" t="inlineStr">
        <is>
          <t>Women's haircut</t>
        </is>
      </c>
      <c r="F656" s="33" t="inlineStr">
        <is>
          <t>Done</t>
        </is>
      </c>
      <c r="G656" s="27">
        <f>IF(E656="","",MAX(0,IFERROR(INDEX(Services!$C$6:$C$35,MATCH(E656,Services!$B$6:$B$35,0)),0)-N(H656)))</f>
        <v/>
      </c>
      <c r="H656" s="34" t="n"/>
      <c r="I656" s="34" t="n">
        <v>55</v>
      </c>
      <c r="J656" s="33" t="inlineStr">
        <is>
          <t>Card</t>
        </is>
      </c>
      <c r="K656" s="28">
        <f>IF(OR(B656="",F656&lt;&gt;"Done",J656="Package"),"",IF(N(G656)-N(I656)&gt;0,N(G656)-N(I656),""))</f>
        <v/>
      </c>
      <c r="L656" s="32" t="n"/>
      <c r="M656" s="1">
        <f>IF(OR(B656="",D656="",F656="Cancelled"),"",B656+N(C656)+ROW()/10000000)</f>
        <v/>
      </c>
      <c r="N656">
        <f>IF(AND(F656="Done",M656&lt;&gt;""),IF(COUNTIFS(Appointments!$D$6:$D$2005,D656,Appointments!$F$6:$F$2005,"Done",Appointments!$M$6:$M$2005,"&gt;"&amp;M656)=0,1,0),0)</f>
        <v/>
      </c>
      <c r="O656">
        <f>IF(AND(F656="Booked",M656&lt;&gt;"",N(B656)&gt;=TODAY()),IF(COUNTIFS(Appointments!$D$6:$D$2005,D656,Appointments!$F$6:$F$2005,"Booked",Appointments!$B$6:$B$2005,"&gt;="&amp;TODAY(),Appointments!$M$6:$M$2005,"&lt;"&amp;M656)=0,1,0),0)</f>
        <v/>
      </c>
    </row>
    <row r="657">
      <c r="A657" s="1" t="n"/>
      <c r="B657" s="30" t="n">
        <v>46182</v>
      </c>
      <c r="C657" s="31" t="n">
        <v>0.4236111111111111</v>
      </c>
      <c r="D657" s="32" t="inlineStr">
        <is>
          <t>Harry Ellis</t>
        </is>
      </c>
      <c r="E657" s="32" t="inlineStr">
        <is>
          <t>Men's haircut</t>
        </is>
      </c>
      <c r="F657" s="33" t="inlineStr">
        <is>
          <t>Done</t>
        </is>
      </c>
      <c r="G657" s="27">
        <f>IF(E657="","",MAX(0,IFERROR(INDEX(Services!$C$6:$C$35,MATCH(E657,Services!$B$6:$B$35,0)),0)-N(H657)))</f>
        <v/>
      </c>
      <c r="H657" s="34" t="n"/>
      <c r="I657" s="34" t="n">
        <v>30</v>
      </c>
      <c r="J657" s="33" t="inlineStr">
        <is>
          <t>Transfer</t>
        </is>
      </c>
      <c r="K657" s="28">
        <f>IF(OR(B657="",F657&lt;&gt;"Done",J657="Package"),"",IF(N(G657)-N(I657)&gt;0,N(G657)-N(I657),""))</f>
        <v/>
      </c>
      <c r="L657" s="32" t="n"/>
      <c r="M657" s="1">
        <f>IF(OR(B657="",D657="",F657="Cancelled"),"",B657+N(C657)+ROW()/10000000)</f>
        <v/>
      </c>
      <c r="N657">
        <f>IF(AND(F657="Done",M657&lt;&gt;""),IF(COUNTIFS(Appointments!$D$6:$D$2005,D657,Appointments!$F$6:$F$2005,"Done",Appointments!$M$6:$M$2005,"&gt;"&amp;M657)=0,1,0),0)</f>
        <v/>
      </c>
      <c r="O657">
        <f>IF(AND(F657="Booked",M657&lt;&gt;"",N(B657)&gt;=TODAY()),IF(COUNTIFS(Appointments!$D$6:$D$2005,D657,Appointments!$F$6:$F$2005,"Booked",Appointments!$B$6:$B$2005,"&gt;="&amp;TODAY(),Appointments!$M$6:$M$2005,"&lt;"&amp;M657)=0,1,0),0)</f>
        <v/>
      </c>
    </row>
    <row r="658">
      <c r="A658" s="1" t="n"/>
      <c r="B658" s="30" t="n">
        <v>46182</v>
      </c>
      <c r="C658" s="31" t="n">
        <v>0.4513888888888889</v>
      </c>
      <c r="D658" s="32" t="inlineStr">
        <is>
          <t>Julia Hughes</t>
        </is>
      </c>
      <c r="E658" s="32" t="inlineStr">
        <is>
          <t>Women's haircut</t>
        </is>
      </c>
      <c r="F658" s="33" t="inlineStr">
        <is>
          <t>Done</t>
        </is>
      </c>
      <c r="G658" s="27">
        <f>IF(E658="","",MAX(0,IFERROR(INDEX(Services!$C$6:$C$35,MATCH(E658,Services!$B$6:$B$35,0)),0)-N(H658)))</f>
        <v/>
      </c>
      <c r="H658" s="34" t="n"/>
      <c r="I658" s="34" t="n">
        <v>55</v>
      </c>
      <c r="J658" s="33" t="inlineStr">
        <is>
          <t>Cash</t>
        </is>
      </c>
      <c r="K658" s="28">
        <f>IF(OR(B658="",F658&lt;&gt;"Done",J658="Package"),"",IF(N(G658)-N(I658)&gt;0,N(G658)-N(I658),""))</f>
        <v/>
      </c>
      <c r="L658" s="32" t="n"/>
      <c r="M658" s="1">
        <f>IF(OR(B658="",D658="",F658="Cancelled"),"",B658+N(C658)+ROW()/10000000)</f>
        <v/>
      </c>
      <c r="N658">
        <f>IF(AND(F658="Done",M658&lt;&gt;""),IF(COUNTIFS(Appointments!$D$6:$D$2005,D658,Appointments!$F$6:$F$2005,"Done",Appointments!$M$6:$M$2005,"&gt;"&amp;M658)=0,1,0),0)</f>
        <v/>
      </c>
      <c r="O658">
        <f>IF(AND(F658="Booked",M658&lt;&gt;"",N(B658)&gt;=TODAY()),IF(COUNTIFS(Appointments!$D$6:$D$2005,D658,Appointments!$F$6:$F$2005,"Booked",Appointments!$B$6:$B$2005,"&gt;="&amp;TODAY(),Appointments!$M$6:$M$2005,"&lt;"&amp;M658)=0,1,0),0)</f>
        <v/>
      </c>
    </row>
    <row r="659">
      <c r="A659" s="1" t="n"/>
      <c r="B659" s="30" t="n">
        <v>46182</v>
      </c>
      <c r="C659" s="31" t="n">
        <v>0.5</v>
      </c>
      <c r="D659" s="32" t="inlineStr">
        <is>
          <t>Luke Hall</t>
        </is>
      </c>
      <c r="E659" s="32" t="inlineStr">
        <is>
          <t>Men's haircut</t>
        </is>
      </c>
      <c r="F659" s="33" t="inlineStr">
        <is>
          <t>Done</t>
        </is>
      </c>
      <c r="G659" s="27">
        <f>IF(E659="","",MAX(0,IFERROR(INDEX(Services!$C$6:$C$35,MATCH(E659,Services!$B$6:$B$35,0)),0)-N(H659)))</f>
        <v/>
      </c>
      <c r="H659" s="34" t="n"/>
      <c r="I659" s="34" t="n">
        <v>30</v>
      </c>
      <c r="J659" s="33" t="inlineStr">
        <is>
          <t>Card</t>
        </is>
      </c>
      <c r="K659" s="28">
        <f>IF(OR(B659="",F659&lt;&gt;"Done",J659="Package"),"",IF(N(G659)-N(I659)&gt;0,N(G659)-N(I659),""))</f>
        <v/>
      </c>
      <c r="L659" s="32" t="n"/>
      <c r="M659" s="1">
        <f>IF(OR(B659="",D659="",F659="Cancelled"),"",B659+N(C659)+ROW()/10000000)</f>
        <v/>
      </c>
      <c r="N659">
        <f>IF(AND(F659="Done",M659&lt;&gt;""),IF(COUNTIFS(Appointments!$D$6:$D$2005,D659,Appointments!$F$6:$F$2005,"Done",Appointments!$M$6:$M$2005,"&gt;"&amp;M659)=0,1,0),0)</f>
        <v/>
      </c>
      <c r="O659">
        <f>IF(AND(F659="Booked",M659&lt;&gt;"",N(B659)&gt;=TODAY()),IF(COUNTIFS(Appointments!$D$6:$D$2005,D659,Appointments!$F$6:$F$2005,"Booked",Appointments!$B$6:$B$2005,"&gt;="&amp;TODAY(),Appointments!$M$6:$M$2005,"&lt;"&amp;M659)=0,1,0),0)</f>
        <v/>
      </c>
    </row>
    <row r="660">
      <c r="A660" s="1" t="n"/>
      <c r="B660" s="30" t="n">
        <v>46182</v>
      </c>
      <c r="C660" s="31" t="n">
        <v>0.5277777777777778</v>
      </c>
      <c r="D660" s="32" t="inlineStr">
        <is>
          <t>Maya Patel</t>
        </is>
      </c>
      <c r="E660" s="32" t="inlineStr">
        <is>
          <t>Treatment</t>
        </is>
      </c>
      <c r="F660" s="33" t="inlineStr">
        <is>
          <t>Done</t>
        </is>
      </c>
      <c r="G660" s="27">
        <f>IF(E660="","",MAX(0,IFERROR(INDEX(Services!$C$6:$C$35,MATCH(E660,Services!$B$6:$B$35,0)),0)-N(H660)))</f>
        <v/>
      </c>
      <c r="H660" s="34" t="n"/>
      <c r="I660" s="34" t="n"/>
      <c r="J660" s="33" t="inlineStr">
        <is>
          <t>Package</t>
        </is>
      </c>
      <c r="K660" s="28">
        <f>IF(OR(B660="",F660&lt;&gt;"Done",J660="Package"),"",IF(N(G660)-N(I660)&gt;0,N(G660)-N(I660),""))</f>
        <v/>
      </c>
      <c r="L660" s="32" t="n"/>
      <c r="M660" s="1">
        <f>IF(OR(B660="",D660="",F660="Cancelled"),"",B660+N(C660)+ROW()/10000000)</f>
        <v/>
      </c>
      <c r="N660">
        <f>IF(AND(F660="Done",M660&lt;&gt;""),IF(COUNTIFS(Appointments!$D$6:$D$2005,D660,Appointments!$F$6:$F$2005,"Done",Appointments!$M$6:$M$2005,"&gt;"&amp;M660)=0,1,0),0)</f>
        <v/>
      </c>
      <c r="O660">
        <f>IF(AND(F660="Booked",M660&lt;&gt;"",N(B660)&gt;=TODAY()),IF(COUNTIFS(Appointments!$D$6:$D$2005,D660,Appointments!$F$6:$F$2005,"Booked",Appointments!$B$6:$B$2005,"&gt;="&amp;TODAY(),Appointments!$M$6:$M$2005,"&lt;"&amp;M660)=0,1,0),0)</f>
        <v/>
      </c>
    </row>
    <row r="661">
      <c r="A661" s="1" t="n"/>
      <c r="B661" s="30" t="n">
        <v>46182</v>
      </c>
      <c r="C661" s="31" t="n">
        <v>0.5555555555555556</v>
      </c>
      <c r="D661" s="32" t="inlineStr">
        <is>
          <t>Ryan Webb</t>
        </is>
      </c>
      <c r="E661" s="32" t="inlineStr">
        <is>
          <t>Men's haircut</t>
        </is>
      </c>
      <c r="F661" s="33" t="inlineStr">
        <is>
          <t>Done</t>
        </is>
      </c>
      <c r="G661" s="27">
        <f>IF(E661="","",MAX(0,IFERROR(INDEX(Services!$C$6:$C$35,MATCH(E661,Services!$B$6:$B$35,0)),0)-N(H661)))</f>
        <v/>
      </c>
      <c r="H661" s="34" t="n"/>
      <c r="I661" s="34" t="n">
        <v>30</v>
      </c>
      <c r="J661" s="33" t="inlineStr">
        <is>
          <t>Card</t>
        </is>
      </c>
      <c r="K661" s="28">
        <f>IF(OR(B661="",F661&lt;&gt;"Done",J661="Package"),"",IF(N(G661)-N(I661)&gt;0,N(G661)-N(I661),""))</f>
        <v/>
      </c>
      <c r="L661" s="32" t="n"/>
      <c r="M661" s="1">
        <f>IF(OR(B661="",D661="",F661="Cancelled"),"",B661+N(C661)+ROW()/10000000)</f>
        <v/>
      </c>
      <c r="N661">
        <f>IF(AND(F661="Done",M661&lt;&gt;""),IF(COUNTIFS(Appointments!$D$6:$D$2005,D661,Appointments!$F$6:$F$2005,"Done",Appointments!$M$6:$M$2005,"&gt;"&amp;M661)=0,1,0),0)</f>
        <v/>
      </c>
      <c r="O661">
        <f>IF(AND(F661="Booked",M661&lt;&gt;"",N(B661)&gt;=TODAY()),IF(COUNTIFS(Appointments!$D$6:$D$2005,D661,Appointments!$F$6:$F$2005,"Booked",Appointments!$B$6:$B$2005,"&gt;="&amp;TODAY(),Appointments!$M$6:$M$2005,"&lt;"&amp;M661)=0,1,0),0)</f>
        <v/>
      </c>
    </row>
    <row r="662">
      <c r="A662" s="1" t="n"/>
      <c r="B662" s="30" t="n">
        <v>46182</v>
      </c>
      <c r="C662" s="31" t="n">
        <v>0.5833333333333334</v>
      </c>
      <c r="D662" s="32" t="inlineStr">
        <is>
          <t>Sophie Ellis</t>
        </is>
      </c>
      <c r="E662" s="32" t="inlineStr">
        <is>
          <t>Women's haircut</t>
        </is>
      </c>
      <c r="F662" s="33" t="inlineStr">
        <is>
          <t>Done</t>
        </is>
      </c>
      <c r="G662" s="27">
        <f>IF(E662="","",MAX(0,IFERROR(INDEX(Services!$C$6:$C$35,MATCH(E662,Services!$B$6:$B$35,0)),0)-N(H662)))</f>
        <v/>
      </c>
      <c r="H662" s="34" t="n"/>
      <c r="I662" s="34" t="n">
        <v>55</v>
      </c>
      <c r="J662" s="33" t="inlineStr">
        <is>
          <t>Cash</t>
        </is>
      </c>
      <c r="K662" s="28">
        <f>IF(OR(B662="",F662&lt;&gt;"Done",J662="Package"),"",IF(N(G662)-N(I662)&gt;0,N(G662)-N(I662),""))</f>
        <v/>
      </c>
      <c r="L662" s="32" t="n"/>
      <c r="M662" s="1">
        <f>IF(OR(B662="",D662="",F662="Cancelled"),"",B662+N(C662)+ROW()/10000000)</f>
        <v/>
      </c>
      <c r="N662">
        <f>IF(AND(F662="Done",M662&lt;&gt;""),IF(COUNTIFS(Appointments!$D$6:$D$2005,D662,Appointments!$F$6:$F$2005,"Done",Appointments!$M$6:$M$2005,"&gt;"&amp;M662)=0,1,0),0)</f>
        <v/>
      </c>
      <c r="O662">
        <f>IF(AND(F662="Booked",M662&lt;&gt;"",N(B662)&gt;=TODAY()),IF(COUNTIFS(Appointments!$D$6:$D$2005,D662,Appointments!$F$6:$F$2005,"Booked",Appointments!$B$6:$B$2005,"&gt;="&amp;TODAY(),Appointments!$M$6:$M$2005,"&lt;"&amp;M662)=0,1,0),0)</f>
        <v/>
      </c>
    </row>
    <row r="663">
      <c r="A663" s="1" t="n"/>
      <c r="B663" s="30" t="n">
        <v>46183</v>
      </c>
      <c r="C663" s="31" t="n">
        <v>0.375</v>
      </c>
      <c r="D663" s="32" t="inlineStr">
        <is>
          <t>Sara Reed</t>
        </is>
      </c>
      <c r="E663" s="32" t="inlineStr">
        <is>
          <t>Women's haircut</t>
        </is>
      </c>
      <c r="F663" s="33" t="inlineStr">
        <is>
          <t>Done</t>
        </is>
      </c>
      <c r="G663" s="27">
        <f>IF(E663="","",MAX(0,IFERROR(INDEX(Services!$C$6:$C$35,MATCH(E663,Services!$B$6:$B$35,0)),0)-N(H663)))</f>
        <v/>
      </c>
      <c r="H663" s="34" t="n"/>
      <c r="I663" s="34" t="n">
        <v>55</v>
      </c>
      <c r="J663" s="33" t="inlineStr">
        <is>
          <t>Card</t>
        </is>
      </c>
      <c r="K663" s="28">
        <f>IF(OR(B663="",F663&lt;&gt;"Done",J663="Package"),"",IF(N(G663)-N(I663)&gt;0,N(G663)-N(I663),""))</f>
        <v/>
      </c>
      <c r="L663" s="32" t="n"/>
      <c r="M663" s="1">
        <f>IF(OR(B663="",D663="",F663="Cancelled"),"",B663+N(C663)+ROW()/10000000)</f>
        <v/>
      </c>
      <c r="N663">
        <f>IF(AND(F663="Done",M663&lt;&gt;""),IF(COUNTIFS(Appointments!$D$6:$D$2005,D663,Appointments!$F$6:$F$2005,"Done",Appointments!$M$6:$M$2005,"&gt;"&amp;M663)=0,1,0),0)</f>
        <v/>
      </c>
      <c r="O663">
        <f>IF(AND(F663="Booked",M663&lt;&gt;"",N(B663)&gt;=TODAY()),IF(COUNTIFS(Appointments!$D$6:$D$2005,D663,Appointments!$F$6:$F$2005,"Booked",Appointments!$B$6:$B$2005,"&gt;="&amp;TODAY(),Appointments!$M$6:$M$2005,"&lt;"&amp;M663)=0,1,0),0)</f>
        <v/>
      </c>
    </row>
    <row r="664">
      <c r="A664" s="1" t="n"/>
      <c r="B664" s="30" t="n">
        <v>46183</v>
      </c>
      <c r="C664" s="31" t="n">
        <v>0.4236111111111111</v>
      </c>
      <c r="D664" s="32" t="inlineStr">
        <is>
          <t>Sophie Cox</t>
        </is>
      </c>
      <c r="E664" s="32" t="inlineStr">
        <is>
          <t>Blow dry</t>
        </is>
      </c>
      <c r="F664" s="33" t="inlineStr">
        <is>
          <t>Done</t>
        </is>
      </c>
      <c r="G664" s="27">
        <f>IF(E664="","",MAX(0,IFERROR(INDEX(Services!$C$6:$C$35,MATCH(E664,Services!$B$6:$B$35,0)),0)-N(H664)))</f>
        <v/>
      </c>
      <c r="H664" s="34" t="n"/>
      <c r="I664" s="34" t="n">
        <v>35</v>
      </c>
      <c r="J664" s="33" t="inlineStr">
        <is>
          <t>Transfer</t>
        </is>
      </c>
      <c r="K664" s="28">
        <f>IF(OR(B664="",F664&lt;&gt;"Done",J664="Package"),"",IF(N(G664)-N(I664)&gt;0,N(G664)-N(I664),""))</f>
        <v/>
      </c>
      <c r="L664" s="32" t="n"/>
      <c r="M664" s="1">
        <f>IF(OR(B664="",D664="",F664="Cancelled"),"",B664+N(C664)+ROW()/10000000)</f>
        <v/>
      </c>
      <c r="N664">
        <f>IF(AND(F664="Done",M664&lt;&gt;""),IF(COUNTIFS(Appointments!$D$6:$D$2005,D664,Appointments!$F$6:$F$2005,"Done",Appointments!$M$6:$M$2005,"&gt;"&amp;M664)=0,1,0),0)</f>
        <v/>
      </c>
      <c r="O664">
        <f>IF(AND(F664="Booked",M664&lt;&gt;"",N(B664)&gt;=TODAY()),IF(COUNTIFS(Appointments!$D$6:$D$2005,D664,Appointments!$F$6:$F$2005,"Booked",Appointments!$B$6:$B$2005,"&gt;="&amp;TODAY(),Appointments!$M$6:$M$2005,"&lt;"&amp;M664)=0,1,0),0)</f>
        <v/>
      </c>
    </row>
    <row r="665">
      <c r="A665" s="1" t="n"/>
      <c r="B665" s="30" t="n">
        <v>46183</v>
      </c>
      <c r="C665" s="31" t="n">
        <v>0.4618055555555556</v>
      </c>
      <c r="D665" s="32" t="inlineStr">
        <is>
          <t>Tina Cook</t>
        </is>
      </c>
      <c r="E665" s="32" t="inlineStr">
        <is>
          <t>Blow dry</t>
        </is>
      </c>
      <c r="F665" s="33" t="inlineStr">
        <is>
          <t>Done</t>
        </is>
      </c>
      <c r="G665" s="27">
        <f>IF(E665="","",MAX(0,IFERROR(INDEX(Services!$C$6:$C$35,MATCH(E665,Services!$B$6:$B$35,0)),0)-N(H665)))</f>
        <v/>
      </c>
      <c r="H665" s="34" t="n"/>
      <c r="I665" s="34" t="n">
        <v>35</v>
      </c>
      <c r="J665" s="33" t="inlineStr">
        <is>
          <t>Card</t>
        </is>
      </c>
      <c r="K665" s="28">
        <f>IF(OR(B665="",F665&lt;&gt;"Done",J665="Package"),"",IF(N(G665)-N(I665)&gt;0,N(G665)-N(I665),""))</f>
        <v/>
      </c>
      <c r="L665" s="32" t="n"/>
      <c r="M665" s="1">
        <f>IF(OR(B665="",D665="",F665="Cancelled"),"",B665+N(C665)+ROW()/10000000)</f>
        <v/>
      </c>
      <c r="N665">
        <f>IF(AND(F665="Done",M665&lt;&gt;""),IF(COUNTIFS(Appointments!$D$6:$D$2005,D665,Appointments!$F$6:$F$2005,"Done",Appointments!$M$6:$M$2005,"&gt;"&amp;M665)=0,1,0),0)</f>
        <v/>
      </c>
      <c r="O665">
        <f>IF(AND(F665="Booked",M665&lt;&gt;"",N(B665)&gt;=TODAY()),IF(COUNTIFS(Appointments!$D$6:$D$2005,D665,Appointments!$F$6:$F$2005,"Booked",Appointments!$B$6:$B$2005,"&gt;="&amp;TODAY(),Appointments!$M$6:$M$2005,"&lt;"&amp;M665)=0,1,0),0)</f>
        <v/>
      </c>
    </row>
    <row r="666">
      <c r="A666" s="1" t="n"/>
      <c r="B666" s="30" t="n">
        <v>46184</v>
      </c>
      <c r="C666" s="31" t="n">
        <v>0.375</v>
      </c>
      <c r="D666" s="32" t="inlineStr">
        <is>
          <t>Hannah Hughes</t>
        </is>
      </c>
      <c r="E666" s="32" t="inlineStr">
        <is>
          <t>Women's haircut</t>
        </is>
      </c>
      <c r="F666" s="33" t="inlineStr">
        <is>
          <t>No-show</t>
        </is>
      </c>
      <c r="G666" s="27">
        <f>IF(E666="","",MAX(0,IFERROR(INDEX(Services!$C$6:$C$35,MATCH(E666,Services!$B$6:$B$35,0)),0)-N(H666)))</f>
        <v/>
      </c>
      <c r="H666" s="34" t="n"/>
      <c r="I666" s="34" t="n"/>
      <c r="J666" s="33" t="n"/>
      <c r="K666" s="28">
        <f>IF(OR(B666="",F666&lt;&gt;"Done",J666="Package"),"",IF(N(G666)-N(I666)&gt;0,N(G666)-N(I666),""))</f>
        <v/>
      </c>
      <c r="L666" s="32" t="n"/>
      <c r="M666" s="1">
        <f>IF(OR(B666="",D666="",F666="Cancelled"),"",B666+N(C666)+ROW()/10000000)</f>
        <v/>
      </c>
      <c r="N666">
        <f>IF(AND(F666="Done",M666&lt;&gt;""),IF(COUNTIFS(Appointments!$D$6:$D$2005,D666,Appointments!$F$6:$F$2005,"Done",Appointments!$M$6:$M$2005,"&gt;"&amp;M666)=0,1,0),0)</f>
        <v/>
      </c>
      <c r="O666">
        <f>IF(AND(F666="Booked",M666&lt;&gt;"",N(B666)&gt;=TODAY()),IF(COUNTIFS(Appointments!$D$6:$D$2005,D666,Appointments!$F$6:$F$2005,"Booked",Appointments!$B$6:$B$2005,"&gt;="&amp;TODAY(),Appointments!$M$6:$M$2005,"&lt;"&amp;M666)=0,1,0),0)</f>
        <v/>
      </c>
    </row>
    <row r="667">
      <c r="A667" s="1" t="n"/>
      <c r="B667" s="30" t="n">
        <v>46184</v>
      </c>
      <c r="C667" s="31" t="n">
        <v>0.4236111111111111</v>
      </c>
      <c r="D667" s="32" t="inlineStr">
        <is>
          <t>Hugo Silva</t>
        </is>
      </c>
      <c r="E667" s="32" t="inlineStr">
        <is>
          <t>Men's haircut</t>
        </is>
      </c>
      <c r="F667" s="33" t="inlineStr">
        <is>
          <t>Done</t>
        </is>
      </c>
      <c r="G667" s="27">
        <f>IF(E667="","",MAX(0,IFERROR(INDEX(Services!$C$6:$C$35,MATCH(E667,Services!$B$6:$B$35,0)),0)-N(H667)))</f>
        <v/>
      </c>
      <c r="H667" s="34" t="n"/>
      <c r="I667" s="34" t="n">
        <v>30</v>
      </c>
      <c r="J667" s="33" t="inlineStr">
        <is>
          <t>Card</t>
        </is>
      </c>
      <c r="K667" s="28">
        <f>IF(OR(B667="",F667&lt;&gt;"Done",J667="Package"),"",IF(N(G667)-N(I667)&gt;0,N(G667)-N(I667),""))</f>
        <v/>
      </c>
      <c r="L667" s="32" t="n"/>
      <c r="M667" s="1">
        <f>IF(OR(B667="",D667="",F667="Cancelled"),"",B667+N(C667)+ROW()/10000000)</f>
        <v/>
      </c>
      <c r="N667">
        <f>IF(AND(F667="Done",M667&lt;&gt;""),IF(COUNTIFS(Appointments!$D$6:$D$2005,D667,Appointments!$F$6:$F$2005,"Done",Appointments!$M$6:$M$2005,"&gt;"&amp;M667)=0,1,0),0)</f>
        <v/>
      </c>
      <c r="O667">
        <f>IF(AND(F667="Booked",M667&lt;&gt;"",N(B667)&gt;=TODAY()),IF(COUNTIFS(Appointments!$D$6:$D$2005,D667,Appointments!$F$6:$F$2005,"Booked",Appointments!$B$6:$B$2005,"&gt;="&amp;TODAY(),Appointments!$M$6:$M$2005,"&lt;"&amp;M667)=0,1,0),0)</f>
        <v/>
      </c>
    </row>
    <row r="668">
      <c r="A668" s="1" t="n"/>
      <c r="B668" s="30" t="n">
        <v>46184</v>
      </c>
      <c r="C668" s="31" t="n">
        <v>0.4513888888888889</v>
      </c>
      <c r="D668" s="32" t="inlineStr">
        <is>
          <t>Ian Bell</t>
        </is>
      </c>
      <c r="E668" s="32" t="inlineStr">
        <is>
          <t>Men's haircut</t>
        </is>
      </c>
      <c r="F668" s="33" t="inlineStr">
        <is>
          <t>Done</t>
        </is>
      </c>
      <c r="G668" s="27">
        <f>IF(E668="","",MAX(0,IFERROR(INDEX(Services!$C$6:$C$35,MATCH(E668,Services!$B$6:$B$35,0)),0)-N(H668)))</f>
        <v/>
      </c>
      <c r="H668" s="34" t="n"/>
      <c r="I668" s="34" t="n">
        <v>30</v>
      </c>
      <c r="J668" s="33" t="inlineStr">
        <is>
          <t>Cash</t>
        </is>
      </c>
      <c r="K668" s="28">
        <f>IF(OR(B668="",F668&lt;&gt;"Done",J668="Package"),"",IF(N(G668)-N(I668)&gt;0,N(G668)-N(I668),""))</f>
        <v/>
      </c>
      <c r="L668" s="32" t="n"/>
      <c r="M668" s="1">
        <f>IF(OR(B668="",D668="",F668="Cancelled"),"",B668+N(C668)+ROW()/10000000)</f>
        <v/>
      </c>
      <c r="N668">
        <f>IF(AND(F668="Done",M668&lt;&gt;""),IF(COUNTIFS(Appointments!$D$6:$D$2005,D668,Appointments!$F$6:$F$2005,"Done",Appointments!$M$6:$M$2005,"&gt;"&amp;M668)=0,1,0),0)</f>
        <v/>
      </c>
      <c r="O668">
        <f>IF(AND(F668="Booked",M668&lt;&gt;"",N(B668)&gt;=TODAY()),IF(COUNTIFS(Appointments!$D$6:$D$2005,D668,Appointments!$F$6:$F$2005,"Booked",Appointments!$B$6:$B$2005,"&gt;="&amp;TODAY(),Appointments!$M$6:$M$2005,"&lt;"&amp;M668)=0,1,0),0)</f>
        <v/>
      </c>
    </row>
    <row r="669">
      <c r="A669" s="1" t="n"/>
      <c r="B669" s="30" t="n">
        <v>46184</v>
      </c>
      <c r="C669" s="31" t="n">
        <v>0.4791666666666667</v>
      </c>
      <c r="D669" s="32" t="inlineStr">
        <is>
          <t>Ian Hall</t>
        </is>
      </c>
      <c r="E669" s="32" t="inlineStr">
        <is>
          <t>Men's haircut</t>
        </is>
      </c>
      <c r="F669" s="33" t="inlineStr">
        <is>
          <t>Done</t>
        </is>
      </c>
      <c r="G669" s="27">
        <f>IF(E669="","",MAX(0,IFERROR(INDEX(Services!$C$6:$C$35,MATCH(E669,Services!$B$6:$B$35,0)),0)-N(H669)))</f>
        <v/>
      </c>
      <c r="H669" s="34" t="n"/>
      <c r="I669" s="34" t="n">
        <v>30</v>
      </c>
      <c r="J669" s="33" t="inlineStr">
        <is>
          <t>Card</t>
        </is>
      </c>
      <c r="K669" s="28">
        <f>IF(OR(B669="",F669&lt;&gt;"Done",J669="Package"),"",IF(N(G669)-N(I669)&gt;0,N(G669)-N(I669),""))</f>
        <v/>
      </c>
      <c r="L669" s="32" t="n"/>
      <c r="M669" s="1">
        <f>IF(OR(B669="",D669="",F669="Cancelled"),"",B669+N(C669)+ROW()/10000000)</f>
        <v/>
      </c>
      <c r="N669">
        <f>IF(AND(F669="Done",M669&lt;&gt;""),IF(COUNTIFS(Appointments!$D$6:$D$2005,D669,Appointments!$F$6:$F$2005,"Done",Appointments!$M$6:$M$2005,"&gt;"&amp;M669)=0,1,0),0)</f>
        <v/>
      </c>
      <c r="O669">
        <f>IF(AND(F669="Booked",M669&lt;&gt;"",N(B669)&gt;=TODAY()),IF(COUNTIFS(Appointments!$D$6:$D$2005,D669,Appointments!$F$6:$F$2005,"Booked",Appointments!$B$6:$B$2005,"&gt;="&amp;TODAY(),Appointments!$M$6:$M$2005,"&lt;"&amp;M669)=0,1,0),0)</f>
        <v/>
      </c>
    </row>
    <row r="670">
      <c r="A670" s="1" t="n"/>
      <c r="B670" s="30" t="n">
        <v>46184</v>
      </c>
      <c r="C670" s="31" t="n">
        <v>0.5069444444444444</v>
      </c>
      <c r="D670" s="32" t="inlineStr">
        <is>
          <t>Matt Ellis</t>
        </is>
      </c>
      <c r="E670" s="32" t="inlineStr">
        <is>
          <t>Men's haircut</t>
        </is>
      </c>
      <c r="F670" s="33" t="inlineStr">
        <is>
          <t>Done</t>
        </is>
      </c>
      <c r="G670" s="27">
        <f>IF(E670="","",MAX(0,IFERROR(INDEX(Services!$C$6:$C$35,MATCH(E670,Services!$B$6:$B$35,0)),0)-N(H670)))</f>
        <v/>
      </c>
      <c r="H670" s="34" t="n"/>
      <c r="I670" s="34" t="n">
        <v>30</v>
      </c>
      <c r="J670" s="33" t="inlineStr">
        <is>
          <t>Card</t>
        </is>
      </c>
      <c r="K670" s="28">
        <f>IF(OR(B670="",F670&lt;&gt;"Done",J670="Package"),"",IF(N(G670)-N(I670)&gt;0,N(G670)-N(I670),""))</f>
        <v/>
      </c>
      <c r="L670" s="32" t="n"/>
      <c r="M670" s="1">
        <f>IF(OR(B670="",D670="",F670="Cancelled"),"",B670+N(C670)+ROW()/10000000)</f>
        <v/>
      </c>
      <c r="N670">
        <f>IF(AND(F670="Done",M670&lt;&gt;""),IF(COUNTIFS(Appointments!$D$6:$D$2005,D670,Appointments!$F$6:$F$2005,"Done",Appointments!$M$6:$M$2005,"&gt;"&amp;M670)=0,1,0),0)</f>
        <v/>
      </c>
      <c r="O670">
        <f>IF(AND(F670="Booked",M670&lt;&gt;"",N(B670)&gt;=TODAY()),IF(COUNTIFS(Appointments!$D$6:$D$2005,D670,Appointments!$F$6:$F$2005,"Booked",Appointments!$B$6:$B$2005,"&gt;="&amp;TODAY(),Appointments!$M$6:$M$2005,"&lt;"&amp;M670)=0,1,0),0)</f>
        <v/>
      </c>
    </row>
    <row r="671">
      <c r="A671" s="1" t="n"/>
      <c r="B671" s="30" t="n">
        <v>46184</v>
      </c>
      <c r="C671" s="31" t="n">
        <v>0.5347222222222222</v>
      </c>
      <c r="D671" s="32" t="inlineStr">
        <is>
          <t>Sam Clarke</t>
        </is>
      </c>
      <c r="E671" s="32" t="inlineStr">
        <is>
          <t>Men's haircut</t>
        </is>
      </c>
      <c r="F671" s="33" t="inlineStr">
        <is>
          <t>Done</t>
        </is>
      </c>
      <c r="G671" s="27">
        <f>IF(E671="","",MAX(0,IFERROR(INDEX(Services!$C$6:$C$35,MATCH(E671,Services!$B$6:$B$35,0)),0)-N(H671)))</f>
        <v/>
      </c>
      <c r="H671" s="34" t="n"/>
      <c r="I671" s="34" t="n">
        <v>30</v>
      </c>
      <c r="J671" s="33" t="inlineStr">
        <is>
          <t>App</t>
        </is>
      </c>
      <c r="K671" s="28">
        <f>IF(OR(B671="",F671&lt;&gt;"Done",J671="Package"),"",IF(N(G671)-N(I671)&gt;0,N(G671)-N(I671),""))</f>
        <v/>
      </c>
      <c r="L671" s="32" t="n"/>
      <c r="M671" s="1">
        <f>IF(OR(B671="",D671="",F671="Cancelled"),"",B671+N(C671)+ROW()/10000000)</f>
        <v/>
      </c>
      <c r="N671">
        <f>IF(AND(F671="Done",M671&lt;&gt;""),IF(COUNTIFS(Appointments!$D$6:$D$2005,D671,Appointments!$F$6:$F$2005,"Done",Appointments!$M$6:$M$2005,"&gt;"&amp;M671)=0,1,0),0)</f>
        <v/>
      </c>
      <c r="O671">
        <f>IF(AND(F671="Booked",M671&lt;&gt;"",N(B671)&gt;=TODAY()),IF(COUNTIFS(Appointments!$D$6:$D$2005,D671,Appointments!$F$6:$F$2005,"Booked",Appointments!$B$6:$B$2005,"&gt;="&amp;TODAY(),Appointments!$M$6:$M$2005,"&lt;"&amp;M671)=0,1,0),0)</f>
        <v/>
      </c>
    </row>
    <row r="672">
      <c r="A672" s="1" t="n"/>
      <c r="B672" s="30" t="n">
        <v>46185</v>
      </c>
      <c r="C672" s="31" t="n">
        <v>0.375</v>
      </c>
      <c r="D672" s="32" t="inlineStr">
        <is>
          <t>Ryan Adams</t>
        </is>
      </c>
      <c r="E672" s="32" t="inlineStr">
        <is>
          <t>Men's haircut</t>
        </is>
      </c>
      <c r="F672" s="33" t="inlineStr">
        <is>
          <t>Done</t>
        </is>
      </c>
      <c r="G672" s="27">
        <f>IF(E672="","",MAX(0,IFERROR(INDEX(Services!$C$6:$C$35,MATCH(E672,Services!$B$6:$B$35,0)),0)-N(H672)))</f>
        <v/>
      </c>
      <c r="H672" s="34" t="n"/>
      <c r="I672" s="34" t="n">
        <v>30</v>
      </c>
      <c r="J672" s="33" t="inlineStr">
        <is>
          <t>Cash</t>
        </is>
      </c>
      <c r="K672" s="28">
        <f>IF(OR(B672="",F672&lt;&gt;"Done",J672="Package"),"",IF(N(G672)-N(I672)&gt;0,N(G672)-N(I672),""))</f>
        <v/>
      </c>
      <c r="L672" s="32" t="n"/>
      <c r="M672" s="1">
        <f>IF(OR(B672="",D672="",F672="Cancelled"),"",B672+N(C672)+ROW()/10000000)</f>
        <v/>
      </c>
      <c r="N672">
        <f>IF(AND(F672="Done",M672&lt;&gt;""),IF(COUNTIFS(Appointments!$D$6:$D$2005,D672,Appointments!$F$6:$F$2005,"Done",Appointments!$M$6:$M$2005,"&gt;"&amp;M672)=0,1,0),0)</f>
        <v/>
      </c>
      <c r="O672">
        <f>IF(AND(F672="Booked",M672&lt;&gt;"",N(B672)&gt;=TODAY()),IF(COUNTIFS(Appointments!$D$6:$D$2005,D672,Appointments!$F$6:$F$2005,"Booked",Appointments!$B$6:$B$2005,"&gt;="&amp;TODAY(),Appointments!$M$6:$M$2005,"&lt;"&amp;M672)=0,1,0),0)</f>
        <v/>
      </c>
    </row>
    <row r="673">
      <c r="A673" s="1" t="n"/>
      <c r="B673" s="30" t="n">
        <v>46185</v>
      </c>
      <c r="C673" s="31" t="n">
        <v>0.4027777777777778</v>
      </c>
      <c r="D673" s="32" t="inlineStr">
        <is>
          <t>Sara Hughes</t>
        </is>
      </c>
      <c r="E673" s="32" t="inlineStr">
        <is>
          <t>Highlights</t>
        </is>
      </c>
      <c r="F673" s="33" t="inlineStr">
        <is>
          <t>Done</t>
        </is>
      </c>
      <c r="G673" s="27">
        <f>IF(E673="","",MAX(0,IFERROR(INDEX(Services!$C$6:$C$35,MATCH(E673,Services!$B$6:$B$35,0)),0)-N(H673)))</f>
        <v/>
      </c>
      <c r="H673" s="34" t="n"/>
      <c r="I673" s="34" t="n">
        <v>140</v>
      </c>
      <c r="J673" s="33" t="inlineStr">
        <is>
          <t>Cash</t>
        </is>
      </c>
      <c r="K673" s="28">
        <f>IF(OR(B673="",F673&lt;&gt;"Done",J673="Package"),"",IF(N(G673)-N(I673)&gt;0,N(G673)-N(I673),""))</f>
        <v/>
      </c>
      <c r="L673" s="32" t="n"/>
      <c r="M673" s="1">
        <f>IF(OR(B673="",D673="",F673="Cancelled"),"",B673+N(C673)+ROW()/10000000)</f>
        <v/>
      </c>
      <c r="N673">
        <f>IF(AND(F673="Done",M673&lt;&gt;""),IF(COUNTIFS(Appointments!$D$6:$D$2005,D673,Appointments!$F$6:$F$2005,"Done",Appointments!$M$6:$M$2005,"&gt;"&amp;M673)=0,1,0),0)</f>
        <v/>
      </c>
      <c r="O673">
        <f>IF(AND(F673="Booked",M673&lt;&gt;"",N(B673)&gt;=TODAY()),IF(COUNTIFS(Appointments!$D$6:$D$2005,D673,Appointments!$F$6:$F$2005,"Booked",Appointments!$B$6:$B$2005,"&gt;="&amp;TODAY(),Appointments!$M$6:$M$2005,"&lt;"&amp;M673)=0,1,0),0)</f>
        <v/>
      </c>
    </row>
    <row r="674">
      <c r="A674" s="1" t="n"/>
      <c r="B674" s="30" t="n">
        <v>46185</v>
      </c>
      <c r="C674" s="31" t="n">
        <v>0.5138888888888888</v>
      </c>
      <c r="D674" s="32" t="inlineStr">
        <is>
          <t>Tina Walsh</t>
        </is>
      </c>
      <c r="E674" s="32" t="inlineStr">
        <is>
          <t>Blow dry</t>
        </is>
      </c>
      <c r="F674" s="33" t="inlineStr">
        <is>
          <t>Done</t>
        </is>
      </c>
      <c r="G674" s="27">
        <f>IF(E674="","",MAX(0,IFERROR(INDEX(Services!$C$6:$C$35,MATCH(E674,Services!$B$6:$B$35,0)),0)-N(H674)))</f>
        <v/>
      </c>
      <c r="H674" s="34" t="n"/>
      <c r="I674" s="34" t="n">
        <v>35</v>
      </c>
      <c r="J674" s="33" t="inlineStr">
        <is>
          <t>Card</t>
        </is>
      </c>
      <c r="K674" s="28">
        <f>IF(OR(B674="",F674&lt;&gt;"Done",J674="Package"),"",IF(N(G674)-N(I674)&gt;0,N(G674)-N(I674),""))</f>
        <v/>
      </c>
      <c r="L674" s="32" t="n"/>
      <c r="M674" s="1">
        <f>IF(OR(B674="",D674="",F674="Cancelled"),"",B674+N(C674)+ROW()/10000000)</f>
        <v/>
      </c>
      <c r="N674">
        <f>IF(AND(F674="Done",M674&lt;&gt;""),IF(COUNTIFS(Appointments!$D$6:$D$2005,D674,Appointments!$F$6:$F$2005,"Done",Appointments!$M$6:$M$2005,"&gt;"&amp;M674)=0,1,0),0)</f>
        <v/>
      </c>
      <c r="O674">
        <f>IF(AND(F674="Booked",M674&lt;&gt;"",N(B674)&gt;=TODAY()),IF(COUNTIFS(Appointments!$D$6:$D$2005,D674,Appointments!$F$6:$F$2005,"Booked",Appointments!$B$6:$B$2005,"&gt;="&amp;TODAY(),Appointments!$M$6:$M$2005,"&lt;"&amp;M674)=0,1,0),0)</f>
        <v/>
      </c>
    </row>
    <row r="675">
      <c r="A675" s="1" t="n"/>
      <c r="B675" s="30" t="n">
        <v>46186</v>
      </c>
      <c r="C675" s="31" t="n">
        <v>0.375</v>
      </c>
      <c r="D675" s="32" t="inlineStr">
        <is>
          <t>Ben Carter</t>
        </is>
      </c>
      <c r="E675" s="32" t="inlineStr">
        <is>
          <t>Men's haircut</t>
        </is>
      </c>
      <c r="F675" s="33" t="inlineStr">
        <is>
          <t>No-show</t>
        </is>
      </c>
      <c r="G675" s="27">
        <f>IF(E675="","",MAX(0,IFERROR(INDEX(Services!$C$6:$C$35,MATCH(E675,Services!$B$6:$B$35,0)),0)-N(H675)))</f>
        <v/>
      </c>
      <c r="H675" s="34" t="n"/>
      <c r="I675" s="34" t="n"/>
      <c r="J675" s="33" t="n"/>
      <c r="K675" s="28">
        <f>IF(OR(B675="",F675&lt;&gt;"Done",J675="Package"),"",IF(N(G675)-N(I675)&gt;0,N(G675)-N(I675),""))</f>
        <v/>
      </c>
      <c r="L675" s="32" t="n"/>
      <c r="M675" s="1">
        <f>IF(OR(B675="",D675="",F675="Cancelled"),"",B675+N(C675)+ROW()/10000000)</f>
        <v/>
      </c>
      <c r="N675">
        <f>IF(AND(F675="Done",M675&lt;&gt;""),IF(COUNTIFS(Appointments!$D$6:$D$2005,D675,Appointments!$F$6:$F$2005,"Done",Appointments!$M$6:$M$2005,"&gt;"&amp;M675)=0,1,0),0)</f>
        <v/>
      </c>
      <c r="O675">
        <f>IF(AND(F675="Booked",M675&lt;&gt;"",N(B675)&gt;=TODAY()),IF(COUNTIFS(Appointments!$D$6:$D$2005,D675,Appointments!$F$6:$F$2005,"Booked",Appointments!$B$6:$B$2005,"&gt;="&amp;TODAY(),Appointments!$M$6:$M$2005,"&lt;"&amp;M675)=0,1,0),0)</f>
        <v/>
      </c>
    </row>
    <row r="676">
      <c r="A676" s="1" t="n"/>
      <c r="B676" s="30" t="n">
        <v>46186</v>
      </c>
      <c r="C676" s="31" t="n">
        <v>0.4027777777777778</v>
      </c>
      <c r="D676" s="32" t="inlineStr">
        <is>
          <t>Dina Baker</t>
        </is>
      </c>
      <c r="E676" s="32" t="inlineStr">
        <is>
          <t>Colour</t>
        </is>
      </c>
      <c r="F676" s="33" t="inlineStr">
        <is>
          <t>No-show</t>
        </is>
      </c>
      <c r="G676" s="27">
        <f>IF(E676="","",MAX(0,IFERROR(INDEX(Services!$C$6:$C$35,MATCH(E676,Services!$B$6:$B$35,0)),0)-N(H676)))</f>
        <v/>
      </c>
      <c r="H676" s="34" t="n"/>
      <c r="I676" s="34" t="n"/>
      <c r="J676" s="33" t="n"/>
      <c r="K676" s="28">
        <f>IF(OR(B676="",F676&lt;&gt;"Done",J676="Package"),"",IF(N(G676)-N(I676)&gt;0,N(G676)-N(I676),""))</f>
        <v/>
      </c>
      <c r="L676" s="32" t="n"/>
      <c r="M676" s="1">
        <f>IF(OR(B676="",D676="",F676="Cancelled"),"",B676+N(C676)+ROW()/10000000)</f>
        <v/>
      </c>
      <c r="N676">
        <f>IF(AND(F676="Done",M676&lt;&gt;""),IF(COUNTIFS(Appointments!$D$6:$D$2005,D676,Appointments!$F$6:$F$2005,"Done",Appointments!$M$6:$M$2005,"&gt;"&amp;M676)=0,1,0),0)</f>
        <v/>
      </c>
      <c r="O676">
        <f>IF(AND(F676="Booked",M676&lt;&gt;"",N(B676)&gt;=TODAY()),IF(COUNTIFS(Appointments!$D$6:$D$2005,D676,Appointments!$F$6:$F$2005,"Booked",Appointments!$B$6:$B$2005,"&gt;="&amp;TODAY(),Appointments!$M$6:$M$2005,"&lt;"&amp;M676)=0,1,0),0)</f>
        <v/>
      </c>
    </row>
    <row r="677">
      <c r="A677" s="1" t="n"/>
      <c r="B677" s="30" t="n">
        <v>46186</v>
      </c>
      <c r="C677" s="31" t="n">
        <v>0.4930555555555556</v>
      </c>
      <c r="D677" s="32" t="inlineStr">
        <is>
          <t>Eli Hughes</t>
        </is>
      </c>
      <c r="E677" s="32" t="inlineStr">
        <is>
          <t>Men's haircut</t>
        </is>
      </c>
      <c r="F677" s="33" t="inlineStr">
        <is>
          <t>Done</t>
        </is>
      </c>
      <c r="G677" s="27">
        <f>IF(E677="","",MAX(0,IFERROR(INDEX(Services!$C$6:$C$35,MATCH(E677,Services!$B$6:$B$35,0)),0)-N(H677)))</f>
        <v/>
      </c>
      <c r="H677" s="34" t="n"/>
      <c r="I677" s="34" t="n">
        <v>30</v>
      </c>
      <c r="J677" s="33" t="inlineStr">
        <is>
          <t>Cash</t>
        </is>
      </c>
      <c r="K677" s="28">
        <f>IF(OR(B677="",F677&lt;&gt;"Done",J677="Package"),"",IF(N(G677)-N(I677)&gt;0,N(G677)-N(I677),""))</f>
        <v/>
      </c>
      <c r="L677" s="32" t="n"/>
      <c r="M677" s="1">
        <f>IF(OR(B677="",D677="",F677="Cancelled"),"",B677+N(C677)+ROW()/10000000)</f>
        <v/>
      </c>
      <c r="N677">
        <f>IF(AND(F677="Done",M677&lt;&gt;""),IF(COUNTIFS(Appointments!$D$6:$D$2005,D677,Appointments!$F$6:$F$2005,"Done",Appointments!$M$6:$M$2005,"&gt;"&amp;M677)=0,1,0),0)</f>
        <v/>
      </c>
      <c r="O677">
        <f>IF(AND(F677="Booked",M677&lt;&gt;"",N(B677)&gt;=TODAY()),IF(COUNTIFS(Appointments!$D$6:$D$2005,D677,Appointments!$F$6:$F$2005,"Booked",Appointments!$B$6:$B$2005,"&gt;="&amp;TODAY(),Appointments!$M$6:$M$2005,"&lt;"&amp;M677)=0,1,0),0)</f>
        <v/>
      </c>
    </row>
    <row r="678">
      <c r="A678" s="1" t="n"/>
      <c r="B678" s="30" t="n">
        <v>46186</v>
      </c>
      <c r="C678" s="31" t="n">
        <v>0.5208333333333334</v>
      </c>
      <c r="D678" s="32" t="inlineStr">
        <is>
          <t>Iris West</t>
        </is>
      </c>
      <c r="E678" s="32" t="inlineStr">
        <is>
          <t>Colour</t>
        </is>
      </c>
      <c r="F678" s="33" t="inlineStr">
        <is>
          <t>No-show</t>
        </is>
      </c>
      <c r="G678" s="27">
        <f>IF(E678="","",MAX(0,IFERROR(INDEX(Services!$C$6:$C$35,MATCH(E678,Services!$B$6:$B$35,0)),0)-N(H678)))</f>
        <v/>
      </c>
      <c r="H678" s="34" t="n"/>
      <c r="I678" s="34" t="n"/>
      <c r="J678" s="33" t="n"/>
      <c r="K678" s="28">
        <f>IF(OR(B678="",F678&lt;&gt;"Done",J678="Package"),"",IF(N(G678)-N(I678)&gt;0,N(G678)-N(I678),""))</f>
        <v/>
      </c>
      <c r="L678" s="32" t="n"/>
      <c r="M678" s="1">
        <f>IF(OR(B678="",D678="",F678="Cancelled"),"",B678+N(C678)+ROW()/10000000)</f>
        <v/>
      </c>
      <c r="N678">
        <f>IF(AND(F678="Done",M678&lt;&gt;""),IF(COUNTIFS(Appointments!$D$6:$D$2005,D678,Appointments!$F$6:$F$2005,"Done",Appointments!$M$6:$M$2005,"&gt;"&amp;M678)=0,1,0),0)</f>
        <v/>
      </c>
      <c r="O678">
        <f>IF(AND(F678="Booked",M678&lt;&gt;"",N(B678)&gt;=TODAY()),IF(COUNTIFS(Appointments!$D$6:$D$2005,D678,Appointments!$F$6:$F$2005,"Booked",Appointments!$B$6:$B$2005,"&gt;="&amp;TODAY(),Appointments!$M$6:$M$2005,"&lt;"&amp;M678)=0,1,0),0)</f>
        <v/>
      </c>
    </row>
    <row r="679">
      <c r="A679" s="1" t="n"/>
      <c r="B679" s="30" t="n">
        <v>46186</v>
      </c>
      <c r="C679" s="31" t="n">
        <v>0.6111111111111112</v>
      </c>
      <c r="D679" s="32" t="inlineStr">
        <is>
          <t>Luke Lewis</t>
        </is>
      </c>
      <c r="E679" s="32" t="inlineStr">
        <is>
          <t>Men's haircut</t>
        </is>
      </c>
      <c r="F679" s="33" t="inlineStr">
        <is>
          <t>Done</t>
        </is>
      </c>
      <c r="G679" s="27">
        <f>IF(E679="","",MAX(0,IFERROR(INDEX(Services!$C$6:$C$35,MATCH(E679,Services!$B$6:$B$35,0)),0)-N(H679)))</f>
        <v/>
      </c>
      <c r="H679" s="34" t="n"/>
      <c r="I679" s="34" t="n">
        <v>30</v>
      </c>
      <c r="J679" s="33" t="inlineStr">
        <is>
          <t>Card</t>
        </is>
      </c>
      <c r="K679" s="28">
        <f>IF(OR(B679="",F679&lt;&gt;"Done",J679="Package"),"",IF(N(G679)-N(I679)&gt;0,N(G679)-N(I679),""))</f>
        <v/>
      </c>
      <c r="L679" s="32" t="n"/>
      <c r="M679" s="1">
        <f>IF(OR(B679="",D679="",F679="Cancelled"),"",B679+N(C679)+ROW()/10000000)</f>
        <v/>
      </c>
      <c r="N679">
        <f>IF(AND(F679="Done",M679&lt;&gt;""),IF(COUNTIFS(Appointments!$D$6:$D$2005,D679,Appointments!$F$6:$F$2005,"Done",Appointments!$M$6:$M$2005,"&gt;"&amp;M679)=0,1,0),0)</f>
        <v/>
      </c>
      <c r="O679">
        <f>IF(AND(F679="Booked",M679&lt;&gt;"",N(B679)&gt;=TODAY()),IF(COUNTIFS(Appointments!$D$6:$D$2005,D679,Appointments!$F$6:$F$2005,"Booked",Appointments!$B$6:$B$2005,"&gt;="&amp;TODAY(),Appointments!$M$6:$M$2005,"&lt;"&amp;M679)=0,1,0),0)</f>
        <v/>
      </c>
    </row>
    <row r="680">
      <c r="A680" s="1" t="n"/>
      <c r="B680" s="30" t="n">
        <v>46186</v>
      </c>
      <c r="C680" s="31" t="n">
        <v>0.6388888888888888</v>
      </c>
      <c r="D680" s="32" t="inlineStr">
        <is>
          <t>Olivia Green</t>
        </is>
      </c>
      <c r="E680" s="32" t="inlineStr">
        <is>
          <t>Women's haircut</t>
        </is>
      </c>
      <c r="F680" s="33" t="inlineStr">
        <is>
          <t>Done</t>
        </is>
      </c>
      <c r="G680" s="27">
        <f>IF(E680="","",MAX(0,IFERROR(INDEX(Services!$C$6:$C$35,MATCH(E680,Services!$B$6:$B$35,0)),0)-N(H680)))</f>
        <v/>
      </c>
      <c r="H680" s="34" t="n"/>
      <c r="I680" s="34" t="n">
        <v>55</v>
      </c>
      <c r="J680" s="33" t="inlineStr">
        <is>
          <t>App</t>
        </is>
      </c>
      <c r="K680" s="28">
        <f>IF(OR(B680="",F680&lt;&gt;"Done",J680="Package"),"",IF(N(G680)-N(I680)&gt;0,N(G680)-N(I680),""))</f>
        <v/>
      </c>
      <c r="L680" s="32" t="n"/>
      <c r="M680" s="1">
        <f>IF(OR(B680="",D680="",F680="Cancelled"),"",B680+N(C680)+ROW()/10000000)</f>
        <v/>
      </c>
      <c r="N680">
        <f>IF(AND(F680="Done",M680&lt;&gt;""),IF(COUNTIFS(Appointments!$D$6:$D$2005,D680,Appointments!$F$6:$F$2005,"Done",Appointments!$M$6:$M$2005,"&gt;"&amp;M680)=0,1,0),0)</f>
        <v/>
      </c>
      <c r="O680">
        <f>IF(AND(F680="Booked",M680&lt;&gt;"",N(B680)&gt;=TODAY()),IF(COUNTIFS(Appointments!$D$6:$D$2005,D680,Appointments!$F$6:$F$2005,"Booked",Appointments!$B$6:$B$2005,"&gt;="&amp;TODAY(),Appointments!$M$6:$M$2005,"&lt;"&amp;M680)=0,1,0),0)</f>
        <v/>
      </c>
    </row>
    <row r="681">
      <c r="A681" s="1" t="n"/>
      <c r="B681" s="30" t="n">
        <v>46186</v>
      </c>
      <c r="C681" s="31" t="n">
        <v>0.6875</v>
      </c>
      <c r="D681" s="32" t="inlineStr">
        <is>
          <t>Tom Davies</t>
        </is>
      </c>
      <c r="E681" s="32" t="inlineStr">
        <is>
          <t>Men's haircut</t>
        </is>
      </c>
      <c r="F681" s="33" t="inlineStr">
        <is>
          <t>Done</t>
        </is>
      </c>
      <c r="G681" s="27">
        <f>IF(E681="","",MAX(0,IFERROR(INDEX(Services!$C$6:$C$35,MATCH(E681,Services!$B$6:$B$35,0)),0)-N(H681)))</f>
        <v/>
      </c>
      <c r="H681" s="34" t="n"/>
      <c r="I681" s="34" t="n">
        <v>30</v>
      </c>
      <c r="J681" s="33" t="inlineStr">
        <is>
          <t>Card</t>
        </is>
      </c>
      <c r="K681" s="28">
        <f>IF(OR(B681="",F681&lt;&gt;"Done",J681="Package"),"",IF(N(G681)-N(I681)&gt;0,N(G681)-N(I681),""))</f>
        <v/>
      </c>
      <c r="L681" s="32" t="n"/>
      <c r="M681" s="1">
        <f>IF(OR(B681="",D681="",F681="Cancelled"),"",B681+N(C681)+ROW()/10000000)</f>
        <v/>
      </c>
      <c r="N681">
        <f>IF(AND(F681="Done",M681&lt;&gt;""),IF(COUNTIFS(Appointments!$D$6:$D$2005,D681,Appointments!$F$6:$F$2005,"Done",Appointments!$M$6:$M$2005,"&gt;"&amp;M681)=0,1,0),0)</f>
        <v/>
      </c>
      <c r="O681">
        <f>IF(AND(F681="Booked",M681&lt;&gt;"",N(B681)&gt;=TODAY()),IF(COUNTIFS(Appointments!$D$6:$D$2005,D681,Appointments!$F$6:$F$2005,"Booked",Appointments!$B$6:$B$2005,"&gt;="&amp;TODAY(),Appointments!$M$6:$M$2005,"&lt;"&amp;M681)=0,1,0),0)</f>
        <v/>
      </c>
    </row>
    <row r="682">
      <c r="A682" s="1" t="n"/>
      <c r="B682" s="30" t="n">
        <v>46189</v>
      </c>
      <c r="C682" s="31" t="n">
        <v>0.375</v>
      </c>
      <c r="D682" s="32" t="inlineStr">
        <is>
          <t>Clara Morgan</t>
        </is>
      </c>
      <c r="E682" s="32" t="inlineStr">
        <is>
          <t>Colour</t>
        </is>
      </c>
      <c r="F682" s="33" t="inlineStr">
        <is>
          <t>Done</t>
        </is>
      </c>
      <c r="G682" s="27">
        <f>IF(E682="","",MAX(0,IFERROR(INDEX(Services!$C$6:$C$35,MATCH(E682,Services!$B$6:$B$35,0)),0)-N(H682)))</f>
        <v/>
      </c>
      <c r="H682" s="34" t="n"/>
      <c r="I682" s="34" t="n">
        <v>95</v>
      </c>
      <c r="J682" s="33" t="inlineStr">
        <is>
          <t>Card</t>
        </is>
      </c>
      <c r="K682" s="28">
        <f>IF(OR(B682="",F682&lt;&gt;"Done",J682="Package"),"",IF(N(G682)-N(I682)&gt;0,N(G682)-N(I682),""))</f>
        <v/>
      </c>
      <c r="L682" s="32" t="n"/>
      <c r="M682" s="1">
        <f>IF(OR(B682="",D682="",F682="Cancelled"),"",B682+N(C682)+ROW()/10000000)</f>
        <v/>
      </c>
      <c r="N682">
        <f>IF(AND(F682="Done",M682&lt;&gt;""),IF(COUNTIFS(Appointments!$D$6:$D$2005,D682,Appointments!$F$6:$F$2005,"Done",Appointments!$M$6:$M$2005,"&gt;"&amp;M682)=0,1,0),0)</f>
        <v/>
      </c>
      <c r="O682">
        <f>IF(AND(F682="Booked",M682&lt;&gt;"",N(B682)&gt;=TODAY()),IF(COUNTIFS(Appointments!$D$6:$D$2005,D682,Appointments!$F$6:$F$2005,"Booked",Appointments!$B$6:$B$2005,"&gt;="&amp;TODAY(),Appointments!$M$6:$M$2005,"&lt;"&amp;M682)=0,1,0),0)</f>
        <v/>
      </c>
    </row>
    <row r="683">
      <c r="A683" s="1" t="n"/>
      <c r="B683" s="30" t="n">
        <v>46189</v>
      </c>
      <c r="C683" s="31" t="n">
        <v>0.4652777777777778</v>
      </c>
      <c r="D683" s="32" t="inlineStr">
        <is>
          <t>Farah Ali</t>
        </is>
      </c>
      <c r="E683" s="32" t="inlineStr">
        <is>
          <t>Women's haircut</t>
        </is>
      </c>
      <c r="F683" s="33" t="inlineStr">
        <is>
          <t>Done</t>
        </is>
      </c>
      <c r="G683" s="27">
        <f>IF(E683="","",MAX(0,IFERROR(INDEX(Services!$C$6:$C$35,MATCH(E683,Services!$B$6:$B$35,0)),0)-N(H683)))</f>
        <v/>
      </c>
      <c r="H683" s="34" t="n"/>
      <c r="I683" s="34" t="n">
        <v>55</v>
      </c>
      <c r="J683" s="33" t="inlineStr">
        <is>
          <t>Card</t>
        </is>
      </c>
      <c r="K683" s="28">
        <f>IF(OR(B683="",F683&lt;&gt;"Done",J683="Package"),"",IF(N(G683)-N(I683)&gt;0,N(G683)-N(I683),""))</f>
        <v/>
      </c>
      <c r="L683" s="32" t="n"/>
      <c r="M683" s="1">
        <f>IF(OR(B683="",D683="",F683="Cancelled"),"",B683+N(C683)+ROW()/10000000)</f>
        <v/>
      </c>
      <c r="N683">
        <f>IF(AND(F683="Done",M683&lt;&gt;""),IF(COUNTIFS(Appointments!$D$6:$D$2005,D683,Appointments!$F$6:$F$2005,"Done",Appointments!$M$6:$M$2005,"&gt;"&amp;M683)=0,1,0),0)</f>
        <v/>
      </c>
      <c r="O683">
        <f>IF(AND(F683="Booked",M683&lt;&gt;"",N(B683)&gt;=TODAY()),IF(COUNTIFS(Appointments!$D$6:$D$2005,D683,Appointments!$F$6:$F$2005,"Booked",Appointments!$B$6:$B$2005,"&gt;="&amp;TODAY(),Appointments!$M$6:$M$2005,"&lt;"&amp;M683)=0,1,0),0)</f>
        <v/>
      </c>
    </row>
    <row r="684">
      <c r="A684" s="1" t="n"/>
      <c r="B684" s="30" t="n">
        <v>46189</v>
      </c>
      <c r="C684" s="31" t="n">
        <v>0.5138888888888888</v>
      </c>
      <c r="D684" s="32" t="inlineStr">
        <is>
          <t>Harry Adams</t>
        </is>
      </c>
      <c r="E684" s="32" t="inlineStr">
        <is>
          <t>Men's haircut</t>
        </is>
      </c>
      <c r="F684" s="33" t="inlineStr">
        <is>
          <t>Done</t>
        </is>
      </c>
      <c r="G684" s="27">
        <f>IF(E684="","",MAX(0,IFERROR(INDEX(Services!$C$6:$C$35,MATCH(E684,Services!$B$6:$B$35,0)),0)-N(H684)))</f>
        <v/>
      </c>
      <c r="H684" s="34" t="n"/>
      <c r="I684" s="34" t="n">
        <v>30</v>
      </c>
      <c r="J684" s="33" t="inlineStr">
        <is>
          <t>Card</t>
        </is>
      </c>
      <c r="K684" s="28">
        <f>IF(OR(B684="",F684&lt;&gt;"Done",J684="Package"),"",IF(N(G684)-N(I684)&gt;0,N(G684)-N(I684),""))</f>
        <v/>
      </c>
      <c r="L684" s="32" t="n"/>
      <c r="M684" s="1">
        <f>IF(OR(B684="",D684="",F684="Cancelled"),"",B684+N(C684)+ROW()/10000000)</f>
        <v/>
      </c>
      <c r="N684">
        <f>IF(AND(F684="Done",M684&lt;&gt;""),IF(COUNTIFS(Appointments!$D$6:$D$2005,D684,Appointments!$F$6:$F$2005,"Done",Appointments!$M$6:$M$2005,"&gt;"&amp;M684)=0,1,0),0)</f>
        <v/>
      </c>
      <c r="O684">
        <f>IF(AND(F684="Booked",M684&lt;&gt;"",N(B684)&gt;=TODAY()),IF(COUNTIFS(Appointments!$D$6:$D$2005,D684,Appointments!$F$6:$F$2005,"Booked",Appointments!$B$6:$B$2005,"&gt;="&amp;TODAY(),Appointments!$M$6:$M$2005,"&lt;"&amp;M684)=0,1,0),0)</f>
        <v/>
      </c>
    </row>
    <row r="685">
      <c r="A685" s="1" t="n"/>
      <c r="B685" s="30" t="n">
        <v>46189</v>
      </c>
      <c r="C685" s="31" t="n">
        <v>0.5416666666666666</v>
      </c>
      <c r="D685" s="32" t="inlineStr">
        <is>
          <t>Owen Lewis</t>
        </is>
      </c>
      <c r="E685" s="32" t="inlineStr">
        <is>
          <t>Men's haircut</t>
        </is>
      </c>
      <c r="F685" s="33" t="inlineStr">
        <is>
          <t>Done</t>
        </is>
      </c>
      <c r="G685" s="27">
        <f>IF(E685="","",MAX(0,IFERROR(INDEX(Services!$C$6:$C$35,MATCH(E685,Services!$B$6:$B$35,0)),0)-N(H685)))</f>
        <v/>
      </c>
      <c r="H685" s="34" t="n"/>
      <c r="I685" s="34" t="n">
        <v>30</v>
      </c>
      <c r="J685" s="33" t="inlineStr">
        <is>
          <t>Cash</t>
        </is>
      </c>
      <c r="K685" s="28">
        <f>IF(OR(B685="",F685&lt;&gt;"Done",J685="Package"),"",IF(N(G685)-N(I685)&gt;0,N(G685)-N(I685),""))</f>
        <v/>
      </c>
      <c r="L685" s="32" t="n"/>
      <c r="M685" s="1">
        <f>IF(OR(B685="",D685="",F685="Cancelled"),"",B685+N(C685)+ROW()/10000000)</f>
        <v/>
      </c>
      <c r="N685">
        <f>IF(AND(F685="Done",M685&lt;&gt;""),IF(COUNTIFS(Appointments!$D$6:$D$2005,D685,Appointments!$F$6:$F$2005,"Done",Appointments!$M$6:$M$2005,"&gt;"&amp;M685)=0,1,0),0)</f>
        <v/>
      </c>
      <c r="O685">
        <f>IF(AND(F685="Booked",M685&lt;&gt;"",N(B685)&gt;=TODAY()),IF(COUNTIFS(Appointments!$D$6:$D$2005,D685,Appointments!$F$6:$F$2005,"Booked",Appointments!$B$6:$B$2005,"&gt;="&amp;TODAY(),Appointments!$M$6:$M$2005,"&lt;"&amp;M685)=0,1,0),0)</f>
        <v/>
      </c>
    </row>
    <row r="686">
      <c r="A686" s="1" t="n"/>
      <c r="B686" s="30" t="n">
        <v>46189</v>
      </c>
      <c r="C686" s="31" t="n">
        <v>0.5694444444444444</v>
      </c>
      <c r="D686" s="32" t="inlineStr">
        <is>
          <t>Owen Morgan</t>
        </is>
      </c>
      <c r="E686" s="32" t="inlineStr">
        <is>
          <t>Men's haircut</t>
        </is>
      </c>
      <c r="F686" s="33" t="inlineStr">
        <is>
          <t>Done</t>
        </is>
      </c>
      <c r="G686" s="27">
        <f>IF(E686="","",MAX(0,IFERROR(INDEX(Services!$C$6:$C$35,MATCH(E686,Services!$B$6:$B$35,0)),0)-N(H686)))</f>
        <v/>
      </c>
      <c r="H686" s="34" t="n"/>
      <c r="I686" s="34" t="n">
        <v>30</v>
      </c>
      <c r="J686" s="33" t="inlineStr">
        <is>
          <t>Card</t>
        </is>
      </c>
      <c r="K686" s="28">
        <f>IF(OR(B686="",F686&lt;&gt;"Done",J686="Package"),"",IF(N(G686)-N(I686)&gt;0,N(G686)-N(I686),""))</f>
        <v/>
      </c>
      <c r="L686" s="32" t="n"/>
      <c r="M686" s="1">
        <f>IF(OR(B686="",D686="",F686="Cancelled"),"",B686+N(C686)+ROW()/10000000)</f>
        <v/>
      </c>
      <c r="N686">
        <f>IF(AND(F686="Done",M686&lt;&gt;""),IF(COUNTIFS(Appointments!$D$6:$D$2005,D686,Appointments!$F$6:$F$2005,"Done",Appointments!$M$6:$M$2005,"&gt;"&amp;M686)=0,1,0),0)</f>
        <v/>
      </c>
      <c r="O686">
        <f>IF(AND(F686="Booked",M686&lt;&gt;"",N(B686)&gt;=TODAY()),IF(COUNTIFS(Appointments!$D$6:$D$2005,D686,Appointments!$F$6:$F$2005,"Booked",Appointments!$B$6:$B$2005,"&gt;="&amp;TODAY(),Appointments!$M$6:$M$2005,"&lt;"&amp;M686)=0,1,0),0)</f>
        <v/>
      </c>
    </row>
    <row r="687">
      <c r="A687" s="1" t="n"/>
      <c r="B687" s="30" t="n">
        <v>46189</v>
      </c>
      <c r="C687" s="31" t="n">
        <v>0.5972222222222222</v>
      </c>
      <c r="D687" s="32" t="inlineStr">
        <is>
          <t>Paula Cook</t>
        </is>
      </c>
      <c r="E687" s="32" t="inlineStr">
        <is>
          <t>Blow dry</t>
        </is>
      </c>
      <c r="F687" s="33" t="inlineStr">
        <is>
          <t>Done</t>
        </is>
      </c>
      <c r="G687" s="27">
        <f>IF(E687="","",MAX(0,IFERROR(INDEX(Services!$C$6:$C$35,MATCH(E687,Services!$B$6:$B$35,0)),0)-N(H687)))</f>
        <v/>
      </c>
      <c r="H687" s="34" t="n"/>
      <c r="I687" s="34" t="n">
        <v>35</v>
      </c>
      <c r="J687" s="33" t="inlineStr">
        <is>
          <t>Cash</t>
        </is>
      </c>
      <c r="K687" s="28">
        <f>IF(OR(B687="",F687&lt;&gt;"Done",J687="Package"),"",IF(N(G687)-N(I687)&gt;0,N(G687)-N(I687),""))</f>
        <v/>
      </c>
      <c r="L687" s="32" t="n"/>
      <c r="M687" s="1">
        <f>IF(OR(B687="",D687="",F687="Cancelled"),"",B687+N(C687)+ROW()/10000000)</f>
        <v/>
      </c>
      <c r="N687">
        <f>IF(AND(F687="Done",M687&lt;&gt;""),IF(COUNTIFS(Appointments!$D$6:$D$2005,D687,Appointments!$F$6:$F$2005,"Done",Appointments!$M$6:$M$2005,"&gt;"&amp;M687)=0,1,0),0)</f>
        <v/>
      </c>
      <c r="O687">
        <f>IF(AND(F687="Booked",M687&lt;&gt;"",N(B687)&gt;=TODAY()),IF(COUNTIFS(Appointments!$D$6:$D$2005,D687,Appointments!$F$6:$F$2005,"Booked",Appointments!$B$6:$B$2005,"&gt;="&amp;TODAY(),Appointments!$M$6:$M$2005,"&lt;"&amp;M687)=0,1,0),0)</f>
        <v/>
      </c>
    </row>
    <row r="688">
      <c r="A688" s="1" t="n"/>
      <c r="B688" s="30" t="n">
        <v>46189</v>
      </c>
      <c r="C688" s="31" t="n">
        <v>0.6354166666666666</v>
      </c>
      <c r="D688" s="32" t="inlineStr">
        <is>
          <t>Sara Ward</t>
        </is>
      </c>
      <c r="E688" s="32" t="inlineStr">
        <is>
          <t>Women's haircut</t>
        </is>
      </c>
      <c r="F688" s="33" t="inlineStr">
        <is>
          <t>Done</t>
        </is>
      </c>
      <c r="G688" s="27">
        <f>IF(E688="","",MAX(0,IFERROR(INDEX(Services!$C$6:$C$35,MATCH(E688,Services!$B$6:$B$35,0)),0)-N(H688)))</f>
        <v/>
      </c>
      <c r="H688" s="34" t="n"/>
      <c r="I688" s="34" t="n">
        <v>55</v>
      </c>
      <c r="J688" s="33" t="inlineStr">
        <is>
          <t>Transfer</t>
        </is>
      </c>
      <c r="K688" s="28">
        <f>IF(OR(B688="",F688&lt;&gt;"Done",J688="Package"),"",IF(N(G688)-N(I688)&gt;0,N(G688)-N(I688),""))</f>
        <v/>
      </c>
      <c r="L688" s="32" t="n"/>
      <c r="M688" s="1">
        <f>IF(OR(B688="",D688="",F688="Cancelled"),"",B688+N(C688)+ROW()/10000000)</f>
        <v/>
      </c>
      <c r="N688">
        <f>IF(AND(F688="Done",M688&lt;&gt;""),IF(COUNTIFS(Appointments!$D$6:$D$2005,D688,Appointments!$F$6:$F$2005,"Done",Appointments!$M$6:$M$2005,"&gt;"&amp;M688)=0,1,0),0)</f>
        <v/>
      </c>
      <c r="O688">
        <f>IF(AND(F688="Booked",M688&lt;&gt;"",N(B688)&gt;=TODAY()),IF(COUNTIFS(Appointments!$D$6:$D$2005,D688,Appointments!$F$6:$F$2005,"Booked",Appointments!$B$6:$B$2005,"&gt;="&amp;TODAY(),Appointments!$M$6:$M$2005,"&lt;"&amp;M688)=0,1,0),0)</f>
        <v/>
      </c>
    </row>
    <row r="689">
      <c r="A689" s="1" t="n"/>
      <c r="B689" s="30" t="n">
        <v>46190</v>
      </c>
      <c r="C689" s="31" t="n">
        <v>0.375</v>
      </c>
      <c r="D689" s="32" t="inlineStr">
        <is>
          <t>Chris Cook</t>
        </is>
      </c>
      <c r="E689" s="32" t="inlineStr">
        <is>
          <t>Men's haircut</t>
        </is>
      </c>
      <c r="F689" s="33" t="inlineStr">
        <is>
          <t>Done</t>
        </is>
      </c>
      <c r="G689" s="27">
        <f>IF(E689="","",MAX(0,IFERROR(INDEX(Services!$C$6:$C$35,MATCH(E689,Services!$B$6:$B$35,0)),0)-N(H689)))</f>
        <v/>
      </c>
      <c r="H689" s="34" t="n"/>
      <c r="I689" s="34" t="n">
        <v>30</v>
      </c>
      <c r="J689" s="33" t="inlineStr">
        <is>
          <t>Transfer</t>
        </is>
      </c>
      <c r="K689" s="28">
        <f>IF(OR(B689="",F689&lt;&gt;"Done",J689="Package"),"",IF(N(G689)-N(I689)&gt;0,N(G689)-N(I689),""))</f>
        <v/>
      </c>
      <c r="L689" s="32" t="n"/>
      <c r="M689" s="1">
        <f>IF(OR(B689="",D689="",F689="Cancelled"),"",B689+N(C689)+ROW()/10000000)</f>
        <v/>
      </c>
      <c r="N689">
        <f>IF(AND(F689="Done",M689&lt;&gt;""),IF(COUNTIFS(Appointments!$D$6:$D$2005,D689,Appointments!$F$6:$F$2005,"Done",Appointments!$M$6:$M$2005,"&gt;"&amp;M689)=0,1,0),0)</f>
        <v/>
      </c>
      <c r="O689">
        <f>IF(AND(F689="Booked",M689&lt;&gt;"",N(B689)&gt;=TODAY()),IF(COUNTIFS(Appointments!$D$6:$D$2005,D689,Appointments!$F$6:$F$2005,"Booked",Appointments!$B$6:$B$2005,"&gt;="&amp;TODAY(),Appointments!$M$6:$M$2005,"&lt;"&amp;M689)=0,1,0),0)</f>
        <v/>
      </c>
    </row>
    <row r="690">
      <c r="A690" s="1" t="n"/>
      <c r="B690" s="30" t="n">
        <v>46190</v>
      </c>
      <c r="C690" s="31" t="n">
        <v>0.4027777777777778</v>
      </c>
      <c r="D690" s="32" t="inlineStr">
        <is>
          <t>Ella Morgan</t>
        </is>
      </c>
      <c r="E690" s="32" t="inlineStr">
        <is>
          <t>Colour</t>
        </is>
      </c>
      <c r="F690" s="33" t="inlineStr">
        <is>
          <t>Done</t>
        </is>
      </c>
      <c r="G690" s="27">
        <f>IF(E690="","",MAX(0,IFERROR(INDEX(Services!$C$6:$C$35,MATCH(E690,Services!$B$6:$B$35,0)),0)-N(H690)))</f>
        <v/>
      </c>
      <c r="H690" s="34" t="n"/>
      <c r="I690" s="34" t="n">
        <v>95</v>
      </c>
      <c r="J690" s="33" t="inlineStr">
        <is>
          <t>Card</t>
        </is>
      </c>
      <c r="K690" s="28">
        <f>IF(OR(B690="",F690&lt;&gt;"Done",J690="Package"),"",IF(N(G690)-N(I690)&gt;0,N(G690)-N(I690),""))</f>
        <v/>
      </c>
      <c r="L690" s="32" t="n"/>
      <c r="M690" s="1">
        <f>IF(OR(B690="",D690="",F690="Cancelled"),"",B690+N(C690)+ROW()/10000000)</f>
        <v/>
      </c>
      <c r="N690">
        <f>IF(AND(F690="Done",M690&lt;&gt;""),IF(COUNTIFS(Appointments!$D$6:$D$2005,D690,Appointments!$F$6:$F$2005,"Done",Appointments!$M$6:$M$2005,"&gt;"&amp;M690)=0,1,0),0)</f>
        <v/>
      </c>
      <c r="O690">
        <f>IF(AND(F690="Booked",M690&lt;&gt;"",N(B690)&gt;=TODAY()),IF(COUNTIFS(Appointments!$D$6:$D$2005,D690,Appointments!$F$6:$F$2005,"Booked",Appointments!$B$6:$B$2005,"&gt;="&amp;TODAY(),Appointments!$M$6:$M$2005,"&lt;"&amp;M690)=0,1,0),0)</f>
        <v/>
      </c>
    </row>
    <row r="691">
      <c r="A691" s="1" t="n"/>
      <c r="B691" s="30" t="n">
        <v>46190</v>
      </c>
      <c r="C691" s="31" t="n">
        <v>0.4930555555555556</v>
      </c>
      <c r="D691" s="32" t="inlineStr">
        <is>
          <t>George Kelly</t>
        </is>
      </c>
      <c r="E691" s="32" t="inlineStr">
        <is>
          <t>Men's haircut</t>
        </is>
      </c>
      <c r="F691" s="33" t="inlineStr">
        <is>
          <t>Done</t>
        </is>
      </c>
      <c r="G691" s="27">
        <f>IF(E691="","",MAX(0,IFERROR(INDEX(Services!$C$6:$C$35,MATCH(E691,Services!$B$6:$B$35,0)),0)-N(H691)))</f>
        <v/>
      </c>
      <c r="H691" s="34" t="n"/>
      <c r="I691" s="34" t="n">
        <v>30</v>
      </c>
      <c r="J691" s="33" t="inlineStr">
        <is>
          <t>Cash</t>
        </is>
      </c>
      <c r="K691" s="28">
        <f>IF(OR(B691="",F691&lt;&gt;"Done",J691="Package"),"",IF(N(G691)-N(I691)&gt;0,N(G691)-N(I691),""))</f>
        <v/>
      </c>
      <c r="L691" s="32" t="n"/>
      <c r="M691" s="1">
        <f>IF(OR(B691="",D691="",F691="Cancelled"),"",B691+N(C691)+ROW()/10000000)</f>
        <v/>
      </c>
      <c r="N691">
        <f>IF(AND(F691="Done",M691&lt;&gt;""),IF(COUNTIFS(Appointments!$D$6:$D$2005,D691,Appointments!$F$6:$F$2005,"Done",Appointments!$M$6:$M$2005,"&gt;"&amp;M691)=0,1,0),0)</f>
        <v/>
      </c>
      <c r="O691">
        <f>IF(AND(F691="Booked",M691&lt;&gt;"",N(B691)&gt;=TODAY()),IF(COUNTIFS(Appointments!$D$6:$D$2005,D691,Appointments!$F$6:$F$2005,"Booked",Appointments!$B$6:$B$2005,"&gt;="&amp;TODAY(),Appointments!$M$6:$M$2005,"&lt;"&amp;M691)=0,1,0),0)</f>
        <v/>
      </c>
    </row>
    <row r="692">
      <c r="A692" s="1" t="n"/>
      <c r="B692" s="30" t="n">
        <v>46190</v>
      </c>
      <c r="C692" s="31" t="n">
        <v>0.5208333333333334</v>
      </c>
      <c r="D692" s="32" t="inlineStr">
        <is>
          <t>Harry Hall</t>
        </is>
      </c>
      <c r="E692" s="32" t="inlineStr">
        <is>
          <t>Men's haircut</t>
        </is>
      </c>
      <c r="F692" s="33" t="inlineStr">
        <is>
          <t>Done</t>
        </is>
      </c>
      <c r="G692" s="27">
        <f>IF(E692="","",MAX(0,IFERROR(INDEX(Services!$C$6:$C$35,MATCH(E692,Services!$B$6:$B$35,0)),0)-N(H692)))</f>
        <v/>
      </c>
      <c r="H692" s="34" t="n"/>
      <c r="I692" s="34" t="n">
        <v>30</v>
      </c>
      <c r="J692" s="33" t="inlineStr">
        <is>
          <t>Card</t>
        </is>
      </c>
      <c r="K692" s="28">
        <f>IF(OR(B692="",F692&lt;&gt;"Done",J692="Package"),"",IF(N(G692)-N(I692)&gt;0,N(G692)-N(I692),""))</f>
        <v/>
      </c>
      <c r="L692" s="32" t="n"/>
      <c r="M692" s="1">
        <f>IF(OR(B692="",D692="",F692="Cancelled"),"",B692+N(C692)+ROW()/10000000)</f>
        <v/>
      </c>
      <c r="N692">
        <f>IF(AND(F692="Done",M692&lt;&gt;""),IF(COUNTIFS(Appointments!$D$6:$D$2005,D692,Appointments!$F$6:$F$2005,"Done",Appointments!$M$6:$M$2005,"&gt;"&amp;M692)=0,1,0),0)</f>
        <v/>
      </c>
      <c r="O692">
        <f>IF(AND(F692="Booked",M692&lt;&gt;"",N(B692)&gt;=TODAY()),IF(COUNTIFS(Appointments!$D$6:$D$2005,D692,Appointments!$F$6:$F$2005,"Booked",Appointments!$B$6:$B$2005,"&gt;="&amp;TODAY(),Appointments!$M$6:$M$2005,"&lt;"&amp;M692)=0,1,0),0)</f>
        <v/>
      </c>
    </row>
    <row r="693">
      <c r="A693" s="1" t="n"/>
      <c r="B693" s="30" t="n">
        <v>46190</v>
      </c>
      <c r="C693" s="31" t="n">
        <v>0.5486111111111112</v>
      </c>
      <c r="D693" s="32" t="inlineStr">
        <is>
          <t>Helen Mason</t>
        </is>
      </c>
      <c r="E693" s="32" t="inlineStr">
        <is>
          <t>Blow dry</t>
        </is>
      </c>
      <c r="F693" s="33" t="inlineStr">
        <is>
          <t>Done</t>
        </is>
      </c>
      <c r="G693" s="27">
        <f>IF(E693="","",MAX(0,IFERROR(INDEX(Services!$C$6:$C$35,MATCH(E693,Services!$B$6:$B$35,0)),0)-N(H693)))</f>
        <v/>
      </c>
      <c r="H693" s="34" t="n"/>
      <c r="I693" s="34" t="n">
        <v>35</v>
      </c>
      <c r="J693" s="33" t="inlineStr">
        <is>
          <t>Card</t>
        </is>
      </c>
      <c r="K693" s="28">
        <f>IF(OR(B693="",F693&lt;&gt;"Done",J693="Package"),"",IF(N(G693)-N(I693)&gt;0,N(G693)-N(I693),""))</f>
        <v/>
      </c>
      <c r="L693" s="32" t="n"/>
      <c r="M693" s="1">
        <f>IF(OR(B693="",D693="",F693="Cancelled"),"",B693+N(C693)+ROW()/10000000)</f>
        <v/>
      </c>
      <c r="N693">
        <f>IF(AND(F693="Done",M693&lt;&gt;""),IF(COUNTIFS(Appointments!$D$6:$D$2005,D693,Appointments!$F$6:$F$2005,"Done",Appointments!$M$6:$M$2005,"&gt;"&amp;M693)=0,1,0),0)</f>
        <v/>
      </c>
      <c r="O693">
        <f>IF(AND(F693="Booked",M693&lt;&gt;"",N(B693)&gt;=TODAY()),IF(COUNTIFS(Appointments!$D$6:$D$2005,D693,Appointments!$F$6:$F$2005,"Booked",Appointments!$B$6:$B$2005,"&gt;="&amp;TODAY(),Appointments!$M$6:$M$2005,"&lt;"&amp;M693)=0,1,0),0)</f>
        <v/>
      </c>
    </row>
    <row r="694">
      <c r="A694" s="1" t="n"/>
      <c r="B694" s="30" t="n">
        <v>46190</v>
      </c>
      <c r="C694" s="31" t="n">
        <v>0.5868055555555556</v>
      </c>
      <c r="D694" s="32" t="inlineStr">
        <is>
          <t>Kara Young</t>
        </is>
      </c>
      <c r="E694" s="32" t="inlineStr">
        <is>
          <t>Highlights</t>
        </is>
      </c>
      <c r="F694" s="33" t="inlineStr">
        <is>
          <t>Done</t>
        </is>
      </c>
      <c r="G694" s="27">
        <f>IF(E694="","",MAX(0,IFERROR(INDEX(Services!$C$6:$C$35,MATCH(E694,Services!$B$6:$B$35,0)),0)-N(H694)))</f>
        <v/>
      </c>
      <c r="H694" s="34" t="n"/>
      <c r="I694" s="34" t="n">
        <v>140</v>
      </c>
      <c r="J694" s="33" t="inlineStr">
        <is>
          <t>Cash</t>
        </is>
      </c>
      <c r="K694" s="28">
        <f>IF(OR(B694="",F694&lt;&gt;"Done",J694="Package"),"",IF(N(G694)-N(I694)&gt;0,N(G694)-N(I694),""))</f>
        <v/>
      </c>
      <c r="L694" s="32" t="n"/>
      <c r="M694" s="1">
        <f>IF(OR(B694="",D694="",F694="Cancelled"),"",B694+N(C694)+ROW()/10000000)</f>
        <v/>
      </c>
      <c r="N694">
        <f>IF(AND(F694="Done",M694&lt;&gt;""),IF(COUNTIFS(Appointments!$D$6:$D$2005,D694,Appointments!$F$6:$F$2005,"Done",Appointments!$M$6:$M$2005,"&gt;"&amp;M694)=0,1,0),0)</f>
        <v/>
      </c>
      <c r="O694">
        <f>IF(AND(F694="Booked",M694&lt;&gt;"",N(B694)&gt;=TODAY()),IF(COUNTIFS(Appointments!$D$6:$D$2005,D694,Appointments!$F$6:$F$2005,"Booked",Appointments!$B$6:$B$2005,"&gt;="&amp;TODAY(),Appointments!$M$6:$M$2005,"&lt;"&amp;M694)=0,1,0),0)</f>
        <v/>
      </c>
    </row>
    <row r="695">
      <c r="A695" s="1" t="n"/>
      <c r="B695" s="30" t="n">
        <v>46190</v>
      </c>
      <c r="C695" s="31" t="n">
        <v>0.6979166666666666</v>
      </c>
      <c r="D695" s="32" t="inlineStr">
        <is>
          <t>Sara Cox</t>
        </is>
      </c>
      <c r="E695" s="32" t="inlineStr">
        <is>
          <t>Colour</t>
        </is>
      </c>
      <c r="F695" s="33" t="inlineStr">
        <is>
          <t>Done</t>
        </is>
      </c>
      <c r="G695" s="27">
        <f>IF(E695="","",MAX(0,IFERROR(INDEX(Services!$C$6:$C$35,MATCH(E695,Services!$B$6:$B$35,0)),0)-N(H695)))</f>
        <v/>
      </c>
      <c r="H695" s="34" t="n"/>
      <c r="I695" s="34" t="n">
        <v>95</v>
      </c>
      <c r="J695" s="33" t="inlineStr">
        <is>
          <t>Card</t>
        </is>
      </c>
      <c r="K695" s="28">
        <f>IF(OR(B695="",F695&lt;&gt;"Done",J695="Package"),"",IF(N(G695)-N(I695)&gt;0,N(G695)-N(I695),""))</f>
        <v/>
      </c>
      <c r="L695" s="32" t="n"/>
      <c r="M695" s="1">
        <f>IF(OR(B695="",D695="",F695="Cancelled"),"",B695+N(C695)+ROW()/10000000)</f>
        <v/>
      </c>
      <c r="N695">
        <f>IF(AND(F695="Done",M695&lt;&gt;""),IF(COUNTIFS(Appointments!$D$6:$D$2005,D695,Appointments!$F$6:$F$2005,"Done",Appointments!$M$6:$M$2005,"&gt;"&amp;M695)=0,1,0),0)</f>
        <v/>
      </c>
      <c r="O695">
        <f>IF(AND(F695="Booked",M695&lt;&gt;"",N(B695)&gt;=TODAY()),IF(COUNTIFS(Appointments!$D$6:$D$2005,D695,Appointments!$F$6:$F$2005,"Booked",Appointments!$B$6:$B$2005,"&gt;="&amp;TODAY(),Appointments!$M$6:$M$2005,"&lt;"&amp;M695)=0,1,0),0)</f>
        <v/>
      </c>
    </row>
    <row r="696">
      <c r="A696" s="1" t="n"/>
      <c r="B696" s="30" t="n">
        <v>46191</v>
      </c>
      <c r="C696" s="31" t="n">
        <v>0.375</v>
      </c>
      <c r="D696" s="32" t="inlineStr">
        <is>
          <t>Eli Brooks</t>
        </is>
      </c>
      <c r="E696" s="32" t="inlineStr">
        <is>
          <t>Men's haircut</t>
        </is>
      </c>
      <c r="F696" s="33" t="inlineStr">
        <is>
          <t>Done</t>
        </is>
      </c>
      <c r="G696" s="27">
        <f>IF(E696="","",MAX(0,IFERROR(INDEX(Services!$C$6:$C$35,MATCH(E696,Services!$B$6:$B$35,0)),0)-N(H696)))</f>
        <v/>
      </c>
      <c r="H696" s="34" t="n"/>
      <c r="I696" s="34" t="n">
        <v>30</v>
      </c>
      <c r="J696" s="33" t="inlineStr">
        <is>
          <t>Card</t>
        </is>
      </c>
      <c r="K696" s="28">
        <f>IF(OR(B696="",F696&lt;&gt;"Done",J696="Package"),"",IF(N(G696)-N(I696)&gt;0,N(G696)-N(I696),""))</f>
        <v/>
      </c>
      <c r="L696" s="32" t="n"/>
      <c r="M696" s="1">
        <f>IF(OR(B696="",D696="",F696="Cancelled"),"",B696+N(C696)+ROW()/10000000)</f>
        <v/>
      </c>
      <c r="N696">
        <f>IF(AND(F696="Done",M696&lt;&gt;""),IF(COUNTIFS(Appointments!$D$6:$D$2005,D696,Appointments!$F$6:$F$2005,"Done",Appointments!$M$6:$M$2005,"&gt;"&amp;M696)=0,1,0),0)</f>
        <v/>
      </c>
      <c r="O696">
        <f>IF(AND(F696="Booked",M696&lt;&gt;"",N(B696)&gt;=TODAY()),IF(COUNTIFS(Appointments!$D$6:$D$2005,D696,Appointments!$F$6:$F$2005,"Booked",Appointments!$B$6:$B$2005,"&gt;="&amp;TODAY(),Appointments!$M$6:$M$2005,"&lt;"&amp;M696)=0,1,0),0)</f>
        <v/>
      </c>
    </row>
    <row r="697">
      <c r="A697" s="1" t="n"/>
      <c r="B697" s="30" t="n">
        <v>46191</v>
      </c>
      <c r="C697" s="31" t="n">
        <v>0.4027777777777778</v>
      </c>
      <c r="D697" s="32" t="inlineStr">
        <is>
          <t>Eva Brooks</t>
        </is>
      </c>
      <c r="E697" s="32" t="inlineStr">
        <is>
          <t>Women's haircut</t>
        </is>
      </c>
      <c r="F697" s="33" t="inlineStr">
        <is>
          <t>Done</t>
        </is>
      </c>
      <c r="G697" s="27">
        <f>IF(E697="","",MAX(0,IFERROR(INDEX(Services!$C$6:$C$35,MATCH(E697,Services!$B$6:$B$35,0)),0)-N(H697)))</f>
        <v/>
      </c>
      <c r="H697" s="34" t="n"/>
      <c r="I697" s="34" t="n">
        <v>55</v>
      </c>
      <c r="J697" s="33" t="inlineStr">
        <is>
          <t>Card</t>
        </is>
      </c>
      <c r="K697" s="28">
        <f>IF(OR(B697="",F697&lt;&gt;"Done",J697="Package"),"",IF(N(G697)-N(I697)&gt;0,N(G697)-N(I697),""))</f>
        <v/>
      </c>
      <c r="L697" s="32" t="n"/>
      <c r="M697" s="1">
        <f>IF(OR(B697="",D697="",F697="Cancelled"),"",B697+N(C697)+ROW()/10000000)</f>
        <v/>
      </c>
      <c r="N697">
        <f>IF(AND(F697="Done",M697&lt;&gt;""),IF(COUNTIFS(Appointments!$D$6:$D$2005,D697,Appointments!$F$6:$F$2005,"Done",Appointments!$M$6:$M$2005,"&gt;"&amp;M697)=0,1,0),0)</f>
        <v/>
      </c>
      <c r="O697">
        <f>IF(AND(F697="Booked",M697&lt;&gt;"",N(B697)&gt;=TODAY()),IF(COUNTIFS(Appointments!$D$6:$D$2005,D697,Appointments!$F$6:$F$2005,"Booked",Appointments!$B$6:$B$2005,"&gt;="&amp;TODAY(),Appointments!$M$6:$M$2005,"&lt;"&amp;M697)=0,1,0),0)</f>
        <v/>
      </c>
    </row>
    <row r="698">
      <c r="A698" s="1" t="n"/>
      <c r="B698" s="30" t="n">
        <v>46191</v>
      </c>
      <c r="C698" s="31" t="n">
        <v>0.4513888888888889</v>
      </c>
      <c r="D698" s="32" t="inlineStr">
        <is>
          <t>Finn Price</t>
        </is>
      </c>
      <c r="E698" s="32" t="inlineStr">
        <is>
          <t>Men's haircut</t>
        </is>
      </c>
      <c r="F698" s="33" t="inlineStr">
        <is>
          <t>Done</t>
        </is>
      </c>
      <c r="G698" s="27">
        <f>IF(E698="","",MAX(0,IFERROR(INDEX(Services!$C$6:$C$35,MATCH(E698,Services!$B$6:$B$35,0)),0)-N(H698)))</f>
        <v/>
      </c>
      <c r="H698" s="34" t="n"/>
      <c r="I698" s="34" t="n">
        <v>30</v>
      </c>
      <c r="J698" s="33" t="inlineStr">
        <is>
          <t>Card</t>
        </is>
      </c>
      <c r="K698" s="28">
        <f>IF(OR(B698="",F698&lt;&gt;"Done",J698="Package"),"",IF(N(G698)-N(I698)&gt;0,N(G698)-N(I698),""))</f>
        <v/>
      </c>
      <c r="L698" s="32" t="n"/>
      <c r="M698" s="1">
        <f>IF(OR(B698="",D698="",F698="Cancelled"),"",B698+N(C698)+ROW()/10000000)</f>
        <v/>
      </c>
      <c r="N698">
        <f>IF(AND(F698="Done",M698&lt;&gt;""),IF(COUNTIFS(Appointments!$D$6:$D$2005,D698,Appointments!$F$6:$F$2005,"Done",Appointments!$M$6:$M$2005,"&gt;"&amp;M698)=0,1,0),0)</f>
        <v/>
      </c>
      <c r="O698">
        <f>IF(AND(F698="Booked",M698&lt;&gt;"",N(B698)&gt;=TODAY()),IF(COUNTIFS(Appointments!$D$6:$D$2005,D698,Appointments!$F$6:$F$2005,"Booked",Appointments!$B$6:$B$2005,"&gt;="&amp;TODAY(),Appointments!$M$6:$M$2005,"&lt;"&amp;M698)=0,1,0),0)</f>
        <v/>
      </c>
    </row>
    <row r="699">
      <c r="A699" s="1" t="n"/>
      <c r="B699" s="30" t="n">
        <v>46191</v>
      </c>
      <c r="C699" s="31" t="n">
        <v>0.4791666666666667</v>
      </c>
      <c r="D699" s="32" t="inlineStr">
        <is>
          <t>Gina Reid</t>
        </is>
      </c>
      <c r="E699" s="32" t="inlineStr">
        <is>
          <t>Highlights</t>
        </is>
      </c>
      <c r="F699" s="33" t="inlineStr">
        <is>
          <t>Done</t>
        </is>
      </c>
      <c r="G699" s="27">
        <f>IF(E699="","",MAX(0,IFERROR(INDEX(Services!$C$6:$C$35,MATCH(E699,Services!$B$6:$B$35,0)),0)-N(H699)))</f>
        <v/>
      </c>
      <c r="H699" s="34" t="n"/>
      <c r="I699" s="34" t="n">
        <v>140</v>
      </c>
      <c r="J699" s="33" t="inlineStr">
        <is>
          <t>Card</t>
        </is>
      </c>
      <c r="K699" s="28">
        <f>IF(OR(B699="",F699&lt;&gt;"Done",J699="Package"),"",IF(N(G699)-N(I699)&gt;0,N(G699)-N(I699),""))</f>
        <v/>
      </c>
      <c r="L699" s="32" t="n"/>
      <c r="M699" s="1">
        <f>IF(OR(B699="",D699="",F699="Cancelled"),"",B699+N(C699)+ROW()/10000000)</f>
        <v/>
      </c>
      <c r="N699">
        <f>IF(AND(F699="Done",M699&lt;&gt;""),IF(COUNTIFS(Appointments!$D$6:$D$2005,D699,Appointments!$F$6:$F$2005,"Done",Appointments!$M$6:$M$2005,"&gt;"&amp;M699)=0,1,0),0)</f>
        <v/>
      </c>
      <c r="O699">
        <f>IF(AND(F699="Booked",M699&lt;&gt;"",N(B699)&gt;=TODAY()),IF(COUNTIFS(Appointments!$D$6:$D$2005,D699,Appointments!$F$6:$F$2005,"Booked",Appointments!$B$6:$B$2005,"&gt;="&amp;TODAY(),Appointments!$M$6:$M$2005,"&lt;"&amp;M699)=0,1,0),0)</f>
        <v/>
      </c>
    </row>
    <row r="700">
      <c r="A700" s="1" t="n"/>
      <c r="B700" s="30" t="n">
        <v>46191</v>
      </c>
      <c r="C700" s="31" t="n">
        <v>0.5902777777777778</v>
      </c>
      <c r="D700" s="32" t="inlineStr">
        <is>
          <t>Jon Gray</t>
        </is>
      </c>
      <c r="E700" s="32" t="inlineStr">
        <is>
          <t>Men's haircut</t>
        </is>
      </c>
      <c r="F700" s="33" t="inlineStr">
        <is>
          <t>Done</t>
        </is>
      </c>
      <c r="G700" s="27">
        <f>IF(E700="","",MAX(0,IFERROR(INDEX(Services!$C$6:$C$35,MATCH(E700,Services!$B$6:$B$35,0)),0)-N(H700)))</f>
        <v/>
      </c>
      <c r="H700" s="34" t="n"/>
      <c r="I700" s="34" t="n">
        <v>30</v>
      </c>
      <c r="J700" s="33" t="inlineStr">
        <is>
          <t>Card</t>
        </is>
      </c>
      <c r="K700" s="28">
        <f>IF(OR(B700="",F700&lt;&gt;"Done",J700="Package"),"",IF(N(G700)-N(I700)&gt;0,N(G700)-N(I700),""))</f>
        <v/>
      </c>
      <c r="L700" s="32" t="n"/>
      <c r="M700" s="1">
        <f>IF(OR(B700="",D700="",F700="Cancelled"),"",B700+N(C700)+ROW()/10000000)</f>
        <v/>
      </c>
      <c r="N700">
        <f>IF(AND(F700="Done",M700&lt;&gt;""),IF(COUNTIFS(Appointments!$D$6:$D$2005,D700,Appointments!$F$6:$F$2005,"Done",Appointments!$M$6:$M$2005,"&gt;"&amp;M700)=0,1,0),0)</f>
        <v/>
      </c>
      <c r="O700">
        <f>IF(AND(F700="Booked",M700&lt;&gt;"",N(B700)&gt;=TODAY()),IF(COUNTIFS(Appointments!$D$6:$D$2005,D700,Appointments!$F$6:$F$2005,"Booked",Appointments!$B$6:$B$2005,"&gt;="&amp;TODAY(),Appointments!$M$6:$M$2005,"&lt;"&amp;M700)=0,1,0),0)</f>
        <v/>
      </c>
    </row>
    <row r="701">
      <c r="A701" s="1" t="n"/>
      <c r="B701" s="30" t="n">
        <v>46191</v>
      </c>
      <c r="C701" s="31" t="n">
        <v>0.6180555555555556</v>
      </c>
      <c r="D701" s="32" t="inlineStr">
        <is>
          <t>Kyle Fox</t>
        </is>
      </c>
      <c r="E701" s="32" t="inlineStr">
        <is>
          <t>Men's haircut</t>
        </is>
      </c>
      <c r="F701" s="33" t="inlineStr">
        <is>
          <t>Done</t>
        </is>
      </c>
      <c r="G701" s="27">
        <f>IF(E701="","",MAX(0,IFERROR(INDEX(Services!$C$6:$C$35,MATCH(E701,Services!$B$6:$B$35,0)),0)-N(H701)))</f>
        <v/>
      </c>
      <c r="H701" s="34" t="n"/>
      <c r="I701" s="34" t="n">
        <v>30</v>
      </c>
      <c r="J701" s="33" t="inlineStr">
        <is>
          <t>Card</t>
        </is>
      </c>
      <c r="K701" s="28">
        <f>IF(OR(B701="",F701&lt;&gt;"Done",J701="Package"),"",IF(N(G701)-N(I701)&gt;0,N(G701)-N(I701),""))</f>
        <v/>
      </c>
      <c r="L701" s="32" t="n"/>
      <c r="M701" s="1">
        <f>IF(OR(B701="",D701="",F701="Cancelled"),"",B701+N(C701)+ROW()/10000000)</f>
        <v/>
      </c>
      <c r="N701">
        <f>IF(AND(F701="Done",M701&lt;&gt;""),IF(COUNTIFS(Appointments!$D$6:$D$2005,D701,Appointments!$F$6:$F$2005,"Done",Appointments!$M$6:$M$2005,"&gt;"&amp;M701)=0,1,0),0)</f>
        <v/>
      </c>
      <c r="O701">
        <f>IF(AND(F701="Booked",M701&lt;&gt;"",N(B701)&gt;=TODAY()),IF(COUNTIFS(Appointments!$D$6:$D$2005,D701,Appointments!$F$6:$F$2005,"Booked",Appointments!$B$6:$B$2005,"&gt;="&amp;TODAY(),Appointments!$M$6:$M$2005,"&lt;"&amp;M701)=0,1,0),0)</f>
        <v/>
      </c>
    </row>
    <row r="702">
      <c r="A702" s="1" t="n"/>
      <c r="B702" s="30" t="n">
        <v>46191</v>
      </c>
      <c r="C702" s="31" t="n">
        <v>0.6458333333333334</v>
      </c>
      <c r="D702" s="32" t="inlineStr">
        <is>
          <t>Will Baker</t>
        </is>
      </c>
      <c r="E702" s="32" t="inlineStr">
        <is>
          <t>Men's haircut</t>
        </is>
      </c>
      <c r="F702" s="33" t="inlineStr">
        <is>
          <t>Done</t>
        </is>
      </c>
      <c r="G702" s="27">
        <f>IF(E702="","",MAX(0,IFERROR(INDEX(Services!$C$6:$C$35,MATCH(E702,Services!$B$6:$B$35,0)),0)-N(H702)))</f>
        <v/>
      </c>
      <c r="H702" s="34" t="n">
        <v>10</v>
      </c>
      <c r="I702" s="34" t="n">
        <v>20</v>
      </c>
      <c r="J702" s="33" t="inlineStr">
        <is>
          <t>Card</t>
        </is>
      </c>
      <c r="K702" s="28">
        <f>IF(OR(B702="",F702&lt;&gt;"Done",J702="Package"),"",IF(N(G702)-N(I702)&gt;0,N(G702)-N(I702),""))</f>
        <v/>
      </c>
      <c r="L702" s="32" t="inlineStr">
        <is>
          <t>Friends and family</t>
        </is>
      </c>
      <c r="M702" s="1">
        <f>IF(OR(B702="",D702="",F702="Cancelled"),"",B702+N(C702)+ROW()/10000000)</f>
        <v/>
      </c>
      <c r="N702">
        <f>IF(AND(F702="Done",M702&lt;&gt;""),IF(COUNTIFS(Appointments!$D$6:$D$2005,D702,Appointments!$F$6:$F$2005,"Done",Appointments!$M$6:$M$2005,"&gt;"&amp;M702)=0,1,0),0)</f>
        <v/>
      </c>
      <c r="O702">
        <f>IF(AND(F702="Booked",M702&lt;&gt;"",N(B702)&gt;=TODAY()),IF(COUNTIFS(Appointments!$D$6:$D$2005,D702,Appointments!$F$6:$F$2005,"Booked",Appointments!$B$6:$B$2005,"&gt;="&amp;TODAY(),Appointments!$M$6:$M$2005,"&lt;"&amp;M702)=0,1,0),0)</f>
        <v/>
      </c>
    </row>
    <row r="703">
      <c r="A703" s="1" t="n"/>
      <c r="B703" s="30" t="n">
        <v>46192</v>
      </c>
      <c r="C703" s="31" t="n">
        <v>0.375</v>
      </c>
      <c r="D703" s="32" t="inlineStr">
        <is>
          <t>Jade Hughes</t>
        </is>
      </c>
      <c r="E703" s="32" t="inlineStr">
        <is>
          <t>Women's haircut</t>
        </is>
      </c>
      <c r="F703" s="33" t="inlineStr">
        <is>
          <t>Done</t>
        </is>
      </c>
      <c r="G703" s="27">
        <f>IF(E703="","",MAX(0,IFERROR(INDEX(Services!$C$6:$C$35,MATCH(E703,Services!$B$6:$B$35,0)),0)-N(H703)))</f>
        <v/>
      </c>
      <c r="H703" s="34" t="n"/>
      <c r="I703" s="34" t="n">
        <v>55</v>
      </c>
      <c r="J703" s="33" t="inlineStr">
        <is>
          <t>Card</t>
        </is>
      </c>
      <c r="K703" s="28">
        <f>IF(OR(B703="",F703&lt;&gt;"Done",J703="Package"),"",IF(N(G703)-N(I703)&gt;0,N(G703)-N(I703),""))</f>
        <v/>
      </c>
      <c r="L703" s="32" t="n"/>
      <c r="M703" s="1">
        <f>IF(OR(B703="",D703="",F703="Cancelled"),"",B703+N(C703)+ROW()/10000000)</f>
        <v/>
      </c>
      <c r="N703">
        <f>IF(AND(F703="Done",M703&lt;&gt;""),IF(COUNTIFS(Appointments!$D$6:$D$2005,D703,Appointments!$F$6:$F$2005,"Done",Appointments!$M$6:$M$2005,"&gt;"&amp;M703)=0,1,0),0)</f>
        <v/>
      </c>
      <c r="O703">
        <f>IF(AND(F703="Booked",M703&lt;&gt;"",N(B703)&gt;=TODAY()),IF(COUNTIFS(Appointments!$D$6:$D$2005,D703,Appointments!$F$6:$F$2005,"Booked",Appointments!$B$6:$B$2005,"&gt;="&amp;TODAY(),Appointments!$M$6:$M$2005,"&lt;"&amp;M703)=0,1,0),0)</f>
        <v/>
      </c>
    </row>
    <row r="704">
      <c r="A704" s="1" t="n"/>
      <c r="B704" s="30" t="n">
        <v>46192</v>
      </c>
      <c r="C704" s="31" t="n">
        <v>0.4236111111111111</v>
      </c>
      <c r="D704" s="32" t="inlineStr">
        <is>
          <t>Nina Cook</t>
        </is>
      </c>
      <c r="E704" s="32" t="inlineStr">
        <is>
          <t>Toner</t>
        </is>
      </c>
      <c r="F704" s="33" t="inlineStr">
        <is>
          <t>Done</t>
        </is>
      </c>
      <c r="G704" s="27">
        <f>IF(E704="","",MAX(0,IFERROR(INDEX(Services!$C$6:$C$35,MATCH(E704,Services!$B$6:$B$35,0)),0)-N(H704)))</f>
        <v/>
      </c>
      <c r="H704" s="34" t="n"/>
      <c r="I704" s="34" t="n">
        <v>40</v>
      </c>
      <c r="J704" s="33" t="inlineStr">
        <is>
          <t>Card</t>
        </is>
      </c>
      <c r="K704" s="28">
        <f>IF(OR(B704="",F704&lt;&gt;"Done",J704="Package"),"",IF(N(G704)-N(I704)&gt;0,N(G704)-N(I704),""))</f>
        <v/>
      </c>
      <c r="L704" s="32" t="n"/>
      <c r="M704" s="1">
        <f>IF(OR(B704="",D704="",F704="Cancelled"),"",B704+N(C704)+ROW()/10000000)</f>
        <v/>
      </c>
      <c r="N704">
        <f>IF(AND(F704="Done",M704&lt;&gt;""),IF(COUNTIFS(Appointments!$D$6:$D$2005,D704,Appointments!$F$6:$F$2005,"Done",Appointments!$M$6:$M$2005,"&gt;"&amp;M704)=0,1,0),0)</f>
        <v/>
      </c>
      <c r="O704">
        <f>IF(AND(F704="Booked",M704&lt;&gt;"",N(B704)&gt;=TODAY()),IF(COUNTIFS(Appointments!$D$6:$D$2005,D704,Appointments!$F$6:$F$2005,"Booked",Appointments!$B$6:$B$2005,"&gt;="&amp;TODAY(),Appointments!$M$6:$M$2005,"&lt;"&amp;M704)=0,1,0),0)</f>
        <v/>
      </c>
    </row>
    <row r="705">
      <c r="A705" s="1" t="n"/>
      <c r="B705" s="30" t="n">
        <v>46193</v>
      </c>
      <c r="C705" s="31" t="n">
        <v>0.375</v>
      </c>
      <c r="D705" s="32" t="inlineStr">
        <is>
          <t>Eva Mills</t>
        </is>
      </c>
      <c r="E705" s="32" t="inlineStr">
        <is>
          <t>Blow dry</t>
        </is>
      </c>
      <c r="F705" s="33" t="inlineStr">
        <is>
          <t>Done</t>
        </is>
      </c>
      <c r="G705" s="27">
        <f>IF(E705="","",MAX(0,IFERROR(INDEX(Services!$C$6:$C$35,MATCH(E705,Services!$B$6:$B$35,0)),0)-N(H705)))</f>
        <v/>
      </c>
      <c r="H705" s="34" t="n"/>
      <c r="I705" s="34" t="n">
        <v>35</v>
      </c>
      <c r="J705" s="33" t="inlineStr">
        <is>
          <t>Card</t>
        </is>
      </c>
      <c r="K705" s="28">
        <f>IF(OR(B705="",F705&lt;&gt;"Done",J705="Package"),"",IF(N(G705)-N(I705)&gt;0,N(G705)-N(I705),""))</f>
        <v/>
      </c>
      <c r="L705" s="32" t="n"/>
      <c r="M705" s="1">
        <f>IF(OR(B705="",D705="",F705="Cancelled"),"",B705+N(C705)+ROW()/10000000)</f>
        <v/>
      </c>
      <c r="N705">
        <f>IF(AND(F705="Done",M705&lt;&gt;""),IF(COUNTIFS(Appointments!$D$6:$D$2005,D705,Appointments!$F$6:$F$2005,"Done",Appointments!$M$6:$M$2005,"&gt;"&amp;M705)=0,1,0),0)</f>
        <v/>
      </c>
      <c r="O705">
        <f>IF(AND(F705="Booked",M705&lt;&gt;"",N(B705)&gt;=TODAY()),IF(COUNTIFS(Appointments!$D$6:$D$2005,D705,Appointments!$F$6:$F$2005,"Booked",Appointments!$B$6:$B$2005,"&gt;="&amp;TODAY(),Appointments!$M$6:$M$2005,"&lt;"&amp;M705)=0,1,0),0)</f>
        <v/>
      </c>
    </row>
    <row r="706">
      <c r="A706" s="1" t="n"/>
      <c r="B706" s="30" t="n">
        <v>46193</v>
      </c>
      <c r="C706" s="31" t="n">
        <v>0.4131944444444444</v>
      </c>
      <c r="D706" s="32" t="inlineStr">
        <is>
          <t>Finn Davies</t>
        </is>
      </c>
      <c r="E706" s="32" t="inlineStr">
        <is>
          <t>Men's haircut</t>
        </is>
      </c>
      <c r="F706" s="33" t="inlineStr">
        <is>
          <t>Done</t>
        </is>
      </c>
      <c r="G706" s="27">
        <f>IF(E706="","",MAX(0,IFERROR(INDEX(Services!$C$6:$C$35,MATCH(E706,Services!$B$6:$B$35,0)),0)-N(H706)))</f>
        <v/>
      </c>
      <c r="H706" s="34" t="n"/>
      <c r="I706" s="34" t="n">
        <v>30</v>
      </c>
      <c r="J706" s="33" t="inlineStr">
        <is>
          <t>Cash</t>
        </is>
      </c>
      <c r="K706" s="28">
        <f>IF(OR(B706="",F706&lt;&gt;"Done",J706="Package"),"",IF(N(G706)-N(I706)&gt;0,N(G706)-N(I706),""))</f>
        <v/>
      </c>
      <c r="L706" s="32" t="n"/>
      <c r="M706" s="1">
        <f>IF(OR(B706="",D706="",F706="Cancelled"),"",B706+N(C706)+ROW()/10000000)</f>
        <v/>
      </c>
      <c r="N706">
        <f>IF(AND(F706="Done",M706&lt;&gt;""),IF(COUNTIFS(Appointments!$D$6:$D$2005,D706,Appointments!$F$6:$F$2005,"Done",Appointments!$M$6:$M$2005,"&gt;"&amp;M706)=0,1,0),0)</f>
        <v/>
      </c>
      <c r="O706">
        <f>IF(AND(F706="Booked",M706&lt;&gt;"",N(B706)&gt;=TODAY()),IF(COUNTIFS(Appointments!$D$6:$D$2005,D706,Appointments!$F$6:$F$2005,"Booked",Appointments!$B$6:$B$2005,"&gt;="&amp;TODAY(),Appointments!$M$6:$M$2005,"&lt;"&amp;M706)=0,1,0),0)</f>
        <v/>
      </c>
    </row>
    <row r="707">
      <c r="A707" s="1" t="n"/>
      <c r="B707" s="30" t="n">
        <v>46193</v>
      </c>
      <c r="C707" s="31" t="n">
        <v>0.4409722222222222</v>
      </c>
      <c r="D707" s="32" t="inlineStr">
        <is>
          <t>Harry Hill</t>
        </is>
      </c>
      <c r="E707" s="32" t="inlineStr">
        <is>
          <t>Men's haircut</t>
        </is>
      </c>
      <c r="F707" s="33" t="inlineStr">
        <is>
          <t>Done</t>
        </is>
      </c>
      <c r="G707" s="27">
        <f>IF(E707="","",MAX(0,IFERROR(INDEX(Services!$C$6:$C$35,MATCH(E707,Services!$B$6:$B$35,0)),0)-N(H707)))</f>
        <v/>
      </c>
      <c r="H707" s="34" t="n"/>
      <c r="I707" s="34" t="n">
        <v>30</v>
      </c>
      <c r="J707" s="33" t="inlineStr">
        <is>
          <t>App</t>
        </is>
      </c>
      <c r="K707" s="28">
        <f>IF(OR(B707="",F707&lt;&gt;"Done",J707="Package"),"",IF(N(G707)-N(I707)&gt;0,N(G707)-N(I707),""))</f>
        <v/>
      </c>
      <c r="L707" s="32" t="n"/>
      <c r="M707" s="1">
        <f>IF(OR(B707="",D707="",F707="Cancelled"),"",B707+N(C707)+ROW()/10000000)</f>
        <v/>
      </c>
      <c r="N707">
        <f>IF(AND(F707="Done",M707&lt;&gt;""),IF(COUNTIFS(Appointments!$D$6:$D$2005,D707,Appointments!$F$6:$F$2005,"Done",Appointments!$M$6:$M$2005,"&gt;"&amp;M707)=0,1,0),0)</f>
        <v/>
      </c>
      <c r="O707">
        <f>IF(AND(F707="Booked",M707&lt;&gt;"",N(B707)&gt;=TODAY()),IF(COUNTIFS(Appointments!$D$6:$D$2005,D707,Appointments!$F$6:$F$2005,"Booked",Appointments!$B$6:$B$2005,"&gt;="&amp;TODAY(),Appointments!$M$6:$M$2005,"&lt;"&amp;M707)=0,1,0),0)</f>
        <v/>
      </c>
    </row>
    <row r="708">
      <c r="A708" s="1" t="n"/>
      <c r="B708" s="30" t="n">
        <v>46193</v>
      </c>
      <c r="C708" s="31" t="n">
        <v>0.46875</v>
      </c>
      <c r="D708" s="32" t="inlineStr">
        <is>
          <t>Harry Owens</t>
        </is>
      </c>
      <c r="E708" s="32" t="inlineStr">
        <is>
          <t>Men's haircut</t>
        </is>
      </c>
      <c r="F708" s="33" t="inlineStr">
        <is>
          <t>Done</t>
        </is>
      </c>
      <c r="G708" s="27">
        <f>IF(E708="","",MAX(0,IFERROR(INDEX(Services!$C$6:$C$35,MATCH(E708,Services!$B$6:$B$35,0)),0)-N(H708)))</f>
        <v/>
      </c>
      <c r="H708" s="34" t="n">
        <v>10</v>
      </c>
      <c r="I708" s="34" t="n">
        <v>20</v>
      </c>
      <c r="J708" s="33" t="inlineStr">
        <is>
          <t>Card</t>
        </is>
      </c>
      <c r="K708" s="28">
        <f>IF(OR(B708="",F708&lt;&gt;"Done",J708="Package"),"",IF(N(G708)-N(I708)&gt;0,N(G708)-N(I708),""))</f>
        <v/>
      </c>
      <c r="L708" s="32" t="inlineStr">
        <is>
          <t>Friends and family</t>
        </is>
      </c>
      <c r="M708" s="1">
        <f>IF(OR(B708="",D708="",F708="Cancelled"),"",B708+N(C708)+ROW()/10000000)</f>
        <v/>
      </c>
      <c r="N708">
        <f>IF(AND(F708="Done",M708&lt;&gt;""),IF(COUNTIFS(Appointments!$D$6:$D$2005,D708,Appointments!$F$6:$F$2005,"Done",Appointments!$M$6:$M$2005,"&gt;"&amp;M708)=0,1,0),0)</f>
        <v/>
      </c>
      <c r="O708">
        <f>IF(AND(F708="Booked",M708&lt;&gt;"",N(B708)&gt;=TODAY()),IF(COUNTIFS(Appointments!$D$6:$D$2005,D708,Appointments!$F$6:$F$2005,"Booked",Appointments!$B$6:$B$2005,"&gt;="&amp;TODAY(),Appointments!$M$6:$M$2005,"&lt;"&amp;M708)=0,1,0),0)</f>
        <v/>
      </c>
    </row>
    <row r="709">
      <c r="A709" s="1" t="n"/>
      <c r="B709" s="30" t="n">
        <v>46193</v>
      </c>
      <c r="C709" s="31" t="n">
        <v>0.4965277777777778</v>
      </c>
      <c r="D709" s="32" t="inlineStr">
        <is>
          <t>Jon Reid</t>
        </is>
      </c>
      <c r="E709" s="32" t="inlineStr">
        <is>
          <t>Men's haircut</t>
        </is>
      </c>
      <c r="F709" s="33" t="inlineStr">
        <is>
          <t>Done</t>
        </is>
      </c>
      <c r="G709" s="27">
        <f>IF(E709="","",MAX(0,IFERROR(INDEX(Services!$C$6:$C$35,MATCH(E709,Services!$B$6:$B$35,0)),0)-N(H709)))</f>
        <v/>
      </c>
      <c r="H709" s="34" t="n"/>
      <c r="I709" s="34" t="n">
        <v>30</v>
      </c>
      <c r="J709" s="33" t="inlineStr">
        <is>
          <t>Cash</t>
        </is>
      </c>
      <c r="K709" s="28">
        <f>IF(OR(B709="",F709&lt;&gt;"Done",J709="Package"),"",IF(N(G709)-N(I709)&gt;0,N(G709)-N(I709),""))</f>
        <v/>
      </c>
      <c r="L709" s="32" t="n"/>
      <c r="M709" s="1">
        <f>IF(OR(B709="",D709="",F709="Cancelled"),"",B709+N(C709)+ROW()/10000000)</f>
        <v/>
      </c>
      <c r="N709">
        <f>IF(AND(F709="Done",M709&lt;&gt;""),IF(COUNTIFS(Appointments!$D$6:$D$2005,D709,Appointments!$F$6:$F$2005,"Done",Appointments!$M$6:$M$2005,"&gt;"&amp;M709)=0,1,0),0)</f>
        <v/>
      </c>
      <c r="O709">
        <f>IF(AND(F709="Booked",M709&lt;&gt;"",N(B709)&gt;=TODAY()),IF(COUNTIFS(Appointments!$D$6:$D$2005,D709,Appointments!$F$6:$F$2005,"Booked",Appointments!$B$6:$B$2005,"&gt;="&amp;TODAY(),Appointments!$M$6:$M$2005,"&lt;"&amp;M709)=0,1,0),0)</f>
        <v/>
      </c>
    </row>
    <row r="710">
      <c r="A710" s="1" t="n"/>
      <c r="B710" s="30" t="n">
        <v>46196</v>
      </c>
      <c r="C710" s="31" t="n">
        <v>0.375</v>
      </c>
      <c r="D710" s="32" t="inlineStr">
        <is>
          <t>Chris Ellis</t>
        </is>
      </c>
      <c r="E710" s="32" t="inlineStr">
        <is>
          <t>Men's haircut</t>
        </is>
      </c>
      <c r="F710" s="33" t="inlineStr">
        <is>
          <t>Done</t>
        </is>
      </c>
      <c r="G710" s="27">
        <f>IF(E710="","",MAX(0,IFERROR(INDEX(Services!$C$6:$C$35,MATCH(E710,Services!$B$6:$B$35,0)),0)-N(H710)))</f>
        <v/>
      </c>
      <c r="H710" s="34" t="n"/>
      <c r="I710" s="34" t="n">
        <v>30</v>
      </c>
      <c r="J710" s="33" t="inlineStr">
        <is>
          <t>Card</t>
        </is>
      </c>
      <c r="K710" s="28">
        <f>IF(OR(B710="",F710&lt;&gt;"Done",J710="Package"),"",IF(N(G710)-N(I710)&gt;0,N(G710)-N(I710),""))</f>
        <v/>
      </c>
      <c r="L710" s="32" t="n"/>
      <c r="M710" s="1">
        <f>IF(OR(B710="",D710="",F710="Cancelled"),"",B710+N(C710)+ROW()/10000000)</f>
        <v/>
      </c>
      <c r="N710">
        <f>IF(AND(F710="Done",M710&lt;&gt;""),IF(COUNTIFS(Appointments!$D$6:$D$2005,D710,Appointments!$F$6:$F$2005,"Done",Appointments!$M$6:$M$2005,"&gt;"&amp;M710)=0,1,0),0)</f>
        <v/>
      </c>
      <c r="O710">
        <f>IF(AND(F710="Booked",M710&lt;&gt;"",N(B710)&gt;=TODAY()),IF(COUNTIFS(Appointments!$D$6:$D$2005,D710,Appointments!$F$6:$F$2005,"Booked",Appointments!$B$6:$B$2005,"&gt;="&amp;TODAY(),Appointments!$M$6:$M$2005,"&lt;"&amp;M710)=0,1,0),0)</f>
        <v/>
      </c>
    </row>
    <row r="711">
      <c r="A711" s="1" t="n"/>
      <c r="B711" s="30" t="n">
        <v>46196</v>
      </c>
      <c r="C711" s="31" t="n">
        <v>0.4027777777777778</v>
      </c>
      <c r="D711" s="32" t="inlineStr">
        <is>
          <t>Harry Cox</t>
        </is>
      </c>
      <c r="E711" s="32" t="inlineStr">
        <is>
          <t>Men's haircut</t>
        </is>
      </c>
      <c r="F711" s="33" t="inlineStr">
        <is>
          <t>Done</t>
        </is>
      </c>
      <c r="G711" s="27">
        <f>IF(E711="","",MAX(0,IFERROR(INDEX(Services!$C$6:$C$35,MATCH(E711,Services!$B$6:$B$35,0)),0)-N(H711)))</f>
        <v/>
      </c>
      <c r="H711" s="34" t="n"/>
      <c r="I711" s="34" t="n">
        <v>30</v>
      </c>
      <c r="J711" s="33" t="inlineStr">
        <is>
          <t>Transfer</t>
        </is>
      </c>
      <c r="K711" s="28">
        <f>IF(OR(B711="",F711&lt;&gt;"Done",J711="Package"),"",IF(N(G711)-N(I711)&gt;0,N(G711)-N(I711),""))</f>
        <v/>
      </c>
      <c r="L711" s="32" t="n"/>
      <c r="M711" s="1">
        <f>IF(OR(B711="",D711="",F711="Cancelled"),"",B711+N(C711)+ROW()/10000000)</f>
        <v/>
      </c>
      <c r="N711">
        <f>IF(AND(F711="Done",M711&lt;&gt;""),IF(COUNTIFS(Appointments!$D$6:$D$2005,D711,Appointments!$F$6:$F$2005,"Done",Appointments!$M$6:$M$2005,"&gt;"&amp;M711)=0,1,0),0)</f>
        <v/>
      </c>
      <c r="O711">
        <f>IF(AND(F711="Booked",M711&lt;&gt;"",N(B711)&gt;=TODAY()),IF(COUNTIFS(Appointments!$D$6:$D$2005,D711,Appointments!$F$6:$F$2005,"Booked",Appointments!$B$6:$B$2005,"&gt;="&amp;TODAY(),Appointments!$M$6:$M$2005,"&lt;"&amp;M711)=0,1,0),0)</f>
        <v/>
      </c>
    </row>
    <row r="712">
      <c r="A712" s="1" t="n"/>
      <c r="B712" s="30" t="n">
        <v>46196</v>
      </c>
      <c r="C712" s="31" t="n">
        <v>0.4305555555555556</v>
      </c>
      <c r="D712" s="32" t="inlineStr">
        <is>
          <t>Luke Reed</t>
        </is>
      </c>
      <c r="E712" s="32" t="inlineStr">
        <is>
          <t>Men's haircut</t>
        </is>
      </c>
      <c r="F712" s="33" t="inlineStr">
        <is>
          <t>Done</t>
        </is>
      </c>
      <c r="G712" s="27">
        <f>IF(E712="","",MAX(0,IFERROR(INDEX(Services!$C$6:$C$35,MATCH(E712,Services!$B$6:$B$35,0)),0)-N(H712)))</f>
        <v/>
      </c>
      <c r="H712" s="34" t="n"/>
      <c r="I712" s="34" t="n">
        <v>30</v>
      </c>
      <c r="J712" s="33" t="inlineStr">
        <is>
          <t>Transfer</t>
        </is>
      </c>
      <c r="K712" s="28">
        <f>IF(OR(B712="",F712&lt;&gt;"Done",J712="Package"),"",IF(N(G712)-N(I712)&gt;0,N(G712)-N(I712),""))</f>
        <v/>
      </c>
      <c r="L712" s="32" t="n"/>
      <c r="M712" s="1">
        <f>IF(OR(B712="",D712="",F712="Cancelled"),"",B712+N(C712)+ROW()/10000000)</f>
        <v/>
      </c>
      <c r="N712">
        <f>IF(AND(F712="Done",M712&lt;&gt;""),IF(COUNTIFS(Appointments!$D$6:$D$2005,D712,Appointments!$F$6:$F$2005,"Done",Appointments!$M$6:$M$2005,"&gt;"&amp;M712)=0,1,0),0)</f>
        <v/>
      </c>
      <c r="O712">
        <f>IF(AND(F712="Booked",M712&lt;&gt;"",N(B712)&gt;=TODAY()),IF(COUNTIFS(Appointments!$D$6:$D$2005,D712,Appointments!$F$6:$F$2005,"Booked",Appointments!$B$6:$B$2005,"&gt;="&amp;TODAY(),Appointments!$M$6:$M$2005,"&lt;"&amp;M712)=0,1,0),0)</f>
        <v/>
      </c>
    </row>
    <row r="713">
      <c r="A713" s="1" t="n"/>
      <c r="B713" s="30" t="n">
        <v>46196</v>
      </c>
      <c r="C713" s="31" t="n">
        <v>0.4583333333333333</v>
      </c>
      <c r="D713" s="32" t="inlineStr">
        <is>
          <t>Nick Young</t>
        </is>
      </c>
      <c r="E713" s="32" t="inlineStr">
        <is>
          <t>Men's haircut</t>
        </is>
      </c>
      <c r="F713" s="33" t="inlineStr">
        <is>
          <t>Done</t>
        </is>
      </c>
      <c r="G713" s="27">
        <f>IF(E713="","",MAX(0,IFERROR(INDEX(Services!$C$6:$C$35,MATCH(E713,Services!$B$6:$B$35,0)),0)-N(H713)))</f>
        <v/>
      </c>
      <c r="H713" s="34" t="n"/>
      <c r="I713" s="34" t="n">
        <v>30</v>
      </c>
      <c r="J713" s="33" t="inlineStr">
        <is>
          <t>Transfer</t>
        </is>
      </c>
      <c r="K713" s="28">
        <f>IF(OR(B713="",F713&lt;&gt;"Done",J713="Package"),"",IF(N(G713)-N(I713)&gt;0,N(G713)-N(I713),""))</f>
        <v/>
      </c>
      <c r="L713" s="32" t="n"/>
      <c r="M713" s="1">
        <f>IF(OR(B713="",D713="",F713="Cancelled"),"",B713+N(C713)+ROW()/10000000)</f>
        <v/>
      </c>
      <c r="N713">
        <f>IF(AND(F713="Done",M713&lt;&gt;""),IF(COUNTIFS(Appointments!$D$6:$D$2005,D713,Appointments!$F$6:$F$2005,"Done",Appointments!$M$6:$M$2005,"&gt;"&amp;M713)=0,1,0),0)</f>
        <v/>
      </c>
      <c r="O713">
        <f>IF(AND(F713="Booked",M713&lt;&gt;"",N(B713)&gt;=TODAY()),IF(COUNTIFS(Appointments!$D$6:$D$2005,D713,Appointments!$F$6:$F$2005,"Booked",Appointments!$B$6:$B$2005,"&gt;="&amp;TODAY(),Appointments!$M$6:$M$2005,"&lt;"&amp;M713)=0,1,0),0)</f>
        <v/>
      </c>
    </row>
    <row r="714">
      <c r="A714" s="1" t="n"/>
      <c r="B714" s="30" t="n">
        <v>46196</v>
      </c>
      <c r="C714" s="31" t="n">
        <v>0.4861111111111111</v>
      </c>
      <c r="D714" s="32" t="inlineStr">
        <is>
          <t>Owen Webb</t>
        </is>
      </c>
      <c r="E714" s="32" t="inlineStr">
        <is>
          <t>Men's haircut</t>
        </is>
      </c>
      <c r="F714" s="33" t="inlineStr">
        <is>
          <t>No-show</t>
        </is>
      </c>
      <c r="G714" s="27">
        <f>IF(E714="","",MAX(0,IFERROR(INDEX(Services!$C$6:$C$35,MATCH(E714,Services!$B$6:$B$35,0)),0)-N(H714)))</f>
        <v/>
      </c>
      <c r="H714" s="34" t="n"/>
      <c r="I714" s="34" t="n"/>
      <c r="J714" s="33" t="n"/>
      <c r="K714" s="28">
        <f>IF(OR(B714="",F714&lt;&gt;"Done",J714="Package"),"",IF(N(G714)-N(I714)&gt;0,N(G714)-N(I714),""))</f>
        <v/>
      </c>
      <c r="L714" s="32" t="n"/>
      <c r="M714" s="1">
        <f>IF(OR(B714="",D714="",F714="Cancelled"),"",B714+N(C714)+ROW()/10000000)</f>
        <v/>
      </c>
      <c r="N714">
        <f>IF(AND(F714="Done",M714&lt;&gt;""),IF(COUNTIFS(Appointments!$D$6:$D$2005,D714,Appointments!$F$6:$F$2005,"Done",Appointments!$M$6:$M$2005,"&gt;"&amp;M714)=0,1,0),0)</f>
        <v/>
      </c>
      <c r="O714">
        <f>IF(AND(F714="Booked",M714&lt;&gt;"",N(B714)&gt;=TODAY()),IF(COUNTIFS(Appointments!$D$6:$D$2005,D714,Appointments!$F$6:$F$2005,"Booked",Appointments!$B$6:$B$2005,"&gt;="&amp;TODAY(),Appointments!$M$6:$M$2005,"&lt;"&amp;M714)=0,1,0),0)</f>
        <v/>
      </c>
    </row>
    <row r="715">
      <c r="A715" s="1" t="n"/>
      <c r="B715" s="30" t="n">
        <v>46196</v>
      </c>
      <c r="C715" s="31" t="n">
        <v>0.5138888888888888</v>
      </c>
      <c r="D715" s="32" t="inlineStr">
        <is>
          <t>Sara Stone</t>
        </is>
      </c>
      <c r="E715" s="32" t="inlineStr">
        <is>
          <t>Women's haircut</t>
        </is>
      </c>
      <c r="F715" s="33" t="inlineStr">
        <is>
          <t>Done</t>
        </is>
      </c>
      <c r="G715" s="27">
        <f>IF(E715="","",MAX(0,IFERROR(INDEX(Services!$C$6:$C$35,MATCH(E715,Services!$B$6:$B$35,0)),0)-N(H715)))</f>
        <v/>
      </c>
      <c r="H715" s="34" t="n"/>
      <c r="I715" s="34" t="n">
        <v>55</v>
      </c>
      <c r="J715" s="33" t="inlineStr">
        <is>
          <t>Card</t>
        </is>
      </c>
      <c r="K715" s="28">
        <f>IF(OR(B715="",F715&lt;&gt;"Done",J715="Package"),"",IF(N(G715)-N(I715)&gt;0,N(G715)-N(I715),""))</f>
        <v/>
      </c>
      <c r="L715" s="32" t="n"/>
      <c r="M715" s="1">
        <f>IF(OR(B715="",D715="",F715="Cancelled"),"",B715+N(C715)+ROW()/10000000)</f>
        <v/>
      </c>
      <c r="N715">
        <f>IF(AND(F715="Done",M715&lt;&gt;""),IF(COUNTIFS(Appointments!$D$6:$D$2005,D715,Appointments!$F$6:$F$2005,"Done",Appointments!$M$6:$M$2005,"&gt;"&amp;M715)=0,1,0),0)</f>
        <v/>
      </c>
      <c r="O715">
        <f>IF(AND(F715="Booked",M715&lt;&gt;"",N(B715)&gt;=TODAY()),IF(COUNTIFS(Appointments!$D$6:$D$2005,D715,Appointments!$F$6:$F$2005,"Booked",Appointments!$B$6:$B$2005,"&gt;="&amp;TODAY(),Appointments!$M$6:$M$2005,"&lt;"&amp;M715)=0,1,0),0)</f>
        <v/>
      </c>
    </row>
    <row r="716">
      <c r="A716" s="1" t="n"/>
      <c r="B716" s="30" t="n">
        <v>46196</v>
      </c>
      <c r="C716" s="31" t="n">
        <v>0.5625</v>
      </c>
      <c r="D716" s="32" t="inlineStr">
        <is>
          <t>Tina Baker</t>
        </is>
      </c>
      <c r="E716" s="32" t="inlineStr">
        <is>
          <t>Women's haircut</t>
        </is>
      </c>
      <c r="F716" s="33" t="inlineStr">
        <is>
          <t>Done</t>
        </is>
      </c>
      <c r="G716" s="27">
        <f>IF(E716="","",MAX(0,IFERROR(INDEX(Services!$C$6:$C$35,MATCH(E716,Services!$B$6:$B$35,0)),0)-N(H716)))</f>
        <v/>
      </c>
      <c r="H716" s="34" t="n"/>
      <c r="I716" s="34" t="n">
        <v>55</v>
      </c>
      <c r="J716" s="33" t="inlineStr">
        <is>
          <t>Card</t>
        </is>
      </c>
      <c r="K716" s="28">
        <f>IF(OR(B716="",F716&lt;&gt;"Done",J716="Package"),"",IF(N(G716)-N(I716)&gt;0,N(G716)-N(I716),""))</f>
        <v/>
      </c>
      <c r="L716" s="32" t="n"/>
      <c r="M716" s="1">
        <f>IF(OR(B716="",D716="",F716="Cancelled"),"",B716+N(C716)+ROW()/10000000)</f>
        <v/>
      </c>
      <c r="N716">
        <f>IF(AND(F716="Done",M716&lt;&gt;""),IF(COUNTIFS(Appointments!$D$6:$D$2005,D716,Appointments!$F$6:$F$2005,"Done",Appointments!$M$6:$M$2005,"&gt;"&amp;M716)=0,1,0),0)</f>
        <v/>
      </c>
      <c r="O716">
        <f>IF(AND(F716="Booked",M716&lt;&gt;"",N(B716)&gt;=TODAY()),IF(COUNTIFS(Appointments!$D$6:$D$2005,D716,Appointments!$F$6:$F$2005,"Booked",Appointments!$B$6:$B$2005,"&gt;="&amp;TODAY(),Appointments!$M$6:$M$2005,"&lt;"&amp;M716)=0,1,0),0)</f>
        <v/>
      </c>
    </row>
    <row r="717">
      <c r="A717" s="1" t="n"/>
      <c r="B717" s="30" t="n">
        <v>46197</v>
      </c>
      <c r="C717" s="31" t="n">
        <v>0.375</v>
      </c>
      <c r="D717" s="32" t="inlineStr">
        <is>
          <t>Chris West</t>
        </is>
      </c>
      <c r="E717" s="32" t="inlineStr">
        <is>
          <t>Men's haircut</t>
        </is>
      </c>
      <c r="F717" s="33" t="inlineStr">
        <is>
          <t>Done</t>
        </is>
      </c>
      <c r="G717" s="27">
        <f>IF(E717="","",MAX(0,IFERROR(INDEX(Services!$C$6:$C$35,MATCH(E717,Services!$B$6:$B$35,0)),0)-N(H717)))</f>
        <v/>
      </c>
      <c r="H717" s="34" t="n">
        <v>10</v>
      </c>
      <c r="I717" s="34" t="n">
        <v>20</v>
      </c>
      <c r="J717" s="33" t="inlineStr">
        <is>
          <t>Card</t>
        </is>
      </c>
      <c r="K717" s="28">
        <f>IF(OR(B717="",F717&lt;&gt;"Done",J717="Package"),"",IF(N(G717)-N(I717)&gt;0,N(G717)-N(I717),""))</f>
        <v/>
      </c>
      <c r="L717" s="32" t="inlineStr">
        <is>
          <t>Friends and family</t>
        </is>
      </c>
      <c r="M717" s="1">
        <f>IF(OR(B717="",D717="",F717="Cancelled"),"",B717+N(C717)+ROW()/10000000)</f>
        <v/>
      </c>
      <c r="N717">
        <f>IF(AND(F717="Done",M717&lt;&gt;""),IF(COUNTIFS(Appointments!$D$6:$D$2005,D717,Appointments!$F$6:$F$2005,"Done",Appointments!$M$6:$M$2005,"&gt;"&amp;M717)=0,1,0),0)</f>
        <v/>
      </c>
      <c r="O717">
        <f>IF(AND(F717="Booked",M717&lt;&gt;"",N(B717)&gt;=TODAY()),IF(COUNTIFS(Appointments!$D$6:$D$2005,D717,Appointments!$F$6:$F$2005,"Booked",Appointments!$B$6:$B$2005,"&gt;="&amp;TODAY(),Appointments!$M$6:$M$2005,"&lt;"&amp;M717)=0,1,0),0)</f>
        <v/>
      </c>
    </row>
    <row r="718">
      <c r="A718" s="1" t="n"/>
      <c r="B718" s="30" t="n">
        <v>46197</v>
      </c>
      <c r="C718" s="31" t="n">
        <v>0.4027777777777778</v>
      </c>
      <c r="D718" s="32" t="inlineStr">
        <is>
          <t>Finn Wood</t>
        </is>
      </c>
      <c r="E718" s="32" t="inlineStr">
        <is>
          <t>Men's haircut</t>
        </is>
      </c>
      <c r="F718" s="33" t="inlineStr">
        <is>
          <t>Done</t>
        </is>
      </c>
      <c r="G718" s="27">
        <f>IF(E718="","",MAX(0,IFERROR(INDEX(Services!$C$6:$C$35,MATCH(E718,Services!$B$6:$B$35,0)),0)-N(H718)))</f>
        <v/>
      </c>
      <c r="H718" s="34" t="n"/>
      <c r="I718" s="34" t="n">
        <v>30</v>
      </c>
      <c r="J718" s="33" t="inlineStr">
        <is>
          <t>Card</t>
        </is>
      </c>
      <c r="K718" s="28">
        <f>IF(OR(B718="",F718&lt;&gt;"Done",J718="Package"),"",IF(N(G718)-N(I718)&gt;0,N(G718)-N(I718),""))</f>
        <v/>
      </c>
      <c r="L718" s="32" t="n"/>
      <c r="M718" s="1">
        <f>IF(OR(B718="",D718="",F718="Cancelled"),"",B718+N(C718)+ROW()/10000000)</f>
        <v/>
      </c>
      <c r="N718">
        <f>IF(AND(F718="Done",M718&lt;&gt;""),IF(COUNTIFS(Appointments!$D$6:$D$2005,D718,Appointments!$F$6:$F$2005,"Done",Appointments!$M$6:$M$2005,"&gt;"&amp;M718)=0,1,0),0)</f>
        <v/>
      </c>
      <c r="O718">
        <f>IF(AND(F718="Booked",M718&lt;&gt;"",N(B718)&gt;=TODAY()),IF(COUNTIFS(Appointments!$D$6:$D$2005,D718,Appointments!$F$6:$F$2005,"Booked",Appointments!$B$6:$B$2005,"&gt;="&amp;TODAY(),Appointments!$M$6:$M$2005,"&lt;"&amp;M718)=0,1,0),0)</f>
        <v/>
      </c>
    </row>
    <row r="719">
      <c r="A719" s="1" t="n"/>
      <c r="B719" s="30" t="n">
        <v>46197</v>
      </c>
      <c r="C719" s="31" t="n">
        <v>0.4305555555555556</v>
      </c>
      <c r="D719" s="32" t="inlineStr">
        <is>
          <t>Lily Young</t>
        </is>
      </c>
      <c r="E719" s="32" t="inlineStr">
        <is>
          <t>Blow dry</t>
        </is>
      </c>
      <c r="F719" s="33" t="inlineStr">
        <is>
          <t>Done</t>
        </is>
      </c>
      <c r="G719" s="27">
        <f>IF(E719="","",MAX(0,IFERROR(INDEX(Services!$C$6:$C$35,MATCH(E719,Services!$B$6:$B$35,0)),0)-N(H719)))</f>
        <v/>
      </c>
      <c r="H719" s="34" t="n"/>
      <c r="I719" s="34" t="n">
        <v>35</v>
      </c>
      <c r="J719" s="33" t="inlineStr">
        <is>
          <t>Cash</t>
        </is>
      </c>
      <c r="K719" s="28">
        <f>IF(OR(B719="",F719&lt;&gt;"Done",J719="Package"),"",IF(N(G719)-N(I719)&gt;0,N(G719)-N(I719),""))</f>
        <v/>
      </c>
      <c r="L719" s="32" t="n"/>
      <c r="M719" s="1">
        <f>IF(OR(B719="",D719="",F719="Cancelled"),"",B719+N(C719)+ROW()/10000000)</f>
        <v/>
      </c>
      <c r="N719">
        <f>IF(AND(F719="Done",M719&lt;&gt;""),IF(COUNTIFS(Appointments!$D$6:$D$2005,D719,Appointments!$F$6:$F$2005,"Done",Appointments!$M$6:$M$2005,"&gt;"&amp;M719)=0,1,0),0)</f>
        <v/>
      </c>
      <c r="O719">
        <f>IF(AND(F719="Booked",M719&lt;&gt;"",N(B719)&gt;=TODAY()),IF(COUNTIFS(Appointments!$D$6:$D$2005,D719,Appointments!$F$6:$F$2005,"Booked",Appointments!$B$6:$B$2005,"&gt;="&amp;TODAY(),Appointments!$M$6:$M$2005,"&lt;"&amp;M719)=0,1,0),0)</f>
        <v/>
      </c>
    </row>
    <row r="720">
      <c r="A720" s="1" t="n"/>
      <c r="B720" s="30" t="n">
        <v>46197</v>
      </c>
      <c r="C720" s="31" t="n">
        <v>0.46875</v>
      </c>
      <c r="D720" s="32" t="inlineStr">
        <is>
          <t>Luke Walsh</t>
        </is>
      </c>
      <c r="E720" s="32" t="inlineStr">
        <is>
          <t>Men's haircut</t>
        </is>
      </c>
      <c r="F720" s="33" t="inlineStr">
        <is>
          <t>Done</t>
        </is>
      </c>
      <c r="G720" s="27">
        <f>IF(E720="","",MAX(0,IFERROR(INDEX(Services!$C$6:$C$35,MATCH(E720,Services!$B$6:$B$35,0)),0)-N(H720)))</f>
        <v/>
      </c>
      <c r="H720" s="34" t="n"/>
      <c r="I720" s="34" t="n">
        <v>30</v>
      </c>
      <c r="J720" s="33" t="inlineStr">
        <is>
          <t>Card</t>
        </is>
      </c>
      <c r="K720" s="28">
        <f>IF(OR(B720="",F720&lt;&gt;"Done",J720="Package"),"",IF(N(G720)-N(I720)&gt;0,N(G720)-N(I720),""))</f>
        <v/>
      </c>
      <c r="L720" s="32" t="n"/>
      <c r="M720" s="1">
        <f>IF(OR(B720="",D720="",F720="Cancelled"),"",B720+N(C720)+ROW()/10000000)</f>
        <v/>
      </c>
      <c r="N720">
        <f>IF(AND(F720="Done",M720&lt;&gt;""),IF(COUNTIFS(Appointments!$D$6:$D$2005,D720,Appointments!$F$6:$F$2005,"Done",Appointments!$M$6:$M$2005,"&gt;"&amp;M720)=0,1,0),0)</f>
        <v/>
      </c>
      <c r="O720">
        <f>IF(AND(F720="Booked",M720&lt;&gt;"",N(B720)&gt;=TODAY()),IF(COUNTIFS(Appointments!$D$6:$D$2005,D720,Appointments!$F$6:$F$2005,"Booked",Appointments!$B$6:$B$2005,"&gt;="&amp;TODAY(),Appointments!$M$6:$M$2005,"&lt;"&amp;M720)=0,1,0),0)</f>
        <v/>
      </c>
    </row>
    <row r="721">
      <c r="A721" s="1" t="n"/>
      <c r="B721" s="30" t="n">
        <v>46197</v>
      </c>
      <c r="C721" s="31" t="n">
        <v>0.4965277777777778</v>
      </c>
      <c r="D721" s="32" t="inlineStr">
        <is>
          <t>Megan Lewis</t>
        </is>
      </c>
      <c r="E721" s="32" t="inlineStr">
        <is>
          <t>Women's haircut</t>
        </is>
      </c>
      <c r="F721" s="33" t="inlineStr">
        <is>
          <t>No-show</t>
        </is>
      </c>
      <c r="G721" s="27">
        <f>IF(E721="","",MAX(0,IFERROR(INDEX(Services!$C$6:$C$35,MATCH(E721,Services!$B$6:$B$35,0)),0)-N(H721)))</f>
        <v/>
      </c>
      <c r="H721" s="34" t="n"/>
      <c r="I721" s="34" t="n"/>
      <c r="J721" s="33" t="n"/>
      <c r="K721" s="28">
        <f>IF(OR(B721="",F721&lt;&gt;"Done",J721="Package"),"",IF(N(G721)-N(I721)&gt;0,N(G721)-N(I721),""))</f>
        <v/>
      </c>
      <c r="L721" s="32" t="n"/>
      <c r="M721" s="1">
        <f>IF(OR(B721="",D721="",F721="Cancelled"),"",B721+N(C721)+ROW()/10000000)</f>
        <v/>
      </c>
      <c r="N721">
        <f>IF(AND(F721="Done",M721&lt;&gt;""),IF(COUNTIFS(Appointments!$D$6:$D$2005,D721,Appointments!$F$6:$F$2005,"Done",Appointments!$M$6:$M$2005,"&gt;"&amp;M721)=0,1,0),0)</f>
        <v/>
      </c>
      <c r="O721">
        <f>IF(AND(F721="Booked",M721&lt;&gt;"",N(B721)&gt;=TODAY()),IF(COUNTIFS(Appointments!$D$6:$D$2005,D721,Appointments!$F$6:$F$2005,"Booked",Appointments!$B$6:$B$2005,"&gt;="&amp;TODAY(),Appointments!$M$6:$M$2005,"&lt;"&amp;M721)=0,1,0),0)</f>
        <v/>
      </c>
    </row>
    <row r="722">
      <c r="A722" s="1" t="n"/>
      <c r="B722" s="30" t="n">
        <v>46197</v>
      </c>
      <c r="C722" s="31" t="n">
        <v>0.5451388888888888</v>
      </c>
      <c r="D722" s="32" t="inlineStr">
        <is>
          <t>Mia Cole</t>
        </is>
      </c>
      <c r="E722" s="32" t="inlineStr">
        <is>
          <t>Treatment</t>
        </is>
      </c>
      <c r="F722" s="33" t="inlineStr">
        <is>
          <t>Done</t>
        </is>
      </c>
      <c r="G722" s="27">
        <f>IF(E722="","",MAX(0,IFERROR(INDEX(Services!$C$6:$C$35,MATCH(E722,Services!$B$6:$B$35,0)),0)-N(H722)))</f>
        <v/>
      </c>
      <c r="H722" s="34" t="n"/>
      <c r="I722" s="34" t="n">
        <v>30</v>
      </c>
      <c r="J722" s="33" t="inlineStr">
        <is>
          <t>Cash</t>
        </is>
      </c>
      <c r="K722" s="28">
        <f>IF(OR(B722="",F722&lt;&gt;"Done",J722="Package"),"",IF(N(G722)-N(I722)&gt;0,N(G722)-N(I722),""))</f>
        <v/>
      </c>
      <c r="L722" s="32" t="n"/>
      <c r="M722" s="1">
        <f>IF(OR(B722="",D722="",F722="Cancelled"),"",B722+N(C722)+ROW()/10000000)</f>
        <v/>
      </c>
      <c r="N722">
        <f>IF(AND(F722="Done",M722&lt;&gt;""),IF(COUNTIFS(Appointments!$D$6:$D$2005,D722,Appointments!$F$6:$F$2005,"Done",Appointments!$M$6:$M$2005,"&gt;"&amp;M722)=0,1,0),0)</f>
        <v/>
      </c>
      <c r="O722">
        <f>IF(AND(F722="Booked",M722&lt;&gt;"",N(B722)&gt;=TODAY()),IF(COUNTIFS(Appointments!$D$6:$D$2005,D722,Appointments!$F$6:$F$2005,"Booked",Appointments!$B$6:$B$2005,"&gt;="&amp;TODAY(),Appointments!$M$6:$M$2005,"&lt;"&amp;M722)=0,1,0),0)</f>
        <v/>
      </c>
    </row>
    <row r="723">
      <c r="A723" s="1" t="n"/>
      <c r="B723" s="30" t="n">
        <v>46197</v>
      </c>
      <c r="C723" s="31" t="n">
        <v>0.5729166666666666</v>
      </c>
      <c r="D723" s="32" t="inlineStr">
        <is>
          <t>Tom Cole</t>
        </is>
      </c>
      <c r="E723" s="32" t="inlineStr">
        <is>
          <t>Men's haircut</t>
        </is>
      </c>
      <c r="F723" s="33" t="inlineStr">
        <is>
          <t>Done</t>
        </is>
      </c>
      <c r="G723" s="27">
        <f>IF(E723="","",MAX(0,IFERROR(INDEX(Services!$C$6:$C$35,MATCH(E723,Services!$B$6:$B$35,0)),0)-N(H723)))</f>
        <v/>
      </c>
      <c r="H723" s="34" t="n"/>
      <c r="I723" s="34" t="n">
        <v>30</v>
      </c>
      <c r="J723" s="33" t="inlineStr">
        <is>
          <t>Cash</t>
        </is>
      </c>
      <c r="K723" s="28">
        <f>IF(OR(B723="",F723&lt;&gt;"Done",J723="Package"),"",IF(N(G723)-N(I723)&gt;0,N(G723)-N(I723),""))</f>
        <v/>
      </c>
      <c r="L723" s="32" t="n"/>
      <c r="M723" s="1">
        <f>IF(OR(B723="",D723="",F723="Cancelled"),"",B723+N(C723)+ROW()/10000000)</f>
        <v/>
      </c>
      <c r="N723">
        <f>IF(AND(F723="Done",M723&lt;&gt;""),IF(COUNTIFS(Appointments!$D$6:$D$2005,D723,Appointments!$F$6:$F$2005,"Done",Appointments!$M$6:$M$2005,"&gt;"&amp;M723)=0,1,0),0)</f>
        <v/>
      </c>
      <c r="O723">
        <f>IF(AND(F723="Booked",M723&lt;&gt;"",N(B723)&gt;=TODAY()),IF(COUNTIFS(Appointments!$D$6:$D$2005,D723,Appointments!$F$6:$F$2005,"Booked",Appointments!$B$6:$B$2005,"&gt;="&amp;TODAY(),Appointments!$M$6:$M$2005,"&lt;"&amp;M723)=0,1,0),0)</f>
        <v/>
      </c>
    </row>
    <row r="724">
      <c r="A724" s="1" t="n"/>
      <c r="B724" s="30" t="n">
        <v>46198</v>
      </c>
      <c r="C724" s="31" t="n">
        <v>0.375</v>
      </c>
      <c r="D724" s="32" t="inlineStr">
        <is>
          <t>Dina West</t>
        </is>
      </c>
      <c r="E724" s="32" t="inlineStr">
        <is>
          <t>Treatment</t>
        </is>
      </c>
      <c r="F724" s="33" t="inlineStr">
        <is>
          <t>Done</t>
        </is>
      </c>
      <c r="G724" s="27">
        <f>IF(E724="","",MAX(0,IFERROR(INDEX(Services!$C$6:$C$35,MATCH(E724,Services!$B$6:$B$35,0)),0)-N(H724)))</f>
        <v/>
      </c>
      <c r="H724" s="34" t="n"/>
      <c r="I724" s="34" t="n">
        <v>30</v>
      </c>
      <c r="J724" s="33" t="inlineStr">
        <is>
          <t>Card</t>
        </is>
      </c>
      <c r="K724" s="28">
        <f>IF(OR(B724="",F724&lt;&gt;"Done",J724="Package"),"",IF(N(G724)-N(I724)&gt;0,N(G724)-N(I724),""))</f>
        <v/>
      </c>
      <c r="L724" s="32" t="n"/>
      <c r="M724" s="1">
        <f>IF(OR(B724="",D724="",F724="Cancelled"),"",B724+N(C724)+ROW()/10000000)</f>
        <v/>
      </c>
      <c r="N724">
        <f>IF(AND(F724="Done",M724&lt;&gt;""),IF(COUNTIFS(Appointments!$D$6:$D$2005,D724,Appointments!$F$6:$F$2005,"Done",Appointments!$M$6:$M$2005,"&gt;"&amp;M724)=0,1,0),0)</f>
        <v/>
      </c>
      <c r="O724">
        <f>IF(AND(F724="Booked",M724&lt;&gt;"",N(B724)&gt;=TODAY()),IF(COUNTIFS(Appointments!$D$6:$D$2005,D724,Appointments!$F$6:$F$2005,"Booked",Appointments!$B$6:$B$2005,"&gt;="&amp;TODAY(),Appointments!$M$6:$M$2005,"&lt;"&amp;M724)=0,1,0),0)</f>
        <v/>
      </c>
    </row>
    <row r="725">
      <c r="A725" s="1" t="n"/>
      <c r="B725" s="30" t="n">
        <v>46198</v>
      </c>
      <c r="C725" s="31" t="n">
        <v>0.4027777777777778</v>
      </c>
      <c r="D725" s="32" t="inlineStr">
        <is>
          <t>Eli Cole</t>
        </is>
      </c>
      <c r="E725" s="32" t="inlineStr">
        <is>
          <t>Men's haircut</t>
        </is>
      </c>
      <c r="F725" s="33" t="inlineStr">
        <is>
          <t>Done</t>
        </is>
      </c>
      <c r="G725" s="27">
        <f>IF(E725="","",MAX(0,IFERROR(INDEX(Services!$C$6:$C$35,MATCH(E725,Services!$B$6:$B$35,0)),0)-N(H725)))</f>
        <v/>
      </c>
      <c r="H725" s="34" t="n">
        <v>10</v>
      </c>
      <c r="I725" s="34" t="n">
        <v>20</v>
      </c>
      <c r="J725" s="33" t="inlineStr">
        <is>
          <t>Card</t>
        </is>
      </c>
      <c r="K725" s="28">
        <f>IF(OR(B725="",F725&lt;&gt;"Done",J725="Package"),"",IF(N(G725)-N(I725)&gt;0,N(G725)-N(I725),""))</f>
        <v/>
      </c>
      <c r="L725" s="32" t="inlineStr">
        <is>
          <t>Friends and family</t>
        </is>
      </c>
      <c r="M725" s="1">
        <f>IF(OR(B725="",D725="",F725="Cancelled"),"",B725+N(C725)+ROW()/10000000)</f>
        <v/>
      </c>
      <c r="N725">
        <f>IF(AND(F725="Done",M725&lt;&gt;""),IF(COUNTIFS(Appointments!$D$6:$D$2005,D725,Appointments!$F$6:$F$2005,"Done",Appointments!$M$6:$M$2005,"&gt;"&amp;M725)=0,1,0),0)</f>
        <v/>
      </c>
      <c r="O725">
        <f>IF(AND(F725="Booked",M725&lt;&gt;"",N(B725)&gt;=TODAY()),IF(COUNTIFS(Appointments!$D$6:$D$2005,D725,Appointments!$F$6:$F$2005,"Booked",Appointments!$B$6:$B$2005,"&gt;="&amp;TODAY(),Appointments!$M$6:$M$2005,"&lt;"&amp;M725)=0,1,0),0)</f>
        <v/>
      </c>
    </row>
    <row r="726">
      <c r="A726" s="1" t="n"/>
      <c r="B726" s="30" t="n">
        <v>46198</v>
      </c>
      <c r="C726" s="31" t="n">
        <v>0.4305555555555556</v>
      </c>
      <c r="D726" s="32" t="inlineStr">
        <is>
          <t>Finn Cook</t>
        </is>
      </c>
      <c r="E726" s="32" t="inlineStr">
        <is>
          <t>Men's haircut</t>
        </is>
      </c>
      <c r="F726" s="33" t="inlineStr">
        <is>
          <t>Done</t>
        </is>
      </c>
      <c r="G726" s="27">
        <f>IF(E726="","",MAX(0,IFERROR(INDEX(Services!$C$6:$C$35,MATCH(E726,Services!$B$6:$B$35,0)),0)-N(H726)))</f>
        <v/>
      </c>
      <c r="H726" s="34" t="n"/>
      <c r="I726" s="34" t="n">
        <v>30</v>
      </c>
      <c r="J726" s="33" t="inlineStr">
        <is>
          <t>Card</t>
        </is>
      </c>
      <c r="K726" s="28">
        <f>IF(OR(B726="",F726&lt;&gt;"Done",J726="Package"),"",IF(N(G726)-N(I726)&gt;0,N(G726)-N(I726),""))</f>
        <v/>
      </c>
      <c r="L726" s="32" t="n"/>
      <c r="M726" s="1">
        <f>IF(OR(B726="",D726="",F726="Cancelled"),"",B726+N(C726)+ROW()/10000000)</f>
        <v/>
      </c>
      <c r="N726">
        <f>IF(AND(F726="Done",M726&lt;&gt;""),IF(COUNTIFS(Appointments!$D$6:$D$2005,D726,Appointments!$F$6:$F$2005,"Done",Appointments!$M$6:$M$2005,"&gt;"&amp;M726)=0,1,0),0)</f>
        <v/>
      </c>
      <c r="O726">
        <f>IF(AND(F726="Booked",M726&lt;&gt;"",N(B726)&gt;=TODAY()),IF(COUNTIFS(Appointments!$D$6:$D$2005,D726,Appointments!$F$6:$F$2005,"Booked",Appointments!$B$6:$B$2005,"&gt;="&amp;TODAY(),Appointments!$M$6:$M$2005,"&lt;"&amp;M726)=0,1,0),0)</f>
        <v/>
      </c>
    </row>
    <row r="727">
      <c r="A727" s="1" t="n"/>
      <c r="B727" s="30" t="n">
        <v>46198</v>
      </c>
      <c r="C727" s="31" t="n">
        <v>0.4583333333333333</v>
      </c>
      <c r="D727" s="32" t="inlineStr">
        <is>
          <t>Pete Young</t>
        </is>
      </c>
      <c r="E727" s="32" t="inlineStr">
        <is>
          <t>Men's haircut</t>
        </is>
      </c>
      <c r="F727" s="33" t="inlineStr">
        <is>
          <t>Done</t>
        </is>
      </c>
      <c r="G727" s="27">
        <f>IF(E727="","",MAX(0,IFERROR(INDEX(Services!$C$6:$C$35,MATCH(E727,Services!$B$6:$B$35,0)),0)-N(H727)))</f>
        <v/>
      </c>
      <c r="H727" s="34" t="n"/>
      <c r="I727" s="34" t="n">
        <v>30</v>
      </c>
      <c r="J727" s="33" t="inlineStr">
        <is>
          <t>Card</t>
        </is>
      </c>
      <c r="K727" s="28">
        <f>IF(OR(B727="",F727&lt;&gt;"Done",J727="Package"),"",IF(N(G727)-N(I727)&gt;0,N(G727)-N(I727),""))</f>
        <v/>
      </c>
      <c r="L727" s="32" t="n"/>
      <c r="M727" s="1">
        <f>IF(OR(B727="",D727="",F727="Cancelled"),"",B727+N(C727)+ROW()/10000000)</f>
        <v/>
      </c>
      <c r="N727">
        <f>IF(AND(F727="Done",M727&lt;&gt;""),IF(COUNTIFS(Appointments!$D$6:$D$2005,D727,Appointments!$F$6:$F$2005,"Done",Appointments!$M$6:$M$2005,"&gt;"&amp;M727)=0,1,0),0)</f>
        <v/>
      </c>
      <c r="O727">
        <f>IF(AND(F727="Booked",M727&lt;&gt;"",N(B727)&gt;=TODAY()),IF(COUNTIFS(Appointments!$D$6:$D$2005,D727,Appointments!$F$6:$F$2005,"Booked",Appointments!$B$6:$B$2005,"&gt;="&amp;TODAY(),Appointments!$M$6:$M$2005,"&lt;"&amp;M727)=0,1,0),0)</f>
        <v/>
      </c>
    </row>
    <row r="728">
      <c r="A728" s="1" t="n"/>
      <c r="B728" s="30" t="n">
        <v>46198</v>
      </c>
      <c r="C728" s="31" t="n">
        <v>0.4861111111111111</v>
      </c>
      <c r="D728" s="32" t="inlineStr">
        <is>
          <t>Ruby Shaw</t>
        </is>
      </c>
      <c r="E728" s="32" t="inlineStr">
        <is>
          <t>Women's haircut</t>
        </is>
      </c>
      <c r="F728" s="33" t="inlineStr">
        <is>
          <t>Done</t>
        </is>
      </c>
      <c r="G728" s="27">
        <f>IF(E728="","",MAX(0,IFERROR(INDEX(Services!$C$6:$C$35,MATCH(E728,Services!$B$6:$B$35,0)),0)-N(H728)))</f>
        <v/>
      </c>
      <c r="H728" s="34" t="n"/>
      <c r="I728" s="34" t="n">
        <v>55</v>
      </c>
      <c r="J728" s="33" t="inlineStr">
        <is>
          <t>Card</t>
        </is>
      </c>
      <c r="K728" s="28">
        <f>IF(OR(B728="",F728&lt;&gt;"Done",J728="Package"),"",IF(N(G728)-N(I728)&gt;0,N(G728)-N(I728),""))</f>
        <v/>
      </c>
      <c r="L728" s="32" t="n"/>
      <c r="M728" s="1">
        <f>IF(OR(B728="",D728="",F728="Cancelled"),"",B728+N(C728)+ROW()/10000000)</f>
        <v/>
      </c>
      <c r="N728">
        <f>IF(AND(F728="Done",M728&lt;&gt;""),IF(COUNTIFS(Appointments!$D$6:$D$2005,D728,Appointments!$F$6:$F$2005,"Done",Appointments!$M$6:$M$2005,"&gt;"&amp;M728)=0,1,0),0)</f>
        <v/>
      </c>
      <c r="O728">
        <f>IF(AND(F728="Booked",M728&lt;&gt;"",N(B728)&gt;=TODAY()),IF(COUNTIFS(Appointments!$D$6:$D$2005,D728,Appointments!$F$6:$F$2005,"Booked",Appointments!$B$6:$B$2005,"&gt;="&amp;TODAY(),Appointments!$M$6:$M$2005,"&lt;"&amp;M728)=0,1,0),0)</f>
        <v/>
      </c>
    </row>
    <row r="729">
      <c r="A729" s="1" t="n"/>
      <c r="B729" s="30" t="n">
        <v>46198</v>
      </c>
      <c r="C729" s="31" t="n">
        <v>0.5347222222222222</v>
      </c>
      <c r="D729" s="32" t="inlineStr">
        <is>
          <t>Ryan Davies</t>
        </is>
      </c>
      <c r="E729" s="32" t="inlineStr">
        <is>
          <t>Men's haircut</t>
        </is>
      </c>
      <c r="F729" s="33" t="inlineStr">
        <is>
          <t>Done</t>
        </is>
      </c>
      <c r="G729" s="27">
        <f>IF(E729="","",MAX(0,IFERROR(INDEX(Services!$C$6:$C$35,MATCH(E729,Services!$B$6:$B$35,0)),0)-N(H729)))</f>
        <v/>
      </c>
      <c r="H729" s="34" t="n"/>
      <c r="I729" s="34" t="n">
        <v>30</v>
      </c>
      <c r="J729" s="33" t="inlineStr">
        <is>
          <t>Cash</t>
        </is>
      </c>
      <c r="K729" s="28">
        <f>IF(OR(B729="",F729&lt;&gt;"Done",J729="Package"),"",IF(N(G729)-N(I729)&gt;0,N(G729)-N(I729),""))</f>
        <v/>
      </c>
      <c r="L729" s="32" t="n"/>
      <c r="M729" s="1">
        <f>IF(OR(B729="",D729="",F729="Cancelled"),"",B729+N(C729)+ROW()/10000000)</f>
        <v/>
      </c>
      <c r="N729">
        <f>IF(AND(F729="Done",M729&lt;&gt;""),IF(COUNTIFS(Appointments!$D$6:$D$2005,D729,Appointments!$F$6:$F$2005,"Done",Appointments!$M$6:$M$2005,"&gt;"&amp;M729)=0,1,0),0)</f>
        <v/>
      </c>
      <c r="O729">
        <f>IF(AND(F729="Booked",M729&lt;&gt;"",N(B729)&gt;=TODAY()),IF(COUNTIFS(Appointments!$D$6:$D$2005,D729,Appointments!$F$6:$F$2005,"Booked",Appointments!$B$6:$B$2005,"&gt;="&amp;TODAY(),Appointments!$M$6:$M$2005,"&lt;"&amp;M729)=0,1,0),0)</f>
        <v/>
      </c>
    </row>
    <row r="730">
      <c r="A730" s="1" t="n"/>
      <c r="B730" s="30" t="n">
        <v>46198</v>
      </c>
      <c r="C730" s="31" t="n">
        <v>0.5625</v>
      </c>
      <c r="D730" s="32" t="inlineStr">
        <is>
          <t>Tom Ellis</t>
        </is>
      </c>
      <c r="E730" s="32" t="inlineStr">
        <is>
          <t>Men's haircut</t>
        </is>
      </c>
      <c r="F730" s="33" t="inlineStr">
        <is>
          <t>Done</t>
        </is>
      </c>
      <c r="G730" s="27">
        <f>IF(E730="","",MAX(0,IFERROR(INDEX(Services!$C$6:$C$35,MATCH(E730,Services!$B$6:$B$35,0)),0)-N(H730)))</f>
        <v/>
      </c>
      <c r="H730" s="34" t="n">
        <v>10</v>
      </c>
      <c r="I730" s="34" t="n">
        <v>20</v>
      </c>
      <c r="J730" s="33" t="inlineStr">
        <is>
          <t>Cash</t>
        </is>
      </c>
      <c r="K730" s="28">
        <f>IF(OR(B730="",F730&lt;&gt;"Done",J730="Package"),"",IF(N(G730)-N(I730)&gt;0,N(G730)-N(I730),""))</f>
        <v/>
      </c>
      <c r="L730" s="32" t="inlineStr">
        <is>
          <t>Friends and family</t>
        </is>
      </c>
      <c r="M730" s="1">
        <f>IF(OR(B730="",D730="",F730="Cancelled"),"",B730+N(C730)+ROW()/10000000)</f>
        <v/>
      </c>
      <c r="N730">
        <f>IF(AND(F730="Done",M730&lt;&gt;""),IF(COUNTIFS(Appointments!$D$6:$D$2005,D730,Appointments!$F$6:$F$2005,"Done",Appointments!$M$6:$M$2005,"&gt;"&amp;M730)=0,1,0),0)</f>
        <v/>
      </c>
      <c r="O730">
        <f>IF(AND(F730="Booked",M730&lt;&gt;"",N(B730)&gt;=TODAY()),IF(COUNTIFS(Appointments!$D$6:$D$2005,D730,Appointments!$F$6:$F$2005,"Booked",Appointments!$B$6:$B$2005,"&gt;="&amp;TODAY(),Appointments!$M$6:$M$2005,"&lt;"&amp;M730)=0,1,0),0)</f>
        <v/>
      </c>
    </row>
    <row r="731">
      <c r="A731" s="1" t="n"/>
      <c r="B731" s="30" t="n">
        <v>46199</v>
      </c>
      <c r="C731" s="31" t="n">
        <v>0.375</v>
      </c>
      <c r="D731" s="32" t="inlineStr">
        <is>
          <t>Amy Hall</t>
        </is>
      </c>
      <c r="E731" s="32" t="inlineStr">
        <is>
          <t>Women's haircut</t>
        </is>
      </c>
      <c r="F731" s="33" t="inlineStr">
        <is>
          <t>Done</t>
        </is>
      </c>
      <c r="G731" s="27">
        <f>IF(E731="","",MAX(0,IFERROR(INDEX(Services!$C$6:$C$35,MATCH(E731,Services!$B$6:$B$35,0)),0)-N(H731)))</f>
        <v/>
      </c>
      <c r="H731" s="34" t="n"/>
      <c r="I731" s="34" t="n">
        <v>55</v>
      </c>
      <c r="J731" s="33" t="inlineStr">
        <is>
          <t>Transfer</t>
        </is>
      </c>
      <c r="K731" s="28">
        <f>IF(OR(B731="",F731&lt;&gt;"Done",J731="Package"),"",IF(N(G731)-N(I731)&gt;0,N(G731)-N(I731),""))</f>
        <v/>
      </c>
      <c r="L731" s="32" t="n"/>
      <c r="M731" s="1">
        <f>IF(OR(B731="",D731="",F731="Cancelled"),"",B731+N(C731)+ROW()/10000000)</f>
        <v/>
      </c>
      <c r="N731">
        <f>IF(AND(F731="Done",M731&lt;&gt;""),IF(COUNTIFS(Appointments!$D$6:$D$2005,D731,Appointments!$F$6:$F$2005,"Done",Appointments!$M$6:$M$2005,"&gt;"&amp;M731)=0,1,0),0)</f>
        <v/>
      </c>
      <c r="O731">
        <f>IF(AND(F731="Booked",M731&lt;&gt;"",N(B731)&gt;=TODAY()),IF(COUNTIFS(Appointments!$D$6:$D$2005,D731,Appointments!$F$6:$F$2005,"Booked",Appointments!$B$6:$B$2005,"&gt;="&amp;TODAY(),Appointments!$M$6:$M$2005,"&lt;"&amp;M731)=0,1,0),0)</f>
        <v/>
      </c>
    </row>
    <row r="732">
      <c r="A732" s="1" t="n"/>
      <c r="B732" s="30" t="n">
        <v>46199</v>
      </c>
      <c r="C732" s="31" t="n">
        <v>0.4236111111111111</v>
      </c>
      <c r="D732" s="32" t="inlineStr">
        <is>
          <t>Eli James</t>
        </is>
      </c>
      <c r="E732" s="32" t="inlineStr">
        <is>
          <t>Men's haircut</t>
        </is>
      </c>
      <c r="F732" s="33" t="inlineStr">
        <is>
          <t>Done</t>
        </is>
      </c>
      <c r="G732" s="27">
        <f>IF(E732="","",MAX(0,IFERROR(INDEX(Services!$C$6:$C$35,MATCH(E732,Services!$B$6:$B$35,0)),0)-N(H732)))</f>
        <v/>
      </c>
      <c r="H732" s="34" t="n"/>
      <c r="I732" s="34" t="n">
        <v>30</v>
      </c>
      <c r="J732" s="33" t="inlineStr">
        <is>
          <t>Card</t>
        </is>
      </c>
      <c r="K732" s="28">
        <f>IF(OR(B732="",F732&lt;&gt;"Done",J732="Package"),"",IF(N(G732)-N(I732)&gt;0,N(G732)-N(I732),""))</f>
        <v/>
      </c>
      <c r="L732" s="32" t="n"/>
      <c r="M732" s="1">
        <f>IF(OR(B732="",D732="",F732="Cancelled"),"",B732+N(C732)+ROW()/10000000)</f>
        <v/>
      </c>
      <c r="N732">
        <f>IF(AND(F732="Done",M732&lt;&gt;""),IF(COUNTIFS(Appointments!$D$6:$D$2005,D732,Appointments!$F$6:$F$2005,"Done",Appointments!$M$6:$M$2005,"&gt;"&amp;M732)=0,1,0),0)</f>
        <v/>
      </c>
      <c r="O732">
        <f>IF(AND(F732="Booked",M732&lt;&gt;"",N(B732)&gt;=TODAY()),IF(COUNTIFS(Appointments!$D$6:$D$2005,D732,Appointments!$F$6:$F$2005,"Booked",Appointments!$B$6:$B$2005,"&gt;="&amp;TODAY(),Appointments!$M$6:$M$2005,"&lt;"&amp;M732)=0,1,0),0)</f>
        <v/>
      </c>
    </row>
    <row r="733">
      <c r="A733" s="1" t="n"/>
      <c r="B733" s="30" t="n">
        <v>46199</v>
      </c>
      <c r="C733" s="31" t="n">
        <v>0.4513888888888889</v>
      </c>
      <c r="D733" s="32" t="inlineStr">
        <is>
          <t>Nora Walsh</t>
        </is>
      </c>
      <c r="E733" s="32" t="inlineStr">
        <is>
          <t>Treatment</t>
        </is>
      </c>
      <c r="F733" s="33" t="inlineStr">
        <is>
          <t>Done</t>
        </is>
      </c>
      <c r="G733" s="27">
        <f>IF(E733="","",MAX(0,IFERROR(INDEX(Services!$C$6:$C$35,MATCH(E733,Services!$B$6:$B$35,0)),0)-N(H733)))</f>
        <v/>
      </c>
      <c r="H733" s="34" t="n"/>
      <c r="I733" s="34" t="n">
        <v>30</v>
      </c>
      <c r="J733" s="33" t="inlineStr">
        <is>
          <t>Transfer</t>
        </is>
      </c>
      <c r="K733" s="28">
        <f>IF(OR(B733="",F733&lt;&gt;"Done",J733="Package"),"",IF(N(G733)-N(I733)&gt;0,N(G733)-N(I733),""))</f>
        <v/>
      </c>
      <c r="L733" s="32" t="n"/>
      <c r="M733" s="1">
        <f>IF(OR(B733="",D733="",F733="Cancelled"),"",B733+N(C733)+ROW()/10000000)</f>
        <v/>
      </c>
      <c r="N733">
        <f>IF(AND(F733="Done",M733&lt;&gt;""),IF(COUNTIFS(Appointments!$D$6:$D$2005,D733,Appointments!$F$6:$F$2005,"Done",Appointments!$M$6:$M$2005,"&gt;"&amp;M733)=0,1,0),0)</f>
        <v/>
      </c>
      <c r="O733">
        <f>IF(AND(F733="Booked",M733&lt;&gt;"",N(B733)&gt;=TODAY()),IF(COUNTIFS(Appointments!$D$6:$D$2005,D733,Appointments!$F$6:$F$2005,"Booked",Appointments!$B$6:$B$2005,"&gt;="&amp;TODAY(),Appointments!$M$6:$M$2005,"&lt;"&amp;M733)=0,1,0),0)</f>
        <v/>
      </c>
    </row>
    <row r="734">
      <c r="A734" s="1" t="n"/>
      <c r="B734" s="30" t="n">
        <v>46199</v>
      </c>
      <c r="C734" s="31" t="n">
        <v>0.4791666666666667</v>
      </c>
      <c r="D734" s="32" t="inlineStr">
        <is>
          <t>Uma Nair</t>
        </is>
      </c>
      <c r="E734" s="32" t="inlineStr">
        <is>
          <t>Women's haircut</t>
        </is>
      </c>
      <c r="F734" s="33" t="inlineStr">
        <is>
          <t>Done</t>
        </is>
      </c>
      <c r="G734" s="27">
        <f>IF(E734="","",MAX(0,IFERROR(INDEX(Services!$C$6:$C$35,MATCH(E734,Services!$B$6:$B$35,0)),0)-N(H734)))</f>
        <v/>
      </c>
      <c r="H734" s="34" t="n"/>
      <c r="I734" s="34" t="n">
        <v>55</v>
      </c>
      <c r="J734" s="33" t="inlineStr">
        <is>
          <t>Cash</t>
        </is>
      </c>
      <c r="K734" s="28">
        <f>IF(OR(B734="",F734&lt;&gt;"Done",J734="Package"),"",IF(N(G734)-N(I734)&gt;0,N(G734)-N(I734),""))</f>
        <v/>
      </c>
      <c r="L734" s="32" t="n"/>
      <c r="M734" s="1">
        <f>IF(OR(B734="",D734="",F734="Cancelled"),"",B734+N(C734)+ROW()/10000000)</f>
        <v/>
      </c>
      <c r="N734">
        <f>IF(AND(F734="Done",M734&lt;&gt;""),IF(COUNTIFS(Appointments!$D$6:$D$2005,D734,Appointments!$F$6:$F$2005,"Done",Appointments!$M$6:$M$2005,"&gt;"&amp;M734)=0,1,0),0)</f>
        <v/>
      </c>
      <c r="O734">
        <f>IF(AND(F734="Booked",M734&lt;&gt;"",N(B734)&gt;=TODAY()),IF(COUNTIFS(Appointments!$D$6:$D$2005,D734,Appointments!$F$6:$F$2005,"Booked",Appointments!$B$6:$B$2005,"&gt;="&amp;TODAY(),Appointments!$M$6:$M$2005,"&lt;"&amp;M734)=0,1,0),0)</f>
        <v/>
      </c>
    </row>
    <row r="735">
      <c r="A735" s="1" t="n"/>
      <c r="B735" s="30" t="n">
        <v>46200</v>
      </c>
      <c r="C735" s="31" t="n">
        <v>0.375</v>
      </c>
      <c r="D735" s="32" t="inlineStr">
        <is>
          <t>Ella James</t>
        </is>
      </c>
      <c r="E735" s="32" t="inlineStr">
        <is>
          <t>Women's haircut</t>
        </is>
      </c>
      <c r="F735" s="33" t="inlineStr">
        <is>
          <t>Done</t>
        </is>
      </c>
      <c r="G735" s="27">
        <f>IF(E735="","",MAX(0,IFERROR(INDEX(Services!$C$6:$C$35,MATCH(E735,Services!$B$6:$B$35,0)),0)-N(H735)))</f>
        <v/>
      </c>
      <c r="H735" s="34" t="n"/>
      <c r="I735" s="34" t="n">
        <v>55</v>
      </c>
      <c r="J735" s="33" t="inlineStr">
        <is>
          <t>Card</t>
        </is>
      </c>
      <c r="K735" s="28">
        <f>IF(OR(B735="",F735&lt;&gt;"Done",J735="Package"),"",IF(N(G735)-N(I735)&gt;0,N(G735)-N(I735),""))</f>
        <v/>
      </c>
      <c r="L735" s="32" t="n"/>
      <c r="M735" s="1">
        <f>IF(OR(B735="",D735="",F735="Cancelled"),"",B735+N(C735)+ROW()/10000000)</f>
        <v/>
      </c>
      <c r="N735">
        <f>IF(AND(F735="Done",M735&lt;&gt;""),IF(COUNTIFS(Appointments!$D$6:$D$2005,D735,Appointments!$F$6:$F$2005,"Done",Appointments!$M$6:$M$2005,"&gt;"&amp;M735)=0,1,0),0)</f>
        <v/>
      </c>
      <c r="O735">
        <f>IF(AND(F735="Booked",M735&lt;&gt;"",N(B735)&gt;=TODAY()),IF(COUNTIFS(Appointments!$D$6:$D$2005,D735,Appointments!$F$6:$F$2005,"Booked",Appointments!$B$6:$B$2005,"&gt;="&amp;TODAY(),Appointments!$M$6:$M$2005,"&lt;"&amp;M735)=0,1,0),0)</f>
        <v/>
      </c>
    </row>
    <row r="736">
      <c r="A736" s="1" t="n"/>
      <c r="B736" s="30" t="n">
        <v>46200</v>
      </c>
      <c r="C736" s="31" t="n">
        <v>0.4236111111111111</v>
      </c>
      <c r="D736" s="32" t="inlineStr">
        <is>
          <t>Fiona Price</t>
        </is>
      </c>
      <c r="E736" s="32" t="inlineStr">
        <is>
          <t>Toner</t>
        </is>
      </c>
      <c r="F736" s="33" t="inlineStr">
        <is>
          <t>Done</t>
        </is>
      </c>
      <c r="G736" s="27">
        <f>IF(E736="","",MAX(0,IFERROR(INDEX(Services!$C$6:$C$35,MATCH(E736,Services!$B$6:$B$35,0)),0)-N(H736)))</f>
        <v/>
      </c>
      <c r="H736" s="34" t="n"/>
      <c r="I736" s="34" t="n">
        <v>40</v>
      </c>
      <c r="J736" s="33" t="inlineStr">
        <is>
          <t>App</t>
        </is>
      </c>
      <c r="K736" s="28">
        <f>IF(OR(B736="",F736&lt;&gt;"Done",J736="Package"),"",IF(N(G736)-N(I736)&gt;0,N(G736)-N(I736),""))</f>
        <v/>
      </c>
      <c r="L736" s="32" t="n"/>
      <c r="M736" s="1">
        <f>IF(OR(B736="",D736="",F736="Cancelled"),"",B736+N(C736)+ROW()/10000000)</f>
        <v/>
      </c>
      <c r="N736">
        <f>IF(AND(F736="Done",M736&lt;&gt;""),IF(COUNTIFS(Appointments!$D$6:$D$2005,D736,Appointments!$F$6:$F$2005,"Done",Appointments!$M$6:$M$2005,"&gt;"&amp;M736)=0,1,0),0)</f>
        <v/>
      </c>
      <c r="O736">
        <f>IF(AND(F736="Booked",M736&lt;&gt;"",N(B736)&gt;=TODAY()),IF(COUNTIFS(Appointments!$D$6:$D$2005,D736,Appointments!$F$6:$F$2005,"Booked",Appointments!$B$6:$B$2005,"&gt;="&amp;TODAY(),Appointments!$M$6:$M$2005,"&lt;"&amp;M736)=0,1,0),0)</f>
        <v/>
      </c>
    </row>
    <row r="737">
      <c r="A737" s="1" t="n"/>
      <c r="B737" s="30" t="n">
        <v>46200</v>
      </c>
      <c r="C737" s="31" t="n">
        <v>0.4513888888888889</v>
      </c>
      <c r="D737" s="32" t="inlineStr">
        <is>
          <t>George Mason</t>
        </is>
      </c>
      <c r="E737" s="32" t="inlineStr">
        <is>
          <t>Men's haircut</t>
        </is>
      </c>
      <c r="F737" s="33" t="inlineStr">
        <is>
          <t>Done</t>
        </is>
      </c>
      <c r="G737" s="27">
        <f>IF(E737="","",MAX(0,IFERROR(INDEX(Services!$C$6:$C$35,MATCH(E737,Services!$B$6:$B$35,0)),0)-N(H737)))</f>
        <v/>
      </c>
      <c r="H737" s="34" t="n"/>
      <c r="I737" s="34" t="n">
        <v>30</v>
      </c>
      <c r="J737" s="33" t="inlineStr">
        <is>
          <t>Card</t>
        </is>
      </c>
      <c r="K737" s="28">
        <f>IF(OR(B737="",F737&lt;&gt;"Done",J737="Package"),"",IF(N(G737)-N(I737)&gt;0,N(G737)-N(I737),""))</f>
        <v/>
      </c>
      <c r="L737" s="32" t="n"/>
      <c r="M737" s="1">
        <f>IF(OR(B737="",D737="",F737="Cancelled"),"",B737+N(C737)+ROW()/10000000)</f>
        <v/>
      </c>
      <c r="N737">
        <f>IF(AND(F737="Done",M737&lt;&gt;""),IF(COUNTIFS(Appointments!$D$6:$D$2005,D737,Appointments!$F$6:$F$2005,"Done",Appointments!$M$6:$M$2005,"&gt;"&amp;M737)=0,1,0),0)</f>
        <v/>
      </c>
      <c r="O737">
        <f>IF(AND(F737="Booked",M737&lt;&gt;"",N(B737)&gt;=TODAY()),IF(COUNTIFS(Appointments!$D$6:$D$2005,D737,Appointments!$F$6:$F$2005,"Booked",Appointments!$B$6:$B$2005,"&gt;="&amp;TODAY(),Appointments!$M$6:$M$2005,"&lt;"&amp;M737)=0,1,0),0)</f>
        <v/>
      </c>
    </row>
    <row r="738">
      <c r="A738" s="1" t="n"/>
      <c r="B738" s="30" t="n">
        <v>46200</v>
      </c>
      <c r="C738" s="31" t="n">
        <v>0.4791666666666667</v>
      </c>
      <c r="D738" s="32" t="inlineStr">
        <is>
          <t>Harry Lewis</t>
        </is>
      </c>
      <c r="E738" s="32" t="inlineStr">
        <is>
          <t>Men's haircut</t>
        </is>
      </c>
      <c r="F738" s="33" t="inlineStr">
        <is>
          <t>Done</t>
        </is>
      </c>
      <c r="G738" s="27">
        <f>IF(E738="","",MAX(0,IFERROR(INDEX(Services!$C$6:$C$35,MATCH(E738,Services!$B$6:$B$35,0)),0)-N(H738)))</f>
        <v/>
      </c>
      <c r="H738" s="34" t="n"/>
      <c r="I738" s="34" t="n">
        <v>30</v>
      </c>
      <c r="J738" s="33" t="inlineStr">
        <is>
          <t>Card</t>
        </is>
      </c>
      <c r="K738" s="28">
        <f>IF(OR(B738="",F738&lt;&gt;"Done",J738="Package"),"",IF(N(G738)-N(I738)&gt;0,N(G738)-N(I738),""))</f>
        <v/>
      </c>
      <c r="L738" s="32" t="n"/>
      <c r="M738" s="1">
        <f>IF(OR(B738="",D738="",F738="Cancelled"),"",B738+N(C738)+ROW()/10000000)</f>
        <v/>
      </c>
      <c r="N738">
        <f>IF(AND(F738="Done",M738&lt;&gt;""),IF(COUNTIFS(Appointments!$D$6:$D$2005,D738,Appointments!$F$6:$F$2005,"Done",Appointments!$M$6:$M$2005,"&gt;"&amp;M738)=0,1,0),0)</f>
        <v/>
      </c>
      <c r="O738">
        <f>IF(AND(F738="Booked",M738&lt;&gt;"",N(B738)&gt;=TODAY()),IF(COUNTIFS(Appointments!$D$6:$D$2005,D738,Appointments!$F$6:$F$2005,"Booked",Appointments!$B$6:$B$2005,"&gt;="&amp;TODAY(),Appointments!$M$6:$M$2005,"&lt;"&amp;M738)=0,1,0),0)</f>
        <v/>
      </c>
    </row>
    <row r="739">
      <c r="A739" s="1" t="n"/>
      <c r="B739" s="30" t="n">
        <v>46200</v>
      </c>
      <c r="C739" s="31" t="n">
        <v>0.5069444444444444</v>
      </c>
      <c r="D739" s="32" t="inlineStr">
        <is>
          <t>Holly Fox</t>
        </is>
      </c>
      <c r="E739" s="32" t="inlineStr">
        <is>
          <t>Blow dry</t>
        </is>
      </c>
      <c r="F739" s="33" t="inlineStr">
        <is>
          <t>Done</t>
        </is>
      </c>
      <c r="G739" s="27">
        <f>IF(E739="","",MAX(0,IFERROR(INDEX(Services!$C$6:$C$35,MATCH(E739,Services!$B$6:$B$35,0)),0)-N(H739)))</f>
        <v/>
      </c>
      <c r="H739" s="34" t="n"/>
      <c r="I739" s="34" t="n">
        <v>35</v>
      </c>
      <c r="J739" s="33" t="inlineStr">
        <is>
          <t>Card</t>
        </is>
      </c>
      <c r="K739" s="28">
        <f>IF(OR(B739="",F739&lt;&gt;"Done",J739="Package"),"",IF(N(G739)-N(I739)&gt;0,N(G739)-N(I739),""))</f>
        <v/>
      </c>
      <c r="L739" s="32" t="n"/>
      <c r="M739" s="1">
        <f>IF(OR(B739="",D739="",F739="Cancelled"),"",B739+N(C739)+ROW()/10000000)</f>
        <v/>
      </c>
      <c r="N739">
        <f>IF(AND(F739="Done",M739&lt;&gt;""),IF(COUNTIFS(Appointments!$D$6:$D$2005,D739,Appointments!$F$6:$F$2005,"Done",Appointments!$M$6:$M$2005,"&gt;"&amp;M739)=0,1,0),0)</f>
        <v/>
      </c>
      <c r="O739">
        <f>IF(AND(F739="Booked",M739&lt;&gt;"",N(B739)&gt;=TODAY()),IF(COUNTIFS(Appointments!$D$6:$D$2005,D739,Appointments!$F$6:$F$2005,"Booked",Appointments!$B$6:$B$2005,"&gt;="&amp;TODAY(),Appointments!$M$6:$M$2005,"&lt;"&amp;M739)=0,1,0),0)</f>
        <v/>
      </c>
    </row>
    <row r="740">
      <c r="A740" s="1" t="n"/>
      <c r="B740" s="30" t="n">
        <v>46200</v>
      </c>
      <c r="C740" s="31" t="n">
        <v>0.5451388888888888</v>
      </c>
      <c r="D740" s="32" t="inlineStr">
        <is>
          <t>Jack Wilson</t>
        </is>
      </c>
      <c r="E740" s="32" t="inlineStr">
        <is>
          <t>Men's haircut</t>
        </is>
      </c>
      <c r="F740" s="33" t="inlineStr">
        <is>
          <t>Done</t>
        </is>
      </c>
      <c r="G740" s="27">
        <f>IF(E740="","",MAX(0,IFERROR(INDEX(Services!$C$6:$C$35,MATCH(E740,Services!$B$6:$B$35,0)),0)-N(H740)))</f>
        <v/>
      </c>
      <c r="H740" s="34" t="n"/>
      <c r="I740" s="34" t="n">
        <v>30</v>
      </c>
      <c r="J740" s="33" t="inlineStr">
        <is>
          <t>Card</t>
        </is>
      </c>
      <c r="K740" s="28">
        <f>IF(OR(B740="",F740&lt;&gt;"Done",J740="Package"),"",IF(N(G740)-N(I740)&gt;0,N(G740)-N(I740),""))</f>
        <v/>
      </c>
      <c r="L740" s="32" t="n"/>
      <c r="M740" s="1">
        <f>IF(OR(B740="",D740="",F740="Cancelled"),"",B740+N(C740)+ROW()/10000000)</f>
        <v/>
      </c>
      <c r="N740">
        <f>IF(AND(F740="Done",M740&lt;&gt;""),IF(COUNTIFS(Appointments!$D$6:$D$2005,D740,Appointments!$F$6:$F$2005,"Done",Appointments!$M$6:$M$2005,"&gt;"&amp;M740)=0,1,0),0)</f>
        <v/>
      </c>
      <c r="O740">
        <f>IF(AND(F740="Booked",M740&lt;&gt;"",N(B740)&gt;=TODAY()),IF(COUNTIFS(Appointments!$D$6:$D$2005,D740,Appointments!$F$6:$F$2005,"Booked",Appointments!$B$6:$B$2005,"&gt;="&amp;TODAY(),Appointments!$M$6:$M$2005,"&lt;"&amp;M740)=0,1,0),0)</f>
        <v/>
      </c>
    </row>
    <row r="741">
      <c r="A741" s="1" t="n"/>
      <c r="B741" s="30" t="n">
        <v>46200</v>
      </c>
      <c r="C741" s="31" t="n">
        <v>0.5729166666666666</v>
      </c>
      <c r="D741" s="32" t="inlineStr">
        <is>
          <t>Nina Baker</t>
        </is>
      </c>
      <c r="E741" s="32" t="inlineStr">
        <is>
          <t>Treatment</t>
        </is>
      </c>
      <c r="F741" s="33" t="inlineStr">
        <is>
          <t>Done</t>
        </is>
      </c>
      <c r="G741" s="27">
        <f>IF(E741="","",MAX(0,IFERROR(INDEX(Services!$C$6:$C$35,MATCH(E741,Services!$B$6:$B$35,0)),0)-N(H741)))</f>
        <v/>
      </c>
      <c r="H741" s="34" t="n"/>
      <c r="I741" s="34" t="n">
        <v>30</v>
      </c>
      <c r="J741" s="33" t="inlineStr">
        <is>
          <t>Card</t>
        </is>
      </c>
      <c r="K741" s="28">
        <f>IF(OR(B741="",F741&lt;&gt;"Done",J741="Package"),"",IF(N(G741)-N(I741)&gt;0,N(G741)-N(I741),""))</f>
        <v/>
      </c>
      <c r="L741" s="32" t="n"/>
      <c r="M741" s="1">
        <f>IF(OR(B741="",D741="",F741="Cancelled"),"",B741+N(C741)+ROW()/10000000)</f>
        <v/>
      </c>
      <c r="N741">
        <f>IF(AND(F741="Done",M741&lt;&gt;""),IF(COUNTIFS(Appointments!$D$6:$D$2005,D741,Appointments!$F$6:$F$2005,"Done",Appointments!$M$6:$M$2005,"&gt;"&amp;M741)=0,1,0),0)</f>
        <v/>
      </c>
      <c r="O741">
        <f>IF(AND(F741="Booked",M741&lt;&gt;"",N(B741)&gt;=TODAY()),IF(COUNTIFS(Appointments!$D$6:$D$2005,D741,Appointments!$F$6:$F$2005,"Booked",Appointments!$B$6:$B$2005,"&gt;="&amp;TODAY(),Appointments!$M$6:$M$2005,"&lt;"&amp;M741)=0,1,0),0)</f>
        <v/>
      </c>
    </row>
    <row r="742">
      <c r="A742" s="1" t="n"/>
      <c r="B742" s="30" t="n">
        <v>46203</v>
      </c>
      <c r="C742" s="31" t="n">
        <v>0.375</v>
      </c>
      <c r="D742" s="32" t="inlineStr">
        <is>
          <t>Daniel Kim</t>
        </is>
      </c>
      <c r="E742" s="32" t="inlineStr">
        <is>
          <t>Men's haircut</t>
        </is>
      </c>
      <c r="F742" s="33" t="inlineStr">
        <is>
          <t>Done</t>
        </is>
      </c>
      <c r="G742" s="27">
        <f>IF(E742="","",MAX(0,IFERROR(INDEX(Services!$C$6:$C$35,MATCH(E742,Services!$B$6:$B$35,0)),0)-N(H742)))</f>
        <v/>
      </c>
      <c r="H742" s="34" t="n">
        <v>10</v>
      </c>
      <c r="I742" s="34" t="n">
        <v>20</v>
      </c>
      <c r="J742" s="33" t="inlineStr">
        <is>
          <t>Card</t>
        </is>
      </c>
      <c r="K742" s="28">
        <f>IF(OR(B742="",F742&lt;&gt;"Done",J742="Package"),"",IF(N(G742)-N(I742)&gt;0,N(G742)-N(I742),""))</f>
        <v/>
      </c>
      <c r="L742" s="32" t="inlineStr">
        <is>
          <t>Friends and family</t>
        </is>
      </c>
      <c r="M742" s="1">
        <f>IF(OR(B742="",D742="",F742="Cancelled"),"",B742+N(C742)+ROW()/10000000)</f>
        <v/>
      </c>
      <c r="N742">
        <f>IF(AND(F742="Done",M742&lt;&gt;""),IF(COUNTIFS(Appointments!$D$6:$D$2005,D742,Appointments!$F$6:$F$2005,"Done",Appointments!$M$6:$M$2005,"&gt;"&amp;M742)=0,1,0),0)</f>
        <v/>
      </c>
      <c r="O742">
        <f>IF(AND(F742="Booked",M742&lt;&gt;"",N(B742)&gt;=TODAY()),IF(COUNTIFS(Appointments!$D$6:$D$2005,D742,Appointments!$F$6:$F$2005,"Booked",Appointments!$B$6:$B$2005,"&gt;="&amp;TODAY(),Appointments!$M$6:$M$2005,"&lt;"&amp;M742)=0,1,0),0)</f>
        <v/>
      </c>
    </row>
    <row r="743">
      <c r="A743" s="1" t="n"/>
      <c r="B743" s="30" t="n">
        <v>46203</v>
      </c>
      <c r="C743" s="31" t="n">
        <v>0.4027777777777778</v>
      </c>
      <c r="D743" s="32" t="inlineStr">
        <is>
          <t>Emma Johnson</t>
        </is>
      </c>
      <c r="E743" s="32" t="inlineStr">
        <is>
          <t>Blow dry</t>
        </is>
      </c>
      <c r="F743" s="33" t="inlineStr">
        <is>
          <t>Done</t>
        </is>
      </c>
      <c r="G743" s="27">
        <f>IF(E743="","",MAX(0,IFERROR(INDEX(Services!$C$6:$C$35,MATCH(E743,Services!$B$6:$B$35,0)),0)-N(H743)))</f>
        <v/>
      </c>
      <c r="H743" s="34" t="n"/>
      <c r="I743" s="34" t="n">
        <v>35</v>
      </c>
      <c r="J743" s="33" t="inlineStr">
        <is>
          <t>Cash</t>
        </is>
      </c>
      <c r="K743" s="28">
        <f>IF(OR(B743="",F743&lt;&gt;"Done",J743="Package"),"",IF(N(G743)-N(I743)&gt;0,N(G743)-N(I743),""))</f>
        <v/>
      </c>
      <c r="L743" s="32" t="n"/>
      <c r="M743" s="1">
        <f>IF(OR(B743="",D743="",F743="Cancelled"),"",B743+N(C743)+ROW()/10000000)</f>
        <v/>
      </c>
      <c r="N743">
        <f>IF(AND(F743="Done",M743&lt;&gt;""),IF(COUNTIFS(Appointments!$D$6:$D$2005,D743,Appointments!$F$6:$F$2005,"Done",Appointments!$M$6:$M$2005,"&gt;"&amp;M743)=0,1,0),0)</f>
        <v/>
      </c>
      <c r="O743">
        <f>IF(AND(F743="Booked",M743&lt;&gt;"",N(B743)&gt;=TODAY()),IF(COUNTIFS(Appointments!$D$6:$D$2005,D743,Appointments!$F$6:$F$2005,"Booked",Appointments!$B$6:$B$2005,"&gt;="&amp;TODAY(),Appointments!$M$6:$M$2005,"&lt;"&amp;M743)=0,1,0),0)</f>
        <v/>
      </c>
    </row>
    <row r="744">
      <c r="A744" s="1" t="n"/>
      <c r="B744" s="30" t="n">
        <v>46203</v>
      </c>
      <c r="C744" s="31" t="n">
        <v>0.4409722222222222</v>
      </c>
      <c r="D744" s="32" t="inlineStr">
        <is>
          <t>Hannah Ellis</t>
        </is>
      </c>
      <c r="E744" s="32" t="inlineStr">
        <is>
          <t>Women's haircut</t>
        </is>
      </c>
      <c r="F744" s="33" t="inlineStr">
        <is>
          <t>Done</t>
        </is>
      </c>
      <c r="G744" s="27">
        <f>IF(E744="","",MAX(0,IFERROR(INDEX(Services!$C$6:$C$35,MATCH(E744,Services!$B$6:$B$35,0)),0)-N(H744)))</f>
        <v/>
      </c>
      <c r="H744" s="34" t="n"/>
      <c r="I744" s="34" t="n">
        <v>55</v>
      </c>
      <c r="J744" s="33" t="inlineStr">
        <is>
          <t>Cash</t>
        </is>
      </c>
      <c r="K744" s="28">
        <f>IF(OR(B744="",F744&lt;&gt;"Done",J744="Package"),"",IF(N(G744)-N(I744)&gt;0,N(G744)-N(I744),""))</f>
        <v/>
      </c>
      <c r="L744" s="32" t="n"/>
      <c r="M744" s="1">
        <f>IF(OR(B744="",D744="",F744="Cancelled"),"",B744+N(C744)+ROW()/10000000)</f>
        <v/>
      </c>
      <c r="N744">
        <f>IF(AND(F744="Done",M744&lt;&gt;""),IF(COUNTIFS(Appointments!$D$6:$D$2005,D744,Appointments!$F$6:$F$2005,"Done",Appointments!$M$6:$M$2005,"&gt;"&amp;M744)=0,1,0),0)</f>
        <v/>
      </c>
      <c r="O744">
        <f>IF(AND(F744="Booked",M744&lt;&gt;"",N(B744)&gt;=TODAY()),IF(COUNTIFS(Appointments!$D$6:$D$2005,D744,Appointments!$F$6:$F$2005,"Booked",Appointments!$B$6:$B$2005,"&gt;="&amp;TODAY(),Appointments!$M$6:$M$2005,"&lt;"&amp;M744)=0,1,0),0)</f>
        <v/>
      </c>
    </row>
    <row r="745">
      <c r="A745" s="1" t="n"/>
      <c r="B745" s="30" t="n">
        <v>46203</v>
      </c>
      <c r="C745" s="31" t="n">
        <v>0.4895833333333333</v>
      </c>
      <c r="D745" s="32" t="inlineStr">
        <is>
          <t>Liam Evans</t>
        </is>
      </c>
      <c r="E745" s="32" t="inlineStr">
        <is>
          <t>Men's haircut</t>
        </is>
      </c>
      <c r="F745" s="33" t="inlineStr">
        <is>
          <t>Done</t>
        </is>
      </c>
      <c r="G745" s="27">
        <f>IF(E745="","",MAX(0,IFERROR(INDEX(Services!$C$6:$C$35,MATCH(E745,Services!$B$6:$B$35,0)),0)-N(H745)))</f>
        <v/>
      </c>
      <c r="H745" s="34" t="n"/>
      <c r="I745" s="34" t="n">
        <v>30</v>
      </c>
      <c r="J745" s="33" t="inlineStr">
        <is>
          <t>Cash</t>
        </is>
      </c>
      <c r="K745" s="28">
        <f>IF(OR(B745="",F745&lt;&gt;"Done",J745="Package"),"",IF(N(G745)-N(I745)&gt;0,N(G745)-N(I745),""))</f>
        <v/>
      </c>
      <c r="L745" s="32" t="n"/>
      <c r="M745" s="1">
        <f>IF(OR(B745="",D745="",F745="Cancelled"),"",B745+N(C745)+ROW()/10000000)</f>
        <v/>
      </c>
      <c r="N745">
        <f>IF(AND(F745="Done",M745&lt;&gt;""),IF(COUNTIFS(Appointments!$D$6:$D$2005,D745,Appointments!$F$6:$F$2005,"Done",Appointments!$M$6:$M$2005,"&gt;"&amp;M745)=0,1,0),0)</f>
        <v/>
      </c>
      <c r="O745">
        <f>IF(AND(F745="Booked",M745&lt;&gt;"",N(B745)&gt;=TODAY()),IF(COUNTIFS(Appointments!$D$6:$D$2005,D745,Appointments!$F$6:$F$2005,"Booked",Appointments!$B$6:$B$2005,"&gt;="&amp;TODAY(),Appointments!$M$6:$M$2005,"&lt;"&amp;M745)=0,1,0),0)</f>
        <v/>
      </c>
    </row>
    <row r="746">
      <c r="A746" s="1" t="n"/>
      <c r="B746" s="30" t="n">
        <v>46203</v>
      </c>
      <c r="C746" s="31" t="n">
        <v>0.5173611111111112</v>
      </c>
      <c r="D746" s="32" t="inlineStr">
        <is>
          <t>Lily Wood</t>
        </is>
      </c>
      <c r="E746" s="32" t="inlineStr">
        <is>
          <t>Colour</t>
        </is>
      </c>
      <c r="F746" s="33" t="inlineStr">
        <is>
          <t>Done</t>
        </is>
      </c>
      <c r="G746" s="27">
        <f>IF(E746="","",MAX(0,IFERROR(INDEX(Services!$C$6:$C$35,MATCH(E746,Services!$B$6:$B$35,0)),0)-N(H746)))</f>
        <v/>
      </c>
      <c r="H746" s="34" t="n"/>
      <c r="I746" s="34" t="n">
        <v>95</v>
      </c>
      <c r="J746" s="33" t="inlineStr">
        <is>
          <t>Card</t>
        </is>
      </c>
      <c r="K746" s="28">
        <f>IF(OR(B746="",F746&lt;&gt;"Done",J746="Package"),"",IF(N(G746)-N(I746)&gt;0,N(G746)-N(I746),""))</f>
        <v/>
      </c>
      <c r="L746" s="32" t="n"/>
      <c r="M746" s="1">
        <f>IF(OR(B746="",D746="",F746="Cancelled"),"",B746+N(C746)+ROW()/10000000)</f>
        <v/>
      </c>
      <c r="N746">
        <f>IF(AND(F746="Done",M746&lt;&gt;""),IF(COUNTIFS(Appointments!$D$6:$D$2005,D746,Appointments!$F$6:$F$2005,"Done",Appointments!$M$6:$M$2005,"&gt;"&amp;M746)=0,1,0),0)</f>
        <v/>
      </c>
      <c r="O746">
        <f>IF(AND(F746="Booked",M746&lt;&gt;"",N(B746)&gt;=TODAY()),IF(COUNTIFS(Appointments!$D$6:$D$2005,D746,Appointments!$F$6:$F$2005,"Booked",Appointments!$B$6:$B$2005,"&gt;="&amp;TODAY(),Appointments!$M$6:$M$2005,"&lt;"&amp;M746)=0,1,0),0)</f>
        <v/>
      </c>
    </row>
    <row r="747">
      <c r="A747" s="1" t="n"/>
      <c r="B747" s="30" t="n">
        <v>46203</v>
      </c>
      <c r="C747" s="31" t="n">
        <v>0.6076388888888888</v>
      </c>
      <c r="D747" s="32" t="inlineStr">
        <is>
          <t>Lucy Wood</t>
        </is>
      </c>
      <c r="E747" s="32" t="inlineStr">
        <is>
          <t>Women's haircut</t>
        </is>
      </c>
      <c r="F747" s="33" t="inlineStr">
        <is>
          <t>Done</t>
        </is>
      </c>
      <c r="G747" s="27">
        <f>IF(E747="","",MAX(0,IFERROR(INDEX(Services!$C$6:$C$35,MATCH(E747,Services!$B$6:$B$35,0)),0)-N(H747)))</f>
        <v/>
      </c>
      <c r="H747" s="34" t="n"/>
      <c r="I747" s="34" t="n">
        <v>55</v>
      </c>
      <c r="J747" s="33" t="inlineStr">
        <is>
          <t>Card</t>
        </is>
      </c>
      <c r="K747" s="28">
        <f>IF(OR(B747="",F747&lt;&gt;"Done",J747="Package"),"",IF(N(G747)-N(I747)&gt;0,N(G747)-N(I747),""))</f>
        <v/>
      </c>
      <c r="L747" s="32" t="n"/>
      <c r="M747" s="1">
        <f>IF(OR(B747="",D747="",F747="Cancelled"),"",B747+N(C747)+ROW()/10000000)</f>
        <v/>
      </c>
      <c r="N747">
        <f>IF(AND(F747="Done",M747&lt;&gt;""),IF(COUNTIFS(Appointments!$D$6:$D$2005,D747,Appointments!$F$6:$F$2005,"Done",Appointments!$M$6:$M$2005,"&gt;"&amp;M747)=0,1,0),0)</f>
        <v/>
      </c>
      <c r="O747">
        <f>IF(AND(F747="Booked",M747&lt;&gt;"",N(B747)&gt;=TODAY()),IF(COUNTIFS(Appointments!$D$6:$D$2005,D747,Appointments!$F$6:$F$2005,"Booked",Appointments!$B$6:$B$2005,"&gt;="&amp;TODAY(),Appointments!$M$6:$M$2005,"&lt;"&amp;M747)=0,1,0),0)</f>
        <v/>
      </c>
    </row>
    <row r="748">
      <c r="A748" s="1" t="n"/>
      <c r="B748" s="30" t="n">
        <v>46203</v>
      </c>
      <c r="C748" s="31" t="n">
        <v>0.65625</v>
      </c>
      <c r="D748" s="32" t="inlineStr">
        <is>
          <t>Owen Walsh</t>
        </is>
      </c>
      <c r="E748" s="32" t="inlineStr">
        <is>
          <t>Men's haircut</t>
        </is>
      </c>
      <c r="F748" s="33" t="inlineStr">
        <is>
          <t>Done</t>
        </is>
      </c>
      <c r="G748" s="27">
        <f>IF(E748="","",MAX(0,IFERROR(INDEX(Services!$C$6:$C$35,MATCH(E748,Services!$B$6:$B$35,0)),0)-N(H748)))</f>
        <v/>
      </c>
      <c r="H748" s="34" t="n"/>
      <c r="I748" s="34" t="n">
        <v>30</v>
      </c>
      <c r="J748" s="33" t="inlineStr">
        <is>
          <t>Card</t>
        </is>
      </c>
      <c r="K748" s="28">
        <f>IF(OR(B748="",F748&lt;&gt;"Done",J748="Package"),"",IF(N(G748)-N(I748)&gt;0,N(G748)-N(I748),""))</f>
        <v/>
      </c>
      <c r="L748" s="32" t="n"/>
      <c r="M748" s="1">
        <f>IF(OR(B748="",D748="",F748="Cancelled"),"",B748+N(C748)+ROW()/10000000)</f>
        <v/>
      </c>
      <c r="N748">
        <f>IF(AND(F748="Done",M748&lt;&gt;""),IF(COUNTIFS(Appointments!$D$6:$D$2005,D748,Appointments!$F$6:$F$2005,"Done",Appointments!$M$6:$M$2005,"&gt;"&amp;M748)=0,1,0),0)</f>
        <v/>
      </c>
      <c r="O748">
        <f>IF(AND(F748="Booked",M748&lt;&gt;"",N(B748)&gt;=TODAY()),IF(COUNTIFS(Appointments!$D$6:$D$2005,D748,Appointments!$F$6:$F$2005,"Booked",Appointments!$B$6:$B$2005,"&gt;="&amp;TODAY(),Appointments!$M$6:$M$2005,"&lt;"&amp;M748)=0,1,0),0)</f>
        <v/>
      </c>
    </row>
    <row r="749">
      <c r="A749" s="1" t="n"/>
      <c r="B749" s="30" t="n">
        <v>46204</v>
      </c>
      <c r="C749" s="31" t="n">
        <v>0.375</v>
      </c>
      <c r="D749" s="32" t="inlineStr">
        <is>
          <t>Ava Cox</t>
        </is>
      </c>
      <c r="E749" s="32" t="inlineStr">
        <is>
          <t>Blow dry</t>
        </is>
      </c>
      <c r="F749" s="33" t="inlineStr">
        <is>
          <t>Done</t>
        </is>
      </c>
      <c r="G749" s="27">
        <f>IF(E749="","",MAX(0,IFERROR(INDEX(Services!$C$6:$C$35,MATCH(E749,Services!$B$6:$B$35,0)),0)-N(H749)))</f>
        <v/>
      </c>
      <c r="H749" s="34" t="n"/>
      <c r="I749" s="34" t="n">
        <v>35</v>
      </c>
      <c r="J749" s="33" t="inlineStr">
        <is>
          <t>Cash</t>
        </is>
      </c>
      <c r="K749" s="28">
        <f>IF(OR(B749="",F749&lt;&gt;"Done",J749="Package"),"",IF(N(G749)-N(I749)&gt;0,N(G749)-N(I749),""))</f>
        <v/>
      </c>
      <c r="L749" s="32" t="n"/>
      <c r="M749" s="1">
        <f>IF(OR(B749="",D749="",F749="Cancelled"),"",B749+N(C749)+ROW()/10000000)</f>
        <v/>
      </c>
      <c r="N749">
        <f>IF(AND(F749="Done",M749&lt;&gt;""),IF(COUNTIFS(Appointments!$D$6:$D$2005,D749,Appointments!$F$6:$F$2005,"Done",Appointments!$M$6:$M$2005,"&gt;"&amp;M749)=0,1,0),0)</f>
        <v/>
      </c>
      <c r="O749">
        <f>IF(AND(F749="Booked",M749&lt;&gt;"",N(B749)&gt;=TODAY()),IF(COUNTIFS(Appointments!$D$6:$D$2005,D749,Appointments!$F$6:$F$2005,"Booked",Appointments!$B$6:$B$2005,"&gt;="&amp;TODAY(),Appointments!$M$6:$M$2005,"&lt;"&amp;M749)=0,1,0),0)</f>
        <v/>
      </c>
    </row>
    <row r="750">
      <c r="A750" s="1" t="n"/>
      <c r="B750" s="30" t="n">
        <v>46204</v>
      </c>
      <c r="C750" s="31" t="n">
        <v>0.4131944444444444</v>
      </c>
      <c r="D750" s="32" t="inlineStr">
        <is>
          <t>Chris Cox</t>
        </is>
      </c>
      <c r="E750" s="32" t="inlineStr">
        <is>
          <t>Men's haircut</t>
        </is>
      </c>
      <c r="F750" s="33" t="inlineStr">
        <is>
          <t>Done</t>
        </is>
      </c>
      <c r="G750" s="27">
        <f>IF(E750="","",MAX(0,IFERROR(INDEX(Services!$C$6:$C$35,MATCH(E750,Services!$B$6:$B$35,0)),0)-N(H750)))</f>
        <v/>
      </c>
      <c r="H750" s="34" t="n"/>
      <c r="I750" s="34" t="n">
        <v>30</v>
      </c>
      <c r="J750" s="33" t="inlineStr">
        <is>
          <t>Card</t>
        </is>
      </c>
      <c r="K750" s="28">
        <f>IF(OR(B750="",F750&lt;&gt;"Done",J750="Package"),"",IF(N(G750)-N(I750)&gt;0,N(G750)-N(I750),""))</f>
        <v/>
      </c>
      <c r="L750" s="32" t="n"/>
      <c r="M750" s="1">
        <f>IF(OR(B750="",D750="",F750="Cancelled"),"",B750+N(C750)+ROW()/10000000)</f>
        <v/>
      </c>
      <c r="N750">
        <f>IF(AND(F750="Done",M750&lt;&gt;""),IF(COUNTIFS(Appointments!$D$6:$D$2005,D750,Appointments!$F$6:$F$2005,"Done",Appointments!$M$6:$M$2005,"&gt;"&amp;M750)=0,1,0),0)</f>
        <v/>
      </c>
      <c r="O750">
        <f>IF(AND(F750="Booked",M750&lt;&gt;"",N(B750)&gt;=TODAY()),IF(COUNTIFS(Appointments!$D$6:$D$2005,D750,Appointments!$F$6:$F$2005,"Booked",Appointments!$B$6:$B$2005,"&gt;="&amp;TODAY(),Appointments!$M$6:$M$2005,"&lt;"&amp;M750)=0,1,0),0)</f>
        <v/>
      </c>
    </row>
    <row r="751">
      <c r="A751" s="1" t="n"/>
      <c r="B751" s="30" t="n">
        <v>46204</v>
      </c>
      <c r="C751" s="31" t="n">
        <v>0.4409722222222222</v>
      </c>
      <c r="D751" s="32" t="inlineStr">
        <is>
          <t>Holly Shaw</t>
        </is>
      </c>
      <c r="E751" s="32" t="inlineStr">
        <is>
          <t>Women's haircut</t>
        </is>
      </c>
      <c r="F751" s="33" t="inlineStr">
        <is>
          <t>Done</t>
        </is>
      </c>
      <c r="G751" s="27">
        <f>IF(E751="","",MAX(0,IFERROR(INDEX(Services!$C$6:$C$35,MATCH(E751,Services!$B$6:$B$35,0)),0)-N(H751)))</f>
        <v/>
      </c>
      <c r="H751" s="34" t="n"/>
      <c r="I751" s="34" t="n">
        <v>55</v>
      </c>
      <c r="J751" s="33" t="inlineStr">
        <is>
          <t>Card</t>
        </is>
      </c>
      <c r="K751" s="28">
        <f>IF(OR(B751="",F751&lt;&gt;"Done",J751="Package"),"",IF(N(G751)-N(I751)&gt;0,N(G751)-N(I751),""))</f>
        <v/>
      </c>
      <c r="L751" s="32" t="n"/>
      <c r="M751" s="1">
        <f>IF(OR(B751="",D751="",F751="Cancelled"),"",B751+N(C751)+ROW()/10000000)</f>
        <v/>
      </c>
      <c r="N751">
        <f>IF(AND(F751="Done",M751&lt;&gt;""),IF(COUNTIFS(Appointments!$D$6:$D$2005,D751,Appointments!$F$6:$F$2005,"Done",Appointments!$M$6:$M$2005,"&gt;"&amp;M751)=0,1,0),0)</f>
        <v/>
      </c>
      <c r="O751">
        <f>IF(AND(F751="Booked",M751&lt;&gt;"",N(B751)&gt;=TODAY()),IF(COUNTIFS(Appointments!$D$6:$D$2005,D751,Appointments!$F$6:$F$2005,"Booked",Appointments!$B$6:$B$2005,"&gt;="&amp;TODAY(),Appointments!$M$6:$M$2005,"&lt;"&amp;M751)=0,1,0),0)</f>
        <v/>
      </c>
    </row>
    <row r="752">
      <c r="A752" s="1" t="n"/>
      <c r="B752" s="30" t="n">
        <v>46204</v>
      </c>
      <c r="C752" s="31" t="n">
        <v>0.4895833333333333</v>
      </c>
      <c r="D752" s="32" t="inlineStr">
        <is>
          <t>Luke Hall</t>
        </is>
      </c>
      <c r="E752" s="32" t="inlineStr">
        <is>
          <t>Men's haircut</t>
        </is>
      </c>
      <c r="F752" s="33" t="inlineStr">
        <is>
          <t>Done</t>
        </is>
      </c>
      <c r="G752" s="27">
        <f>IF(E752="","",MAX(0,IFERROR(INDEX(Services!$C$6:$C$35,MATCH(E752,Services!$B$6:$B$35,0)),0)-N(H752)))</f>
        <v/>
      </c>
      <c r="H752" s="34" t="n"/>
      <c r="I752" s="34" t="n">
        <v>30</v>
      </c>
      <c r="J752" s="33" t="inlineStr">
        <is>
          <t>Card</t>
        </is>
      </c>
      <c r="K752" s="28">
        <f>IF(OR(B752="",F752&lt;&gt;"Done",J752="Package"),"",IF(N(G752)-N(I752)&gt;0,N(G752)-N(I752),""))</f>
        <v/>
      </c>
      <c r="L752" s="32" t="n"/>
      <c r="M752" s="1">
        <f>IF(OR(B752="",D752="",F752="Cancelled"),"",B752+N(C752)+ROW()/10000000)</f>
        <v/>
      </c>
      <c r="N752">
        <f>IF(AND(F752="Done",M752&lt;&gt;""),IF(COUNTIFS(Appointments!$D$6:$D$2005,D752,Appointments!$F$6:$F$2005,"Done",Appointments!$M$6:$M$2005,"&gt;"&amp;M752)=0,1,0),0)</f>
        <v/>
      </c>
      <c r="O752">
        <f>IF(AND(F752="Booked",M752&lt;&gt;"",N(B752)&gt;=TODAY()),IF(COUNTIFS(Appointments!$D$6:$D$2005,D752,Appointments!$F$6:$F$2005,"Booked",Appointments!$B$6:$B$2005,"&gt;="&amp;TODAY(),Appointments!$M$6:$M$2005,"&lt;"&amp;M752)=0,1,0),0)</f>
        <v/>
      </c>
    </row>
    <row r="753">
      <c r="A753" s="1" t="n"/>
      <c r="B753" s="30" t="n">
        <v>46204</v>
      </c>
      <c r="C753" s="31" t="n">
        <v>0.5173611111111112</v>
      </c>
      <c r="D753" s="32" t="inlineStr">
        <is>
          <t>Luke Lewis</t>
        </is>
      </c>
      <c r="E753" s="32" t="inlineStr">
        <is>
          <t>Men's haircut</t>
        </is>
      </c>
      <c r="F753" s="33" t="inlineStr">
        <is>
          <t>Done</t>
        </is>
      </c>
      <c r="G753" s="27">
        <f>IF(E753="","",MAX(0,IFERROR(INDEX(Services!$C$6:$C$35,MATCH(E753,Services!$B$6:$B$35,0)),0)-N(H753)))</f>
        <v/>
      </c>
      <c r="H753" s="34" t="n"/>
      <c r="I753" s="34" t="n">
        <v>30</v>
      </c>
      <c r="J753" s="33" t="inlineStr">
        <is>
          <t>Cash</t>
        </is>
      </c>
      <c r="K753" s="28">
        <f>IF(OR(B753="",F753&lt;&gt;"Done",J753="Package"),"",IF(N(G753)-N(I753)&gt;0,N(G753)-N(I753),""))</f>
        <v/>
      </c>
      <c r="L753" s="32" t="n"/>
      <c r="M753" s="1">
        <f>IF(OR(B753="",D753="",F753="Cancelled"),"",B753+N(C753)+ROW()/10000000)</f>
        <v/>
      </c>
      <c r="N753">
        <f>IF(AND(F753="Done",M753&lt;&gt;""),IF(COUNTIFS(Appointments!$D$6:$D$2005,D753,Appointments!$F$6:$F$2005,"Done",Appointments!$M$6:$M$2005,"&gt;"&amp;M753)=0,1,0),0)</f>
        <v/>
      </c>
      <c r="O753">
        <f>IF(AND(F753="Booked",M753&lt;&gt;"",N(B753)&gt;=TODAY()),IF(COUNTIFS(Appointments!$D$6:$D$2005,D753,Appointments!$F$6:$F$2005,"Booked",Appointments!$B$6:$B$2005,"&gt;="&amp;TODAY(),Appointments!$M$6:$M$2005,"&lt;"&amp;M753)=0,1,0),0)</f>
        <v/>
      </c>
    </row>
    <row r="754">
      <c r="A754" s="1" t="n"/>
      <c r="B754" s="30" t="n">
        <v>46204</v>
      </c>
      <c r="C754" s="31" t="n">
        <v>0.5451388888888888</v>
      </c>
      <c r="D754" s="32" t="inlineStr">
        <is>
          <t>Megan Morgan</t>
        </is>
      </c>
      <c r="E754" s="32" t="inlineStr">
        <is>
          <t>Women's haircut</t>
        </is>
      </c>
      <c r="F754" s="33" t="inlineStr">
        <is>
          <t>Done</t>
        </is>
      </c>
      <c r="G754" s="27">
        <f>IF(E754="","",MAX(0,IFERROR(INDEX(Services!$C$6:$C$35,MATCH(E754,Services!$B$6:$B$35,0)),0)-N(H754)))</f>
        <v/>
      </c>
      <c r="H754" s="34" t="n"/>
      <c r="I754" s="34" t="n">
        <v>55</v>
      </c>
      <c r="J754" s="33" t="inlineStr">
        <is>
          <t>Card</t>
        </is>
      </c>
      <c r="K754" s="28">
        <f>IF(OR(B754="",F754&lt;&gt;"Done",J754="Package"),"",IF(N(G754)-N(I754)&gt;0,N(G754)-N(I754),""))</f>
        <v/>
      </c>
      <c r="L754" s="32" t="n"/>
      <c r="M754" s="1">
        <f>IF(OR(B754="",D754="",F754="Cancelled"),"",B754+N(C754)+ROW()/10000000)</f>
        <v/>
      </c>
      <c r="N754">
        <f>IF(AND(F754="Done",M754&lt;&gt;""),IF(COUNTIFS(Appointments!$D$6:$D$2005,D754,Appointments!$F$6:$F$2005,"Done",Appointments!$M$6:$M$2005,"&gt;"&amp;M754)=0,1,0),0)</f>
        <v/>
      </c>
      <c r="O754">
        <f>IF(AND(F754="Booked",M754&lt;&gt;"",N(B754)&gt;=TODAY()),IF(COUNTIFS(Appointments!$D$6:$D$2005,D754,Appointments!$F$6:$F$2005,"Booked",Appointments!$B$6:$B$2005,"&gt;="&amp;TODAY(),Appointments!$M$6:$M$2005,"&lt;"&amp;M754)=0,1,0),0)</f>
        <v/>
      </c>
    </row>
    <row r="755">
      <c r="A755" s="1" t="n"/>
      <c r="B755" s="30" t="n">
        <v>46204</v>
      </c>
      <c r="C755" s="31" t="n">
        <v>0.59375</v>
      </c>
      <c r="D755" s="32" t="inlineStr">
        <is>
          <t>Zoe Turner</t>
        </is>
      </c>
      <c r="E755" s="32" t="inlineStr">
        <is>
          <t>Blow dry</t>
        </is>
      </c>
      <c r="F755" s="33" t="inlineStr">
        <is>
          <t>Done</t>
        </is>
      </c>
      <c r="G755" s="27">
        <f>IF(E755="","",MAX(0,IFERROR(INDEX(Services!$C$6:$C$35,MATCH(E755,Services!$B$6:$B$35,0)),0)-N(H755)))</f>
        <v/>
      </c>
      <c r="H755" s="34" t="n"/>
      <c r="I755" s="34" t="n">
        <v>35</v>
      </c>
      <c r="J755" s="33" t="inlineStr">
        <is>
          <t>Cash</t>
        </is>
      </c>
      <c r="K755" s="28">
        <f>IF(OR(B755="",F755&lt;&gt;"Done",J755="Package"),"",IF(N(G755)-N(I755)&gt;0,N(G755)-N(I755),""))</f>
        <v/>
      </c>
      <c r="L755" s="32" t="n"/>
      <c r="M755" s="1">
        <f>IF(OR(B755="",D755="",F755="Cancelled"),"",B755+N(C755)+ROW()/10000000)</f>
        <v/>
      </c>
      <c r="N755">
        <f>IF(AND(F755="Done",M755&lt;&gt;""),IF(COUNTIFS(Appointments!$D$6:$D$2005,D755,Appointments!$F$6:$F$2005,"Done",Appointments!$M$6:$M$2005,"&gt;"&amp;M755)=0,1,0),0)</f>
        <v/>
      </c>
      <c r="O755">
        <f>IF(AND(F755="Booked",M755&lt;&gt;"",N(B755)&gt;=TODAY()),IF(COUNTIFS(Appointments!$D$6:$D$2005,D755,Appointments!$F$6:$F$2005,"Booked",Appointments!$B$6:$B$2005,"&gt;="&amp;TODAY(),Appointments!$M$6:$M$2005,"&lt;"&amp;M755)=0,1,0),0)</f>
        <v/>
      </c>
    </row>
    <row r="756">
      <c r="A756" s="1" t="n"/>
      <c r="B756" s="30" t="n">
        <v>46205</v>
      </c>
      <c r="C756" s="31" t="n">
        <v>0.375</v>
      </c>
      <c r="D756" s="32" t="inlineStr">
        <is>
          <t>Ava Lewis</t>
        </is>
      </c>
      <c r="E756" s="32" t="inlineStr">
        <is>
          <t>Colour</t>
        </is>
      </c>
      <c r="F756" s="33" t="inlineStr">
        <is>
          <t>Done</t>
        </is>
      </c>
      <c r="G756" s="27">
        <f>IF(E756="","",MAX(0,IFERROR(INDEX(Services!$C$6:$C$35,MATCH(E756,Services!$B$6:$B$35,0)),0)-N(H756)))</f>
        <v/>
      </c>
      <c r="H756" s="34" t="n"/>
      <c r="I756" s="34" t="n">
        <v>95</v>
      </c>
      <c r="J756" s="33" t="inlineStr">
        <is>
          <t>Card</t>
        </is>
      </c>
      <c r="K756" s="28">
        <f>IF(OR(B756="",F756&lt;&gt;"Done",J756="Package"),"",IF(N(G756)-N(I756)&gt;0,N(G756)-N(I756),""))</f>
        <v/>
      </c>
      <c r="L756" s="32" t="n"/>
      <c r="M756" s="1">
        <f>IF(OR(B756="",D756="",F756="Cancelled"),"",B756+N(C756)+ROW()/10000000)</f>
        <v/>
      </c>
      <c r="N756">
        <f>IF(AND(F756="Done",M756&lt;&gt;""),IF(COUNTIFS(Appointments!$D$6:$D$2005,D756,Appointments!$F$6:$F$2005,"Done",Appointments!$M$6:$M$2005,"&gt;"&amp;M756)=0,1,0),0)</f>
        <v/>
      </c>
      <c r="O756">
        <f>IF(AND(F756="Booked",M756&lt;&gt;"",N(B756)&gt;=TODAY()),IF(COUNTIFS(Appointments!$D$6:$D$2005,D756,Appointments!$F$6:$F$2005,"Booked",Appointments!$B$6:$B$2005,"&gt;="&amp;TODAY(),Appointments!$M$6:$M$2005,"&lt;"&amp;M756)=0,1,0),0)</f>
        <v/>
      </c>
    </row>
    <row r="757">
      <c r="A757" s="1" t="n"/>
      <c r="B757" s="30" t="n">
        <v>46205</v>
      </c>
      <c r="C757" s="31" t="n">
        <v>0.4652777777777778</v>
      </c>
      <c r="D757" s="32" t="inlineStr">
        <is>
          <t>Chloe Martin</t>
        </is>
      </c>
      <c r="E757" s="32" t="inlineStr">
        <is>
          <t>Toner</t>
        </is>
      </c>
      <c r="F757" s="33" t="inlineStr">
        <is>
          <t>Done</t>
        </is>
      </c>
      <c r="G757" s="27">
        <f>IF(E757="","",MAX(0,IFERROR(INDEX(Services!$C$6:$C$35,MATCH(E757,Services!$B$6:$B$35,0)),0)-N(H757)))</f>
        <v/>
      </c>
      <c r="H757" s="34" t="n">
        <v>10</v>
      </c>
      <c r="I757" s="34" t="n">
        <v>30</v>
      </c>
      <c r="J757" s="33" t="inlineStr">
        <is>
          <t>Card</t>
        </is>
      </c>
      <c r="K757" s="28">
        <f>IF(OR(B757="",F757&lt;&gt;"Done",J757="Package"),"",IF(N(G757)-N(I757)&gt;0,N(G757)-N(I757),""))</f>
        <v/>
      </c>
      <c r="L757" s="32" t="inlineStr">
        <is>
          <t>Friends and family</t>
        </is>
      </c>
      <c r="M757" s="1">
        <f>IF(OR(B757="",D757="",F757="Cancelled"),"",B757+N(C757)+ROW()/10000000)</f>
        <v/>
      </c>
      <c r="N757">
        <f>IF(AND(F757="Done",M757&lt;&gt;""),IF(COUNTIFS(Appointments!$D$6:$D$2005,D757,Appointments!$F$6:$F$2005,"Done",Appointments!$M$6:$M$2005,"&gt;"&amp;M757)=0,1,0),0)</f>
        <v/>
      </c>
      <c r="O757">
        <f>IF(AND(F757="Booked",M757&lt;&gt;"",N(B757)&gt;=TODAY()),IF(COUNTIFS(Appointments!$D$6:$D$2005,D757,Appointments!$F$6:$F$2005,"Booked",Appointments!$B$6:$B$2005,"&gt;="&amp;TODAY(),Appointments!$M$6:$M$2005,"&lt;"&amp;M757)=0,1,0),0)</f>
        <v/>
      </c>
    </row>
    <row r="758">
      <c r="A758" s="1" t="n"/>
      <c r="B758" s="30" t="n">
        <v>46205</v>
      </c>
      <c r="C758" s="31" t="n">
        <v>0.4930555555555556</v>
      </c>
      <c r="D758" s="32" t="inlineStr">
        <is>
          <t>Ian Reed</t>
        </is>
      </c>
      <c r="E758" s="32" t="inlineStr">
        <is>
          <t>Men's haircut</t>
        </is>
      </c>
      <c r="F758" s="33" t="inlineStr">
        <is>
          <t>Done</t>
        </is>
      </c>
      <c r="G758" s="27">
        <f>IF(E758="","",MAX(0,IFERROR(INDEX(Services!$C$6:$C$35,MATCH(E758,Services!$B$6:$B$35,0)),0)-N(H758)))</f>
        <v/>
      </c>
      <c r="H758" s="34" t="n"/>
      <c r="I758" s="34" t="n">
        <v>30</v>
      </c>
      <c r="J758" s="33" t="inlineStr">
        <is>
          <t>Card</t>
        </is>
      </c>
      <c r="K758" s="28">
        <f>IF(OR(B758="",F758&lt;&gt;"Done",J758="Package"),"",IF(N(G758)-N(I758)&gt;0,N(G758)-N(I758),""))</f>
        <v/>
      </c>
      <c r="L758" s="32" t="n"/>
      <c r="M758" s="1">
        <f>IF(OR(B758="",D758="",F758="Cancelled"),"",B758+N(C758)+ROW()/10000000)</f>
        <v/>
      </c>
      <c r="N758">
        <f>IF(AND(F758="Done",M758&lt;&gt;""),IF(COUNTIFS(Appointments!$D$6:$D$2005,D758,Appointments!$F$6:$F$2005,"Done",Appointments!$M$6:$M$2005,"&gt;"&amp;M758)=0,1,0),0)</f>
        <v/>
      </c>
      <c r="O758">
        <f>IF(AND(F758="Booked",M758&lt;&gt;"",N(B758)&gt;=TODAY()),IF(COUNTIFS(Appointments!$D$6:$D$2005,D758,Appointments!$F$6:$F$2005,"Booked",Appointments!$B$6:$B$2005,"&gt;="&amp;TODAY(),Appointments!$M$6:$M$2005,"&lt;"&amp;M758)=0,1,0),0)</f>
        <v/>
      </c>
    </row>
    <row r="759">
      <c r="A759" s="1" t="n"/>
      <c r="B759" s="30" t="n">
        <v>46205</v>
      </c>
      <c r="C759" s="31" t="n">
        <v>0.5208333333333334</v>
      </c>
      <c r="D759" s="32" t="inlineStr">
        <is>
          <t>Julia Lewis</t>
        </is>
      </c>
      <c r="E759" s="32" t="inlineStr">
        <is>
          <t>Blow dry</t>
        </is>
      </c>
      <c r="F759" s="33" t="inlineStr">
        <is>
          <t>Done</t>
        </is>
      </c>
      <c r="G759" s="27">
        <f>IF(E759="","",MAX(0,IFERROR(INDEX(Services!$C$6:$C$35,MATCH(E759,Services!$B$6:$B$35,0)),0)-N(H759)))</f>
        <v/>
      </c>
      <c r="H759" s="34" t="n"/>
      <c r="I759" s="34" t="n">
        <v>35</v>
      </c>
      <c r="J759" s="33" t="inlineStr">
        <is>
          <t>Card</t>
        </is>
      </c>
      <c r="K759" s="28">
        <f>IF(OR(B759="",F759&lt;&gt;"Done",J759="Package"),"",IF(N(G759)-N(I759)&gt;0,N(G759)-N(I759),""))</f>
        <v/>
      </c>
      <c r="L759" s="32" t="n"/>
      <c r="M759" s="1">
        <f>IF(OR(B759="",D759="",F759="Cancelled"),"",B759+N(C759)+ROW()/10000000)</f>
        <v/>
      </c>
      <c r="N759">
        <f>IF(AND(F759="Done",M759&lt;&gt;""),IF(COUNTIFS(Appointments!$D$6:$D$2005,D759,Appointments!$F$6:$F$2005,"Done",Appointments!$M$6:$M$2005,"&gt;"&amp;M759)=0,1,0),0)</f>
        <v/>
      </c>
      <c r="O759">
        <f>IF(AND(F759="Booked",M759&lt;&gt;"",N(B759)&gt;=TODAY()),IF(COUNTIFS(Appointments!$D$6:$D$2005,D759,Appointments!$F$6:$F$2005,"Booked",Appointments!$B$6:$B$2005,"&gt;="&amp;TODAY(),Appointments!$M$6:$M$2005,"&lt;"&amp;M759)=0,1,0),0)</f>
        <v/>
      </c>
    </row>
    <row r="760">
      <c r="A760" s="1" t="n"/>
      <c r="B760" s="30" t="n">
        <v>46205</v>
      </c>
      <c r="C760" s="31" t="n">
        <v>0.5590277777777778</v>
      </c>
      <c r="D760" s="32" t="inlineStr">
        <is>
          <t>Nina Young</t>
        </is>
      </c>
      <c r="E760" s="32" t="inlineStr">
        <is>
          <t>Women's haircut</t>
        </is>
      </c>
      <c r="F760" s="33" t="inlineStr">
        <is>
          <t>Done</t>
        </is>
      </c>
      <c r="G760" s="27">
        <f>IF(E760="","",MAX(0,IFERROR(INDEX(Services!$C$6:$C$35,MATCH(E760,Services!$B$6:$B$35,0)),0)-N(H760)))</f>
        <v/>
      </c>
      <c r="H760" s="34" t="n"/>
      <c r="I760" s="34" t="n">
        <v>55</v>
      </c>
      <c r="J760" s="33" t="inlineStr">
        <is>
          <t>Card</t>
        </is>
      </c>
      <c r="K760" s="28">
        <f>IF(OR(B760="",F760&lt;&gt;"Done",J760="Package"),"",IF(N(G760)-N(I760)&gt;0,N(G760)-N(I760),""))</f>
        <v/>
      </c>
      <c r="L760" s="32" t="n"/>
      <c r="M760" s="1">
        <f>IF(OR(B760="",D760="",F760="Cancelled"),"",B760+N(C760)+ROW()/10000000)</f>
        <v/>
      </c>
      <c r="N760">
        <f>IF(AND(F760="Done",M760&lt;&gt;""),IF(COUNTIFS(Appointments!$D$6:$D$2005,D760,Appointments!$F$6:$F$2005,"Done",Appointments!$M$6:$M$2005,"&gt;"&amp;M760)=0,1,0),0)</f>
        <v/>
      </c>
      <c r="O760">
        <f>IF(AND(F760="Booked",M760&lt;&gt;"",N(B760)&gt;=TODAY()),IF(COUNTIFS(Appointments!$D$6:$D$2005,D760,Appointments!$F$6:$F$2005,"Booked",Appointments!$B$6:$B$2005,"&gt;="&amp;TODAY(),Appointments!$M$6:$M$2005,"&lt;"&amp;M760)=0,1,0),0)</f>
        <v/>
      </c>
    </row>
    <row r="761">
      <c r="A761" s="1" t="n"/>
      <c r="B761" s="30" t="n">
        <v>46206</v>
      </c>
      <c r="C761" s="31" t="n">
        <v>0.375</v>
      </c>
      <c r="D761" s="32" t="inlineStr">
        <is>
          <t>Harry Adams</t>
        </is>
      </c>
      <c r="E761" s="32" t="inlineStr">
        <is>
          <t>Men's haircut</t>
        </is>
      </c>
      <c r="F761" s="33" t="inlineStr">
        <is>
          <t>Done</t>
        </is>
      </c>
      <c r="G761" s="27">
        <f>IF(E761="","",MAX(0,IFERROR(INDEX(Services!$C$6:$C$35,MATCH(E761,Services!$B$6:$B$35,0)),0)-N(H761)))</f>
        <v/>
      </c>
      <c r="H761" s="34" t="n"/>
      <c r="I761" s="34" t="n">
        <v>30</v>
      </c>
      <c r="J761" s="33" t="inlineStr">
        <is>
          <t>Cash</t>
        </is>
      </c>
      <c r="K761" s="28">
        <f>IF(OR(B761="",F761&lt;&gt;"Done",J761="Package"),"",IF(N(G761)-N(I761)&gt;0,N(G761)-N(I761),""))</f>
        <v/>
      </c>
      <c r="L761" s="32" t="n"/>
      <c r="M761" s="1">
        <f>IF(OR(B761="",D761="",F761="Cancelled"),"",B761+N(C761)+ROW()/10000000)</f>
        <v/>
      </c>
      <c r="N761">
        <f>IF(AND(F761="Done",M761&lt;&gt;""),IF(COUNTIFS(Appointments!$D$6:$D$2005,D761,Appointments!$F$6:$F$2005,"Done",Appointments!$M$6:$M$2005,"&gt;"&amp;M761)=0,1,0),0)</f>
        <v/>
      </c>
      <c r="O761">
        <f>IF(AND(F761="Booked",M761&lt;&gt;"",N(B761)&gt;=TODAY()),IF(COUNTIFS(Appointments!$D$6:$D$2005,D761,Appointments!$F$6:$F$2005,"Booked",Appointments!$B$6:$B$2005,"&gt;="&amp;TODAY(),Appointments!$M$6:$M$2005,"&lt;"&amp;M761)=0,1,0),0)</f>
        <v/>
      </c>
    </row>
    <row r="762">
      <c r="A762" s="1" t="n"/>
      <c r="B762" s="30" t="n">
        <v>46206</v>
      </c>
      <c r="C762" s="31" t="n">
        <v>0.4027777777777778</v>
      </c>
      <c r="D762" s="32" t="inlineStr">
        <is>
          <t>Ian Hall</t>
        </is>
      </c>
      <c r="E762" s="32" t="inlineStr">
        <is>
          <t>Men's haircut</t>
        </is>
      </c>
      <c r="F762" s="33" t="inlineStr">
        <is>
          <t>Done</t>
        </is>
      </c>
      <c r="G762" s="27">
        <f>IF(E762="","",MAX(0,IFERROR(INDEX(Services!$C$6:$C$35,MATCH(E762,Services!$B$6:$B$35,0)),0)-N(H762)))</f>
        <v/>
      </c>
      <c r="H762" s="34" t="n"/>
      <c r="I762" s="34" t="n">
        <v>30</v>
      </c>
      <c r="J762" s="33" t="inlineStr">
        <is>
          <t>App</t>
        </is>
      </c>
      <c r="K762" s="28">
        <f>IF(OR(B762="",F762&lt;&gt;"Done",J762="Package"),"",IF(N(G762)-N(I762)&gt;0,N(G762)-N(I762),""))</f>
        <v/>
      </c>
      <c r="L762" s="32" t="n"/>
      <c r="M762" s="1">
        <f>IF(OR(B762="",D762="",F762="Cancelled"),"",B762+N(C762)+ROW()/10000000)</f>
        <v/>
      </c>
      <c r="N762">
        <f>IF(AND(F762="Done",M762&lt;&gt;""),IF(COUNTIFS(Appointments!$D$6:$D$2005,D762,Appointments!$F$6:$F$2005,"Done",Appointments!$M$6:$M$2005,"&gt;"&amp;M762)=0,1,0),0)</f>
        <v/>
      </c>
      <c r="O762">
        <f>IF(AND(F762="Booked",M762&lt;&gt;"",N(B762)&gt;=TODAY()),IF(COUNTIFS(Appointments!$D$6:$D$2005,D762,Appointments!$F$6:$F$2005,"Booked",Appointments!$B$6:$B$2005,"&gt;="&amp;TODAY(),Appointments!$M$6:$M$2005,"&lt;"&amp;M762)=0,1,0),0)</f>
        <v/>
      </c>
    </row>
    <row r="763">
      <c r="A763" s="1" t="n"/>
      <c r="B763" s="30" t="n">
        <v>46206</v>
      </c>
      <c r="C763" s="31" t="n">
        <v>0.4305555555555556</v>
      </c>
      <c r="D763" s="32" t="inlineStr">
        <is>
          <t>Sophie Ellis</t>
        </is>
      </c>
      <c r="E763" s="32" t="inlineStr">
        <is>
          <t>Women's haircut</t>
        </is>
      </c>
      <c r="F763" s="33" t="inlineStr">
        <is>
          <t>Done</t>
        </is>
      </c>
      <c r="G763" s="27">
        <f>IF(E763="","",MAX(0,IFERROR(INDEX(Services!$C$6:$C$35,MATCH(E763,Services!$B$6:$B$35,0)),0)-N(H763)))</f>
        <v/>
      </c>
      <c r="H763" s="34" t="n"/>
      <c r="I763" s="34" t="n">
        <v>55</v>
      </c>
      <c r="J763" s="33" t="inlineStr">
        <is>
          <t>Card</t>
        </is>
      </c>
      <c r="K763" s="28">
        <f>IF(OR(B763="",F763&lt;&gt;"Done",J763="Package"),"",IF(N(G763)-N(I763)&gt;0,N(G763)-N(I763),""))</f>
        <v/>
      </c>
      <c r="L763" s="32" t="n"/>
      <c r="M763" s="1">
        <f>IF(OR(B763="",D763="",F763="Cancelled"),"",B763+N(C763)+ROW()/10000000)</f>
        <v/>
      </c>
      <c r="N763">
        <f>IF(AND(F763="Done",M763&lt;&gt;""),IF(COUNTIFS(Appointments!$D$6:$D$2005,D763,Appointments!$F$6:$F$2005,"Done",Appointments!$M$6:$M$2005,"&gt;"&amp;M763)=0,1,0),0)</f>
        <v/>
      </c>
      <c r="O763">
        <f>IF(AND(F763="Booked",M763&lt;&gt;"",N(B763)&gt;=TODAY()),IF(COUNTIFS(Appointments!$D$6:$D$2005,D763,Appointments!$F$6:$F$2005,"Booked",Appointments!$B$6:$B$2005,"&gt;="&amp;TODAY(),Appointments!$M$6:$M$2005,"&lt;"&amp;M763)=0,1,0),0)</f>
        <v/>
      </c>
    </row>
    <row r="764">
      <c r="A764" s="1" t="n"/>
      <c r="B764" s="30" t="n">
        <v>46207</v>
      </c>
      <c r="C764" s="31" t="n">
        <v>0.375</v>
      </c>
      <c r="D764" s="32" t="inlineStr">
        <is>
          <t>Matt Ellis</t>
        </is>
      </c>
      <c r="E764" s="32" t="inlineStr">
        <is>
          <t>Men's haircut</t>
        </is>
      </c>
      <c r="F764" s="33" t="inlineStr">
        <is>
          <t>Done</t>
        </is>
      </c>
      <c r="G764" s="27">
        <f>IF(E764="","",MAX(0,IFERROR(INDEX(Services!$C$6:$C$35,MATCH(E764,Services!$B$6:$B$35,0)),0)-N(H764)))</f>
        <v/>
      </c>
      <c r="H764" s="34" t="n">
        <v>10</v>
      </c>
      <c r="I764" s="34" t="n">
        <v>20</v>
      </c>
      <c r="J764" s="33" t="inlineStr">
        <is>
          <t>Transfer</t>
        </is>
      </c>
      <c r="K764" s="28">
        <f>IF(OR(B764="",F764&lt;&gt;"Done",J764="Package"),"",IF(N(G764)-N(I764)&gt;0,N(G764)-N(I764),""))</f>
        <v/>
      </c>
      <c r="L764" s="32" t="inlineStr">
        <is>
          <t>Friends and family</t>
        </is>
      </c>
      <c r="M764" s="1">
        <f>IF(OR(B764="",D764="",F764="Cancelled"),"",B764+N(C764)+ROW()/10000000)</f>
        <v/>
      </c>
      <c r="N764">
        <f>IF(AND(F764="Done",M764&lt;&gt;""),IF(COUNTIFS(Appointments!$D$6:$D$2005,D764,Appointments!$F$6:$F$2005,"Done",Appointments!$M$6:$M$2005,"&gt;"&amp;M764)=0,1,0),0)</f>
        <v/>
      </c>
      <c r="O764">
        <f>IF(AND(F764="Booked",M764&lt;&gt;"",N(B764)&gt;=TODAY()),IF(COUNTIFS(Appointments!$D$6:$D$2005,D764,Appointments!$F$6:$F$2005,"Booked",Appointments!$B$6:$B$2005,"&gt;="&amp;TODAY(),Appointments!$M$6:$M$2005,"&lt;"&amp;M764)=0,1,0),0)</f>
        <v/>
      </c>
    </row>
    <row r="765">
      <c r="A765" s="1" t="n"/>
      <c r="B765" s="30" t="n">
        <v>46207</v>
      </c>
      <c r="C765" s="31" t="n">
        <v>0.4027777777777778</v>
      </c>
      <c r="D765" s="32" t="inlineStr">
        <is>
          <t>Noah Taylor</t>
        </is>
      </c>
      <c r="E765" s="32" t="inlineStr">
        <is>
          <t>Kids haircut</t>
        </is>
      </c>
      <c r="F765" s="33" t="inlineStr">
        <is>
          <t>Done</t>
        </is>
      </c>
      <c r="G765" s="27">
        <f>IF(E765="","",MAX(0,IFERROR(INDEX(Services!$C$6:$C$35,MATCH(E765,Services!$B$6:$B$35,0)),0)-N(H765)))</f>
        <v/>
      </c>
      <c r="H765" s="34" t="n"/>
      <c r="I765" s="34" t="n">
        <v>20</v>
      </c>
      <c r="J765" s="33" t="inlineStr">
        <is>
          <t>Card</t>
        </is>
      </c>
      <c r="K765" s="28">
        <f>IF(OR(B765="",F765&lt;&gt;"Done",J765="Package"),"",IF(N(G765)-N(I765)&gt;0,N(G765)-N(I765),""))</f>
        <v/>
      </c>
      <c r="L765" s="32" t="n"/>
      <c r="M765" s="1">
        <f>IF(OR(B765="",D765="",F765="Cancelled"),"",B765+N(C765)+ROW()/10000000)</f>
        <v/>
      </c>
      <c r="N765">
        <f>IF(AND(F765="Done",M765&lt;&gt;""),IF(COUNTIFS(Appointments!$D$6:$D$2005,D765,Appointments!$F$6:$F$2005,"Done",Appointments!$M$6:$M$2005,"&gt;"&amp;M765)=0,1,0),0)</f>
        <v/>
      </c>
      <c r="O765">
        <f>IF(AND(F765="Booked",M765&lt;&gt;"",N(B765)&gt;=TODAY()),IF(COUNTIFS(Appointments!$D$6:$D$2005,D765,Appointments!$F$6:$F$2005,"Booked",Appointments!$B$6:$B$2005,"&gt;="&amp;TODAY(),Appointments!$M$6:$M$2005,"&lt;"&amp;M765)=0,1,0),0)</f>
        <v/>
      </c>
    </row>
    <row r="766">
      <c r="A766" s="1" t="n"/>
      <c r="B766" s="30" t="n">
        <v>46207</v>
      </c>
      <c r="C766" s="31" t="n">
        <v>0.4305555555555556</v>
      </c>
      <c r="D766" s="32" t="inlineStr">
        <is>
          <t>Noah Taylor</t>
        </is>
      </c>
      <c r="E766" s="32" t="inlineStr">
        <is>
          <t>Kids haircut</t>
        </is>
      </c>
      <c r="F766" s="33" t="inlineStr">
        <is>
          <t>Done</t>
        </is>
      </c>
      <c r="G766" s="27">
        <f>IF(E766="","",MAX(0,IFERROR(INDEX(Services!$C$6:$C$35,MATCH(E766,Services!$B$6:$B$35,0)),0)-N(H766)))</f>
        <v/>
      </c>
      <c r="H766" s="34" t="n"/>
      <c r="I766" s="34" t="n">
        <v>20</v>
      </c>
      <c r="J766" s="33" t="inlineStr">
        <is>
          <t>Transfer</t>
        </is>
      </c>
      <c r="K766" s="28">
        <f>IF(OR(B766="",F766&lt;&gt;"Done",J766="Package"),"",IF(N(G766)-N(I766)&gt;0,N(G766)-N(I766),""))</f>
        <v/>
      </c>
      <c r="L766" s="32" t="n"/>
      <c r="M766" s="1">
        <f>IF(OR(B766="",D766="",F766="Cancelled"),"",B766+N(C766)+ROW()/10000000)</f>
        <v/>
      </c>
      <c r="N766">
        <f>IF(AND(F766="Done",M766&lt;&gt;""),IF(COUNTIFS(Appointments!$D$6:$D$2005,D766,Appointments!$F$6:$F$2005,"Done",Appointments!$M$6:$M$2005,"&gt;"&amp;M766)=0,1,0),0)</f>
        <v/>
      </c>
      <c r="O766">
        <f>IF(AND(F766="Booked",M766&lt;&gt;"",N(B766)&gt;=TODAY()),IF(COUNTIFS(Appointments!$D$6:$D$2005,D766,Appointments!$F$6:$F$2005,"Booked",Appointments!$B$6:$B$2005,"&gt;="&amp;TODAY(),Appointments!$M$6:$M$2005,"&lt;"&amp;M766)=0,1,0),0)</f>
        <v/>
      </c>
    </row>
    <row r="767">
      <c r="A767" s="1" t="n"/>
      <c r="B767" s="30" t="n">
        <v>46207</v>
      </c>
      <c r="C767" s="31" t="n">
        <v>0.4583333333333333</v>
      </c>
      <c r="D767" s="32" t="inlineStr">
        <is>
          <t>Tom Gray</t>
        </is>
      </c>
      <c r="E767" s="32" t="inlineStr">
        <is>
          <t>Men's haircut</t>
        </is>
      </c>
      <c r="F767" s="33" t="inlineStr">
        <is>
          <t>No-show</t>
        </is>
      </c>
      <c r="G767" s="27">
        <f>IF(E767="","",MAX(0,IFERROR(INDEX(Services!$C$6:$C$35,MATCH(E767,Services!$B$6:$B$35,0)),0)-N(H767)))</f>
        <v/>
      </c>
      <c r="H767" s="34" t="n"/>
      <c r="I767" s="34" t="n"/>
      <c r="J767" s="33" t="n"/>
      <c r="K767" s="28">
        <f>IF(OR(B767="",F767&lt;&gt;"Done",J767="Package"),"",IF(N(G767)-N(I767)&gt;0,N(G767)-N(I767),""))</f>
        <v/>
      </c>
      <c r="L767" s="32" t="n"/>
      <c r="M767" s="1">
        <f>IF(OR(B767="",D767="",F767="Cancelled"),"",B767+N(C767)+ROW()/10000000)</f>
        <v/>
      </c>
      <c r="N767">
        <f>IF(AND(F767="Done",M767&lt;&gt;""),IF(COUNTIFS(Appointments!$D$6:$D$2005,D767,Appointments!$F$6:$F$2005,"Done",Appointments!$M$6:$M$2005,"&gt;"&amp;M767)=0,1,0),0)</f>
        <v/>
      </c>
      <c r="O767">
        <f>IF(AND(F767="Booked",M767&lt;&gt;"",N(B767)&gt;=TODAY()),IF(COUNTIFS(Appointments!$D$6:$D$2005,D767,Appointments!$F$6:$F$2005,"Booked",Appointments!$B$6:$B$2005,"&gt;="&amp;TODAY(),Appointments!$M$6:$M$2005,"&lt;"&amp;M767)=0,1,0),0)</f>
        <v/>
      </c>
    </row>
    <row r="768">
      <c r="A768" s="1" t="n"/>
      <c r="B768" s="30" t="n">
        <v>46210</v>
      </c>
      <c r="C768" s="31" t="n">
        <v>0.375</v>
      </c>
      <c r="D768" s="32" t="inlineStr">
        <is>
          <t>Amy Kelly</t>
        </is>
      </c>
      <c r="E768" s="32" t="inlineStr">
        <is>
          <t>Women's haircut</t>
        </is>
      </c>
      <c r="F768" s="33" t="inlineStr">
        <is>
          <t>Done</t>
        </is>
      </c>
      <c r="G768" s="27">
        <f>IF(E768="","",MAX(0,IFERROR(INDEX(Services!$C$6:$C$35,MATCH(E768,Services!$B$6:$B$35,0)),0)-N(H768)))</f>
        <v/>
      </c>
      <c r="H768" s="34" t="n"/>
      <c r="I768" s="34" t="n">
        <v>55</v>
      </c>
      <c r="J768" s="33" t="inlineStr">
        <is>
          <t>Card</t>
        </is>
      </c>
      <c r="K768" s="28">
        <f>IF(OR(B768="",F768&lt;&gt;"Done",J768="Package"),"",IF(N(G768)-N(I768)&gt;0,N(G768)-N(I768),""))</f>
        <v/>
      </c>
      <c r="L768" s="32" t="n"/>
      <c r="M768" s="1">
        <f>IF(OR(B768="",D768="",F768="Cancelled"),"",B768+N(C768)+ROW()/10000000)</f>
        <v/>
      </c>
      <c r="N768">
        <f>IF(AND(F768="Done",M768&lt;&gt;""),IF(COUNTIFS(Appointments!$D$6:$D$2005,D768,Appointments!$F$6:$F$2005,"Done",Appointments!$M$6:$M$2005,"&gt;"&amp;M768)=0,1,0),0)</f>
        <v/>
      </c>
      <c r="O768">
        <f>IF(AND(F768="Booked",M768&lt;&gt;"",N(B768)&gt;=TODAY()),IF(COUNTIFS(Appointments!$D$6:$D$2005,D768,Appointments!$F$6:$F$2005,"Booked",Appointments!$B$6:$B$2005,"&gt;="&amp;TODAY(),Appointments!$M$6:$M$2005,"&lt;"&amp;M768)=0,1,0),0)</f>
        <v/>
      </c>
    </row>
    <row r="769">
      <c r="A769" s="1" t="n"/>
      <c r="B769" s="30" t="n">
        <v>46210</v>
      </c>
      <c r="C769" s="31" t="n">
        <v>0.4236111111111111</v>
      </c>
      <c r="D769" s="32" t="inlineStr">
        <is>
          <t>Anna Rossi</t>
        </is>
      </c>
      <c r="E769" s="32" t="inlineStr">
        <is>
          <t>Colour</t>
        </is>
      </c>
      <c r="F769" s="33" t="inlineStr">
        <is>
          <t>Done</t>
        </is>
      </c>
      <c r="G769" s="27">
        <f>IF(E769="","",MAX(0,IFERROR(INDEX(Services!$C$6:$C$35,MATCH(E769,Services!$B$6:$B$35,0)),0)-N(H769)))</f>
        <v/>
      </c>
      <c r="H769" s="34" t="n"/>
      <c r="I769" s="34" t="n">
        <v>95</v>
      </c>
      <c r="J769" s="33" t="inlineStr">
        <is>
          <t>Card</t>
        </is>
      </c>
      <c r="K769" s="28">
        <f>IF(OR(B769="",F769&lt;&gt;"Done",J769="Package"),"",IF(N(G769)-N(I769)&gt;0,N(G769)-N(I769),""))</f>
        <v/>
      </c>
      <c r="L769" s="32" t="n"/>
      <c r="M769" s="1">
        <f>IF(OR(B769="",D769="",F769="Cancelled"),"",B769+N(C769)+ROW()/10000000)</f>
        <v/>
      </c>
      <c r="N769">
        <f>IF(AND(F769="Done",M769&lt;&gt;""),IF(COUNTIFS(Appointments!$D$6:$D$2005,D769,Appointments!$F$6:$F$2005,"Done",Appointments!$M$6:$M$2005,"&gt;"&amp;M769)=0,1,0),0)</f>
        <v/>
      </c>
      <c r="O769">
        <f>IF(AND(F769="Booked",M769&lt;&gt;"",N(B769)&gt;=TODAY()),IF(COUNTIFS(Appointments!$D$6:$D$2005,D769,Appointments!$F$6:$F$2005,"Booked",Appointments!$B$6:$B$2005,"&gt;="&amp;TODAY(),Appointments!$M$6:$M$2005,"&lt;"&amp;M769)=0,1,0),0)</f>
        <v/>
      </c>
    </row>
    <row r="770">
      <c r="A770" s="1" t="n"/>
      <c r="B770" s="30" t="n">
        <v>46210</v>
      </c>
      <c r="C770" s="31" t="n">
        <v>0.5138888888888888</v>
      </c>
      <c r="D770" s="32" t="inlineStr">
        <is>
          <t>Maya Patel</t>
        </is>
      </c>
      <c r="E770" s="32" t="inlineStr">
        <is>
          <t>Treatment</t>
        </is>
      </c>
      <c r="F770" s="33" t="inlineStr">
        <is>
          <t>Done</t>
        </is>
      </c>
      <c r="G770" s="27">
        <f>IF(E770="","",MAX(0,IFERROR(INDEX(Services!$C$6:$C$35,MATCH(E770,Services!$B$6:$B$35,0)),0)-N(H770)))</f>
        <v/>
      </c>
      <c r="H770" s="34" t="n"/>
      <c r="I770" s="34" t="n"/>
      <c r="J770" s="33" t="inlineStr">
        <is>
          <t>Package</t>
        </is>
      </c>
      <c r="K770" s="28">
        <f>IF(OR(B770="",F770&lt;&gt;"Done",J770="Package"),"",IF(N(G770)-N(I770)&gt;0,N(G770)-N(I770),""))</f>
        <v/>
      </c>
      <c r="L770" s="32" t="n"/>
      <c r="M770" s="1">
        <f>IF(OR(B770="",D770="",F770="Cancelled"),"",B770+N(C770)+ROW()/10000000)</f>
        <v/>
      </c>
      <c r="N770">
        <f>IF(AND(F770="Done",M770&lt;&gt;""),IF(COUNTIFS(Appointments!$D$6:$D$2005,D770,Appointments!$F$6:$F$2005,"Done",Appointments!$M$6:$M$2005,"&gt;"&amp;M770)=0,1,0),0)</f>
        <v/>
      </c>
      <c r="O770">
        <f>IF(AND(F770="Booked",M770&lt;&gt;"",N(B770)&gt;=TODAY()),IF(COUNTIFS(Appointments!$D$6:$D$2005,D770,Appointments!$F$6:$F$2005,"Booked",Appointments!$B$6:$B$2005,"&gt;="&amp;TODAY(),Appointments!$M$6:$M$2005,"&lt;"&amp;M770)=0,1,0),0)</f>
        <v/>
      </c>
    </row>
    <row r="771">
      <c r="A771" s="1" t="n"/>
      <c r="B771" s="30" t="n">
        <v>46210</v>
      </c>
      <c r="C771" s="31" t="n">
        <v>0.5416666666666666</v>
      </c>
      <c r="D771" s="32" t="inlineStr">
        <is>
          <t>Ruby Cook</t>
        </is>
      </c>
      <c r="E771" s="32" t="inlineStr">
        <is>
          <t>Blow dry</t>
        </is>
      </c>
      <c r="F771" s="33" t="inlineStr">
        <is>
          <t>Done</t>
        </is>
      </c>
      <c r="G771" s="27">
        <f>IF(E771="","",MAX(0,IFERROR(INDEX(Services!$C$6:$C$35,MATCH(E771,Services!$B$6:$B$35,0)),0)-N(H771)))</f>
        <v/>
      </c>
      <c r="H771" s="34" t="n"/>
      <c r="I771" s="34" t="n">
        <v>35</v>
      </c>
      <c r="J771" s="33" t="inlineStr">
        <is>
          <t>Transfer</t>
        </is>
      </c>
      <c r="K771" s="28">
        <f>IF(OR(B771="",F771&lt;&gt;"Done",J771="Package"),"",IF(N(G771)-N(I771)&gt;0,N(G771)-N(I771),""))</f>
        <v/>
      </c>
      <c r="L771" s="32" t="n"/>
      <c r="M771" s="1">
        <f>IF(OR(B771="",D771="",F771="Cancelled"),"",B771+N(C771)+ROW()/10000000)</f>
        <v/>
      </c>
      <c r="N771">
        <f>IF(AND(F771="Done",M771&lt;&gt;""),IF(COUNTIFS(Appointments!$D$6:$D$2005,D771,Appointments!$F$6:$F$2005,"Done",Appointments!$M$6:$M$2005,"&gt;"&amp;M771)=0,1,0),0)</f>
        <v/>
      </c>
      <c r="O771">
        <f>IF(AND(F771="Booked",M771&lt;&gt;"",N(B771)&gt;=TODAY()),IF(COUNTIFS(Appointments!$D$6:$D$2005,D771,Appointments!$F$6:$F$2005,"Booked",Appointments!$B$6:$B$2005,"&gt;="&amp;TODAY(),Appointments!$M$6:$M$2005,"&lt;"&amp;M771)=0,1,0),0)</f>
        <v/>
      </c>
    </row>
    <row r="772">
      <c r="A772" s="1" t="n"/>
      <c r="B772" s="30" t="n">
        <v>46210</v>
      </c>
      <c r="C772" s="31" t="n">
        <v>0.5798611111111112</v>
      </c>
      <c r="D772" s="32" t="inlineStr">
        <is>
          <t>Sam Clarke</t>
        </is>
      </c>
      <c r="E772" s="32" t="inlineStr">
        <is>
          <t>Men's haircut</t>
        </is>
      </c>
      <c r="F772" s="33" t="inlineStr">
        <is>
          <t>Done</t>
        </is>
      </c>
      <c r="G772" s="27">
        <f>IF(E772="","",MAX(0,IFERROR(INDEX(Services!$C$6:$C$35,MATCH(E772,Services!$B$6:$B$35,0)),0)-N(H772)))</f>
        <v/>
      </c>
      <c r="H772" s="34" t="n"/>
      <c r="I772" s="34" t="n">
        <v>30</v>
      </c>
      <c r="J772" s="33" t="inlineStr">
        <is>
          <t>Card</t>
        </is>
      </c>
      <c r="K772" s="28">
        <f>IF(OR(B772="",F772&lt;&gt;"Done",J772="Package"),"",IF(N(G772)-N(I772)&gt;0,N(G772)-N(I772),""))</f>
        <v/>
      </c>
      <c r="L772" s="32" t="n"/>
      <c r="M772" s="1">
        <f>IF(OR(B772="",D772="",F772="Cancelled"),"",B772+N(C772)+ROW()/10000000)</f>
        <v/>
      </c>
      <c r="N772">
        <f>IF(AND(F772="Done",M772&lt;&gt;""),IF(COUNTIFS(Appointments!$D$6:$D$2005,D772,Appointments!$F$6:$F$2005,"Done",Appointments!$M$6:$M$2005,"&gt;"&amp;M772)=0,1,0),0)</f>
        <v/>
      </c>
      <c r="O772">
        <f>IF(AND(F772="Booked",M772&lt;&gt;"",N(B772)&gt;=TODAY()),IF(COUNTIFS(Appointments!$D$6:$D$2005,D772,Appointments!$F$6:$F$2005,"Booked",Appointments!$B$6:$B$2005,"&gt;="&amp;TODAY(),Appointments!$M$6:$M$2005,"&lt;"&amp;M772)=0,1,0),0)</f>
        <v/>
      </c>
    </row>
    <row r="773">
      <c r="A773" s="1" t="n"/>
      <c r="B773" s="30" t="n">
        <v>46210</v>
      </c>
      <c r="C773" s="31" t="n">
        <v>0.6076388888888888</v>
      </c>
      <c r="D773" s="32" t="inlineStr">
        <is>
          <t>Tara Singh</t>
        </is>
      </c>
      <c r="E773" s="32" t="inlineStr">
        <is>
          <t>Women's haircut</t>
        </is>
      </c>
      <c r="F773" s="33" t="inlineStr">
        <is>
          <t>Done</t>
        </is>
      </c>
      <c r="G773" s="27">
        <f>IF(E773="","",MAX(0,IFERROR(INDEX(Services!$C$6:$C$35,MATCH(E773,Services!$B$6:$B$35,0)),0)-N(H773)))</f>
        <v/>
      </c>
      <c r="H773" s="34" t="n"/>
      <c r="I773" s="34" t="n">
        <v>55</v>
      </c>
      <c r="J773" s="33" t="inlineStr">
        <is>
          <t>Card</t>
        </is>
      </c>
      <c r="K773" s="28">
        <f>IF(OR(B773="",F773&lt;&gt;"Done",J773="Package"),"",IF(N(G773)-N(I773)&gt;0,N(G773)-N(I773),""))</f>
        <v/>
      </c>
      <c r="L773" s="32" t="n"/>
      <c r="M773" s="1">
        <f>IF(OR(B773="",D773="",F773="Cancelled"),"",B773+N(C773)+ROW()/10000000)</f>
        <v/>
      </c>
      <c r="N773">
        <f>IF(AND(F773="Done",M773&lt;&gt;""),IF(COUNTIFS(Appointments!$D$6:$D$2005,D773,Appointments!$F$6:$F$2005,"Done",Appointments!$M$6:$M$2005,"&gt;"&amp;M773)=0,1,0),0)</f>
        <v/>
      </c>
      <c r="O773">
        <f>IF(AND(F773="Booked",M773&lt;&gt;"",N(B773)&gt;=TODAY()),IF(COUNTIFS(Appointments!$D$6:$D$2005,D773,Appointments!$F$6:$F$2005,"Booked",Appointments!$B$6:$B$2005,"&gt;="&amp;TODAY(),Appointments!$M$6:$M$2005,"&lt;"&amp;M773)=0,1,0),0)</f>
        <v/>
      </c>
    </row>
    <row r="774">
      <c r="A774" s="1" t="n"/>
      <c r="B774" s="30" t="n">
        <v>46210</v>
      </c>
      <c r="C774" s="31" t="n">
        <v>0.65625</v>
      </c>
      <c r="D774" s="32" t="inlineStr">
        <is>
          <t>Victor Lane</t>
        </is>
      </c>
      <c r="E774" s="32" t="inlineStr">
        <is>
          <t>Men's haircut</t>
        </is>
      </c>
      <c r="F774" s="33" t="inlineStr">
        <is>
          <t>Done</t>
        </is>
      </c>
      <c r="G774" s="27">
        <f>IF(E774="","",MAX(0,IFERROR(INDEX(Services!$C$6:$C$35,MATCH(E774,Services!$B$6:$B$35,0)),0)-N(H774)))</f>
        <v/>
      </c>
      <c r="H774" s="34" t="n"/>
      <c r="I774" s="34" t="n">
        <v>30</v>
      </c>
      <c r="J774" s="33" t="inlineStr">
        <is>
          <t>Card</t>
        </is>
      </c>
      <c r="K774" s="28">
        <f>IF(OR(B774="",F774&lt;&gt;"Done",J774="Package"),"",IF(N(G774)-N(I774)&gt;0,N(G774)-N(I774),""))</f>
        <v/>
      </c>
      <c r="L774" s="32" t="n"/>
      <c r="M774" s="1">
        <f>IF(OR(B774="",D774="",F774="Cancelled"),"",B774+N(C774)+ROW()/10000000)</f>
        <v/>
      </c>
      <c r="N774">
        <f>IF(AND(F774="Done",M774&lt;&gt;""),IF(COUNTIFS(Appointments!$D$6:$D$2005,D774,Appointments!$F$6:$F$2005,"Done",Appointments!$M$6:$M$2005,"&gt;"&amp;M774)=0,1,0),0)</f>
        <v/>
      </c>
      <c r="O774">
        <f>IF(AND(F774="Booked",M774&lt;&gt;"",N(B774)&gt;=TODAY()),IF(COUNTIFS(Appointments!$D$6:$D$2005,D774,Appointments!$F$6:$F$2005,"Booked",Appointments!$B$6:$B$2005,"&gt;="&amp;TODAY(),Appointments!$M$6:$M$2005,"&lt;"&amp;M774)=0,1,0),0)</f>
        <v/>
      </c>
    </row>
    <row r="775">
      <c r="A775" s="1" t="n"/>
      <c r="B775" s="30" t="n">
        <v>46211</v>
      </c>
      <c r="C775" s="31" t="n">
        <v>0.375</v>
      </c>
      <c r="D775" s="32" t="inlineStr">
        <is>
          <t>Adam King</t>
        </is>
      </c>
      <c r="E775" s="32" t="inlineStr">
        <is>
          <t>Men's haircut</t>
        </is>
      </c>
      <c r="F775" s="33" t="inlineStr">
        <is>
          <t>Done</t>
        </is>
      </c>
      <c r="G775" s="27">
        <f>IF(E775="","",MAX(0,IFERROR(INDEX(Services!$C$6:$C$35,MATCH(E775,Services!$B$6:$B$35,0)),0)-N(H775)))</f>
        <v/>
      </c>
      <c r="H775" s="34" t="n"/>
      <c r="I775" s="34" t="n">
        <v>30</v>
      </c>
      <c r="J775" s="33" t="inlineStr">
        <is>
          <t>Card</t>
        </is>
      </c>
      <c r="K775" s="28">
        <f>IF(OR(B775="",F775&lt;&gt;"Done",J775="Package"),"",IF(N(G775)-N(I775)&gt;0,N(G775)-N(I775),""))</f>
        <v/>
      </c>
      <c r="L775" s="32" t="n"/>
      <c r="M775" s="1">
        <f>IF(OR(B775="",D775="",F775="Cancelled"),"",B775+N(C775)+ROW()/10000000)</f>
        <v/>
      </c>
      <c r="N775">
        <f>IF(AND(F775="Done",M775&lt;&gt;""),IF(COUNTIFS(Appointments!$D$6:$D$2005,D775,Appointments!$F$6:$F$2005,"Done",Appointments!$M$6:$M$2005,"&gt;"&amp;M775)=0,1,0),0)</f>
        <v/>
      </c>
      <c r="O775">
        <f>IF(AND(F775="Booked",M775&lt;&gt;"",N(B775)&gt;=TODAY()),IF(COUNTIFS(Appointments!$D$6:$D$2005,D775,Appointments!$F$6:$F$2005,"Booked",Appointments!$B$6:$B$2005,"&gt;="&amp;TODAY(),Appointments!$M$6:$M$2005,"&lt;"&amp;M775)=0,1,0),0)</f>
        <v/>
      </c>
    </row>
    <row r="776">
      <c r="A776" s="1" t="n"/>
      <c r="B776" s="30" t="n">
        <v>46211</v>
      </c>
      <c r="C776" s="31" t="n">
        <v>0.4027777777777778</v>
      </c>
      <c r="D776" s="32" t="inlineStr">
        <is>
          <t>Dan Hill</t>
        </is>
      </c>
      <c r="E776" s="32" t="inlineStr">
        <is>
          <t>Men's haircut</t>
        </is>
      </c>
      <c r="F776" s="33" t="inlineStr">
        <is>
          <t>Done</t>
        </is>
      </c>
      <c r="G776" s="27">
        <f>IF(E776="","",MAX(0,IFERROR(INDEX(Services!$C$6:$C$35,MATCH(E776,Services!$B$6:$B$35,0)),0)-N(H776)))</f>
        <v/>
      </c>
      <c r="H776" s="34" t="n"/>
      <c r="I776" s="34" t="n">
        <v>30</v>
      </c>
      <c r="J776" s="33" t="inlineStr">
        <is>
          <t>Card</t>
        </is>
      </c>
      <c r="K776" s="28">
        <f>IF(OR(B776="",F776&lt;&gt;"Done",J776="Package"),"",IF(N(G776)-N(I776)&gt;0,N(G776)-N(I776),""))</f>
        <v/>
      </c>
      <c r="L776" s="32" t="n"/>
      <c r="M776" s="1">
        <f>IF(OR(B776="",D776="",F776="Cancelled"),"",B776+N(C776)+ROW()/10000000)</f>
        <v/>
      </c>
      <c r="N776">
        <f>IF(AND(F776="Done",M776&lt;&gt;""),IF(COUNTIFS(Appointments!$D$6:$D$2005,D776,Appointments!$F$6:$F$2005,"Done",Appointments!$M$6:$M$2005,"&gt;"&amp;M776)=0,1,0),0)</f>
        <v/>
      </c>
      <c r="O776">
        <f>IF(AND(F776="Booked",M776&lt;&gt;"",N(B776)&gt;=TODAY()),IF(COUNTIFS(Appointments!$D$6:$D$2005,D776,Appointments!$F$6:$F$2005,"Booked",Appointments!$B$6:$B$2005,"&gt;="&amp;TODAY(),Appointments!$M$6:$M$2005,"&lt;"&amp;M776)=0,1,0),0)</f>
        <v/>
      </c>
    </row>
    <row r="777">
      <c r="A777" s="1" t="n"/>
      <c r="B777" s="30" t="n">
        <v>46211</v>
      </c>
      <c r="C777" s="31" t="n">
        <v>0.4305555555555556</v>
      </c>
      <c r="D777" s="32" t="inlineStr">
        <is>
          <t>Holly Gray</t>
        </is>
      </c>
      <c r="E777" s="32" t="inlineStr">
        <is>
          <t>Women's haircut</t>
        </is>
      </c>
      <c r="F777" s="33" t="inlineStr">
        <is>
          <t>Done</t>
        </is>
      </c>
      <c r="G777" s="27">
        <f>IF(E777="","",MAX(0,IFERROR(INDEX(Services!$C$6:$C$35,MATCH(E777,Services!$B$6:$B$35,0)),0)-N(H777)))</f>
        <v/>
      </c>
      <c r="H777" s="34" t="n"/>
      <c r="I777" s="34" t="n">
        <v>55</v>
      </c>
      <c r="J777" s="33" t="inlineStr">
        <is>
          <t>Card</t>
        </is>
      </c>
      <c r="K777" s="28">
        <f>IF(OR(B777="",F777&lt;&gt;"Done",J777="Package"),"",IF(N(G777)-N(I777)&gt;0,N(G777)-N(I777),""))</f>
        <v/>
      </c>
      <c r="L777" s="32" t="n"/>
      <c r="M777" s="1">
        <f>IF(OR(B777="",D777="",F777="Cancelled"),"",B777+N(C777)+ROW()/10000000)</f>
        <v/>
      </c>
      <c r="N777">
        <f>IF(AND(F777="Done",M777&lt;&gt;""),IF(COUNTIFS(Appointments!$D$6:$D$2005,D777,Appointments!$F$6:$F$2005,"Done",Appointments!$M$6:$M$2005,"&gt;"&amp;M777)=0,1,0),0)</f>
        <v/>
      </c>
      <c r="O777">
        <f>IF(AND(F777="Booked",M777&lt;&gt;"",N(B777)&gt;=TODAY()),IF(COUNTIFS(Appointments!$D$6:$D$2005,D777,Appointments!$F$6:$F$2005,"Booked",Appointments!$B$6:$B$2005,"&gt;="&amp;TODAY(),Appointments!$M$6:$M$2005,"&lt;"&amp;M777)=0,1,0),0)</f>
        <v/>
      </c>
    </row>
    <row r="778">
      <c r="A778" s="1" t="n"/>
      <c r="B778" s="30" t="n">
        <v>46211</v>
      </c>
      <c r="C778" s="31" t="n">
        <v>0.4791666666666667</v>
      </c>
      <c r="D778" s="32" t="inlineStr">
        <is>
          <t>Jade Davies</t>
        </is>
      </c>
      <c r="E778" s="32" t="inlineStr">
        <is>
          <t>Women's haircut</t>
        </is>
      </c>
      <c r="F778" s="33" t="inlineStr">
        <is>
          <t>Done</t>
        </is>
      </c>
      <c r="G778" s="27">
        <f>IF(E778="","",MAX(0,IFERROR(INDEX(Services!$C$6:$C$35,MATCH(E778,Services!$B$6:$B$35,0)),0)-N(H778)))</f>
        <v/>
      </c>
      <c r="H778" s="34" t="n"/>
      <c r="I778" s="34" t="n">
        <v>55</v>
      </c>
      <c r="J778" s="33" t="inlineStr">
        <is>
          <t>Card</t>
        </is>
      </c>
      <c r="K778" s="28">
        <f>IF(OR(B778="",F778&lt;&gt;"Done",J778="Package"),"",IF(N(G778)-N(I778)&gt;0,N(G778)-N(I778),""))</f>
        <v/>
      </c>
      <c r="L778" s="32" t="n"/>
      <c r="M778" s="1">
        <f>IF(OR(B778="",D778="",F778="Cancelled"),"",B778+N(C778)+ROW()/10000000)</f>
        <v/>
      </c>
      <c r="N778">
        <f>IF(AND(F778="Done",M778&lt;&gt;""),IF(COUNTIFS(Appointments!$D$6:$D$2005,D778,Appointments!$F$6:$F$2005,"Done",Appointments!$M$6:$M$2005,"&gt;"&amp;M778)=0,1,0),0)</f>
        <v/>
      </c>
      <c r="O778">
        <f>IF(AND(F778="Booked",M778&lt;&gt;"",N(B778)&gt;=TODAY()),IF(COUNTIFS(Appointments!$D$6:$D$2005,D778,Appointments!$F$6:$F$2005,"Booked",Appointments!$B$6:$B$2005,"&gt;="&amp;TODAY(),Appointments!$M$6:$M$2005,"&lt;"&amp;M778)=0,1,0),0)</f>
        <v/>
      </c>
    </row>
    <row r="779">
      <c r="A779" s="1" t="n"/>
      <c r="B779" s="30" t="n">
        <v>46211</v>
      </c>
      <c r="C779" s="31" t="n">
        <v>0.5277777777777778</v>
      </c>
      <c r="D779" s="32" t="inlineStr">
        <is>
          <t>Jade Hill</t>
        </is>
      </c>
      <c r="E779" s="32" t="inlineStr">
        <is>
          <t>Women's haircut</t>
        </is>
      </c>
      <c r="F779" s="33" t="inlineStr">
        <is>
          <t>Done</t>
        </is>
      </c>
      <c r="G779" s="27">
        <f>IF(E779="","",MAX(0,IFERROR(INDEX(Services!$C$6:$C$35,MATCH(E779,Services!$B$6:$B$35,0)),0)-N(H779)))</f>
        <v/>
      </c>
      <c r="H779" s="34" t="n"/>
      <c r="I779" s="34" t="n">
        <v>55</v>
      </c>
      <c r="J779" s="33" t="inlineStr">
        <is>
          <t>Cash</t>
        </is>
      </c>
      <c r="K779" s="28">
        <f>IF(OR(B779="",F779&lt;&gt;"Done",J779="Package"),"",IF(N(G779)-N(I779)&gt;0,N(G779)-N(I779),""))</f>
        <v/>
      </c>
      <c r="L779" s="32" t="n"/>
      <c r="M779" s="1">
        <f>IF(OR(B779="",D779="",F779="Cancelled"),"",B779+N(C779)+ROW()/10000000)</f>
        <v/>
      </c>
      <c r="N779">
        <f>IF(AND(F779="Done",M779&lt;&gt;""),IF(COUNTIFS(Appointments!$D$6:$D$2005,D779,Appointments!$F$6:$F$2005,"Done",Appointments!$M$6:$M$2005,"&gt;"&amp;M779)=0,1,0),0)</f>
        <v/>
      </c>
      <c r="O779">
        <f>IF(AND(F779="Booked",M779&lt;&gt;"",N(B779)&gt;=TODAY()),IF(COUNTIFS(Appointments!$D$6:$D$2005,D779,Appointments!$F$6:$F$2005,"Booked",Appointments!$B$6:$B$2005,"&gt;="&amp;TODAY(),Appointments!$M$6:$M$2005,"&lt;"&amp;M779)=0,1,0),0)</f>
        <v/>
      </c>
    </row>
    <row r="780">
      <c r="A780" s="1" t="n"/>
      <c r="B780" s="30" t="n">
        <v>46211</v>
      </c>
      <c r="C780" s="31" t="n">
        <v>0.5763888888888888</v>
      </c>
      <c r="D780" s="32" t="inlineStr">
        <is>
          <t>Nina Ellis</t>
        </is>
      </c>
      <c r="E780" s="32" t="inlineStr">
        <is>
          <t>Treatment</t>
        </is>
      </c>
      <c r="F780" s="33" t="inlineStr">
        <is>
          <t>Done</t>
        </is>
      </c>
      <c r="G780" s="27">
        <f>IF(E780="","",MAX(0,IFERROR(INDEX(Services!$C$6:$C$35,MATCH(E780,Services!$B$6:$B$35,0)),0)-N(H780)))</f>
        <v/>
      </c>
      <c r="H780" s="34" t="n"/>
      <c r="I780" s="34" t="n">
        <v>30</v>
      </c>
      <c r="J780" s="33" t="inlineStr">
        <is>
          <t>Cash</t>
        </is>
      </c>
      <c r="K780" s="28">
        <f>IF(OR(B780="",F780&lt;&gt;"Done",J780="Package"),"",IF(N(G780)-N(I780)&gt;0,N(G780)-N(I780),""))</f>
        <v/>
      </c>
      <c r="L780" s="32" t="n"/>
      <c r="M780" s="1">
        <f>IF(OR(B780="",D780="",F780="Cancelled"),"",B780+N(C780)+ROW()/10000000)</f>
        <v/>
      </c>
      <c r="N780">
        <f>IF(AND(F780="Done",M780&lt;&gt;""),IF(COUNTIFS(Appointments!$D$6:$D$2005,D780,Appointments!$F$6:$F$2005,"Done",Appointments!$M$6:$M$2005,"&gt;"&amp;M780)=0,1,0),0)</f>
        <v/>
      </c>
      <c r="O780">
        <f>IF(AND(F780="Booked",M780&lt;&gt;"",N(B780)&gt;=TODAY()),IF(COUNTIFS(Appointments!$D$6:$D$2005,D780,Appointments!$F$6:$F$2005,"Booked",Appointments!$B$6:$B$2005,"&gt;="&amp;TODAY(),Appointments!$M$6:$M$2005,"&lt;"&amp;M780)=0,1,0),0)</f>
        <v/>
      </c>
    </row>
    <row r="781">
      <c r="A781" s="1" t="n"/>
      <c r="B781" s="30" t="n">
        <v>46211</v>
      </c>
      <c r="C781" s="31" t="n">
        <v>0.6041666666666666</v>
      </c>
      <c r="D781" s="32" t="inlineStr">
        <is>
          <t>Owen Morgan</t>
        </is>
      </c>
      <c r="E781" s="32" t="inlineStr">
        <is>
          <t>Men's haircut</t>
        </is>
      </c>
      <c r="F781" s="33" t="inlineStr">
        <is>
          <t>Done</t>
        </is>
      </c>
      <c r="G781" s="27">
        <f>IF(E781="","",MAX(0,IFERROR(INDEX(Services!$C$6:$C$35,MATCH(E781,Services!$B$6:$B$35,0)),0)-N(H781)))</f>
        <v/>
      </c>
      <c r="H781" s="34" t="n"/>
      <c r="I781" s="34" t="n">
        <v>30</v>
      </c>
      <c r="J781" s="33" t="inlineStr">
        <is>
          <t>Cash</t>
        </is>
      </c>
      <c r="K781" s="28">
        <f>IF(OR(B781="",F781&lt;&gt;"Done",J781="Package"),"",IF(N(G781)-N(I781)&gt;0,N(G781)-N(I781),""))</f>
        <v/>
      </c>
      <c r="L781" s="32" t="n"/>
      <c r="M781" s="1">
        <f>IF(OR(B781="",D781="",F781="Cancelled"),"",B781+N(C781)+ROW()/10000000)</f>
        <v/>
      </c>
      <c r="N781">
        <f>IF(AND(F781="Done",M781&lt;&gt;""),IF(COUNTIFS(Appointments!$D$6:$D$2005,D781,Appointments!$F$6:$F$2005,"Done",Appointments!$M$6:$M$2005,"&gt;"&amp;M781)=0,1,0),0)</f>
        <v/>
      </c>
      <c r="O781">
        <f>IF(AND(F781="Booked",M781&lt;&gt;"",N(B781)&gt;=TODAY()),IF(COUNTIFS(Appointments!$D$6:$D$2005,D781,Appointments!$F$6:$F$2005,"Booked",Appointments!$B$6:$B$2005,"&gt;="&amp;TODAY(),Appointments!$M$6:$M$2005,"&lt;"&amp;M781)=0,1,0),0)</f>
        <v/>
      </c>
    </row>
    <row r="782">
      <c r="A782" s="1" t="n"/>
      <c r="B782" s="30" t="n">
        <v>46212</v>
      </c>
      <c r="C782" s="31" t="n">
        <v>0.375</v>
      </c>
      <c r="D782" s="32" t="inlineStr">
        <is>
          <t>Dan Owens</t>
        </is>
      </c>
      <c r="E782" s="32" t="inlineStr">
        <is>
          <t>Men's haircut</t>
        </is>
      </c>
      <c r="F782" s="33" t="inlineStr">
        <is>
          <t>Done</t>
        </is>
      </c>
      <c r="G782" s="27">
        <f>IF(E782="","",MAX(0,IFERROR(INDEX(Services!$C$6:$C$35,MATCH(E782,Services!$B$6:$B$35,0)),0)-N(H782)))</f>
        <v/>
      </c>
      <c r="H782" s="34" t="n"/>
      <c r="I782" s="34" t="n">
        <v>30</v>
      </c>
      <c r="J782" s="33" t="inlineStr">
        <is>
          <t>Card</t>
        </is>
      </c>
      <c r="K782" s="28">
        <f>IF(OR(B782="",F782&lt;&gt;"Done",J782="Package"),"",IF(N(G782)-N(I782)&gt;0,N(G782)-N(I782),""))</f>
        <v/>
      </c>
      <c r="L782" s="32" t="n"/>
      <c r="M782" s="1">
        <f>IF(OR(B782="",D782="",F782="Cancelled"),"",B782+N(C782)+ROW()/10000000)</f>
        <v/>
      </c>
      <c r="N782">
        <f>IF(AND(F782="Done",M782&lt;&gt;""),IF(COUNTIFS(Appointments!$D$6:$D$2005,D782,Appointments!$F$6:$F$2005,"Done",Appointments!$M$6:$M$2005,"&gt;"&amp;M782)=0,1,0),0)</f>
        <v/>
      </c>
      <c r="O782">
        <f>IF(AND(F782="Booked",M782&lt;&gt;"",N(B782)&gt;=TODAY()),IF(COUNTIFS(Appointments!$D$6:$D$2005,D782,Appointments!$F$6:$F$2005,"Booked",Appointments!$B$6:$B$2005,"&gt;="&amp;TODAY(),Appointments!$M$6:$M$2005,"&lt;"&amp;M782)=0,1,0),0)</f>
        <v/>
      </c>
    </row>
    <row r="783">
      <c r="A783" s="1" t="n"/>
      <c r="B783" s="30" t="n">
        <v>46212</v>
      </c>
      <c r="C783" s="31" t="n">
        <v>0.4027777777777778</v>
      </c>
      <c r="D783" s="32" t="inlineStr">
        <is>
          <t>Dina Baker</t>
        </is>
      </c>
      <c r="E783" s="32" t="inlineStr">
        <is>
          <t>Women's haircut</t>
        </is>
      </c>
      <c r="F783" s="33" t="inlineStr">
        <is>
          <t>Done</t>
        </is>
      </c>
      <c r="G783" s="27">
        <f>IF(E783="","",MAX(0,IFERROR(INDEX(Services!$C$6:$C$35,MATCH(E783,Services!$B$6:$B$35,0)),0)-N(H783)))</f>
        <v/>
      </c>
      <c r="H783" s="34" t="n"/>
      <c r="I783" s="34" t="n">
        <v>55</v>
      </c>
      <c r="J783" s="33" t="inlineStr">
        <is>
          <t>Card</t>
        </is>
      </c>
      <c r="K783" s="28">
        <f>IF(OR(B783="",F783&lt;&gt;"Done",J783="Package"),"",IF(N(G783)-N(I783)&gt;0,N(G783)-N(I783),""))</f>
        <v/>
      </c>
      <c r="L783" s="32" t="n"/>
      <c r="M783" s="1">
        <f>IF(OR(B783="",D783="",F783="Cancelled"),"",B783+N(C783)+ROW()/10000000)</f>
        <v/>
      </c>
      <c r="N783">
        <f>IF(AND(F783="Done",M783&lt;&gt;""),IF(COUNTIFS(Appointments!$D$6:$D$2005,D783,Appointments!$F$6:$F$2005,"Done",Appointments!$M$6:$M$2005,"&gt;"&amp;M783)=0,1,0),0)</f>
        <v/>
      </c>
      <c r="O783">
        <f>IF(AND(F783="Booked",M783&lt;&gt;"",N(B783)&gt;=TODAY()),IF(COUNTIFS(Appointments!$D$6:$D$2005,D783,Appointments!$F$6:$F$2005,"Booked",Appointments!$B$6:$B$2005,"&gt;="&amp;TODAY(),Appointments!$M$6:$M$2005,"&lt;"&amp;M783)=0,1,0),0)</f>
        <v/>
      </c>
    </row>
    <row r="784">
      <c r="A784" s="1" t="n"/>
      <c r="B784" s="30" t="n">
        <v>46212</v>
      </c>
      <c r="C784" s="31" t="n">
        <v>0.4513888888888889</v>
      </c>
      <c r="D784" s="32" t="inlineStr">
        <is>
          <t>Finn Gray</t>
        </is>
      </c>
      <c r="E784" s="32" t="inlineStr">
        <is>
          <t>Men's haircut</t>
        </is>
      </c>
      <c r="F784" s="33" t="inlineStr">
        <is>
          <t>Done</t>
        </is>
      </c>
      <c r="G784" s="27">
        <f>IF(E784="","",MAX(0,IFERROR(INDEX(Services!$C$6:$C$35,MATCH(E784,Services!$B$6:$B$35,0)),0)-N(H784)))</f>
        <v/>
      </c>
      <c r="H784" s="34" t="n"/>
      <c r="I784" s="34" t="n">
        <v>30</v>
      </c>
      <c r="J784" s="33" t="inlineStr">
        <is>
          <t>Card</t>
        </is>
      </c>
      <c r="K784" s="28">
        <f>IF(OR(B784="",F784&lt;&gt;"Done",J784="Package"),"",IF(N(G784)-N(I784)&gt;0,N(G784)-N(I784),""))</f>
        <v/>
      </c>
      <c r="L784" s="32" t="n"/>
      <c r="M784" s="1">
        <f>IF(OR(B784="",D784="",F784="Cancelled"),"",B784+N(C784)+ROW()/10000000)</f>
        <v/>
      </c>
      <c r="N784">
        <f>IF(AND(F784="Done",M784&lt;&gt;""),IF(COUNTIFS(Appointments!$D$6:$D$2005,D784,Appointments!$F$6:$F$2005,"Done",Appointments!$M$6:$M$2005,"&gt;"&amp;M784)=0,1,0),0)</f>
        <v/>
      </c>
      <c r="O784">
        <f>IF(AND(F784="Booked",M784&lt;&gt;"",N(B784)&gt;=TODAY()),IF(COUNTIFS(Appointments!$D$6:$D$2005,D784,Appointments!$F$6:$F$2005,"Booked",Appointments!$B$6:$B$2005,"&gt;="&amp;TODAY(),Appointments!$M$6:$M$2005,"&lt;"&amp;M784)=0,1,0),0)</f>
        <v/>
      </c>
    </row>
    <row r="785">
      <c r="A785" s="1" t="n"/>
      <c r="B785" s="30" t="n">
        <v>46212</v>
      </c>
      <c r="C785" s="31" t="n">
        <v>0.4791666666666667</v>
      </c>
      <c r="D785" s="32" t="inlineStr">
        <is>
          <t>Finn Price</t>
        </is>
      </c>
      <c r="E785" s="32" t="inlineStr">
        <is>
          <t>Men's haircut</t>
        </is>
      </c>
      <c r="F785" s="33" t="inlineStr">
        <is>
          <t>No-show</t>
        </is>
      </c>
      <c r="G785" s="27">
        <f>IF(E785="","",MAX(0,IFERROR(INDEX(Services!$C$6:$C$35,MATCH(E785,Services!$B$6:$B$35,0)),0)-N(H785)))</f>
        <v/>
      </c>
      <c r="H785" s="34" t="n"/>
      <c r="I785" s="34" t="n"/>
      <c r="J785" s="33" t="n"/>
      <c r="K785" s="28">
        <f>IF(OR(B785="",F785&lt;&gt;"Done",J785="Package"),"",IF(N(G785)-N(I785)&gt;0,N(G785)-N(I785),""))</f>
        <v/>
      </c>
      <c r="L785" s="32" t="n"/>
      <c r="M785" s="1">
        <f>IF(OR(B785="",D785="",F785="Cancelled"),"",B785+N(C785)+ROW()/10000000)</f>
        <v/>
      </c>
      <c r="N785">
        <f>IF(AND(F785="Done",M785&lt;&gt;""),IF(COUNTIFS(Appointments!$D$6:$D$2005,D785,Appointments!$F$6:$F$2005,"Done",Appointments!$M$6:$M$2005,"&gt;"&amp;M785)=0,1,0),0)</f>
        <v/>
      </c>
      <c r="O785">
        <f>IF(AND(F785="Booked",M785&lt;&gt;"",N(B785)&gt;=TODAY()),IF(COUNTIFS(Appointments!$D$6:$D$2005,D785,Appointments!$F$6:$F$2005,"Booked",Appointments!$B$6:$B$2005,"&gt;="&amp;TODAY(),Appointments!$M$6:$M$2005,"&lt;"&amp;M785)=0,1,0),0)</f>
        <v/>
      </c>
    </row>
    <row r="786">
      <c r="A786" s="1" t="n"/>
      <c r="B786" s="30" t="n">
        <v>46212</v>
      </c>
      <c r="C786" s="31" t="n">
        <v>0.5069444444444444</v>
      </c>
      <c r="D786" s="32" t="inlineStr">
        <is>
          <t>Harry Ellis</t>
        </is>
      </c>
      <c r="E786" s="32" t="inlineStr">
        <is>
          <t>Men's haircut</t>
        </is>
      </c>
      <c r="F786" s="33" t="inlineStr">
        <is>
          <t>Done</t>
        </is>
      </c>
      <c r="G786" s="27">
        <f>IF(E786="","",MAX(0,IFERROR(INDEX(Services!$C$6:$C$35,MATCH(E786,Services!$B$6:$B$35,0)),0)-N(H786)))</f>
        <v/>
      </c>
      <c r="H786" s="34" t="n"/>
      <c r="I786" s="34" t="n">
        <v>30</v>
      </c>
      <c r="J786" s="33" t="inlineStr">
        <is>
          <t>Cash</t>
        </is>
      </c>
      <c r="K786" s="28">
        <f>IF(OR(B786="",F786&lt;&gt;"Done",J786="Package"),"",IF(N(G786)-N(I786)&gt;0,N(G786)-N(I786),""))</f>
        <v/>
      </c>
      <c r="L786" s="32" t="n"/>
      <c r="M786" s="1">
        <f>IF(OR(B786="",D786="",F786="Cancelled"),"",B786+N(C786)+ROW()/10000000)</f>
        <v/>
      </c>
      <c r="N786">
        <f>IF(AND(F786="Done",M786&lt;&gt;""),IF(COUNTIFS(Appointments!$D$6:$D$2005,D786,Appointments!$F$6:$F$2005,"Done",Appointments!$M$6:$M$2005,"&gt;"&amp;M786)=0,1,0),0)</f>
        <v/>
      </c>
      <c r="O786">
        <f>IF(AND(F786="Booked",M786&lt;&gt;"",N(B786)&gt;=TODAY()),IF(COUNTIFS(Appointments!$D$6:$D$2005,D786,Appointments!$F$6:$F$2005,"Booked",Appointments!$B$6:$B$2005,"&gt;="&amp;TODAY(),Appointments!$M$6:$M$2005,"&lt;"&amp;M786)=0,1,0),0)</f>
        <v/>
      </c>
    </row>
    <row r="787">
      <c r="A787" s="1" t="n"/>
      <c r="B787" s="30" t="n">
        <v>46212</v>
      </c>
      <c r="C787" s="31" t="n">
        <v>0.5347222222222222</v>
      </c>
      <c r="D787" s="32" t="inlineStr">
        <is>
          <t>Harry Hall</t>
        </is>
      </c>
      <c r="E787" s="32" t="inlineStr">
        <is>
          <t>Men's haircut</t>
        </is>
      </c>
      <c r="F787" s="33" t="inlineStr">
        <is>
          <t>Done</t>
        </is>
      </c>
      <c r="G787" s="27">
        <f>IF(E787="","",MAX(0,IFERROR(INDEX(Services!$C$6:$C$35,MATCH(E787,Services!$B$6:$B$35,0)),0)-N(H787)))</f>
        <v/>
      </c>
      <c r="H787" s="34" t="n"/>
      <c r="I787" s="34" t="n">
        <v>30</v>
      </c>
      <c r="J787" s="33" t="inlineStr">
        <is>
          <t>Cash</t>
        </is>
      </c>
      <c r="K787" s="28">
        <f>IF(OR(B787="",F787&lt;&gt;"Done",J787="Package"),"",IF(N(G787)-N(I787)&gt;0,N(G787)-N(I787),""))</f>
        <v/>
      </c>
      <c r="L787" s="32" t="n"/>
      <c r="M787" s="1">
        <f>IF(OR(B787="",D787="",F787="Cancelled"),"",B787+N(C787)+ROW()/10000000)</f>
        <v/>
      </c>
      <c r="N787">
        <f>IF(AND(F787="Done",M787&lt;&gt;""),IF(COUNTIFS(Appointments!$D$6:$D$2005,D787,Appointments!$F$6:$F$2005,"Done",Appointments!$M$6:$M$2005,"&gt;"&amp;M787)=0,1,0),0)</f>
        <v/>
      </c>
      <c r="O787">
        <f>IF(AND(F787="Booked",M787&lt;&gt;"",N(B787)&gt;=TODAY()),IF(COUNTIFS(Appointments!$D$6:$D$2005,D787,Appointments!$F$6:$F$2005,"Booked",Appointments!$B$6:$B$2005,"&gt;="&amp;TODAY(),Appointments!$M$6:$M$2005,"&lt;"&amp;M787)=0,1,0),0)</f>
        <v/>
      </c>
    </row>
    <row r="788">
      <c r="A788" s="1" t="n"/>
      <c r="B788" s="30" t="n">
        <v>46212</v>
      </c>
      <c r="C788" s="31" t="n">
        <v>0.5625</v>
      </c>
      <c r="D788" s="32" t="inlineStr">
        <is>
          <t>Kara Adams</t>
        </is>
      </c>
      <c r="E788" s="32" t="inlineStr">
        <is>
          <t>Women's haircut</t>
        </is>
      </c>
      <c r="F788" s="33" t="inlineStr">
        <is>
          <t>Done</t>
        </is>
      </c>
      <c r="G788" s="27">
        <f>IF(E788="","",MAX(0,IFERROR(INDEX(Services!$C$6:$C$35,MATCH(E788,Services!$B$6:$B$35,0)),0)-N(H788)))</f>
        <v/>
      </c>
      <c r="H788" s="34" t="n"/>
      <c r="I788" s="34" t="n">
        <v>55</v>
      </c>
      <c r="J788" s="33" t="inlineStr">
        <is>
          <t>Cash</t>
        </is>
      </c>
      <c r="K788" s="28">
        <f>IF(OR(B788="",F788&lt;&gt;"Done",J788="Package"),"",IF(N(G788)-N(I788)&gt;0,N(G788)-N(I788),""))</f>
        <v/>
      </c>
      <c r="L788" s="32" t="n"/>
      <c r="M788" s="1">
        <f>IF(OR(B788="",D788="",F788="Cancelled"),"",B788+N(C788)+ROW()/10000000)</f>
        <v/>
      </c>
      <c r="N788">
        <f>IF(AND(F788="Done",M788&lt;&gt;""),IF(COUNTIFS(Appointments!$D$6:$D$2005,D788,Appointments!$F$6:$F$2005,"Done",Appointments!$M$6:$M$2005,"&gt;"&amp;M788)=0,1,0),0)</f>
        <v/>
      </c>
      <c r="O788">
        <f>IF(AND(F788="Booked",M788&lt;&gt;"",N(B788)&gt;=TODAY()),IF(COUNTIFS(Appointments!$D$6:$D$2005,D788,Appointments!$F$6:$F$2005,"Booked",Appointments!$B$6:$B$2005,"&gt;="&amp;TODAY(),Appointments!$M$6:$M$2005,"&lt;"&amp;M788)=0,1,0),0)</f>
        <v/>
      </c>
    </row>
    <row r="789">
      <c r="A789" s="1" t="n"/>
      <c r="B789" s="30" t="n">
        <v>46213</v>
      </c>
      <c r="C789" s="31" t="n">
        <v>0.375</v>
      </c>
      <c r="D789" s="32" t="inlineStr">
        <is>
          <t>Dina Adams</t>
        </is>
      </c>
      <c r="E789" s="32" t="inlineStr">
        <is>
          <t>Treatment</t>
        </is>
      </c>
      <c r="F789" s="33" t="inlineStr">
        <is>
          <t>Done</t>
        </is>
      </c>
      <c r="G789" s="27">
        <f>IF(E789="","",MAX(0,IFERROR(INDEX(Services!$C$6:$C$35,MATCH(E789,Services!$B$6:$B$35,0)),0)-N(H789)))</f>
        <v/>
      </c>
      <c r="H789" s="34" t="n"/>
      <c r="I789" s="34" t="n">
        <v>30</v>
      </c>
      <c r="J789" s="33" t="inlineStr">
        <is>
          <t>Transfer</t>
        </is>
      </c>
      <c r="K789" s="28">
        <f>IF(OR(B789="",F789&lt;&gt;"Done",J789="Package"),"",IF(N(G789)-N(I789)&gt;0,N(G789)-N(I789),""))</f>
        <v/>
      </c>
      <c r="L789" s="32" t="n"/>
      <c r="M789" s="1">
        <f>IF(OR(B789="",D789="",F789="Cancelled"),"",B789+N(C789)+ROW()/10000000)</f>
        <v/>
      </c>
      <c r="N789">
        <f>IF(AND(F789="Done",M789&lt;&gt;""),IF(COUNTIFS(Appointments!$D$6:$D$2005,D789,Appointments!$F$6:$F$2005,"Done",Appointments!$M$6:$M$2005,"&gt;"&amp;M789)=0,1,0),0)</f>
        <v/>
      </c>
      <c r="O789">
        <f>IF(AND(F789="Booked",M789&lt;&gt;"",N(B789)&gt;=TODAY()),IF(COUNTIFS(Appointments!$D$6:$D$2005,D789,Appointments!$F$6:$F$2005,"Booked",Appointments!$B$6:$B$2005,"&gt;="&amp;TODAY(),Appointments!$M$6:$M$2005,"&lt;"&amp;M789)=0,1,0),0)</f>
        <v/>
      </c>
    </row>
    <row r="790">
      <c r="A790" s="1" t="n"/>
      <c r="B790" s="30" t="n">
        <v>46213</v>
      </c>
      <c r="C790" s="31" t="n">
        <v>0.4027777777777778</v>
      </c>
      <c r="D790" s="32" t="inlineStr">
        <is>
          <t>Eli Hughes</t>
        </is>
      </c>
      <c r="E790" s="32" t="inlineStr">
        <is>
          <t>Men's haircut</t>
        </is>
      </c>
      <c r="F790" s="33" t="inlineStr">
        <is>
          <t>Done</t>
        </is>
      </c>
      <c r="G790" s="27">
        <f>IF(E790="","",MAX(0,IFERROR(INDEX(Services!$C$6:$C$35,MATCH(E790,Services!$B$6:$B$35,0)),0)-N(H790)))</f>
        <v/>
      </c>
      <c r="H790" s="34" t="n"/>
      <c r="I790" s="34" t="n">
        <v>30</v>
      </c>
      <c r="J790" s="33" t="inlineStr">
        <is>
          <t>Cash</t>
        </is>
      </c>
      <c r="K790" s="28">
        <f>IF(OR(B790="",F790&lt;&gt;"Done",J790="Package"),"",IF(N(G790)-N(I790)&gt;0,N(G790)-N(I790),""))</f>
        <v/>
      </c>
      <c r="L790" s="32" t="n"/>
      <c r="M790" s="1">
        <f>IF(OR(B790="",D790="",F790="Cancelled"),"",B790+N(C790)+ROW()/10000000)</f>
        <v/>
      </c>
      <c r="N790">
        <f>IF(AND(F790="Done",M790&lt;&gt;""),IF(COUNTIFS(Appointments!$D$6:$D$2005,D790,Appointments!$F$6:$F$2005,"Done",Appointments!$M$6:$M$2005,"&gt;"&amp;M790)=0,1,0),0)</f>
        <v/>
      </c>
      <c r="O790">
        <f>IF(AND(F790="Booked",M790&lt;&gt;"",N(B790)&gt;=TODAY()),IF(COUNTIFS(Appointments!$D$6:$D$2005,D790,Appointments!$F$6:$F$2005,"Booked",Appointments!$B$6:$B$2005,"&gt;="&amp;TODAY(),Appointments!$M$6:$M$2005,"&lt;"&amp;M790)=0,1,0),0)</f>
        <v/>
      </c>
    </row>
    <row r="791">
      <c r="A791" s="1" t="n"/>
      <c r="B791" s="30" t="n">
        <v>46213</v>
      </c>
      <c r="C791" s="31" t="n">
        <v>0.4305555555555556</v>
      </c>
      <c r="D791" s="32" t="inlineStr">
        <is>
          <t>Fiona Fox</t>
        </is>
      </c>
      <c r="E791" s="32" t="inlineStr">
        <is>
          <t>Treatment</t>
        </is>
      </c>
      <c r="F791" s="33" t="inlineStr">
        <is>
          <t>Done</t>
        </is>
      </c>
      <c r="G791" s="27">
        <f>IF(E791="","",MAX(0,IFERROR(INDEX(Services!$C$6:$C$35,MATCH(E791,Services!$B$6:$B$35,0)),0)-N(H791)))</f>
        <v/>
      </c>
      <c r="H791" s="34" t="n"/>
      <c r="I791" s="34" t="n">
        <v>30</v>
      </c>
      <c r="J791" s="33" t="inlineStr">
        <is>
          <t>Card</t>
        </is>
      </c>
      <c r="K791" s="28">
        <f>IF(OR(B791="",F791&lt;&gt;"Done",J791="Package"),"",IF(N(G791)-N(I791)&gt;0,N(G791)-N(I791),""))</f>
        <v/>
      </c>
      <c r="L791" s="32" t="n"/>
      <c r="M791" s="1">
        <f>IF(OR(B791="",D791="",F791="Cancelled"),"",B791+N(C791)+ROW()/10000000)</f>
        <v/>
      </c>
      <c r="N791">
        <f>IF(AND(F791="Done",M791&lt;&gt;""),IF(COUNTIFS(Appointments!$D$6:$D$2005,D791,Appointments!$F$6:$F$2005,"Done",Appointments!$M$6:$M$2005,"&gt;"&amp;M791)=0,1,0),0)</f>
        <v/>
      </c>
      <c r="O791">
        <f>IF(AND(F791="Booked",M791&lt;&gt;"",N(B791)&gt;=TODAY()),IF(COUNTIFS(Appointments!$D$6:$D$2005,D791,Appointments!$F$6:$F$2005,"Booked",Appointments!$B$6:$B$2005,"&gt;="&amp;TODAY(),Appointments!$M$6:$M$2005,"&lt;"&amp;M791)=0,1,0),0)</f>
        <v/>
      </c>
    </row>
    <row r="792">
      <c r="A792" s="1" t="n"/>
      <c r="B792" s="30" t="n">
        <v>46213</v>
      </c>
      <c r="C792" s="31" t="n">
        <v>0.4583333333333333</v>
      </c>
      <c r="D792" s="32" t="inlineStr">
        <is>
          <t>Owen Lewis</t>
        </is>
      </c>
      <c r="E792" s="32" t="inlineStr">
        <is>
          <t>Men's haircut</t>
        </is>
      </c>
      <c r="F792" s="33" t="inlineStr">
        <is>
          <t>Done</t>
        </is>
      </c>
      <c r="G792" s="27">
        <f>IF(E792="","",MAX(0,IFERROR(INDEX(Services!$C$6:$C$35,MATCH(E792,Services!$B$6:$B$35,0)),0)-N(H792)))</f>
        <v/>
      </c>
      <c r="H792" s="34" t="n"/>
      <c r="I792" s="34" t="n">
        <v>30</v>
      </c>
      <c r="J792" s="33" t="inlineStr">
        <is>
          <t>Transfer</t>
        </is>
      </c>
      <c r="K792" s="28">
        <f>IF(OR(B792="",F792&lt;&gt;"Done",J792="Package"),"",IF(N(G792)-N(I792)&gt;0,N(G792)-N(I792),""))</f>
        <v/>
      </c>
      <c r="L792" s="32" t="n"/>
      <c r="M792" s="1">
        <f>IF(OR(B792="",D792="",F792="Cancelled"),"",B792+N(C792)+ROW()/10000000)</f>
        <v/>
      </c>
      <c r="N792">
        <f>IF(AND(F792="Done",M792&lt;&gt;""),IF(COUNTIFS(Appointments!$D$6:$D$2005,D792,Appointments!$F$6:$F$2005,"Done",Appointments!$M$6:$M$2005,"&gt;"&amp;M792)=0,1,0),0)</f>
        <v/>
      </c>
      <c r="O792">
        <f>IF(AND(F792="Booked",M792&lt;&gt;"",N(B792)&gt;=TODAY()),IF(COUNTIFS(Appointments!$D$6:$D$2005,D792,Appointments!$F$6:$F$2005,"Booked",Appointments!$B$6:$B$2005,"&gt;="&amp;TODAY(),Appointments!$M$6:$M$2005,"&lt;"&amp;M792)=0,1,0),0)</f>
        <v/>
      </c>
    </row>
    <row r="793">
      <c r="A793" s="1" t="n"/>
      <c r="B793" s="30" t="n">
        <v>46213</v>
      </c>
      <c r="C793" s="31" t="n">
        <v>0.4861111111111111</v>
      </c>
      <c r="D793" s="32" t="inlineStr">
        <is>
          <t>Paula Cook</t>
        </is>
      </c>
      <c r="E793" s="32" t="inlineStr">
        <is>
          <t>Blow dry</t>
        </is>
      </c>
      <c r="F793" s="33" t="inlineStr">
        <is>
          <t>Done</t>
        </is>
      </c>
      <c r="G793" s="27">
        <f>IF(E793="","",MAX(0,IFERROR(INDEX(Services!$C$6:$C$35,MATCH(E793,Services!$B$6:$B$35,0)),0)-N(H793)))</f>
        <v/>
      </c>
      <c r="H793" s="34" t="n"/>
      <c r="I793" s="34" t="n">
        <v>35</v>
      </c>
      <c r="J793" s="33" t="inlineStr">
        <is>
          <t>Transfer</t>
        </is>
      </c>
      <c r="K793" s="28">
        <f>IF(OR(B793="",F793&lt;&gt;"Done",J793="Package"),"",IF(N(G793)-N(I793)&gt;0,N(G793)-N(I793),""))</f>
        <v/>
      </c>
      <c r="L793" s="32" t="n"/>
      <c r="M793" s="1">
        <f>IF(OR(B793="",D793="",F793="Cancelled"),"",B793+N(C793)+ROW()/10000000)</f>
        <v/>
      </c>
      <c r="N793">
        <f>IF(AND(F793="Done",M793&lt;&gt;""),IF(COUNTIFS(Appointments!$D$6:$D$2005,D793,Appointments!$F$6:$F$2005,"Done",Appointments!$M$6:$M$2005,"&gt;"&amp;M793)=0,1,0),0)</f>
        <v/>
      </c>
      <c r="O793">
        <f>IF(AND(F793="Booked",M793&lt;&gt;"",N(B793)&gt;=TODAY()),IF(COUNTIFS(Appointments!$D$6:$D$2005,D793,Appointments!$F$6:$F$2005,"Booked",Appointments!$B$6:$B$2005,"&gt;="&amp;TODAY(),Appointments!$M$6:$M$2005,"&lt;"&amp;M793)=0,1,0),0)</f>
        <v/>
      </c>
    </row>
    <row r="794">
      <c r="A794" s="1" t="n"/>
      <c r="B794" s="30" t="n">
        <v>46213</v>
      </c>
      <c r="C794" s="31" t="n">
        <v>0.5243055555555556</v>
      </c>
      <c r="D794" s="32" t="inlineStr">
        <is>
          <t>Rosa Diaz</t>
        </is>
      </c>
      <c r="E794" s="32" t="inlineStr">
        <is>
          <t>Colour</t>
        </is>
      </c>
      <c r="F794" s="33" t="inlineStr">
        <is>
          <t>Done</t>
        </is>
      </c>
      <c r="G794" s="27">
        <f>IF(E794="","",MAX(0,IFERROR(INDEX(Services!$C$6:$C$35,MATCH(E794,Services!$B$6:$B$35,0)),0)-N(H794)))</f>
        <v/>
      </c>
      <c r="H794" s="34" t="n"/>
      <c r="I794" s="34" t="n">
        <v>95</v>
      </c>
      <c r="J794" s="33" t="inlineStr">
        <is>
          <t>Cash</t>
        </is>
      </c>
      <c r="K794" s="28">
        <f>IF(OR(B794="",F794&lt;&gt;"Done",J794="Package"),"",IF(N(G794)-N(I794)&gt;0,N(G794)-N(I794),""))</f>
        <v/>
      </c>
      <c r="L794" s="32" t="n"/>
      <c r="M794" s="1">
        <f>IF(OR(B794="",D794="",F794="Cancelled"),"",B794+N(C794)+ROW()/10000000)</f>
        <v/>
      </c>
      <c r="N794">
        <f>IF(AND(F794="Done",M794&lt;&gt;""),IF(COUNTIFS(Appointments!$D$6:$D$2005,D794,Appointments!$F$6:$F$2005,"Done",Appointments!$M$6:$M$2005,"&gt;"&amp;M794)=0,1,0),0)</f>
        <v/>
      </c>
      <c r="O794">
        <f>IF(AND(F794="Booked",M794&lt;&gt;"",N(B794)&gt;=TODAY()),IF(COUNTIFS(Appointments!$D$6:$D$2005,D794,Appointments!$F$6:$F$2005,"Booked",Appointments!$B$6:$B$2005,"&gt;="&amp;TODAY(),Appointments!$M$6:$M$2005,"&lt;"&amp;M794)=0,1,0),0)</f>
        <v/>
      </c>
    </row>
    <row r="795">
      <c r="A795" s="1" t="n"/>
      <c r="B795" s="30" t="n">
        <v>46213</v>
      </c>
      <c r="C795" s="31" t="n">
        <v>0.6145833333333334</v>
      </c>
      <c r="D795" s="32" t="inlineStr">
        <is>
          <t>Ryan Adams</t>
        </is>
      </c>
      <c r="E795" s="32" t="inlineStr">
        <is>
          <t>Men's haircut</t>
        </is>
      </c>
      <c r="F795" s="33" t="inlineStr">
        <is>
          <t>Cancelled</t>
        </is>
      </c>
      <c r="G795" s="27">
        <f>IF(E795="","",MAX(0,IFERROR(INDEX(Services!$C$6:$C$35,MATCH(E795,Services!$B$6:$B$35,0)),0)-N(H795)))</f>
        <v/>
      </c>
      <c r="H795" s="34" t="n"/>
      <c r="I795" s="34" t="n"/>
      <c r="J795" s="33" t="n"/>
      <c r="K795" s="28">
        <f>IF(OR(B795="",F795&lt;&gt;"Done",J795="Package"),"",IF(N(G795)-N(I795)&gt;0,N(G795)-N(I795),""))</f>
        <v/>
      </c>
      <c r="L795" s="32" t="n"/>
      <c r="M795" s="1">
        <f>IF(OR(B795="",D795="",F795="Cancelled"),"",B795+N(C795)+ROW()/10000000)</f>
        <v/>
      </c>
      <c r="N795">
        <f>IF(AND(F795="Done",M795&lt;&gt;""),IF(COUNTIFS(Appointments!$D$6:$D$2005,D795,Appointments!$F$6:$F$2005,"Done",Appointments!$M$6:$M$2005,"&gt;"&amp;M795)=0,1,0),0)</f>
        <v/>
      </c>
      <c r="O795">
        <f>IF(AND(F795="Booked",M795&lt;&gt;"",N(B795)&gt;=TODAY()),IF(COUNTIFS(Appointments!$D$6:$D$2005,D795,Appointments!$F$6:$F$2005,"Booked",Appointments!$B$6:$B$2005,"&gt;="&amp;TODAY(),Appointments!$M$6:$M$2005,"&lt;"&amp;M795)=0,1,0),0)</f>
        <v/>
      </c>
    </row>
    <row r="796">
      <c r="A796" s="1" t="n"/>
      <c r="B796" s="30" t="n">
        <v>46214</v>
      </c>
      <c r="C796" s="31" t="n">
        <v>0.375</v>
      </c>
      <c r="D796" s="32" t="inlineStr">
        <is>
          <t>Beth Reid</t>
        </is>
      </c>
      <c r="E796" s="32" t="inlineStr">
        <is>
          <t>Highlights</t>
        </is>
      </c>
      <c r="F796" s="33" t="inlineStr">
        <is>
          <t>Done</t>
        </is>
      </c>
      <c r="G796" s="27">
        <f>IF(E796="","",MAX(0,IFERROR(INDEX(Services!$C$6:$C$35,MATCH(E796,Services!$B$6:$B$35,0)),0)-N(H796)))</f>
        <v/>
      </c>
      <c r="H796" s="34" t="n"/>
      <c r="I796" s="34" t="n">
        <v>140</v>
      </c>
      <c r="J796" s="33" t="inlineStr">
        <is>
          <t>Cash</t>
        </is>
      </c>
      <c r="K796" s="28">
        <f>IF(OR(B796="",F796&lt;&gt;"Done",J796="Package"),"",IF(N(G796)-N(I796)&gt;0,N(G796)-N(I796),""))</f>
        <v/>
      </c>
      <c r="L796" s="32" t="n"/>
      <c r="M796" s="1">
        <f>IF(OR(B796="",D796="",F796="Cancelled"),"",B796+N(C796)+ROW()/10000000)</f>
        <v/>
      </c>
      <c r="N796">
        <f>IF(AND(F796="Done",M796&lt;&gt;""),IF(COUNTIFS(Appointments!$D$6:$D$2005,D796,Appointments!$F$6:$F$2005,"Done",Appointments!$M$6:$M$2005,"&gt;"&amp;M796)=0,1,0),0)</f>
        <v/>
      </c>
      <c r="O796">
        <f>IF(AND(F796="Booked",M796&lt;&gt;"",N(B796)&gt;=TODAY()),IF(COUNTIFS(Appointments!$D$6:$D$2005,D796,Appointments!$F$6:$F$2005,"Booked",Appointments!$B$6:$B$2005,"&gt;="&amp;TODAY(),Appointments!$M$6:$M$2005,"&lt;"&amp;M796)=0,1,0),0)</f>
        <v/>
      </c>
    </row>
    <row r="797">
      <c r="A797" s="1" t="n"/>
      <c r="B797" s="30" t="n">
        <v>46214</v>
      </c>
      <c r="C797" s="31" t="n">
        <v>0.4861111111111111</v>
      </c>
      <c r="D797" s="32" t="inlineStr">
        <is>
          <t>Chris Ellis</t>
        </is>
      </c>
      <c r="E797" s="32" t="inlineStr">
        <is>
          <t>Men's haircut</t>
        </is>
      </c>
      <c r="F797" s="33" t="inlineStr">
        <is>
          <t>Done</t>
        </is>
      </c>
      <c r="G797" s="27">
        <f>IF(E797="","",MAX(0,IFERROR(INDEX(Services!$C$6:$C$35,MATCH(E797,Services!$B$6:$B$35,0)),0)-N(H797)))</f>
        <v/>
      </c>
      <c r="H797" s="34" t="n"/>
      <c r="I797" s="34" t="n">
        <v>30</v>
      </c>
      <c r="J797" s="33" t="inlineStr">
        <is>
          <t>Card</t>
        </is>
      </c>
      <c r="K797" s="28">
        <f>IF(OR(B797="",F797&lt;&gt;"Done",J797="Package"),"",IF(N(G797)-N(I797)&gt;0,N(G797)-N(I797),""))</f>
        <v/>
      </c>
      <c r="L797" s="32" t="n"/>
      <c r="M797" s="1">
        <f>IF(OR(B797="",D797="",F797="Cancelled"),"",B797+N(C797)+ROW()/10000000)</f>
        <v/>
      </c>
      <c r="N797">
        <f>IF(AND(F797="Done",M797&lt;&gt;""),IF(COUNTIFS(Appointments!$D$6:$D$2005,D797,Appointments!$F$6:$F$2005,"Done",Appointments!$M$6:$M$2005,"&gt;"&amp;M797)=0,1,0),0)</f>
        <v/>
      </c>
      <c r="O797">
        <f>IF(AND(F797="Booked",M797&lt;&gt;"",N(B797)&gt;=TODAY()),IF(COUNTIFS(Appointments!$D$6:$D$2005,D797,Appointments!$F$6:$F$2005,"Booked",Appointments!$B$6:$B$2005,"&gt;="&amp;TODAY(),Appointments!$M$6:$M$2005,"&lt;"&amp;M797)=0,1,0),0)</f>
        <v/>
      </c>
    </row>
    <row r="798">
      <c r="A798" s="1" t="n"/>
      <c r="B798" s="30" t="n">
        <v>46214</v>
      </c>
      <c r="C798" s="31" t="n">
        <v>0.5138888888888888</v>
      </c>
      <c r="D798" s="32" t="inlineStr">
        <is>
          <t>Ella Kelly</t>
        </is>
      </c>
      <c r="E798" s="32" t="inlineStr">
        <is>
          <t>Women's haircut</t>
        </is>
      </c>
      <c r="F798" s="33" t="inlineStr">
        <is>
          <t>Done</t>
        </is>
      </c>
      <c r="G798" s="27">
        <f>IF(E798="","",MAX(0,IFERROR(INDEX(Services!$C$6:$C$35,MATCH(E798,Services!$B$6:$B$35,0)),0)-N(H798)))</f>
        <v/>
      </c>
      <c r="H798" s="34" t="n"/>
      <c r="I798" s="34" t="n">
        <v>55</v>
      </c>
      <c r="J798" s="33" t="inlineStr">
        <is>
          <t>Cash</t>
        </is>
      </c>
      <c r="K798" s="28">
        <f>IF(OR(B798="",F798&lt;&gt;"Done",J798="Package"),"",IF(N(G798)-N(I798)&gt;0,N(G798)-N(I798),""))</f>
        <v/>
      </c>
      <c r="L798" s="32" t="n"/>
      <c r="M798" s="1">
        <f>IF(OR(B798="",D798="",F798="Cancelled"),"",B798+N(C798)+ROW()/10000000)</f>
        <v/>
      </c>
      <c r="N798">
        <f>IF(AND(F798="Done",M798&lt;&gt;""),IF(COUNTIFS(Appointments!$D$6:$D$2005,D798,Appointments!$F$6:$F$2005,"Done",Appointments!$M$6:$M$2005,"&gt;"&amp;M798)=0,1,0),0)</f>
        <v/>
      </c>
      <c r="O798">
        <f>IF(AND(F798="Booked",M798&lt;&gt;"",N(B798)&gt;=TODAY()),IF(COUNTIFS(Appointments!$D$6:$D$2005,D798,Appointments!$F$6:$F$2005,"Booked",Appointments!$B$6:$B$2005,"&gt;="&amp;TODAY(),Appointments!$M$6:$M$2005,"&lt;"&amp;M798)=0,1,0),0)</f>
        <v/>
      </c>
    </row>
    <row r="799">
      <c r="A799" s="1" t="n"/>
      <c r="B799" s="30" t="n">
        <v>46214</v>
      </c>
      <c r="C799" s="31" t="n">
        <v>0.5625</v>
      </c>
      <c r="D799" s="32" t="inlineStr">
        <is>
          <t>Jon Reid</t>
        </is>
      </c>
      <c r="E799" s="32" t="inlineStr">
        <is>
          <t>Men's haircut</t>
        </is>
      </c>
      <c r="F799" s="33" t="inlineStr">
        <is>
          <t>Done</t>
        </is>
      </c>
      <c r="G799" s="27">
        <f>IF(E799="","",MAX(0,IFERROR(INDEX(Services!$C$6:$C$35,MATCH(E799,Services!$B$6:$B$35,0)),0)-N(H799)))</f>
        <v/>
      </c>
      <c r="H799" s="34" t="n"/>
      <c r="I799" s="34" t="n">
        <v>30</v>
      </c>
      <c r="J799" s="33" t="inlineStr">
        <is>
          <t>Card</t>
        </is>
      </c>
      <c r="K799" s="28">
        <f>IF(OR(B799="",F799&lt;&gt;"Done",J799="Package"),"",IF(N(G799)-N(I799)&gt;0,N(G799)-N(I799),""))</f>
        <v/>
      </c>
      <c r="L799" s="32" t="n"/>
      <c r="M799" s="1">
        <f>IF(OR(B799="",D799="",F799="Cancelled"),"",B799+N(C799)+ROW()/10000000)</f>
        <v/>
      </c>
      <c r="N799">
        <f>IF(AND(F799="Done",M799&lt;&gt;""),IF(COUNTIFS(Appointments!$D$6:$D$2005,D799,Appointments!$F$6:$F$2005,"Done",Appointments!$M$6:$M$2005,"&gt;"&amp;M799)=0,1,0),0)</f>
        <v/>
      </c>
      <c r="O799">
        <f>IF(AND(F799="Booked",M799&lt;&gt;"",N(B799)&gt;=TODAY()),IF(COUNTIFS(Appointments!$D$6:$D$2005,D799,Appointments!$F$6:$F$2005,"Booked",Appointments!$B$6:$B$2005,"&gt;="&amp;TODAY(),Appointments!$M$6:$M$2005,"&lt;"&amp;M799)=0,1,0),0)</f>
        <v/>
      </c>
    </row>
    <row r="800">
      <c r="A800" s="1" t="n"/>
      <c r="B800" s="30" t="n">
        <v>46214</v>
      </c>
      <c r="C800" s="31" t="n">
        <v>0.5902777777777778</v>
      </c>
      <c r="D800" s="32" t="inlineStr">
        <is>
          <t>Kyle Hughes</t>
        </is>
      </c>
      <c r="E800" s="32" t="inlineStr">
        <is>
          <t>Men's haircut</t>
        </is>
      </c>
      <c r="F800" s="33" t="inlineStr">
        <is>
          <t>Done</t>
        </is>
      </c>
      <c r="G800" s="27">
        <f>IF(E800="","",MAX(0,IFERROR(INDEX(Services!$C$6:$C$35,MATCH(E800,Services!$B$6:$B$35,0)),0)-N(H800)))</f>
        <v/>
      </c>
      <c r="H800" s="34" t="n"/>
      <c r="I800" s="34" t="n">
        <v>30</v>
      </c>
      <c r="J800" s="33" t="inlineStr">
        <is>
          <t>Card</t>
        </is>
      </c>
      <c r="K800" s="28">
        <f>IF(OR(B800="",F800&lt;&gt;"Done",J800="Package"),"",IF(N(G800)-N(I800)&gt;0,N(G800)-N(I800),""))</f>
        <v/>
      </c>
      <c r="L800" s="32" t="n"/>
      <c r="M800" s="1">
        <f>IF(OR(B800="",D800="",F800="Cancelled"),"",B800+N(C800)+ROW()/10000000)</f>
        <v/>
      </c>
      <c r="N800">
        <f>IF(AND(F800="Done",M800&lt;&gt;""),IF(COUNTIFS(Appointments!$D$6:$D$2005,D800,Appointments!$F$6:$F$2005,"Done",Appointments!$M$6:$M$2005,"&gt;"&amp;M800)=0,1,0),0)</f>
        <v/>
      </c>
      <c r="O800">
        <f>IF(AND(F800="Booked",M800&lt;&gt;"",N(B800)&gt;=TODAY()),IF(COUNTIFS(Appointments!$D$6:$D$2005,D800,Appointments!$F$6:$F$2005,"Booked",Appointments!$B$6:$B$2005,"&gt;="&amp;TODAY(),Appointments!$M$6:$M$2005,"&lt;"&amp;M800)=0,1,0),0)</f>
        <v/>
      </c>
    </row>
    <row r="801">
      <c r="A801" s="1" t="n"/>
      <c r="B801" s="30" t="n">
        <v>46214</v>
      </c>
      <c r="C801" s="31" t="n">
        <v>0.6180555555555556</v>
      </c>
      <c r="D801" s="32" t="inlineStr">
        <is>
          <t>Ryan Webb</t>
        </is>
      </c>
      <c r="E801" s="32" t="inlineStr">
        <is>
          <t>Men's haircut</t>
        </is>
      </c>
      <c r="F801" s="33" t="inlineStr">
        <is>
          <t>Done</t>
        </is>
      </c>
      <c r="G801" s="27">
        <f>IF(E801="","",MAX(0,IFERROR(INDEX(Services!$C$6:$C$35,MATCH(E801,Services!$B$6:$B$35,0)),0)-N(H801)))</f>
        <v/>
      </c>
      <c r="H801" s="34" t="n"/>
      <c r="I801" s="34" t="n">
        <v>30</v>
      </c>
      <c r="J801" s="33" t="inlineStr">
        <is>
          <t>Card</t>
        </is>
      </c>
      <c r="K801" s="28">
        <f>IF(OR(B801="",F801&lt;&gt;"Done",J801="Package"),"",IF(N(G801)-N(I801)&gt;0,N(G801)-N(I801),""))</f>
        <v/>
      </c>
      <c r="L801" s="32" t="n"/>
      <c r="M801" s="1">
        <f>IF(OR(B801="",D801="",F801="Cancelled"),"",B801+N(C801)+ROW()/10000000)</f>
        <v/>
      </c>
      <c r="N801">
        <f>IF(AND(F801="Done",M801&lt;&gt;""),IF(COUNTIFS(Appointments!$D$6:$D$2005,D801,Appointments!$F$6:$F$2005,"Done",Appointments!$M$6:$M$2005,"&gt;"&amp;M801)=0,1,0),0)</f>
        <v/>
      </c>
      <c r="O801">
        <f>IF(AND(F801="Booked",M801&lt;&gt;"",N(B801)&gt;=TODAY()),IF(COUNTIFS(Appointments!$D$6:$D$2005,D801,Appointments!$F$6:$F$2005,"Booked",Appointments!$B$6:$B$2005,"&gt;="&amp;TODAY(),Appointments!$M$6:$M$2005,"&lt;"&amp;M801)=0,1,0),0)</f>
        <v/>
      </c>
    </row>
    <row r="802">
      <c r="A802" s="1" t="n"/>
      <c r="B802" s="30" t="n">
        <v>46214</v>
      </c>
      <c r="C802" s="31" t="n">
        <v>0.6458333333333334</v>
      </c>
      <c r="D802" s="32" t="inlineStr">
        <is>
          <t>Sophie Cox</t>
        </is>
      </c>
      <c r="E802" s="32" t="inlineStr">
        <is>
          <t>Blow dry</t>
        </is>
      </c>
      <c r="F802" s="33" t="inlineStr">
        <is>
          <t>Done</t>
        </is>
      </c>
      <c r="G802" s="27">
        <f>IF(E802="","",MAX(0,IFERROR(INDEX(Services!$C$6:$C$35,MATCH(E802,Services!$B$6:$B$35,0)),0)-N(H802)))</f>
        <v/>
      </c>
      <c r="H802" s="34" t="n"/>
      <c r="I802" s="34" t="n">
        <v>35</v>
      </c>
      <c r="J802" s="33" t="inlineStr">
        <is>
          <t>Card</t>
        </is>
      </c>
      <c r="K802" s="28">
        <f>IF(OR(B802="",F802&lt;&gt;"Done",J802="Package"),"",IF(N(G802)-N(I802)&gt;0,N(G802)-N(I802),""))</f>
        <v/>
      </c>
      <c r="L802" s="32" t="n"/>
      <c r="M802" s="1">
        <f>IF(OR(B802="",D802="",F802="Cancelled"),"",B802+N(C802)+ROW()/10000000)</f>
        <v/>
      </c>
      <c r="N802">
        <f>IF(AND(F802="Done",M802&lt;&gt;""),IF(COUNTIFS(Appointments!$D$6:$D$2005,D802,Appointments!$F$6:$F$2005,"Done",Appointments!$M$6:$M$2005,"&gt;"&amp;M802)=0,1,0),0)</f>
        <v/>
      </c>
      <c r="O802">
        <f>IF(AND(F802="Booked",M802&lt;&gt;"",N(B802)&gt;=TODAY()),IF(COUNTIFS(Appointments!$D$6:$D$2005,D802,Appointments!$F$6:$F$2005,"Booked",Appointments!$B$6:$B$2005,"&gt;="&amp;TODAY(),Appointments!$M$6:$M$2005,"&lt;"&amp;M802)=0,1,0),0)</f>
        <v/>
      </c>
    </row>
    <row r="803">
      <c r="A803" s="1" t="n"/>
      <c r="B803" s="30" t="n">
        <v>46217</v>
      </c>
      <c r="C803" s="31" t="n">
        <v>0.375</v>
      </c>
      <c r="D803" s="32" t="inlineStr">
        <is>
          <t>Adam Gray</t>
        </is>
      </c>
      <c r="E803" s="32" t="inlineStr">
        <is>
          <t>Men's haircut</t>
        </is>
      </c>
      <c r="F803" s="33" t="inlineStr">
        <is>
          <t>Done</t>
        </is>
      </c>
      <c r="G803" s="27">
        <f>IF(E803="","",MAX(0,IFERROR(INDEX(Services!$C$6:$C$35,MATCH(E803,Services!$B$6:$B$35,0)),0)-N(H803)))</f>
        <v/>
      </c>
      <c r="H803" s="34" t="n"/>
      <c r="I803" s="34" t="n">
        <v>30</v>
      </c>
      <c r="J803" s="33" t="inlineStr">
        <is>
          <t>Card</t>
        </is>
      </c>
      <c r="K803" s="28">
        <f>IF(OR(B803="",F803&lt;&gt;"Done",J803="Package"),"",IF(N(G803)-N(I803)&gt;0,N(G803)-N(I803),""))</f>
        <v/>
      </c>
      <c r="L803" s="32" t="n"/>
      <c r="M803" s="1">
        <f>IF(OR(B803="",D803="",F803="Cancelled"),"",B803+N(C803)+ROW()/10000000)</f>
        <v/>
      </c>
      <c r="N803">
        <f>IF(AND(F803="Done",M803&lt;&gt;""),IF(COUNTIFS(Appointments!$D$6:$D$2005,D803,Appointments!$F$6:$F$2005,"Done",Appointments!$M$6:$M$2005,"&gt;"&amp;M803)=0,1,0),0)</f>
        <v/>
      </c>
      <c r="O803">
        <f>IF(AND(F803="Booked",M803&lt;&gt;"",N(B803)&gt;=TODAY()),IF(COUNTIFS(Appointments!$D$6:$D$2005,D803,Appointments!$F$6:$F$2005,"Booked",Appointments!$B$6:$B$2005,"&gt;="&amp;TODAY(),Appointments!$M$6:$M$2005,"&lt;"&amp;M803)=0,1,0),0)</f>
        <v/>
      </c>
    </row>
    <row r="804">
      <c r="A804" s="1" t="n"/>
      <c r="B804" s="30" t="n">
        <v>46217</v>
      </c>
      <c r="C804" s="31" t="n">
        <v>0.4027777777777778</v>
      </c>
      <c r="D804" s="32" t="inlineStr">
        <is>
          <t>Hugo Silva</t>
        </is>
      </c>
      <c r="E804" s="32" t="inlineStr">
        <is>
          <t>Men's haircut</t>
        </is>
      </c>
      <c r="F804" s="33" t="inlineStr">
        <is>
          <t>Done</t>
        </is>
      </c>
      <c r="G804" s="27">
        <f>IF(E804="","",MAX(0,IFERROR(INDEX(Services!$C$6:$C$35,MATCH(E804,Services!$B$6:$B$35,0)),0)-N(H804)))</f>
        <v/>
      </c>
      <c r="H804" s="34" t="n"/>
      <c r="I804" s="34" t="n">
        <v>30</v>
      </c>
      <c r="J804" s="33" t="inlineStr">
        <is>
          <t>Card</t>
        </is>
      </c>
      <c r="K804" s="28">
        <f>IF(OR(B804="",F804&lt;&gt;"Done",J804="Package"),"",IF(N(G804)-N(I804)&gt;0,N(G804)-N(I804),""))</f>
        <v/>
      </c>
      <c r="L804" s="32" t="n"/>
      <c r="M804" s="1">
        <f>IF(OR(B804="",D804="",F804="Cancelled"),"",B804+N(C804)+ROW()/10000000)</f>
        <v/>
      </c>
      <c r="N804">
        <f>IF(AND(F804="Done",M804&lt;&gt;""),IF(COUNTIFS(Appointments!$D$6:$D$2005,D804,Appointments!$F$6:$F$2005,"Done",Appointments!$M$6:$M$2005,"&gt;"&amp;M804)=0,1,0),0)</f>
        <v/>
      </c>
      <c r="O804">
        <f>IF(AND(F804="Booked",M804&lt;&gt;"",N(B804)&gt;=TODAY()),IF(COUNTIFS(Appointments!$D$6:$D$2005,D804,Appointments!$F$6:$F$2005,"Booked",Appointments!$B$6:$B$2005,"&gt;="&amp;TODAY(),Appointments!$M$6:$M$2005,"&lt;"&amp;M804)=0,1,0),0)</f>
        <v/>
      </c>
    </row>
    <row r="805">
      <c r="A805" s="1" t="n"/>
      <c r="B805" s="30" t="n">
        <v>46217</v>
      </c>
      <c r="C805" s="31" t="n">
        <v>0.4305555555555556</v>
      </c>
      <c r="D805" s="32" t="inlineStr">
        <is>
          <t>Jade Hughes</t>
        </is>
      </c>
      <c r="E805" s="32" t="inlineStr">
        <is>
          <t>Blow dry</t>
        </is>
      </c>
      <c r="F805" s="33" t="inlineStr">
        <is>
          <t>Done</t>
        </is>
      </c>
      <c r="G805" s="27">
        <f>IF(E805="","",MAX(0,IFERROR(INDEX(Services!$C$6:$C$35,MATCH(E805,Services!$B$6:$B$35,0)),0)-N(H805)))</f>
        <v/>
      </c>
      <c r="H805" s="34" t="n"/>
      <c r="I805" s="34" t="n">
        <v>35</v>
      </c>
      <c r="J805" s="33" t="inlineStr">
        <is>
          <t>Cash</t>
        </is>
      </c>
      <c r="K805" s="28">
        <f>IF(OR(B805="",F805&lt;&gt;"Done",J805="Package"),"",IF(N(G805)-N(I805)&gt;0,N(G805)-N(I805),""))</f>
        <v/>
      </c>
      <c r="L805" s="32" t="n"/>
      <c r="M805" s="1">
        <f>IF(OR(B805="",D805="",F805="Cancelled"),"",B805+N(C805)+ROW()/10000000)</f>
        <v/>
      </c>
      <c r="N805">
        <f>IF(AND(F805="Done",M805&lt;&gt;""),IF(COUNTIFS(Appointments!$D$6:$D$2005,D805,Appointments!$F$6:$F$2005,"Done",Appointments!$M$6:$M$2005,"&gt;"&amp;M805)=0,1,0),0)</f>
        <v/>
      </c>
      <c r="O805">
        <f>IF(AND(F805="Booked",M805&lt;&gt;"",N(B805)&gt;=TODAY()),IF(COUNTIFS(Appointments!$D$6:$D$2005,D805,Appointments!$F$6:$F$2005,"Booked",Appointments!$B$6:$B$2005,"&gt;="&amp;TODAY(),Appointments!$M$6:$M$2005,"&lt;"&amp;M805)=0,1,0),0)</f>
        <v/>
      </c>
    </row>
    <row r="806">
      <c r="A806" s="1" t="n"/>
      <c r="B806" s="30" t="n">
        <v>46217</v>
      </c>
      <c r="C806" s="31" t="n">
        <v>0.46875</v>
      </c>
      <c r="D806" s="32" t="inlineStr">
        <is>
          <t>Nick Young</t>
        </is>
      </c>
      <c r="E806" s="32" t="inlineStr">
        <is>
          <t>Men's haircut</t>
        </is>
      </c>
      <c r="F806" s="33" t="inlineStr">
        <is>
          <t>Done</t>
        </is>
      </c>
      <c r="G806" s="27">
        <f>IF(E806="","",MAX(0,IFERROR(INDEX(Services!$C$6:$C$35,MATCH(E806,Services!$B$6:$B$35,0)),0)-N(H806)))</f>
        <v/>
      </c>
      <c r="H806" s="34" t="n"/>
      <c r="I806" s="34" t="n">
        <v>30</v>
      </c>
      <c r="J806" s="33" t="inlineStr">
        <is>
          <t>Cash</t>
        </is>
      </c>
      <c r="K806" s="28">
        <f>IF(OR(B806="",F806&lt;&gt;"Done",J806="Package"),"",IF(N(G806)-N(I806)&gt;0,N(G806)-N(I806),""))</f>
        <v/>
      </c>
      <c r="L806" s="32" t="n"/>
      <c r="M806" s="1">
        <f>IF(OR(B806="",D806="",F806="Cancelled"),"",B806+N(C806)+ROW()/10000000)</f>
        <v/>
      </c>
      <c r="N806">
        <f>IF(AND(F806="Done",M806&lt;&gt;""),IF(COUNTIFS(Appointments!$D$6:$D$2005,D806,Appointments!$F$6:$F$2005,"Done",Appointments!$M$6:$M$2005,"&gt;"&amp;M806)=0,1,0),0)</f>
        <v/>
      </c>
      <c r="O806">
        <f>IF(AND(F806="Booked",M806&lt;&gt;"",N(B806)&gt;=TODAY()),IF(COUNTIFS(Appointments!$D$6:$D$2005,D806,Appointments!$F$6:$F$2005,"Booked",Appointments!$B$6:$B$2005,"&gt;="&amp;TODAY(),Appointments!$M$6:$M$2005,"&lt;"&amp;M806)=0,1,0),0)</f>
        <v/>
      </c>
    </row>
    <row r="807">
      <c r="A807" s="1" t="n"/>
      <c r="B807" s="30" t="n">
        <v>46217</v>
      </c>
      <c r="C807" s="31" t="n">
        <v>0.4965277777777778</v>
      </c>
      <c r="D807" s="32" t="inlineStr">
        <is>
          <t>Quinn Harris</t>
        </is>
      </c>
      <c r="E807" s="32" t="inlineStr">
        <is>
          <t>Highlights</t>
        </is>
      </c>
      <c r="F807" s="33" t="inlineStr">
        <is>
          <t>No-show</t>
        </is>
      </c>
      <c r="G807" s="27">
        <f>IF(E807="","",MAX(0,IFERROR(INDEX(Services!$C$6:$C$35,MATCH(E807,Services!$B$6:$B$35,0)),0)-N(H807)))</f>
        <v/>
      </c>
      <c r="H807" s="34" t="n"/>
      <c r="I807" s="34" t="n"/>
      <c r="J807" s="33" t="n"/>
      <c r="K807" s="28">
        <f>IF(OR(B807="",F807&lt;&gt;"Done",J807="Package"),"",IF(N(G807)-N(I807)&gt;0,N(G807)-N(I807),""))</f>
        <v/>
      </c>
      <c r="L807" s="32" t="n"/>
      <c r="M807" s="1">
        <f>IF(OR(B807="",D807="",F807="Cancelled"),"",B807+N(C807)+ROW()/10000000)</f>
        <v/>
      </c>
      <c r="N807">
        <f>IF(AND(F807="Done",M807&lt;&gt;""),IF(COUNTIFS(Appointments!$D$6:$D$2005,D807,Appointments!$F$6:$F$2005,"Done",Appointments!$M$6:$M$2005,"&gt;"&amp;M807)=0,1,0),0)</f>
        <v/>
      </c>
      <c r="O807">
        <f>IF(AND(F807="Booked",M807&lt;&gt;"",N(B807)&gt;=TODAY()),IF(COUNTIFS(Appointments!$D$6:$D$2005,D807,Appointments!$F$6:$F$2005,"Booked",Appointments!$B$6:$B$2005,"&gt;="&amp;TODAY(),Appointments!$M$6:$M$2005,"&lt;"&amp;M807)=0,1,0),0)</f>
        <v/>
      </c>
    </row>
    <row r="808">
      <c r="A808" s="1" t="n"/>
      <c r="B808" s="30" t="n">
        <v>46217</v>
      </c>
      <c r="C808" s="31" t="n">
        <v>0.6076388888888888</v>
      </c>
      <c r="D808" s="32" t="inlineStr">
        <is>
          <t>Tom Davies</t>
        </is>
      </c>
      <c r="E808" s="32" t="inlineStr">
        <is>
          <t>Men's haircut</t>
        </is>
      </c>
      <c r="F808" s="33" t="inlineStr">
        <is>
          <t>Done</t>
        </is>
      </c>
      <c r="G808" s="27">
        <f>IF(E808="","",MAX(0,IFERROR(INDEX(Services!$C$6:$C$35,MATCH(E808,Services!$B$6:$B$35,0)),0)-N(H808)))</f>
        <v/>
      </c>
      <c r="H808" s="34" t="n"/>
      <c r="I808" s="34" t="n">
        <v>30</v>
      </c>
      <c r="J808" s="33" t="inlineStr">
        <is>
          <t>Card</t>
        </is>
      </c>
      <c r="K808" s="28">
        <f>IF(OR(B808="",F808&lt;&gt;"Done",J808="Package"),"",IF(N(G808)-N(I808)&gt;0,N(G808)-N(I808),""))</f>
        <v/>
      </c>
      <c r="L808" s="32" t="n"/>
      <c r="M808" s="1">
        <f>IF(OR(B808="",D808="",F808="Cancelled"),"",B808+N(C808)+ROW()/10000000)</f>
        <v/>
      </c>
      <c r="N808">
        <f>IF(AND(F808="Done",M808&lt;&gt;""),IF(COUNTIFS(Appointments!$D$6:$D$2005,D808,Appointments!$F$6:$F$2005,"Done",Appointments!$M$6:$M$2005,"&gt;"&amp;M808)=0,1,0),0)</f>
        <v/>
      </c>
      <c r="O808">
        <f>IF(AND(F808="Booked",M808&lt;&gt;"",N(B808)&gt;=TODAY()),IF(COUNTIFS(Appointments!$D$6:$D$2005,D808,Appointments!$F$6:$F$2005,"Booked",Appointments!$B$6:$B$2005,"&gt;="&amp;TODAY(),Appointments!$M$6:$M$2005,"&lt;"&amp;M808)=0,1,0),0)</f>
        <v/>
      </c>
    </row>
    <row r="809">
      <c r="A809" s="1" t="n"/>
      <c r="B809" s="30" t="n">
        <v>46217</v>
      </c>
      <c r="C809" s="31" t="n">
        <v>0.6354166666666666</v>
      </c>
      <c r="D809" s="32" t="inlineStr">
        <is>
          <t>Wendy Scott</t>
        </is>
      </c>
      <c r="E809" s="32" t="inlineStr">
        <is>
          <t>Women's haircut</t>
        </is>
      </c>
      <c r="F809" s="33" t="inlineStr">
        <is>
          <t>Done</t>
        </is>
      </c>
      <c r="G809" s="27">
        <f>IF(E809="","",MAX(0,IFERROR(INDEX(Services!$C$6:$C$35,MATCH(E809,Services!$B$6:$B$35,0)),0)-N(H809)))</f>
        <v/>
      </c>
      <c r="H809" s="34" t="n"/>
      <c r="I809" s="34" t="n">
        <v>55</v>
      </c>
      <c r="J809" s="33" t="inlineStr">
        <is>
          <t>Cash</t>
        </is>
      </c>
      <c r="K809" s="28">
        <f>IF(OR(B809="",F809&lt;&gt;"Done",J809="Package"),"",IF(N(G809)-N(I809)&gt;0,N(G809)-N(I809),""))</f>
        <v/>
      </c>
      <c r="L809" s="32" t="n"/>
      <c r="M809" s="1">
        <f>IF(OR(B809="",D809="",F809="Cancelled"),"",B809+N(C809)+ROW()/10000000)</f>
        <v/>
      </c>
      <c r="N809">
        <f>IF(AND(F809="Done",M809&lt;&gt;""),IF(COUNTIFS(Appointments!$D$6:$D$2005,D809,Appointments!$F$6:$F$2005,"Done",Appointments!$M$6:$M$2005,"&gt;"&amp;M809)=0,1,0),0)</f>
        <v/>
      </c>
      <c r="O809">
        <f>IF(AND(F809="Booked",M809&lt;&gt;"",N(B809)&gt;=TODAY()),IF(COUNTIFS(Appointments!$D$6:$D$2005,D809,Appointments!$F$6:$F$2005,"Booked",Appointments!$B$6:$B$2005,"&gt;="&amp;TODAY(),Appointments!$M$6:$M$2005,"&lt;"&amp;M809)=0,1,0),0)</f>
        <v/>
      </c>
    </row>
    <row r="810">
      <c r="A810" s="1" t="n"/>
      <c r="B810" s="30" t="n">
        <v>46218</v>
      </c>
      <c r="C810" s="31" t="n">
        <v>0.375</v>
      </c>
      <c r="D810" s="32" t="inlineStr">
        <is>
          <t>Ben Carter</t>
        </is>
      </c>
      <c r="E810" s="32" t="inlineStr">
        <is>
          <t>Men's haircut</t>
        </is>
      </c>
      <c r="F810" s="33" t="inlineStr">
        <is>
          <t>Done</t>
        </is>
      </c>
      <c r="G810" s="27">
        <f>IF(E810="","",MAX(0,IFERROR(INDEX(Services!$C$6:$C$35,MATCH(E810,Services!$B$6:$B$35,0)),0)-N(H810)))</f>
        <v/>
      </c>
      <c r="H810" s="34" t="n"/>
      <c r="I810" s="34" t="n">
        <v>30</v>
      </c>
      <c r="J810" s="33" t="inlineStr">
        <is>
          <t>Card</t>
        </is>
      </c>
      <c r="K810" s="28">
        <f>IF(OR(B810="",F810&lt;&gt;"Done",J810="Package"),"",IF(N(G810)-N(I810)&gt;0,N(G810)-N(I810),""))</f>
        <v/>
      </c>
      <c r="L810" s="32" t="n"/>
      <c r="M810" s="1">
        <f>IF(OR(B810="",D810="",F810="Cancelled"),"",B810+N(C810)+ROW()/10000000)</f>
        <v/>
      </c>
      <c r="N810">
        <f>IF(AND(F810="Done",M810&lt;&gt;""),IF(COUNTIFS(Appointments!$D$6:$D$2005,D810,Appointments!$F$6:$F$2005,"Done",Appointments!$M$6:$M$2005,"&gt;"&amp;M810)=0,1,0),0)</f>
        <v/>
      </c>
      <c r="O810">
        <f>IF(AND(F810="Booked",M810&lt;&gt;"",N(B810)&gt;=TODAY()),IF(COUNTIFS(Appointments!$D$6:$D$2005,D810,Appointments!$F$6:$F$2005,"Booked",Appointments!$B$6:$B$2005,"&gt;="&amp;TODAY(),Appointments!$M$6:$M$2005,"&lt;"&amp;M810)=0,1,0),0)</f>
        <v/>
      </c>
    </row>
    <row r="811">
      <c r="A811" s="1" t="n"/>
      <c r="B811" s="30" t="n">
        <v>46218</v>
      </c>
      <c r="C811" s="31" t="n">
        <v>0.4027777777777778</v>
      </c>
      <c r="D811" s="32" t="inlineStr">
        <is>
          <t>George Kelly</t>
        </is>
      </c>
      <c r="E811" s="32" t="inlineStr">
        <is>
          <t>Men's haircut</t>
        </is>
      </c>
      <c r="F811" s="33" t="inlineStr">
        <is>
          <t>Done</t>
        </is>
      </c>
      <c r="G811" s="27">
        <f>IF(E811="","",MAX(0,IFERROR(INDEX(Services!$C$6:$C$35,MATCH(E811,Services!$B$6:$B$35,0)),0)-N(H811)))</f>
        <v/>
      </c>
      <c r="H811" s="34" t="n"/>
      <c r="I811" s="34" t="n">
        <v>30</v>
      </c>
      <c r="J811" s="33" t="inlineStr">
        <is>
          <t>Cash</t>
        </is>
      </c>
      <c r="K811" s="28">
        <f>IF(OR(B811="",F811&lt;&gt;"Done",J811="Package"),"",IF(N(G811)-N(I811)&gt;0,N(G811)-N(I811),""))</f>
        <v/>
      </c>
      <c r="L811" s="32" t="n"/>
      <c r="M811" s="1">
        <f>IF(OR(B811="",D811="",F811="Cancelled"),"",B811+N(C811)+ROW()/10000000)</f>
        <v/>
      </c>
      <c r="N811">
        <f>IF(AND(F811="Done",M811&lt;&gt;""),IF(COUNTIFS(Appointments!$D$6:$D$2005,D811,Appointments!$F$6:$F$2005,"Done",Appointments!$M$6:$M$2005,"&gt;"&amp;M811)=0,1,0),0)</f>
        <v/>
      </c>
      <c r="O811">
        <f>IF(AND(F811="Booked",M811&lt;&gt;"",N(B811)&gt;=TODAY()),IF(COUNTIFS(Appointments!$D$6:$D$2005,D811,Appointments!$F$6:$F$2005,"Booked",Appointments!$B$6:$B$2005,"&gt;="&amp;TODAY(),Appointments!$M$6:$M$2005,"&lt;"&amp;M811)=0,1,0),0)</f>
        <v/>
      </c>
    </row>
    <row r="812">
      <c r="A812" s="1" t="n"/>
      <c r="B812" s="30" t="n">
        <v>46218</v>
      </c>
      <c r="C812" s="31" t="n">
        <v>0.4305555555555556</v>
      </c>
      <c r="D812" s="32" t="inlineStr">
        <is>
          <t>Harry Cox</t>
        </is>
      </c>
      <c r="E812" s="32" t="inlineStr">
        <is>
          <t>Men's haircut</t>
        </is>
      </c>
      <c r="F812" s="33" t="inlineStr">
        <is>
          <t>Done</t>
        </is>
      </c>
      <c r="G812" s="27">
        <f>IF(E812="","",MAX(0,IFERROR(INDEX(Services!$C$6:$C$35,MATCH(E812,Services!$B$6:$B$35,0)),0)-N(H812)))</f>
        <v/>
      </c>
      <c r="H812" s="34" t="n"/>
      <c r="I812" s="34" t="n">
        <v>30</v>
      </c>
      <c r="J812" s="33" t="inlineStr">
        <is>
          <t>Card</t>
        </is>
      </c>
      <c r="K812" s="28">
        <f>IF(OR(B812="",F812&lt;&gt;"Done",J812="Package"),"",IF(N(G812)-N(I812)&gt;0,N(G812)-N(I812),""))</f>
        <v/>
      </c>
      <c r="L812" s="32" t="n"/>
      <c r="M812" s="1">
        <f>IF(OR(B812="",D812="",F812="Cancelled"),"",B812+N(C812)+ROW()/10000000)</f>
        <v/>
      </c>
      <c r="N812">
        <f>IF(AND(F812="Done",M812&lt;&gt;""),IF(COUNTIFS(Appointments!$D$6:$D$2005,D812,Appointments!$F$6:$F$2005,"Done",Appointments!$M$6:$M$2005,"&gt;"&amp;M812)=0,1,0),0)</f>
        <v/>
      </c>
      <c r="O812">
        <f>IF(AND(F812="Booked",M812&lt;&gt;"",N(B812)&gt;=TODAY()),IF(COUNTIFS(Appointments!$D$6:$D$2005,D812,Appointments!$F$6:$F$2005,"Booked",Appointments!$B$6:$B$2005,"&gt;="&amp;TODAY(),Appointments!$M$6:$M$2005,"&lt;"&amp;M812)=0,1,0),0)</f>
        <v/>
      </c>
    </row>
    <row r="813">
      <c r="A813" s="1" t="n"/>
      <c r="B813" s="30" t="n">
        <v>46218</v>
      </c>
      <c r="C813" s="31" t="n">
        <v>0.4583333333333333</v>
      </c>
      <c r="D813" s="32" t="inlineStr">
        <is>
          <t>Julia Hughes</t>
        </is>
      </c>
      <c r="E813" s="32" t="inlineStr">
        <is>
          <t>Treatment</t>
        </is>
      </c>
      <c r="F813" s="33" t="inlineStr">
        <is>
          <t>Done</t>
        </is>
      </c>
      <c r="G813" s="27">
        <f>IF(E813="","",MAX(0,IFERROR(INDEX(Services!$C$6:$C$35,MATCH(E813,Services!$B$6:$B$35,0)),0)-N(H813)))</f>
        <v/>
      </c>
      <c r="H813" s="34" t="n"/>
      <c r="I813" s="34" t="n">
        <v>30</v>
      </c>
      <c r="J813" s="33" t="inlineStr">
        <is>
          <t>App</t>
        </is>
      </c>
      <c r="K813" s="28">
        <f>IF(OR(B813="",F813&lt;&gt;"Done",J813="Package"),"",IF(N(G813)-N(I813)&gt;0,N(G813)-N(I813),""))</f>
        <v/>
      </c>
      <c r="L813" s="32" t="n"/>
      <c r="M813" s="1">
        <f>IF(OR(B813="",D813="",F813="Cancelled"),"",B813+N(C813)+ROW()/10000000)</f>
        <v/>
      </c>
      <c r="N813">
        <f>IF(AND(F813="Done",M813&lt;&gt;""),IF(COUNTIFS(Appointments!$D$6:$D$2005,D813,Appointments!$F$6:$F$2005,"Done",Appointments!$M$6:$M$2005,"&gt;"&amp;M813)=0,1,0),0)</f>
        <v/>
      </c>
      <c r="O813">
        <f>IF(AND(F813="Booked",M813&lt;&gt;"",N(B813)&gt;=TODAY()),IF(COUNTIFS(Appointments!$D$6:$D$2005,D813,Appointments!$F$6:$F$2005,"Booked",Appointments!$B$6:$B$2005,"&gt;="&amp;TODAY(),Appointments!$M$6:$M$2005,"&lt;"&amp;M813)=0,1,0),0)</f>
        <v/>
      </c>
    </row>
    <row r="814">
      <c r="A814" s="1" t="n"/>
      <c r="B814" s="30" t="n">
        <v>46218</v>
      </c>
      <c r="C814" s="31" t="n">
        <v>0.4861111111111111</v>
      </c>
      <c r="D814" s="32" t="inlineStr">
        <is>
          <t>Paula Mason</t>
        </is>
      </c>
      <c r="E814" s="32" t="inlineStr">
        <is>
          <t>Toner</t>
        </is>
      </c>
      <c r="F814" s="33" t="inlineStr">
        <is>
          <t>Done</t>
        </is>
      </c>
      <c r="G814" s="27">
        <f>IF(E814="","",MAX(0,IFERROR(INDEX(Services!$C$6:$C$35,MATCH(E814,Services!$B$6:$B$35,0)),0)-N(H814)))</f>
        <v/>
      </c>
      <c r="H814" s="34" t="n"/>
      <c r="I814" s="34" t="n">
        <v>40</v>
      </c>
      <c r="J814" s="33" t="inlineStr">
        <is>
          <t>Card</t>
        </is>
      </c>
      <c r="K814" s="28">
        <f>IF(OR(B814="",F814&lt;&gt;"Done",J814="Package"),"",IF(N(G814)-N(I814)&gt;0,N(G814)-N(I814),""))</f>
        <v/>
      </c>
      <c r="L814" s="32" t="n"/>
      <c r="M814" s="1">
        <f>IF(OR(B814="",D814="",F814="Cancelled"),"",B814+N(C814)+ROW()/10000000)</f>
        <v/>
      </c>
      <c r="N814">
        <f>IF(AND(F814="Done",M814&lt;&gt;""),IF(COUNTIFS(Appointments!$D$6:$D$2005,D814,Appointments!$F$6:$F$2005,"Done",Appointments!$M$6:$M$2005,"&gt;"&amp;M814)=0,1,0),0)</f>
        <v/>
      </c>
      <c r="O814">
        <f>IF(AND(F814="Booked",M814&lt;&gt;"",N(B814)&gt;=TODAY()),IF(COUNTIFS(Appointments!$D$6:$D$2005,D814,Appointments!$F$6:$F$2005,"Booked",Appointments!$B$6:$B$2005,"&gt;="&amp;TODAY(),Appointments!$M$6:$M$2005,"&lt;"&amp;M814)=0,1,0),0)</f>
        <v/>
      </c>
    </row>
    <row r="815">
      <c r="A815" s="1" t="n"/>
      <c r="B815" s="30" t="n">
        <v>46218</v>
      </c>
      <c r="C815" s="31" t="n">
        <v>0.5138888888888888</v>
      </c>
      <c r="D815" s="32" t="inlineStr">
        <is>
          <t>Ryan Davies</t>
        </is>
      </c>
      <c r="E815" s="32" t="inlineStr">
        <is>
          <t>Men's haircut</t>
        </is>
      </c>
      <c r="F815" s="33" t="inlineStr">
        <is>
          <t>Done</t>
        </is>
      </c>
      <c r="G815" s="27">
        <f>IF(E815="","",MAX(0,IFERROR(INDEX(Services!$C$6:$C$35,MATCH(E815,Services!$B$6:$B$35,0)),0)-N(H815)))</f>
        <v/>
      </c>
      <c r="H815" s="34" t="n"/>
      <c r="I815" s="34" t="n">
        <v>30</v>
      </c>
      <c r="J815" s="33" t="inlineStr">
        <is>
          <t>Card</t>
        </is>
      </c>
      <c r="K815" s="28">
        <f>IF(OR(B815="",F815&lt;&gt;"Done",J815="Package"),"",IF(N(G815)-N(I815)&gt;0,N(G815)-N(I815),""))</f>
        <v/>
      </c>
      <c r="L815" s="32" t="n"/>
      <c r="M815" s="1">
        <f>IF(OR(B815="",D815="",F815="Cancelled"),"",B815+N(C815)+ROW()/10000000)</f>
        <v/>
      </c>
      <c r="N815">
        <f>IF(AND(F815="Done",M815&lt;&gt;""),IF(COUNTIFS(Appointments!$D$6:$D$2005,D815,Appointments!$F$6:$F$2005,"Done",Appointments!$M$6:$M$2005,"&gt;"&amp;M815)=0,1,0),0)</f>
        <v/>
      </c>
      <c r="O815">
        <f>IF(AND(F815="Booked",M815&lt;&gt;"",N(B815)&gt;=TODAY()),IF(COUNTIFS(Appointments!$D$6:$D$2005,D815,Appointments!$F$6:$F$2005,"Booked",Appointments!$B$6:$B$2005,"&gt;="&amp;TODAY(),Appointments!$M$6:$M$2005,"&lt;"&amp;M815)=0,1,0),0)</f>
        <v/>
      </c>
    </row>
    <row r="816">
      <c r="A816" s="1" t="n"/>
      <c r="B816" s="30" t="n">
        <v>46218</v>
      </c>
      <c r="C816" s="31" t="n">
        <v>0.5416666666666666</v>
      </c>
      <c r="D816" s="32" t="inlineStr">
        <is>
          <t>Tina Walsh</t>
        </is>
      </c>
      <c r="E816" s="32" t="inlineStr">
        <is>
          <t>Blow dry</t>
        </is>
      </c>
      <c r="F816" s="33" t="inlineStr">
        <is>
          <t>Done</t>
        </is>
      </c>
      <c r="G816" s="27">
        <f>IF(E816="","",MAX(0,IFERROR(INDEX(Services!$C$6:$C$35,MATCH(E816,Services!$B$6:$B$35,0)),0)-N(H816)))</f>
        <v/>
      </c>
      <c r="H816" s="34" t="n"/>
      <c r="I816" s="34" t="n">
        <v>35</v>
      </c>
      <c r="J816" s="33" t="inlineStr">
        <is>
          <t>Cash</t>
        </is>
      </c>
      <c r="K816" s="28">
        <f>IF(OR(B816="",F816&lt;&gt;"Done",J816="Package"),"",IF(N(G816)-N(I816)&gt;0,N(G816)-N(I816),""))</f>
        <v/>
      </c>
      <c r="L816" s="32" t="n"/>
      <c r="M816" s="1">
        <f>IF(OR(B816="",D816="",F816="Cancelled"),"",B816+N(C816)+ROW()/10000000)</f>
        <v/>
      </c>
      <c r="N816">
        <f>IF(AND(F816="Done",M816&lt;&gt;""),IF(COUNTIFS(Appointments!$D$6:$D$2005,D816,Appointments!$F$6:$F$2005,"Done",Appointments!$M$6:$M$2005,"&gt;"&amp;M816)=0,1,0),0)</f>
        <v/>
      </c>
      <c r="O816">
        <f>IF(AND(F816="Booked",M816&lt;&gt;"",N(B816)&gt;=TODAY()),IF(COUNTIFS(Appointments!$D$6:$D$2005,D816,Appointments!$F$6:$F$2005,"Booked",Appointments!$B$6:$B$2005,"&gt;="&amp;TODAY(),Appointments!$M$6:$M$2005,"&lt;"&amp;M816)=0,1,0),0)</f>
        <v/>
      </c>
    </row>
    <row r="817">
      <c r="A817" s="1" t="n"/>
      <c r="B817" s="30" t="n">
        <v>46219</v>
      </c>
      <c r="C817" s="31" t="n">
        <v>0.375</v>
      </c>
      <c r="D817" s="32" t="inlineStr">
        <is>
          <t>Eli Brooks</t>
        </is>
      </c>
      <c r="E817" s="32" t="inlineStr">
        <is>
          <t>Men's haircut</t>
        </is>
      </c>
      <c r="F817" s="33" t="inlineStr">
        <is>
          <t>Done</t>
        </is>
      </c>
      <c r="G817" s="27">
        <f>IF(E817="","",MAX(0,IFERROR(INDEX(Services!$C$6:$C$35,MATCH(E817,Services!$B$6:$B$35,0)),0)-N(H817)))</f>
        <v/>
      </c>
      <c r="H817" s="34" t="n"/>
      <c r="I817" s="34" t="n">
        <v>30</v>
      </c>
      <c r="J817" s="33" t="inlineStr">
        <is>
          <t>Transfer</t>
        </is>
      </c>
      <c r="K817" s="28">
        <f>IF(OR(B817="",F817&lt;&gt;"Done",J817="Package"),"",IF(N(G817)-N(I817)&gt;0,N(G817)-N(I817),""))</f>
        <v/>
      </c>
      <c r="L817" s="32" t="n"/>
      <c r="M817" s="1">
        <f>IF(OR(B817="",D817="",F817="Cancelled"),"",B817+N(C817)+ROW()/10000000)</f>
        <v/>
      </c>
      <c r="N817">
        <f>IF(AND(F817="Done",M817&lt;&gt;""),IF(COUNTIFS(Appointments!$D$6:$D$2005,D817,Appointments!$F$6:$F$2005,"Done",Appointments!$M$6:$M$2005,"&gt;"&amp;M817)=0,1,0),0)</f>
        <v/>
      </c>
      <c r="O817">
        <f>IF(AND(F817="Booked",M817&lt;&gt;"",N(B817)&gt;=TODAY()),IF(COUNTIFS(Appointments!$D$6:$D$2005,D817,Appointments!$F$6:$F$2005,"Booked",Appointments!$B$6:$B$2005,"&gt;="&amp;TODAY(),Appointments!$M$6:$M$2005,"&lt;"&amp;M817)=0,1,0),0)</f>
        <v/>
      </c>
    </row>
    <row r="818">
      <c r="A818" s="1" t="n"/>
      <c r="B818" s="30" t="n">
        <v>46219</v>
      </c>
      <c r="C818" s="31" t="n">
        <v>0.4027777777777778</v>
      </c>
      <c r="D818" s="32" t="inlineStr">
        <is>
          <t>Finn Wood</t>
        </is>
      </c>
      <c r="E818" s="32" t="inlineStr">
        <is>
          <t>Men's haircut</t>
        </is>
      </c>
      <c r="F818" s="33" t="inlineStr">
        <is>
          <t>Done</t>
        </is>
      </c>
      <c r="G818" s="27">
        <f>IF(E818="","",MAX(0,IFERROR(INDEX(Services!$C$6:$C$35,MATCH(E818,Services!$B$6:$B$35,0)),0)-N(H818)))</f>
        <v/>
      </c>
      <c r="H818" s="34" t="n"/>
      <c r="I818" s="34" t="n">
        <v>30</v>
      </c>
      <c r="J818" s="33" t="inlineStr">
        <is>
          <t>Cash</t>
        </is>
      </c>
      <c r="K818" s="28">
        <f>IF(OR(B818="",F818&lt;&gt;"Done",J818="Package"),"",IF(N(G818)-N(I818)&gt;0,N(G818)-N(I818),""))</f>
        <v/>
      </c>
      <c r="L818" s="32" t="n"/>
      <c r="M818" s="1">
        <f>IF(OR(B818="",D818="",F818="Cancelled"),"",B818+N(C818)+ROW()/10000000)</f>
        <v/>
      </c>
      <c r="N818">
        <f>IF(AND(F818="Done",M818&lt;&gt;""),IF(COUNTIFS(Appointments!$D$6:$D$2005,D818,Appointments!$F$6:$F$2005,"Done",Appointments!$M$6:$M$2005,"&gt;"&amp;M818)=0,1,0),0)</f>
        <v/>
      </c>
      <c r="O818">
        <f>IF(AND(F818="Booked",M818&lt;&gt;"",N(B818)&gt;=TODAY()),IF(COUNTIFS(Appointments!$D$6:$D$2005,D818,Appointments!$F$6:$F$2005,"Booked",Appointments!$B$6:$B$2005,"&gt;="&amp;TODAY(),Appointments!$M$6:$M$2005,"&lt;"&amp;M818)=0,1,0),0)</f>
        <v/>
      </c>
    </row>
    <row r="819">
      <c r="A819" s="1" t="n"/>
      <c r="B819" s="30" t="n">
        <v>46219</v>
      </c>
      <c r="C819" s="31" t="n">
        <v>0.4305555555555556</v>
      </c>
      <c r="D819" s="32" t="inlineStr">
        <is>
          <t>Gina Reid</t>
        </is>
      </c>
      <c r="E819" s="32" t="inlineStr">
        <is>
          <t>Toner</t>
        </is>
      </c>
      <c r="F819" s="33" t="inlineStr">
        <is>
          <t>Done</t>
        </is>
      </c>
      <c r="G819" s="27">
        <f>IF(E819="","",MAX(0,IFERROR(INDEX(Services!$C$6:$C$35,MATCH(E819,Services!$B$6:$B$35,0)),0)-N(H819)))</f>
        <v/>
      </c>
      <c r="H819" s="34" t="n"/>
      <c r="I819" s="34" t="n">
        <v>40</v>
      </c>
      <c r="J819" s="33" t="inlineStr">
        <is>
          <t>App</t>
        </is>
      </c>
      <c r="K819" s="28">
        <f>IF(OR(B819="",F819&lt;&gt;"Done",J819="Package"),"",IF(N(G819)-N(I819)&gt;0,N(G819)-N(I819),""))</f>
        <v/>
      </c>
      <c r="L819" s="32" t="n"/>
      <c r="M819" s="1">
        <f>IF(OR(B819="",D819="",F819="Cancelled"),"",B819+N(C819)+ROW()/10000000)</f>
        <v/>
      </c>
      <c r="N819">
        <f>IF(AND(F819="Done",M819&lt;&gt;""),IF(COUNTIFS(Appointments!$D$6:$D$2005,D819,Appointments!$F$6:$F$2005,"Done",Appointments!$M$6:$M$2005,"&gt;"&amp;M819)=0,1,0),0)</f>
        <v/>
      </c>
      <c r="O819">
        <f>IF(AND(F819="Booked",M819&lt;&gt;"",N(B819)&gt;=TODAY()),IF(COUNTIFS(Appointments!$D$6:$D$2005,D819,Appointments!$F$6:$F$2005,"Booked",Appointments!$B$6:$B$2005,"&gt;="&amp;TODAY(),Appointments!$M$6:$M$2005,"&lt;"&amp;M819)=0,1,0),0)</f>
        <v/>
      </c>
    </row>
    <row r="820">
      <c r="A820" s="1" t="n"/>
      <c r="B820" s="30" t="n">
        <v>46219</v>
      </c>
      <c r="C820" s="31" t="n">
        <v>0.4583333333333333</v>
      </c>
      <c r="D820" s="32" t="inlineStr">
        <is>
          <t>Grace Lee</t>
        </is>
      </c>
      <c r="E820" s="32" t="inlineStr">
        <is>
          <t>Women's haircut</t>
        </is>
      </c>
      <c r="F820" s="33" t="inlineStr">
        <is>
          <t>Done</t>
        </is>
      </c>
      <c r="G820" s="27">
        <f>IF(E820="","",MAX(0,IFERROR(INDEX(Services!$C$6:$C$35,MATCH(E820,Services!$B$6:$B$35,0)),0)-N(H820)))</f>
        <v/>
      </c>
      <c r="H820" s="34" t="n"/>
      <c r="I820" s="34" t="n">
        <v>55</v>
      </c>
      <c r="J820" s="33" t="inlineStr">
        <is>
          <t>Cash</t>
        </is>
      </c>
      <c r="K820" s="28">
        <f>IF(OR(B820="",F820&lt;&gt;"Done",J820="Package"),"",IF(N(G820)-N(I820)&gt;0,N(G820)-N(I820),""))</f>
        <v/>
      </c>
      <c r="L820" s="32" t="n"/>
      <c r="M820" s="1">
        <f>IF(OR(B820="",D820="",F820="Cancelled"),"",B820+N(C820)+ROW()/10000000)</f>
        <v/>
      </c>
      <c r="N820">
        <f>IF(AND(F820="Done",M820&lt;&gt;""),IF(COUNTIFS(Appointments!$D$6:$D$2005,D820,Appointments!$F$6:$F$2005,"Done",Appointments!$M$6:$M$2005,"&gt;"&amp;M820)=0,1,0),0)</f>
        <v/>
      </c>
      <c r="O820">
        <f>IF(AND(F820="Booked",M820&lt;&gt;"",N(B820)&gt;=TODAY()),IF(COUNTIFS(Appointments!$D$6:$D$2005,D820,Appointments!$F$6:$F$2005,"Booked",Appointments!$B$6:$B$2005,"&gt;="&amp;TODAY(),Appointments!$M$6:$M$2005,"&lt;"&amp;M820)=0,1,0),0)</f>
        <v/>
      </c>
    </row>
    <row r="821">
      <c r="A821" s="1" t="n"/>
      <c r="B821" s="30" t="n">
        <v>46219</v>
      </c>
      <c r="C821" s="31" t="n">
        <v>0.5069444444444444</v>
      </c>
      <c r="D821" s="32" t="inlineStr">
        <is>
          <t>Jon Gray</t>
        </is>
      </c>
      <c r="E821" s="32" t="inlineStr">
        <is>
          <t>Men's haircut</t>
        </is>
      </c>
      <c r="F821" s="33" t="inlineStr">
        <is>
          <t>Done</t>
        </is>
      </c>
      <c r="G821" s="27">
        <f>IF(E821="","",MAX(0,IFERROR(INDEX(Services!$C$6:$C$35,MATCH(E821,Services!$B$6:$B$35,0)),0)-N(H821)))</f>
        <v/>
      </c>
      <c r="H821" s="34" t="n"/>
      <c r="I821" s="34" t="n">
        <v>30</v>
      </c>
      <c r="J821" s="33" t="inlineStr">
        <is>
          <t>Card</t>
        </is>
      </c>
      <c r="K821" s="28">
        <f>IF(OR(B821="",F821&lt;&gt;"Done",J821="Package"),"",IF(N(G821)-N(I821)&gt;0,N(G821)-N(I821),""))</f>
        <v/>
      </c>
      <c r="L821" s="32" t="n"/>
      <c r="M821" s="1">
        <f>IF(OR(B821="",D821="",F821="Cancelled"),"",B821+N(C821)+ROW()/10000000)</f>
        <v/>
      </c>
      <c r="N821">
        <f>IF(AND(F821="Done",M821&lt;&gt;""),IF(COUNTIFS(Appointments!$D$6:$D$2005,D821,Appointments!$F$6:$F$2005,"Done",Appointments!$M$6:$M$2005,"&gt;"&amp;M821)=0,1,0),0)</f>
        <v/>
      </c>
      <c r="O821">
        <f>IF(AND(F821="Booked",M821&lt;&gt;"",N(B821)&gt;=TODAY()),IF(COUNTIFS(Appointments!$D$6:$D$2005,D821,Appointments!$F$6:$F$2005,"Booked",Appointments!$B$6:$B$2005,"&gt;="&amp;TODAY(),Appointments!$M$6:$M$2005,"&lt;"&amp;M821)=0,1,0),0)</f>
        <v/>
      </c>
    </row>
    <row r="822">
      <c r="A822" s="1" t="n"/>
      <c r="B822" s="30" t="n">
        <v>46219</v>
      </c>
      <c r="C822" s="31" t="n">
        <v>0.5347222222222222</v>
      </c>
      <c r="D822" s="32" t="inlineStr">
        <is>
          <t>Sara Hughes</t>
        </is>
      </c>
      <c r="E822" s="32" t="inlineStr">
        <is>
          <t>Toner</t>
        </is>
      </c>
      <c r="F822" s="33" t="inlineStr">
        <is>
          <t>Done</t>
        </is>
      </c>
      <c r="G822" s="27">
        <f>IF(E822="","",MAX(0,IFERROR(INDEX(Services!$C$6:$C$35,MATCH(E822,Services!$B$6:$B$35,0)),0)-N(H822)))</f>
        <v/>
      </c>
      <c r="H822" s="34" t="n"/>
      <c r="I822" s="34" t="n">
        <v>40</v>
      </c>
      <c r="J822" s="33" t="inlineStr">
        <is>
          <t>Cash</t>
        </is>
      </c>
      <c r="K822" s="28">
        <f>IF(OR(B822="",F822&lt;&gt;"Done",J822="Package"),"",IF(N(G822)-N(I822)&gt;0,N(G822)-N(I822),""))</f>
        <v/>
      </c>
      <c r="L822" s="32" t="n"/>
      <c r="M822" s="1">
        <f>IF(OR(B822="",D822="",F822="Cancelled"),"",B822+N(C822)+ROW()/10000000)</f>
        <v/>
      </c>
      <c r="N822">
        <f>IF(AND(F822="Done",M822&lt;&gt;""),IF(COUNTIFS(Appointments!$D$6:$D$2005,D822,Appointments!$F$6:$F$2005,"Done",Appointments!$M$6:$M$2005,"&gt;"&amp;M822)=0,1,0),0)</f>
        <v/>
      </c>
      <c r="O822">
        <f>IF(AND(F822="Booked",M822&lt;&gt;"",N(B822)&gt;=TODAY()),IF(COUNTIFS(Appointments!$D$6:$D$2005,D822,Appointments!$F$6:$F$2005,"Booked",Appointments!$B$6:$B$2005,"&gt;="&amp;TODAY(),Appointments!$M$6:$M$2005,"&lt;"&amp;M822)=0,1,0),0)</f>
        <v/>
      </c>
    </row>
    <row r="823">
      <c r="A823" s="1" t="n"/>
      <c r="B823" s="30" t="n">
        <v>46220</v>
      </c>
      <c r="C823" s="31" t="n">
        <v>0.375</v>
      </c>
      <c r="D823" s="32" t="inlineStr">
        <is>
          <t>Tom Ellis</t>
        </is>
      </c>
      <c r="E823" s="32" t="inlineStr">
        <is>
          <t>Men's haircut</t>
        </is>
      </c>
      <c r="F823" s="33" t="inlineStr">
        <is>
          <t>Done</t>
        </is>
      </c>
      <c r="G823" s="27">
        <f>IF(E823="","",MAX(0,IFERROR(INDEX(Services!$C$6:$C$35,MATCH(E823,Services!$B$6:$B$35,0)),0)-N(H823)))</f>
        <v/>
      </c>
      <c r="H823" s="34" t="n"/>
      <c r="I823" s="34" t="n">
        <v>30</v>
      </c>
      <c r="J823" s="33" t="inlineStr">
        <is>
          <t>Card</t>
        </is>
      </c>
      <c r="K823" s="28">
        <f>IF(OR(B823="",F823&lt;&gt;"Done",J823="Package"),"",IF(N(G823)-N(I823)&gt;0,N(G823)-N(I823),""))</f>
        <v/>
      </c>
      <c r="L823" s="32" t="n"/>
      <c r="M823" s="1">
        <f>IF(OR(B823="",D823="",F823="Cancelled"),"",B823+N(C823)+ROW()/10000000)</f>
        <v/>
      </c>
      <c r="N823">
        <f>IF(AND(F823="Done",M823&lt;&gt;""),IF(COUNTIFS(Appointments!$D$6:$D$2005,D823,Appointments!$F$6:$F$2005,"Done",Appointments!$M$6:$M$2005,"&gt;"&amp;M823)=0,1,0),0)</f>
        <v/>
      </c>
      <c r="O823">
        <f>IF(AND(F823="Booked",M823&lt;&gt;"",N(B823)&gt;=TODAY()),IF(COUNTIFS(Appointments!$D$6:$D$2005,D823,Appointments!$F$6:$F$2005,"Booked",Appointments!$B$6:$B$2005,"&gt;="&amp;TODAY(),Appointments!$M$6:$M$2005,"&lt;"&amp;M823)=0,1,0),0)</f>
        <v/>
      </c>
    </row>
    <row r="824">
      <c r="A824" s="1" t="n"/>
      <c r="B824" s="30" t="n">
        <v>46220</v>
      </c>
      <c r="C824" s="31" t="n">
        <v>0.4027777777777778</v>
      </c>
      <c r="D824" s="32" t="inlineStr">
        <is>
          <t>Will Baker</t>
        </is>
      </c>
      <c r="E824" s="32" t="inlineStr">
        <is>
          <t>Men's haircut</t>
        </is>
      </c>
      <c r="F824" s="33" t="inlineStr">
        <is>
          <t>Done</t>
        </is>
      </c>
      <c r="G824" s="27">
        <f>IF(E824="","",MAX(0,IFERROR(INDEX(Services!$C$6:$C$35,MATCH(E824,Services!$B$6:$B$35,0)),0)-N(H824)))</f>
        <v/>
      </c>
      <c r="H824" s="34" t="n"/>
      <c r="I824" s="34" t="n">
        <v>30</v>
      </c>
      <c r="J824" s="33" t="inlineStr">
        <is>
          <t>Card</t>
        </is>
      </c>
      <c r="K824" s="28">
        <f>IF(OR(B824="",F824&lt;&gt;"Done",J824="Package"),"",IF(N(G824)-N(I824)&gt;0,N(G824)-N(I824),""))</f>
        <v/>
      </c>
      <c r="L824" s="32" t="n"/>
      <c r="M824" s="1">
        <f>IF(OR(B824="",D824="",F824="Cancelled"),"",B824+N(C824)+ROW()/10000000)</f>
        <v/>
      </c>
      <c r="N824">
        <f>IF(AND(F824="Done",M824&lt;&gt;""),IF(COUNTIFS(Appointments!$D$6:$D$2005,D824,Appointments!$F$6:$F$2005,"Done",Appointments!$M$6:$M$2005,"&gt;"&amp;M824)=0,1,0),0)</f>
        <v/>
      </c>
      <c r="O824">
        <f>IF(AND(F824="Booked",M824&lt;&gt;"",N(B824)&gt;=TODAY()),IF(COUNTIFS(Appointments!$D$6:$D$2005,D824,Appointments!$F$6:$F$2005,"Booked",Appointments!$B$6:$B$2005,"&gt;="&amp;TODAY(),Appointments!$M$6:$M$2005,"&lt;"&amp;M824)=0,1,0),0)</f>
        <v/>
      </c>
    </row>
    <row r="825">
      <c r="A825" s="1" t="n"/>
      <c r="B825" s="30" t="n">
        <v>46221</v>
      </c>
      <c r="C825" s="31" t="n">
        <v>0.375</v>
      </c>
      <c r="D825" s="32" t="inlineStr">
        <is>
          <t>Chris West</t>
        </is>
      </c>
      <c r="E825" s="32" t="inlineStr">
        <is>
          <t>Men's haircut</t>
        </is>
      </c>
      <c r="F825" s="33" t="inlineStr">
        <is>
          <t>Done</t>
        </is>
      </c>
      <c r="G825" s="27">
        <f>IF(E825="","",MAX(0,IFERROR(INDEX(Services!$C$6:$C$35,MATCH(E825,Services!$B$6:$B$35,0)),0)-N(H825)))</f>
        <v/>
      </c>
      <c r="H825" s="34" t="n"/>
      <c r="I825" s="34" t="n">
        <v>30</v>
      </c>
      <c r="J825" s="33" t="inlineStr">
        <is>
          <t>Cash</t>
        </is>
      </c>
      <c r="K825" s="28">
        <f>IF(OR(B825="",F825&lt;&gt;"Done",J825="Package"),"",IF(N(G825)-N(I825)&gt;0,N(G825)-N(I825),""))</f>
        <v/>
      </c>
      <c r="L825" s="32" t="n"/>
      <c r="M825" s="1">
        <f>IF(OR(B825="",D825="",F825="Cancelled"),"",B825+N(C825)+ROW()/10000000)</f>
        <v/>
      </c>
      <c r="N825">
        <f>IF(AND(F825="Done",M825&lt;&gt;""),IF(COUNTIFS(Appointments!$D$6:$D$2005,D825,Appointments!$F$6:$F$2005,"Done",Appointments!$M$6:$M$2005,"&gt;"&amp;M825)=0,1,0),0)</f>
        <v/>
      </c>
      <c r="O825">
        <f>IF(AND(F825="Booked",M825&lt;&gt;"",N(B825)&gt;=TODAY()),IF(COUNTIFS(Appointments!$D$6:$D$2005,D825,Appointments!$F$6:$F$2005,"Booked",Appointments!$B$6:$B$2005,"&gt;="&amp;TODAY(),Appointments!$M$6:$M$2005,"&lt;"&amp;M825)=0,1,0),0)</f>
        <v/>
      </c>
    </row>
    <row r="826">
      <c r="A826" s="1" t="n"/>
      <c r="B826" s="30" t="n">
        <v>46221</v>
      </c>
      <c r="C826" s="31" t="n">
        <v>0.4027777777777778</v>
      </c>
      <c r="D826" s="32" t="inlineStr">
        <is>
          <t>Ian Bell</t>
        </is>
      </c>
      <c r="E826" s="32" t="inlineStr">
        <is>
          <t>Men's haircut</t>
        </is>
      </c>
      <c r="F826" s="33" t="inlineStr">
        <is>
          <t>Done</t>
        </is>
      </c>
      <c r="G826" s="27">
        <f>IF(E826="","",MAX(0,IFERROR(INDEX(Services!$C$6:$C$35,MATCH(E826,Services!$B$6:$B$35,0)),0)-N(H826)))</f>
        <v/>
      </c>
      <c r="H826" s="34" t="n"/>
      <c r="I826" s="34" t="n">
        <v>30</v>
      </c>
      <c r="J826" s="33" t="inlineStr">
        <is>
          <t>Cash</t>
        </is>
      </c>
      <c r="K826" s="28">
        <f>IF(OR(B826="",F826&lt;&gt;"Done",J826="Package"),"",IF(N(G826)-N(I826)&gt;0,N(G826)-N(I826),""))</f>
        <v/>
      </c>
      <c r="L826" s="32" t="n"/>
      <c r="M826" s="1">
        <f>IF(OR(B826="",D826="",F826="Cancelled"),"",B826+N(C826)+ROW()/10000000)</f>
        <v/>
      </c>
      <c r="N826">
        <f>IF(AND(F826="Done",M826&lt;&gt;""),IF(COUNTIFS(Appointments!$D$6:$D$2005,D826,Appointments!$F$6:$F$2005,"Done",Appointments!$M$6:$M$2005,"&gt;"&amp;M826)=0,1,0),0)</f>
        <v/>
      </c>
      <c r="O826">
        <f>IF(AND(F826="Booked",M826&lt;&gt;"",N(B826)&gt;=TODAY()),IF(COUNTIFS(Appointments!$D$6:$D$2005,D826,Appointments!$F$6:$F$2005,"Booked",Appointments!$B$6:$B$2005,"&gt;="&amp;TODAY(),Appointments!$M$6:$M$2005,"&lt;"&amp;M826)=0,1,0),0)</f>
        <v/>
      </c>
    </row>
    <row r="827">
      <c r="A827" s="1" t="n"/>
      <c r="B827" s="30" t="n">
        <v>46221</v>
      </c>
      <c r="C827" s="31" t="n">
        <v>0.4305555555555556</v>
      </c>
      <c r="D827" s="32" t="inlineStr">
        <is>
          <t>Tina Cook</t>
        </is>
      </c>
      <c r="E827" s="32" t="inlineStr">
        <is>
          <t>Women's haircut</t>
        </is>
      </c>
      <c r="F827" s="33" t="inlineStr">
        <is>
          <t>Done</t>
        </is>
      </c>
      <c r="G827" s="27">
        <f>IF(E827="","",MAX(0,IFERROR(INDEX(Services!$C$6:$C$35,MATCH(E827,Services!$B$6:$B$35,0)),0)-N(H827)))</f>
        <v/>
      </c>
      <c r="H827" s="34" t="n"/>
      <c r="I827" s="34" t="n">
        <v>55</v>
      </c>
      <c r="J827" s="33" t="inlineStr">
        <is>
          <t>Cash</t>
        </is>
      </c>
      <c r="K827" s="28">
        <f>IF(OR(B827="",F827&lt;&gt;"Done",J827="Package"),"",IF(N(G827)-N(I827)&gt;0,N(G827)-N(I827),""))</f>
        <v/>
      </c>
      <c r="L827" s="32" t="n"/>
      <c r="M827" s="1">
        <f>IF(OR(B827="",D827="",F827="Cancelled"),"",B827+N(C827)+ROW()/10000000)</f>
        <v/>
      </c>
      <c r="N827">
        <f>IF(AND(F827="Done",M827&lt;&gt;""),IF(COUNTIFS(Appointments!$D$6:$D$2005,D827,Appointments!$F$6:$F$2005,"Done",Appointments!$M$6:$M$2005,"&gt;"&amp;M827)=0,1,0),0)</f>
        <v/>
      </c>
      <c r="O827">
        <f>IF(AND(F827="Booked",M827&lt;&gt;"",N(B827)&gt;=TODAY()),IF(COUNTIFS(Appointments!$D$6:$D$2005,D827,Appointments!$F$6:$F$2005,"Booked",Appointments!$B$6:$B$2005,"&gt;="&amp;TODAY(),Appointments!$M$6:$M$2005,"&lt;"&amp;M827)=0,1,0),0)</f>
        <v/>
      </c>
    </row>
    <row r="828">
      <c r="A828" s="1" t="n"/>
      <c r="B828" s="30" t="n">
        <v>46221</v>
      </c>
      <c r="C828" s="31" t="n">
        <v>0.4791666666666667</v>
      </c>
      <c r="D828" s="32" t="inlineStr">
        <is>
          <t>Tom Cole</t>
        </is>
      </c>
      <c r="E828" s="32" t="inlineStr">
        <is>
          <t>Men's haircut</t>
        </is>
      </c>
      <c r="F828" s="33" t="inlineStr">
        <is>
          <t>Done</t>
        </is>
      </c>
      <c r="G828" s="27">
        <f>IF(E828="","",MAX(0,IFERROR(INDEX(Services!$C$6:$C$35,MATCH(E828,Services!$B$6:$B$35,0)),0)-N(H828)))</f>
        <v/>
      </c>
      <c r="H828" s="34" t="n"/>
      <c r="I828" s="34" t="n">
        <v>30</v>
      </c>
      <c r="J828" s="33" t="inlineStr">
        <is>
          <t>Card</t>
        </is>
      </c>
      <c r="K828" s="28">
        <f>IF(OR(B828="",F828&lt;&gt;"Done",J828="Package"),"",IF(N(G828)-N(I828)&gt;0,N(G828)-N(I828),""))</f>
        <v/>
      </c>
      <c r="L828" s="32" t="n"/>
      <c r="M828" s="1">
        <f>IF(OR(B828="",D828="",F828="Cancelled"),"",B828+N(C828)+ROW()/10000000)</f>
        <v/>
      </c>
      <c r="N828">
        <f>IF(AND(F828="Done",M828&lt;&gt;""),IF(COUNTIFS(Appointments!$D$6:$D$2005,D828,Appointments!$F$6:$F$2005,"Done",Appointments!$M$6:$M$2005,"&gt;"&amp;M828)=0,1,0),0)</f>
        <v/>
      </c>
      <c r="O828">
        <f>IF(AND(F828="Booked",M828&lt;&gt;"",N(B828)&gt;=TODAY()),IF(COUNTIFS(Appointments!$D$6:$D$2005,D828,Appointments!$F$6:$F$2005,"Booked",Appointments!$B$6:$B$2005,"&gt;="&amp;TODAY(),Appointments!$M$6:$M$2005,"&lt;"&amp;M828)=0,1,0),0)</f>
        <v/>
      </c>
    </row>
    <row r="829">
      <c r="A829" s="1" t="n"/>
      <c r="B829" s="30" t="n">
        <v>46224</v>
      </c>
      <c r="C829" s="31" t="n">
        <v>0.375</v>
      </c>
      <c r="D829" s="32" t="inlineStr">
        <is>
          <t>Amy Hughes</t>
        </is>
      </c>
      <c r="E829" s="32" t="inlineStr">
        <is>
          <t>Women's haircut</t>
        </is>
      </c>
      <c r="F829" s="33" t="inlineStr">
        <is>
          <t>Done</t>
        </is>
      </c>
      <c r="G829" s="27">
        <f>IF(E829="","",MAX(0,IFERROR(INDEX(Services!$C$6:$C$35,MATCH(E829,Services!$B$6:$B$35,0)),0)-N(H829)))</f>
        <v/>
      </c>
      <c r="H829" s="34" t="n"/>
      <c r="I829" s="34" t="n">
        <v>55</v>
      </c>
      <c r="J829" s="33" t="inlineStr">
        <is>
          <t>Cash</t>
        </is>
      </c>
      <c r="K829" s="28">
        <f>IF(OR(B829="",F829&lt;&gt;"Done",J829="Package"),"",IF(N(G829)-N(I829)&gt;0,N(G829)-N(I829),""))</f>
        <v/>
      </c>
      <c r="L829" s="32" t="n"/>
      <c r="M829" s="1">
        <f>IF(OR(B829="",D829="",F829="Cancelled"),"",B829+N(C829)+ROW()/10000000)</f>
        <v/>
      </c>
      <c r="N829">
        <f>IF(AND(F829="Done",M829&lt;&gt;""),IF(COUNTIFS(Appointments!$D$6:$D$2005,D829,Appointments!$F$6:$F$2005,"Done",Appointments!$M$6:$M$2005,"&gt;"&amp;M829)=0,1,0),0)</f>
        <v/>
      </c>
      <c r="O829">
        <f>IF(AND(F829="Booked",M829&lt;&gt;"",N(B829)&gt;=TODAY()),IF(COUNTIFS(Appointments!$D$6:$D$2005,D829,Appointments!$F$6:$F$2005,"Booked",Appointments!$B$6:$B$2005,"&gt;="&amp;TODAY(),Appointments!$M$6:$M$2005,"&lt;"&amp;M829)=0,1,0),0)</f>
        <v/>
      </c>
    </row>
    <row r="830">
      <c r="A830" s="1" t="n"/>
      <c r="B830" s="30" t="n">
        <v>46224</v>
      </c>
      <c r="C830" s="31" t="n">
        <v>0.4236111111111111</v>
      </c>
      <c r="D830" s="32" t="inlineStr">
        <is>
          <t>Emma Johnson</t>
        </is>
      </c>
      <c r="E830" s="32" t="inlineStr">
        <is>
          <t>Blow dry</t>
        </is>
      </c>
      <c r="F830" s="33" t="inlineStr">
        <is>
          <t>Done</t>
        </is>
      </c>
      <c r="G830" s="27">
        <f>IF(E830="","",MAX(0,IFERROR(INDEX(Services!$C$6:$C$35,MATCH(E830,Services!$B$6:$B$35,0)),0)-N(H830)))</f>
        <v/>
      </c>
      <c r="H830" s="34" t="n"/>
      <c r="I830" s="34" t="n"/>
      <c r="J830" s="33" t="inlineStr">
        <is>
          <t>Package</t>
        </is>
      </c>
      <c r="K830" s="28">
        <f>IF(OR(B830="",F830&lt;&gt;"Done",J830="Package"),"",IF(N(G830)-N(I830)&gt;0,N(G830)-N(I830),""))</f>
        <v/>
      </c>
      <c r="L830" s="32" t="n"/>
      <c r="M830" s="1">
        <f>IF(OR(B830="",D830="",F830="Cancelled"),"",B830+N(C830)+ROW()/10000000)</f>
        <v/>
      </c>
      <c r="N830">
        <f>IF(AND(F830="Done",M830&lt;&gt;""),IF(COUNTIFS(Appointments!$D$6:$D$2005,D830,Appointments!$F$6:$F$2005,"Done",Appointments!$M$6:$M$2005,"&gt;"&amp;M830)=0,1,0),0)</f>
        <v/>
      </c>
      <c r="O830">
        <f>IF(AND(F830="Booked",M830&lt;&gt;"",N(B830)&gt;=TODAY()),IF(COUNTIFS(Appointments!$D$6:$D$2005,D830,Appointments!$F$6:$F$2005,"Booked",Appointments!$B$6:$B$2005,"&gt;="&amp;TODAY(),Appointments!$M$6:$M$2005,"&lt;"&amp;M830)=0,1,0),0)</f>
        <v/>
      </c>
    </row>
    <row r="831">
      <c r="A831" s="1" t="n"/>
      <c r="B831" s="30" t="n">
        <v>46224</v>
      </c>
      <c r="C831" s="31" t="n">
        <v>0.4618055555555556</v>
      </c>
      <c r="D831" s="32" t="inlineStr">
        <is>
          <t>Hannah Kelly</t>
        </is>
      </c>
      <c r="E831" s="32" t="inlineStr">
        <is>
          <t>Colour</t>
        </is>
      </c>
      <c r="F831" s="33" t="inlineStr">
        <is>
          <t>Done</t>
        </is>
      </c>
      <c r="G831" s="27">
        <f>IF(E831="","",MAX(0,IFERROR(INDEX(Services!$C$6:$C$35,MATCH(E831,Services!$B$6:$B$35,0)),0)-N(H831)))</f>
        <v/>
      </c>
      <c r="H831" s="34" t="n"/>
      <c r="I831" s="34" t="n">
        <v>95</v>
      </c>
      <c r="J831" s="33" t="inlineStr">
        <is>
          <t>Card</t>
        </is>
      </c>
      <c r="K831" s="28">
        <f>IF(OR(B831="",F831&lt;&gt;"Done",J831="Package"),"",IF(N(G831)-N(I831)&gt;0,N(G831)-N(I831),""))</f>
        <v/>
      </c>
      <c r="L831" s="32" t="n"/>
      <c r="M831" s="1">
        <f>IF(OR(B831="",D831="",F831="Cancelled"),"",B831+N(C831)+ROW()/10000000)</f>
        <v/>
      </c>
      <c r="N831">
        <f>IF(AND(F831="Done",M831&lt;&gt;""),IF(COUNTIFS(Appointments!$D$6:$D$2005,D831,Appointments!$F$6:$F$2005,"Done",Appointments!$M$6:$M$2005,"&gt;"&amp;M831)=0,1,0),0)</f>
        <v/>
      </c>
      <c r="O831">
        <f>IF(AND(F831="Booked",M831&lt;&gt;"",N(B831)&gt;=TODAY()),IF(COUNTIFS(Appointments!$D$6:$D$2005,D831,Appointments!$F$6:$F$2005,"Booked",Appointments!$B$6:$B$2005,"&gt;="&amp;TODAY(),Appointments!$M$6:$M$2005,"&lt;"&amp;M831)=0,1,0),0)</f>
        <v/>
      </c>
    </row>
    <row r="832">
      <c r="A832" s="1" t="n"/>
      <c r="B832" s="30" t="n">
        <v>46224</v>
      </c>
      <c r="C832" s="31" t="n">
        <v>0.5520833333333334</v>
      </c>
      <c r="D832" s="32" t="inlineStr">
        <is>
          <t>Luke Hall</t>
        </is>
      </c>
      <c r="E832" s="32" t="inlineStr">
        <is>
          <t>Men's haircut</t>
        </is>
      </c>
      <c r="F832" s="33" t="inlineStr">
        <is>
          <t>Done</t>
        </is>
      </c>
      <c r="G832" s="27">
        <f>IF(E832="","",MAX(0,IFERROR(INDEX(Services!$C$6:$C$35,MATCH(E832,Services!$B$6:$B$35,0)),0)-N(H832)))</f>
        <v/>
      </c>
      <c r="H832" s="34" t="n"/>
      <c r="I832" s="34" t="n">
        <v>30</v>
      </c>
      <c r="J832" s="33" t="inlineStr">
        <is>
          <t>Card</t>
        </is>
      </c>
      <c r="K832" s="28">
        <f>IF(OR(B832="",F832&lt;&gt;"Done",J832="Package"),"",IF(N(G832)-N(I832)&gt;0,N(G832)-N(I832),""))</f>
        <v/>
      </c>
      <c r="L832" s="32" t="n"/>
      <c r="M832" s="1">
        <f>IF(OR(B832="",D832="",F832="Cancelled"),"",B832+N(C832)+ROW()/10000000)</f>
        <v/>
      </c>
      <c r="N832">
        <f>IF(AND(F832="Done",M832&lt;&gt;""),IF(COUNTIFS(Appointments!$D$6:$D$2005,D832,Appointments!$F$6:$F$2005,"Done",Appointments!$M$6:$M$2005,"&gt;"&amp;M832)=0,1,0),0)</f>
        <v/>
      </c>
      <c r="O832">
        <f>IF(AND(F832="Booked",M832&lt;&gt;"",N(B832)&gt;=TODAY()),IF(COUNTIFS(Appointments!$D$6:$D$2005,D832,Appointments!$F$6:$F$2005,"Booked",Appointments!$B$6:$B$2005,"&gt;="&amp;TODAY(),Appointments!$M$6:$M$2005,"&lt;"&amp;M832)=0,1,0),0)</f>
        <v/>
      </c>
    </row>
    <row r="833">
      <c r="A833" s="1" t="n"/>
      <c r="B833" s="30" t="n">
        <v>46224</v>
      </c>
      <c r="C833" s="31" t="n">
        <v>0.5798611111111112</v>
      </c>
      <c r="D833" s="32" t="inlineStr">
        <is>
          <t>Olivia Green</t>
        </is>
      </c>
      <c r="E833" s="32" t="inlineStr">
        <is>
          <t>Women's haircut</t>
        </is>
      </c>
      <c r="F833" s="33" t="inlineStr">
        <is>
          <t>Done</t>
        </is>
      </c>
      <c r="G833" s="27">
        <f>IF(E833="","",MAX(0,IFERROR(INDEX(Services!$C$6:$C$35,MATCH(E833,Services!$B$6:$B$35,0)),0)-N(H833)))</f>
        <v/>
      </c>
      <c r="H833" s="34" t="n"/>
      <c r="I833" s="34" t="n">
        <v>55</v>
      </c>
      <c r="J833" s="33" t="inlineStr">
        <is>
          <t>Cash</t>
        </is>
      </c>
      <c r="K833" s="28">
        <f>IF(OR(B833="",F833&lt;&gt;"Done",J833="Package"),"",IF(N(G833)-N(I833)&gt;0,N(G833)-N(I833),""))</f>
        <v/>
      </c>
      <c r="L833" s="32" t="n"/>
      <c r="M833" s="1">
        <f>IF(OR(B833="",D833="",F833="Cancelled"),"",B833+N(C833)+ROW()/10000000)</f>
        <v/>
      </c>
      <c r="N833">
        <f>IF(AND(F833="Done",M833&lt;&gt;""),IF(COUNTIFS(Appointments!$D$6:$D$2005,D833,Appointments!$F$6:$F$2005,"Done",Appointments!$M$6:$M$2005,"&gt;"&amp;M833)=0,1,0),0)</f>
        <v/>
      </c>
      <c r="O833">
        <f>IF(AND(F833="Booked",M833&lt;&gt;"",N(B833)&gt;=TODAY()),IF(COUNTIFS(Appointments!$D$6:$D$2005,D833,Appointments!$F$6:$F$2005,"Booked",Appointments!$B$6:$B$2005,"&gt;="&amp;TODAY(),Appointments!$M$6:$M$2005,"&lt;"&amp;M833)=0,1,0),0)</f>
        <v/>
      </c>
    </row>
    <row r="834">
      <c r="A834" s="1" t="n"/>
      <c r="B834" s="30" t="n">
        <v>46224</v>
      </c>
      <c r="C834" s="31" t="n">
        <v>0.6284722222222222</v>
      </c>
      <c r="D834" s="32" t="inlineStr">
        <is>
          <t>Sara Cox</t>
        </is>
      </c>
      <c r="E834" s="32" t="inlineStr">
        <is>
          <t>Colour</t>
        </is>
      </c>
      <c r="F834" s="33" t="inlineStr">
        <is>
          <t>Done</t>
        </is>
      </c>
      <c r="G834" s="27">
        <f>IF(E834="","",MAX(0,IFERROR(INDEX(Services!$C$6:$C$35,MATCH(E834,Services!$B$6:$B$35,0)),0)-N(H834)))</f>
        <v/>
      </c>
      <c r="H834" s="34" t="n"/>
      <c r="I834" s="34" t="n">
        <v>95</v>
      </c>
      <c r="J834" s="33" t="inlineStr">
        <is>
          <t>Cash</t>
        </is>
      </c>
      <c r="K834" s="28">
        <f>IF(OR(B834="",F834&lt;&gt;"Done",J834="Package"),"",IF(N(G834)-N(I834)&gt;0,N(G834)-N(I834),""))</f>
        <v/>
      </c>
      <c r="L834" s="32" t="n"/>
      <c r="M834" s="1">
        <f>IF(OR(B834="",D834="",F834="Cancelled"),"",B834+N(C834)+ROW()/10000000)</f>
        <v/>
      </c>
      <c r="N834">
        <f>IF(AND(F834="Done",M834&lt;&gt;""),IF(COUNTIFS(Appointments!$D$6:$D$2005,D834,Appointments!$F$6:$F$2005,"Done",Appointments!$M$6:$M$2005,"&gt;"&amp;M834)=0,1,0),0)</f>
        <v/>
      </c>
      <c r="O834">
        <f>IF(AND(F834="Booked",M834&lt;&gt;"",N(B834)&gt;=TODAY()),IF(COUNTIFS(Appointments!$D$6:$D$2005,D834,Appointments!$F$6:$F$2005,"Booked",Appointments!$B$6:$B$2005,"&gt;="&amp;TODAY(),Appointments!$M$6:$M$2005,"&lt;"&amp;M834)=0,1,0),0)</f>
        <v/>
      </c>
    </row>
    <row r="835">
      <c r="A835" s="1" t="n"/>
      <c r="B835" s="30" t="n">
        <v>46224</v>
      </c>
      <c r="C835" s="31" t="n">
        <v>0.71875</v>
      </c>
      <c r="D835" s="32" t="inlineStr">
        <is>
          <t>Sophie Stone</t>
        </is>
      </c>
      <c r="E835" s="32" t="inlineStr">
        <is>
          <t>Women's haircut</t>
        </is>
      </c>
      <c r="F835" s="33" t="inlineStr">
        <is>
          <t>Done</t>
        </is>
      </c>
      <c r="G835" s="27">
        <f>IF(E835="","",MAX(0,IFERROR(INDEX(Services!$C$6:$C$35,MATCH(E835,Services!$B$6:$B$35,0)),0)-N(H835)))</f>
        <v/>
      </c>
      <c r="H835" s="34" t="n"/>
      <c r="I835" s="34" t="n">
        <v>55</v>
      </c>
      <c r="J835" s="33" t="inlineStr">
        <is>
          <t>Card</t>
        </is>
      </c>
      <c r="K835" s="28">
        <f>IF(OR(B835="",F835&lt;&gt;"Done",J835="Package"),"",IF(N(G835)-N(I835)&gt;0,N(G835)-N(I835),""))</f>
        <v/>
      </c>
      <c r="L835" s="32" t="n"/>
      <c r="M835" s="1">
        <f>IF(OR(B835="",D835="",F835="Cancelled"),"",B835+N(C835)+ROW()/10000000)</f>
        <v/>
      </c>
      <c r="N835">
        <f>IF(AND(F835="Done",M835&lt;&gt;""),IF(COUNTIFS(Appointments!$D$6:$D$2005,D835,Appointments!$F$6:$F$2005,"Done",Appointments!$M$6:$M$2005,"&gt;"&amp;M835)=0,1,0),0)</f>
        <v/>
      </c>
      <c r="O835">
        <f>IF(AND(F835="Booked",M835&lt;&gt;"",N(B835)&gt;=TODAY()),IF(COUNTIFS(Appointments!$D$6:$D$2005,D835,Appointments!$F$6:$F$2005,"Booked",Appointments!$B$6:$B$2005,"&gt;="&amp;TODAY(),Appointments!$M$6:$M$2005,"&lt;"&amp;M835)=0,1,0),0)</f>
        <v/>
      </c>
    </row>
    <row r="836">
      <c r="A836" s="1" t="n"/>
      <c r="B836" s="30" t="n">
        <v>46225</v>
      </c>
      <c r="C836" s="31" t="n">
        <v>0.375</v>
      </c>
      <c r="D836" s="32" t="inlineStr">
        <is>
          <t>Chris Cook</t>
        </is>
      </c>
      <c r="E836" s="32" t="inlineStr">
        <is>
          <t>Men's haircut</t>
        </is>
      </c>
      <c r="F836" s="33" t="inlineStr">
        <is>
          <t>Done</t>
        </is>
      </c>
      <c r="G836" s="27">
        <f>IF(E836="","",MAX(0,IFERROR(INDEX(Services!$C$6:$C$35,MATCH(E836,Services!$B$6:$B$35,0)),0)-N(H836)))</f>
        <v/>
      </c>
      <c r="H836" s="34" t="n"/>
      <c r="I836" s="34" t="n">
        <v>30</v>
      </c>
      <c r="J836" s="33" t="inlineStr">
        <is>
          <t>Card</t>
        </is>
      </c>
      <c r="K836" s="28">
        <f>IF(OR(B836="",F836&lt;&gt;"Done",J836="Package"),"",IF(N(G836)-N(I836)&gt;0,N(G836)-N(I836),""))</f>
        <v/>
      </c>
      <c r="L836" s="32" t="n"/>
      <c r="M836" s="1">
        <f>IF(OR(B836="",D836="",F836="Cancelled"),"",B836+N(C836)+ROW()/10000000)</f>
        <v/>
      </c>
      <c r="N836">
        <f>IF(AND(F836="Done",M836&lt;&gt;""),IF(COUNTIFS(Appointments!$D$6:$D$2005,D836,Appointments!$F$6:$F$2005,"Done",Appointments!$M$6:$M$2005,"&gt;"&amp;M836)=0,1,0),0)</f>
        <v/>
      </c>
      <c r="O836">
        <f>IF(AND(F836="Booked",M836&lt;&gt;"",N(B836)&gt;=TODAY()),IF(COUNTIFS(Appointments!$D$6:$D$2005,D836,Appointments!$F$6:$F$2005,"Booked",Appointments!$B$6:$B$2005,"&gt;="&amp;TODAY(),Appointments!$M$6:$M$2005,"&lt;"&amp;M836)=0,1,0),0)</f>
        <v/>
      </c>
    </row>
    <row r="837">
      <c r="A837" s="1" t="n"/>
      <c r="B837" s="30" t="n">
        <v>46225</v>
      </c>
      <c r="C837" s="31" t="n">
        <v>0.4027777777777778</v>
      </c>
      <c r="D837" s="32" t="inlineStr">
        <is>
          <t>Eli James</t>
        </is>
      </c>
      <c r="E837" s="32" t="inlineStr">
        <is>
          <t>Men's haircut</t>
        </is>
      </c>
      <c r="F837" s="33" t="inlineStr">
        <is>
          <t>Done</t>
        </is>
      </c>
      <c r="G837" s="27">
        <f>IF(E837="","",MAX(0,IFERROR(INDEX(Services!$C$6:$C$35,MATCH(E837,Services!$B$6:$B$35,0)),0)-N(H837)))</f>
        <v/>
      </c>
      <c r="H837" s="34" t="n"/>
      <c r="I837" s="34" t="n">
        <v>30</v>
      </c>
      <c r="J837" s="33" t="inlineStr">
        <is>
          <t>Card</t>
        </is>
      </c>
      <c r="K837" s="28">
        <f>IF(OR(B837="",F837&lt;&gt;"Done",J837="Package"),"",IF(N(G837)-N(I837)&gt;0,N(G837)-N(I837),""))</f>
        <v/>
      </c>
      <c r="L837" s="32" t="n"/>
      <c r="M837" s="1">
        <f>IF(OR(B837="",D837="",F837="Cancelled"),"",B837+N(C837)+ROW()/10000000)</f>
        <v/>
      </c>
      <c r="N837">
        <f>IF(AND(F837="Done",M837&lt;&gt;""),IF(COUNTIFS(Appointments!$D$6:$D$2005,D837,Appointments!$F$6:$F$2005,"Done",Appointments!$M$6:$M$2005,"&gt;"&amp;M837)=0,1,0),0)</f>
        <v/>
      </c>
      <c r="O837">
        <f>IF(AND(F837="Booked",M837&lt;&gt;"",N(B837)&gt;=TODAY()),IF(COUNTIFS(Appointments!$D$6:$D$2005,D837,Appointments!$F$6:$F$2005,"Booked",Appointments!$B$6:$B$2005,"&gt;="&amp;TODAY(),Appointments!$M$6:$M$2005,"&lt;"&amp;M837)=0,1,0),0)</f>
        <v/>
      </c>
    </row>
    <row r="838">
      <c r="A838" s="1" t="n"/>
      <c r="B838" s="30" t="n">
        <v>46225</v>
      </c>
      <c r="C838" s="31" t="n">
        <v>0.4305555555555556</v>
      </c>
      <c r="D838" s="32" t="inlineStr">
        <is>
          <t>Eva Mills</t>
        </is>
      </c>
      <c r="E838" s="32" t="inlineStr">
        <is>
          <t>Blow dry</t>
        </is>
      </c>
      <c r="F838" s="33" t="inlineStr">
        <is>
          <t>Done</t>
        </is>
      </c>
      <c r="G838" s="27">
        <f>IF(E838="","",MAX(0,IFERROR(INDEX(Services!$C$6:$C$35,MATCH(E838,Services!$B$6:$B$35,0)),0)-N(H838)))</f>
        <v/>
      </c>
      <c r="H838" s="34" t="n"/>
      <c r="I838" s="34" t="n">
        <v>35</v>
      </c>
      <c r="J838" s="33" t="inlineStr">
        <is>
          <t>Card</t>
        </is>
      </c>
      <c r="K838" s="28">
        <f>IF(OR(B838="",F838&lt;&gt;"Done",J838="Package"),"",IF(N(G838)-N(I838)&gt;0,N(G838)-N(I838),""))</f>
        <v/>
      </c>
      <c r="L838" s="32" t="n"/>
      <c r="M838" s="1">
        <f>IF(OR(B838="",D838="",F838="Cancelled"),"",B838+N(C838)+ROW()/10000000)</f>
        <v/>
      </c>
      <c r="N838">
        <f>IF(AND(F838="Done",M838&lt;&gt;""),IF(COUNTIFS(Appointments!$D$6:$D$2005,D838,Appointments!$F$6:$F$2005,"Done",Appointments!$M$6:$M$2005,"&gt;"&amp;M838)=0,1,0),0)</f>
        <v/>
      </c>
      <c r="O838">
        <f>IF(AND(F838="Booked",M838&lt;&gt;"",N(B838)&gt;=TODAY()),IF(COUNTIFS(Appointments!$D$6:$D$2005,D838,Appointments!$F$6:$F$2005,"Booked",Appointments!$B$6:$B$2005,"&gt;="&amp;TODAY(),Appointments!$M$6:$M$2005,"&lt;"&amp;M838)=0,1,0),0)</f>
        <v/>
      </c>
    </row>
    <row r="839">
      <c r="A839" s="1" t="n"/>
      <c r="B839" s="30" t="n">
        <v>46225</v>
      </c>
      <c r="C839" s="31" t="n">
        <v>0.46875</v>
      </c>
      <c r="D839" s="32" t="inlineStr">
        <is>
          <t>Harry Owens</t>
        </is>
      </c>
      <c r="E839" s="32" t="inlineStr">
        <is>
          <t>Men's haircut</t>
        </is>
      </c>
      <c r="F839" s="33" t="inlineStr">
        <is>
          <t>Done</t>
        </is>
      </c>
      <c r="G839" s="27">
        <f>IF(E839="","",MAX(0,IFERROR(INDEX(Services!$C$6:$C$35,MATCH(E839,Services!$B$6:$B$35,0)),0)-N(H839)))</f>
        <v/>
      </c>
      <c r="H839" s="34" t="n">
        <v>10</v>
      </c>
      <c r="I839" s="34" t="n">
        <v>20</v>
      </c>
      <c r="J839" s="33" t="inlineStr">
        <is>
          <t>Card</t>
        </is>
      </c>
      <c r="K839" s="28">
        <f>IF(OR(B839="",F839&lt;&gt;"Done",J839="Package"),"",IF(N(G839)-N(I839)&gt;0,N(G839)-N(I839),""))</f>
        <v/>
      </c>
      <c r="L839" s="32" t="inlineStr">
        <is>
          <t>Friends and family</t>
        </is>
      </c>
      <c r="M839" s="1">
        <f>IF(OR(B839="",D839="",F839="Cancelled"),"",B839+N(C839)+ROW()/10000000)</f>
        <v/>
      </c>
      <c r="N839">
        <f>IF(AND(F839="Done",M839&lt;&gt;""),IF(COUNTIFS(Appointments!$D$6:$D$2005,D839,Appointments!$F$6:$F$2005,"Done",Appointments!$M$6:$M$2005,"&gt;"&amp;M839)=0,1,0),0)</f>
        <v/>
      </c>
      <c r="O839">
        <f>IF(AND(F839="Booked",M839&lt;&gt;"",N(B839)&gt;=TODAY()),IF(COUNTIFS(Appointments!$D$6:$D$2005,D839,Appointments!$F$6:$F$2005,"Booked",Appointments!$B$6:$B$2005,"&gt;="&amp;TODAY(),Appointments!$M$6:$M$2005,"&lt;"&amp;M839)=0,1,0),0)</f>
        <v/>
      </c>
    </row>
    <row r="840">
      <c r="A840" s="1" t="n"/>
      <c r="B840" s="30" t="n">
        <v>46225</v>
      </c>
      <c r="C840" s="31" t="n">
        <v>0.4965277777777778</v>
      </c>
      <c r="D840" s="32" t="inlineStr">
        <is>
          <t>Jack Wilson</t>
        </is>
      </c>
      <c r="E840" s="32" t="inlineStr">
        <is>
          <t>Men's haircut</t>
        </is>
      </c>
      <c r="F840" s="33" t="inlineStr">
        <is>
          <t>Done</t>
        </is>
      </c>
      <c r="G840" s="27">
        <f>IF(E840="","",MAX(0,IFERROR(INDEX(Services!$C$6:$C$35,MATCH(E840,Services!$B$6:$B$35,0)),0)-N(H840)))</f>
        <v/>
      </c>
      <c r="H840" s="34" t="n"/>
      <c r="I840" s="34" t="n">
        <v>30</v>
      </c>
      <c r="J840" s="33" t="inlineStr">
        <is>
          <t>Card</t>
        </is>
      </c>
      <c r="K840" s="28">
        <f>IF(OR(B840="",F840&lt;&gt;"Done",J840="Package"),"",IF(N(G840)-N(I840)&gt;0,N(G840)-N(I840),""))</f>
        <v/>
      </c>
      <c r="L840" s="32" t="n"/>
      <c r="M840" s="1">
        <f>IF(OR(B840="",D840="",F840="Cancelled"),"",B840+N(C840)+ROW()/10000000)</f>
        <v/>
      </c>
      <c r="N840">
        <f>IF(AND(F840="Done",M840&lt;&gt;""),IF(COUNTIFS(Appointments!$D$6:$D$2005,D840,Appointments!$F$6:$F$2005,"Done",Appointments!$M$6:$M$2005,"&gt;"&amp;M840)=0,1,0),0)</f>
        <v/>
      </c>
      <c r="O840">
        <f>IF(AND(F840="Booked",M840&lt;&gt;"",N(B840)&gt;=TODAY()),IF(COUNTIFS(Appointments!$D$6:$D$2005,D840,Appointments!$F$6:$F$2005,"Booked",Appointments!$B$6:$B$2005,"&gt;="&amp;TODAY(),Appointments!$M$6:$M$2005,"&lt;"&amp;M840)=0,1,0),0)</f>
        <v/>
      </c>
    </row>
    <row r="841">
      <c r="A841" s="1" t="n"/>
      <c r="B841" s="30" t="n">
        <v>46225</v>
      </c>
      <c r="C841" s="31" t="n">
        <v>0.5243055555555556</v>
      </c>
      <c r="D841" s="32" t="inlineStr">
        <is>
          <t>Pete Young</t>
        </is>
      </c>
      <c r="E841" s="32" t="inlineStr">
        <is>
          <t>Men's haircut</t>
        </is>
      </c>
      <c r="F841" s="33" t="inlineStr">
        <is>
          <t>Done</t>
        </is>
      </c>
      <c r="G841" s="27">
        <f>IF(E841="","",MAX(0,IFERROR(INDEX(Services!$C$6:$C$35,MATCH(E841,Services!$B$6:$B$35,0)),0)-N(H841)))</f>
        <v/>
      </c>
      <c r="H841" s="34" t="n"/>
      <c r="I841" s="34" t="n">
        <v>30</v>
      </c>
      <c r="J841" s="33" t="inlineStr">
        <is>
          <t>Card</t>
        </is>
      </c>
      <c r="K841" s="28">
        <f>IF(OR(B841="",F841&lt;&gt;"Done",J841="Package"),"",IF(N(G841)-N(I841)&gt;0,N(G841)-N(I841),""))</f>
        <v/>
      </c>
      <c r="L841" s="32" t="n"/>
      <c r="M841" s="1">
        <f>IF(OR(B841="",D841="",F841="Cancelled"),"",B841+N(C841)+ROW()/10000000)</f>
        <v/>
      </c>
      <c r="N841">
        <f>IF(AND(F841="Done",M841&lt;&gt;""),IF(COUNTIFS(Appointments!$D$6:$D$2005,D841,Appointments!$F$6:$F$2005,"Done",Appointments!$M$6:$M$2005,"&gt;"&amp;M841)=0,1,0),0)</f>
        <v/>
      </c>
      <c r="O841">
        <f>IF(AND(F841="Booked",M841&lt;&gt;"",N(B841)&gt;=TODAY()),IF(COUNTIFS(Appointments!$D$6:$D$2005,D841,Appointments!$F$6:$F$2005,"Booked",Appointments!$B$6:$B$2005,"&gt;="&amp;TODAY(),Appointments!$M$6:$M$2005,"&lt;"&amp;M841)=0,1,0),0)</f>
        <v/>
      </c>
    </row>
    <row r="842">
      <c r="A842" s="1" t="n"/>
      <c r="B842" s="30" t="n">
        <v>46225</v>
      </c>
      <c r="C842" s="31" t="n">
        <v>0.5520833333333334</v>
      </c>
      <c r="D842" s="32" t="inlineStr">
        <is>
          <t>Ruby Webb</t>
        </is>
      </c>
      <c r="E842" s="32" t="inlineStr">
        <is>
          <t>Women's haircut</t>
        </is>
      </c>
      <c r="F842" s="33" t="inlineStr">
        <is>
          <t>Done</t>
        </is>
      </c>
      <c r="G842" s="27">
        <f>IF(E842="","",MAX(0,IFERROR(INDEX(Services!$C$6:$C$35,MATCH(E842,Services!$B$6:$B$35,0)),0)-N(H842)))</f>
        <v/>
      </c>
      <c r="H842" s="34" t="n"/>
      <c r="I842" s="34" t="n">
        <v>55</v>
      </c>
      <c r="J842" s="33" t="inlineStr">
        <is>
          <t>Cash</t>
        </is>
      </c>
      <c r="K842" s="28">
        <f>IF(OR(B842="",F842&lt;&gt;"Done",J842="Package"),"",IF(N(G842)-N(I842)&gt;0,N(G842)-N(I842),""))</f>
        <v/>
      </c>
      <c r="L842" s="32" t="n"/>
      <c r="M842" s="1">
        <f>IF(OR(B842="",D842="",F842="Cancelled"),"",B842+N(C842)+ROW()/10000000)</f>
        <v/>
      </c>
      <c r="N842">
        <f>IF(AND(F842="Done",M842&lt;&gt;""),IF(COUNTIFS(Appointments!$D$6:$D$2005,D842,Appointments!$F$6:$F$2005,"Done",Appointments!$M$6:$M$2005,"&gt;"&amp;M842)=0,1,0),0)</f>
        <v/>
      </c>
      <c r="O842">
        <f>IF(AND(F842="Booked",M842&lt;&gt;"",N(B842)&gt;=TODAY()),IF(COUNTIFS(Appointments!$D$6:$D$2005,D842,Appointments!$F$6:$F$2005,"Booked",Appointments!$B$6:$B$2005,"&gt;="&amp;TODAY(),Appointments!$M$6:$M$2005,"&lt;"&amp;M842)=0,1,0),0)</f>
        <v/>
      </c>
    </row>
    <row r="843">
      <c r="A843" s="1" t="n"/>
      <c r="B843" s="30" t="n">
        <v>46226</v>
      </c>
      <c r="C843" s="31" t="n">
        <v>0.375</v>
      </c>
      <c r="D843" s="32" t="inlineStr">
        <is>
          <t>Clara Morgan</t>
        </is>
      </c>
      <c r="E843" s="32" t="inlineStr">
        <is>
          <t>Colour</t>
        </is>
      </c>
      <c r="F843" s="33" t="inlineStr">
        <is>
          <t>Done</t>
        </is>
      </c>
      <c r="G843" s="27">
        <f>IF(E843="","",MAX(0,IFERROR(INDEX(Services!$C$6:$C$35,MATCH(E843,Services!$B$6:$B$35,0)),0)-N(H843)))</f>
        <v/>
      </c>
      <c r="H843" s="34" t="n"/>
      <c r="I843" s="34" t="n">
        <v>95</v>
      </c>
      <c r="J843" s="33" t="inlineStr">
        <is>
          <t>Cash</t>
        </is>
      </c>
      <c r="K843" s="28">
        <f>IF(OR(B843="",F843&lt;&gt;"Done",J843="Package"),"",IF(N(G843)-N(I843)&gt;0,N(G843)-N(I843),""))</f>
        <v/>
      </c>
      <c r="L843" s="32" t="n"/>
      <c r="M843" s="1">
        <f>IF(OR(B843="",D843="",F843="Cancelled"),"",B843+N(C843)+ROW()/10000000)</f>
        <v/>
      </c>
      <c r="N843">
        <f>IF(AND(F843="Done",M843&lt;&gt;""),IF(COUNTIFS(Appointments!$D$6:$D$2005,D843,Appointments!$F$6:$F$2005,"Done",Appointments!$M$6:$M$2005,"&gt;"&amp;M843)=0,1,0),0)</f>
        <v/>
      </c>
      <c r="O843">
        <f>IF(AND(F843="Booked",M843&lt;&gt;"",N(B843)&gt;=TODAY()),IF(COUNTIFS(Appointments!$D$6:$D$2005,D843,Appointments!$F$6:$F$2005,"Booked",Appointments!$B$6:$B$2005,"&gt;="&amp;TODAY(),Appointments!$M$6:$M$2005,"&lt;"&amp;M843)=0,1,0),0)</f>
        <v/>
      </c>
    </row>
    <row r="844">
      <c r="A844" s="1" t="n"/>
      <c r="B844" s="30" t="n">
        <v>46226</v>
      </c>
      <c r="C844" s="31" t="n">
        <v>0.4652777777777778</v>
      </c>
      <c r="D844" s="32" t="inlineStr">
        <is>
          <t>Eli Cole</t>
        </is>
      </c>
      <c r="E844" s="32" t="inlineStr">
        <is>
          <t>Men's haircut</t>
        </is>
      </c>
      <c r="F844" s="33" t="inlineStr">
        <is>
          <t>Done</t>
        </is>
      </c>
      <c r="G844" s="27">
        <f>IF(E844="","",MAX(0,IFERROR(INDEX(Services!$C$6:$C$35,MATCH(E844,Services!$B$6:$B$35,0)),0)-N(H844)))</f>
        <v/>
      </c>
      <c r="H844" s="34" t="n"/>
      <c r="I844" s="34" t="n">
        <v>30</v>
      </c>
      <c r="J844" s="33" t="inlineStr">
        <is>
          <t>Card</t>
        </is>
      </c>
      <c r="K844" s="28">
        <f>IF(OR(B844="",F844&lt;&gt;"Done",J844="Package"),"",IF(N(G844)-N(I844)&gt;0,N(G844)-N(I844),""))</f>
        <v/>
      </c>
      <c r="L844" s="32" t="n"/>
      <c r="M844" s="1">
        <f>IF(OR(B844="",D844="",F844="Cancelled"),"",B844+N(C844)+ROW()/10000000)</f>
        <v/>
      </c>
      <c r="N844">
        <f>IF(AND(F844="Done",M844&lt;&gt;""),IF(COUNTIFS(Appointments!$D$6:$D$2005,D844,Appointments!$F$6:$F$2005,"Done",Appointments!$M$6:$M$2005,"&gt;"&amp;M844)=0,1,0),0)</f>
        <v/>
      </c>
      <c r="O844">
        <f>IF(AND(F844="Booked",M844&lt;&gt;"",N(B844)&gt;=TODAY()),IF(COUNTIFS(Appointments!$D$6:$D$2005,D844,Appointments!$F$6:$F$2005,"Booked",Appointments!$B$6:$B$2005,"&gt;="&amp;TODAY(),Appointments!$M$6:$M$2005,"&lt;"&amp;M844)=0,1,0),0)</f>
        <v/>
      </c>
    </row>
    <row r="845">
      <c r="A845" s="1" t="n"/>
      <c r="B845" s="30" t="n">
        <v>46226</v>
      </c>
      <c r="C845" s="31" t="n">
        <v>0.4930555555555556</v>
      </c>
      <c r="D845" s="32" t="inlineStr">
        <is>
          <t>Ella Morgan</t>
        </is>
      </c>
      <c r="E845" s="32" t="inlineStr">
        <is>
          <t>Colour</t>
        </is>
      </c>
      <c r="F845" s="33" t="inlineStr">
        <is>
          <t>Done</t>
        </is>
      </c>
      <c r="G845" s="27">
        <f>IF(E845="","",MAX(0,IFERROR(INDEX(Services!$C$6:$C$35,MATCH(E845,Services!$B$6:$B$35,0)),0)-N(H845)))</f>
        <v/>
      </c>
      <c r="H845" s="34" t="n"/>
      <c r="I845" s="34" t="n">
        <v>95</v>
      </c>
      <c r="J845" s="33" t="inlineStr">
        <is>
          <t>Card</t>
        </is>
      </c>
      <c r="K845" s="28">
        <f>IF(OR(B845="",F845&lt;&gt;"Done",J845="Package"),"",IF(N(G845)-N(I845)&gt;0,N(G845)-N(I845),""))</f>
        <v/>
      </c>
      <c r="L845" s="32" t="n"/>
      <c r="M845" s="1">
        <f>IF(OR(B845="",D845="",F845="Cancelled"),"",B845+N(C845)+ROW()/10000000)</f>
        <v/>
      </c>
      <c r="N845">
        <f>IF(AND(F845="Done",M845&lt;&gt;""),IF(COUNTIFS(Appointments!$D$6:$D$2005,D845,Appointments!$F$6:$F$2005,"Done",Appointments!$M$6:$M$2005,"&gt;"&amp;M845)=0,1,0),0)</f>
        <v/>
      </c>
      <c r="O845">
        <f>IF(AND(F845="Booked",M845&lt;&gt;"",N(B845)&gt;=TODAY()),IF(COUNTIFS(Appointments!$D$6:$D$2005,D845,Appointments!$F$6:$F$2005,"Booked",Appointments!$B$6:$B$2005,"&gt;="&amp;TODAY(),Appointments!$M$6:$M$2005,"&lt;"&amp;M845)=0,1,0),0)</f>
        <v/>
      </c>
    </row>
    <row r="846">
      <c r="A846" s="1" t="n"/>
      <c r="B846" s="30" t="n">
        <v>46226</v>
      </c>
      <c r="C846" s="31" t="n">
        <v>0.5833333333333334</v>
      </c>
      <c r="D846" s="32" t="inlineStr">
        <is>
          <t>George Mason</t>
        </is>
      </c>
      <c r="E846" s="32" t="inlineStr">
        <is>
          <t>Men's haircut</t>
        </is>
      </c>
      <c r="F846" s="33" t="inlineStr">
        <is>
          <t>Done</t>
        </is>
      </c>
      <c r="G846" s="27">
        <f>IF(E846="","",MAX(0,IFERROR(INDEX(Services!$C$6:$C$35,MATCH(E846,Services!$B$6:$B$35,0)),0)-N(H846)))</f>
        <v/>
      </c>
      <c r="H846" s="34" t="n"/>
      <c r="I846" s="34" t="n">
        <v>30</v>
      </c>
      <c r="J846" s="33" t="inlineStr">
        <is>
          <t>Cash</t>
        </is>
      </c>
      <c r="K846" s="28">
        <f>IF(OR(B846="",F846&lt;&gt;"Done",J846="Package"),"",IF(N(G846)-N(I846)&gt;0,N(G846)-N(I846),""))</f>
        <v/>
      </c>
      <c r="L846" s="32" t="n"/>
      <c r="M846" s="1">
        <f>IF(OR(B846="",D846="",F846="Cancelled"),"",B846+N(C846)+ROW()/10000000)</f>
        <v/>
      </c>
      <c r="N846">
        <f>IF(AND(F846="Done",M846&lt;&gt;""),IF(COUNTIFS(Appointments!$D$6:$D$2005,D846,Appointments!$F$6:$F$2005,"Done",Appointments!$M$6:$M$2005,"&gt;"&amp;M846)=0,1,0),0)</f>
        <v/>
      </c>
      <c r="O846">
        <f>IF(AND(F846="Booked",M846&lt;&gt;"",N(B846)&gt;=TODAY()),IF(COUNTIFS(Appointments!$D$6:$D$2005,D846,Appointments!$F$6:$F$2005,"Booked",Appointments!$B$6:$B$2005,"&gt;="&amp;TODAY(),Appointments!$M$6:$M$2005,"&lt;"&amp;M846)=0,1,0),0)</f>
        <v/>
      </c>
    </row>
    <row r="847">
      <c r="A847" s="1" t="n"/>
      <c r="B847" s="30" t="n">
        <v>46226</v>
      </c>
      <c r="C847" s="31" t="n">
        <v>0.6111111111111112</v>
      </c>
      <c r="D847" s="32" t="inlineStr">
        <is>
          <t>Harry Hill</t>
        </is>
      </c>
      <c r="E847" s="32" t="inlineStr">
        <is>
          <t>Men's haircut</t>
        </is>
      </c>
      <c r="F847" s="33" t="inlineStr">
        <is>
          <t>Done</t>
        </is>
      </c>
      <c r="G847" s="27">
        <f>IF(E847="","",MAX(0,IFERROR(INDEX(Services!$C$6:$C$35,MATCH(E847,Services!$B$6:$B$35,0)),0)-N(H847)))</f>
        <v/>
      </c>
      <c r="H847" s="34" t="n"/>
      <c r="I847" s="34" t="n">
        <v>30</v>
      </c>
      <c r="J847" s="33" t="inlineStr">
        <is>
          <t>App</t>
        </is>
      </c>
      <c r="K847" s="28">
        <f>IF(OR(B847="",F847&lt;&gt;"Done",J847="Package"),"",IF(N(G847)-N(I847)&gt;0,N(G847)-N(I847),""))</f>
        <v/>
      </c>
      <c r="L847" s="32" t="n"/>
      <c r="M847" s="1">
        <f>IF(OR(B847="",D847="",F847="Cancelled"),"",B847+N(C847)+ROW()/10000000)</f>
        <v/>
      </c>
      <c r="N847">
        <f>IF(AND(F847="Done",M847&lt;&gt;""),IF(COUNTIFS(Appointments!$D$6:$D$2005,D847,Appointments!$F$6:$F$2005,"Done",Appointments!$M$6:$M$2005,"&gt;"&amp;M847)=0,1,0),0)</f>
        <v/>
      </c>
      <c r="O847">
        <f>IF(AND(F847="Booked",M847&lt;&gt;"",N(B847)&gt;=TODAY()),IF(COUNTIFS(Appointments!$D$6:$D$2005,D847,Appointments!$F$6:$F$2005,"Booked",Appointments!$B$6:$B$2005,"&gt;="&amp;TODAY(),Appointments!$M$6:$M$2005,"&lt;"&amp;M847)=0,1,0),0)</f>
        <v/>
      </c>
    </row>
    <row r="848">
      <c r="A848" s="1" t="n"/>
      <c r="B848" s="30" t="n">
        <v>46226</v>
      </c>
      <c r="C848" s="31" t="n">
        <v>0.6388888888888888</v>
      </c>
      <c r="D848" s="32" t="inlineStr">
        <is>
          <t>Luke Lewis</t>
        </is>
      </c>
      <c r="E848" s="32" t="inlineStr">
        <is>
          <t>Men's haircut</t>
        </is>
      </c>
      <c r="F848" s="33" t="inlineStr">
        <is>
          <t>Done</t>
        </is>
      </c>
      <c r="G848" s="27">
        <f>IF(E848="","",MAX(0,IFERROR(INDEX(Services!$C$6:$C$35,MATCH(E848,Services!$B$6:$B$35,0)),0)-N(H848)))</f>
        <v/>
      </c>
      <c r="H848" s="34" t="n"/>
      <c r="I848" s="34" t="n">
        <v>30</v>
      </c>
      <c r="J848" s="33" t="inlineStr">
        <is>
          <t>Cash</t>
        </is>
      </c>
      <c r="K848" s="28">
        <f>IF(OR(B848="",F848&lt;&gt;"Done",J848="Package"),"",IF(N(G848)-N(I848)&gt;0,N(G848)-N(I848),""))</f>
        <v/>
      </c>
      <c r="L848" s="32" t="n"/>
      <c r="M848" s="1">
        <f>IF(OR(B848="",D848="",F848="Cancelled"),"",B848+N(C848)+ROW()/10000000)</f>
        <v/>
      </c>
      <c r="N848">
        <f>IF(AND(F848="Done",M848&lt;&gt;""),IF(COUNTIFS(Appointments!$D$6:$D$2005,D848,Appointments!$F$6:$F$2005,"Done",Appointments!$M$6:$M$2005,"&gt;"&amp;M848)=0,1,0),0)</f>
        <v/>
      </c>
      <c r="O848">
        <f>IF(AND(F848="Booked",M848&lt;&gt;"",N(B848)&gt;=TODAY()),IF(COUNTIFS(Appointments!$D$6:$D$2005,D848,Appointments!$F$6:$F$2005,"Booked",Appointments!$B$6:$B$2005,"&gt;="&amp;TODAY(),Appointments!$M$6:$M$2005,"&lt;"&amp;M848)=0,1,0),0)</f>
        <v/>
      </c>
    </row>
    <row r="849">
      <c r="A849" s="1" t="n"/>
      <c r="B849" s="30" t="n">
        <v>46226</v>
      </c>
      <c r="C849" s="31" t="n">
        <v>0.6666666666666666</v>
      </c>
      <c r="D849" s="32" t="inlineStr">
        <is>
          <t>Mia Cole</t>
        </is>
      </c>
      <c r="E849" s="32" t="inlineStr">
        <is>
          <t>Women's haircut</t>
        </is>
      </c>
      <c r="F849" s="33" t="inlineStr">
        <is>
          <t>Cancelled</t>
        </is>
      </c>
      <c r="G849" s="27">
        <f>IF(E849="","",MAX(0,IFERROR(INDEX(Services!$C$6:$C$35,MATCH(E849,Services!$B$6:$B$35,0)),0)-N(H849)))</f>
        <v/>
      </c>
      <c r="H849" s="34" t="n"/>
      <c r="I849" s="34" t="n"/>
      <c r="J849" s="33" t="n"/>
      <c r="K849" s="28">
        <f>IF(OR(B849="",F849&lt;&gt;"Done",J849="Package"),"",IF(N(G849)-N(I849)&gt;0,N(G849)-N(I849),""))</f>
        <v/>
      </c>
      <c r="L849" s="32" t="n"/>
      <c r="M849" s="1">
        <f>IF(OR(B849="",D849="",F849="Cancelled"),"",B849+N(C849)+ROW()/10000000)</f>
        <v/>
      </c>
      <c r="N849">
        <f>IF(AND(F849="Done",M849&lt;&gt;""),IF(COUNTIFS(Appointments!$D$6:$D$2005,D849,Appointments!$F$6:$F$2005,"Done",Appointments!$M$6:$M$2005,"&gt;"&amp;M849)=0,1,0),0)</f>
        <v/>
      </c>
      <c r="O849">
        <f>IF(AND(F849="Booked",M849&lt;&gt;"",N(B849)&gt;=TODAY()),IF(COUNTIFS(Appointments!$D$6:$D$2005,D849,Appointments!$F$6:$F$2005,"Booked",Appointments!$B$6:$B$2005,"&gt;="&amp;TODAY(),Appointments!$M$6:$M$2005,"&lt;"&amp;M849)=0,1,0),0)</f>
        <v/>
      </c>
    </row>
    <row r="850">
      <c r="A850" s="1" t="n"/>
      <c r="B850" s="30" t="n">
        <v>46227</v>
      </c>
      <c r="C850" s="31" t="n">
        <v>0.375</v>
      </c>
      <c r="D850" s="32" t="inlineStr">
        <is>
          <t>Ava Reed</t>
        </is>
      </c>
      <c r="E850" s="32" t="inlineStr">
        <is>
          <t>Highlights</t>
        </is>
      </c>
      <c r="F850" s="33" t="inlineStr">
        <is>
          <t>Done</t>
        </is>
      </c>
      <c r="G850" s="27">
        <f>IF(E850="","",MAX(0,IFERROR(INDEX(Services!$C$6:$C$35,MATCH(E850,Services!$B$6:$B$35,0)),0)-N(H850)))</f>
        <v/>
      </c>
      <c r="H850" s="34" t="n"/>
      <c r="I850" s="34" t="n">
        <v>140</v>
      </c>
      <c r="J850" s="33" t="inlineStr">
        <is>
          <t>Card</t>
        </is>
      </c>
      <c r="K850" s="28">
        <f>IF(OR(B850="",F850&lt;&gt;"Done",J850="Package"),"",IF(N(G850)-N(I850)&gt;0,N(G850)-N(I850),""))</f>
        <v/>
      </c>
      <c r="L850" s="32" t="n"/>
      <c r="M850" s="1">
        <f>IF(OR(B850="",D850="",F850="Cancelled"),"",B850+N(C850)+ROW()/10000000)</f>
        <v/>
      </c>
      <c r="N850">
        <f>IF(AND(F850="Done",M850&lt;&gt;""),IF(COUNTIFS(Appointments!$D$6:$D$2005,D850,Appointments!$F$6:$F$2005,"Done",Appointments!$M$6:$M$2005,"&gt;"&amp;M850)=0,1,0),0)</f>
        <v/>
      </c>
      <c r="O850">
        <f>IF(AND(F850="Booked",M850&lt;&gt;"",N(B850)&gt;=TODAY()),IF(COUNTIFS(Appointments!$D$6:$D$2005,D850,Appointments!$F$6:$F$2005,"Booked",Appointments!$B$6:$B$2005,"&gt;="&amp;TODAY(),Appointments!$M$6:$M$2005,"&lt;"&amp;M850)=0,1,0),0)</f>
        <v/>
      </c>
    </row>
    <row r="851">
      <c r="A851" s="1" t="n"/>
      <c r="B851" s="30" t="n">
        <v>46227</v>
      </c>
      <c r="C851" s="31" t="n">
        <v>0.4861111111111111</v>
      </c>
      <c r="D851" s="32" t="inlineStr">
        <is>
          <t>Dina West</t>
        </is>
      </c>
      <c r="E851" s="32" t="inlineStr">
        <is>
          <t>Women's haircut</t>
        </is>
      </c>
      <c r="F851" s="33" t="inlineStr">
        <is>
          <t>Done</t>
        </is>
      </c>
      <c r="G851" s="27">
        <f>IF(E851="","",MAX(0,IFERROR(INDEX(Services!$C$6:$C$35,MATCH(E851,Services!$B$6:$B$35,0)),0)-N(H851)))</f>
        <v/>
      </c>
      <c r="H851" s="34" t="n"/>
      <c r="I851" s="34" t="n">
        <v>55</v>
      </c>
      <c r="J851" s="33" t="inlineStr">
        <is>
          <t>Card</t>
        </is>
      </c>
      <c r="K851" s="28">
        <f>IF(OR(B851="",F851&lt;&gt;"Done",J851="Package"),"",IF(N(G851)-N(I851)&gt;0,N(G851)-N(I851),""))</f>
        <v/>
      </c>
      <c r="L851" s="32" t="n"/>
      <c r="M851" s="1">
        <f>IF(OR(B851="",D851="",F851="Cancelled"),"",B851+N(C851)+ROW()/10000000)</f>
        <v/>
      </c>
      <c r="N851">
        <f>IF(AND(F851="Done",M851&lt;&gt;""),IF(COUNTIFS(Appointments!$D$6:$D$2005,D851,Appointments!$F$6:$F$2005,"Done",Appointments!$M$6:$M$2005,"&gt;"&amp;M851)=0,1,0),0)</f>
        <v/>
      </c>
      <c r="O851">
        <f>IF(AND(F851="Booked",M851&lt;&gt;"",N(B851)&gt;=TODAY()),IF(COUNTIFS(Appointments!$D$6:$D$2005,D851,Appointments!$F$6:$F$2005,"Booked",Appointments!$B$6:$B$2005,"&gt;="&amp;TODAY(),Appointments!$M$6:$M$2005,"&lt;"&amp;M851)=0,1,0),0)</f>
        <v/>
      </c>
    </row>
    <row r="852">
      <c r="A852" s="1" t="n"/>
      <c r="B852" s="30" t="n">
        <v>46227</v>
      </c>
      <c r="C852" s="31" t="n">
        <v>0.5347222222222222</v>
      </c>
      <c r="D852" s="32" t="inlineStr">
        <is>
          <t>Finn Cook</t>
        </is>
      </c>
      <c r="E852" s="32" t="inlineStr">
        <is>
          <t>Men's haircut</t>
        </is>
      </c>
      <c r="F852" s="33" t="inlineStr">
        <is>
          <t>Cancelled</t>
        </is>
      </c>
      <c r="G852" s="27">
        <f>IF(E852="","",MAX(0,IFERROR(INDEX(Services!$C$6:$C$35,MATCH(E852,Services!$B$6:$B$35,0)),0)-N(H852)))</f>
        <v/>
      </c>
      <c r="H852" s="34" t="n"/>
      <c r="I852" s="34" t="n"/>
      <c r="J852" s="33" t="n"/>
      <c r="K852" s="28">
        <f>IF(OR(B852="",F852&lt;&gt;"Done",J852="Package"),"",IF(N(G852)-N(I852)&gt;0,N(G852)-N(I852),""))</f>
        <v/>
      </c>
      <c r="L852" s="32" t="n"/>
      <c r="M852" s="1">
        <f>IF(OR(B852="",D852="",F852="Cancelled"),"",B852+N(C852)+ROW()/10000000)</f>
        <v/>
      </c>
      <c r="N852">
        <f>IF(AND(F852="Done",M852&lt;&gt;""),IF(COUNTIFS(Appointments!$D$6:$D$2005,D852,Appointments!$F$6:$F$2005,"Done",Appointments!$M$6:$M$2005,"&gt;"&amp;M852)=0,1,0),0)</f>
        <v/>
      </c>
      <c r="O852">
        <f>IF(AND(F852="Booked",M852&lt;&gt;"",N(B852)&gt;=TODAY()),IF(COUNTIFS(Appointments!$D$6:$D$2005,D852,Appointments!$F$6:$F$2005,"Booked",Appointments!$B$6:$B$2005,"&gt;="&amp;TODAY(),Appointments!$M$6:$M$2005,"&lt;"&amp;M852)=0,1,0),0)</f>
        <v/>
      </c>
    </row>
    <row r="853">
      <c r="A853" s="1" t="n"/>
      <c r="B853" s="30" t="n">
        <v>46227</v>
      </c>
      <c r="C853" s="31" t="n">
        <v>0.5625</v>
      </c>
      <c r="D853" s="32" t="inlineStr">
        <is>
          <t>Helen Mason</t>
        </is>
      </c>
      <c r="E853" s="32" t="inlineStr">
        <is>
          <t>Blow dry</t>
        </is>
      </c>
      <c r="F853" s="33" t="inlineStr">
        <is>
          <t>Done</t>
        </is>
      </c>
      <c r="G853" s="27">
        <f>IF(E853="","",MAX(0,IFERROR(INDEX(Services!$C$6:$C$35,MATCH(E853,Services!$B$6:$B$35,0)),0)-N(H853)))</f>
        <v/>
      </c>
      <c r="H853" s="34" t="n"/>
      <c r="I853" s="34" t="n">
        <v>35</v>
      </c>
      <c r="J853" s="33" t="inlineStr">
        <is>
          <t>Cash</t>
        </is>
      </c>
      <c r="K853" s="28">
        <f>IF(OR(B853="",F853&lt;&gt;"Done",J853="Package"),"",IF(N(G853)-N(I853)&gt;0,N(G853)-N(I853),""))</f>
        <v/>
      </c>
      <c r="L853" s="32" t="n"/>
      <c r="M853" s="1">
        <f>IF(OR(B853="",D853="",F853="Cancelled"),"",B853+N(C853)+ROW()/10000000)</f>
        <v/>
      </c>
      <c r="N853">
        <f>IF(AND(F853="Done",M853&lt;&gt;""),IF(COUNTIFS(Appointments!$D$6:$D$2005,D853,Appointments!$F$6:$F$2005,"Done",Appointments!$M$6:$M$2005,"&gt;"&amp;M853)=0,1,0),0)</f>
        <v/>
      </c>
      <c r="O853">
        <f>IF(AND(F853="Booked",M853&lt;&gt;"",N(B853)&gt;=TODAY()),IF(COUNTIFS(Appointments!$D$6:$D$2005,D853,Appointments!$F$6:$F$2005,"Booked",Appointments!$B$6:$B$2005,"&gt;="&amp;TODAY(),Appointments!$M$6:$M$2005,"&lt;"&amp;M853)=0,1,0),0)</f>
        <v/>
      </c>
    </row>
    <row r="854">
      <c r="A854" s="1" t="n"/>
      <c r="B854" s="30" t="n">
        <v>46227</v>
      </c>
      <c r="C854" s="31" t="n">
        <v>0.6006944444444444</v>
      </c>
      <c r="D854" s="32" t="inlineStr">
        <is>
          <t>Ian Hall</t>
        </is>
      </c>
      <c r="E854" s="32" t="inlineStr">
        <is>
          <t>Men's haircut</t>
        </is>
      </c>
      <c r="F854" s="33" t="inlineStr">
        <is>
          <t>Done</t>
        </is>
      </c>
      <c r="G854" s="27">
        <f>IF(E854="","",MAX(0,IFERROR(INDEX(Services!$C$6:$C$35,MATCH(E854,Services!$B$6:$B$35,0)),0)-N(H854)))</f>
        <v/>
      </c>
      <c r="H854" s="34" t="n"/>
      <c r="I854" s="34" t="n">
        <v>30</v>
      </c>
      <c r="J854" s="33" t="inlineStr">
        <is>
          <t>Card</t>
        </is>
      </c>
      <c r="K854" s="28">
        <f>IF(OR(B854="",F854&lt;&gt;"Done",J854="Package"),"",IF(N(G854)-N(I854)&gt;0,N(G854)-N(I854),""))</f>
        <v/>
      </c>
      <c r="L854" s="32" t="n"/>
      <c r="M854" s="1">
        <f>IF(OR(B854="",D854="",F854="Cancelled"),"",B854+N(C854)+ROW()/10000000)</f>
        <v/>
      </c>
      <c r="N854">
        <f>IF(AND(F854="Done",M854&lt;&gt;""),IF(COUNTIFS(Appointments!$D$6:$D$2005,D854,Appointments!$F$6:$F$2005,"Done",Appointments!$M$6:$M$2005,"&gt;"&amp;M854)=0,1,0),0)</f>
        <v/>
      </c>
      <c r="O854">
        <f>IF(AND(F854="Booked",M854&lt;&gt;"",N(B854)&gt;=TODAY()),IF(COUNTIFS(Appointments!$D$6:$D$2005,D854,Appointments!$F$6:$F$2005,"Booked",Appointments!$B$6:$B$2005,"&gt;="&amp;TODAY(),Appointments!$M$6:$M$2005,"&lt;"&amp;M854)=0,1,0),0)</f>
        <v/>
      </c>
    </row>
    <row r="855">
      <c r="A855" s="1" t="n"/>
      <c r="B855" s="30" t="n">
        <v>46227</v>
      </c>
      <c r="C855" s="31" t="n">
        <v>0.6284722222222222</v>
      </c>
      <c r="D855" s="32" t="inlineStr">
        <is>
          <t>Kyle Fox</t>
        </is>
      </c>
      <c r="E855" s="32" t="inlineStr">
        <is>
          <t>Men's haircut</t>
        </is>
      </c>
      <c r="F855" s="33" t="inlineStr">
        <is>
          <t>Done</t>
        </is>
      </c>
      <c r="G855" s="27">
        <f>IF(E855="","",MAX(0,IFERROR(INDEX(Services!$C$6:$C$35,MATCH(E855,Services!$B$6:$B$35,0)),0)-N(H855)))</f>
        <v/>
      </c>
      <c r="H855" s="34" t="n"/>
      <c r="I855" s="34" t="n">
        <v>30</v>
      </c>
      <c r="J855" s="33" t="inlineStr">
        <is>
          <t>Cash</t>
        </is>
      </c>
      <c r="K855" s="28">
        <f>IF(OR(B855="",F855&lt;&gt;"Done",J855="Package"),"",IF(N(G855)-N(I855)&gt;0,N(G855)-N(I855),""))</f>
        <v/>
      </c>
      <c r="L855" s="32" t="n"/>
      <c r="M855" s="1">
        <f>IF(OR(B855="",D855="",F855="Cancelled"),"",B855+N(C855)+ROW()/10000000)</f>
        <v/>
      </c>
      <c r="N855">
        <f>IF(AND(F855="Done",M855&lt;&gt;""),IF(COUNTIFS(Appointments!$D$6:$D$2005,D855,Appointments!$F$6:$F$2005,"Done",Appointments!$M$6:$M$2005,"&gt;"&amp;M855)=0,1,0),0)</f>
        <v/>
      </c>
      <c r="O855">
        <f>IF(AND(F855="Booked",M855&lt;&gt;"",N(B855)&gt;=TODAY()),IF(COUNTIFS(Appointments!$D$6:$D$2005,D855,Appointments!$F$6:$F$2005,"Booked",Appointments!$B$6:$B$2005,"&gt;="&amp;TODAY(),Appointments!$M$6:$M$2005,"&lt;"&amp;M855)=0,1,0),0)</f>
        <v/>
      </c>
    </row>
    <row r="856">
      <c r="A856" s="1" t="n"/>
      <c r="B856" s="30" t="n">
        <v>46227</v>
      </c>
      <c r="C856" s="31" t="n">
        <v>0.65625</v>
      </c>
      <c r="D856" s="32" t="inlineStr">
        <is>
          <t>Sara Reed</t>
        </is>
      </c>
      <c r="E856" s="32" t="inlineStr">
        <is>
          <t>Women's haircut</t>
        </is>
      </c>
      <c r="F856" s="33" t="inlineStr">
        <is>
          <t>Done</t>
        </is>
      </c>
      <c r="G856" s="27">
        <f>IF(E856="","",MAX(0,IFERROR(INDEX(Services!$C$6:$C$35,MATCH(E856,Services!$B$6:$B$35,0)),0)-N(H856)))</f>
        <v/>
      </c>
      <c r="H856" s="34" t="n"/>
      <c r="I856" s="34" t="n">
        <v>55</v>
      </c>
      <c r="J856" s="33" t="inlineStr">
        <is>
          <t>Card</t>
        </is>
      </c>
      <c r="K856" s="28">
        <f>IF(OR(B856="",F856&lt;&gt;"Done",J856="Package"),"",IF(N(G856)-N(I856)&gt;0,N(G856)-N(I856),""))</f>
        <v/>
      </c>
      <c r="L856" s="32" t="n"/>
      <c r="M856" s="1">
        <f>IF(OR(B856="",D856="",F856="Cancelled"),"",B856+N(C856)+ROW()/10000000)</f>
        <v/>
      </c>
      <c r="N856">
        <f>IF(AND(F856="Done",M856&lt;&gt;""),IF(COUNTIFS(Appointments!$D$6:$D$2005,D856,Appointments!$F$6:$F$2005,"Done",Appointments!$M$6:$M$2005,"&gt;"&amp;M856)=0,1,0),0)</f>
        <v/>
      </c>
      <c r="O856">
        <f>IF(AND(F856="Booked",M856&lt;&gt;"",N(B856)&gt;=TODAY()),IF(COUNTIFS(Appointments!$D$6:$D$2005,D856,Appointments!$F$6:$F$2005,"Booked",Appointments!$B$6:$B$2005,"&gt;="&amp;TODAY(),Appointments!$M$6:$M$2005,"&lt;"&amp;M856)=0,1,0),0)</f>
        <v/>
      </c>
    </row>
    <row r="857">
      <c r="A857" s="1" t="n"/>
      <c r="B857" s="30" t="n">
        <v>46228</v>
      </c>
      <c r="C857" s="31" t="n">
        <v>0.375</v>
      </c>
      <c r="D857" s="32" t="inlineStr">
        <is>
          <t>Hannah Hughes</t>
        </is>
      </c>
      <c r="E857" s="32" t="inlineStr">
        <is>
          <t>Women's haircut</t>
        </is>
      </c>
      <c r="F857" s="33" t="inlineStr">
        <is>
          <t>Done</t>
        </is>
      </c>
      <c r="G857" s="27">
        <f>IF(E857="","",MAX(0,IFERROR(INDEX(Services!$C$6:$C$35,MATCH(E857,Services!$B$6:$B$35,0)),0)-N(H857)))</f>
        <v/>
      </c>
      <c r="H857" s="34" t="n">
        <v>10</v>
      </c>
      <c r="I857" s="34" t="n">
        <v>45</v>
      </c>
      <c r="J857" s="33" t="inlineStr">
        <is>
          <t>Cash</t>
        </is>
      </c>
      <c r="K857" s="28">
        <f>IF(OR(B857="",F857&lt;&gt;"Done",J857="Package"),"",IF(N(G857)-N(I857)&gt;0,N(G857)-N(I857),""))</f>
        <v/>
      </c>
      <c r="L857" s="32" t="inlineStr">
        <is>
          <t>Friends and family</t>
        </is>
      </c>
      <c r="M857" s="1">
        <f>IF(OR(B857="",D857="",F857="Cancelled"),"",B857+N(C857)+ROW()/10000000)</f>
        <v/>
      </c>
      <c r="N857">
        <f>IF(AND(F857="Done",M857&lt;&gt;""),IF(COUNTIFS(Appointments!$D$6:$D$2005,D857,Appointments!$F$6:$F$2005,"Done",Appointments!$M$6:$M$2005,"&gt;"&amp;M857)=0,1,0),0)</f>
        <v/>
      </c>
      <c r="O857">
        <f>IF(AND(F857="Booked",M857&lt;&gt;"",N(B857)&gt;=TODAY()),IF(COUNTIFS(Appointments!$D$6:$D$2005,D857,Appointments!$F$6:$F$2005,"Booked",Appointments!$B$6:$B$2005,"&gt;="&amp;TODAY(),Appointments!$M$6:$M$2005,"&lt;"&amp;M857)=0,1,0),0)</f>
        <v/>
      </c>
    </row>
    <row r="858">
      <c r="A858" s="1" t="n"/>
      <c r="B858" s="30" t="n">
        <v>46228</v>
      </c>
      <c r="C858" s="31" t="n">
        <v>0.4236111111111111</v>
      </c>
      <c r="D858" s="32" t="inlineStr">
        <is>
          <t>Harry Adams</t>
        </is>
      </c>
      <c r="E858" s="32" t="inlineStr">
        <is>
          <t>Men's haircut</t>
        </is>
      </c>
      <c r="F858" s="33" t="inlineStr">
        <is>
          <t>Done</t>
        </is>
      </c>
      <c r="G858" s="27">
        <f>IF(E858="","",MAX(0,IFERROR(INDEX(Services!$C$6:$C$35,MATCH(E858,Services!$B$6:$B$35,0)),0)-N(H858)))</f>
        <v/>
      </c>
      <c r="H858" s="34" t="n"/>
      <c r="I858" s="34" t="n">
        <v>30</v>
      </c>
      <c r="J858" s="33" t="inlineStr">
        <is>
          <t>Card</t>
        </is>
      </c>
      <c r="K858" s="28">
        <f>IF(OR(B858="",F858&lt;&gt;"Done",J858="Package"),"",IF(N(G858)-N(I858)&gt;0,N(G858)-N(I858),""))</f>
        <v/>
      </c>
      <c r="L858" s="32" t="n"/>
      <c r="M858" s="1">
        <f>IF(OR(B858="",D858="",F858="Cancelled"),"",B858+N(C858)+ROW()/10000000)</f>
        <v/>
      </c>
      <c r="N858">
        <f>IF(AND(F858="Done",M858&lt;&gt;""),IF(COUNTIFS(Appointments!$D$6:$D$2005,D858,Appointments!$F$6:$F$2005,"Done",Appointments!$M$6:$M$2005,"&gt;"&amp;M858)=0,1,0),0)</f>
        <v/>
      </c>
      <c r="O858">
        <f>IF(AND(F858="Booked",M858&lt;&gt;"",N(B858)&gt;=TODAY()),IF(COUNTIFS(Appointments!$D$6:$D$2005,D858,Appointments!$F$6:$F$2005,"Booked",Appointments!$B$6:$B$2005,"&gt;="&amp;TODAY(),Appointments!$M$6:$M$2005,"&lt;"&amp;M858)=0,1,0),0)</f>
        <v/>
      </c>
    </row>
    <row r="859">
      <c r="A859" s="1" t="n"/>
      <c r="B859" s="30" t="n">
        <v>46228</v>
      </c>
      <c r="C859" s="31" t="n">
        <v>0.4513888888888889</v>
      </c>
      <c r="D859" s="32" t="inlineStr">
        <is>
          <t>Luke Reed</t>
        </is>
      </c>
      <c r="E859" s="32" t="inlineStr">
        <is>
          <t>Men's haircut</t>
        </is>
      </c>
      <c r="F859" s="33" t="inlineStr">
        <is>
          <t>Done</t>
        </is>
      </c>
      <c r="G859" s="27">
        <f>IF(E859="","",MAX(0,IFERROR(INDEX(Services!$C$6:$C$35,MATCH(E859,Services!$B$6:$B$35,0)),0)-N(H859)))</f>
        <v/>
      </c>
      <c r="H859" s="34" t="n"/>
      <c r="I859" s="34" t="n">
        <v>30</v>
      </c>
      <c r="J859" s="33" t="inlineStr">
        <is>
          <t>Cash</t>
        </is>
      </c>
      <c r="K859" s="28">
        <f>IF(OR(B859="",F859&lt;&gt;"Done",J859="Package"),"",IF(N(G859)-N(I859)&gt;0,N(G859)-N(I859),""))</f>
        <v/>
      </c>
      <c r="L859" s="32" t="n"/>
      <c r="M859" s="1">
        <f>IF(OR(B859="",D859="",F859="Cancelled"),"",B859+N(C859)+ROW()/10000000)</f>
        <v/>
      </c>
      <c r="N859">
        <f>IF(AND(F859="Done",M859&lt;&gt;""),IF(COUNTIFS(Appointments!$D$6:$D$2005,D859,Appointments!$F$6:$F$2005,"Done",Appointments!$M$6:$M$2005,"&gt;"&amp;M859)=0,1,0),0)</f>
        <v/>
      </c>
      <c r="O859">
        <f>IF(AND(F859="Booked",M859&lt;&gt;"",N(B859)&gt;=TODAY()),IF(COUNTIFS(Appointments!$D$6:$D$2005,D859,Appointments!$F$6:$F$2005,"Booked",Appointments!$B$6:$B$2005,"&gt;="&amp;TODAY(),Appointments!$M$6:$M$2005,"&lt;"&amp;M859)=0,1,0),0)</f>
        <v/>
      </c>
    </row>
    <row r="860">
      <c r="A860" s="1" t="n"/>
      <c r="B860" s="30" t="n">
        <v>46228</v>
      </c>
      <c r="C860" s="31" t="n">
        <v>0.4791666666666667</v>
      </c>
      <c r="D860" s="32" t="inlineStr">
        <is>
          <t>Owen Webb</t>
        </is>
      </c>
      <c r="E860" s="32" t="inlineStr">
        <is>
          <t>Men's haircut</t>
        </is>
      </c>
      <c r="F860" s="33" t="inlineStr">
        <is>
          <t>Done</t>
        </is>
      </c>
      <c r="G860" s="27">
        <f>IF(E860="","",MAX(0,IFERROR(INDEX(Services!$C$6:$C$35,MATCH(E860,Services!$B$6:$B$35,0)),0)-N(H860)))</f>
        <v/>
      </c>
      <c r="H860" s="34" t="n"/>
      <c r="I860" s="34" t="n">
        <v>30</v>
      </c>
      <c r="J860" s="33" t="inlineStr">
        <is>
          <t>Card</t>
        </is>
      </c>
      <c r="K860" s="28">
        <f>IF(OR(B860="",F860&lt;&gt;"Done",J860="Package"),"",IF(N(G860)-N(I860)&gt;0,N(G860)-N(I860),""))</f>
        <v/>
      </c>
      <c r="L860" s="32" t="n"/>
      <c r="M860" s="1">
        <f>IF(OR(B860="",D860="",F860="Cancelled"),"",B860+N(C860)+ROW()/10000000)</f>
        <v/>
      </c>
      <c r="N860">
        <f>IF(AND(F860="Done",M860&lt;&gt;""),IF(COUNTIFS(Appointments!$D$6:$D$2005,D860,Appointments!$F$6:$F$2005,"Done",Appointments!$M$6:$M$2005,"&gt;"&amp;M860)=0,1,0),0)</f>
        <v/>
      </c>
      <c r="O860">
        <f>IF(AND(F860="Booked",M860&lt;&gt;"",N(B860)&gt;=TODAY()),IF(COUNTIFS(Appointments!$D$6:$D$2005,D860,Appointments!$F$6:$F$2005,"Booked",Appointments!$B$6:$B$2005,"&gt;="&amp;TODAY(),Appointments!$M$6:$M$2005,"&lt;"&amp;M860)=0,1,0),0)</f>
        <v/>
      </c>
    </row>
    <row r="861">
      <c r="A861" s="1" t="n"/>
      <c r="B861" s="30" t="n">
        <v>46231</v>
      </c>
      <c r="C861" s="31" t="n">
        <v>0.375</v>
      </c>
      <c r="D861" s="32" t="inlineStr">
        <is>
          <t>Daniel Kim</t>
        </is>
      </c>
      <c r="E861" s="32" t="inlineStr">
        <is>
          <t>Men's haircut</t>
        </is>
      </c>
      <c r="F861" s="33" t="inlineStr">
        <is>
          <t>Done</t>
        </is>
      </c>
      <c r="G861" s="27">
        <f>IF(E861="","",MAX(0,IFERROR(INDEX(Services!$C$6:$C$35,MATCH(E861,Services!$B$6:$B$35,0)),0)-N(H861)))</f>
        <v/>
      </c>
      <c r="H861" s="34" t="n"/>
      <c r="I861" s="34" t="n">
        <v>30</v>
      </c>
      <c r="J861" s="33" t="inlineStr">
        <is>
          <t>Card</t>
        </is>
      </c>
      <c r="K861" s="28">
        <f>IF(OR(B861="",F861&lt;&gt;"Done",J861="Package"),"",IF(N(G861)-N(I861)&gt;0,N(G861)-N(I861),""))</f>
        <v/>
      </c>
      <c r="L861" s="32" t="n"/>
      <c r="M861" s="1">
        <f>IF(OR(B861="",D861="",F861="Cancelled"),"",B861+N(C861)+ROW()/10000000)</f>
        <v/>
      </c>
      <c r="N861">
        <f>IF(AND(F861="Done",M861&lt;&gt;""),IF(COUNTIFS(Appointments!$D$6:$D$2005,D861,Appointments!$F$6:$F$2005,"Done",Appointments!$M$6:$M$2005,"&gt;"&amp;M861)=0,1,0),0)</f>
        <v/>
      </c>
      <c r="O861">
        <f>IF(AND(F861="Booked",M861&lt;&gt;"",N(B861)&gt;=TODAY()),IF(COUNTIFS(Appointments!$D$6:$D$2005,D861,Appointments!$F$6:$F$2005,"Booked",Appointments!$B$6:$B$2005,"&gt;="&amp;TODAY(),Appointments!$M$6:$M$2005,"&lt;"&amp;M861)=0,1,0),0)</f>
        <v/>
      </c>
    </row>
    <row r="862">
      <c r="A862" s="1" t="n"/>
      <c r="B862" s="30" t="n">
        <v>46231</v>
      </c>
      <c r="C862" s="31" t="n">
        <v>0.4027777777777778</v>
      </c>
      <c r="D862" s="32" t="inlineStr">
        <is>
          <t>Finn Davies</t>
        </is>
      </c>
      <c r="E862" s="32" t="inlineStr">
        <is>
          <t>Men's haircut</t>
        </is>
      </c>
      <c r="F862" s="33" t="inlineStr">
        <is>
          <t>Done</t>
        </is>
      </c>
      <c r="G862" s="27">
        <f>IF(E862="","",MAX(0,IFERROR(INDEX(Services!$C$6:$C$35,MATCH(E862,Services!$B$6:$B$35,0)),0)-N(H862)))</f>
        <v/>
      </c>
      <c r="H862" s="34" t="n"/>
      <c r="I862" s="34" t="n">
        <v>30</v>
      </c>
      <c r="J862" s="33" t="inlineStr">
        <is>
          <t>Transfer</t>
        </is>
      </c>
      <c r="K862" s="28">
        <f>IF(OR(B862="",F862&lt;&gt;"Done",J862="Package"),"",IF(N(G862)-N(I862)&gt;0,N(G862)-N(I862),""))</f>
        <v/>
      </c>
      <c r="L862" s="32" t="n"/>
      <c r="M862" s="1">
        <f>IF(OR(B862="",D862="",F862="Cancelled"),"",B862+N(C862)+ROW()/10000000)</f>
        <v/>
      </c>
      <c r="N862">
        <f>IF(AND(F862="Done",M862&lt;&gt;""),IF(COUNTIFS(Appointments!$D$6:$D$2005,D862,Appointments!$F$6:$F$2005,"Done",Appointments!$M$6:$M$2005,"&gt;"&amp;M862)=0,1,0),0)</f>
        <v/>
      </c>
      <c r="O862">
        <f>IF(AND(F862="Booked",M862&lt;&gt;"",N(B862)&gt;=TODAY()),IF(COUNTIFS(Appointments!$D$6:$D$2005,D862,Appointments!$F$6:$F$2005,"Booked",Appointments!$B$6:$B$2005,"&gt;="&amp;TODAY(),Appointments!$M$6:$M$2005,"&lt;"&amp;M862)=0,1,0),0)</f>
        <v/>
      </c>
    </row>
    <row r="863">
      <c r="A863" s="1" t="n"/>
      <c r="B863" s="30" t="n">
        <v>46231</v>
      </c>
      <c r="C863" s="31" t="n">
        <v>0.4305555555555556</v>
      </c>
      <c r="D863" s="32" t="inlineStr">
        <is>
          <t>Isla Brown</t>
        </is>
      </c>
      <c r="E863" s="32" t="inlineStr">
        <is>
          <t>Women's haircut</t>
        </is>
      </c>
      <c r="F863" s="33" t="inlineStr">
        <is>
          <t>Done</t>
        </is>
      </c>
      <c r="G863" s="27">
        <f>IF(E863="","",MAX(0,IFERROR(INDEX(Services!$C$6:$C$35,MATCH(E863,Services!$B$6:$B$35,0)),0)-N(H863)))</f>
        <v/>
      </c>
      <c r="H863" s="34" t="n"/>
      <c r="I863" s="34" t="n">
        <v>55</v>
      </c>
      <c r="J863" s="33" t="inlineStr">
        <is>
          <t>Card</t>
        </is>
      </c>
      <c r="K863" s="28">
        <f>IF(OR(B863="",F863&lt;&gt;"Done",J863="Package"),"",IF(N(G863)-N(I863)&gt;0,N(G863)-N(I863),""))</f>
        <v/>
      </c>
      <c r="L863" s="32" t="n"/>
      <c r="M863" s="1">
        <f>IF(OR(B863="",D863="",F863="Cancelled"),"",B863+N(C863)+ROW()/10000000)</f>
        <v/>
      </c>
      <c r="N863">
        <f>IF(AND(F863="Done",M863&lt;&gt;""),IF(COUNTIFS(Appointments!$D$6:$D$2005,D863,Appointments!$F$6:$F$2005,"Done",Appointments!$M$6:$M$2005,"&gt;"&amp;M863)=0,1,0),0)</f>
        <v/>
      </c>
      <c r="O863">
        <f>IF(AND(F863="Booked",M863&lt;&gt;"",N(B863)&gt;=TODAY()),IF(COUNTIFS(Appointments!$D$6:$D$2005,D863,Appointments!$F$6:$F$2005,"Booked",Appointments!$B$6:$B$2005,"&gt;="&amp;TODAY(),Appointments!$M$6:$M$2005,"&lt;"&amp;M863)=0,1,0),0)</f>
        <v/>
      </c>
    </row>
    <row r="864">
      <c r="A864" s="1" t="n"/>
      <c r="B864" s="30" t="n">
        <v>46231</v>
      </c>
      <c r="C864" s="31" t="n">
        <v>0.4791666666666667</v>
      </c>
      <c r="D864" s="32" t="inlineStr">
        <is>
          <t>Julia Young</t>
        </is>
      </c>
      <c r="E864" s="32" t="inlineStr">
        <is>
          <t>Colour</t>
        </is>
      </c>
      <c r="F864" s="33" t="inlineStr">
        <is>
          <t>Done</t>
        </is>
      </c>
      <c r="G864" s="27">
        <f>IF(E864="","",MAX(0,IFERROR(INDEX(Services!$C$6:$C$35,MATCH(E864,Services!$B$6:$B$35,0)),0)-N(H864)))</f>
        <v/>
      </c>
      <c r="H864" s="34" t="n"/>
      <c r="I864" s="34" t="n">
        <v>95</v>
      </c>
      <c r="J864" s="33" t="inlineStr">
        <is>
          <t>Card</t>
        </is>
      </c>
      <c r="K864" s="28">
        <f>IF(OR(B864="",F864&lt;&gt;"Done",J864="Package"),"",IF(N(G864)-N(I864)&gt;0,N(G864)-N(I864),""))</f>
        <v/>
      </c>
      <c r="L864" s="32" t="n"/>
      <c r="M864" s="1">
        <f>IF(OR(B864="",D864="",F864="Cancelled"),"",B864+N(C864)+ROW()/10000000)</f>
        <v/>
      </c>
      <c r="N864">
        <f>IF(AND(F864="Done",M864&lt;&gt;""),IF(COUNTIFS(Appointments!$D$6:$D$2005,D864,Appointments!$F$6:$F$2005,"Done",Appointments!$M$6:$M$2005,"&gt;"&amp;M864)=0,1,0),0)</f>
        <v/>
      </c>
      <c r="O864">
        <f>IF(AND(F864="Booked",M864&lt;&gt;"",N(B864)&gt;=TODAY()),IF(COUNTIFS(Appointments!$D$6:$D$2005,D864,Appointments!$F$6:$F$2005,"Booked",Appointments!$B$6:$B$2005,"&gt;="&amp;TODAY(),Appointments!$M$6:$M$2005,"&lt;"&amp;M864)=0,1,0),0)</f>
        <v/>
      </c>
    </row>
    <row r="865">
      <c r="A865" s="1" t="n"/>
      <c r="B865" s="30" t="n">
        <v>46231</v>
      </c>
      <c r="C865" s="31" t="n">
        <v>0.5694444444444444</v>
      </c>
      <c r="D865" s="32" t="inlineStr">
        <is>
          <t>Matt Ellis</t>
        </is>
      </c>
      <c r="E865" s="32" t="inlineStr">
        <is>
          <t>Men's haircut</t>
        </is>
      </c>
      <c r="F865" s="33" t="inlineStr">
        <is>
          <t>Done</t>
        </is>
      </c>
      <c r="G865" s="27">
        <f>IF(E865="","",MAX(0,IFERROR(INDEX(Services!$C$6:$C$35,MATCH(E865,Services!$B$6:$B$35,0)),0)-N(H865)))</f>
        <v/>
      </c>
      <c r="H865" s="34" t="n"/>
      <c r="I865" s="34" t="n">
        <v>30</v>
      </c>
      <c r="J865" s="33" t="inlineStr">
        <is>
          <t>Cash</t>
        </is>
      </c>
      <c r="K865" s="28">
        <f>IF(OR(B865="",F865&lt;&gt;"Done",J865="Package"),"",IF(N(G865)-N(I865)&gt;0,N(G865)-N(I865),""))</f>
        <v/>
      </c>
      <c r="L865" s="32" t="n"/>
      <c r="M865" s="1">
        <f>IF(OR(B865="",D865="",F865="Cancelled"),"",B865+N(C865)+ROW()/10000000)</f>
        <v/>
      </c>
      <c r="N865">
        <f>IF(AND(F865="Done",M865&lt;&gt;""),IF(COUNTIFS(Appointments!$D$6:$D$2005,D865,Appointments!$F$6:$F$2005,"Done",Appointments!$M$6:$M$2005,"&gt;"&amp;M865)=0,1,0),0)</f>
        <v/>
      </c>
      <c r="O865">
        <f>IF(AND(F865="Booked",M865&lt;&gt;"",N(B865)&gt;=TODAY()),IF(COUNTIFS(Appointments!$D$6:$D$2005,D865,Appointments!$F$6:$F$2005,"Booked",Appointments!$B$6:$B$2005,"&gt;="&amp;TODAY(),Appointments!$M$6:$M$2005,"&lt;"&amp;M865)=0,1,0),0)</f>
        <v/>
      </c>
    </row>
    <row r="866">
      <c r="A866" s="1" t="n"/>
      <c r="B866" s="30" t="n">
        <v>46231</v>
      </c>
      <c r="C866" s="31" t="n">
        <v>0.5972222222222222</v>
      </c>
      <c r="D866" s="32" t="inlineStr">
        <is>
          <t>Owen Morgan</t>
        </is>
      </c>
      <c r="E866" s="32" t="inlineStr">
        <is>
          <t>Men's haircut</t>
        </is>
      </c>
      <c r="F866" s="33" t="inlineStr">
        <is>
          <t>Done</t>
        </is>
      </c>
      <c r="G866" s="27">
        <f>IF(E866="","",MAX(0,IFERROR(INDEX(Services!$C$6:$C$35,MATCH(E866,Services!$B$6:$B$35,0)),0)-N(H866)))</f>
        <v/>
      </c>
      <c r="H866" s="34" t="n"/>
      <c r="I866" s="34" t="n">
        <v>30</v>
      </c>
      <c r="J866" s="33" t="inlineStr">
        <is>
          <t>Cash</t>
        </is>
      </c>
      <c r="K866" s="28">
        <f>IF(OR(B866="",F866&lt;&gt;"Done",J866="Package"),"",IF(N(G866)-N(I866)&gt;0,N(G866)-N(I866),""))</f>
        <v/>
      </c>
      <c r="L866" s="32" t="n"/>
      <c r="M866" s="1">
        <f>IF(OR(B866="",D866="",F866="Cancelled"),"",B866+N(C866)+ROW()/10000000)</f>
        <v/>
      </c>
      <c r="N866">
        <f>IF(AND(F866="Done",M866&lt;&gt;""),IF(COUNTIFS(Appointments!$D$6:$D$2005,D866,Appointments!$F$6:$F$2005,"Done",Appointments!$M$6:$M$2005,"&gt;"&amp;M866)=0,1,0),0)</f>
        <v/>
      </c>
      <c r="O866">
        <f>IF(AND(F866="Booked",M866&lt;&gt;"",N(B866)&gt;=TODAY()),IF(COUNTIFS(Appointments!$D$6:$D$2005,D866,Appointments!$F$6:$F$2005,"Booked",Appointments!$B$6:$B$2005,"&gt;="&amp;TODAY(),Appointments!$M$6:$M$2005,"&lt;"&amp;M866)=0,1,0),0)</f>
        <v/>
      </c>
    </row>
    <row r="867">
      <c r="A867" s="1" t="n"/>
      <c r="B867" s="30" t="n">
        <v>46231</v>
      </c>
      <c r="C867" s="31" t="n">
        <v>0.625</v>
      </c>
      <c r="D867" s="32" t="inlineStr">
        <is>
          <t>Ruby Shaw</t>
        </is>
      </c>
      <c r="E867" s="32" t="inlineStr">
        <is>
          <t>Women's haircut</t>
        </is>
      </c>
      <c r="F867" s="33" t="inlineStr">
        <is>
          <t>Done</t>
        </is>
      </c>
      <c r="G867" s="27">
        <f>IF(E867="","",MAX(0,IFERROR(INDEX(Services!$C$6:$C$35,MATCH(E867,Services!$B$6:$B$35,0)),0)-N(H867)))</f>
        <v/>
      </c>
      <c r="H867" s="34" t="n"/>
      <c r="I867" s="34" t="n">
        <v>55</v>
      </c>
      <c r="J867" s="33" t="inlineStr">
        <is>
          <t>Card</t>
        </is>
      </c>
      <c r="K867" s="28">
        <f>IF(OR(B867="",F867&lt;&gt;"Done",J867="Package"),"",IF(N(G867)-N(I867)&gt;0,N(G867)-N(I867),""))</f>
        <v/>
      </c>
      <c r="L867" s="32" t="n"/>
      <c r="M867" s="1">
        <f>IF(OR(B867="",D867="",F867="Cancelled"),"",B867+N(C867)+ROW()/10000000)</f>
        <v/>
      </c>
      <c r="N867">
        <f>IF(AND(F867="Done",M867&lt;&gt;""),IF(COUNTIFS(Appointments!$D$6:$D$2005,D867,Appointments!$F$6:$F$2005,"Done",Appointments!$M$6:$M$2005,"&gt;"&amp;M867)=0,1,0),0)</f>
        <v/>
      </c>
      <c r="O867">
        <f>IF(AND(F867="Booked",M867&lt;&gt;"",N(B867)&gt;=TODAY()),IF(COUNTIFS(Appointments!$D$6:$D$2005,D867,Appointments!$F$6:$F$2005,"Booked",Appointments!$B$6:$B$2005,"&gt;="&amp;TODAY(),Appointments!$M$6:$M$2005,"&lt;"&amp;M867)=0,1,0),0)</f>
        <v/>
      </c>
    </row>
    <row r="868">
      <c r="A868" s="1" t="n"/>
      <c r="B868" s="30" t="n">
        <v>46232</v>
      </c>
      <c r="C868" s="31" t="n">
        <v>0.375</v>
      </c>
      <c r="D868" s="32" t="inlineStr">
        <is>
          <t>Chris Cox</t>
        </is>
      </c>
      <c r="E868" s="32" t="inlineStr">
        <is>
          <t>Men's haircut</t>
        </is>
      </c>
      <c r="F868" s="33" t="inlineStr">
        <is>
          <t>Done</t>
        </is>
      </c>
      <c r="G868" s="27">
        <f>IF(E868="","",MAX(0,IFERROR(INDEX(Services!$C$6:$C$35,MATCH(E868,Services!$B$6:$B$35,0)),0)-N(H868)))</f>
        <v/>
      </c>
      <c r="H868" s="34" t="n"/>
      <c r="I868" s="34" t="n">
        <v>30</v>
      </c>
      <c r="J868" s="33" t="inlineStr">
        <is>
          <t>Cash</t>
        </is>
      </c>
      <c r="K868" s="28">
        <f>IF(OR(B868="",F868&lt;&gt;"Done",J868="Package"),"",IF(N(G868)-N(I868)&gt;0,N(G868)-N(I868),""))</f>
        <v/>
      </c>
      <c r="L868" s="32" t="n"/>
      <c r="M868" s="1">
        <f>IF(OR(B868="",D868="",F868="Cancelled"),"",B868+N(C868)+ROW()/10000000)</f>
        <v/>
      </c>
      <c r="N868">
        <f>IF(AND(F868="Done",M868&lt;&gt;""),IF(COUNTIFS(Appointments!$D$6:$D$2005,D868,Appointments!$F$6:$F$2005,"Done",Appointments!$M$6:$M$2005,"&gt;"&amp;M868)=0,1,0),0)</f>
        <v/>
      </c>
      <c r="O868">
        <f>IF(AND(F868="Booked",M868&lt;&gt;"",N(B868)&gt;=TODAY()),IF(COUNTIFS(Appointments!$D$6:$D$2005,D868,Appointments!$F$6:$F$2005,"Booked",Appointments!$B$6:$B$2005,"&gt;="&amp;TODAY(),Appointments!$M$6:$M$2005,"&lt;"&amp;M868)=0,1,0),0)</f>
        <v/>
      </c>
    </row>
    <row r="869">
      <c r="A869" s="1" t="n"/>
      <c r="B869" s="30" t="n">
        <v>46232</v>
      </c>
      <c r="C869" s="31" t="n">
        <v>0.4027777777777778</v>
      </c>
      <c r="D869" s="32" t="inlineStr">
        <is>
          <t>Harry Hall</t>
        </is>
      </c>
      <c r="E869" s="32" t="inlineStr">
        <is>
          <t>Men's haircut</t>
        </is>
      </c>
      <c r="F869" s="33" t="inlineStr">
        <is>
          <t>Done</t>
        </is>
      </c>
      <c r="G869" s="27">
        <f>IF(E869="","",MAX(0,IFERROR(INDEX(Services!$C$6:$C$35,MATCH(E869,Services!$B$6:$B$35,0)),0)-N(H869)))</f>
        <v/>
      </c>
      <c r="H869" s="34" t="n"/>
      <c r="I869" s="34" t="n">
        <v>30</v>
      </c>
      <c r="J869" s="33" t="inlineStr">
        <is>
          <t>Transfer</t>
        </is>
      </c>
      <c r="K869" s="28">
        <f>IF(OR(B869="",F869&lt;&gt;"Done",J869="Package"),"",IF(N(G869)-N(I869)&gt;0,N(G869)-N(I869),""))</f>
        <v/>
      </c>
      <c r="L869" s="32" t="n"/>
      <c r="M869" s="1">
        <f>IF(OR(B869="",D869="",F869="Cancelled"),"",B869+N(C869)+ROW()/10000000)</f>
        <v/>
      </c>
      <c r="N869">
        <f>IF(AND(F869="Done",M869&lt;&gt;""),IF(COUNTIFS(Appointments!$D$6:$D$2005,D869,Appointments!$F$6:$F$2005,"Done",Appointments!$M$6:$M$2005,"&gt;"&amp;M869)=0,1,0),0)</f>
        <v/>
      </c>
      <c r="O869">
        <f>IF(AND(F869="Booked",M869&lt;&gt;"",N(B869)&gt;=TODAY()),IF(COUNTIFS(Appointments!$D$6:$D$2005,D869,Appointments!$F$6:$F$2005,"Booked",Appointments!$B$6:$B$2005,"&gt;="&amp;TODAY(),Appointments!$M$6:$M$2005,"&lt;"&amp;M869)=0,1,0),0)</f>
        <v/>
      </c>
    </row>
    <row r="870">
      <c r="A870" s="1" t="n"/>
      <c r="B870" s="30" t="n">
        <v>46232</v>
      </c>
      <c r="C870" s="31" t="n">
        <v>0.4305555555555556</v>
      </c>
      <c r="D870" s="32" t="inlineStr">
        <is>
          <t>Holly Shaw</t>
        </is>
      </c>
      <c r="E870" s="32" t="inlineStr">
        <is>
          <t>Blow dry</t>
        </is>
      </c>
      <c r="F870" s="33" t="inlineStr">
        <is>
          <t>Done</t>
        </is>
      </c>
      <c r="G870" s="27">
        <f>IF(E870="","",MAX(0,IFERROR(INDEX(Services!$C$6:$C$35,MATCH(E870,Services!$B$6:$B$35,0)),0)-N(H870)))</f>
        <v/>
      </c>
      <c r="H870" s="34" t="n"/>
      <c r="I870" s="34" t="n">
        <v>35</v>
      </c>
      <c r="J870" s="33" t="inlineStr">
        <is>
          <t>Card</t>
        </is>
      </c>
      <c r="K870" s="28">
        <f>IF(OR(B870="",F870&lt;&gt;"Done",J870="Package"),"",IF(N(G870)-N(I870)&gt;0,N(G870)-N(I870),""))</f>
        <v/>
      </c>
      <c r="L870" s="32" t="n"/>
      <c r="M870" s="1">
        <f>IF(OR(B870="",D870="",F870="Cancelled"),"",B870+N(C870)+ROW()/10000000)</f>
        <v/>
      </c>
      <c r="N870">
        <f>IF(AND(F870="Done",M870&lt;&gt;""),IF(COUNTIFS(Appointments!$D$6:$D$2005,D870,Appointments!$F$6:$F$2005,"Done",Appointments!$M$6:$M$2005,"&gt;"&amp;M870)=0,1,0),0)</f>
        <v/>
      </c>
      <c r="O870">
        <f>IF(AND(F870="Booked",M870&lt;&gt;"",N(B870)&gt;=TODAY()),IF(COUNTIFS(Appointments!$D$6:$D$2005,D870,Appointments!$F$6:$F$2005,"Booked",Appointments!$B$6:$B$2005,"&gt;="&amp;TODAY(),Appointments!$M$6:$M$2005,"&lt;"&amp;M870)=0,1,0),0)</f>
        <v/>
      </c>
    </row>
    <row r="871">
      <c r="A871" s="1" t="n"/>
      <c r="B871" s="30" t="n">
        <v>46232</v>
      </c>
      <c r="C871" s="31" t="n">
        <v>0.46875</v>
      </c>
      <c r="D871" s="32" t="inlineStr">
        <is>
          <t>Liam Evans</t>
        </is>
      </c>
      <c r="E871" s="32" t="inlineStr">
        <is>
          <t>Men's haircut</t>
        </is>
      </c>
      <c r="F871" s="33" t="inlineStr">
        <is>
          <t>Done</t>
        </is>
      </c>
      <c r="G871" s="27">
        <f>IF(E871="","",MAX(0,IFERROR(INDEX(Services!$C$6:$C$35,MATCH(E871,Services!$B$6:$B$35,0)),0)-N(H871)))</f>
        <v/>
      </c>
      <c r="H871" s="34" t="n"/>
      <c r="I871" s="34" t="n">
        <v>30</v>
      </c>
      <c r="J871" s="33" t="inlineStr">
        <is>
          <t>Card</t>
        </is>
      </c>
      <c r="K871" s="28">
        <f>IF(OR(B871="",F871&lt;&gt;"Done",J871="Package"),"",IF(N(G871)-N(I871)&gt;0,N(G871)-N(I871),""))</f>
        <v/>
      </c>
      <c r="L871" s="32" t="n"/>
      <c r="M871" s="1">
        <f>IF(OR(B871="",D871="",F871="Cancelled"),"",B871+N(C871)+ROW()/10000000)</f>
        <v/>
      </c>
      <c r="N871">
        <f>IF(AND(F871="Done",M871&lt;&gt;""),IF(COUNTIFS(Appointments!$D$6:$D$2005,D871,Appointments!$F$6:$F$2005,"Done",Appointments!$M$6:$M$2005,"&gt;"&amp;M871)=0,1,0),0)</f>
        <v/>
      </c>
      <c r="O871">
        <f>IF(AND(F871="Booked",M871&lt;&gt;"",N(B871)&gt;=TODAY()),IF(COUNTIFS(Appointments!$D$6:$D$2005,D871,Appointments!$F$6:$F$2005,"Booked",Appointments!$B$6:$B$2005,"&gt;="&amp;TODAY(),Appointments!$M$6:$M$2005,"&lt;"&amp;M871)=0,1,0),0)</f>
        <v/>
      </c>
    </row>
    <row r="872">
      <c r="A872" s="1" t="n"/>
      <c r="B872" s="30" t="n">
        <v>46232</v>
      </c>
      <c r="C872" s="31" t="n">
        <v>0.4965277777777778</v>
      </c>
      <c r="D872" s="32" t="inlineStr">
        <is>
          <t>Lily Lewis</t>
        </is>
      </c>
      <c r="E872" s="32" t="inlineStr">
        <is>
          <t>Blow dry</t>
        </is>
      </c>
      <c r="F872" s="33" t="inlineStr">
        <is>
          <t>Done</t>
        </is>
      </c>
      <c r="G872" s="27">
        <f>IF(E872="","",MAX(0,IFERROR(INDEX(Services!$C$6:$C$35,MATCH(E872,Services!$B$6:$B$35,0)),0)-N(H872)))</f>
        <v/>
      </c>
      <c r="H872" s="34" t="n"/>
      <c r="I872" s="34" t="n">
        <v>35</v>
      </c>
      <c r="J872" s="33" t="inlineStr">
        <is>
          <t>Card</t>
        </is>
      </c>
      <c r="K872" s="28">
        <f>IF(OR(B872="",F872&lt;&gt;"Done",J872="Package"),"",IF(N(G872)-N(I872)&gt;0,N(G872)-N(I872),""))</f>
        <v/>
      </c>
      <c r="L872" s="32" t="n"/>
      <c r="M872" s="1">
        <f>IF(OR(B872="",D872="",F872="Cancelled"),"",B872+N(C872)+ROW()/10000000)</f>
        <v/>
      </c>
      <c r="N872">
        <f>IF(AND(F872="Done",M872&lt;&gt;""),IF(COUNTIFS(Appointments!$D$6:$D$2005,D872,Appointments!$F$6:$F$2005,"Done",Appointments!$M$6:$M$2005,"&gt;"&amp;M872)=0,1,0),0)</f>
        <v/>
      </c>
      <c r="O872">
        <f>IF(AND(F872="Booked",M872&lt;&gt;"",N(B872)&gt;=TODAY()),IF(COUNTIFS(Appointments!$D$6:$D$2005,D872,Appointments!$F$6:$F$2005,"Booked",Appointments!$B$6:$B$2005,"&gt;="&amp;TODAY(),Appointments!$M$6:$M$2005,"&lt;"&amp;M872)=0,1,0),0)</f>
        <v/>
      </c>
    </row>
    <row r="873">
      <c r="A873" s="1" t="n"/>
      <c r="B873" s="30" t="n">
        <v>46232</v>
      </c>
      <c r="C873" s="31" t="n">
        <v>0.5347222222222222</v>
      </c>
      <c r="D873" s="32" t="inlineStr">
        <is>
          <t>Lily Young</t>
        </is>
      </c>
      <c r="E873" s="32" t="inlineStr">
        <is>
          <t>Blow dry</t>
        </is>
      </c>
      <c r="F873" s="33" t="inlineStr">
        <is>
          <t>Done</t>
        </is>
      </c>
      <c r="G873" s="27">
        <f>IF(E873="","",MAX(0,IFERROR(INDEX(Services!$C$6:$C$35,MATCH(E873,Services!$B$6:$B$35,0)),0)-N(H873)))</f>
        <v/>
      </c>
      <c r="H873" s="34" t="n"/>
      <c r="I873" s="34" t="n">
        <v>35</v>
      </c>
      <c r="J873" s="33" t="inlineStr">
        <is>
          <t>Card</t>
        </is>
      </c>
      <c r="K873" s="28">
        <f>IF(OR(B873="",F873&lt;&gt;"Done",J873="Package"),"",IF(N(G873)-N(I873)&gt;0,N(G873)-N(I873),""))</f>
        <v/>
      </c>
      <c r="L873" s="32" t="n"/>
      <c r="M873" s="1">
        <f>IF(OR(B873="",D873="",F873="Cancelled"),"",B873+N(C873)+ROW()/10000000)</f>
        <v/>
      </c>
      <c r="N873">
        <f>IF(AND(F873="Done",M873&lt;&gt;""),IF(COUNTIFS(Appointments!$D$6:$D$2005,D873,Appointments!$F$6:$F$2005,"Done",Appointments!$M$6:$M$2005,"&gt;"&amp;M873)=0,1,0),0)</f>
        <v/>
      </c>
      <c r="O873">
        <f>IF(AND(F873="Booked",M873&lt;&gt;"",N(B873)&gt;=TODAY()),IF(COUNTIFS(Appointments!$D$6:$D$2005,D873,Appointments!$F$6:$F$2005,"Booked",Appointments!$B$6:$B$2005,"&gt;="&amp;TODAY(),Appointments!$M$6:$M$2005,"&lt;"&amp;M873)=0,1,0),0)</f>
        <v/>
      </c>
    </row>
    <row r="874">
      <c r="A874" s="1" t="n"/>
      <c r="B874" s="30" t="n">
        <v>46232</v>
      </c>
      <c r="C874" s="31" t="n">
        <v>0.5729166666666666</v>
      </c>
      <c r="D874" s="32" t="inlineStr">
        <is>
          <t>Luke Walsh</t>
        </is>
      </c>
      <c r="E874" s="32" t="inlineStr">
        <is>
          <t>Men's haircut</t>
        </is>
      </c>
      <c r="F874" s="33" t="inlineStr">
        <is>
          <t>Done</t>
        </is>
      </c>
      <c r="G874" s="27">
        <f>IF(E874="","",MAX(0,IFERROR(INDEX(Services!$C$6:$C$35,MATCH(E874,Services!$B$6:$B$35,0)),0)-N(H874)))</f>
        <v/>
      </c>
      <c r="H874" s="34" t="n"/>
      <c r="I874" s="34" t="n">
        <v>30</v>
      </c>
      <c r="J874" s="33" t="inlineStr">
        <is>
          <t>Cash</t>
        </is>
      </c>
      <c r="K874" s="28">
        <f>IF(OR(B874="",F874&lt;&gt;"Done",J874="Package"),"",IF(N(G874)-N(I874)&gt;0,N(G874)-N(I874),""))</f>
        <v/>
      </c>
      <c r="L874" s="32" t="n"/>
      <c r="M874" s="1">
        <f>IF(OR(B874="",D874="",F874="Cancelled"),"",B874+N(C874)+ROW()/10000000)</f>
        <v/>
      </c>
      <c r="N874">
        <f>IF(AND(F874="Done",M874&lt;&gt;""),IF(COUNTIFS(Appointments!$D$6:$D$2005,D874,Appointments!$F$6:$F$2005,"Done",Appointments!$M$6:$M$2005,"&gt;"&amp;M874)=0,1,0),0)</f>
        <v/>
      </c>
      <c r="O874">
        <f>IF(AND(F874="Booked",M874&lt;&gt;"",N(B874)&gt;=TODAY()),IF(COUNTIFS(Appointments!$D$6:$D$2005,D874,Appointments!$F$6:$F$2005,"Booked",Appointments!$B$6:$B$2005,"&gt;="&amp;TODAY(),Appointments!$M$6:$M$2005,"&lt;"&amp;M874)=0,1,0),0)</f>
        <v/>
      </c>
    </row>
    <row r="875">
      <c r="A875" s="1" t="n"/>
      <c r="B875" s="30" t="n">
        <v>46233</v>
      </c>
      <c r="C875" s="31" t="n">
        <v>0.375</v>
      </c>
      <c r="D875" s="32" t="inlineStr">
        <is>
          <t>Alice Ward</t>
        </is>
      </c>
      <c r="E875" s="32" t="inlineStr">
        <is>
          <t>Women's haircut</t>
        </is>
      </c>
      <c r="F875" s="33" t="inlineStr">
        <is>
          <t>Done</t>
        </is>
      </c>
      <c r="G875" s="27">
        <f>IF(E875="","",MAX(0,IFERROR(INDEX(Services!$C$6:$C$35,MATCH(E875,Services!$B$6:$B$35,0)),0)-N(H875)))</f>
        <v/>
      </c>
      <c r="H875" s="34" t="n"/>
      <c r="I875" s="34" t="n">
        <v>55</v>
      </c>
      <c r="J875" s="33" t="inlineStr">
        <is>
          <t>Cash</t>
        </is>
      </c>
      <c r="K875" s="28">
        <f>IF(OR(B875="",F875&lt;&gt;"Done",J875="Package"),"",IF(N(G875)-N(I875)&gt;0,N(G875)-N(I875),""))</f>
        <v/>
      </c>
      <c r="L875" s="32" t="n"/>
      <c r="M875" s="1">
        <f>IF(OR(B875="",D875="",F875="Cancelled"),"",B875+N(C875)+ROW()/10000000)</f>
        <v/>
      </c>
      <c r="N875">
        <f>IF(AND(F875="Done",M875&lt;&gt;""),IF(COUNTIFS(Appointments!$D$6:$D$2005,D875,Appointments!$F$6:$F$2005,"Done",Appointments!$M$6:$M$2005,"&gt;"&amp;M875)=0,1,0),0)</f>
        <v/>
      </c>
      <c r="O875">
        <f>IF(AND(F875="Booked",M875&lt;&gt;"",N(B875)&gt;=TODAY()),IF(COUNTIFS(Appointments!$D$6:$D$2005,D875,Appointments!$F$6:$F$2005,"Booked",Appointments!$B$6:$B$2005,"&gt;="&amp;TODAY(),Appointments!$M$6:$M$2005,"&lt;"&amp;M875)=0,1,0),0)</f>
        <v/>
      </c>
    </row>
    <row r="876">
      <c r="A876" s="1" t="n"/>
      <c r="B876" s="30" t="n">
        <v>46233</v>
      </c>
      <c r="C876" s="31" t="n">
        <v>0.4236111111111111</v>
      </c>
      <c r="D876" s="32" t="inlineStr">
        <is>
          <t>Amy Hall</t>
        </is>
      </c>
      <c r="E876" s="32" t="inlineStr">
        <is>
          <t>Blow dry</t>
        </is>
      </c>
      <c r="F876" s="33" t="inlineStr">
        <is>
          <t>Done</t>
        </is>
      </c>
      <c r="G876" s="27">
        <f>IF(E876="","",MAX(0,IFERROR(INDEX(Services!$C$6:$C$35,MATCH(E876,Services!$B$6:$B$35,0)),0)-N(H876)))</f>
        <v/>
      </c>
      <c r="H876" s="34" t="n"/>
      <c r="I876" s="34" t="n">
        <v>35</v>
      </c>
      <c r="J876" s="33" t="inlineStr">
        <is>
          <t>Card</t>
        </is>
      </c>
      <c r="K876" s="28">
        <f>IF(OR(B876="",F876&lt;&gt;"Done",J876="Package"),"",IF(N(G876)-N(I876)&gt;0,N(G876)-N(I876),""))</f>
        <v/>
      </c>
      <c r="L876" s="32" t="n"/>
      <c r="M876" s="1">
        <f>IF(OR(B876="",D876="",F876="Cancelled"),"",B876+N(C876)+ROW()/10000000)</f>
        <v/>
      </c>
      <c r="N876">
        <f>IF(AND(F876="Done",M876&lt;&gt;""),IF(COUNTIFS(Appointments!$D$6:$D$2005,D876,Appointments!$F$6:$F$2005,"Done",Appointments!$M$6:$M$2005,"&gt;"&amp;M876)=0,1,0),0)</f>
        <v/>
      </c>
      <c r="O876">
        <f>IF(AND(F876="Booked",M876&lt;&gt;"",N(B876)&gt;=TODAY()),IF(COUNTIFS(Appointments!$D$6:$D$2005,D876,Appointments!$F$6:$F$2005,"Booked",Appointments!$B$6:$B$2005,"&gt;="&amp;TODAY(),Appointments!$M$6:$M$2005,"&lt;"&amp;M876)=0,1,0),0)</f>
        <v/>
      </c>
    </row>
    <row r="877">
      <c r="A877" s="1" t="n"/>
      <c r="B877" s="30" t="n">
        <v>46233</v>
      </c>
      <c r="C877" s="31" t="n">
        <v>0.4618055555555556</v>
      </c>
      <c r="D877" s="32" t="inlineStr">
        <is>
          <t>Eva Brooks</t>
        </is>
      </c>
      <c r="E877" s="32" t="inlineStr">
        <is>
          <t>Women's haircut</t>
        </is>
      </c>
      <c r="F877" s="33" t="inlineStr">
        <is>
          <t>Done</t>
        </is>
      </c>
      <c r="G877" s="27">
        <f>IF(E877="","",MAX(0,IFERROR(INDEX(Services!$C$6:$C$35,MATCH(E877,Services!$B$6:$B$35,0)),0)-N(H877)))</f>
        <v/>
      </c>
      <c r="H877" s="34" t="n"/>
      <c r="I877" s="34" t="n">
        <v>55</v>
      </c>
      <c r="J877" s="33" t="inlineStr">
        <is>
          <t>Card</t>
        </is>
      </c>
      <c r="K877" s="28">
        <f>IF(OR(B877="",F877&lt;&gt;"Done",J877="Package"),"",IF(N(G877)-N(I877)&gt;0,N(G877)-N(I877),""))</f>
        <v/>
      </c>
      <c r="L877" s="32" t="n"/>
      <c r="M877" s="1">
        <f>IF(OR(B877="",D877="",F877="Cancelled"),"",B877+N(C877)+ROW()/10000000)</f>
        <v/>
      </c>
      <c r="N877">
        <f>IF(AND(F877="Done",M877&lt;&gt;""),IF(COUNTIFS(Appointments!$D$6:$D$2005,D877,Appointments!$F$6:$F$2005,"Done",Appointments!$M$6:$M$2005,"&gt;"&amp;M877)=0,1,0),0)</f>
        <v/>
      </c>
      <c r="O877">
        <f>IF(AND(F877="Booked",M877&lt;&gt;"",N(B877)&gt;=TODAY()),IF(COUNTIFS(Appointments!$D$6:$D$2005,D877,Appointments!$F$6:$F$2005,"Booked",Appointments!$B$6:$B$2005,"&gt;="&amp;TODAY(),Appointments!$M$6:$M$2005,"&lt;"&amp;M877)=0,1,0),0)</f>
        <v/>
      </c>
    </row>
    <row r="878">
      <c r="A878" s="1" t="n"/>
      <c r="B878" s="30" t="n">
        <v>46233</v>
      </c>
      <c r="C878" s="31" t="n">
        <v>0.5104166666666666</v>
      </c>
      <c r="D878" s="32" t="inlineStr">
        <is>
          <t>Harry Lewis</t>
        </is>
      </c>
      <c r="E878" s="32" t="inlineStr">
        <is>
          <t>Men's haircut</t>
        </is>
      </c>
      <c r="F878" s="33" t="inlineStr">
        <is>
          <t>Done</t>
        </is>
      </c>
      <c r="G878" s="27">
        <f>IF(E878="","",MAX(0,IFERROR(INDEX(Services!$C$6:$C$35,MATCH(E878,Services!$B$6:$B$35,0)),0)-N(H878)))</f>
        <v/>
      </c>
      <c r="H878" s="34" t="n"/>
      <c r="I878" s="34" t="n">
        <v>30</v>
      </c>
      <c r="J878" s="33" t="inlineStr">
        <is>
          <t>Card</t>
        </is>
      </c>
      <c r="K878" s="28">
        <f>IF(OR(B878="",F878&lt;&gt;"Done",J878="Package"),"",IF(N(G878)-N(I878)&gt;0,N(G878)-N(I878),""))</f>
        <v/>
      </c>
      <c r="L878" s="32" t="n"/>
      <c r="M878" s="1">
        <f>IF(OR(B878="",D878="",F878="Cancelled"),"",B878+N(C878)+ROW()/10000000)</f>
        <v/>
      </c>
      <c r="N878">
        <f>IF(AND(F878="Done",M878&lt;&gt;""),IF(COUNTIFS(Appointments!$D$6:$D$2005,D878,Appointments!$F$6:$F$2005,"Done",Appointments!$M$6:$M$2005,"&gt;"&amp;M878)=0,1,0),0)</f>
        <v/>
      </c>
      <c r="O878">
        <f>IF(AND(F878="Booked",M878&lt;&gt;"",N(B878)&gt;=TODAY()),IF(COUNTIFS(Appointments!$D$6:$D$2005,D878,Appointments!$F$6:$F$2005,"Booked",Appointments!$B$6:$B$2005,"&gt;="&amp;TODAY(),Appointments!$M$6:$M$2005,"&lt;"&amp;M878)=0,1,0),0)</f>
        <v/>
      </c>
    </row>
    <row r="879">
      <c r="A879" s="1" t="n"/>
      <c r="B879" s="30" t="n">
        <v>46233</v>
      </c>
      <c r="C879" s="31" t="n">
        <v>0.5381944444444444</v>
      </c>
      <c r="D879" s="32" t="inlineStr">
        <is>
          <t>Ian Reed</t>
        </is>
      </c>
      <c r="E879" s="32" t="inlineStr">
        <is>
          <t>Men's haircut</t>
        </is>
      </c>
      <c r="F879" s="33" t="inlineStr">
        <is>
          <t>Done</t>
        </is>
      </c>
      <c r="G879" s="27">
        <f>IF(E879="","",MAX(0,IFERROR(INDEX(Services!$C$6:$C$35,MATCH(E879,Services!$B$6:$B$35,0)),0)-N(H879)))</f>
        <v/>
      </c>
      <c r="H879" s="34" t="n"/>
      <c r="I879" s="34" t="n">
        <v>30</v>
      </c>
      <c r="J879" s="33" t="inlineStr">
        <is>
          <t>App</t>
        </is>
      </c>
      <c r="K879" s="28">
        <f>IF(OR(B879="",F879&lt;&gt;"Done",J879="Package"),"",IF(N(G879)-N(I879)&gt;0,N(G879)-N(I879),""))</f>
        <v/>
      </c>
      <c r="L879" s="32" t="n"/>
      <c r="M879" s="1">
        <f>IF(OR(B879="",D879="",F879="Cancelled"),"",B879+N(C879)+ROW()/10000000)</f>
        <v/>
      </c>
      <c r="N879">
        <f>IF(AND(F879="Done",M879&lt;&gt;""),IF(COUNTIFS(Appointments!$D$6:$D$2005,D879,Appointments!$F$6:$F$2005,"Done",Appointments!$M$6:$M$2005,"&gt;"&amp;M879)=0,1,0),0)</f>
        <v/>
      </c>
      <c r="O879">
        <f>IF(AND(F879="Booked",M879&lt;&gt;"",N(B879)&gt;=TODAY()),IF(COUNTIFS(Appointments!$D$6:$D$2005,D879,Appointments!$F$6:$F$2005,"Booked",Appointments!$B$6:$B$2005,"&gt;="&amp;TODAY(),Appointments!$M$6:$M$2005,"&lt;"&amp;M879)=0,1,0),0)</f>
        <v/>
      </c>
    </row>
    <row r="880">
      <c r="A880" s="1" t="n"/>
      <c r="B880" s="30" t="n">
        <v>46233</v>
      </c>
      <c r="C880" s="31" t="n">
        <v>0.5659722222222222</v>
      </c>
      <c r="D880" s="32" t="inlineStr">
        <is>
          <t>Owen Lewis</t>
        </is>
      </c>
      <c r="E880" s="32" t="inlineStr">
        <is>
          <t>Men's haircut</t>
        </is>
      </c>
      <c r="F880" s="33" t="inlineStr">
        <is>
          <t>Done</t>
        </is>
      </c>
      <c r="G880" s="27">
        <f>IF(E880="","",MAX(0,IFERROR(INDEX(Services!$C$6:$C$35,MATCH(E880,Services!$B$6:$B$35,0)),0)-N(H880)))</f>
        <v/>
      </c>
      <c r="H880" s="34" t="n"/>
      <c r="I880" s="34" t="n">
        <v>30</v>
      </c>
      <c r="J880" s="33" t="inlineStr">
        <is>
          <t>Card</t>
        </is>
      </c>
      <c r="K880" s="28">
        <f>IF(OR(B880="",F880&lt;&gt;"Done",J880="Package"),"",IF(N(G880)-N(I880)&gt;0,N(G880)-N(I880),""))</f>
        <v/>
      </c>
      <c r="L880" s="32" t="n"/>
      <c r="M880" s="1">
        <f>IF(OR(B880="",D880="",F880="Cancelled"),"",B880+N(C880)+ROW()/10000000)</f>
        <v/>
      </c>
      <c r="N880">
        <f>IF(AND(F880="Done",M880&lt;&gt;""),IF(COUNTIFS(Appointments!$D$6:$D$2005,D880,Appointments!$F$6:$F$2005,"Done",Appointments!$M$6:$M$2005,"&gt;"&amp;M880)=0,1,0),0)</f>
        <v/>
      </c>
      <c r="O880">
        <f>IF(AND(F880="Booked",M880&lt;&gt;"",N(B880)&gt;=TODAY()),IF(COUNTIFS(Appointments!$D$6:$D$2005,D880,Appointments!$F$6:$F$2005,"Booked",Appointments!$B$6:$B$2005,"&gt;="&amp;TODAY(),Appointments!$M$6:$M$2005,"&lt;"&amp;M880)=0,1,0),0)</f>
        <v/>
      </c>
    </row>
    <row r="881">
      <c r="A881" s="1" t="n"/>
      <c r="B881" s="30" t="n">
        <v>46233</v>
      </c>
      <c r="C881" s="31" t="n">
        <v>0.59375</v>
      </c>
      <c r="D881" s="32" t="inlineStr">
        <is>
          <t>Tina Baker</t>
        </is>
      </c>
      <c r="E881" s="32" t="inlineStr">
        <is>
          <t>Colour</t>
        </is>
      </c>
      <c r="F881" s="33" t="inlineStr">
        <is>
          <t>Done</t>
        </is>
      </c>
      <c r="G881" s="27">
        <f>IF(E881="","",MAX(0,IFERROR(INDEX(Services!$C$6:$C$35,MATCH(E881,Services!$B$6:$B$35,0)),0)-N(H881)))</f>
        <v/>
      </c>
      <c r="H881" s="34" t="n"/>
      <c r="I881" s="34" t="n">
        <v>95</v>
      </c>
      <c r="J881" s="33" t="inlineStr">
        <is>
          <t>Card</t>
        </is>
      </c>
      <c r="K881" s="28">
        <f>IF(OR(B881="",F881&lt;&gt;"Done",J881="Package"),"",IF(N(G881)-N(I881)&gt;0,N(G881)-N(I881),""))</f>
        <v/>
      </c>
      <c r="L881" s="32" t="n"/>
      <c r="M881" s="1">
        <f>IF(OR(B881="",D881="",F881="Cancelled"),"",B881+N(C881)+ROW()/10000000)</f>
        <v/>
      </c>
      <c r="N881">
        <f>IF(AND(F881="Done",M881&lt;&gt;""),IF(COUNTIFS(Appointments!$D$6:$D$2005,D881,Appointments!$F$6:$F$2005,"Done",Appointments!$M$6:$M$2005,"&gt;"&amp;M881)=0,1,0),0)</f>
        <v/>
      </c>
      <c r="O881">
        <f>IF(AND(F881="Booked",M881&lt;&gt;"",N(B881)&gt;=TODAY()),IF(COUNTIFS(Appointments!$D$6:$D$2005,D881,Appointments!$F$6:$F$2005,"Booked",Appointments!$B$6:$B$2005,"&gt;="&amp;TODAY(),Appointments!$M$6:$M$2005,"&lt;"&amp;M881)=0,1,0),0)</f>
        <v/>
      </c>
    </row>
    <row r="882">
      <c r="A882" s="1" t="n"/>
      <c r="B882" s="30" t="n">
        <v>46234</v>
      </c>
      <c r="C882" s="31" t="n">
        <v>0.375</v>
      </c>
      <c r="D882" s="32" t="inlineStr">
        <is>
          <t>Ava Lewis</t>
        </is>
      </c>
      <c r="E882" s="32" t="inlineStr">
        <is>
          <t>Colour</t>
        </is>
      </c>
      <c r="F882" s="33" t="inlineStr">
        <is>
          <t>Done</t>
        </is>
      </c>
      <c r="G882" s="27">
        <f>IF(E882="","",MAX(0,IFERROR(INDEX(Services!$C$6:$C$35,MATCH(E882,Services!$B$6:$B$35,0)),0)-N(H882)))</f>
        <v/>
      </c>
      <c r="H882" s="34" t="n"/>
      <c r="I882" s="34" t="n">
        <v>95</v>
      </c>
      <c r="J882" s="33" t="inlineStr">
        <is>
          <t>Card</t>
        </is>
      </c>
      <c r="K882" s="28">
        <f>IF(OR(B882="",F882&lt;&gt;"Done",J882="Package"),"",IF(N(G882)-N(I882)&gt;0,N(G882)-N(I882),""))</f>
        <v/>
      </c>
      <c r="L882" s="32" t="n"/>
      <c r="M882" s="1">
        <f>IF(OR(B882="",D882="",F882="Cancelled"),"",B882+N(C882)+ROW()/10000000)</f>
        <v/>
      </c>
      <c r="N882">
        <f>IF(AND(F882="Done",M882&lt;&gt;""),IF(COUNTIFS(Appointments!$D$6:$D$2005,D882,Appointments!$F$6:$F$2005,"Done",Appointments!$M$6:$M$2005,"&gt;"&amp;M882)=0,1,0),0)</f>
        <v/>
      </c>
      <c r="O882">
        <f>IF(AND(F882="Booked",M882&lt;&gt;"",N(B882)&gt;=TODAY()),IF(COUNTIFS(Appointments!$D$6:$D$2005,D882,Appointments!$F$6:$F$2005,"Booked",Appointments!$B$6:$B$2005,"&gt;="&amp;TODAY(),Appointments!$M$6:$M$2005,"&lt;"&amp;M882)=0,1,0),0)</f>
        <v/>
      </c>
    </row>
    <row r="883">
      <c r="A883" s="1" t="n"/>
      <c r="B883" s="30" t="n">
        <v>46234</v>
      </c>
      <c r="C883" s="31" t="n">
        <v>0.4652777777777778</v>
      </c>
      <c r="D883" s="32" t="inlineStr">
        <is>
          <t>Chris Ellis</t>
        </is>
      </c>
      <c r="E883" s="32" t="inlineStr">
        <is>
          <t>Men's haircut</t>
        </is>
      </c>
      <c r="F883" s="33" t="inlineStr">
        <is>
          <t>Done</t>
        </is>
      </c>
      <c r="G883" s="27">
        <f>IF(E883="","",MAX(0,IFERROR(INDEX(Services!$C$6:$C$35,MATCH(E883,Services!$B$6:$B$35,0)),0)-N(H883)))</f>
        <v/>
      </c>
      <c r="H883" s="34" t="n"/>
      <c r="I883" s="34" t="n">
        <v>30</v>
      </c>
      <c r="J883" s="33" t="inlineStr">
        <is>
          <t>Cash</t>
        </is>
      </c>
      <c r="K883" s="28">
        <f>IF(OR(B883="",F883&lt;&gt;"Done",J883="Package"),"",IF(N(G883)-N(I883)&gt;0,N(G883)-N(I883),""))</f>
        <v/>
      </c>
      <c r="L883" s="32" t="n"/>
      <c r="M883" s="1">
        <f>IF(OR(B883="",D883="",F883="Cancelled"),"",B883+N(C883)+ROW()/10000000)</f>
        <v/>
      </c>
      <c r="N883">
        <f>IF(AND(F883="Done",M883&lt;&gt;""),IF(COUNTIFS(Appointments!$D$6:$D$2005,D883,Appointments!$F$6:$F$2005,"Done",Appointments!$M$6:$M$2005,"&gt;"&amp;M883)=0,1,0),0)</f>
        <v/>
      </c>
      <c r="O883">
        <f>IF(AND(F883="Booked",M883&lt;&gt;"",N(B883)&gt;=TODAY()),IF(COUNTIFS(Appointments!$D$6:$D$2005,D883,Appointments!$F$6:$F$2005,"Booked",Appointments!$B$6:$B$2005,"&gt;="&amp;TODAY(),Appointments!$M$6:$M$2005,"&lt;"&amp;M883)=0,1,0),0)</f>
        <v/>
      </c>
    </row>
    <row r="884">
      <c r="A884" s="1" t="n"/>
      <c r="B884" s="30" t="n">
        <v>46234</v>
      </c>
      <c r="C884" s="31" t="n">
        <v>0.4930555555555556</v>
      </c>
      <c r="D884" s="32" t="inlineStr">
        <is>
          <t>Finn Price</t>
        </is>
      </c>
      <c r="E884" s="32" t="inlineStr">
        <is>
          <t>Men's haircut</t>
        </is>
      </c>
      <c r="F884" s="33" t="inlineStr">
        <is>
          <t>Done</t>
        </is>
      </c>
      <c r="G884" s="27">
        <f>IF(E884="","",MAX(0,IFERROR(INDEX(Services!$C$6:$C$35,MATCH(E884,Services!$B$6:$B$35,0)),0)-N(H884)))</f>
        <v/>
      </c>
      <c r="H884" s="34" t="n"/>
      <c r="I884" s="34" t="n">
        <v>30</v>
      </c>
      <c r="J884" s="33" t="inlineStr">
        <is>
          <t>Transfer</t>
        </is>
      </c>
      <c r="K884" s="28">
        <f>IF(OR(B884="",F884&lt;&gt;"Done",J884="Package"),"",IF(N(G884)-N(I884)&gt;0,N(G884)-N(I884),""))</f>
        <v/>
      </c>
      <c r="L884" s="32" t="n"/>
      <c r="M884" s="1">
        <f>IF(OR(B884="",D884="",F884="Cancelled"),"",B884+N(C884)+ROW()/10000000)</f>
        <v/>
      </c>
      <c r="N884">
        <f>IF(AND(F884="Done",M884&lt;&gt;""),IF(COUNTIFS(Appointments!$D$6:$D$2005,D884,Appointments!$F$6:$F$2005,"Done",Appointments!$M$6:$M$2005,"&gt;"&amp;M884)=0,1,0),0)</f>
        <v/>
      </c>
      <c r="O884">
        <f>IF(AND(F884="Booked",M884&lt;&gt;"",N(B884)&gt;=TODAY()),IF(COUNTIFS(Appointments!$D$6:$D$2005,D884,Appointments!$F$6:$F$2005,"Booked",Appointments!$B$6:$B$2005,"&gt;="&amp;TODAY(),Appointments!$M$6:$M$2005,"&lt;"&amp;M884)=0,1,0),0)</f>
        <v/>
      </c>
    </row>
    <row r="885">
      <c r="A885" s="1" t="n"/>
      <c r="B885" s="30" t="n">
        <v>46234</v>
      </c>
      <c r="C885" s="31" t="n">
        <v>0.5208333333333334</v>
      </c>
      <c r="D885" s="32" t="inlineStr">
        <is>
          <t>Gina Adams</t>
        </is>
      </c>
      <c r="E885" s="32" t="inlineStr">
        <is>
          <t>Toner</t>
        </is>
      </c>
      <c r="F885" s="33" t="inlineStr">
        <is>
          <t>Done</t>
        </is>
      </c>
      <c r="G885" s="27">
        <f>IF(E885="","",MAX(0,IFERROR(INDEX(Services!$C$6:$C$35,MATCH(E885,Services!$B$6:$B$35,0)),0)-N(H885)))</f>
        <v/>
      </c>
      <c r="H885" s="34" t="n"/>
      <c r="I885" s="34" t="n">
        <v>40</v>
      </c>
      <c r="J885" s="33" t="inlineStr">
        <is>
          <t>Cash</t>
        </is>
      </c>
      <c r="K885" s="28">
        <f>IF(OR(B885="",F885&lt;&gt;"Done",J885="Package"),"",IF(N(G885)-N(I885)&gt;0,N(G885)-N(I885),""))</f>
        <v/>
      </c>
      <c r="L885" s="32" t="n"/>
      <c r="M885" s="1">
        <f>IF(OR(B885="",D885="",F885="Cancelled"),"",B885+N(C885)+ROW()/10000000)</f>
        <v/>
      </c>
      <c r="N885">
        <f>IF(AND(F885="Done",M885&lt;&gt;""),IF(COUNTIFS(Appointments!$D$6:$D$2005,D885,Appointments!$F$6:$F$2005,"Done",Appointments!$M$6:$M$2005,"&gt;"&amp;M885)=0,1,0),0)</f>
        <v/>
      </c>
      <c r="O885">
        <f>IF(AND(F885="Booked",M885&lt;&gt;"",N(B885)&gt;=TODAY()),IF(COUNTIFS(Appointments!$D$6:$D$2005,D885,Appointments!$F$6:$F$2005,"Booked",Appointments!$B$6:$B$2005,"&gt;="&amp;TODAY(),Appointments!$M$6:$M$2005,"&lt;"&amp;M885)=0,1,0),0)</f>
        <v/>
      </c>
    </row>
    <row r="886">
      <c r="A886" s="1" t="n"/>
      <c r="B886" s="30" t="n">
        <v>46234</v>
      </c>
      <c r="C886" s="31" t="n">
        <v>0.5486111111111112</v>
      </c>
      <c r="D886" s="32" t="inlineStr">
        <is>
          <t>Owen Walsh</t>
        </is>
      </c>
      <c r="E886" s="32" t="inlineStr">
        <is>
          <t>Men's haircut</t>
        </is>
      </c>
      <c r="F886" s="33" t="inlineStr">
        <is>
          <t>Done</t>
        </is>
      </c>
      <c r="G886" s="27">
        <f>IF(E886="","",MAX(0,IFERROR(INDEX(Services!$C$6:$C$35,MATCH(E886,Services!$B$6:$B$35,0)),0)-N(H886)))</f>
        <v/>
      </c>
      <c r="H886" s="34" t="n"/>
      <c r="I886" s="34" t="n">
        <v>30</v>
      </c>
      <c r="J886" s="33" t="inlineStr">
        <is>
          <t>Card</t>
        </is>
      </c>
      <c r="K886" s="28">
        <f>IF(OR(B886="",F886&lt;&gt;"Done",J886="Package"),"",IF(N(G886)-N(I886)&gt;0,N(G886)-N(I886),""))</f>
        <v/>
      </c>
      <c r="L886" s="32" t="n"/>
      <c r="M886" s="1">
        <f>IF(OR(B886="",D886="",F886="Cancelled"),"",B886+N(C886)+ROW()/10000000)</f>
        <v/>
      </c>
      <c r="N886">
        <f>IF(AND(F886="Done",M886&lt;&gt;""),IF(COUNTIFS(Appointments!$D$6:$D$2005,D886,Appointments!$F$6:$F$2005,"Done",Appointments!$M$6:$M$2005,"&gt;"&amp;M886)=0,1,0),0)</f>
        <v/>
      </c>
      <c r="O886">
        <f>IF(AND(F886="Booked",M886&lt;&gt;"",N(B886)&gt;=TODAY()),IF(COUNTIFS(Appointments!$D$6:$D$2005,D886,Appointments!$F$6:$F$2005,"Booked",Appointments!$B$6:$B$2005,"&gt;="&amp;TODAY(),Appointments!$M$6:$M$2005,"&lt;"&amp;M886)=0,1,0),0)</f>
        <v/>
      </c>
    </row>
    <row r="887">
      <c r="A887" s="1" t="n"/>
      <c r="B887" s="30" t="n">
        <v>46235</v>
      </c>
      <c r="C887" s="31" t="n">
        <v>0.375</v>
      </c>
      <c r="D887" s="32" t="inlineStr">
        <is>
          <t>Adam King</t>
        </is>
      </c>
      <c r="E887" s="32" t="inlineStr">
        <is>
          <t>Men's haircut</t>
        </is>
      </c>
      <c r="F887" s="33" t="inlineStr">
        <is>
          <t>Done</t>
        </is>
      </c>
      <c r="G887" s="27">
        <f>IF(E887="","",MAX(0,IFERROR(INDEX(Services!$C$6:$C$35,MATCH(E887,Services!$B$6:$B$35,0)),0)-N(H887)))</f>
        <v/>
      </c>
      <c r="H887" s="34" t="n"/>
      <c r="I887" s="34" t="n">
        <v>30</v>
      </c>
      <c r="J887" s="33" t="inlineStr">
        <is>
          <t>App</t>
        </is>
      </c>
      <c r="K887" s="28">
        <f>IF(OR(B887="",F887&lt;&gt;"Done",J887="Package"),"",IF(N(G887)-N(I887)&gt;0,N(G887)-N(I887),""))</f>
        <v/>
      </c>
      <c r="L887" s="32" t="n"/>
      <c r="M887" s="1">
        <f>IF(OR(B887="",D887="",F887="Cancelled"),"",B887+N(C887)+ROW()/10000000)</f>
        <v/>
      </c>
      <c r="N887">
        <f>IF(AND(F887="Done",M887&lt;&gt;""),IF(COUNTIFS(Appointments!$D$6:$D$2005,D887,Appointments!$F$6:$F$2005,"Done",Appointments!$M$6:$M$2005,"&gt;"&amp;M887)=0,1,0),0)</f>
        <v/>
      </c>
      <c r="O887">
        <f>IF(AND(F887="Booked",M887&lt;&gt;"",N(B887)&gt;=TODAY()),IF(COUNTIFS(Appointments!$D$6:$D$2005,D887,Appointments!$F$6:$F$2005,"Booked",Appointments!$B$6:$B$2005,"&gt;="&amp;TODAY(),Appointments!$M$6:$M$2005,"&lt;"&amp;M887)=0,1,0),0)</f>
        <v/>
      </c>
    </row>
    <row r="888">
      <c r="A888" s="1" t="n"/>
      <c r="B888" s="30" t="n">
        <v>46235</v>
      </c>
      <c r="C888" s="31" t="n">
        <v>0.4027777777777778</v>
      </c>
      <c r="D888" s="32" t="inlineStr">
        <is>
          <t>Holly Fox</t>
        </is>
      </c>
      <c r="E888" s="32" t="inlineStr">
        <is>
          <t>Blow dry</t>
        </is>
      </c>
      <c r="F888" s="33" t="inlineStr">
        <is>
          <t>Done</t>
        </is>
      </c>
      <c r="G888" s="27">
        <f>IF(E888="","",MAX(0,IFERROR(INDEX(Services!$C$6:$C$35,MATCH(E888,Services!$B$6:$B$35,0)),0)-N(H888)))</f>
        <v/>
      </c>
      <c r="H888" s="34" t="n"/>
      <c r="I888" s="34" t="n">
        <v>35</v>
      </c>
      <c r="J888" s="33" t="inlineStr">
        <is>
          <t>Card</t>
        </is>
      </c>
      <c r="K888" s="28">
        <f>IF(OR(B888="",F888&lt;&gt;"Done",J888="Package"),"",IF(N(G888)-N(I888)&gt;0,N(G888)-N(I888),""))</f>
        <v/>
      </c>
      <c r="L888" s="32" t="n"/>
      <c r="M888" s="1">
        <f>IF(OR(B888="",D888="",F888="Cancelled"),"",B888+N(C888)+ROW()/10000000)</f>
        <v/>
      </c>
      <c r="N888">
        <f>IF(AND(F888="Done",M888&lt;&gt;""),IF(COUNTIFS(Appointments!$D$6:$D$2005,D888,Appointments!$F$6:$F$2005,"Done",Appointments!$M$6:$M$2005,"&gt;"&amp;M888)=0,1,0),0)</f>
        <v/>
      </c>
      <c r="O888">
        <f>IF(AND(F888="Booked",M888&lt;&gt;"",N(B888)&gt;=TODAY()),IF(COUNTIFS(Appointments!$D$6:$D$2005,D888,Appointments!$F$6:$F$2005,"Booked",Appointments!$B$6:$B$2005,"&gt;="&amp;TODAY(),Appointments!$M$6:$M$2005,"&lt;"&amp;M888)=0,1,0),0)</f>
        <v/>
      </c>
    </row>
    <row r="889">
      <c r="A889" s="1" t="n"/>
      <c r="B889" s="30" t="n">
        <v>46238</v>
      </c>
      <c r="C889" s="31" t="n">
        <v>0.375</v>
      </c>
      <c r="D889" s="32" t="inlineStr">
        <is>
          <t>Harry Cox</t>
        </is>
      </c>
      <c r="E889" s="32" t="inlineStr">
        <is>
          <t>Men's haircut</t>
        </is>
      </c>
      <c r="F889" s="33" t="inlineStr">
        <is>
          <t>Done</t>
        </is>
      </c>
      <c r="G889" s="27">
        <f>IF(E889="","",MAX(0,IFERROR(INDEX(Services!$C$6:$C$35,MATCH(E889,Services!$B$6:$B$35,0)),0)-N(H889)))</f>
        <v/>
      </c>
      <c r="H889" s="34" t="n"/>
      <c r="I889" s="34" t="n">
        <v>30</v>
      </c>
      <c r="J889" s="33" t="inlineStr">
        <is>
          <t>Card</t>
        </is>
      </c>
      <c r="K889" s="28">
        <f>IF(OR(B889="",F889&lt;&gt;"Done",J889="Package"),"",IF(N(G889)-N(I889)&gt;0,N(G889)-N(I889),""))</f>
        <v/>
      </c>
      <c r="L889" s="32" t="n"/>
      <c r="M889" s="1">
        <f>IF(OR(B889="",D889="",F889="Cancelled"),"",B889+N(C889)+ROW()/10000000)</f>
        <v/>
      </c>
      <c r="N889">
        <f>IF(AND(F889="Done",M889&lt;&gt;""),IF(COUNTIFS(Appointments!$D$6:$D$2005,D889,Appointments!$F$6:$F$2005,"Done",Appointments!$M$6:$M$2005,"&gt;"&amp;M889)=0,1,0),0)</f>
        <v/>
      </c>
      <c r="O889">
        <f>IF(AND(F889="Booked",M889&lt;&gt;"",N(B889)&gt;=TODAY()),IF(COUNTIFS(Appointments!$D$6:$D$2005,D889,Appointments!$F$6:$F$2005,"Booked",Appointments!$B$6:$B$2005,"&gt;="&amp;TODAY(),Appointments!$M$6:$M$2005,"&lt;"&amp;M889)=0,1,0),0)</f>
        <v/>
      </c>
    </row>
    <row r="890">
      <c r="A890" s="1" t="n"/>
      <c r="B890" s="30" t="n">
        <v>46238</v>
      </c>
      <c r="C890" s="31" t="n">
        <v>0.4027777777777778</v>
      </c>
      <c r="D890" s="32" t="inlineStr">
        <is>
          <t>Jon Reid</t>
        </is>
      </c>
      <c r="E890" s="32" t="inlineStr">
        <is>
          <t>Men's haircut</t>
        </is>
      </c>
      <c r="F890" s="33" t="inlineStr">
        <is>
          <t>Done</t>
        </is>
      </c>
      <c r="G890" s="27">
        <f>IF(E890="","",MAX(0,IFERROR(INDEX(Services!$C$6:$C$35,MATCH(E890,Services!$B$6:$B$35,0)),0)-N(H890)))</f>
        <v/>
      </c>
      <c r="H890" s="34" t="n"/>
      <c r="I890" s="34" t="n">
        <v>30</v>
      </c>
      <c r="J890" s="33" t="inlineStr">
        <is>
          <t>Cash</t>
        </is>
      </c>
      <c r="K890" s="28">
        <f>IF(OR(B890="",F890&lt;&gt;"Done",J890="Package"),"",IF(N(G890)-N(I890)&gt;0,N(G890)-N(I890),""))</f>
        <v/>
      </c>
      <c r="L890" s="32" t="n"/>
      <c r="M890" s="1">
        <f>IF(OR(B890="",D890="",F890="Cancelled"),"",B890+N(C890)+ROW()/10000000)</f>
        <v/>
      </c>
      <c r="N890">
        <f>IF(AND(F890="Done",M890&lt;&gt;""),IF(COUNTIFS(Appointments!$D$6:$D$2005,D890,Appointments!$F$6:$F$2005,"Done",Appointments!$M$6:$M$2005,"&gt;"&amp;M890)=0,1,0),0)</f>
        <v/>
      </c>
      <c r="O890">
        <f>IF(AND(F890="Booked",M890&lt;&gt;"",N(B890)&gt;=TODAY()),IF(COUNTIFS(Appointments!$D$6:$D$2005,D890,Appointments!$F$6:$F$2005,"Booked",Appointments!$B$6:$B$2005,"&gt;="&amp;TODAY(),Appointments!$M$6:$M$2005,"&lt;"&amp;M890)=0,1,0),0)</f>
        <v/>
      </c>
    </row>
    <row r="891">
      <c r="A891" s="1" t="n"/>
      <c r="B891" s="30" t="n">
        <v>46238</v>
      </c>
      <c r="C891" s="31" t="n">
        <v>0.4305555555555556</v>
      </c>
      <c r="D891" s="32" t="inlineStr">
        <is>
          <t>Maya Patel</t>
        </is>
      </c>
      <c r="E891" s="32" t="inlineStr">
        <is>
          <t>Treatment</t>
        </is>
      </c>
      <c r="F891" s="33" t="inlineStr">
        <is>
          <t>Done</t>
        </is>
      </c>
      <c r="G891" s="27">
        <f>IF(E891="","",MAX(0,IFERROR(INDEX(Services!$C$6:$C$35,MATCH(E891,Services!$B$6:$B$35,0)),0)-N(H891)))</f>
        <v/>
      </c>
      <c r="H891" s="34" t="n"/>
      <c r="I891" s="34" t="n"/>
      <c r="J891" s="33" t="inlineStr">
        <is>
          <t>Package</t>
        </is>
      </c>
      <c r="K891" s="28">
        <f>IF(OR(B891="",F891&lt;&gt;"Done",J891="Package"),"",IF(N(G891)-N(I891)&gt;0,N(G891)-N(I891),""))</f>
        <v/>
      </c>
      <c r="L891" s="32" t="n"/>
      <c r="M891" s="1">
        <f>IF(OR(B891="",D891="",F891="Cancelled"),"",B891+N(C891)+ROW()/10000000)</f>
        <v/>
      </c>
      <c r="N891">
        <f>IF(AND(F891="Done",M891&lt;&gt;""),IF(COUNTIFS(Appointments!$D$6:$D$2005,D891,Appointments!$F$6:$F$2005,"Done",Appointments!$M$6:$M$2005,"&gt;"&amp;M891)=0,1,0),0)</f>
        <v/>
      </c>
      <c r="O891">
        <f>IF(AND(F891="Booked",M891&lt;&gt;"",N(B891)&gt;=TODAY()),IF(COUNTIFS(Appointments!$D$6:$D$2005,D891,Appointments!$F$6:$F$2005,"Booked",Appointments!$B$6:$B$2005,"&gt;="&amp;TODAY(),Appointments!$M$6:$M$2005,"&lt;"&amp;M891)=0,1,0),0)</f>
        <v/>
      </c>
    </row>
    <row r="892">
      <c r="A892" s="1" t="n"/>
      <c r="B892" s="30" t="n">
        <v>46238</v>
      </c>
      <c r="C892" s="31" t="n">
        <v>0.4583333333333333</v>
      </c>
      <c r="D892" s="32" t="inlineStr">
        <is>
          <t>Sam Clarke</t>
        </is>
      </c>
      <c r="E892" s="32" t="inlineStr">
        <is>
          <t>Men's haircut</t>
        </is>
      </c>
      <c r="F892" s="33" t="inlineStr">
        <is>
          <t>Done</t>
        </is>
      </c>
      <c r="G892" s="27">
        <f>IF(E892="","",MAX(0,IFERROR(INDEX(Services!$C$6:$C$35,MATCH(E892,Services!$B$6:$B$35,0)),0)-N(H892)))</f>
        <v/>
      </c>
      <c r="H892" s="34" t="n"/>
      <c r="I892" s="34" t="n">
        <v>30</v>
      </c>
      <c r="J892" s="33" t="inlineStr">
        <is>
          <t>Card</t>
        </is>
      </c>
      <c r="K892" s="28">
        <f>IF(OR(B892="",F892&lt;&gt;"Done",J892="Package"),"",IF(N(G892)-N(I892)&gt;0,N(G892)-N(I892),""))</f>
        <v/>
      </c>
      <c r="L892" s="32" t="n"/>
      <c r="M892" s="1">
        <f>IF(OR(B892="",D892="",F892="Cancelled"),"",B892+N(C892)+ROW()/10000000)</f>
        <v/>
      </c>
      <c r="N892">
        <f>IF(AND(F892="Done",M892&lt;&gt;""),IF(COUNTIFS(Appointments!$D$6:$D$2005,D892,Appointments!$F$6:$F$2005,"Done",Appointments!$M$6:$M$2005,"&gt;"&amp;M892)=0,1,0),0)</f>
        <v/>
      </c>
      <c r="O892">
        <f>IF(AND(F892="Booked",M892&lt;&gt;"",N(B892)&gt;=TODAY()),IF(COUNTIFS(Appointments!$D$6:$D$2005,D892,Appointments!$F$6:$F$2005,"Booked",Appointments!$B$6:$B$2005,"&gt;="&amp;TODAY(),Appointments!$M$6:$M$2005,"&lt;"&amp;M892)=0,1,0),0)</f>
        <v/>
      </c>
    </row>
    <row r="893">
      <c r="A893" s="1" t="n"/>
      <c r="B893" s="30" t="n">
        <v>46238</v>
      </c>
      <c r="C893" s="31" t="n">
        <v>0.4861111111111111</v>
      </c>
      <c r="D893" s="32" t="inlineStr">
        <is>
          <t>Sara Ward</t>
        </is>
      </c>
      <c r="E893" s="32" t="inlineStr">
        <is>
          <t>Treatment</t>
        </is>
      </c>
      <c r="F893" s="33" t="inlineStr">
        <is>
          <t>Done</t>
        </is>
      </c>
      <c r="G893" s="27">
        <f>IF(E893="","",MAX(0,IFERROR(INDEX(Services!$C$6:$C$35,MATCH(E893,Services!$B$6:$B$35,0)),0)-N(H893)))</f>
        <v/>
      </c>
      <c r="H893" s="34" t="n"/>
      <c r="I893" s="34" t="n">
        <v>30</v>
      </c>
      <c r="J893" s="33" t="inlineStr">
        <is>
          <t>Cash</t>
        </is>
      </c>
      <c r="K893" s="28">
        <f>IF(OR(B893="",F893&lt;&gt;"Done",J893="Package"),"",IF(N(G893)-N(I893)&gt;0,N(G893)-N(I893),""))</f>
        <v/>
      </c>
      <c r="L893" s="32" t="n"/>
      <c r="M893" s="1">
        <f>IF(OR(B893="",D893="",F893="Cancelled"),"",B893+N(C893)+ROW()/10000000)</f>
        <v/>
      </c>
      <c r="N893">
        <f>IF(AND(F893="Done",M893&lt;&gt;""),IF(COUNTIFS(Appointments!$D$6:$D$2005,D893,Appointments!$F$6:$F$2005,"Done",Appointments!$M$6:$M$2005,"&gt;"&amp;M893)=0,1,0),0)</f>
        <v/>
      </c>
      <c r="O893">
        <f>IF(AND(F893="Booked",M893&lt;&gt;"",N(B893)&gt;=TODAY()),IF(COUNTIFS(Appointments!$D$6:$D$2005,D893,Appointments!$F$6:$F$2005,"Booked",Appointments!$B$6:$B$2005,"&gt;="&amp;TODAY(),Appointments!$M$6:$M$2005,"&lt;"&amp;M893)=0,1,0),0)</f>
        <v/>
      </c>
    </row>
    <row r="894">
      <c r="A894" s="1" t="n"/>
      <c r="B894" s="30" t="n">
        <v>46238</v>
      </c>
      <c r="C894" s="31" t="n">
        <v>0.5138888888888888</v>
      </c>
      <c r="D894" s="32" t="inlineStr">
        <is>
          <t>Uma Nair</t>
        </is>
      </c>
      <c r="E894" s="32" t="inlineStr">
        <is>
          <t>Women's haircut</t>
        </is>
      </c>
      <c r="F894" s="33" t="inlineStr">
        <is>
          <t>Done</t>
        </is>
      </c>
      <c r="G894" s="27">
        <f>IF(E894="","",MAX(0,IFERROR(INDEX(Services!$C$6:$C$35,MATCH(E894,Services!$B$6:$B$35,0)),0)-N(H894)))</f>
        <v/>
      </c>
      <c r="H894" s="34" t="n"/>
      <c r="I894" s="34" t="n">
        <v>55</v>
      </c>
      <c r="J894" s="33" t="inlineStr">
        <is>
          <t>Transfer</t>
        </is>
      </c>
      <c r="K894" s="28">
        <f>IF(OR(B894="",F894&lt;&gt;"Done",J894="Package"),"",IF(N(G894)-N(I894)&gt;0,N(G894)-N(I894),""))</f>
        <v/>
      </c>
      <c r="L894" s="32" t="n"/>
      <c r="M894" s="1">
        <f>IF(OR(B894="",D894="",F894="Cancelled"),"",B894+N(C894)+ROW()/10000000)</f>
        <v/>
      </c>
      <c r="N894">
        <f>IF(AND(F894="Done",M894&lt;&gt;""),IF(COUNTIFS(Appointments!$D$6:$D$2005,D894,Appointments!$F$6:$F$2005,"Done",Appointments!$M$6:$M$2005,"&gt;"&amp;M894)=0,1,0),0)</f>
        <v/>
      </c>
      <c r="O894">
        <f>IF(AND(F894="Booked",M894&lt;&gt;"",N(B894)&gt;=TODAY()),IF(COUNTIFS(Appointments!$D$6:$D$2005,D894,Appointments!$F$6:$F$2005,"Booked",Appointments!$B$6:$B$2005,"&gt;="&amp;TODAY(),Appointments!$M$6:$M$2005,"&lt;"&amp;M894)=0,1,0),0)</f>
        <v/>
      </c>
    </row>
    <row r="895">
      <c r="A895" s="1" t="n"/>
      <c r="B895" s="30" t="n">
        <v>46238</v>
      </c>
      <c r="C895" s="31" t="n">
        <v>0.5625</v>
      </c>
      <c r="D895" s="32" t="inlineStr">
        <is>
          <t>Victor Lane</t>
        </is>
      </c>
      <c r="E895" s="32" t="inlineStr">
        <is>
          <t>Men's haircut</t>
        </is>
      </c>
      <c r="F895" s="33" t="inlineStr">
        <is>
          <t>Done</t>
        </is>
      </c>
      <c r="G895" s="27">
        <f>IF(E895="","",MAX(0,IFERROR(INDEX(Services!$C$6:$C$35,MATCH(E895,Services!$B$6:$B$35,0)),0)-N(H895)))</f>
        <v/>
      </c>
      <c r="H895" s="34" t="n"/>
      <c r="I895" s="34" t="n">
        <v>30</v>
      </c>
      <c r="J895" s="33" t="inlineStr">
        <is>
          <t>Cash</t>
        </is>
      </c>
      <c r="K895" s="28">
        <f>IF(OR(B895="",F895&lt;&gt;"Done",J895="Package"),"",IF(N(G895)-N(I895)&gt;0,N(G895)-N(I895),""))</f>
        <v/>
      </c>
      <c r="L895" s="32" t="n"/>
      <c r="M895" s="1">
        <f>IF(OR(B895="",D895="",F895="Cancelled"),"",B895+N(C895)+ROW()/10000000)</f>
        <v/>
      </c>
      <c r="N895">
        <f>IF(AND(F895="Done",M895&lt;&gt;""),IF(COUNTIFS(Appointments!$D$6:$D$2005,D895,Appointments!$F$6:$F$2005,"Done",Appointments!$M$6:$M$2005,"&gt;"&amp;M895)=0,1,0),0)</f>
        <v/>
      </c>
      <c r="O895">
        <f>IF(AND(F895="Booked",M895&lt;&gt;"",N(B895)&gt;=TODAY()),IF(COUNTIFS(Appointments!$D$6:$D$2005,D895,Appointments!$F$6:$F$2005,"Booked",Appointments!$B$6:$B$2005,"&gt;="&amp;TODAY(),Appointments!$M$6:$M$2005,"&lt;"&amp;M895)=0,1,0),0)</f>
        <v/>
      </c>
    </row>
    <row r="896">
      <c r="A896" s="1" t="n"/>
      <c r="B896" s="30" t="n">
        <v>46239</v>
      </c>
      <c r="C896" s="31" t="n">
        <v>0.375</v>
      </c>
      <c r="D896" s="32" t="inlineStr">
        <is>
          <t>Dina Baker</t>
        </is>
      </c>
      <c r="E896" s="32" t="inlineStr">
        <is>
          <t>Women's haircut</t>
        </is>
      </c>
      <c r="F896" s="33" t="inlineStr">
        <is>
          <t>Done</t>
        </is>
      </c>
      <c r="G896" s="27">
        <f>IF(E896="","",MAX(0,IFERROR(INDEX(Services!$C$6:$C$35,MATCH(E896,Services!$B$6:$B$35,0)),0)-N(H896)))</f>
        <v/>
      </c>
      <c r="H896" s="34" t="n">
        <v>10</v>
      </c>
      <c r="I896" s="34" t="n">
        <v>45</v>
      </c>
      <c r="J896" s="33" t="inlineStr">
        <is>
          <t>Cash</t>
        </is>
      </c>
      <c r="K896" s="28">
        <f>IF(OR(B896="",F896&lt;&gt;"Done",J896="Package"),"",IF(N(G896)-N(I896)&gt;0,N(G896)-N(I896),""))</f>
        <v/>
      </c>
      <c r="L896" s="32" t="inlineStr">
        <is>
          <t>Friends and family</t>
        </is>
      </c>
      <c r="M896" s="1">
        <f>IF(OR(B896="",D896="",F896="Cancelled"),"",B896+N(C896)+ROW()/10000000)</f>
        <v/>
      </c>
      <c r="N896">
        <f>IF(AND(F896="Done",M896&lt;&gt;""),IF(COUNTIFS(Appointments!$D$6:$D$2005,D896,Appointments!$F$6:$F$2005,"Done",Appointments!$M$6:$M$2005,"&gt;"&amp;M896)=0,1,0),0)</f>
        <v/>
      </c>
      <c r="O896">
        <f>IF(AND(F896="Booked",M896&lt;&gt;"",N(B896)&gt;=TODAY()),IF(COUNTIFS(Appointments!$D$6:$D$2005,D896,Appointments!$F$6:$F$2005,"Booked",Appointments!$B$6:$B$2005,"&gt;="&amp;TODAY(),Appointments!$M$6:$M$2005,"&lt;"&amp;M896)=0,1,0),0)</f>
        <v/>
      </c>
    </row>
    <row r="897">
      <c r="A897" s="1" t="n"/>
      <c r="B897" s="30" t="n">
        <v>46239</v>
      </c>
      <c r="C897" s="31" t="n">
        <v>0.4236111111111111</v>
      </c>
      <c r="D897" s="32" t="inlineStr">
        <is>
          <t>Eli Hughes</t>
        </is>
      </c>
      <c r="E897" s="32" t="inlineStr">
        <is>
          <t>Men's haircut</t>
        </is>
      </c>
      <c r="F897" s="33" t="inlineStr">
        <is>
          <t>Done</t>
        </is>
      </c>
      <c r="G897" s="27">
        <f>IF(E897="","",MAX(0,IFERROR(INDEX(Services!$C$6:$C$35,MATCH(E897,Services!$B$6:$B$35,0)),0)-N(H897)))</f>
        <v/>
      </c>
      <c r="H897" s="34" t="n"/>
      <c r="I897" s="34" t="n">
        <v>30</v>
      </c>
      <c r="J897" s="33" t="inlineStr">
        <is>
          <t>Transfer</t>
        </is>
      </c>
      <c r="K897" s="28">
        <f>IF(OR(B897="",F897&lt;&gt;"Done",J897="Package"),"",IF(N(G897)-N(I897)&gt;0,N(G897)-N(I897),""))</f>
        <v/>
      </c>
      <c r="L897" s="32" t="n"/>
      <c r="M897" s="1">
        <f>IF(OR(B897="",D897="",F897="Cancelled"),"",B897+N(C897)+ROW()/10000000)</f>
        <v/>
      </c>
      <c r="N897">
        <f>IF(AND(F897="Done",M897&lt;&gt;""),IF(COUNTIFS(Appointments!$D$6:$D$2005,D897,Appointments!$F$6:$F$2005,"Done",Appointments!$M$6:$M$2005,"&gt;"&amp;M897)=0,1,0),0)</f>
        <v/>
      </c>
      <c r="O897">
        <f>IF(AND(F897="Booked",M897&lt;&gt;"",N(B897)&gt;=TODAY()),IF(COUNTIFS(Appointments!$D$6:$D$2005,D897,Appointments!$F$6:$F$2005,"Booked",Appointments!$B$6:$B$2005,"&gt;="&amp;TODAY(),Appointments!$M$6:$M$2005,"&lt;"&amp;M897)=0,1,0),0)</f>
        <v/>
      </c>
    </row>
    <row r="898">
      <c r="A898" s="1" t="n"/>
      <c r="B898" s="30" t="n">
        <v>46239</v>
      </c>
      <c r="C898" s="31" t="n">
        <v>0.4513888888888889</v>
      </c>
      <c r="D898" s="32" t="inlineStr">
        <is>
          <t>Harry Ellis</t>
        </is>
      </c>
      <c r="E898" s="32" t="inlineStr">
        <is>
          <t>Men's haircut</t>
        </is>
      </c>
      <c r="F898" s="33" t="inlineStr">
        <is>
          <t>Done</t>
        </is>
      </c>
      <c r="G898" s="27">
        <f>IF(E898="","",MAX(0,IFERROR(INDEX(Services!$C$6:$C$35,MATCH(E898,Services!$B$6:$B$35,0)),0)-N(H898)))</f>
        <v/>
      </c>
      <c r="H898" s="34" t="n"/>
      <c r="I898" s="34" t="n">
        <v>30</v>
      </c>
      <c r="J898" s="33" t="inlineStr">
        <is>
          <t>Card</t>
        </is>
      </c>
      <c r="K898" s="28">
        <f>IF(OR(B898="",F898&lt;&gt;"Done",J898="Package"),"",IF(N(G898)-N(I898)&gt;0,N(G898)-N(I898),""))</f>
        <v/>
      </c>
      <c r="L898" s="32" t="n"/>
      <c r="M898" s="1">
        <f>IF(OR(B898="",D898="",F898="Cancelled"),"",B898+N(C898)+ROW()/10000000)</f>
        <v/>
      </c>
      <c r="N898">
        <f>IF(AND(F898="Done",M898&lt;&gt;""),IF(COUNTIFS(Appointments!$D$6:$D$2005,D898,Appointments!$F$6:$F$2005,"Done",Appointments!$M$6:$M$2005,"&gt;"&amp;M898)=0,1,0),0)</f>
        <v/>
      </c>
      <c r="O898">
        <f>IF(AND(F898="Booked",M898&lt;&gt;"",N(B898)&gt;=TODAY()),IF(COUNTIFS(Appointments!$D$6:$D$2005,D898,Appointments!$F$6:$F$2005,"Booked",Appointments!$B$6:$B$2005,"&gt;="&amp;TODAY(),Appointments!$M$6:$M$2005,"&lt;"&amp;M898)=0,1,0),0)</f>
        <v/>
      </c>
    </row>
    <row r="899">
      <c r="A899" s="1" t="n"/>
      <c r="B899" s="30" t="n">
        <v>46239</v>
      </c>
      <c r="C899" s="31" t="n">
        <v>0.4791666666666667</v>
      </c>
      <c r="D899" s="32" t="inlineStr">
        <is>
          <t>Megan Morgan</t>
        </is>
      </c>
      <c r="E899" s="32" t="inlineStr">
        <is>
          <t>Women's haircut</t>
        </is>
      </c>
      <c r="F899" s="33" t="inlineStr">
        <is>
          <t>Done</t>
        </is>
      </c>
      <c r="G899" s="27">
        <f>IF(E899="","",MAX(0,IFERROR(INDEX(Services!$C$6:$C$35,MATCH(E899,Services!$B$6:$B$35,0)),0)-N(H899)))</f>
        <v/>
      </c>
      <c r="H899" s="34" t="n"/>
      <c r="I899" s="34" t="n">
        <v>55</v>
      </c>
      <c r="J899" s="33" t="inlineStr">
        <is>
          <t>Cash</t>
        </is>
      </c>
      <c r="K899" s="28">
        <f>IF(OR(B899="",F899&lt;&gt;"Done",J899="Package"),"",IF(N(G899)-N(I899)&gt;0,N(G899)-N(I899),""))</f>
        <v/>
      </c>
      <c r="L899" s="32" t="n"/>
      <c r="M899" s="1">
        <f>IF(OR(B899="",D899="",F899="Cancelled"),"",B899+N(C899)+ROW()/10000000)</f>
        <v/>
      </c>
      <c r="N899">
        <f>IF(AND(F899="Done",M899&lt;&gt;""),IF(COUNTIFS(Appointments!$D$6:$D$2005,D899,Appointments!$F$6:$F$2005,"Done",Appointments!$M$6:$M$2005,"&gt;"&amp;M899)=0,1,0),0)</f>
        <v/>
      </c>
      <c r="O899">
        <f>IF(AND(F899="Booked",M899&lt;&gt;"",N(B899)&gt;=TODAY()),IF(COUNTIFS(Appointments!$D$6:$D$2005,D899,Appointments!$F$6:$F$2005,"Booked",Appointments!$B$6:$B$2005,"&gt;="&amp;TODAY(),Appointments!$M$6:$M$2005,"&lt;"&amp;M899)=0,1,0),0)</f>
        <v/>
      </c>
    </row>
    <row r="900">
      <c r="A900" s="1" t="n"/>
      <c r="B900" s="30" t="n">
        <v>46239</v>
      </c>
      <c r="C900" s="31" t="n">
        <v>0.5277777777777778</v>
      </c>
      <c r="D900" s="32" t="inlineStr">
        <is>
          <t>Nick Young</t>
        </is>
      </c>
      <c r="E900" s="32" t="inlineStr">
        <is>
          <t>Men's haircut</t>
        </is>
      </c>
      <c r="F900" s="33" t="inlineStr">
        <is>
          <t>Done</t>
        </is>
      </c>
      <c r="G900" s="27">
        <f>IF(E900="","",MAX(0,IFERROR(INDEX(Services!$C$6:$C$35,MATCH(E900,Services!$B$6:$B$35,0)),0)-N(H900)))</f>
        <v/>
      </c>
      <c r="H900" s="34" t="n"/>
      <c r="I900" s="34" t="n">
        <v>30</v>
      </c>
      <c r="J900" s="33" t="inlineStr">
        <is>
          <t>Transfer</t>
        </is>
      </c>
      <c r="K900" s="28">
        <f>IF(OR(B900="",F900&lt;&gt;"Done",J900="Package"),"",IF(N(G900)-N(I900)&gt;0,N(G900)-N(I900),""))</f>
        <v/>
      </c>
      <c r="L900" s="32" t="n"/>
      <c r="M900" s="1">
        <f>IF(OR(B900="",D900="",F900="Cancelled"),"",B900+N(C900)+ROW()/10000000)</f>
        <v/>
      </c>
      <c r="N900">
        <f>IF(AND(F900="Done",M900&lt;&gt;""),IF(COUNTIFS(Appointments!$D$6:$D$2005,D900,Appointments!$F$6:$F$2005,"Done",Appointments!$M$6:$M$2005,"&gt;"&amp;M900)=0,1,0),0)</f>
        <v/>
      </c>
      <c r="O900">
        <f>IF(AND(F900="Booked",M900&lt;&gt;"",N(B900)&gt;=TODAY()),IF(COUNTIFS(Appointments!$D$6:$D$2005,D900,Appointments!$F$6:$F$2005,"Booked",Appointments!$B$6:$B$2005,"&gt;="&amp;TODAY(),Appointments!$M$6:$M$2005,"&lt;"&amp;M900)=0,1,0),0)</f>
        <v/>
      </c>
    </row>
    <row r="901">
      <c r="A901" s="1" t="n"/>
      <c r="B901" s="30" t="n">
        <v>46239</v>
      </c>
      <c r="C901" s="31" t="n">
        <v>0.5555555555555556</v>
      </c>
      <c r="D901" s="32" t="inlineStr">
        <is>
          <t>Nina Baker</t>
        </is>
      </c>
      <c r="E901" s="32" t="inlineStr">
        <is>
          <t>Women's haircut</t>
        </is>
      </c>
      <c r="F901" s="33" t="inlineStr">
        <is>
          <t>Done</t>
        </is>
      </c>
      <c r="G901" s="27">
        <f>IF(E901="","",MAX(0,IFERROR(INDEX(Services!$C$6:$C$35,MATCH(E901,Services!$B$6:$B$35,0)),0)-N(H901)))</f>
        <v/>
      </c>
      <c r="H901" s="34" t="n"/>
      <c r="I901" s="34" t="n">
        <v>55</v>
      </c>
      <c r="J901" s="33" t="inlineStr">
        <is>
          <t>Card</t>
        </is>
      </c>
      <c r="K901" s="28">
        <f>IF(OR(B901="",F901&lt;&gt;"Done",J901="Package"),"",IF(N(G901)-N(I901)&gt;0,N(G901)-N(I901),""))</f>
        <v/>
      </c>
      <c r="L901" s="32" t="n"/>
      <c r="M901" s="1">
        <f>IF(OR(B901="",D901="",F901="Cancelled"),"",B901+N(C901)+ROW()/10000000)</f>
        <v/>
      </c>
      <c r="N901">
        <f>IF(AND(F901="Done",M901&lt;&gt;""),IF(COUNTIFS(Appointments!$D$6:$D$2005,D901,Appointments!$F$6:$F$2005,"Done",Appointments!$M$6:$M$2005,"&gt;"&amp;M901)=0,1,0),0)</f>
        <v/>
      </c>
      <c r="O901">
        <f>IF(AND(F901="Booked",M901&lt;&gt;"",N(B901)&gt;=TODAY()),IF(COUNTIFS(Appointments!$D$6:$D$2005,D901,Appointments!$F$6:$F$2005,"Booked",Appointments!$B$6:$B$2005,"&gt;="&amp;TODAY(),Appointments!$M$6:$M$2005,"&lt;"&amp;M901)=0,1,0),0)</f>
        <v/>
      </c>
    </row>
    <row r="902">
      <c r="A902" s="1" t="n"/>
      <c r="B902" s="30" t="n">
        <v>46239</v>
      </c>
      <c r="C902" s="31" t="n">
        <v>0.6041666666666666</v>
      </c>
      <c r="D902" s="32" t="inlineStr">
        <is>
          <t>Ryan Davies</t>
        </is>
      </c>
      <c r="E902" s="32" t="inlineStr">
        <is>
          <t>Men's haircut</t>
        </is>
      </c>
      <c r="F902" s="33" t="inlineStr">
        <is>
          <t>Done</t>
        </is>
      </c>
      <c r="G902" s="27">
        <f>IF(E902="","",MAX(0,IFERROR(INDEX(Services!$C$6:$C$35,MATCH(E902,Services!$B$6:$B$35,0)),0)-N(H902)))</f>
        <v/>
      </c>
      <c r="H902" s="34" t="n"/>
      <c r="I902" s="34" t="n">
        <v>30</v>
      </c>
      <c r="J902" s="33" t="inlineStr">
        <is>
          <t>Card</t>
        </is>
      </c>
      <c r="K902" s="28">
        <f>IF(OR(B902="",F902&lt;&gt;"Done",J902="Package"),"",IF(N(G902)-N(I902)&gt;0,N(G902)-N(I902),""))</f>
        <v/>
      </c>
      <c r="L902" s="32" t="n"/>
      <c r="M902" s="1">
        <f>IF(OR(B902="",D902="",F902="Cancelled"),"",B902+N(C902)+ROW()/10000000)</f>
        <v/>
      </c>
      <c r="N902">
        <f>IF(AND(F902="Done",M902&lt;&gt;""),IF(COUNTIFS(Appointments!$D$6:$D$2005,D902,Appointments!$F$6:$F$2005,"Done",Appointments!$M$6:$M$2005,"&gt;"&amp;M902)=0,1,0),0)</f>
        <v/>
      </c>
      <c r="O902">
        <f>IF(AND(F902="Booked",M902&lt;&gt;"",N(B902)&gt;=TODAY()),IF(COUNTIFS(Appointments!$D$6:$D$2005,D902,Appointments!$F$6:$F$2005,"Booked",Appointments!$B$6:$B$2005,"&gt;="&amp;TODAY(),Appointments!$M$6:$M$2005,"&lt;"&amp;M902)=0,1,0),0)</f>
        <v/>
      </c>
    </row>
    <row r="903">
      <c r="A903" s="1" t="n"/>
      <c r="B903" s="30" t="n">
        <v>46240</v>
      </c>
      <c r="C903" s="31" t="n">
        <v>0.375</v>
      </c>
      <c r="D903" s="32" t="inlineStr">
        <is>
          <t>Finn Gray</t>
        </is>
      </c>
      <c r="E903" s="32" t="inlineStr">
        <is>
          <t>Men's haircut</t>
        </is>
      </c>
      <c r="F903" s="33" t="inlineStr">
        <is>
          <t>Done</t>
        </is>
      </c>
      <c r="G903" s="27">
        <f>IF(E903="","",MAX(0,IFERROR(INDEX(Services!$C$6:$C$35,MATCH(E903,Services!$B$6:$B$35,0)),0)-N(H903)))</f>
        <v/>
      </c>
      <c r="H903" s="34" t="n"/>
      <c r="I903" s="34" t="n">
        <v>30</v>
      </c>
      <c r="J903" s="33" t="inlineStr">
        <is>
          <t>Card</t>
        </is>
      </c>
      <c r="K903" s="28">
        <f>IF(OR(B903="",F903&lt;&gt;"Done",J903="Package"),"",IF(N(G903)-N(I903)&gt;0,N(G903)-N(I903),""))</f>
        <v/>
      </c>
      <c r="L903" s="32" t="n"/>
      <c r="M903" s="1">
        <f>IF(OR(B903="",D903="",F903="Cancelled"),"",B903+N(C903)+ROW()/10000000)</f>
        <v/>
      </c>
      <c r="N903">
        <f>IF(AND(F903="Done",M903&lt;&gt;""),IF(COUNTIFS(Appointments!$D$6:$D$2005,D903,Appointments!$F$6:$F$2005,"Done",Appointments!$M$6:$M$2005,"&gt;"&amp;M903)=0,1,0),0)</f>
        <v/>
      </c>
      <c r="O903">
        <f>IF(AND(F903="Booked",M903&lt;&gt;"",N(B903)&gt;=TODAY()),IF(COUNTIFS(Appointments!$D$6:$D$2005,D903,Appointments!$F$6:$F$2005,"Booked",Appointments!$B$6:$B$2005,"&gt;="&amp;TODAY(),Appointments!$M$6:$M$2005,"&lt;"&amp;M903)=0,1,0),0)</f>
        <v/>
      </c>
    </row>
    <row r="904">
      <c r="A904" s="1" t="n"/>
      <c r="B904" s="30" t="n">
        <v>46240</v>
      </c>
      <c r="C904" s="31" t="n">
        <v>0.4027777777777778</v>
      </c>
      <c r="D904" s="32" t="inlineStr">
        <is>
          <t>Hannah Ellis</t>
        </is>
      </c>
      <c r="E904" s="32" t="inlineStr">
        <is>
          <t>Colour</t>
        </is>
      </c>
      <c r="F904" s="33" t="inlineStr">
        <is>
          <t>Done</t>
        </is>
      </c>
      <c r="G904" s="27">
        <f>IF(E904="","",MAX(0,IFERROR(INDEX(Services!$C$6:$C$35,MATCH(E904,Services!$B$6:$B$35,0)),0)-N(H904)))</f>
        <v/>
      </c>
      <c r="H904" s="34" t="n"/>
      <c r="I904" s="34" t="n">
        <v>95</v>
      </c>
      <c r="J904" s="33" t="inlineStr">
        <is>
          <t>Card</t>
        </is>
      </c>
      <c r="K904" s="28">
        <f>IF(OR(B904="",F904&lt;&gt;"Done",J904="Package"),"",IF(N(G904)-N(I904)&gt;0,N(G904)-N(I904),""))</f>
        <v/>
      </c>
      <c r="L904" s="32" t="n"/>
      <c r="M904" s="1">
        <f>IF(OR(B904="",D904="",F904="Cancelled"),"",B904+N(C904)+ROW()/10000000)</f>
        <v/>
      </c>
      <c r="N904">
        <f>IF(AND(F904="Done",M904&lt;&gt;""),IF(COUNTIFS(Appointments!$D$6:$D$2005,D904,Appointments!$F$6:$F$2005,"Done",Appointments!$M$6:$M$2005,"&gt;"&amp;M904)=0,1,0),0)</f>
        <v/>
      </c>
      <c r="O904">
        <f>IF(AND(F904="Booked",M904&lt;&gt;"",N(B904)&gt;=TODAY()),IF(COUNTIFS(Appointments!$D$6:$D$2005,D904,Appointments!$F$6:$F$2005,"Booked",Appointments!$B$6:$B$2005,"&gt;="&amp;TODAY(),Appointments!$M$6:$M$2005,"&lt;"&amp;M904)=0,1,0),0)</f>
        <v/>
      </c>
    </row>
    <row r="905">
      <c r="A905" s="1" t="n"/>
      <c r="B905" s="30" t="n">
        <v>46240</v>
      </c>
      <c r="C905" s="31" t="n">
        <v>0.4930555555555556</v>
      </c>
      <c r="D905" s="32" t="inlineStr">
        <is>
          <t>Iris West</t>
        </is>
      </c>
      <c r="E905" s="32" t="inlineStr">
        <is>
          <t>Women's haircut</t>
        </is>
      </c>
      <c r="F905" s="33" t="inlineStr">
        <is>
          <t>Done</t>
        </is>
      </c>
      <c r="G905" s="27">
        <f>IF(E905="","",MAX(0,IFERROR(INDEX(Services!$C$6:$C$35,MATCH(E905,Services!$B$6:$B$35,0)),0)-N(H905)))</f>
        <v/>
      </c>
      <c r="H905" s="34" t="n"/>
      <c r="I905" s="34" t="n">
        <v>55</v>
      </c>
      <c r="J905" s="33" t="inlineStr">
        <is>
          <t>Card</t>
        </is>
      </c>
      <c r="K905" s="28">
        <f>IF(OR(B905="",F905&lt;&gt;"Done",J905="Package"),"",IF(N(G905)-N(I905)&gt;0,N(G905)-N(I905),""))</f>
        <v/>
      </c>
      <c r="L905" s="32" t="n"/>
      <c r="M905" s="1">
        <f>IF(OR(B905="",D905="",F905="Cancelled"),"",B905+N(C905)+ROW()/10000000)</f>
        <v/>
      </c>
      <c r="N905">
        <f>IF(AND(F905="Done",M905&lt;&gt;""),IF(COUNTIFS(Appointments!$D$6:$D$2005,D905,Appointments!$F$6:$F$2005,"Done",Appointments!$M$6:$M$2005,"&gt;"&amp;M905)=0,1,0),0)</f>
        <v/>
      </c>
      <c r="O905">
        <f>IF(AND(F905="Booked",M905&lt;&gt;"",N(B905)&gt;=TODAY()),IF(COUNTIFS(Appointments!$D$6:$D$2005,D905,Appointments!$F$6:$F$2005,"Booked",Appointments!$B$6:$B$2005,"&gt;="&amp;TODAY(),Appointments!$M$6:$M$2005,"&lt;"&amp;M905)=0,1,0),0)</f>
        <v/>
      </c>
    </row>
    <row r="906">
      <c r="A906" s="1" t="n"/>
      <c r="B906" s="30" t="n">
        <v>46240</v>
      </c>
      <c r="C906" s="31" t="n">
        <v>0.5416666666666666</v>
      </c>
      <c r="D906" s="32" t="inlineStr">
        <is>
          <t>Julia Lewis</t>
        </is>
      </c>
      <c r="E906" s="32" t="inlineStr">
        <is>
          <t>Blow dry</t>
        </is>
      </c>
      <c r="F906" s="33" t="inlineStr">
        <is>
          <t>Done</t>
        </is>
      </c>
      <c r="G906" s="27">
        <f>IF(E906="","",MAX(0,IFERROR(INDEX(Services!$C$6:$C$35,MATCH(E906,Services!$B$6:$B$35,0)),0)-N(H906)))</f>
        <v/>
      </c>
      <c r="H906" s="34" t="n"/>
      <c r="I906" s="34" t="n">
        <v>35</v>
      </c>
      <c r="J906" s="33" t="inlineStr">
        <is>
          <t>Card</t>
        </is>
      </c>
      <c r="K906" s="28">
        <f>IF(OR(B906="",F906&lt;&gt;"Done",J906="Package"),"",IF(N(G906)-N(I906)&gt;0,N(G906)-N(I906),""))</f>
        <v/>
      </c>
      <c r="L906" s="32" t="n"/>
      <c r="M906" s="1">
        <f>IF(OR(B906="",D906="",F906="Cancelled"),"",B906+N(C906)+ROW()/10000000)</f>
        <v/>
      </c>
      <c r="N906">
        <f>IF(AND(F906="Done",M906&lt;&gt;""),IF(COUNTIFS(Appointments!$D$6:$D$2005,D906,Appointments!$F$6:$F$2005,"Done",Appointments!$M$6:$M$2005,"&gt;"&amp;M906)=0,1,0),0)</f>
        <v/>
      </c>
      <c r="O906">
        <f>IF(AND(F906="Booked",M906&lt;&gt;"",N(B906)&gt;=TODAY()),IF(COUNTIFS(Appointments!$D$6:$D$2005,D906,Appointments!$F$6:$F$2005,"Booked",Appointments!$B$6:$B$2005,"&gt;="&amp;TODAY(),Appointments!$M$6:$M$2005,"&lt;"&amp;M906)=0,1,0),0)</f>
        <v/>
      </c>
    </row>
    <row r="907">
      <c r="A907" s="1" t="n"/>
      <c r="B907" s="30" t="n">
        <v>46240</v>
      </c>
      <c r="C907" s="31" t="n">
        <v>0.5798611111111112</v>
      </c>
      <c r="D907" s="32" t="inlineStr">
        <is>
          <t>Kara Young</t>
        </is>
      </c>
      <c r="E907" s="32" t="inlineStr">
        <is>
          <t>Highlights</t>
        </is>
      </c>
      <c r="F907" s="33" t="inlineStr">
        <is>
          <t>Done</t>
        </is>
      </c>
      <c r="G907" s="27">
        <f>IF(E907="","",MAX(0,IFERROR(INDEX(Services!$C$6:$C$35,MATCH(E907,Services!$B$6:$B$35,0)),0)-N(H907)))</f>
        <v/>
      </c>
      <c r="H907" s="34" t="n"/>
      <c r="I907" s="34" t="n">
        <v>140</v>
      </c>
      <c r="J907" s="33" t="inlineStr">
        <is>
          <t>Card</t>
        </is>
      </c>
      <c r="K907" s="28">
        <f>IF(OR(B907="",F907&lt;&gt;"Done",J907="Package"),"",IF(N(G907)-N(I907)&gt;0,N(G907)-N(I907),""))</f>
        <v/>
      </c>
      <c r="L907" s="32" t="n"/>
      <c r="M907" s="1">
        <f>IF(OR(B907="",D907="",F907="Cancelled"),"",B907+N(C907)+ROW()/10000000)</f>
        <v/>
      </c>
      <c r="N907">
        <f>IF(AND(F907="Done",M907&lt;&gt;""),IF(COUNTIFS(Appointments!$D$6:$D$2005,D907,Appointments!$F$6:$F$2005,"Done",Appointments!$M$6:$M$2005,"&gt;"&amp;M907)=0,1,0),0)</f>
        <v/>
      </c>
      <c r="O907">
        <f>IF(AND(F907="Booked",M907&lt;&gt;"",N(B907)&gt;=TODAY()),IF(COUNTIFS(Appointments!$D$6:$D$2005,D907,Appointments!$F$6:$F$2005,"Booked",Appointments!$B$6:$B$2005,"&gt;="&amp;TODAY(),Appointments!$M$6:$M$2005,"&lt;"&amp;M907)=0,1,0),0)</f>
        <v/>
      </c>
    </row>
    <row r="908">
      <c r="A908" s="1" t="n"/>
      <c r="B908" s="30" t="n">
        <v>46240</v>
      </c>
      <c r="C908" s="31" t="n">
        <v>0.6909722222222222</v>
      </c>
      <c r="D908" s="32" t="inlineStr">
        <is>
          <t>Lucy Wood</t>
        </is>
      </c>
      <c r="E908" s="32" t="inlineStr">
        <is>
          <t>Women's haircut</t>
        </is>
      </c>
      <c r="F908" s="33" t="inlineStr">
        <is>
          <t>Done</t>
        </is>
      </c>
      <c r="G908" s="27">
        <f>IF(E908="","",MAX(0,IFERROR(INDEX(Services!$C$6:$C$35,MATCH(E908,Services!$B$6:$B$35,0)),0)-N(H908)))</f>
        <v/>
      </c>
      <c r="H908" s="34" t="n"/>
      <c r="I908" s="34" t="n">
        <v>55</v>
      </c>
      <c r="J908" s="33" t="inlineStr">
        <is>
          <t>Card</t>
        </is>
      </c>
      <c r="K908" s="28">
        <f>IF(OR(B908="",F908&lt;&gt;"Done",J908="Package"),"",IF(N(G908)-N(I908)&gt;0,N(G908)-N(I908),""))</f>
        <v/>
      </c>
      <c r="L908" s="32" t="n"/>
      <c r="M908" s="1">
        <f>IF(OR(B908="",D908="",F908="Cancelled"),"",B908+N(C908)+ROW()/10000000)</f>
        <v/>
      </c>
      <c r="N908">
        <f>IF(AND(F908="Done",M908&lt;&gt;""),IF(COUNTIFS(Appointments!$D$6:$D$2005,D908,Appointments!$F$6:$F$2005,"Done",Appointments!$M$6:$M$2005,"&gt;"&amp;M908)=0,1,0),0)</f>
        <v/>
      </c>
      <c r="O908">
        <f>IF(AND(F908="Booked",M908&lt;&gt;"",N(B908)&gt;=TODAY()),IF(COUNTIFS(Appointments!$D$6:$D$2005,D908,Appointments!$F$6:$F$2005,"Booked",Appointments!$B$6:$B$2005,"&gt;="&amp;TODAY(),Appointments!$M$6:$M$2005,"&lt;"&amp;M908)=0,1,0),0)</f>
        <v/>
      </c>
    </row>
    <row r="909">
      <c r="A909" s="1" t="n"/>
      <c r="B909" s="30" t="n">
        <v>46240</v>
      </c>
      <c r="C909" s="31" t="n">
        <v>0.7395833333333334</v>
      </c>
      <c r="D909" s="32" t="inlineStr">
        <is>
          <t>Paula Cook</t>
        </is>
      </c>
      <c r="E909" s="32" t="inlineStr">
        <is>
          <t>Women's haircut</t>
        </is>
      </c>
      <c r="F909" s="33" t="inlineStr">
        <is>
          <t>Done</t>
        </is>
      </c>
      <c r="G909" s="27">
        <f>IF(E909="","",MAX(0,IFERROR(INDEX(Services!$C$6:$C$35,MATCH(E909,Services!$B$6:$B$35,0)),0)-N(H909)))</f>
        <v/>
      </c>
      <c r="H909" s="34" t="n"/>
      <c r="I909" s="34" t="n">
        <v>55</v>
      </c>
      <c r="J909" s="33" t="inlineStr">
        <is>
          <t>Card</t>
        </is>
      </c>
      <c r="K909" s="28">
        <f>IF(OR(B909="",F909&lt;&gt;"Done",J909="Package"),"",IF(N(G909)-N(I909)&gt;0,N(G909)-N(I909),""))</f>
        <v/>
      </c>
      <c r="L909" s="32" t="n"/>
      <c r="M909" s="1">
        <f>IF(OR(B909="",D909="",F909="Cancelled"),"",B909+N(C909)+ROW()/10000000)</f>
        <v/>
      </c>
      <c r="N909">
        <f>IF(AND(F909="Done",M909&lt;&gt;""),IF(COUNTIFS(Appointments!$D$6:$D$2005,D909,Appointments!$F$6:$F$2005,"Done",Appointments!$M$6:$M$2005,"&gt;"&amp;M909)=0,1,0),0)</f>
        <v/>
      </c>
      <c r="O909">
        <f>IF(AND(F909="Booked",M909&lt;&gt;"",N(B909)&gt;=TODAY()),IF(COUNTIFS(Appointments!$D$6:$D$2005,D909,Appointments!$F$6:$F$2005,"Booked",Appointments!$B$6:$B$2005,"&gt;="&amp;TODAY(),Appointments!$M$6:$M$2005,"&lt;"&amp;M909)=0,1,0),0)</f>
        <v/>
      </c>
    </row>
    <row r="910">
      <c r="A910" s="1" t="n"/>
      <c r="B910" s="30" t="n">
        <v>46241</v>
      </c>
      <c r="C910" s="31" t="n">
        <v>0.375</v>
      </c>
      <c r="D910" s="32" t="inlineStr">
        <is>
          <t>Dan Owens</t>
        </is>
      </c>
      <c r="E910" s="32" t="inlineStr">
        <is>
          <t>Men's haircut</t>
        </is>
      </c>
      <c r="F910" s="33" t="inlineStr">
        <is>
          <t>Done</t>
        </is>
      </c>
      <c r="G910" s="27">
        <f>IF(E910="","",MAX(0,IFERROR(INDEX(Services!$C$6:$C$35,MATCH(E910,Services!$B$6:$B$35,0)),0)-N(H910)))</f>
        <v/>
      </c>
      <c r="H910" s="34" t="n"/>
      <c r="I910" s="34" t="n">
        <v>30</v>
      </c>
      <c r="J910" s="33" t="inlineStr">
        <is>
          <t>Cash</t>
        </is>
      </c>
      <c r="K910" s="28">
        <f>IF(OR(B910="",F910&lt;&gt;"Done",J910="Package"),"",IF(N(G910)-N(I910)&gt;0,N(G910)-N(I910),""))</f>
        <v/>
      </c>
      <c r="L910" s="32" t="n"/>
      <c r="M910" s="1">
        <f>IF(OR(B910="",D910="",F910="Cancelled"),"",B910+N(C910)+ROW()/10000000)</f>
        <v/>
      </c>
      <c r="N910">
        <f>IF(AND(F910="Done",M910&lt;&gt;""),IF(COUNTIFS(Appointments!$D$6:$D$2005,D910,Appointments!$F$6:$F$2005,"Done",Appointments!$M$6:$M$2005,"&gt;"&amp;M910)=0,1,0),0)</f>
        <v/>
      </c>
      <c r="O910">
        <f>IF(AND(F910="Booked",M910&lt;&gt;"",N(B910)&gt;=TODAY()),IF(COUNTIFS(Appointments!$D$6:$D$2005,D910,Appointments!$F$6:$F$2005,"Booked",Appointments!$B$6:$B$2005,"&gt;="&amp;TODAY(),Appointments!$M$6:$M$2005,"&lt;"&amp;M910)=0,1,0),0)</f>
        <v/>
      </c>
    </row>
    <row r="911">
      <c r="A911" s="1" t="n"/>
      <c r="B911" s="30" t="n">
        <v>46241</v>
      </c>
      <c r="C911" s="31" t="n">
        <v>0.4027777777777778</v>
      </c>
      <c r="D911" s="32" t="inlineStr">
        <is>
          <t>Farah Ali</t>
        </is>
      </c>
      <c r="E911" s="32" t="inlineStr">
        <is>
          <t>Colour</t>
        </is>
      </c>
      <c r="F911" s="33" t="inlineStr">
        <is>
          <t>Done</t>
        </is>
      </c>
      <c r="G911" s="27">
        <f>IF(E911="","",MAX(0,IFERROR(INDEX(Services!$C$6:$C$35,MATCH(E911,Services!$B$6:$B$35,0)),0)-N(H911)))</f>
        <v/>
      </c>
      <c r="H911" s="34" t="n"/>
      <c r="I911" s="34" t="n">
        <v>95</v>
      </c>
      <c r="J911" s="33" t="inlineStr">
        <is>
          <t>Card</t>
        </is>
      </c>
      <c r="K911" s="28">
        <f>IF(OR(B911="",F911&lt;&gt;"Done",J911="Package"),"",IF(N(G911)-N(I911)&gt;0,N(G911)-N(I911),""))</f>
        <v/>
      </c>
      <c r="L911" s="32" t="n"/>
      <c r="M911" s="1">
        <f>IF(OR(B911="",D911="",F911="Cancelled"),"",B911+N(C911)+ROW()/10000000)</f>
        <v/>
      </c>
      <c r="N911">
        <f>IF(AND(F911="Done",M911&lt;&gt;""),IF(COUNTIFS(Appointments!$D$6:$D$2005,D911,Appointments!$F$6:$F$2005,"Done",Appointments!$M$6:$M$2005,"&gt;"&amp;M911)=0,1,0),0)</f>
        <v/>
      </c>
      <c r="O911">
        <f>IF(AND(F911="Booked",M911&lt;&gt;"",N(B911)&gt;=TODAY()),IF(COUNTIFS(Appointments!$D$6:$D$2005,D911,Appointments!$F$6:$F$2005,"Booked",Appointments!$B$6:$B$2005,"&gt;="&amp;TODAY(),Appointments!$M$6:$M$2005,"&lt;"&amp;M911)=0,1,0),0)</f>
        <v/>
      </c>
    </row>
    <row r="912">
      <c r="A912" s="1" t="n"/>
      <c r="B912" s="30" t="n">
        <v>46241</v>
      </c>
      <c r="C912" s="31" t="n">
        <v>0.4930555555555556</v>
      </c>
      <c r="D912" s="32" t="inlineStr">
        <is>
          <t>Luke Hall</t>
        </is>
      </c>
      <c r="E912" s="32" t="inlineStr">
        <is>
          <t>Men's haircut</t>
        </is>
      </c>
      <c r="F912" s="33" t="inlineStr">
        <is>
          <t>Done</t>
        </is>
      </c>
      <c r="G912" s="27">
        <f>IF(E912="","",MAX(0,IFERROR(INDEX(Services!$C$6:$C$35,MATCH(E912,Services!$B$6:$B$35,0)),0)-N(H912)))</f>
        <v/>
      </c>
      <c r="H912" s="34" t="n"/>
      <c r="I912" s="34" t="n">
        <v>30</v>
      </c>
      <c r="J912" s="33" t="inlineStr">
        <is>
          <t>App</t>
        </is>
      </c>
      <c r="K912" s="28">
        <f>IF(OR(B912="",F912&lt;&gt;"Done",J912="Package"),"",IF(N(G912)-N(I912)&gt;0,N(G912)-N(I912),""))</f>
        <v/>
      </c>
      <c r="L912" s="32" t="n"/>
      <c r="M912" s="1">
        <f>IF(OR(B912="",D912="",F912="Cancelled"),"",B912+N(C912)+ROW()/10000000)</f>
        <v/>
      </c>
      <c r="N912">
        <f>IF(AND(F912="Done",M912&lt;&gt;""),IF(COUNTIFS(Appointments!$D$6:$D$2005,D912,Appointments!$F$6:$F$2005,"Done",Appointments!$M$6:$M$2005,"&gt;"&amp;M912)=0,1,0),0)</f>
        <v/>
      </c>
      <c r="O912">
        <f>IF(AND(F912="Booked",M912&lt;&gt;"",N(B912)&gt;=TODAY()),IF(COUNTIFS(Appointments!$D$6:$D$2005,D912,Appointments!$F$6:$F$2005,"Booked",Appointments!$B$6:$B$2005,"&gt;="&amp;TODAY(),Appointments!$M$6:$M$2005,"&lt;"&amp;M912)=0,1,0),0)</f>
        <v/>
      </c>
    </row>
    <row r="913">
      <c r="A913" s="1" t="n"/>
      <c r="B913" s="30" t="n">
        <v>46241</v>
      </c>
      <c r="C913" s="31" t="n">
        <v>0.5208333333333334</v>
      </c>
      <c r="D913" s="32" t="inlineStr">
        <is>
          <t>Ryan Webb</t>
        </is>
      </c>
      <c r="E913" s="32" t="inlineStr">
        <is>
          <t>Men's haircut</t>
        </is>
      </c>
      <c r="F913" s="33" t="inlineStr">
        <is>
          <t>Done</t>
        </is>
      </c>
      <c r="G913" s="27">
        <f>IF(E913="","",MAX(0,IFERROR(INDEX(Services!$C$6:$C$35,MATCH(E913,Services!$B$6:$B$35,0)),0)-N(H913)))</f>
        <v/>
      </c>
      <c r="H913" s="34" t="n"/>
      <c r="I913" s="34" t="n">
        <v>30</v>
      </c>
      <c r="J913" s="33" t="inlineStr">
        <is>
          <t>Cash</t>
        </is>
      </c>
      <c r="K913" s="28">
        <f>IF(OR(B913="",F913&lt;&gt;"Done",J913="Package"),"",IF(N(G913)-N(I913)&gt;0,N(G913)-N(I913),""))</f>
        <v/>
      </c>
      <c r="L913" s="32" t="n"/>
      <c r="M913" s="1">
        <f>IF(OR(B913="",D913="",F913="Cancelled"),"",B913+N(C913)+ROW()/10000000)</f>
        <v/>
      </c>
      <c r="N913">
        <f>IF(AND(F913="Done",M913&lt;&gt;""),IF(COUNTIFS(Appointments!$D$6:$D$2005,D913,Appointments!$F$6:$F$2005,"Done",Appointments!$M$6:$M$2005,"&gt;"&amp;M913)=0,1,0),0)</f>
        <v/>
      </c>
      <c r="O913">
        <f>IF(AND(F913="Booked",M913&lt;&gt;"",N(B913)&gt;=TODAY()),IF(COUNTIFS(Appointments!$D$6:$D$2005,D913,Appointments!$F$6:$F$2005,"Booked",Appointments!$B$6:$B$2005,"&gt;="&amp;TODAY(),Appointments!$M$6:$M$2005,"&lt;"&amp;M913)=0,1,0),0)</f>
        <v/>
      </c>
    </row>
    <row r="914">
      <c r="A914" s="1" t="n"/>
      <c r="B914" s="30" t="n">
        <v>46241</v>
      </c>
      <c r="C914" s="31" t="n">
        <v>0.5486111111111112</v>
      </c>
      <c r="D914" s="32" t="inlineStr">
        <is>
          <t>Sophie Ellis</t>
        </is>
      </c>
      <c r="E914" s="32" t="inlineStr">
        <is>
          <t>Women's haircut</t>
        </is>
      </c>
      <c r="F914" s="33" t="inlineStr">
        <is>
          <t>Done</t>
        </is>
      </c>
      <c r="G914" s="27">
        <f>IF(E914="","",MAX(0,IFERROR(INDEX(Services!$C$6:$C$35,MATCH(E914,Services!$B$6:$B$35,0)),0)-N(H914)))</f>
        <v/>
      </c>
      <c r="H914" s="34" t="n"/>
      <c r="I914" s="34" t="n">
        <v>55</v>
      </c>
      <c r="J914" s="33" t="inlineStr">
        <is>
          <t>Cash</t>
        </is>
      </c>
      <c r="K914" s="28">
        <f>IF(OR(B914="",F914&lt;&gt;"Done",J914="Package"),"",IF(N(G914)-N(I914)&gt;0,N(G914)-N(I914),""))</f>
        <v/>
      </c>
      <c r="L914" s="32" t="n"/>
      <c r="M914" s="1">
        <f>IF(OR(B914="",D914="",F914="Cancelled"),"",B914+N(C914)+ROW()/10000000)</f>
        <v/>
      </c>
      <c r="N914">
        <f>IF(AND(F914="Done",M914&lt;&gt;""),IF(COUNTIFS(Appointments!$D$6:$D$2005,D914,Appointments!$F$6:$F$2005,"Done",Appointments!$M$6:$M$2005,"&gt;"&amp;M914)=0,1,0),0)</f>
        <v/>
      </c>
      <c r="O914">
        <f>IF(AND(F914="Booked",M914&lt;&gt;"",N(B914)&gt;=TODAY()),IF(COUNTIFS(Appointments!$D$6:$D$2005,D914,Appointments!$F$6:$F$2005,"Booked",Appointments!$B$6:$B$2005,"&gt;="&amp;TODAY(),Appointments!$M$6:$M$2005,"&lt;"&amp;M914)=0,1,0),0)</f>
        <v/>
      </c>
    </row>
    <row r="915">
      <c r="A915" s="1" t="n"/>
      <c r="B915" s="30" t="n">
        <v>46241</v>
      </c>
      <c r="C915" s="31" t="n">
        <v>0.5972222222222222</v>
      </c>
      <c r="D915" s="32" t="inlineStr">
        <is>
          <t>Tom Ellis</t>
        </is>
      </c>
      <c r="E915" s="32" t="inlineStr">
        <is>
          <t>Men's haircut</t>
        </is>
      </c>
      <c r="F915" s="33" t="inlineStr">
        <is>
          <t>Cancelled</t>
        </is>
      </c>
      <c r="G915" s="27">
        <f>IF(E915="","",MAX(0,IFERROR(INDEX(Services!$C$6:$C$35,MATCH(E915,Services!$B$6:$B$35,0)),0)-N(H915)))</f>
        <v/>
      </c>
      <c r="H915" s="34" t="n"/>
      <c r="I915" s="34" t="n"/>
      <c r="J915" s="33" t="n"/>
      <c r="K915" s="28">
        <f>IF(OR(B915="",F915&lt;&gt;"Done",J915="Package"),"",IF(N(G915)-N(I915)&gt;0,N(G915)-N(I915),""))</f>
        <v/>
      </c>
      <c r="L915" s="32" t="n"/>
      <c r="M915" s="1">
        <f>IF(OR(B915="",D915="",F915="Cancelled"),"",B915+N(C915)+ROW()/10000000)</f>
        <v/>
      </c>
      <c r="N915">
        <f>IF(AND(F915="Done",M915&lt;&gt;""),IF(COUNTIFS(Appointments!$D$6:$D$2005,D915,Appointments!$F$6:$F$2005,"Done",Appointments!$M$6:$M$2005,"&gt;"&amp;M915)=0,1,0),0)</f>
        <v/>
      </c>
      <c r="O915">
        <f>IF(AND(F915="Booked",M915&lt;&gt;"",N(B915)&gt;=TODAY()),IF(COUNTIFS(Appointments!$D$6:$D$2005,D915,Appointments!$F$6:$F$2005,"Booked",Appointments!$B$6:$B$2005,"&gt;="&amp;TODAY(),Appointments!$M$6:$M$2005,"&lt;"&amp;M915)=0,1,0),0)</f>
        <v/>
      </c>
    </row>
    <row r="916">
      <c r="A916" s="1" t="n"/>
      <c r="B916" s="30" t="n">
        <v>46241</v>
      </c>
      <c r="C916" s="31" t="n">
        <v>0.625</v>
      </c>
      <c r="D916" s="32" t="inlineStr">
        <is>
          <t>Zoe Turner</t>
        </is>
      </c>
      <c r="E916" s="32" t="inlineStr">
        <is>
          <t>Women's haircut</t>
        </is>
      </c>
      <c r="F916" s="33" t="inlineStr">
        <is>
          <t>Done</t>
        </is>
      </c>
      <c r="G916" s="27">
        <f>IF(E916="","",MAX(0,IFERROR(INDEX(Services!$C$6:$C$35,MATCH(E916,Services!$B$6:$B$35,0)),0)-N(H916)))</f>
        <v/>
      </c>
      <c r="H916" s="34" t="n"/>
      <c r="I916" s="34" t="n">
        <v>55</v>
      </c>
      <c r="J916" s="33" t="inlineStr">
        <is>
          <t>Card</t>
        </is>
      </c>
      <c r="K916" s="28">
        <f>IF(OR(B916="",F916&lt;&gt;"Done",J916="Package"),"",IF(N(G916)-N(I916)&gt;0,N(G916)-N(I916),""))</f>
        <v/>
      </c>
      <c r="L916" s="32" t="n"/>
      <c r="M916" s="1">
        <f>IF(OR(B916="",D916="",F916="Cancelled"),"",B916+N(C916)+ROW()/10000000)</f>
        <v/>
      </c>
      <c r="N916">
        <f>IF(AND(F916="Done",M916&lt;&gt;""),IF(COUNTIFS(Appointments!$D$6:$D$2005,D916,Appointments!$F$6:$F$2005,"Done",Appointments!$M$6:$M$2005,"&gt;"&amp;M916)=0,1,0),0)</f>
        <v/>
      </c>
      <c r="O916">
        <f>IF(AND(F916="Booked",M916&lt;&gt;"",N(B916)&gt;=TODAY()),IF(COUNTIFS(Appointments!$D$6:$D$2005,D916,Appointments!$F$6:$F$2005,"Booked",Appointments!$B$6:$B$2005,"&gt;="&amp;TODAY(),Appointments!$M$6:$M$2005,"&lt;"&amp;M916)=0,1,0),0)</f>
        <v/>
      </c>
    </row>
    <row r="917">
      <c r="A917" s="1" t="n"/>
      <c r="B917" s="30" t="n">
        <v>46242</v>
      </c>
      <c r="C917" s="31" t="n">
        <v>0.375</v>
      </c>
      <c r="D917" s="32" t="inlineStr">
        <is>
          <t>Anna Rossi</t>
        </is>
      </c>
      <c r="E917" s="32" t="inlineStr">
        <is>
          <t>Women's haircut</t>
        </is>
      </c>
      <c r="F917" s="33" t="inlineStr">
        <is>
          <t>Done</t>
        </is>
      </c>
      <c r="G917" s="27">
        <f>IF(E917="","",MAX(0,IFERROR(INDEX(Services!$C$6:$C$35,MATCH(E917,Services!$B$6:$B$35,0)),0)-N(H917)))</f>
        <v/>
      </c>
      <c r="H917" s="34" t="n"/>
      <c r="I917" s="34" t="n">
        <v>55</v>
      </c>
      <c r="J917" s="33" t="inlineStr">
        <is>
          <t>Card</t>
        </is>
      </c>
      <c r="K917" s="28">
        <f>IF(OR(B917="",F917&lt;&gt;"Done",J917="Package"),"",IF(N(G917)-N(I917)&gt;0,N(G917)-N(I917),""))</f>
        <v/>
      </c>
      <c r="L917" s="32" t="n"/>
      <c r="M917" s="1">
        <f>IF(OR(B917="",D917="",F917="Cancelled"),"",B917+N(C917)+ROW()/10000000)</f>
        <v/>
      </c>
      <c r="N917">
        <f>IF(AND(F917="Done",M917&lt;&gt;""),IF(COUNTIFS(Appointments!$D$6:$D$2005,D917,Appointments!$F$6:$F$2005,"Done",Appointments!$M$6:$M$2005,"&gt;"&amp;M917)=0,1,0),0)</f>
        <v/>
      </c>
      <c r="O917">
        <f>IF(AND(F917="Booked",M917&lt;&gt;"",N(B917)&gt;=TODAY()),IF(COUNTIFS(Appointments!$D$6:$D$2005,D917,Appointments!$F$6:$F$2005,"Booked",Appointments!$B$6:$B$2005,"&gt;="&amp;TODAY(),Appointments!$M$6:$M$2005,"&lt;"&amp;M917)=0,1,0),0)</f>
        <v/>
      </c>
    </row>
    <row r="918">
      <c r="A918" s="1" t="n"/>
      <c r="B918" s="30" t="n">
        <v>46245</v>
      </c>
      <c r="C918" s="31" t="n">
        <v>0.375</v>
      </c>
      <c r="D918" s="32" t="inlineStr">
        <is>
          <t>Emma Johnson</t>
        </is>
      </c>
      <c r="E918" s="32" t="inlineStr">
        <is>
          <t>Blow dry</t>
        </is>
      </c>
      <c r="F918" s="33" t="inlineStr">
        <is>
          <t>Done</t>
        </is>
      </c>
      <c r="G918" s="27">
        <f>IF(E918="","",MAX(0,IFERROR(INDEX(Services!$C$6:$C$35,MATCH(E918,Services!$B$6:$B$35,0)),0)-N(H918)))</f>
        <v/>
      </c>
      <c r="H918" s="34" t="n">
        <v>10</v>
      </c>
      <c r="I918" s="34" t="n"/>
      <c r="J918" s="33" t="inlineStr">
        <is>
          <t>Package</t>
        </is>
      </c>
      <c r="K918" s="28">
        <f>IF(OR(B918="",F918&lt;&gt;"Done",J918="Package"),"",IF(N(G918)-N(I918)&gt;0,N(G918)-N(I918),""))</f>
        <v/>
      </c>
      <c r="L918" s="32" t="inlineStr">
        <is>
          <t>Friends and family</t>
        </is>
      </c>
      <c r="M918" s="1">
        <f>IF(OR(B918="",D918="",F918="Cancelled"),"",B918+N(C918)+ROW()/10000000)</f>
        <v/>
      </c>
      <c r="N918">
        <f>IF(AND(F918="Done",M918&lt;&gt;""),IF(COUNTIFS(Appointments!$D$6:$D$2005,D918,Appointments!$F$6:$F$2005,"Done",Appointments!$M$6:$M$2005,"&gt;"&amp;M918)=0,1,0),0)</f>
        <v/>
      </c>
      <c r="O918">
        <f>IF(AND(F918="Booked",M918&lt;&gt;"",N(B918)&gt;=TODAY()),IF(COUNTIFS(Appointments!$D$6:$D$2005,D918,Appointments!$F$6:$F$2005,"Booked",Appointments!$B$6:$B$2005,"&gt;="&amp;TODAY(),Appointments!$M$6:$M$2005,"&lt;"&amp;M918)=0,1,0),0)</f>
        <v/>
      </c>
    </row>
    <row r="919">
      <c r="A919" s="1" t="n"/>
      <c r="B919" s="30" t="n">
        <v>46245</v>
      </c>
      <c r="C919" s="31" t="n">
        <v>0.4131944444444444</v>
      </c>
      <c r="D919" s="32" t="inlineStr">
        <is>
          <t>Fiona Price</t>
        </is>
      </c>
      <c r="E919" s="32" t="inlineStr">
        <is>
          <t>Highlights</t>
        </is>
      </c>
      <c r="F919" s="33" t="inlineStr">
        <is>
          <t>Done</t>
        </is>
      </c>
      <c r="G919" s="27">
        <f>IF(E919="","",MAX(0,IFERROR(INDEX(Services!$C$6:$C$35,MATCH(E919,Services!$B$6:$B$35,0)),0)-N(H919)))</f>
        <v/>
      </c>
      <c r="H919" s="34" t="n"/>
      <c r="I919" s="34" t="n">
        <v>140</v>
      </c>
      <c r="J919" s="33" t="inlineStr">
        <is>
          <t>Cash</t>
        </is>
      </c>
      <c r="K919" s="28">
        <f>IF(OR(B919="",F919&lt;&gt;"Done",J919="Package"),"",IF(N(G919)-N(I919)&gt;0,N(G919)-N(I919),""))</f>
        <v/>
      </c>
      <c r="L919" s="32" t="n"/>
      <c r="M919" s="1">
        <f>IF(OR(B919="",D919="",F919="Cancelled"),"",B919+N(C919)+ROW()/10000000)</f>
        <v/>
      </c>
      <c r="N919">
        <f>IF(AND(F919="Done",M919&lt;&gt;""),IF(COUNTIFS(Appointments!$D$6:$D$2005,D919,Appointments!$F$6:$F$2005,"Done",Appointments!$M$6:$M$2005,"&gt;"&amp;M919)=0,1,0),0)</f>
        <v/>
      </c>
      <c r="O919">
        <f>IF(AND(F919="Booked",M919&lt;&gt;"",N(B919)&gt;=TODAY()),IF(COUNTIFS(Appointments!$D$6:$D$2005,D919,Appointments!$F$6:$F$2005,"Booked",Appointments!$B$6:$B$2005,"&gt;="&amp;TODAY(),Appointments!$M$6:$M$2005,"&lt;"&amp;M919)=0,1,0),0)</f>
        <v/>
      </c>
    </row>
    <row r="920">
      <c r="A920" s="1" t="n"/>
      <c r="B920" s="30" t="n">
        <v>46245</v>
      </c>
      <c r="C920" s="31" t="n">
        <v>0.5243055555555556</v>
      </c>
      <c r="D920" s="32" t="inlineStr">
        <is>
          <t>Hugo Silva</t>
        </is>
      </c>
      <c r="E920" s="32" t="inlineStr">
        <is>
          <t>Men's haircut</t>
        </is>
      </c>
      <c r="F920" s="33" t="inlineStr">
        <is>
          <t>Done</t>
        </is>
      </c>
      <c r="G920" s="27">
        <f>IF(E920="","",MAX(0,IFERROR(INDEX(Services!$C$6:$C$35,MATCH(E920,Services!$B$6:$B$35,0)),0)-N(H920)))</f>
        <v/>
      </c>
      <c r="H920" s="34" t="n"/>
      <c r="I920" s="34" t="n">
        <v>30</v>
      </c>
      <c r="J920" s="33" t="inlineStr">
        <is>
          <t>Cash</t>
        </is>
      </c>
      <c r="K920" s="28">
        <f>IF(OR(B920="",F920&lt;&gt;"Done",J920="Package"),"",IF(N(G920)-N(I920)&gt;0,N(G920)-N(I920),""))</f>
        <v/>
      </c>
      <c r="L920" s="32" t="n"/>
      <c r="M920" s="1">
        <f>IF(OR(B920="",D920="",F920="Cancelled"),"",B920+N(C920)+ROW()/10000000)</f>
        <v/>
      </c>
      <c r="N920">
        <f>IF(AND(F920="Done",M920&lt;&gt;""),IF(COUNTIFS(Appointments!$D$6:$D$2005,D920,Appointments!$F$6:$F$2005,"Done",Appointments!$M$6:$M$2005,"&gt;"&amp;M920)=0,1,0),0)</f>
        <v/>
      </c>
      <c r="O920">
        <f>IF(AND(F920="Booked",M920&lt;&gt;"",N(B920)&gt;=TODAY()),IF(COUNTIFS(Appointments!$D$6:$D$2005,D920,Appointments!$F$6:$F$2005,"Booked",Appointments!$B$6:$B$2005,"&gt;="&amp;TODAY(),Appointments!$M$6:$M$2005,"&lt;"&amp;M920)=0,1,0),0)</f>
        <v/>
      </c>
    </row>
    <row r="921">
      <c r="A921" s="1" t="n"/>
      <c r="B921" s="30" t="n">
        <v>46245</v>
      </c>
      <c r="C921" s="31" t="n">
        <v>0.5520833333333334</v>
      </c>
      <c r="D921" s="32" t="inlineStr">
        <is>
          <t>Noah Taylor</t>
        </is>
      </c>
      <c r="E921" s="32" t="inlineStr">
        <is>
          <t>Kids haircut</t>
        </is>
      </c>
      <c r="F921" s="33" t="inlineStr">
        <is>
          <t>Done</t>
        </is>
      </c>
      <c r="G921" s="27">
        <f>IF(E921="","",MAX(0,IFERROR(INDEX(Services!$C$6:$C$35,MATCH(E921,Services!$B$6:$B$35,0)),0)-N(H921)))</f>
        <v/>
      </c>
      <c r="H921" s="34" t="n"/>
      <c r="I921" s="34" t="n">
        <v>20</v>
      </c>
      <c r="J921" s="33" t="inlineStr">
        <is>
          <t>Card</t>
        </is>
      </c>
      <c r="K921" s="28">
        <f>IF(OR(B921="",F921&lt;&gt;"Done",J921="Package"),"",IF(N(G921)-N(I921)&gt;0,N(G921)-N(I921),""))</f>
        <v/>
      </c>
      <c r="L921" s="32" t="n"/>
      <c r="M921" s="1">
        <f>IF(OR(B921="",D921="",F921="Cancelled"),"",B921+N(C921)+ROW()/10000000)</f>
        <v/>
      </c>
      <c r="N921">
        <f>IF(AND(F921="Done",M921&lt;&gt;""),IF(COUNTIFS(Appointments!$D$6:$D$2005,D921,Appointments!$F$6:$F$2005,"Done",Appointments!$M$6:$M$2005,"&gt;"&amp;M921)=0,1,0),0)</f>
        <v/>
      </c>
      <c r="O921">
        <f>IF(AND(F921="Booked",M921&lt;&gt;"",N(B921)&gt;=TODAY()),IF(COUNTIFS(Appointments!$D$6:$D$2005,D921,Appointments!$F$6:$F$2005,"Booked",Appointments!$B$6:$B$2005,"&gt;="&amp;TODAY(),Appointments!$M$6:$M$2005,"&lt;"&amp;M921)=0,1,0),0)</f>
        <v/>
      </c>
    </row>
    <row r="922">
      <c r="A922" s="1" t="n"/>
      <c r="B922" s="30" t="n">
        <v>46245</v>
      </c>
      <c r="C922" s="31" t="n">
        <v>0.5798611111111112</v>
      </c>
      <c r="D922" s="32" t="inlineStr">
        <is>
          <t>Noah Taylor</t>
        </is>
      </c>
      <c r="E922" s="32" t="inlineStr">
        <is>
          <t>Kids haircut</t>
        </is>
      </c>
      <c r="F922" s="33" t="inlineStr">
        <is>
          <t>Done</t>
        </is>
      </c>
      <c r="G922" s="27">
        <f>IF(E922="","",MAX(0,IFERROR(INDEX(Services!$C$6:$C$35,MATCH(E922,Services!$B$6:$B$35,0)),0)-N(H922)))</f>
        <v/>
      </c>
      <c r="H922" s="34" t="n">
        <v>10</v>
      </c>
      <c r="I922" s="34" t="n">
        <v>10</v>
      </c>
      <c r="J922" s="33" t="inlineStr">
        <is>
          <t>Card</t>
        </is>
      </c>
      <c r="K922" s="28">
        <f>IF(OR(B922="",F922&lt;&gt;"Done",J922="Package"),"",IF(N(G922)-N(I922)&gt;0,N(G922)-N(I922),""))</f>
        <v/>
      </c>
      <c r="L922" s="32" t="inlineStr">
        <is>
          <t>Friends and family</t>
        </is>
      </c>
      <c r="M922" s="1">
        <f>IF(OR(B922="",D922="",F922="Cancelled"),"",B922+N(C922)+ROW()/10000000)</f>
        <v/>
      </c>
      <c r="N922">
        <f>IF(AND(F922="Done",M922&lt;&gt;""),IF(COUNTIFS(Appointments!$D$6:$D$2005,D922,Appointments!$F$6:$F$2005,"Done",Appointments!$M$6:$M$2005,"&gt;"&amp;M922)=0,1,0),0)</f>
        <v/>
      </c>
      <c r="O922">
        <f>IF(AND(F922="Booked",M922&lt;&gt;"",N(B922)&gt;=TODAY()),IF(COUNTIFS(Appointments!$D$6:$D$2005,D922,Appointments!$F$6:$F$2005,"Booked",Appointments!$B$6:$B$2005,"&gt;="&amp;TODAY(),Appointments!$M$6:$M$2005,"&lt;"&amp;M922)=0,1,0),0)</f>
        <v/>
      </c>
    </row>
    <row r="923">
      <c r="A923" s="1" t="n"/>
      <c r="B923" s="30" t="n">
        <v>46245</v>
      </c>
      <c r="C923" s="31" t="n">
        <v>0.6076388888888888</v>
      </c>
      <c r="D923" s="32" t="inlineStr">
        <is>
          <t>Rosa Diaz</t>
        </is>
      </c>
      <c r="E923" s="32" t="inlineStr">
        <is>
          <t>Women's haircut</t>
        </is>
      </c>
      <c r="F923" s="33" t="inlineStr">
        <is>
          <t>Done</t>
        </is>
      </c>
      <c r="G923" s="27">
        <f>IF(E923="","",MAX(0,IFERROR(INDEX(Services!$C$6:$C$35,MATCH(E923,Services!$B$6:$B$35,0)),0)-N(H923)))</f>
        <v/>
      </c>
      <c r="H923" s="34" t="n"/>
      <c r="I923" s="34" t="n">
        <v>55</v>
      </c>
      <c r="J923" s="33" t="inlineStr">
        <is>
          <t>Cash</t>
        </is>
      </c>
      <c r="K923" s="28">
        <f>IF(OR(B923="",F923&lt;&gt;"Done",J923="Package"),"",IF(N(G923)-N(I923)&gt;0,N(G923)-N(I923),""))</f>
        <v/>
      </c>
      <c r="L923" s="32" t="n"/>
      <c r="M923" s="1">
        <f>IF(OR(B923="",D923="",F923="Cancelled"),"",B923+N(C923)+ROW()/10000000)</f>
        <v/>
      </c>
      <c r="N923">
        <f>IF(AND(F923="Done",M923&lt;&gt;""),IF(COUNTIFS(Appointments!$D$6:$D$2005,D923,Appointments!$F$6:$F$2005,"Done",Appointments!$M$6:$M$2005,"&gt;"&amp;M923)=0,1,0),0)</f>
        <v/>
      </c>
      <c r="O923">
        <f>IF(AND(F923="Booked",M923&lt;&gt;"",N(B923)&gt;=TODAY()),IF(COUNTIFS(Appointments!$D$6:$D$2005,D923,Appointments!$F$6:$F$2005,"Booked",Appointments!$B$6:$B$2005,"&gt;="&amp;TODAY(),Appointments!$M$6:$M$2005,"&lt;"&amp;M923)=0,1,0),0)</f>
        <v/>
      </c>
    </row>
    <row r="924">
      <c r="A924" s="1" t="n"/>
      <c r="B924" s="30" t="n">
        <v>46245</v>
      </c>
      <c r="C924" s="31" t="n">
        <v>0.65625</v>
      </c>
      <c r="D924" s="32" t="inlineStr">
        <is>
          <t>Tom Cole</t>
        </is>
      </c>
      <c r="E924" s="32" t="inlineStr">
        <is>
          <t>Men's haircut</t>
        </is>
      </c>
      <c r="F924" s="33" t="inlineStr">
        <is>
          <t>Done</t>
        </is>
      </c>
      <c r="G924" s="27">
        <f>IF(E924="","",MAX(0,IFERROR(INDEX(Services!$C$6:$C$35,MATCH(E924,Services!$B$6:$B$35,0)),0)-N(H924)))</f>
        <v/>
      </c>
      <c r="H924" s="34" t="n"/>
      <c r="I924" s="34" t="n">
        <v>30</v>
      </c>
      <c r="J924" s="33" t="inlineStr">
        <is>
          <t>Cash</t>
        </is>
      </c>
      <c r="K924" s="28">
        <f>IF(OR(B924="",F924&lt;&gt;"Done",J924="Package"),"",IF(N(G924)-N(I924)&gt;0,N(G924)-N(I924),""))</f>
        <v/>
      </c>
      <c r="L924" s="32" t="n"/>
      <c r="M924" s="1">
        <f>IF(OR(B924="",D924="",F924="Cancelled"),"",B924+N(C924)+ROW()/10000000)</f>
        <v/>
      </c>
      <c r="N924">
        <f>IF(AND(F924="Done",M924&lt;&gt;""),IF(COUNTIFS(Appointments!$D$6:$D$2005,D924,Appointments!$F$6:$F$2005,"Done",Appointments!$M$6:$M$2005,"&gt;"&amp;M924)=0,1,0),0)</f>
        <v/>
      </c>
      <c r="O924">
        <f>IF(AND(F924="Booked",M924&lt;&gt;"",N(B924)&gt;=TODAY()),IF(COUNTIFS(Appointments!$D$6:$D$2005,D924,Appointments!$F$6:$F$2005,"Booked",Appointments!$B$6:$B$2005,"&gt;="&amp;TODAY(),Appointments!$M$6:$M$2005,"&lt;"&amp;M924)=0,1,0),0)</f>
        <v/>
      </c>
    </row>
    <row r="925">
      <c r="A925" s="1" t="n"/>
      <c r="B925" s="30" t="n">
        <v>46245</v>
      </c>
      <c r="C925" s="31" t="n">
        <v>0.6840277777777778</v>
      </c>
      <c r="D925" s="32" t="inlineStr">
        <is>
          <t>Tom Davies</t>
        </is>
      </c>
      <c r="E925" s="32" t="inlineStr">
        <is>
          <t>Men's haircut</t>
        </is>
      </c>
      <c r="F925" s="33" t="inlineStr">
        <is>
          <t>Done</t>
        </is>
      </c>
      <c r="G925" s="27">
        <f>IF(E925="","",MAX(0,IFERROR(INDEX(Services!$C$6:$C$35,MATCH(E925,Services!$B$6:$B$35,0)),0)-N(H925)))</f>
        <v/>
      </c>
      <c r="H925" s="34" t="n"/>
      <c r="I925" s="34" t="n">
        <v>30</v>
      </c>
      <c r="J925" s="33" t="inlineStr">
        <is>
          <t>Cash</t>
        </is>
      </c>
      <c r="K925" s="28">
        <f>IF(OR(B925="",F925&lt;&gt;"Done",J925="Package"),"",IF(N(G925)-N(I925)&gt;0,N(G925)-N(I925),""))</f>
        <v/>
      </c>
      <c r="L925" s="32" t="n"/>
      <c r="M925" s="1">
        <f>IF(OR(B925="",D925="",F925="Cancelled"),"",B925+N(C925)+ROW()/10000000)</f>
        <v/>
      </c>
      <c r="N925">
        <f>IF(AND(F925="Done",M925&lt;&gt;""),IF(COUNTIFS(Appointments!$D$6:$D$2005,D925,Appointments!$F$6:$F$2005,"Done",Appointments!$M$6:$M$2005,"&gt;"&amp;M925)=0,1,0),0)</f>
        <v/>
      </c>
      <c r="O925">
        <f>IF(AND(F925="Booked",M925&lt;&gt;"",N(B925)&gt;=TODAY()),IF(COUNTIFS(Appointments!$D$6:$D$2005,D925,Appointments!$F$6:$F$2005,"Booked",Appointments!$B$6:$B$2005,"&gt;="&amp;TODAY(),Appointments!$M$6:$M$2005,"&lt;"&amp;M925)=0,1,0),0)</f>
        <v/>
      </c>
    </row>
    <row r="926">
      <c r="A926" s="1" t="n"/>
      <c r="B926" s="30" t="n">
        <v>46246</v>
      </c>
      <c r="C926" s="31" t="n">
        <v>0.375</v>
      </c>
      <c r="D926" s="32" t="inlineStr">
        <is>
          <t>Dan Hill</t>
        </is>
      </c>
      <c r="E926" s="32" t="inlineStr">
        <is>
          <t>Men's haircut</t>
        </is>
      </c>
      <c r="F926" s="33" t="inlineStr">
        <is>
          <t>Done</t>
        </is>
      </c>
      <c r="G926" s="27">
        <f>IF(E926="","",MAX(0,IFERROR(INDEX(Services!$C$6:$C$35,MATCH(E926,Services!$B$6:$B$35,0)),0)-N(H926)))</f>
        <v/>
      </c>
      <c r="H926" s="34" t="n"/>
      <c r="I926" s="34" t="n">
        <v>30</v>
      </c>
      <c r="J926" s="33" t="inlineStr">
        <is>
          <t>App</t>
        </is>
      </c>
      <c r="K926" s="28">
        <f>IF(OR(B926="",F926&lt;&gt;"Done",J926="Package"),"",IF(N(G926)-N(I926)&gt;0,N(G926)-N(I926),""))</f>
        <v/>
      </c>
      <c r="L926" s="32" t="n"/>
      <c r="M926" s="1">
        <f>IF(OR(B926="",D926="",F926="Cancelled"),"",B926+N(C926)+ROW()/10000000)</f>
        <v/>
      </c>
      <c r="N926">
        <f>IF(AND(F926="Done",M926&lt;&gt;""),IF(COUNTIFS(Appointments!$D$6:$D$2005,D926,Appointments!$F$6:$F$2005,"Done",Appointments!$M$6:$M$2005,"&gt;"&amp;M926)=0,1,0),0)</f>
        <v/>
      </c>
      <c r="O926">
        <f>IF(AND(F926="Booked",M926&lt;&gt;"",N(B926)&gt;=TODAY()),IF(COUNTIFS(Appointments!$D$6:$D$2005,D926,Appointments!$F$6:$F$2005,"Booked",Appointments!$B$6:$B$2005,"&gt;="&amp;TODAY(),Appointments!$M$6:$M$2005,"&lt;"&amp;M926)=0,1,0),0)</f>
        <v/>
      </c>
    </row>
    <row r="927">
      <c r="A927" s="1" t="n"/>
      <c r="B927" s="30" t="n">
        <v>46246</v>
      </c>
      <c r="C927" s="31" t="n">
        <v>0.4027777777777778</v>
      </c>
      <c r="D927" s="32" t="inlineStr">
        <is>
          <t>Fiona Fox</t>
        </is>
      </c>
      <c r="E927" s="32" t="inlineStr">
        <is>
          <t>Treatment</t>
        </is>
      </c>
      <c r="F927" s="33" t="inlineStr">
        <is>
          <t>Done</t>
        </is>
      </c>
      <c r="G927" s="27">
        <f>IF(E927="","",MAX(0,IFERROR(INDEX(Services!$C$6:$C$35,MATCH(E927,Services!$B$6:$B$35,0)),0)-N(H927)))</f>
        <v/>
      </c>
      <c r="H927" s="34" t="n"/>
      <c r="I927" s="34" t="n">
        <v>30</v>
      </c>
      <c r="J927" s="33" t="inlineStr">
        <is>
          <t>Card</t>
        </is>
      </c>
      <c r="K927" s="28">
        <f>IF(OR(B927="",F927&lt;&gt;"Done",J927="Package"),"",IF(N(G927)-N(I927)&gt;0,N(G927)-N(I927),""))</f>
        <v/>
      </c>
      <c r="L927" s="32" t="n"/>
      <c r="M927" s="1">
        <f>IF(OR(B927="",D927="",F927="Cancelled"),"",B927+N(C927)+ROW()/10000000)</f>
        <v/>
      </c>
      <c r="N927">
        <f>IF(AND(F927="Done",M927&lt;&gt;""),IF(COUNTIFS(Appointments!$D$6:$D$2005,D927,Appointments!$F$6:$F$2005,"Done",Appointments!$M$6:$M$2005,"&gt;"&amp;M927)=0,1,0),0)</f>
        <v/>
      </c>
      <c r="O927">
        <f>IF(AND(F927="Booked",M927&lt;&gt;"",N(B927)&gt;=TODAY()),IF(COUNTIFS(Appointments!$D$6:$D$2005,D927,Appointments!$F$6:$F$2005,"Booked",Appointments!$B$6:$B$2005,"&gt;="&amp;TODAY(),Appointments!$M$6:$M$2005,"&lt;"&amp;M927)=0,1,0),0)</f>
        <v/>
      </c>
    </row>
    <row r="928">
      <c r="A928" s="1" t="n"/>
      <c r="B928" s="30" t="n">
        <v>46246</v>
      </c>
      <c r="C928" s="31" t="n">
        <v>0.4305555555555556</v>
      </c>
      <c r="D928" s="32" t="inlineStr">
        <is>
          <t>George Kelly</t>
        </is>
      </c>
      <c r="E928" s="32" t="inlineStr">
        <is>
          <t>Men's haircut</t>
        </is>
      </c>
      <c r="F928" s="33" t="inlineStr">
        <is>
          <t>Done</t>
        </is>
      </c>
      <c r="G928" s="27">
        <f>IF(E928="","",MAX(0,IFERROR(INDEX(Services!$C$6:$C$35,MATCH(E928,Services!$B$6:$B$35,0)),0)-N(H928)))</f>
        <v/>
      </c>
      <c r="H928" s="34" t="n"/>
      <c r="I928" s="34" t="n">
        <v>30</v>
      </c>
      <c r="J928" s="33" t="inlineStr">
        <is>
          <t>Transfer</t>
        </is>
      </c>
      <c r="K928" s="28">
        <f>IF(OR(B928="",F928&lt;&gt;"Done",J928="Package"),"",IF(N(G928)-N(I928)&gt;0,N(G928)-N(I928),""))</f>
        <v/>
      </c>
      <c r="L928" s="32" t="n"/>
      <c r="M928" s="1">
        <f>IF(OR(B928="",D928="",F928="Cancelled"),"",B928+N(C928)+ROW()/10000000)</f>
        <v/>
      </c>
      <c r="N928">
        <f>IF(AND(F928="Done",M928&lt;&gt;""),IF(COUNTIFS(Appointments!$D$6:$D$2005,D928,Appointments!$F$6:$F$2005,"Done",Appointments!$M$6:$M$2005,"&gt;"&amp;M928)=0,1,0),0)</f>
        <v/>
      </c>
      <c r="O928">
        <f>IF(AND(F928="Booked",M928&lt;&gt;"",N(B928)&gt;=TODAY()),IF(COUNTIFS(Appointments!$D$6:$D$2005,D928,Appointments!$F$6:$F$2005,"Booked",Appointments!$B$6:$B$2005,"&gt;="&amp;TODAY(),Appointments!$M$6:$M$2005,"&lt;"&amp;M928)=0,1,0),0)</f>
        <v/>
      </c>
    </row>
    <row r="929">
      <c r="A929" s="1" t="n"/>
      <c r="B929" s="30" t="n">
        <v>46246</v>
      </c>
      <c r="C929" s="31" t="n">
        <v>0.4583333333333333</v>
      </c>
      <c r="D929" s="32" t="inlineStr">
        <is>
          <t>Jade Hill</t>
        </is>
      </c>
      <c r="E929" s="32" t="inlineStr">
        <is>
          <t>Women's haircut</t>
        </is>
      </c>
      <c r="F929" s="33" t="inlineStr">
        <is>
          <t>Done</t>
        </is>
      </c>
      <c r="G929" s="27">
        <f>IF(E929="","",MAX(0,IFERROR(INDEX(Services!$C$6:$C$35,MATCH(E929,Services!$B$6:$B$35,0)),0)-N(H929)))</f>
        <v/>
      </c>
      <c r="H929" s="34" t="n"/>
      <c r="I929" s="34" t="n">
        <v>55</v>
      </c>
      <c r="J929" s="33" t="inlineStr">
        <is>
          <t>Transfer</t>
        </is>
      </c>
      <c r="K929" s="28">
        <f>IF(OR(B929="",F929&lt;&gt;"Done",J929="Package"),"",IF(N(G929)-N(I929)&gt;0,N(G929)-N(I929),""))</f>
        <v/>
      </c>
      <c r="L929" s="32" t="n"/>
      <c r="M929" s="1">
        <f>IF(OR(B929="",D929="",F929="Cancelled"),"",B929+N(C929)+ROW()/10000000)</f>
        <v/>
      </c>
      <c r="N929">
        <f>IF(AND(F929="Done",M929&lt;&gt;""),IF(COUNTIFS(Appointments!$D$6:$D$2005,D929,Appointments!$F$6:$F$2005,"Done",Appointments!$M$6:$M$2005,"&gt;"&amp;M929)=0,1,0),0)</f>
        <v/>
      </c>
      <c r="O929">
        <f>IF(AND(F929="Booked",M929&lt;&gt;"",N(B929)&gt;=TODAY()),IF(COUNTIFS(Appointments!$D$6:$D$2005,D929,Appointments!$F$6:$F$2005,"Booked",Appointments!$B$6:$B$2005,"&gt;="&amp;TODAY(),Appointments!$M$6:$M$2005,"&lt;"&amp;M929)=0,1,0),0)</f>
        <v/>
      </c>
    </row>
    <row r="930">
      <c r="A930" s="1" t="n"/>
      <c r="B930" s="30" t="n">
        <v>46246</v>
      </c>
      <c r="C930" s="31" t="n">
        <v>0.5069444444444444</v>
      </c>
      <c r="D930" s="32" t="inlineStr">
        <is>
          <t>Luke Lewis</t>
        </is>
      </c>
      <c r="E930" s="32" t="inlineStr">
        <is>
          <t>Men's haircut</t>
        </is>
      </c>
      <c r="F930" s="33" t="inlineStr">
        <is>
          <t>Done</t>
        </is>
      </c>
      <c r="G930" s="27">
        <f>IF(E930="","",MAX(0,IFERROR(INDEX(Services!$C$6:$C$35,MATCH(E930,Services!$B$6:$B$35,0)),0)-N(H930)))</f>
        <v/>
      </c>
      <c r="H930" s="34" t="n"/>
      <c r="I930" s="34" t="n">
        <v>30</v>
      </c>
      <c r="J930" s="33" t="inlineStr">
        <is>
          <t>Transfer</t>
        </is>
      </c>
      <c r="K930" s="28">
        <f>IF(OR(B930="",F930&lt;&gt;"Done",J930="Package"),"",IF(N(G930)-N(I930)&gt;0,N(G930)-N(I930),""))</f>
        <v/>
      </c>
      <c r="L930" s="32" t="n"/>
      <c r="M930" s="1">
        <f>IF(OR(B930="",D930="",F930="Cancelled"),"",B930+N(C930)+ROW()/10000000)</f>
        <v/>
      </c>
      <c r="N930">
        <f>IF(AND(F930="Done",M930&lt;&gt;""),IF(COUNTIFS(Appointments!$D$6:$D$2005,D930,Appointments!$F$6:$F$2005,"Done",Appointments!$M$6:$M$2005,"&gt;"&amp;M930)=0,1,0),0)</f>
        <v/>
      </c>
      <c r="O930">
        <f>IF(AND(F930="Booked",M930&lt;&gt;"",N(B930)&gt;=TODAY()),IF(COUNTIFS(Appointments!$D$6:$D$2005,D930,Appointments!$F$6:$F$2005,"Booked",Appointments!$B$6:$B$2005,"&gt;="&amp;TODAY(),Appointments!$M$6:$M$2005,"&lt;"&amp;M930)=0,1,0),0)</f>
        <v/>
      </c>
    </row>
    <row r="931">
      <c r="A931" s="1" t="n"/>
      <c r="B931" s="30" t="n">
        <v>46246</v>
      </c>
      <c r="C931" s="31" t="n">
        <v>0.5347222222222222</v>
      </c>
      <c r="D931" s="32" t="inlineStr">
        <is>
          <t>Sophie Cox</t>
        </is>
      </c>
      <c r="E931" s="32" t="inlineStr">
        <is>
          <t>Women's haircut</t>
        </is>
      </c>
      <c r="F931" s="33" t="inlineStr">
        <is>
          <t>Done</t>
        </is>
      </c>
      <c r="G931" s="27">
        <f>IF(E931="","",MAX(0,IFERROR(INDEX(Services!$C$6:$C$35,MATCH(E931,Services!$B$6:$B$35,0)),0)-N(H931)))</f>
        <v/>
      </c>
      <c r="H931" s="34" t="n"/>
      <c r="I931" s="34" t="n">
        <v>55</v>
      </c>
      <c r="J931" s="33" t="inlineStr">
        <is>
          <t>Card</t>
        </is>
      </c>
      <c r="K931" s="28">
        <f>IF(OR(B931="",F931&lt;&gt;"Done",J931="Package"),"",IF(N(G931)-N(I931)&gt;0,N(G931)-N(I931),""))</f>
        <v/>
      </c>
      <c r="L931" s="32" t="n"/>
      <c r="M931" s="1">
        <f>IF(OR(B931="",D931="",F931="Cancelled"),"",B931+N(C931)+ROW()/10000000)</f>
        <v/>
      </c>
      <c r="N931">
        <f>IF(AND(F931="Done",M931&lt;&gt;""),IF(COUNTIFS(Appointments!$D$6:$D$2005,D931,Appointments!$F$6:$F$2005,"Done",Appointments!$M$6:$M$2005,"&gt;"&amp;M931)=0,1,0),0)</f>
        <v/>
      </c>
      <c r="O931">
        <f>IF(AND(F931="Booked",M931&lt;&gt;"",N(B931)&gt;=TODAY()),IF(COUNTIFS(Appointments!$D$6:$D$2005,D931,Appointments!$F$6:$F$2005,"Booked",Appointments!$B$6:$B$2005,"&gt;="&amp;TODAY(),Appointments!$M$6:$M$2005,"&lt;"&amp;M931)=0,1,0),0)</f>
        <v/>
      </c>
    </row>
    <row r="932">
      <c r="A932" s="1" t="n"/>
      <c r="B932" s="30" t="n">
        <v>46246</v>
      </c>
      <c r="C932" s="31" t="n">
        <v>0.5833333333333334</v>
      </c>
      <c r="D932" s="32" t="inlineStr">
        <is>
          <t>Tom Gray</t>
        </is>
      </c>
      <c r="E932" s="32" t="inlineStr">
        <is>
          <t>Men's haircut</t>
        </is>
      </c>
      <c r="F932" s="33" t="inlineStr">
        <is>
          <t>Done</t>
        </is>
      </c>
      <c r="G932" s="27">
        <f>IF(E932="","",MAX(0,IFERROR(INDEX(Services!$C$6:$C$35,MATCH(E932,Services!$B$6:$B$35,0)),0)-N(H932)))</f>
        <v/>
      </c>
      <c r="H932" s="34" t="n"/>
      <c r="I932" s="34" t="n">
        <v>30</v>
      </c>
      <c r="J932" s="33" t="inlineStr">
        <is>
          <t>Card</t>
        </is>
      </c>
      <c r="K932" s="28">
        <f>IF(OR(B932="",F932&lt;&gt;"Done",J932="Package"),"",IF(N(G932)-N(I932)&gt;0,N(G932)-N(I932),""))</f>
        <v/>
      </c>
      <c r="L932" s="32" t="n"/>
      <c r="M932" s="1">
        <f>IF(OR(B932="",D932="",F932="Cancelled"),"",B932+N(C932)+ROW()/10000000)</f>
        <v/>
      </c>
      <c r="N932">
        <f>IF(AND(F932="Done",M932&lt;&gt;""),IF(COUNTIFS(Appointments!$D$6:$D$2005,D932,Appointments!$F$6:$F$2005,"Done",Appointments!$M$6:$M$2005,"&gt;"&amp;M932)=0,1,0),0)</f>
        <v/>
      </c>
      <c r="O932">
        <f>IF(AND(F932="Booked",M932&lt;&gt;"",N(B932)&gt;=TODAY()),IF(COUNTIFS(Appointments!$D$6:$D$2005,D932,Appointments!$F$6:$F$2005,"Booked",Appointments!$B$6:$B$2005,"&gt;="&amp;TODAY(),Appointments!$M$6:$M$2005,"&lt;"&amp;M932)=0,1,0),0)</f>
        <v/>
      </c>
    </row>
    <row r="933">
      <c r="A933" s="1" t="n"/>
      <c r="B933" s="30" t="n">
        <v>46247</v>
      </c>
      <c r="C933" s="31" t="n">
        <v>0.375</v>
      </c>
      <c r="D933" s="32" t="inlineStr">
        <is>
          <t>Chris West</t>
        </is>
      </c>
      <c r="E933" s="32" t="inlineStr">
        <is>
          <t>Men's haircut</t>
        </is>
      </c>
      <c r="F933" s="33" t="inlineStr">
        <is>
          <t>Done</t>
        </is>
      </c>
      <c r="G933" s="27">
        <f>IF(E933="","",MAX(0,IFERROR(INDEX(Services!$C$6:$C$35,MATCH(E933,Services!$B$6:$B$35,0)),0)-N(H933)))</f>
        <v/>
      </c>
      <c r="H933" s="34" t="n"/>
      <c r="I933" s="34" t="n">
        <v>30</v>
      </c>
      <c r="J933" s="33" t="inlineStr">
        <is>
          <t>Card</t>
        </is>
      </c>
      <c r="K933" s="28">
        <f>IF(OR(B933="",F933&lt;&gt;"Done",J933="Package"),"",IF(N(G933)-N(I933)&gt;0,N(G933)-N(I933),""))</f>
        <v/>
      </c>
      <c r="L933" s="32" t="n"/>
      <c r="M933" s="1">
        <f>IF(OR(B933="",D933="",F933="Cancelled"),"",B933+N(C933)+ROW()/10000000)</f>
        <v/>
      </c>
      <c r="N933">
        <f>IF(AND(F933="Done",M933&lt;&gt;""),IF(COUNTIFS(Appointments!$D$6:$D$2005,D933,Appointments!$F$6:$F$2005,"Done",Appointments!$M$6:$M$2005,"&gt;"&amp;M933)=0,1,0),0)</f>
        <v/>
      </c>
      <c r="O933">
        <f>IF(AND(F933="Booked",M933&lt;&gt;"",N(B933)&gt;=TODAY()),IF(COUNTIFS(Appointments!$D$6:$D$2005,D933,Appointments!$F$6:$F$2005,"Booked",Appointments!$B$6:$B$2005,"&gt;="&amp;TODAY(),Appointments!$M$6:$M$2005,"&lt;"&amp;M933)=0,1,0),0)</f>
        <v/>
      </c>
    </row>
    <row r="934">
      <c r="A934" s="1" t="n"/>
      <c r="B934" s="30" t="n">
        <v>46247</v>
      </c>
      <c r="C934" s="31" t="n">
        <v>0.4027777777777778</v>
      </c>
      <c r="D934" s="32" t="inlineStr">
        <is>
          <t>Ella Kelly</t>
        </is>
      </c>
      <c r="E934" s="32" t="inlineStr">
        <is>
          <t>Women's haircut</t>
        </is>
      </c>
      <c r="F934" s="33" t="inlineStr">
        <is>
          <t>Done</t>
        </is>
      </c>
      <c r="G934" s="27">
        <f>IF(E934="","",MAX(0,IFERROR(INDEX(Services!$C$6:$C$35,MATCH(E934,Services!$B$6:$B$35,0)),0)-N(H934)))</f>
        <v/>
      </c>
      <c r="H934" s="34" t="n"/>
      <c r="I934" s="34" t="n">
        <v>55</v>
      </c>
      <c r="J934" s="33" t="inlineStr">
        <is>
          <t>Card</t>
        </is>
      </c>
      <c r="K934" s="28">
        <f>IF(OR(B934="",F934&lt;&gt;"Done",J934="Package"),"",IF(N(G934)-N(I934)&gt;0,N(G934)-N(I934),""))</f>
        <v/>
      </c>
      <c r="L934" s="32" t="n"/>
      <c r="M934" s="1">
        <f>IF(OR(B934="",D934="",F934="Cancelled"),"",B934+N(C934)+ROW()/10000000)</f>
        <v/>
      </c>
      <c r="N934">
        <f>IF(AND(F934="Done",M934&lt;&gt;""),IF(COUNTIFS(Appointments!$D$6:$D$2005,D934,Appointments!$F$6:$F$2005,"Done",Appointments!$M$6:$M$2005,"&gt;"&amp;M934)=0,1,0),0)</f>
        <v/>
      </c>
      <c r="O934">
        <f>IF(AND(F934="Booked",M934&lt;&gt;"",N(B934)&gt;=TODAY()),IF(COUNTIFS(Appointments!$D$6:$D$2005,D934,Appointments!$F$6:$F$2005,"Booked",Appointments!$B$6:$B$2005,"&gt;="&amp;TODAY(),Appointments!$M$6:$M$2005,"&lt;"&amp;M934)=0,1,0),0)</f>
        <v/>
      </c>
    </row>
    <row r="935">
      <c r="A935" s="1" t="n"/>
      <c r="B935" s="30" t="n">
        <v>46247</v>
      </c>
      <c r="C935" s="31" t="n">
        <v>0.4513888888888889</v>
      </c>
      <c r="D935" s="32" t="inlineStr">
        <is>
          <t>Finn Wood</t>
        </is>
      </c>
      <c r="E935" s="32" t="inlineStr">
        <is>
          <t>Men's haircut</t>
        </is>
      </c>
      <c r="F935" s="33" t="inlineStr">
        <is>
          <t>Done</t>
        </is>
      </c>
      <c r="G935" s="27">
        <f>IF(E935="","",MAX(0,IFERROR(INDEX(Services!$C$6:$C$35,MATCH(E935,Services!$B$6:$B$35,0)),0)-N(H935)))</f>
        <v/>
      </c>
      <c r="H935" s="34" t="n"/>
      <c r="I935" s="34" t="n">
        <v>30</v>
      </c>
      <c r="J935" s="33" t="inlineStr">
        <is>
          <t>Card</t>
        </is>
      </c>
      <c r="K935" s="28">
        <f>IF(OR(B935="",F935&lt;&gt;"Done",J935="Package"),"",IF(N(G935)-N(I935)&gt;0,N(G935)-N(I935),""))</f>
        <v/>
      </c>
      <c r="L935" s="32" t="n"/>
      <c r="M935" s="1">
        <f>IF(OR(B935="",D935="",F935="Cancelled"),"",B935+N(C935)+ROW()/10000000)</f>
        <v/>
      </c>
      <c r="N935">
        <f>IF(AND(F935="Done",M935&lt;&gt;""),IF(COUNTIFS(Appointments!$D$6:$D$2005,D935,Appointments!$F$6:$F$2005,"Done",Appointments!$M$6:$M$2005,"&gt;"&amp;M935)=0,1,0),0)</f>
        <v/>
      </c>
      <c r="O935">
        <f>IF(AND(F935="Booked",M935&lt;&gt;"",N(B935)&gt;=TODAY()),IF(COUNTIFS(Appointments!$D$6:$D$2005,D935,Appointments!$F$6:$F$2005,"Booked",Appointments!$B$6:$B$2005,"&gt;="&amp;TODAY(),Appointments!$M$6:$M$2005,"&lt;"&amp;M935)=0,1,0),0)</f>
        <v/>
      </c>
    </row>
    <row r="936">
      <c r="A936" s="1" t="n"/>
      <c r="B936" s="30" t="n">
        <v>46247</v>
      </c>
      <c r="C936" s="31" t="n">
        <v>0.4791666666666667</v>
      </c>
      <c r="D936" s="32" t="inlineStr">
        <is>
          <t>Ian Hall</t>
        </is>
      </c>
      <c r="E936" s="32" t="inlineStr">
        <is>
          <t>Men's haircut</t>
        </is>
      </c>
      <c r="F936" s="33" t="inlineStr">
        <is>
          <t>Done</t>
        </is>
      </c>
      <c r="G936" s="27">
        <f>IF(E936="","",MAX(0,IFERROR(INDEX(Services!$C$6:$C$35,MATCH(E936,Services!$B$6:$B$35,0)),0)-N(H936)))</f>
        <v/>
      </c>
      <c r="H936" s="34" t="n">
        <v>10</v>
      </c>
      <c r="I936" s="34" t="n">
        <v>20</v>
      </c>
      <c r="J936" s="33" t="inlineStr">
        <is>
          <t>Card</t>
        </is>
      </c>
      <c r="K936" s="28">
        <f>IF(OR(B936="",F936&lt;&gt;"Done",J936="Package"),"",IF(N(G936)-N(I936)&gt;0,N(G936)-N(I936),""))</f>
        <v/>
      </c>
      <c r="L936" s="32" t="inlineStr">
        <is>
          <t>Friends and family</t>
        </is>
      </c>
      <c r="M936" s="1">
        <f>IF(OR(B936="",D936="",F936="Cancelled"),"",B936+N(C936)+ROW()/10000000)</f>
        <v/>
      </c>
      <c r="N936">
        <f>IF(AND(F936="Done",M936&lt;&gt;""),IF(COUNTIFS(Appointments!$D$6:$D$2005,D936,Appointments!$F$6:$F$2005,"Done",Appointments!$M$6:$M$2005,"&gt;"&amp;M936)=0,1,0),0)</f>
        <v/>
      </c>
      <c r="O936">
        <f>IF(AND(F936="Booked",M936&lt;&gt;"",N(B936)&gt;=TODAY()),IF(COUNTIFS(Appointments!$D$6:$D$2005,D936,Appointments!$F$6:$F$2005,"Booked",Appointments!$B$6:$B$2005,"&gt;="&amp;TODAY(),Appointments!$M$6:$M$2005,"&lt;"&amp;M936)=0,1,0),0)</f>
        <v/>
      </c>
    </row>
    <row r="937">
      <c r="A937" s="1" t="n"/>
      <c r="B937" s="30" t="n">
        <v>46247</v>
      </c>
      <c r="C937" s="31" t="n">
        <v>0.5069444444444444</v>
      </c>
      <c r="D937" s="32" t="inlineStr">
        <is>
          <t>Ryan Adams</t>
        </is>
      </c>
      <c r="E937" s="32" t="inlineStr">
        <is>
          <t>Men's haircut</t>
        </is>
      </c>
      <c r="F937" s="33" t="inlineStr">
        <is>
          <t>Done</t>
        </is>
      </c>
      <c r="G937" s="27">
        <f>IF(E937="","",MAX(0,IFERROR(INDEX(Services!$C$6:$C$35,MATCH(E937,Services!$B$6:$B$35,0)),0)-N(H937)))</f>
        <v/>
      </c>
      <c r="H937" s="34" t="n"/>
      <c r="I937" s="34" t="n">
        <v>30</v>
      </c>
      <c r="J937" s="33" t="inlineStr">
        <is>
          <t>Card</t>
        </is>
      </c>
      <c r="K937" s="28">
        <f>IF(OR(B937="",F937&lt;&gt;"Done",J937="Package"),"",IF(N(G937)-N(I937)&gt;0,N(G937)-N(I937),""))</f>
        <v/>
      </c>
      <c r="L937" s="32" t="n"/>
      <c r="M937" s="1">
        <f>IF(OR(B937="",D937="",F937="Cancelled"),"",B937+N(C937)+ROW()/10000000)</f>
        <v/>
      </c>
      <c r="N937">
        <f>IF(AND(F937="Done",M937&lt;&gt;""),IF(COUNTIFS(Appointments!$D$6:$D$2005,D937,Appointments!$F$6:$F$2005,"Done",Appointments!$M$6:$M$2005,"&gt;"&amp;M937)=0,1,0),0)</f>
        <v/>
      </c>
      <c r="O937">
        <f>IF(AND(F937="Booked",M937&lt;&gt;"",N(B937)&gt;=TODAY()),IF(COUNTIFS(Appointments!$D$6:$D$2005,D937,Appointments!$F$6:$F$2005,"Booked",Appointments!$B$6:$B$2005,"&gt;="&amp;TODAY(),Appointments!$M$6:$M$2005,"&lt;"&amp;M937)=0,1,0),0)</f>
        <v/>
      </c>
    </row>
    <row r="938">
      <c r="A938" s="1" t="n"/>
      <c r="B938" s="30" t="n">
        <v>46248</v>
      </c>
      <c r="C938" s="31" t="n">
        <v>0.375</v>
      </c>
      <c r="D938" s="32" t="inlineStr">
        <is>
          <t>Adam Gray</t>
        </is>
      </c>
      <c r="E938" s="32" t="inlineStr">
        <is>
          <t>Men's haircut</t>
        </is>
      </c>
      <c r="F938" s="33" t="inlineStr">
        <is>
          <t>Done</t>
        </is>
      </c>
      <c r="G938" s="27">
        <f>IF(E938="","",MAX(0,IFERROR(INDEX(Services!$C$6:$C$35,MATCH(E938,Services!$B$6:$B$35,0)),0)-N(H938)))</f>
        <v/>
      </c>
      <c r="H938" s="34" t="n"/>
      <c r="I938" s="34" t="n">
        <v>30</v>
      </c>
      <c r="J938" s="33" t="inlineStr">
        <is>
          <t>Cash</t>
        </is>
      </c>
      <c r="K938" s="28">
        <f>IF(OR(B938="",F938&lt;&gt;"Done",J938="Package"),"",IF(N(G938)-N(I938)&gt;0,N(G938)-N(I938),""))</f>
        <v/>
      </c>
      <c r="L938" s="32" t="n"/>
      <c r="M938" s="1">
        <f>IF(OR(B938="",D938="",F938="Cancelled"),"",B938+N(C938)+ROW()/10000000)</f>
        <v/>
      </c>
      <c r="N938">
        <f>IF(AND(F938="Done",M938&lt;&gt;""),IF(COUNTIFS(Appointments!$D$6:$D$2005,D938,Appointments!$F$6:$F$2005,"Done",Appointments!$M$6:$M$2005,"&gt;"&amp;M938)=0,1,0),0)</f>
        <v/>
      </c>
      <c r="O938">
        <f>IF(AND(F938="Booked",M938&lt;&gt;"",N(B938)&gt;=TODAY()),IF(COUNTIFS(Appointments!$D$6:$D$2005,D938,Appointments!$F$6:$F$2005,"Booked",Appointments!$B$6:$B$2005,"&gt;="&amp;TODAY(),Appointments!$M$6:$M$2005,"&lt;"&amp;M938)=0,1,0),0)</f>
        <v/>
      </c>
    </row>
    <row r="939">
      <c r="A939" s="1" t="n"/>
      <c r="B939" s="30" t="n">
        <v>46248</v>
      </c>
      <c r="C939" s="31" t="n">
        <v>0.4027777777777778</v>
      </c>
      <c r="D939" s="32" t="inlineStr">
        <is>
          <t>Chloe Martin</t>
        </is>
      </c>
      <c r="E939" s="32" t="inlineStr">
        <is>
          <t>Highlights</t>
        </is>
      </c>
      <c r="F939" s="33" t="inlineStr">
        <is>
          <t>Done</t>
        </is>
      </c>
      <c r="G939" s="27">
        <f>IF(E939="","",MAX(0,IFERROR(INDEX(Services!$C$6:$C$35,MATCH(E939,Services!$B$6:$B$35,0)),0)-N(H939)))</f>
        <v/>
      </c>
      <c r="H939" s="34" t="n"/>
      <c r="I939" s="34" t="n">
        <v>140</v>
      </c>
      <c r="J939" s="33" t="inlineStr">
        <is>
          <t>Cash</t>
        </is>
      </c>
      <c r="K939" s="28">
        <f>IF(OR(B939="",F939&lt;&gt;"Done",J939="Package"),"",IF(N(G939)-N(I939)&gt;0,N(G939)-N(I939),""))</f>
        <v/>
      </c>
      <c r="L939" s="32" t="n"/>
      <c r="M939" s="1">
        <f>IF(OR(B939="",D939="",F939="Cancelled"),"",B939+N(C939)+ROW()/10000000)</f>
        <v/>
      </c>
      <c r="N939">
        <f>IF(AND(F939="Done",M939&lt;&gt;""),IF(COUNTIFS(Appointments!$D$6:$D$2005,D939,Appointments!$F$6:$F$2005,"Done",Appointments!$M$6:$M$2005,"&gt;"&amp;M939)=0,1,0),0)</f>
        <v/>
      </c>
      <c r="O939">
        <f>IF(AND(F939="Booked",M939&lt;&gt;"",N(B939)&gt;=TODAY()),IF(COUNTIFS(Appointments!$D$6:$D$2005,D939,Appointments!$F$6:$F$2005,"Booked",Appointments!$B$6:$B$2005,"&gt;="&amp;TODAY(),Appointments!$M$6:$M$2005,"&lt;"&amp;M939)=0,1,0),0)</f>
        <v/>
      </c>
    </row>
    <row r="940">
      <c r="A940" s="1" t="n"/>
      <c r="B940" s="30" t="n">
        <v>46248</v>
      </c>
      <c r="C940" s="31" t="n">
        <v>0.5138888888888888</v>
      </c>
      <c r="D940" s="32" t="inlineStr">
        <is>
          <t>Jack Wilson</t>
        </is>
      </c>
      <c r="E940" s="32" t="inlineStr">
        <is>
          <t>Men's haircut</t>
        </is>
      </c>
      <c r="F940" s="33" t="inlineStr">
        <is>
          <t>Done</t>
        </is>
      </c>
      <c r="G940" s="27">
        <f>IF(E940="","",MAX(0,IFERROR(INDEX(Services!$C$6:$C$35,MATCH(E940,Services!$B$6:$B$35,0)),0)-N(H940)))</f>
        <v/>
      </c>
      <c r="H940" s="34" t="n"/>
      <c r="I940" s="34" t="n">
        <v>30</v>
      </c>
      <c r="J940" s="33" t="inlineStr">
        <is>
          <t>Card</t>
        </is>
      </c>
      <c r="K940" s="28">
        <f>IF(OR(B940="",F940&lt;&gt;"Done",J940="Package"),"",IF(N(G940)-N(I940)&gt;0,N(G940)-N(I940),""))</f>
        <v/>
      </c>
      <c r="L940" s="32" t="n"/>
      <c r="M940" s="1">
        <f>IF(OR(B940="",D940="",F940="Cancelled"),"",B940+N(C940)+ROW()/10000000)</f>
        <v/>
      </c>
      <c r="N940">
        <f>IF(AND(F940="Done",M940&lt;&gt;""),IF(COUNTIFS(Appointments!$D$6:$D$2005,D940,Appointments!$F$6:$F$2005,"Done",Appointments!$M$6:$M$2005,"&gt;"&amp;M940)=0,1,0),0)</f>
        <v/>
      </c>
      <c r="O940">
        <f>IF(AND(F940="Booked",M940&lt;&gt;"",N(B940)&gt;=TODAY()),IF(COUNTIFS(Appointments!$D$6:$D$2005,D940,Appointments!$F$6:$F$2005,"Booked",Appointments!$B$6:$B$2005,"&gt;="&amp;TODAY(),Appointments!$M$6:$M$2005,"&lt;"&amp;M940)=0,1,0),0)</f>
        <v/>
      </c>
    </row>
    <row r="941">
      <c r="A941" s="1" t="n"/>
      <c r="B941" s="30" t="n">
        <v>46248</v>
      </c>
      <c r="C941" s="31" t="n">
        <v>0.5416666666666666</v>
      </c>
      <c r="D941" s="32" t="inlineStr">
        <is>
          <t>Jade Hughes</t>
        </is>
      </c>
      <c r="E941" s="32" t="inlineStr">
        <is>
          <t>Women's haircut</t>
        </is>
      </c>
      <c r="F941" s="33" t="inlineStr">
        <is>
          <t>Done</t>
        </is>
      </c>
      <c r="G941" s="27">
        <f>IF(E941="","",MAX(0,IFERROR(INDEX(Services!$C$6:$C$35,MATCH(E941,Services!$B$6:$B$35,0)),0)-N(H941)))</f>
        <v/>
      </c>
      <c r="H941" s="34" t="n"/>
      <c r="I941" s="34" t="n">
        <v>55</v>
      </c>
      <c r="J941" s="33" t="inlineStr">
        <is>
          <t>Card</t>
        </is>
      </c>
      <c r="K941" s="28">
        <f>IF(OR(B941="",F941&lt;&gt;"Done",J941="Package"),"",IF(N(G941)-N(I941)&gt;0,N(G941)-N(I941),""))</f>
        <v/>
      </c>
      <c r="L941" s="32" t="n"/>
      <c r="M941" s="1">
        <f>IF(OR(B941="",D941="",F941="Cancelled"),"",B941+N(C941)+ROW()/10000000)</f>
        <v/>
      </c>
      <c r="N941">
        <f>IF(AND(F941="Done",M941&lt;&gt;""),IF(COUNTIFS(Appointments!$D$6:$D$2005,D941,Appointments!$F$6:$F$2005,"Done",Appointments!$M$6:$M$2005,"&gt;"&amp;M941)=0,1,0),0)</f>
        <v/>
      </c>
      <c r="O941">
        <f>IF(AND(F941="Booked",M941&lt;&gt;"",N(B941)&gt;=TODAY()),IF(COUNTIFS(Appointments!$D$6:$D$2005,D941,Appointments!$F$6:$F$2005,"Booked",Appointments!$B$6:$B$2005,"&gt;="&amp;TODAY(),Appointments!$M$6:$M$2005,"&lt;"&amp;M941)=0,1,0),0)</f>
        <v/>
      </c>
    </row>
    <row r="942">
      <c r="A942" s="1" t="n"/>
      <c r="B942" s="30" t="n">
        <v>46248</v>
      </c>
      <c r="C942" s="31" t="n">
        <v>0.5902777777777778</v>
      </c>
      <c r="D942" s="32" t="inlineStr">
        <is>
          <t>Nina Cook</t>
        </is>
      </c>
      <c r="E942" s="32" t="inlineStr">
        <is>
          <t>Highlights</t>
        </is>
      </c>
      <c r="F942" s="33" t="inlineStr">
        <is>
          <t>Done</t>
        </is>
      </c>
      <c r="G942" s="27">
        <f>IF(E942="","",MAX(0,IFERROR(INDEX(Services!$C$6:$C$35,MATCH(E942,Services!$B$6:$B$35,0)),0)-N(H942)))</f>
        <v/>
      </c>
      <c r="H942" s="34" t="n"/>
      <c r="I942" s="34" t="n">
        <v>140</v>
      </c>
      <c r="J942" s="33" t="inlineStr">
        <is>
          <t>Card</t>
        </is>
      </c>
      <c r="K942" s="28">
        <f>IF(OR(B942="",F942&lt;&gt;"Done",J942="Package"),"",IF(N(G942)-N(I942)&gt;0,N(G942)-N(I942),""))</f>
        <v/>
      </c>
      <c r="L942" s="32" t="n"/>
      <c r="M942" s="1">
        <f>IF(OR(B942="",D942="",F942="Cancelled"),"",B942+N(C942)+ROW()/10000000)</f>
        <v/>
      </c>
      <c r="N942">
        <f>IF(AND(F942="Done",M942&lt;&gt;""),IF(COUNTIFS(Appointments!$D$6:$D$2005,D942,Appointments!$F$6:$F$2005,"Done",Appointments!$M$6:$M$2005,"&gt;"&amp;M942)=0,1,0),0)</f>
        <v/>
      </c>
      <c r="O942">
        <f>IF(AND(F942="Booked",M942&lt;&gt;"",N(B942)&gt;=TODAY()),IF(COUNTIFS(Appointments!$D$6:$D$2005,D942,Appointments!$F$6:$F$2005,"Booked",Appointments!$B$6:$B$2005,"&gt;="&amp;TODAY(),Appointments!$M$6:$M$2005,"&lt;"&amp;M942)=0,1,0),0)</f>
        <v/>
      </c>
    </row>
    <row r="943">
      <c r="A943" s="1" t="n"/>
      <c r="B943" s="30" t="n">
        <v>46249</v>
      </c>
      <c r="C943" s="31" t="n">
        <v>0.375</v>
      </c>
      <c r="D943" s="32" t="inlineStr">
        <is>
          <t>Gina Reid</t>
        </is>
      </c>
      <c r="E943" s="32" t="inlineStr">
        <is>
          <t>Highlights</t>
        </is>
      </c>
      <c r="F943" s="33" t="inlineStr">
        <is>
          <t>Done</t>
        </is>
      </c>
      <c r="G943" s="27">
        <f>IF(E943="","",MAX(0,IFERROR(INDEX(Services!$C$6:$C$35,MATCH(E943,Services!$B$6:$B$35,0)),0)-N(H943)))</f>
        <v/>
      </c>
      <c r="H943" s="34" t="n"/>
      <c r="I943" s="34" t="n">
        <v>140</v>
      </c>
      <c r="J943" s="33" t="inlineStr">
        <is>
          <t>App</t>
        </is>
      </c>
      <c r="K943" s="28">
        <f>IF(OR(B943="",F943&lt;&gt;"Done",J943="Package"),"",IF(N(G943)-N(I943)&gt;0,N(G943)-N(I943),""))</f>
        <v/>
      </c>
      <c r="L943" s="32" t="n"/>
      <c r="M943" s="1">
        <f>IF(OR(B943="",D943="",F943="Cancelled"),"",B943+N(C943)+ROW()/10000000)</f>
        <v/>
      </c>
      <c r="N943">
        <f>IF(AND(F943="Done",M943&lt;&gt;""),IF(COUNTIFS(Appointments!$D$6:$D$2005,D943,Appointments!$F$6:$F$2005,"Done",Appointments!$M$6:$M$2005,"&gt;"&amp;M943)=0,1,0),0)</f>
        <v/>
      </c>
      <c r="O943">
        <f>IF(AND(F943="Booked",M943&lt;&gt;"",N(B943)&gt;=TODAY()),IF(COUNTIFS(Appointments!$D$6:$D$2005,D943,Appointments!$F$6:$F$2005,"Booked",Appointments!$B$6:$B$2005,"&gt;="&amp;TODAY(),Appointments!$M$6:$M$2005,"&lt;"&amp;M943)=0,1,0),0)</f>
        <v/>
      </c>
    </row>
    <row r="944">
      <c r="A944" s="1" t="n"/>
      <c r="B944" s="30" t="n">
        <v>46249</v>
      </c>
      <c r="C944" s="31" t="n">
        <v>0.4861111111111111</v>
      </c>
      <c r="D944" s="32" t="inlineStr">
        <is>
          <t>Harry Adams</t>
        </is>
      </c>
      <c r="E944" s="32" t="inlineStr">
        <is>
          <t>Men's haircut</t>
        </is>
      </c>
      <c r="F944" s="33" t="inlineStr">
        <is>
          <t>Done</t>
        </is>
      </c>
      <c r="G944" s="27">
        <f>IF(E944="","",MAX(0,IFERROR(INDEX(Services!$C$6:$C$35,MATCH(E944,Services!$B$6:$B$35,0)),0)-N(H944)))</f>
        <v/>
      </c>
      <c r="H944" s="34" t="n"/>
      <c r="I944" s="34" t="n">
        <v>30</v>
      </c>
      <c r="J944" s="33" t="inlineStr">
        <is>
          <t>Card</t>
        </is>
      </c>
      <c r="K944" s="28">
        <f>IF(OR(B944="",F944&lt;&gt;"Done",J944="Package"),"",IF(N(G944)-N(I944)&gt;0,N(G944)-N(I944),""))</f>
        <v/>
      </c>
      <c r="L944" s="32" t="n"/>
      <c r="M944" s="1">
        <f>IF(OR(B944="",D944="",F944="Cancelled"),"",B944+N(C944)+ROW()/10000000)</f>
        <v/>
      </c>
      <c r="N944">
        <f>IF(AND(F944="Done",M944&lt;&gt;""),IF(COUNTIFS(Appointments!$D$6:$D$2005,D944,Appointments!$F$6:$F$2005,"Done",Appointments!$M$6:$M$2005,"&gt;"&amp;M944)=0,1,0),0)</f>
        <v/>
      </c>
      <c r="O944">
        <f>IF(AND(F944="Booked",M944&lt;&gt;"",N(B944)&gt;=TODAY()),IF(COUNTIFS(Appointments!$D$6:$D$2005,D944,Appointments!$F$6:$F$2005,"Booked",Appointments!$B$6:$B$2005,"&gt;="&amp;TODAY(),Appointments!$M$6:$M$2005,"&lt;"&amp;M944)=0,1,0),0)</f>
        <v/>
      </c>
    </row>
    <row r="945">
      <c r="A945" s="1" t="n"/>
      <c r="B945" s="30" t="n">
        <v>46249</v>
      </c>
      <c r="C945" s="31" t="n">
        <v>0.5138888888888888</v>
      </c>
      <c r="D945" s="32" t="inlineStr">
        <is>
          <t>Kara Adams</t>
        </is>
      </c>
      <c r="E945" s="32" t="inlineStr">
        <is>
          <t>Women's haircut</t>
        </is>
      </c>
      <c r="F945" s="33" t="inlineStr">
        <is>
          <t>Cancelled</t>
        </is>
      </c>
      <c r="G945" s="27">
        <f>IF(E945="","",MAX(0,IFERROR(INDEX(Services!$C$6:$C$35,MATCH(E945,Services!$B$6:$B$35,0)),0)-N(H945)))</f>
        <v/>
      </c>
      <c r="H945" s="34" t="n"/>
      <c r="I945" s="34" t="n"/>
      <c r="J945" s="33" t="n"/>
      <c r="K945" s="28">
        <f>IF(OR(B945="",F945&lt;&gt;"Done",J945="Package"),"",IF(N(G945)-N(I945)&gt;0,N(G945)-N(I945),""))</f>
        <v/>
      </c>
      <c r="L945" s="32" t="n"/>
      <c r="M945" s="1">
        <f>IF(OR(B945="",D945="",F945="Cancelled"),"",B945+N(C945)+ROW()/10000000)</f>
        <v/>
      </c>
      <c r="N945">
        <f>IF(AND(F945="Done",M945&lt;&gt;""),IF(COUNTIFS(Appointments!$D$6:$D$2005,D945,Appointments!$F$6:$F$2005,"Done",Appointments!$M$6:$M$2005,"&gt;"&amp;M945)=0,1,0),0)</f>
        <v/>
      </c>
      <c r="O945">
        <f>IF(AND(F945="Booked",M945&lt;&gt;"",N(B945)&gt;=TODAY()),IF(COUNTIFS(Appointments!$D$6:$D$2005,D945,Appointments!$F$6:$F$2005,"Booked",Appointments!$B$6:$B$2005,"&gt;="&amp;TODAY(),Appointments!$M$6:$M$2005,"&lt;"&amp;M945)=0,1,0),0)</f>
        <v/>
      </c>
    </row>
    <row r="946">
      <c r="A946" s="1" t="n"/>
      <c r="B946" s="30" t="n">
        <v>46249</v>
      </c>
      <c r="C946" s="31" t="n">
        <v>0.5625</v>
      </c>
      <c r="D946" s="32" t="inlineStr">
        <is>
          <t>Lily Wood</t>
        </is>
      </c>
      <c r="E946" s="32" t="inlineStr">
        <is>
          <t>Women's haircut</t>
        </is>
      </c>
      <c r="F946" s="33" t="inlineStr">
        <is>
          <t>Done</t>
        </is>
      </c>
      <c r="G946" s="27">
        <f>IF(E946="","",MAX(0,IFERROR(INDEX(Services!$C$6:$C$35,MATCH(E946,Services!$B$6:$B$35,0)),0)-N(H946)))</f>
        <v/>
      </c>
      <c r="H946" s="34" t="n"/>
      <c r="I946" s="34" t="n">
        <v>55</v>
      </c>
      <c r="J946" s="33" t="inlineStr">
        <is>
          <t>Cash</t>
        </is>
      </c>
      <c r="K946" s="28">
        <f>IF(OR(B946="",F946&lt;&gt;"Done",J946="Package"),"",IF(N(G946)-N(I946)&gt;0,N(G946)-N(I946),""))</f>
        <v/>
      </c>
      <c r="L946" s="32" t="n"/>
      <c r="M946" s="1">
        <f>IF(OR(B946="",D946="",F946="Cancelled"),"",B946+N(C946)+ROW()/10000000)</f>
        <v/>
      </c>
      <c r="N946">
        <f>IF(AND(F946="Done",M946&lt;&gt;""),IF(COUNTIFS(Appointments!$D$6:$D$2005,D946,Appointments!$F$6:$F$2005,"Done",Appointments!$M$6:$M$2005,"&gt;"&amp;M946)=0,1,0),0)</f>
        <v/>
      </c>
      <c r="O946">
        <f>IF(AND(F946="Booked",M946&lt;&gt;"",N(B946)&gt;=TODAY()),IF(COUNTIFS(Appointments!$D$6:$D$2005,D946,Appointments!$F$6:$F$2005,"Booked",Appointments!$B$6:$B$2005,"&gt;="&amp;TODAY(),Appointments!$M$6:$M$2005,"&lt;"&amp;M946)=0,1,0),0)</f>
        <v/>
      </c>
    </row>
    <row r="947">
      <c r="A947" s="1" t="n"/>
      <c r="B947" s="30" t="n">
        <v>46249</v>
      </c>
      <c r="C947" s="31" t="n">
        <v>0.6111111111111112</v>
      </c>
      <c r="D947" s="32" t="inlineStr">
        <is>
          <t>Megan Lewis</t>
        </is>
      </c>
      <c r="E947" s="32" t="inlineStr">
        <is>
          <t>Women's haircut</t>
        </is>
      </c>
      <c r="F947" s="33" t="inlineStr">
        <is>
          <t>Done</t>
        </is>
      </c>
      <c r="G947" s="27">
        <f>IF(E947="","",MAX(0,IFERROR(INDEX(Services!$C$6:$C$35,MATCH(E947,Services!$B$6:$B$35,0)),0)-N(H947)))</f>
        <v/>
      </c>
      <c r="H947" s="34" t="n"/>
      <c r="I947" s="34" t="n">
        <v>55</v>
      </c>
      <c r="J947" s="33" t="inlineStr">
        <is>
          <t>Transfer</t>
        </is>
      </c>
      <c r="K947" s="28">
        <f>IF(OR(B947="",F947&lt;&gt;"Done",J947="Package"),"",IF(N(G947)-N(I947)&gt;0,N(G947)-N(I947),""))</f>
        <v/>
      </c>
      <c r="L947" s="32" t="n"/>
      <c r="M947" s="1">
        <f>IF(OR(B947="",D947="",F947="Cancelled"),"",B947+N(C947)+ROW()/10000000)</f>
        <v/>
      </c>
      <c r="N947">
        <f>IF(AND(F947="Done",M947&lt;&gt;""),IF(COUNTIFS(Appointments!$D$6:$D$2005,D947,Appointments!$F$6:$F$2005,"Done",Appointments!$M$6:$M$2005,"&gt;"&amp;M947)=0,1,0),0)</f>
        <v/>
      </c>
      <c r="O947">
        <f>IF(AND(F947="Booked",M947&lt;&gt;"",N(B947)&gt;=TODAY()),IF(COUNTIFS(Appointments!$D$6:$D$2005,D947,Appointments!$F$6:$F$2005,"Booked",Appointments!$B$6:$B$2005,"&gt;="&amp;TODAY(),Appointments!$M$6:$M$2005,"&lt;"&amp;M947)=0,1,0),0)</f>
        <v/>
      </c>
    </row>
    <row r="948">
      <c r="A948" s="1" t="n"/>
      <c r="B948" s="30" t="n">
        <v>46249</v>
      </c>
      <c r="C948" s="31" t="n">
        <v>0.6597222222222222</v>
      </c>
      <c r="D948" s="32" t="inlineStr">
        <is>
          <t>Will Baker</t>
        </is>
      </c>
      <c r="E948" s="32" t="inlineStr">
        <is>
          <t>Men's haircut</t>
        </is>
      </c>
      <c r="F948" s="33" t="inlineStr">
        <is>
          <t>Done</t>
        </is>
      </c>
      <c r="G948" s="27">
        <f>IF(E948="","",MAX(0,IFERROR(INDEX(Services!$C$6:$C$35,MATCH(E948,Services!$B$6:$B$35,0)),0)-N(H948)))</f>
        <v/>
      </c>
      <c r="H948" s="34" t="n"/>
      <c r="I948" s="34" t="n">
        <v>30</v>
      </c>
      <c r="J948" s="33" t="inlineStr">
        <is>
          <t>App</t>
        </is>
      </c>
      <c r="K948" s="28">
        <f>IF(OR(B948="",F948&lt;&gt;"Done",J948="Package"),"",IF(N(G948)-N(I948)&gt;0,N(G948)-N(I948),""))</f>
        <v/>
      </c>
      <c r="L948" s="32" t="n"/>
      <c r="M948" s="1">
        <f>IF(OR(B948="",D948="",F948="Cancelled"),"",B948+N(C948)+ROW()/10000000)</f>
        <v/>
      </c>
      <c r="N948">
        <f>IF(AND(F948="Done",M948&lt;&gt;""),IF(COUNTIFS(Appointments!$D$6:$D$2005,D948,Appointments!$F$6:$F$2005,"Done",Appointments!$M$6:$M$2005,"&gt;"&amp;M948)=0,1,0),0)</f>
        <v/>
      </c>
      <c r="O948">
        <f>IF(AND(F948="Booked",M948&lt;&gt;"",N(B948)&gt;=TODAY()),IF(COUNTIFS(Appointments!$D$6:$D$2005,D948,Appointments!$F$6:$F$2005,"Booked",Appointments!$B$6:$B$2005,"&gt;="&amp;TODAY(),Appointments!$M$6:$M$2005,"&lt;"&amp;M948)=0,1,0),0)</f>
        <v/>
      </c>
    </row>
    <row r="949">
      <c r="A949" s="1" t="n"/>
      <c r="B949" s="30" t="n">
        <v>46252</v>
      </c>
      <c r="C949" s="31" t="n">
        <v>0.375</v>
      </c>
      <c r="D949" s="32" t="inlineStr">
        <is>
          <t>Ben Carter</t>
        </is>
      </c>
      <c r="E949" s="32" t="inlineStr">
        <is>
          <t>Men's haircut</t>
        </is>
      </c>
      <c r="F949" s="33" t="inlineStr">
        <is>
          <t>Done</t>
        </is>
      </c>
      <c r="G949" s="27">
        <f>IF(E949="","",MAX(0,IFERROR(INDEX(Services!$C$6:$C$35,MATCH(E949,Services!$B$6:$B$35,0)),0)-N(H949)))</f>
        <v/>
      </c>
      <c r="H949" s="34" t="n"/>
      <c r="I949" s="34" t="n">
        <v>30</v>
      </c>
      <c r="J949" s="33" t="inlineStr">
        <is>
          <t>Card</t>
        </is>
      </c>
      <c r="K949" s="28">
        <f>IF(OR(B949="",F949&lt;&gt;"Done",J949="Package"),"",IF(N(G949)-N(I949)&gt;0,N(G949)-N(I949),""))</f>
        <v/>
      </c>
      <c r="L949" s="32" t="n"/>
      <c r="M949" s="1">
        <f>IF(OR(B949="",D949="",F949="Cancelled"),"",B949+N(C949)+ROW()/10000000)</f>
        <v/>
      </c>
      <c r="N949">
        <f>IF(AND(F949="Done",M949&lt;&gt;""),IF(COUNTIFS(Appointments!$D$6:$D$2005,D949,Appointments!$F$6:$F$2005,"Done",Appointments!$M$6:$M$2005,"&gt;"&amp;M949)=0,1,0),0)</f>
        <v/>
      </c>
      <c r="O949">
        <f>IF(AND(F949="Booked",M949&lt;&gt;"",N(B949)&gt;=TODAY()),IF(COUNTIFS(Appointments!$D$6:$D$2005,D949,Appointments!$F$6:$F$2005,"Booked",Appointments!$B$6:$B$2005,"&gt;="&amp;TODAY(),Appointments!$M$6:$M$2005,"&lt;"&amp;M949)=0,1,0),0)</f>
        <v/>
      </c>
    </row>
    <row r="950">
      <c r="A950" s="1" t="n"/>
      <c r="B950" s="30" t="n">
        <v>46252</v>
      </c>
      <c r="C950" s="31" t="n">
        <v>0.4027777777777778</v>
      </c>
      <c r="D950" s="32" t="inlineStr">
        <is>
          <t>Grace Lee</t>
        </is>
      </c>
      <c r="E950" s="32" t="inlineStr">
        <is>
          <t>Women's haircut</t>
        </is>
      </c>
      <c r="F950" s="33" t="inlineStr">
        <is>
          <t>Done</t>
        </is>
      </c>
      <c r="G950" s="27">
        <f>IF(E950="","",MAX(0,IFERROR(INDEX(Services!$C$6:$C$35,MATCH(E950,Services!$B$6:$B$35,0)),0)-N(H950)))</f>
        <v/>
      </c>
      <c r="H950" s="34" t="n"/>
      <c r="I950" s="34" t="n">
        <v>55</v>
      </c>
      <c r="J950" s="33" t="inlineStr">
        <is>
          <t>Transfer</t>
        </is>
      </c>
      <c r="K950" s="28">
        <f>IF(OR(B950="",F950&lt;&gt;"Done",J950="Package"),"",IF(N(G950)-N(I950)&gt;0,N(G950)-N(I950),""))</f>
        <v/>
      </c>
      <c r="L950" s="32" t="n"/>
      <c r="M950" s="1">
        <f>IF(OR(B950="",D950="",F950="Cancelled"),"",B950+N(C950)+ROW()/10000000)</f>
        <v/>
      </c>
      <c r="N950">
        <f>IF(AND(F950="Done",M950&lt;&gt;""),IF(COUNTIFS(Appointments!$D$6:$D$2005,D950,Appointments!$F$6:$F$2005,"Done",Appointments!$M$6:$M$2005,"&gt;"&amp;M950)=0,1,0),0)</f>
        <v/>
      </c>
      <c r="O950">
        <f>IF(AND(F950="Booked",M950&lt;&gt;"",N(B950)&gt;=TODAY()),IF(COUNTIFS(Appointments!$D$6:$D$2005,D950,Appointments!$F$6:$F$2005,"Booked",Appointments!$B$6:$B$2005,"&gt;="&amp;TODAY(),Appointments!$M$6:$M$2005,"&lt;"&amp;M950)=0,1,0),0)</f>
        <v/>
      </c>
    </row>
    <row r="951">
      <c r="A951" s="1" t="n"/>
      <c r="B951" s="30" t="n">
        <v>46252</v>
      </c>
      <c r="C951" s="31" t="n">
        <v>0.4513888888888889</v>
      </c>
      <c r="D951" s="32" t="inlineStr">
        <is>
          <t>Harry Hill</t>
        </is>
      </c>
      <c r="E951" s="32" t="inlineStr">
        <is>
          <t>Men's haircut</t>
        </is>
      </c>
      <c r="F951" s="33" t="inlineStr">
        <is>
          <t>Done</t>
        </is>
      </c>
      <c r="G951" s="27">
        <f>IF(E951="","",MAX(0,IFERROR(INDEX(Services!$C$6:$C$35,MATCH(E951,Services!$B$6:$B$35,0)),0)-N(H951)))</f>
        <v/>
      </c>
      <c r="H951" s="34" t="n"/>
      <c r="I951" s="34" t="n">
        <v>30</v>
      </c>
      <c r="J951" s="33" t="inlineStr">
        <is>
          <t>Card</t>
        </is>
      </c>
      <c r="K951" s="28">
        <f>IF(OR(B951="",F951&lt;&gt;"Done",J951="Package"),"",IF(N(G951)-N(I951)&gt;0,N(G951)-N(I951),""))</f>
        <v/>
      </c>
      <c r="L951" s="32" t="n"/>
      <c r="M951" s="1">
        <f>IF(OR(B951="",D951="",F951="Cancelled"),"",B951+N(C951)+ROW()/10000000)</f>
        <v/>
      </c>
      <c r="N951">
        <f>IF(AND(F951="Done",M951&lt;&gt;""),IF(COUNTIFS(Appointments!$D$6:$D$2005,D951,Appointments!$F$6:$F$2005,"Done",Appointments!$M$6:$M$2005,"&gt;"&amp;M951)=0,1,0),0)</f>
        <v/>
      </c>
      <c r="O951">
        <f>IF(AND(F951="Booked",M951&lt;&gt;"",N(B951)&gt;=TODAY()),IF(COUNTIFS(Appointments!$D$6:$D$2005,D951,Appointments!$F$6:$F$2005,"Booked",Appointments!$B$6:$B$2005,"&gt;="&amp;TODAY(),Appointments!$M$6:$M$2005,"&lt;"&amp;M951)=0,1,0),0)</f>
        <v/>
      </c>
    </row>
    <row r="952">
      <c r="A952" s="1" t="n"/>
      <c r="B952" s="30" t="n">
        <v>46252</v>
      </c>
      <c r="C952" s="31" t="n">
        <v>0.4791666666666667</v>
      </c>
      <c r="D952" s="32" t="inlineStr">
        <is>
          <t>Kyle Hughes</t>
        </is>
      </c>
      <c r="E952" s="32" t="inlineStr">
        <is>
          <t>Men's haircut</t>
        </is>
      </c>
      <c r="F952" s="33" t="inlineStr">
        <is>
          <t>Done</t>
        </is>
      </c>
      <c r="G952" s="27">
        <f>IF(E952="","",MAX(0,IFERROR(INDEX(Services!$C$6:$C$35,MATCH(E952,Services!$B$6:$B$35,0)),0)-N(H952)))</f>
        <v/>
      </c>
      <c r="H952" s="34" t="n"/>
      <c r="I952" s="34" t="n">
        <v>30</v>
      </c>
      <c r="J952" s="33" t="inlineStr">
        <is>
          <t>Card</t>
        </is>
      </c>
      <c r="K952" s="28">
        <f>IF(OR(B952="",F952&lt;&gt;"Done",J952="Package"),"",IF(N(G952)-N(I952)&gt;0,N(G952)-N(I952),""))</f>
        <v/>
      </c>
      <c r="L952" s="32" t="n"/>
      <c r="M952" s="1">
        <f>IF(OR(B952="",D952="",F952="Cancelled"),"",B952+N(C952)+ROW()/10000000)</f>
        <v/>
      </c>
      <c r="N952">
        <f>IF(AND(F952="Done",M952&lt;&gt;""),IF(COUNTIFS(Appointments!$D$6:$D$2005,D952,Appointments!$F$6:$F$2005,"Done",Appointments!$M$6:$M$2005,"&gt;"&amp;M952)=0,1,0),0)</f>
        <v/>
      </c>
      <c r="O952">
        <f>IF(AND(F952="Booked",M952&lt;&gt;"",N(B952)&gt;=TODAY()),IF(COUNTIFS(Appointments!$D$6:$D$2005,D952,Appointments!$F$6:$F$2005,"Booked",Appointments!$B$6:$B$2005,"&gt;="&amp;TODAY(),Appointments!$M$6:$M$2005,"&lt;"&amp;M952)=0,1,0),0)</f>
        <v/>
      </c>
    </row>
    <row r="953">
      <c r="A953" s="1" t="n"/>
      <c r="B953" s="30" t="n">
        <v>46252</v>
      </c>
      <c r="C953" s="31" t="n">
        <v>0.5069444444444444</v>
      </c>
      <c r="D953" s="32" t="inlineStr">
        <is>
          <t>Mia Cole</t>
        </is>
      </c>
      <c r="E953" s="32" t="inlineStr">
        <is>
          <t>Treatment</t>
        </is>
      </c>
      <c r="F953" s="33" t="inlineStr">
        <is>
          <t>Done</t>
        </is>
      </c>
      <c r="G953" s="27">
        <f>IF(E953="","",MAX(0,IFERROR(INDEX(Services!$C$6:$C$35,MATCH(E953,Services!$B$6:$B$35,0)),0)-N(H953)))</f>
        <v/>
      </c>
      <c r="H953" s="34" t="n">
        <v>10</v>
      </c>
      <c r="I953" s="34" t="n">
        <v>20</v>
      </c>
      <c r="J953" s="33" t="inlineStr">
        <is>
          <t>Transfer</t>
        </is>
      </c>
      <c r="K953" s="28">
        <f>IF(OR(B953="",F953&lt;&gt;"Done",J953="Package"),"",IF(N(G953)-N(I953)&gt;0,N(G953)-N(I953),""))</f>
        <v/>
      </c>
      <c r="L953" s="32" t="inlineStr">
        <is>
          <t>Friends and family</t>
        </is>
      </c>
      <c r="M953" s="1">
        <f>IF(OR(B953="",D953="",F953="Cancelled"),"",B953+N(C953)+ROW()/10000000)</f>
        <v/>
      </c>
      <c r="N953">
        <f>IF(AND(F953="Done",M953&lt;&gt;""),IF(COUNTIFS(Appointments!$D$6:$D$2005,D953,Appointments!$F$6:$F$2005,"Done",Appointments!$M$6:$M$2005,"&gt;"&amp;M953)=0,1,0),0)</f>
        <v/>
      </c>
      <c r="O953">
        <f>IF(AND(F953="Booked",M953&lt;&gt;"",N(B953)&gt;=TODAY()),IF(COUNTIFS(Appointments!$D$6:$D$2005,D953,Appointments!$F$6:$F$2005,"Booked",Appointments!$B$6:$B$2005,"&gt;="&amp;TODAY(),Appointments!$M$6:$M$2005,"&lt;"&amp;M953)=0,1,0),0)</f>
        <v/>
      </c>
    </row>
    <row r="954">
      <c r="A954" s="1" t="n"/>
      <c r="B954" s="30" t="n">
        <v>46252</v>
      </c>
      <c r="C954" s="31" t="n">
        <v>0.5347222222222222</v>
      </c>
      <c r="D954" s="32" t="inlineStr">
        <is>
          <t>Nora Walsh</t>
        </is>
      </c>
      <c r="E954" s="32" t="inlineStr">
        <is>
          <t>Women's haircut</t>
        </is>
      </c>
      <c r="F954" s="33" t="inlineStr">
        <is>
          <t>Done</t>
        </is>
      </c>
      <c r="G954" s="27">
        <f>IF(E954="","",MAX(0,IFERROR(INDEX(Services!$C$6:$C$35,MATCH(E954,Services!$B$6:$B$35,0)),0)-N(H954)))</f>
        <v/>
      </c>
      <c r="H954" s="34" t="n"/>
      <c r="I954" s="34" t="n">
        <v>55</v>
      </c>
      <c r="J954" s="33" t="inlineStr">
        <is>
          <t>Card</t>
        </is>
      </c>
      <c r="K954" s="28">
        <f>IF(OR(B954="",F954&lt;&gt;"Done",J954="Package"),"",IF(N(G954)-N(I954)&gt;0,N(G954)-N(I954),""))</f>
        <v/>
      </c>
      <c r="L954" s="32" t="n"/>
      <c r="M954" s="1">
        <f>IF(OR(B954="",D954="",F954="Cancelled"),"",B954+N(C954)+ROW()/10000000)</f>
        <v/>
      </c>
      <c r="N954">
        <f>IF(AND(F954="Done",M954&lt;&gt;""),IF(COUNTIFS(Appointments!$D$6:$D$2005,D954,Appointments!$F$6:$F$2005,"Done",Appointments!$M$6:$M$2005,"&gt;"&amp;M954)=0,1,0),0)</f>
        <v/>
      </c>
      <c r="O954">
        <f>IF(AND(F954="Booked",M954&lt;&gt;"",N(B954)&gt;=TODAY()),IF(COUNTIFS(Appointments!$D$6:$D$2005,D954,Appointments!$F$6:$F$2005,"Booked",Appointments!$B$6:$B$2005,"&gt;="&amp;TODAY(),Appointments!$M$6:$M$2005,"&lt;"&amp;M954)=0,1,0),0)</f>
        <v/>
      </c>
    </row>
    <row r="955">
      <c r="A955" s="1" t="n"/>
      <c r="B955" s="30" t="n">
        <v>46252</v>
      </c>
      <c r="C955" s="31" t="n">
        <v>0.5833333333333334</v>
      </c>
      <c r="D955" s="32" t="inlineStr">
        <is>
          <t>Pete Young</t>
        </is>
      </c>
      <c r="E955" s="32" t="inlineStr">
        <is>
          <t>Men's haircut</t>
        </is>
      </c>
      <c r="F955" s="33" t="inlineStr">
        <is>
          <t>Done</t>
        </is>
      </c>
      <c r="G955" s="27">
        <f>IF(E955="","",MAX(0,IFERROR(INDEX(Services!$C$6:$C$35,MATCH(E955,Services!$B$6:$B$35,0)),0)-N(H955)))</f>
        <v/>
      </c>
      <c r="H955" s="34" t="n"/>
      <c r="I955" s="34" t="n">
        <v>30</v>
      </c>
      <c r="J955" s="33" t="inlineStr">
        <is>
          <t>Card</t>
        </is>
      </c>
      <c r="K955" s="28">
        <f>IF(OR(B955="",F955&lt;&gt;"Done",J955="Package"),"",IF(N(G955)-N(I955)&gt;0,N(G955)-N(I955),""))</f>
        <v/>
      </c>
      <c r="L955" s="32" t="n"/>
      <c r="M955" s="1">
        <f>IF(OR(B955="",D955="",F955="Cancelled"),"",B955+N(C955)+ROW()/10000000)</f>
        <v/>
      </c>
      <c r="N955">
        <f>IF(AND(F955="Done",M955&lt;&gt;""),IF(COUNTIFS(Appointments!$D$6:$D$2005,D955,Appointments!$F$6:$F$2005,"Done",Appointments!$M$6:$M$2005,"&gt;"&amp;M955)=0,1,0),0)</f>
        <v/>
      </c>
      <c r="O955">
        <f>IF(AND(F955="Booked",M955&lt;&gt;"",N(B955)&gt;=TODAY()),IF(COUNTIFS(Appointments!$D$6:$D$2005,D955,Appointments!$F$6:$F$2005,"Booked",Appointments!$B$6:$B$2005,"&gt;="&amp;TODAY(),Appointments!$M$6:$M$2005,"&lt;"&amp;M955)=0,1,0),0)</f>
        <v/>
      </c>
    </row>
    <row r="956">
      <c r="A956" s="1" t="n"/>
      <c r="B956" s="30" t="n">
        <v>46253</v>
      </c>
      <c r="C956" s="31" t="n">
        <v>0.375</v>
      </c>
      <c r="D956" s="32" t="inlineStr">
        <is>
          <t>Eli Cole</t>
        </is>
      </c>
      <c r="E956" s="32" t="inlineStr">
        <is>
          <t>Men's haircut</t>
        </is>
      </c>
      <c r="F956" s="33" t="inlineStr">
        <is>
          <t>Done</t>
        </is>
      </c>
      <c r="G956" s="27">
        <f>IF(E956="","",MAX(0,IFERROR(INDEX(Services!$C$6:$C$35,MATCH(E956,Services!$B$6:$B$35,0)),0)-N(H956)))</f>
        <v/>
      </c>
      <c r="H956" s="34" t="n"/>
      <c r="I956" s="34" t="n">
        <v>30</v>
      </c>
      <c r="J956" s="33" t="inlineStr">
        <is>
          <t>Card</t>
        </is>
      </c>
      <c r="K956" s="28">
        <f>IF(OR(B956="",F956&lt;&gt;"Done",J956="Package"),"",IF(N(G956)-N(I956)&gt;0,N(G956)-N(I956),""))</f>
        <v/>
      </c>
      <c r="L956" s="32" t="n"/>
      <c r="M956" s="1">
        <f>IF(OR(B956="",D956="",F956="Cancelled"),"",B956+N(C956)+ROW()/10000000)</f>
        <v/>
      </c>
      <c r="N956">
        <f>IF(AND(F956="Done",M956&lt;&gt;""),IF(COUNTIFS(Appointments!$D$6:$D$2005,D956,Appointments!$F$6:$F$2005,"Done",Appointments!$M$6:$M$2005,"&gt;"&amp;M956)=0,1,0),0)</f>
        <v/>
      </c>
      <c r="O956">
        <f>IF(AND(F956="Booked",M956&lt;&gt;"",N(B956)&gt;=TODAY()),IF(COUNTIFS(Appointments!$D$6:$D$2005,D956,Appointments!$F$6:$F$2005,"Booked",Appointments!$B$6:$B$2005,"&gt;="&amp;TODAY(),Appointments!$M$6:$M$2005,"&lt;"&amp;M956)=0,1,0),0)</f>
        <v/>
      </c>
    </row>
    <row r="957">
      <c r="A957" s="1" t="n"/>
      <c r="B957" s="30" t="n">
        <v>46253</v>
      </c>
      <c r="C957" s="31" t="n">
        <v>0.4027777777777778</v>
      </c>
      <c r="D957" s="32" t="inlineStr">
        <is>
          <t>Eva Mills</t>
        </is>
      </c>
      <c r="E957" s="32" t="inlineStr">
        <is>
          <t>Women's haircut</t>
        </is>
      </c>
      <c r="F957" s="33" t="inlineStr">
        <is>
          <t>Done</t>
        </is>
      </c>
      <c r="G957" s="27">
        <f>IF(E957="","",MAX(0,IFERROR(INDEX(Services!$C$6:$C$35,MATCH(E957,Services!$B$6:$B$35,0)),0)-N(H957)))</f>
        <v/>
      </c>
      <c r="H957" s="34" t="n"/>
      <c r="I957" s="34" t="n">
        <v>55</v>
      </c>
      <c r="J957" s="33" t="inlineStr">
        <is>
          <t>Transfer</t>
        </is>
      </c>
      <c r="K957" s="28">
        <f>IF(OR(B957="",F957&lt;&gt;"Done",J957="Package"),"",IF(N(G957)-N(I957)&gt;0,N(G957)-N(I957),""))</f>
        <v/>
      </c>
      <c r="L957" s="32" t="n"/>
      <c r="M957" s="1">
        <f>IF(OR(B957="",D957="",F957="Cancelled"),"",B957+N(C957)+ROW()/10000000)</f>
        <v/>
      </c>
      <c r="N957">
        <f>IF(AND(F957="Done",M957&lt;&gt;""),IF(COUNTIFS(Appointments!$D$6:$D$2005,D957,Appointments!$F$6:$F$2005,"Done",Appointments!$M$6:$M$2005,"&gt;"&amp;M957)=0,1,0),0)</f>
        <v/>
      </c>
      <c r="O957">
        <f>IF(AND(F957="Booked",M957&lt;&gt;"",N(B957)&gt;=TODAY()),IF(COUNTIFS(Appointments!$D$6:$D$2005,D957,Appointments!$F$6:$F$2005,"Booked",Appointments!$B$6:$B$2005,"&gt;="&amp;TODAY(),Appointments!$M$6:$M$2005,"&lt;"&amp;M957)=0,1,0),0)</f>
        <v/>
      </c>
    </row>
    <row r="958">
      <c r="A958" s="1" t="n"/>
      <c r="B958" s="30" t="n">
        <v>46253</v>
      </c>
      <c r="C958" s="31" t="n">
        <v>0.4513888888888889</v>
      </c>
      <c r="D958" s="32" t="inlineStr">
        <is>
          <t>Harry Hall</t>
        </is>
      </c>
      <c r="E958" s="32" t="inlineStr">
        <is>
          <t>Men's haircut</t>
        </is>
      </c>
      <c r="F958" s="33" t="inlineStr">
        <is>
          <t>Done</t>
        </is>
      </c>
      <c r="G958" s="27">
        <f>IF(E958="","",MAX(0,IFERROR(INDEX(Services!$C$6:$C$35,MATCH(E958,Services!$B$6:$B$35,0)),0)-N(H958)))</f>
        <v/>
      </c>
      <c r="H958" s="34" t="n"/>
      <c r="I958" s="34" t="n">
        <v>30</v>
      </c>
      <c r="J958" s="33" t="inlineStr">
        <is>
          <t>Card</t>
        </is>
      </c>
      <c r="K958" s="28">
        <f>IF(OR(B958="",F958&lt;&gt;"Done",J958="Package"),"",IF(N(G958)-N(I958)&gt;0,N(G958)-N(I958),""))</f>
        <v/>
      </c>
      <c r="L958" s="32" t="n"/>
      <c r="M958" s="1">
        <f>IF(OR(B958="",D958="",F958="Cancelled"),"",B958+N(C958)+ROW()/10000000)</f>
        <v/>
      </c>
      <c r="N958">
        <f>IF(AND(F958="Done",M958&lt;&gt;""),IF(COUNTIFS(Appointments!$D$6:$D$2005,D958,Appointments!$F$6:$F$2005,"Done",Appointments!$M$6:$M$2005,"&gt;"&amp;M958)=0,1,0),0)</f>
        <v/>
      </c>
      <c r="O958">
        <f>IF(AND(F958="Booked",M958&lt;&gt;"",N(B958)&gt;=TODAY()),IF(COUNTIFS(Appointments!$D$6:$D$2005,D958,Appointments!$F$6:$F$2005,"Booked",Appointments!$B$6:$B$2005,"&gt;="&amp;TODAY(),Appointments!$M$6:$M$2005,"&lt;"&amp;M958)=0,1,0),0)</f>
        <v/>
      </c>
    </row>
    <row r="959">
      <c r="A959" s="1" t="n"/>
      <c r="B959" s="30" t="n">
        <v>46253</v>
      </c>
      <c r="C959" s="31" t="n">
        <v>0.4791666666666667</v>
      </c>
      <c r="D959" s="32" t="inlineStr">
        <is>
          <t>Ian Bell</t>
        </is>
      </c>
      <c r="E959" s="32" t="inlineStr">
        <is>
          <t>Men's haircut</t>
        </is>
      </c>
      <c r="F959" s="33" t="inlineStr">
        <is>
          <t>Done</t>
        </is>
      </c>
      <c r="G959" s="27">
        <f>IF(E959="","",MAX(0,IFERROR(INDEX(Services!$C$6:$C$35,MATCH(E959,Services!$B$6:$B$35,0)),0)-N(H959)))</f>
        <v/>
      </c>
      <c r="H959" s="34" t="n"/>
      <c r="I959" s="34" t="n">
        <v>30</v>
      </c>
      <c r="J959" s="33" t="inlineStr">
        <is>
          <t>Card</t>
        </is>
      </c>
      <c r="K959" s="28">
        <f>IF(OR(B959="",F959&lt;&gt;"Done",J959="Package"),"",IF(N(G959)-N(I959)&gt;0,N(G959)-N(I959),""))</f>
        <v/>
      </c>
      <c r="L959" s="32" t="n"/>
      <c r="M959" s="1">
        <f>IF(OR(B959="",D959="",F959="Cancelled"),"",B959+N(C959)+ROW()/10000000)</f>
        <v/>
      </c>
      <c r="N959">
        <f>IF(AND(F959="Done",M959&lt;&gt;""),IF(COUNTIFS(Appointments!$D$6:$D$2005,D959,Appointments!$F$6:$F$2005,"Done",Appointments!$M$6:$M$2005,"&gt;"&amp;M959)=0,1,0),0)</f>
        <v/>
      </c>
      <c r="O959">
        <f>IF(AND(F959="Booked",M959&lt;&gt;"",N(B959)&gt;=TODAY()),IF(COUNTIFS(Appointments!$D$6:$D$2005,D959,Appointments!$F$6:$F$2005,"Booked",Appointments!$B$6:$B$2005,"&gt;="&amp;TODAY(),Appointments!$M$6:$M$2005,"&lt;"&amp;M959)=0,1,0),0)</f>
        <v/>
      </c>
    </row>
    <row r="960">
      <c r="A960" s="1" t="n"/>
      <c r="B960" s="30" t="n">
        <v>46253</v>
      </c>
      <c r="C960" s="31" t="n">
        <v>0.5069444444444444</v>
      </c>
      <c r="D960" s="32" t="inlineStr">
        <is>
          <t>Jon Gray</t>
        </is>
      </c>
      <c r="E960" s="32" t="inlineStr">
        <is>
          <t>Men's haircut</t>
        </is>
      </c>
      <c r="F960" s="33" t="inlineStr">
        <is>
          <t>Done</t>
        </is>
      </c>
      <c r="G960" s="27">
        <f>IF(E960="","",MAX(0,IFERROR(INDEX(Services!$C$6:$C$35,MATCH(E960,Services!$B$6:$B$35,0)),0)-N(H960)))</f>
        <v/>
      </c>
      <c r="H960" s="34" t="n"/>
      <c r="I960" s="34" t="n">
        <v>30</v>
      </c>
      <c r="J960" s="33" t="inlineStr">
        <is>
          <t>Card</t>
        </is>
      </c>
      <c r="K960" s="28">
        <f>IF(OR(B960="",F960&lt;&gt;"Done",J960="Package"),"",IF(N(G960)-N(I960)&gt;0,N(G960)-N(I960),""))</f>
        <v/>
      </c>
      <c r="L960" s="32" t="n"/>
      <c r="M960" s="1">
        <f>IF(OR(B960="",D960="",F960="Cancelled"),"",B960+N(C960)+ROW()/10000000)</f>
        <v/>
      </c>
      <c r="N960">
        <f>IF(AND(F960="Done",M960&lt;&gt;""),IF(COUNTIFS(Appointments!$D$6:$D$2005,D960,Appointments!$F$6:$F$2005,"Done",Appointments!$M$6:$M$2005,"&gt;"&amp;M960)=0,1,0),0)</f>
        <v/>
      </c>
      <c r="O960">
        <f>IF(AND(F960="Booked",M960&lt;&gt;"",N(B960)&gt;=TODAY()),IF(COUNTIFS(Appointments!$D$6:$D$2005,D960,Appointments!$F$6:$F$2005,"Booked",Appointments!$B$6:$B$2005,"&gt;="&amp;TODAY(),Appointments!$M$6:$M$2005,"&lt;"&amp;M960)=0,1,0),0)</f>
        <v/>
      </c>
    </row>
    <row r="961">
      <c r="A961" s="1" t="n"/>
      <c r="B961" s="30" t="n">
        <v>46253</v>
      </c>
      <c r="C961" s="31" t="n">
        <v>0.5347222222222222</v>
      </c>
      <c r="D961" s="32" t="inlineStr">
        <is>
          <t>Nina Ellis</t>
        </is>
      </c>
      <c r="E961" s="32" t="inlineStr">
        <is>
          <t>Treatment</t>
        </is>
      </c>
      <c r="F961" s="33" t="inlineStr">
        <is>
          <t>Done</t>
        </is>
      </c>
      <c r="G961" s="27">
        <f>IF(E961="","",MAX(0,IFERROR(INDEX(Services!$C$6:$C$35,MATCH(E961,Services!$B$6:$B$35,0)),0)-N(H961)))</f>
        <v/>
      </c>
      <c r="H961" s="34" t="n"/>
      <c r="I961" s="34" t="n">
        <v>30</v>
      </c>
      <c r="J961" s="33" t="inlineStr">
        <is>
          <t>Transfer</t>
        </is>
      </c>
      <c r="K961" s="28">
        <f>IF(OR(B961="",F961&lt;&gt;"Done",J961="Package"),"",IF(N(G961)-N(I961)&gt;0,N(G961)-N(I961),""))</f>
        <v/>
      </c>
      <c r="L961" s="32" t="n"/>
      <c r="M961" s="1">
        <f>IF(OR(B961="",D961="",F961="Cancelled"),"",B961+N(C961)+ROW()/10000000)</f>
        <v/>
      </c>
      <c r="N961">
        <f>IF(AND(F961="Done",M961&lt;&gt;""),IF(COUNTIFS(Appointments!$D$6:$D$2005,D961,Appointments!$F$6:$F$2005,"Done",Appointments!$M$6:$M$2005,"&gt;"&amp;M961)=0,1,0),0)</f>
        <v/>
      </c>
      <c r="O961">
        <f>IF(AND(F961="Booked",M961&lt;&gt;"",N(B961)&gt;=TODAY()),IF(COUNTIFS(Appointments!$D$6:$D$2005,D961,Appointments!$F$6:$F$2005,"Booked",Appointments!$B$6:$B$2005,"&gt;="&amp;TODAY(),Appointments!$M$6:$M$2005,"&lt;"&amp;M961)=0,1,0),0)</f>
        <v/>
      </c>
    </row>
    <row r="962">
      <c r="A962" s="1" t="n"/>
      <c r="B962" s="30" t="n">
        <v>46253</v>
      </c>
      <c r="C962" s="31" t="n">
        <v>0.5625</v>
      </c>
      <c r="D962" s="32" t="inlineStr">
        <is>
          <t>Tina Walsh</t>
        </is>
      </c>
      <c r="E962" s="32" t="inlineStr">
        <is>
          <t>Blow dry</t>
        </is>
      </c>
      <c r="F962" s="33" t="inlineStr">
        <is>
          <t>Done</t>
        </is>
      </c>
      <c r="G962" s="27">
        <f>IF(E962="","",MAX(0,IFERROR(INDEX(Services!$C$6:$C$35,MATCH(E962,Services!$B$6:$B$35,0)),0)-N(H962)))</f>
        <v/>
      </c>
      <c r="H962" s="34" t="n"/>
      <c r="I962" s="34" t="n">
        <v>35</v>
      </c>
      <c r="J962" s="33" t="inlineStr">
        <is>
          <t>Card</t>
        </is>
      </c>
      <c r="K962" s="28">
        <f>IF(OR(B962="",F962&lt;&gt;"Done",J962="Package"),"",IF(N(G962)-N(I962)&gt;0,N(G962)-N(I962),""))</f>
        <v/>
      </c>
      <c r="L962" s="32" t="n"/>
      <c r="M962" s="1">
        <f>IF(OR(B962="",D962="",F962="Cancelled"),"",B962+N(C962)+ROW()/10000000)</f>
        <v/>
      </c>
      <c r="N962">
        <f>IF(AND(F962="Done",M962&lt;&gt;""),IF(COUNTIFS(Appointments!$D$6:$D$2005,D962,Appointments!$F$6:$F$2005,"Done",Appointments!$M$6:$M$2005,"&gt;"&amp;M962)=0,1,0),0)</f>
        <v/>
      </c>
      <c r="O962">
        <f>IF(AND(F962="Booked",M962&lt;&gt;"",N(B962)&gt;=TODAY()),IF(COUNTIFS(Appointments!$D$6:$D$2005,D962,Appointments!$F$6:$F$2005,"Booked",Appointments!$B$6:$B$2005,"&gt;="&amp;TODAY(),Appointments!$M$6:$M$2005,"&lt;"&amp;M962)=0,1,0),0)</f>
        <v/>
      </c>
    </row>
    <row r="963">
      <c r="A963" s="1" t="n"/>
      <c r="B963" s="30" t="n">
        <v>46254</v>
      </c>
      <c r="C963" s="31" t="n">
        <v>0.375</v>
      </c>
      <c r="D963" s="32" t="inlineStr">
        <is>
          <t>Ava Cox</t>
        </is>
      </c>
      <c r="E963" s="32" t="inlineStr">
        <is>
          <t>Blow dry</t>
        </is>
      </c>
      <c r="F963" s="33" t="inlineStr">
        <is>
          <t>Done</t>
        </is>
      </c>
      <c r="G963" s="27">
        <f>IF(E963="","",MAX(0,IFERROR(INDEX(Services!$C$6:$C$35,MATCH(E963,Services!$B$6:$B$35,0)),0)-N(H963)))</f>
        <v/>
      </c>
      <c r="H963" s="34" t="n"/>
      <c r="I963" s="34" t="n">
        <v>35</v>
      </c>
      <c r="J963" s="33" t="inlineStr">
        <is>
          <t>Card</t>
        </is>
      </c>
      <c r="K963" s="28">
        <f>IF(OR(B963="",F963&lt;&gt;"Done",J963="Package"),"",IF(N(G963)-N(I963)&gt;0,N(G963)-N(I963),""))</f>
        <v/>
      </c>
      <c r="L963" s="32" t="n"/>
      <c r="M963" s="1">
        <f>IF(OR(B963="",D963="",F963="Cancelled"),"",B963+N(C963)+ROW()/10000000)</f>
        <v/>
      </c>
      <c r="N963">
        <f>IF(AND(F963="Done",M963&lt;&gt;""),IF(COUNTIFS(Appointments!$D$6:$D$2005,D963,Appointments!$F$6:$F$2005,"Done",Appointments!$M$6:$M$2005,"&gt;"&amp;M963)=0,1,0),0)</f>
        <v/>
      </c>
      <c r="O963">
        <f>IF(AND(F963="Booked",M963&lt;&gt;"",N(B963)&gt;=TODAY()),IF(COUNTIFS(Appointments!$D$6:$D$2005,D963,Appointments!$F$6:$F$2005,"Booked",Appointments!$B$6:$B$2005,"&gt;="&amp;TODAY(),Appointments!$M$6:$M$2005,"&lt;"&amp;M963)=0,1,0),0)</f>
        <v/>
      </c>
    </row>
    <row r="964">
      <c r="A964" s="1" t="n"/>
      <c r="B964" s="30" t="n">
        <v>46254</v>
      </c>
      <c r="C964" s="31" t="n">
        <v>0.4131944444444444</v>
      </c>
      <c r="D964" s="32" t="inlineStr">
        <is>
          <t>Dina Adams</t>
        </is>
      </c>
      <c r="E964" s="32" t="inlineStr">
        <is>
          <t>Women's haircut</t>
        </is>
      </c>
      <c r="F964" s="33" t="inlineStr">
        <is>
          <t>Cancelled</t>
        </is>
      </c>
      <c r="G964" s="27">
        <f>IF(E964="","",MAX(0,IFERROR(INDEX(Services!$C$6:$C$35,MATCH(E964,Services!$B$6:$B$35,0)),0)-N(H964)))</f>
        <v/>
      </c>
      <c r="H964" s="34" t="n"/>
      <c r="I964" s="34" t="n"/>
      <c r="J964" s="33" t="n"/>
      <c r="K964" s="28">
        <f>IF(OR(B964="",F964&lt;&gt;"Done",J964="Package"),"",IF(N(G964)-N(I964)&gt;0,N(G964)-N(I964),""))</f>
        <v/>
      </c>
      <c r="L964" s="32" t="n"/>
      <c r="M964" s="1">
        <f>IF(OR(B964="",D964="",F964="Cancelled"),"",B964+N(C964)+ROW()/10000000)</f>
        <v/>
      </c>
      <c r="N964">
        <f>IF(AND(F964="Done",M964&lt;&gt;""),IF(COUNTIFS(Appointments!$D$6:$D$2005,D964,Appointments!$F$6:$F$2005,"Done",Appointments!$M$6:$M$2005,"&gt;"&amp;M964)=0,1,0),0)</f>
        <v/>
      </c>
      <c r="O964">
        <f>IF(AND(F964="Booked",M964&lt;&gt;"",N(B964)&gt;=TODAY()),IF(COUNTIFS(Appointments!$D$6:$D$2005,D964,Appointments!$F$6:$F$2005,"Booked",Appointments!$B$6:$B$2005,"&gt;="&amp;TODAY(),Appointments!$M$6:$M$2005,"&lt;"&amp;M964)=0,1,0),0)</f>
        <v/>
      </c>
    </row>
    <row r="965">
      <c r="A965" s="1" t="n"/>
      <c r="B965" s="30" t="n">
        <v>46254</v>
      </c>
      <c r="C965" s="31" t="n">
        <v>0.4618055555555556</v>
      </c>
      <c r="D965" s="32" t="inlineStr">
        <is>
          <t>Eli Brooks</t>
        </is>
      </c>
      <c r="E965" s="32" t="inlineStr">
        <is>
          <t>Men's haircut</t>
        </is>
      </c>
      <c r="F965" s="33" t="inlineStr">
        <is>
          <t>Done</t>
        </is>
      </c>
      <c r="G965" s="27">
        <f>IF(E965="","",MAX(0,IFERROR(INDEX(Services!$C$6:$C$35,MATCH(E965,Services!$B$6:$B$35,0)),0)-N(H965)))</f>
        <v/>
      </c>
      <c r="H965" s="34" t="n"/>
      <c r="I965" s="34" t="n">
        <v>30</v>
      </c>
      <c r="J965" s="33" t="inlineStr">
        <is>
          <t>Card</t>
        </is>
      </c>
      <c r="K965" s="28">
        <f>IF(OR(B965="",F965&lt;&gt;"Done",J965="Package"),"",IF(N(G965)-N(I965)&gt;0,N(G965)-N(I965),""))</f>
        <v/>
      </c>
      <c r="L965" s="32" t="n"/>
      <c r="M965" s="1">
        <f>IF(OR(B965="",D965="",F965="Cancelled"),"",B965+N(C965)+ROW()/10000000)</f>
        <v/>
      </c>
      <c r="N965">
        <f>IF(AND(F965="Done",M965&lt;&gt;""),IF(COUNTIFS(Appointments!$D$6:$D$2005,D965,Appointments!$F$6:$F$2005,"Done",Appointments!$M$6:$M$2005,"&gt;"&amp;M965)=0,1,0),0)</f>
        <v/>
      </c>
      <c r="O965">
        <f>IF(AND(F965="Booked",M965&lt;&gt;"",N(B965)&gt;=TODAY()),IF(COUNTIFS(Appointments!$D$6:$D$2005,D965,Appointments!$F$6:$F$2005,"Booked",Appointments!$B$6:$B$2005,"&gt;="&amp;TODAY(),Appointments!$M$6:$M$2005,"&lt;"&amp;M965)=0,1,0),0)</f>
        <v/>
      </c>
    </row>
    <row r="966">
      <c r="A966" s="1" t="n"/>
      <c r="B966" s="30" t="n">
        <v>46254</v>
      </c>
      <c r="C966" s="31" t="n">
        <v>0.4895833333333333</v>
      </c>
      <c r="D966" s="32" t="inlineStr">
        <is>
          <t>Harry Owens</t>
        </is>
      </c>
      <c r="E966" s="32" t="inlineStr">
        <is>
          <t>Men's haircut</t>
        </is>
      </c>
      <c r="F966" s="33" t="inlineStr">
        <is>
          <t>Done</t>
        </is>
      </c>
      <c r="G966" s="27">
        <f>IF(E966="","",MAX(0,IFERROR(INDEX(Services!$C$6:$C$35,MATCH(E966,Services!$B$6:$B$35,0)),0)-N(H966)))</f>
        <v/>
      </c>
      <c r="H966" s="34" t="n"/>
      <c r="I966" s="34" t="n">
        <v>30</v>
      </c>
      <c r="J966" s="33" t="inlineStr">
        <is>
          <t>Card</t>
        </is>
      </c>
      <c r="K966" s="28">
        <f>IF(OR(B966="",F966&lt;&gt;"Done",J966="Package"),"",IF(N(G966)-N(I966)&gt;0,N(G966)-N(I966),""))</f>
        <v/>
      </c>
      <c r="L966" s="32" t="n"/>
      <c r="M966" s="1">
        <f>IF(OR(B966="",D966="",F966="Cancelled"),"",B966+N(C966)+ROW()/10000000)</f>
        <v/>
      </c>
      <c r="N966">
        <f>IF(AND(F966="Done",M966&lt;&gt;""),IF(COUNTIFS(Appointments!$D$6:$D$2005,D966,Appointments!$F$6:$F$2005,"Done",Appointments!$M$6:$M$2005,"&gt;"&amp;M966)=0,1,0),0)</f>
        <v/>
      </c>
      <c r="O966">
        <f>IF(AND(F966="Booked",M966&lt;&gt;"",N(B966)&gt;=TODAY()),IF(COUNTIFS(Appointments!$D$6:$D$2005,D966,Appointments!$F$6:$F$2005,"Booked",Appointments!$B$6:$B$2005,"&gt;="&amp;TODAY(),Appointments!$M$6:$M$2005,"&lt;"&amp;M966)=0,1,0),0)</f>
        <v/>
      </c>
    </row>
    <row r="967">
      <c r="A967" s="1" t="n"/>
      <c r="B967" s="30" t="n">
        <v>46254</v>
      </c>
      <c r="C967" s="31" t="n">
        <v>0.5173611111111112</v>
      </c>
      <c r="D967" s="32" t="inlineStr">
        <is>
          <t>Ruby Cook</t>
        </is>
      </c>
      <c r="E967" s="32" t="inlineStr">
        <is>
          <t>Blow dry</t>
        </is>
      </c>
      <c r="F967" s="33" t="inlineStr">
        <is>
          <t>Done</t>
        </is>
      </c>
      <c r="G967" s="27">
        <f>IF(E967="","",MAX(0,IFERROR(INDEX(Services!$C$6:$C$35,MATCH(E967,Services!$B$6:$B$35,0)),0)-N(H967)))</f>
        <v/>
      </c>
      <c r="H967" s="34" t="n"/>
      <c r="I967" s="34" t="n">
        <v>35</v>
      </c>
      <c r="J967" s="33" t="inlineStr">
        <is>
          <t>Card</t>
        </is>
      </c>
      <c r="K967" s="28">
        <f>IF(OR(B967="",F967&lt;&gt;"Done",J967="Package"),"",IF(N(G967)-N(I967)&gt;0,N(G967)-N(I967),""))</f>
        <v/>
      </c>
      <c r="L967" s="32" t="n"/>
      <c r="M967" s="1">
        <f>IF(OR(B967="",D967="",F967="Cancelled"),"",B967+N(C967)+ROW()/10000000)</f>
        <v/>
      </c>
      <c r="N967">
        <f>IF(AND(F967="Done",M967&lt;&gt;""),IF(COUNTIFS(Appointments!$D$6:$D$2005,D967,Appointments!$F$6:$F$2005,"Done",Appointments!$M$6:$M$2005,"&gt;"&amp;M967)=0,1,0),0)</f>
        <v/>
      </c>
      <c r="O967">
        <f>IF(AND(F967="Booked",M967&lt;&gt;"",N(B967)&gt;=TODAY()),IF(COUNTIFS(Appointments!$D$6:$D$2005,D967,Appointments!$F$6:$F$2005,"Booked",Appointments!$B$6:$B$2005,"&gt;="&amp;TODAY(),Appointments!$M$6:$M$2005,"&lt;"&amp;M967)=0,1,0),0)</f>
        <v/>
      </c>
    </row>
    <row r="968">
      <c r="A968" s="1" t="n"/>
      <c r="B968" s="30" t="n">
        <v>46255</v>
      </c>
      <c r="C968" s="31" t="n">
        <v>0.375</v>
      </c>
      <c r="D968" s="32" t="inlineStr">
        <is>
          <t>Dina West</t>
        </is>
      </c>
      <c r="E968" s="32" t="inlineStr">
        <is>
          <t>Treatment</t>
        </is>
      </c>
      <c r="F968" s="33" t="inlineStr">
        <is>
          <t>Done</t>
        </is>
      </c>
      <c r="G968" s="27">
        <f>IF(E968="","",MAX(0,IFERROR(INDEX(Services!$C$6:$C$35,MATCH(E968,Services!$B$6:$B$35,0)),0)-N(H968)))</f>
        <v/>
      </c>
      <c r="H968" s="34" t="n"/>
      <c r="I968" s="34" t="n">
        <v>30</v>
      </c>
      <c r="J968" s="33" t="inlineStr">
        <is>
          <t>Cash</t>
        </is>
      </c>
      <c r="K968" s="28">
        <f>IF(OR(B968="",F968&lt;&gt;"Done",J968="Package"),"",IF(N(G968)-N(I968)&gt;0,N(G968)-N(I968),""))</f>
        <v/>
      </c>
      <c r="L968" s="32" t="n"/>
      <c r="M968" s="1">
        <f>IF(OR(B968="",D968="",F968="Cancelled"),"",B968+N(C968)+ROW()/10000000)</f>
        <v/>
      </c>
      <c r="N968">
        <f>IF(AND(F968="Done",M968&lt;&gt;""),IF(COUNTIFS(Appointments!$D$6:$D$2005,D968,Appointments!$F$6:$F$2005,"Done",Appointments!$M$6:$M$2005,"&gt;"&amp;M968)=0,1,0),0)</f>
        <v/>
      </c>
      <c r="O968">
        <f>IF(AND(F968="Booked",M968&lt;&gt;"",N(B968)&gt;=TODAY()),IF(COUNTIFS(Appointments!$D$6:$D$2005,D968,Appointments!$F$6:$F$2005,"Booked",Appointments!$B$6:$B$2005,"&gt;="&amp;TODAY(),Appointments!$M$6:$M$2005,"&lt;"&amp;M968)=0,1,0),0)</f>
        <v/>
      </c>
    </row>
    <row r="969">
      <c r="A969" s="1" t="n"/>
      <c r="B969" s="30" t="n">
        <v>46255</v>
      </c>
      <c r="C969" s="31" t="n">
        <v>0.4027777777777778</v>
      </c>
      <c r="D969" s="32" t="inlineStr">
        <is>
          <t>Finn Cook</t>
        </is>
      </c>
      <c r="E969" s="32" t="inlineStr">
        <is>
          <t>Men's haircut</t>
        </is>
      </c>
      <c r="F969" s="33" t="inlineStr">
        <is>
          <t>Done</t>
        </is>
      </c>
      <c r="G969" s="27">
        <f>IF(E969="","",MAX(0,IFERROR(INDEX(Services!$C$6:$C$35,MATCH(E969,Services!$B$6:$B$35,0)),0)-N(H969)))</f>
        <v/>
      </c>
      <c r="H969" s="34" t="n">
        <v>10</v>
      </c>
      <c r="I969" s="34" t="n">
        <v>20</v>
      </c>
      <c r="J969" s="33" t="inlineStr">
        <is>
          <t>Card</t>
        </is>
      </c>
      <c r="K969" s="28">
        <f>IF(OR(B969="",F969&lt;&gt;"Done",J969="Package"),"",IF(N(G969)-N(I969)&gt;0,N(G969)-N(I969),""))</f>
        <v/>
      </c>
      <c r="L969" s="32" t="inlineStr">
        <is>
          <t>Friends and family</t>
        </is>
      </c>
      <c r="M969" s="1">
        <f>IF(OR(B969="",D969="",F969="Cancelled"),"",B969+N(C969)+ROW()/10000000)</f>
        <v/>
      </c>
      <c r="N969">
        <f>IF(AND(F969="Done",M969&lt;&gt;""),IF(COUNTIFS(Appointments!$D$6:$D$2005,D969,Appointments!$F$6:$F$2005,"Done",Appointments!$M$6:$M$2005,"&gt;"&amp;M969)=0,1,0),0)</f>
        <v/>
      </c>
      <c r="O969">
        <f>IF(AND(F969="Booked",M969&lt;&gt;"",N(B969)&gt;=TODAY()),IF(COUNTIFS(Appointments!$D$6:$D$2005,D969,Appointments!$F$6:$F$2005,"Booked",Appointments!$B$6:$B$2005,"&gt;="&amp;TODAY(),Appointments!$M$6:$M$2005,"&lt;"&amp;M969)=0,1,0),0)</f>
        <v/>
      </c>
    </row>
    <row r="970">
      <c r="A970" s="1" t="n"/>
      <c r="B970" s="30" t="n">
        <v>46255</v>
      </c>
      <c r="C970" s="31" t="n">
        <v>0.4305555555555556</v>
      </c>
      <c r="D970" s="32" t="inlineStr">
        <is>
          <t>Jon Reid</t>
        </is>
      </c>
      <c r="E970" s="32" t="inlineStr">
        <is>
          <t>Men's haircut</t>
        </is>
      </c>
      <c r="F970" s="33" t="inlineStr">
        <is>
          <t>Done</t>
        </is>
      </c>
      <c r="G970" s="27">
        <f>IF(E970="","",MAX(0,IFERROR(INDEX(Services!$C$6:$C$35,MATCH(E970,Services!$B$6:$B$35,0)),0)-N(H970)))</f>
        <v/>
      </c>
      <c r="H970" s="34" t="n"/>
      <c r="I970" s="34" t="n">
        <v>30</v>
      </c>
      <c r="J970" s="33" t="inlineStr">
        <is>
          <t>Transfer</t>
        </is>
      </c>
      <c r="K970" s="28">
        <f>IF(OR(B970="",F970&lt;&gt;"Done",J970="Package"),"",IF(N(G970)-N(I970)&gt;0,N(G970)-N(I970),""))</f>
        <v/>
      </c>
      <c r="L970" s="32" t="n"/>
      <c r="M970" s="1">
        <f>IF(OR(B970="",D970="",F970="Cancelled"),"",B970+N(C970)+ROW()/10000000)</f>
        <v/>
      </c>
      <c r="N970">
        <f>IF(AND(F970="Done",M970&lt;&gt;""),IF(COUNTIFS(Appointments!$D$6:$D$2005,D970,Appointments!$F$6:$F$2005,"Done",Appointments!$M$6:$M$2005,"&gt;"&amp;M970)=0,1,0),0)</f>
        <v/>
      </c>
      <c r="O970">
        <f>IF(AND(F970="Booked",M970&lt;&gt;"",N(B970)&gt;=TODAY()),IF(COUNTIFS(Appointments!$D$6:$D$2005,D970,Appointments!$F$6:$F$2005,"Booked",Appointments!$B$6:$B$2005,"&gt;="&amp;TODAY(),Appointments!$M$6:$M$2005,"&lt;"&amp;M970)=0,1,0),0)</f>
        <v/>
      </c>
    </row>
    <row r="971">
      <c r="A971" s="1" t="n"/>
      <c r="B971" s="30" t="n">
        <v>46256</v>
      </c>
      <c r="C971" s="31" t="n">
        <v>0.375</v>
      </c>
      <c r="D971" s="32" t="inlineStr">
        <is>
          <t>Chris Ellis</t>
        </is>
      </c>
      <c r="E971" s="32" t="inlineStr">
        <is>
          <t>Men's haircut</t>
        </is>
      </c>
      <c r="F971" s="33" t="inlineStr">
        <is>
          <t>Done</t>
        </is>
      </c>
      <c r="G971" s="27">
        <f>IF(E971="","",MAX(0,IFERROR(INDEX(Services!$C$6:$C$35,MATCH(E971,Services!$B$6:$B$35,0)),0)-N(H971)))</f>
        <v/>
      </c>
      <c r="H971" s="34" t="n"/>
      <c r="I971" s="34" t="n">
        <v>30</v>
      </c>
      <c r="J971" s="33" t="inlineStr">
        <is>
          <t>Transfer</t>
        </is>
      </c>
      <c r="K971" s="28">
        <f>IF(OR(B971="",F971&lt;&gt;"Done",J971="Package"),"",IF(N(G971)-N(I971)&gt;0,N(G971)-N(I971),""))</f>
        <v/>
      </c>
      <c r="L971" s="32" t="n"/>
      <c r="M971" s="1">
        <f>IF(OR(B971="",D971="",F971="Cancelled"),"",B971+N(C971)+ROW()/10000000)</f>
        <v/>
      </c>
      <c r="N971">
        <f>IF(AND(F971="Done",M971&lt;&gt;""),IF(COUNTIFS(Appointments!$D$6:$D$2005,D971,Appointments!$F$6:$F$2005,"Done",Appointments!$M$6:$M$2005,"&gt;"&amp;M971)=0,1,0),0)</f>
        <v/>
      </c>
      <c r="O971">
        <f>IF(AND(F971="Booked",M971&lt;&gt;"",N(B971)&gt;=TODAY()),IF(COUNTIFS(Appointments!$D$6:$D$2005,D971,Appointments!$F$6:$F$2005,"Booked",Appointments!$B$6:$B$2005,"&gt;="&amp;TODAY(),Appointments!$M$6:$M$2005,"&lt;"&amp;M971)=0,1,0),0)</f>
        <v/>
      </c>
    </row>
    <row r="972">
      <c r="A972" s="1" t="n"/>
      <c r="B972" s="30" t="n">
        <v>46256</v>
      </c>
      <c r="C972" s="31" t="n">
        <v>0.4027777777777778</v>
      </c>
      <c r="D972" s="32" t="inlineStr">
        <is>
          <t>Eli James</t>
        </is>
      </c>
      <c r="E972" s="32" t="inlineStr">
        <is>
          <t>Men's haircut</t>
        </is>
      </c>
      <c r="F972" s="33" t="inlineStr">
        <is>
          <t>Done</t>
        </is>
      </c>
      <c r="G972" s="27">
        <f>IF(E972="","",MAX(0,IFERROR(INDEX(Services!$C$6:$C$35,MATCH(E972,Services!$B$6:$B$35,0)),0)-N(H972)))</f>
        <v/>
      </c>
      <c r="H972" s="34" t="n"/>
      <c r="I972" s="34" t="n">
        <v>30</v>
      </c>
      <c r="J972" s="33" t="inlineStr">
        <is>
          <t>Cash</t>
        </is>
      </c>
      <c r="K972" s="28">
        <f>IF(OR(B972="",F972&lt;&gt;"Done",J972="Package"),"",IF(N(G972)-N(I972)&gt;0,N(G972)-N(I972),""))</f>
        <v/>
      </c>
      <c r="L972" s="32" t="n"/>
      <c r="M972" s="1">
        <f>IF(OR(B972="",D972="",F972="Cancelled"),"",B972+N(C972)+ROW()/10000000)</f>
        <v/>
      </c>
      <c r="N972">
        <f>IF(AND(F972="Done",M972&lt;&gt;""),IF(COUNTIFS(Appointments!$D$6:$D$2005,D972,Appointments!$F$6:$F$2005,"Done",Appointments!$M$6:$M$2005,"&gt;"&amp;M972)=0,1,0),0)</f>
        <v/>
      </c>
      <c r="O972">
        <f>IF(AND(F972="Booked",M972&lt;&gt;"",N(B972)&gt;=TODAY()),IF(COUNTIFS(Appointments!$D$6:$D$2005,D972,Appointments!$F$6:$F$2005,"Booked",Appointments!$B$6:$B$2005,"&gt;="&amp;TODAY(),Appointments!$M$6:$M$2005,"&lt;"&amp;M972)=0,1,0),0)</f>
        <v/>
      </c>
    </row>
    <row r="973">
      <c r="A973" s="1" t="n"/>
      <c r="B973" s="30" t="n">
        <v>46256</v>
      </c>
      <c r="C973" s="31" t="n">
        <v>0.4305555555555556</v>
      </c>
      <c r="D973" s="32" t="inlineStr">
        <is>
          <t>Matt Ellis</t>
        </is>
      </c>
      <c r="E973" s="32" t="inlineStr">
        <is>
          <t>Men's haircut</t>
        </is>
      </c>
      <c r="F973" s="33" t="inlineStr">
        <is>
          <t>Done</t>
        </is>
      </c>
      <c r="G973" s="27">
        <f>IF(E973="","",MAX(0,IFERROR(INDEX(Services!$C$6:$C$35,MATCH(E973,Services!$B$6:$B$35,0)),0)-N(H973)))</f>
        <v/>
      </c>
      <c r="H973" s="34" t="n"/>
      <c r="I973" s="34" t="n">
        <v>30</v>
      </c>
      <c r="J973" s="33" t="inlineStr">
        <is>
          <t>Card</t>
        </is>
      </c>
      <c r="K973" s="28">
        <f>IF(OR(B973="",F973&lt;&gt;"Done",J973="Package"),"",IF(N(G973)-N(I973)&gt;0,N(G973)-N(I973),""))</f>
        <v/>
      </c>
      <c r="L973" s="32" t="n"/>
      <c r="M973" s="1">
        <f>IF(OR(B973="",D973="",F973="Cancelled"),"",B973+N(C973)+ROW()/10000000)</f>
        <v/>
      </c>
      <c r="N973">
        <f>IF(AND(F973="Done",M973&lt;&gt;""),IF(COUNTIFS(Appointments!$D$6:$D$2005,D973,Appointments!$F$6:$F$2005,"Done",Appointments!$M$6:$M$2005,"&gt;"&amp;M973)=0,1,0),0)</f>
        <v/>
      </c>
      <c r="O973">
        <f>IF(AND(F973="Booked",M973&lt;&gt;"",N(B973)&gt;=TODAY()),IF(COUNTIFS(Appointments!$D$6:$D$2005,D973,Appointments!$F$6:$F$2005,"Booked",Appointments!$B$6:$B$2005,"&gt;="&amp;TODAY(),Appointments!$M$6:$M$2005,"&lt;"&amp;M973)=0,1,0),0)</f>
        <v/>
      </c>
    </row>
    <row r="974">
      <c r="A974" s="1" t="n"/>
      <c r="B974" s="30" t="n">
        <v>46256</v>
      </c>
      <c r="C974" s="31" t="n">
        <v>0.4583333333333333</v>
      </c>
      <c r="D974" s="32" t="inlineStr">
        <is>
          <t>Owen Morgan</t>
        </is>
      </c>
      <c r="E974" s="32" t="inlineStr">
        <is>
          <t>Men's haircut</t>
        </is>
      </c>
      <c r="F974" s="33" t="inlineStr">
        <is>
          <t>Done</t>
        </is>
      </c>
      <c r="G974" s="27">
        <f>IF(E974="","",MAX(0,IFERROR(INDEX(Services!$C$6:$C$35,MATCH(E974,Services!$B$6:$B$35,0)),0)-N(H974)))</f>
        <v/>
      </c>
      <c r="H974" s="34" t="n"/>
      <c r="I974" s="34" t="n">
        <v>30</v>
      </c>
      <c r="J974" s="33" t="inlineStr">
        <is>
          <t>Card</t>
        </is>
      </c>
      <c r="K974" s="28">
        <f>IF(OR(B974="",F974&lt;&gt;"Done",J974="Package"),"",IF(N(G974)-N(I974)&gt;0,N(G974)-N(I974),""))</f>
        <v/>
      </c>
      <c r="L974" s="32" t="n"/>
      <c r="M974" s="1">
        <f>IF(OR(B974="",D974="",F974="Cancelled"),"",B974+N(C974)+ROW()/10000000)</f>
        <v/>
      </c>
      <c r="N974">
        <f>IF(AND(F974="Done",M974&lt;&gt;""),IF(COUNTIFS(Appointments!$D$6:$D$2005,D974,Appointments!$F$6:$F$2005,"Done",Appointments!$M$6:$M$2005,"&gt;"&amp;M974)=0,1,0),0)</f>
        <v/>
      </c>
      <c r="O974">
        <f>IF(AND(F974="Booked",M974&lt;&gt;"",N(B974)&gt;=TODAY()),IF(COUNTIFS(Appointments!$D$6:$D$2005,D974,Appointments!$F$6:$F$2005,"Booked",Appointments!$B$6:$B$2005,"&gt;="&amp;TODAY(),Appointments!$M$6:$M$2005,"&lt;"&amp;M974)=0,1,0),0)</f>
        <v/>
      </c>
    </row>
    <row r="975">
      <c r="A975" s="1" t="n"/>
      <c r="B975" s="30" t="n">
        <v>46256</v>
      </c>
      <c r="C975" s="31" t="n">
        <v>0.4861111111111111</v>
      </c>
      <c r="D975" s="32" t="inlineStr">
        <is>
          <t>Sara Stone</t>
        </is>
      </c>
      <c r="E975" s="32" t="inlineStr">
        <is>
          <t>Women's haircut</t>
        </is>
      </c>
      <c r="F975" s="33" t="inlineStr">
        <is>
          <t>Done</t>
        </is>
      </c>
      <c r="G975" s="27">
        <f>IF(E975="","",MAX(0,IFERROR(INDEX(Services!$C$6:$C$35,MATCH(E975,Services!$B$6:$B$35,0)),0)-N(H975)))</f>
        <v/>
      </c>
      <c r="H975" s="34" t="n"/>
      <c r="I975" s="34" t="n">
        <v>55</v>
      </c>
      <c r="J975" s="33" t="inlineStr">
        <is>
          <t>Card</t>
        </is>
      </c>
      <c r="K975" s="28">
        <f>IF(OR(B975="",F975&lt;&gt;"Done",J975="Package"),"",IF(N(G975)-N(I975)&gt;0,N(G975)-N(I975),""))</f>
        <v/>
      </c>
      <c r="L975" s="32" t="n"/>
      <c r="M975" s="1">
        <f>IF(OR(B975="",D975="",F975="Cancelled"),"",B975+N(C975)+ROW()/10000000)</f>
        <v/>
      </c>
      <c r="N975">
        <f>IF(AND(F975="Done",M975&lt;&gt;""),IF(COUNTIFS(Appointments!$D$6:$D$2005,D975,Appointments!$F$6:$F$2005,"Done",Appointments!$M$6:$M$2005,"&gt;"&amp;M975)=0,1,0),0)</f>
        <v/>
      </c>
      <c r="O975">
        <f>IF(AND(F975="Booked",M975&lt;&gt;"",N(B975)&gt;=TODAY()),IF(COUNTIFS(Appointments!$D$6:$D$2005,D975,Appointments!$F$6:$F$2005,"Booked",Appointments!$B$6:$B$2005,"&gt;="&amp;TODAY(),Appointments!$M$6:$M$2005,"&lt;"&amp;M975)=0,1,0),0)</f>
        <v/>
      </c>
    </row>
    <row r="976">
      <c r="A976" s="1" t="n"/>
      <c r="B976" s="30" t="n">
        <v>46259</v>
      </c>
      <c r="C976" s="31" t="n">
        <v>0.375</v>
      </c>
      <c r="D976" s="32" t="inlineStr">
        <is>
          <t>Chris Cook</t>
        </is>
      </c>
      <c r="E976" s="32" t="inlineStr">
        <is>
          <t>Men's haircut</t>
        </is>
      </c>
      <c r="F976" s="33" t="inlineStr">
        <is>
          <t>Done</t>
        </is>
      </c>
      <c r="G976" s="27">
        <f>IF(E976="","",MAX(0,IFERROR(INDEX(Services!$C$6:$C$35,MATCH(E976,Services!$B$6:$B$35,0)),0)-N(H976)))</f>
        <v/>
      </c>
      <c r="H976" s="34" t="n"/>
      <c r="I976" s="34" t="n">
        <v>30</v>
      </c>
      <c r="J976" s="33" t="inlineStr">
        <is>
          <t>Card</t>
        </is>
      </c>
      <c r="K976" s="28">
        <f>IF(OR(B976="",F976&lt;&gt;"Done",J976="Package"),"",IF(N(G976)-N(I976)&gt;0,N(G976)-N(I976),""))</f>
        <v/>
      </c>
      <c r="L976" s="32" t="n"/>
      <c r="M976" s="1">
        <f>IF(OR(B976="",D976="",F976="Cancelled"),"",B976+N(C976)+ROW()/10000000)</f>
        <v/>
      </c>
      <c r="N976">
        <f>IF(AND(F976="Done",M976&lt;&gt;""),IF(COUNTIFS(Appointments!$D$6:$D$2005,D976,Appointments!$F$6:$F$2005,"Done",Appointments!$M$6:$M$2005,"&gt;"&amp;M976)=0,1,0),0)</f>
        <v/>
      </c>
      <c r="O976">
        <f>IF(AND(F976="Booked",M976&lt;&gt;"",N(B976)&gt;=TODAY()),IF(COUNTIFS(Appointments!$D$6:$D$2005,D976,Appointments!$F$6:$F$2005,"Booked",Appointments!$B$6:$B$2005,"&gt;="&amp;TODAY(),Appointments!$M$6:$M$2005,"&lt;"&amp;M976)=0,1,0),0)</f>
        <v/>
      </c>
    </row>
    <row r="977">
      <c r="A977" s="1" t="n"/>
      <c r="B977" s="30" t="n">
        <v>46259</v>
      </c>
      <c r="C977" s="31" t="n">
        <v>0.4027777777777778</v>
      </c>
      <c r="D977" s="32" t="inlineStr">
        <is>
          <t>Finn Price</t>
        </is>
      </c>
      <c r="E977" s="32" t="inlineStr">
        <is>
          <t>Men's haircut</t>
        </is>
      </c>
      <c r="F977" s="33" t="inlineStr">
        <is>
          <t>Done</t>
        </is>
      </c>
      <c r="G977" s="27">
        <f>IF(E977="","",MAX(0,IFERROR(INDEX(Services!$C$6:$C$35,MATCH(E977,Services!$B$6:$B$35,0)),0)-N(H977)))</f>
        <v/>
      </c>
      <c r="H977" s="34" t="n"/>
      <c r="I977" s="34" t="n">
        <v>30</v>
      </c>
      <c r="J977" s="33" t="inlineStr">
        <is>
          <t>Card</t>
        </is>
      </c>
      <c r="K977" s="28">
        <f>IF(OR(B977="",F977&lt;&gt;"Done",J977="Package"),"",IF(N(G977)-N(I977)&gt;0,N(G977)-N(I977),""))</f>
        <v/>
      </c>
      <c r="L977" s="32" t="n"/>
      <c r="M977" s="1">
        <f>IF(OR(B977="",D977="",F977="Cancelled"),"",B977+N(C977)+ROW()/10000000)</f>
        <v/>
      </c>
      <c r="N977">
        <f>IF(AND(F977="Done",M977&lt;&gt;""),IF(COUNTIFS(Appointments!$D$6:$D$2005,D977,Appointments!$F$6:$F$2005,"Done",Appointments!$M$6:$M$2005,"&gt;"&amp;M977)=0,1,0),0)</f>
        <v/>
      </c>
      <c r="O977">
        <f>IF(AND(F977="Booked",M977&lt;&gt;"",N(B977)&gt;=TODAY()),IF(COUNTIFS(Appointments!$D$6:$D$2005,D977,Appointments!$F$6:$F$2005,"Booked",Appointments!$B$6:$B$2005,"&gt;="&amp;TODAY(),Appointments!$M$6:$M$2005,"&lt;"&amp;M977)=0,1,0),0)</f>
        <v/>
      </c>
    </row>
    <row r="978">
      <c r="A978" s="1" t="n"/>
      <c r="B978" s="30" t="n">
        <v>46259</v>
      </c>
      <c r="C978" s="31" t="n">
        <v>0.4305555555555556</v>
      </c>
      <c r="D978" s="32" t="inlineStr">
        <is>
          <t>Nick Young</t>
        </is>
      </c>
      <c r="E978" s="32" t="inlineStr">
        <is>
          <t>Men's haircut</t>
        </is>
      </c>
      <c r="F978" s="33" t="inlineStr">
        <is>
          <t>Done</t>
        </is>
      </c>
      <c r="G978" s="27">
        <f>IF(E978="","",MAX(0,IFERROR(INDEX(Services!$C$6:$C$35,MATCH(E978,Services!$B$6:$B$35,0)),0)-N(H978)))</f>
        <v/>
      </c>
      <c r="H978" s="34" t="n"/>
      <c r="I978" s="34" t="n">
        <v>30</v>
      </c>
      <c r="J978" s="33" t="inlineStr">
        <is>
          <t>Transfer</t>
        </is>
      </c>
      <c r="K978" s="28">
        <f>IF(OR(B978="",F978&lt;&gt;"Done",J978="Package"),"",IF(N(G978)-N(I978)&gt;0,N(G978)-N(I978),""))</f>
        <v/>
      </c>
      <c r="L978" s="32" t="n"/>
      <c r="M978" s="1">
        <f>IF(OR(B978="",D978="",F978="Cancelled"),"",B978+N(C978)+ROW()/10000000)</f>
        <v/>
      </c>
      <c r="N978">
        <f>IF(AND(F978="Done",M978&lt;&gt;""),IF(COUNTIFS(Appointments!$D$6:$D$2005,D978,Appointments!$F$6:$F$2005,"Done",Appointments!$M$6:$M$2005,"&gt;"&amp;M978)=0,1,0),0)</f>
        <v/>
      </c>
      <c r="O978">
        <f>IF(AND(F978="Booked",M978&lt;&gt;"",N(B978)&gt;=TODAY()),IF(COUNTIFS(Appointments!$D$6:$D$2005,D978,Appointments!$F$6:$F$2005,"Booked",Appointments!$B$6:$B$2005,"&gt;="&amp;TODAY(),Appointments!$M$6:$M$2005,"&lt;"&amp;M978)=0,1,0),0)</f>
        <v/>
      </c>
    </row>
    <row r="979">
      <c r="A979" s="1" t="n"/>
      <c r="B979" s="30" t="n">
        <v>46259</v>
      </c>
      <c r="C979" s="31" t="n">
        <v>0.4583333333333333</v>
      </c>
      <c r="D979" s="32" t="inlineStr">
        <is>
          <t>Olivia Green</t>
        </is>
      </c>
      <c r="E979" s="32" t="inlineStr">
        <is>
          <t>Blow dry</t>
        </is>
      </c>
      <c r="F979" s="33" t="inlineStr">
        <is>
          <t>Done</t>
        </is>
      </c>
      <c r="G979" s="27">
        <f>IF(E979="","",MAX(0,IFERROR(INDEX(Services!$C$6:$C$35,MATCH(E979,Services!$B$6:$B$35,0)),0)-N(H979)))</f>
        <v/>
      </c>
      <c r="H979" s="34" t="n"/>
      <c r="I979" s="34" t="n">
        <v>35</v>
      </c>
      <c r="J979" s="33" t="inlineStr">
        <is>
          <t>Card</t>
        </is>
      </c>
      <c r="K979" s="28">
        <f>IF(OR(B979="",F979&lt;&gt;"Done",J979="Package"),"",IF(N(G979)-N(I979)&gt;0,N(G979)-N(I979),""))</f>
        <v/>
      </c>
      <c r="L979" s="32" t="n"/>
      <c r="M979" s="1">
        <f>IF(OR(B979="",D979="",F979="Cancelled"),"",B979+N(C979)+ROW()/10000000)</f>
        <v/>
      </c>
      <c r="N979">
        <f>IF(AND(F979="Done",M979&lt;&gt;""),IF(COUNTIFS(Appointments!$D$6:$D$2005,D979,Appointments!$F$6:$F$2005,"Done",Appointments!$M$6:$M$2005,"&gt;"&amp;M979)=0,1,0),0)</f>
        <v/>
      </c>
      <c r="O979">
        <f>IF(AND(F979="Booked",M979&lt;&gt;"",N(B979)&gt;=TODAY()),IF(COUNTIFS(Appointments!$D$6:$D$2005,D979,Appointments!$F$6:$F$2005,"Booked",Appointments!$B$6:$B$2005,"&gt;="&amp;TODAY(),Appointments!$M$6:$M$2005,"&lt;"&amp;M979)=0,1,0),0)</f>
        <v/>
      </c>
    </row>
    <row r="980">
      <c r="A980" s="1" t="n"/>
      <c r="B980" s="30" t="n">
        <v>46259</v>
      </c>
      <c r="C980" s="31" t="n">
        <v>0.4965277777777778</v>
      </c>
      <c r="D980" s="32" t="inlineStr">
        <is>
          <t>Owen Lewis</t>
        </is>
      </c>
      <c r="E980" s="32" t="inlineStr">
        <is>
          <t>Men's haircut</t>
        </is>
      </c>
      <c r="F980" s="33" t="inlineStr">
        <is>
          <t>Done</t>
        </is>
      </c>
      <c r="G980" s="27">
        <f>IF(E980="","",MAX(0,IFERROR(INDEX(Services!$C$6:$C$35,MATCH(E980,Services!$B$6:$B$35,0)),0)-N(H980)))</f>
        <v/>
      </c>
      <c r="H980" s="34" t="n"/>
      <c r="I980" s="34" t="n">
        <v>30</v>
      </c>
      <c r="J980" s="33" t="inlineStr">
        <is>
          <t>Card</t>
        </is>
      </c>
      <c r="K980" s="28">
        <f>IF(OR(B980="",F980&lt;&gt;"Done",J980="Package"),"",IF(N(G980)-N(I980)&gt;0,N(G980)-N(I980),""))</f>
        <v/>
      </c>
      <c r="L980" s="32" t="n"/>
      <c r="M980" s="1">
        <f>IF(OR(B980="",D980="",F980="Cancelled"),"",B980+N(C980)+ROW()/10000000)</f>
        <v/>
      </c>
      <c r="N980">
        <f>IF(AND(F980="Done",M980&lt;&gt;""),IF(COUNTIFS(Appointments!$D$6:$D$2005,D980,Appointments!$F$6:$F$2005,"Done",Appointments!$M$6:$M$2005,"&gt;"&amp;M980)=0,1,0),0)</f>
        <v/>
      </c>
      <c r="O980">
        <f>IF(AND(F980="Booked",M980&lt;&gt;"",N(B980)&gt;=TODAY()),IF(COUNTIFS(Appointments!$D$6:$D$2005,D980,Appointments!$F$6:$F$2005,"Booked",Appointments!$B$6:$B$2005,"&gt;="&amp;TODAY(),Appointments!$M$6:$M$2005,"&lt;"&amp;M980)=0,1,0),0)</f>
        <v/>
      </c>
    </row>
    <row r="981">
      <c r="A981" s="1" t="n"/>
      <c r="B981" s="30" t="n">
        <v>46259</v>
      </c>
      <c r="C981" s="31" t="n">
        <v>0.5243055555555556</v>
      </c>
      <c r="D981" s="32" t="inlineStr">
        <is>
          <t>Owen Walsh</t>
        </is>
      </c>
      <c r="E981" s="32" t="inlineStr">
        <is>
          <t>Men's haircut</t>
        </is>
      </c>
      <c r="F981" s="33" t="inlineStr">
        <is>
          <t>Done</t>
        </is>
      </c>
      <c r="G981" s="27">
        <f>IF(E981="","",MAX(0,IFERROR(INDEX(Services!$C$6:$C$35,MATCH(E981,Services!$B$6:$B$35,0)),0)-N(H981)))</f>
        <v/>
      </c>
      <c r="H981" s="34" t="n"/>
      <c r="I981" s="34" t="n">
        <v>30</v>
      </c>
      <c r="J981" s="33" t="inlineStr">
        <is>
          <t>Card</t>
        </is>
      </c>
      <c r="K981" s="28">
        <f>IF(OR(B981="",F981&lt;&gt;"Done",J981="Package"),"",IF(N(G981)-N(I981)&gt;0,N(G981)-N(I981),""))</f>
        <v/>
      </c>
      <c r="L981" s="32" t="n"/>
      <c r="M981" s="1">
        <f>IF(OR(B981="",D981="",F981="Cancelled"),"",B981+N(C981)+ROW()/10000000)</f>
        <v/>
      </c>
      <c r="N981">
        <f>IF(AND(F981="Done",M981&lt;&gt;""),IF(COUNTIFS(Appointments!$D$6:$D$2005,D981,Appointments!$F$6:$F$2005,"Done",Appointments!$M$6:$M$2005,"&gt;"&amp;M981)=0,1,0),0)</f>
        <v/>
      </c>
      <c r="O981">
        <f>IF(AND(F981="Booked",M981&lt;&gt;"",N(B981)&gt;=TODAY()),IF(COUNTIFS(Appointments!$D$6:$D$2005,D981,Appointments!$F$6:$F$2005,"Booked",Appointments!$B$6:$B$2005,"&gt;="&amp;TODAY(),Appointments!$M$6:$M$2005,"&lt;"&amp;M981)=0,1,0),0)</f>
        <v/>
      </c>
    </row>
    <row r="982">
      <c r="A982" s="1" t="n"/>
      <c r="B982" s="30" t="n">
        <v>46259</v>
      </c>
      <c r="C982" s="31" t="n">
        <v>0.5520833333333334</v>
      </c>
      <c r="D982" s="32" t="inlineStr">
        <is>
          <t>Sara Cox</t>
        </is>
      </c>
      <c r="E982" s="32" t="inlineStr">
        <is>
          <t>Colour</t>
        </is>
      </c>
      <c r="F982" s="33" t="inlineStr">
        <is>
          <t>Done</t>
        </is>
      </c>
      <c r="G982" s="27">
        <f>IF(E982="","",MAX(0,IFERROR(INDEX(Services!$C$6:$C$35,MATCH(E982,Services!$B$6:$B$35,0)),0)-N(H982)))</f>
        <v/>
      </c>
      <c r="H982" s="34" t="n"/>
      <c r="I982" s="34" t="n">
        <v>95</v>
      </c>
      <c r="J982" s="33" t="inlineStr">
        <is>
          <t>Card</t>
        </is>
      </c>
      <c r="K982" s="28">
        <f>IF(OR(B982="",F982&lt;&gt;"Done",J982="Package"),"",IF(N(G982)-N(I982)&gt;0,N(G982)-N(I982),""))</f>
        <v/>
      </c>
      <c r="L982" s="32" t="n"/>
      <c r="M982" s="1">
        <f>IF(OR(B982="",D982="",F982="Cancelled"),"",B982+N(C982)+ROW()/10000000)</f>
        <v/>
      </c>
      <c r="N982">
        <f>IF(AND(F982="Done",M982&lt;&gt;""),IF(COUNTIFS(Appointments!$D$6:$D$2005,D982,Appointments!$F$6:$F$2005,"Done",Appointments!$M$6:$M$2005,"&gt;"&amp;M982)=0,1,0),0)</f>
        <v/>
      </c>
      <c r="O982">
        <f>IF(AND(F982="Booked",M982&lt;&gt;"",N(B982)&gt;=TODAY()),IF(COUNTIFS(Appointments!$D$6:$D$2005,D982,Appointments!$F$6:$F$2005,"Booked",Appointments!$B$6:$B$2005,"&gt;="&amp;TODAY(),Appointments!$M$6:$M$2005,"&lt;"&amp;M982)=0,1,0),0)</f>
        <v/>
      </c>
    </row>
    <row r="983">
      <c r="A983" s="1" t="n"/>
      <c r="B983" s="30" t="n">
        <v>46260</v>
      </c>
      <c r="C983" s="31" t="n">
        <v>0.375</v>
      </c>
      <c r="D983" s="32" t="inlineStr">
        <is>
          <t>Clara Morgan</t>
        </is>
      </c>
      <c r="E983" s="32" t="inlineStr">
        <is>
          <t>Colour</t>
        </is>
      </c>
      <c r="F983" s="33" t="inlineStr">
        <is>
          <t>Done</t>
        </is>
      </c>
      <c r="G983" s="27">
        <f>IF(E983="","",MAX(0,IFERROR(INDEX(Services!$C$6:$C$35,MATCH(E983,Services!$B$6:$B$35,0)),0)-N(H983)))</f>
        <v/>
      </c>
      <c r="H983" s="34" t="n"/>
      <c r="I983" s="34" t="n">
        <v>95</v>
      </c>
      <c r="J983" s="33" t="inlineStr">
        <is>
          <t>Cash</t>
        </is>
      </c>
      <c r="K983" s="28">
        <f>IF(OR(B983="",F983&lt;&gt;"Done",J983="Package"),"",IF(N(G983)-N(I983)&gt;0,N(G983)-N(I983),""))</f>
        <v/>
      </c>
      <c r="L983" s="32" t="n"/>
      <c r="M983" s="1">
        <f>IF(OR(B983="",D983="",F983="Cancelled"),"",B983+N(C983)+ROW()/10000000)</f>
        <v/>
      </c>
      <c r="N983">
        <f>IF(AND(F983="Done",M983&lt;&gt;""),IF(COUNTIFS(Appointments!$D$6:$D$2005,D983,Appointments!$F$6:$F$2005,"Done",Appointments!$M$6:$M$2005,"&gt;"&amp;M983)=0,1,0),0)</f>
        <v/>
      </c>
      <c r="O983">
        <f>IF(AND(F983="Booked",M983&lt;&gt;"",N(B983)&gt;=TODAY()),IF(COUNTIFS(Appointments!$D$6:$D$2005,D983,Appointments!$F$6:$F$2005,"Booked",Appointments!$B$6:$B$2005,"&gt;="&amp;TODAY(),Appointments!$M$6:$M$2005,"&lt;"&amp;M983)=0,1,0),0)</f>
        <v/>
      </c>
    </row>
    <row r="984">
      <c r="A984" s="1" t="n"/>
      <c r="B984" s="30" t="n">
        <v>46260</v>
      </c>
      <c r="C984" s="31" t="n">
        <v>0.4652777777777778</v>
      </c>
      <c r="D984" s="32" t="inlineStr">
        <is>
          <t>Ella James</t>
        </is>
      </c>
      <c r="E984" s="32" t="inlineStr">
        <is>
          <t>Women's haircut</t>
        </is>
      </c>
      <c r="F984" s="33" t="inlineStr">
        <is>
          <t>Done</t>
        </is>
      </c>
      <c r="G984" s="27">
        <f>IF(E984="","",MAX(0,IFERROR(INDEX(Services!$C$6:$C$35,MATCH(E984,Services!$B$6:$B$35,0)),0)-N(H984)))</f>
        <v/>
      </c>
      <c r="H984" s="34" t="n"/>
      <c r="I984" s="34" t="n">
        <v>55</v>
      </c>
      <c r="J984" s="33" t="inlineStr">
        <is>
          <t>Card</t>
        </is>
      </c>
      <c r="K984" s="28">
        <f>IF(OR(B984="",F984&lt;&gt;"Done",J984="Package"),"",IF(N(G984)-N(I984)&gt;0,N(G984)-N(I984),""))</f>
        <v/>
      </c>
      <c r="L984" s="32" t="n"/>
      <c r="M984" s="1">
        <f>IF(OR(B984="",D984="",F984="Cancelled"),"",B984+N(C984)+ROW()/10000000)</f>
        <v/>
      </c>
      <c r="N984">
        <f>IF(AND(F984="Done",M984&lt;&gt;""),IF(COUNTIFS(Appointments!$D$6:$D$2005,D984,Appointments!$F$6:$F$2005,"Done",Appointments!$M$6:$M$2005,"&gt;"&amp;M984)=0,1,0),0)</f>
        <v/>
      </c>
      <c r="O984">
        <f>IF(AND(F984="Booked",M984&lt;&gt;"",N(B984)&gt;=TODAY()),IF(COUNTIFS(Appointments!$D$6:$D$2005,D984,Appointments!$F$6:$F$2005,"Booked",Appointments!$B$6:$B$2005,"&gt;="&amp;TODAY(),Appointments!$M$6:$M$2005,"&lt;"&amp;M984)=0,1,0),0)</f>
        <v/>
      </c>
    </row>
    <row r="985">
      <c r="A985" s="1" t="n"/>
      <c r="B985" s="30" t="n">
        <v>46260</v>
      </c>
      <c r="C985" s="31" t="n">
        <v>0.5138888888888888</v>
      </c>
      <c r="D985" s="32" t="inlineStr">
        <is>
          <t>Ella Morgan</t>
        </is>
      </c>
      <c r="E985" s="32" t="inlineStr">
        <is>
          <t>Women's haircut</t>
        </is>
      </c>
      <c r="F985" s="33" t="inlineStr">
        <is>
          <t>Cancelled</t>
        </is>
      </c>
      <c r="G985" s="27">
        <f>IF(E985="","",MAX(0,IFERROR(INDEX(Services!$C$6:$C$35,MATCH(E985,Services!$B$6:$B$35,0)),0)-N(H985)))</f>
        <v/>
      </c>
      <c r="H985" s="34" t="n"/>
      <c r="I985" s="34" t="n"/>
      <c r="J985" s="33" t="n"/>
      <c r="K985" s="28">
        <f>IF(OR(B985="",F985&lt;&gt;"Done",J985="Package"),"",IF(N(G985)-N(I985)&gt;0,N(G985)-N(I985),""))</f>
        <v/>
      </c>
      <c r="L985" s="32" t="n"/>
      <c r="M985" s="1">
        <f>IF(OR(B985="",D985="",F985="Cancelled"),"",B985+N(C985)+ROW()/10000000)</f>
        <v/>
      </c>
      <c r="N985">
        <f>IF(AND(F985="Done",M985&lt;&gt;""),IF(COUNTIFS(Appointments!$D$6:$D$2005,D985,Appointments!$F$6:$F$2005,"Done",Appointments!$M$6:$M$2005,"&gt;"&amp;M985)=0,1,0),0)</f>
        <v/>
      </c>
      <c r="O985">
        <f>IF(AND(F985="Booked",M985&lt;&gt;"",N(B985)&gt;=TODAY()),IF(COUNTIFS(Appointments!$D$6:$D$2005,D985,Appointments!$F$6:$F$2005,"Booked",Appointments!$B$6:$B$2005,"&gt;="&amp;TODAY(),Appointments!$M$6:$M$2005,"&lt;"&amp;M985)=0,1,0),0)</f>
        <v/>
      </c>
    </row>
    <row r="986">
      <c r="A986" s="1" t="n"/>
      <c r="B986" s="30" t="n">
        <v>46260</v>
      </c>
      <c r="C986" s="31" t="n">
        <v>0.5625</v>
      </c>
      <c r="D986" s="32" t="inlineStr">
        <is>
          <t>George Mason</t>
        </is>
      </c>
      <c r="E986" s="32" t="inlineStr">
        <is>
          <t>Men's haircut</t>
        </is>
      </c>
      <c r="F986" s="33" t="inlineStr">
        <is>
          <t>Done</t>
        </is>
      </c>
      <c r="G986" s="27">
        <f>IF(E986="","",MAX(0,IFERROR(INDEX(Services!$C$6:$C$35,MATCH(E986,Services!$B$6:$B$35,0)),0)-N(H986)))</f>
        <v/>
      </c>
      <c r="H986" s="34" t="n"/>
      <c r="I986" s="34" t="n">
        <v>30</v>
      </c>
      <c r="J986" s="33" t="inlineStr">
        <is>
          <t>Transfer</t>
        </is>
      </c>
      <c r="K986" s="28">
        <f>IF(OR(B986="",F986&lt;&gt;"Done",J986="Package"),"",IF(N(G986)-N(I986)&gt;0,N(G986)-N(I986),""))</f>
        <v/>
      </c>
      <c r="L986" s="32" t="n"/>
      <c r="M986" s="1">
        <f>IF(OR(B986="",D986="",F986="Cancelled"),"",B986+N(C986)+ROW()/10000000)</f>
        <v/>
      </c>
      <c r="N986">
        <f>IF(AND(F986="Done",M986&lt;&gt;""),IF(COUNTIFS(Appointments!$D$6:$D$2005,D986,Appointments!$F$6:$F$2005,"Done",Appointments!$M$6:$M$2005,"&gt;"&amp;M986)=0,1,0),0)</f>
        <v/>
      </c>
      <c r="O986">
        <f>IF(AND(F986="Booked",M986&lt;&gt;"",N(B986)&gt;=TODAY()),IF(COUNTIFS(Appointments!$D$6:$D$2005,D986,Appointments!$F$6:$F$2005,"Booked",Appointments!$B$6:$B$2005,"&gt;="&amp;TODAY(),Appointments!$M$6:$M$2005,"&lt;"&amp;M986)=0,1,0),0)</f>
        <v/>
      </c>
    </row>
    <row r="987">
      <c r="A987" s="1" t="n"/>
      <c r="B987" s="30" t="n">
        <v>46260</v>
      </c>
      <c r="C987" s="31" t="n">
        <v>0.5902777777777778</v>
      </c>
      <c r="D987" s="32" t="inlineStr">
        <is>
          <t>Harry Lewis</t>
        </is>
      </c>
      <c r="E987" s="32" t="inlineStr">
        <is>
          <t>Men's haircut</t>
        </is>
      </c>
      <c r="F987" s="33" t="inlineStr">
        <is>
          <t>Done</t>
        </is>
      </c>
      <c r="G987" s="27">
        <f>IF(E987="","",MAX(0,IFERROR(INDEX(Services!$C$6:$C$35,MATCH(E987,Services!$B$6:$B$35,0)),0)-N(H987)))</f>
        <v/>
      </c>
      <c r="H987" s="34" t="n"/>
      <c r="I987" s="34" t="n">
        <v>30</v>
      </c>
      <c r="J987" s="33" t="inlineStr">
        <is>
          <t>Card</t>
        </is>
      </c>
      <c r="K987" s="28">
        <f>IF(OR(B987="",F987&lt;&gt;"Done",J987="Package"),"",IF(N(G987)-N(I987)&gt;0,N(G987)-N(I987),""))</f>
        <v/>
      </c>
      <c r="L987" s="32" t="n"/>
      <c r="M987" s="1">
        <f>IF(OR(B987="",D987="",F987="Cancelled"),"",B987+N(C987)+ROW()/10000000)</f>
        <v/>
      </c>
      <c r="N987">
        <f>IF(AND(F987="Done",M987&lt;&gt;""),IF(COUNTIFS(Appointments!$D$6:$D$2005,D987,Appointments!$F$6:$F$2005,"Done",Appointments!$M$6:$M$2005,"&gt;"&amp;M987)=0,1,0),0)</f>
        <v/>
      </c>
      <c r="O987">
        <f>IF(AND(F987="Booked",M987&lt;&gt;"",N(B987)&gt;=TODAY()),IF(COUNTIFS(Appointments!$D$6:$D$2005,D987,Appointments!$F$6:$F$2005,"Booked",Appointments!$B$6:$B$2005,"&gt;="&amp;TODAY(),Appointments!$M$6:$M$2005,"&lt;"&amp;M987)=0,1,0),0)</f>
        <v/>
      </c>
    </row>
    <row r="988">
      <c r="A988" s="1" t="n"/>
      <c r="B988" s="30" t="n">
        <v>46260</v>
      </c>
      <c r="C988" s="31" t="n">
        <v>0.6180555555555556</v>
      </c>
      <c r="D988" s="32" t="inlineStr">
        <is>
          <t>Holly Shaw</t>
        </is>
      </c>
      <c r="E988" s="32" t="inlineStr">
        <is>
          <t>Blow dry</t>
        </is>
      </c>
      <c r="F988" s="33" t="inlineStr">
        <is>
          <t>Done</t>
        </is>
      </c>
      <c r="G988" s="27">
        <f>IF(E988="","",MAX(0,IFERROR(INDEX(Services!$C$6:$C$35,MATCH(E988,Services!$B$6:$B$35,0)),0)-N(H988)))</f>
        <v/>
      </c>
      <c r="H988" s="34" t="n"/>
      <c r="I988" s="34" t="n">
        <v>35</v>
      </c>
      <c r="J988" s="33" t="inlineStr">
        <is>
          <t>Cash</t>
        </is>
      </c>
      <c r="K988" s="28">
        <f>IF(OR(B988="",F988&lt;&gt;"Done",J988="Package"),"",IF(N(G988)-N(I988)&gt;0,N(G988)-N(I988),""))</f>
        <v/>
      </c>
      <c r="L988" s="32" t="n"/>
      <c r="M988" s="1">
        <f>IF(OR(B988="",D988="",F988="Cancelled"),"",B988+N(C988)+ROW()/10000000)</f>
        <v/>
      </c>
      <c r="N988">
        <f>IF(AND(F988="Done",M988&lt;&gt;""),IF(COUNTIFS(Appointments!$D$6:$D$2005,D988,Appointments!$F$6:$F$2005,"Done",Appointments!$M$6:$M$2005,"&gt;"&amp;M988)=0,1,0),0)</f>
        <v/>
      </c>
      <c r="O988">
        <f>IF(AND(F988="Booked",M988&lt;&gt;"",N(B988)&gt;=TODAY()),IF(COUNTIFS(Appointments!$D$6:$D$2005,D988,Appointments!$F$6:$F$2005,"Booked",Appointments!$B$6:$B$2005,"&gt;="&amp;TODAY(),Appointments!$M$6:$M$2005,"&lt;"&amp;M988)=0,1,0),0)</f>
        <v/>
      </c>
    </row>
    <row r="989">
      <c r="A989" s="1" t="n"/>
      <c r="B989" s="30" t="n">
        <v>46260</v>
      </c>
      <c r="C989" s="31" t="n">
        <v>0.65625</v>
      </c>
      <c r="D989" s="32" t="inlineStr">
        <is>
          <t>Owen Webb</t>
        </is>
      </c>
      <c r="E989" s="32" t="inlineStr">
        <is>
          <t>Men's haircut</t>
        </is>
      </c>
      <c r="F989" s="33" t="inlineStr">
        <is>
          <t>Done</t>
        </is>
      </c>
      <c r="G989" s="27">
        <f>IF(E989="","",MAX(0,IFERROR(INDEX(Services!$C$6:$C$35,MATCH(E989,Services!$B$6:$B$35,0)),0)-N(H989)))</f>
        <v/>
      </c>
      <c r="H989" s="34" t="n"/>
      <c r="I989" s="34" t="n">
        <v>30</v>
      </c>
      <c r="J989" s="33" t="inlineStr">
        <is>
          <t>Card</t>
        </is>
      </c>
      <c r="K989" s="28">
        <f>IF(OR(B989="",F989&lt;&gt;"Done",J989="Package"),"",IF(N(G989)-N(I989)&gt;0,N(G989)-N(I989),""))</f>
        <v/>
      </c>
      <c r="L989" s="32" t="n"/>
      <c r="M989" s="1">
        <f>IF(OR(B989="",D989="",F989="Cancelled"),"",B989+N(C989)+ROW()/10000000)</f>
        <v/>
      </c>
      <c r="N989">
        <f>IF(AND(F989="Done",M989&lt;&gt;""),IF(COUNTIFS(Appointments!$D$6:$D$2005,D989,Appointments!$F$6:$F$2005,"Done",Appointments!$M$6:$M$2005,"&gt;"&amp;M989)=0,1,0),0)</f>
        <v/>
      </c>
      <c r="O989">
        <f>IF(AND(F989="Booked",M989&lt;&gt;"",N(B989)&gt;=TODAY()),IF(COUNTIFS(Appointments!$D$6:$D$2005,D989,Appointments!$F$6:$F$2005,"Booked",Appointments!$B$6:$B$2005,"&gt;="&amp;TODAY(),Appointments!$M$6:$M$2005,"&lt;"&amp;M989)=0,1,0),0)</f>
        <v/>
      </c>
    </row>
    <row r="990">
      <c r="A990" s="1" t="n"/>
      <c r="B990" s="30" t="n">
        <v>46261</v>
      </c>
      <c r="C990" s="31" t="n">
        <v>0.375</v>
      </c>
      <c r="D990" s="32" t="inlineStr">
        <is>
          <t>Amy Kelly</t>
        </is>
      </c>
      <c r="E990" s="32" t="inlineStr">
        <is>
          <t>Women's haircut</t>
        </is>
      </c>
      <c r="F990" s="33" t="inlineStr">
        <is>
          <t>Done</t>
        </is>
      </c>
      <c r="G990" s="27">
        <f>IF(E990="","",MAX(0,IFERROR(INDEX(Services!$C$6:$C$35,MATCH(E990,Services!$B$6:$B$35,0)),0)-N(H990)))</f>
        <v/>
      </c>
      <c r="H990" s="34" t="n"/>
      <c r="I990" s="34" t="n">
        <v>55</v>
      </c>
      <c r="J990" s="33" t="inlineStr">
        <is>
          <t>Card</t>
        </is>
      </c>
      <c r="K990" s="28">
        <f>IF(OR(B990="",F990&lt;&gt;"Done",J990="Package"),"",IF(N(G990)-N(I990)&gt;0,N(G990)-N(I990),""))</f>
        <v/>
      </c>
      <c r="L990" s="32" t="n"/>
      <c r="M990" s="1">
        <f>IF(OR(B990="",D990="",F990="Cancelled"),"",B990+N(C990)+ROW()/10000000)</f>
        <v/>
      </c>
      <c r="N990">
        <f>IF(AND(F990="Done",M990&lt;&gt;""),IF(COUNTIFS(Appointments!$D$6:$D$2005,D990,Appointments!$F$6:$F$2005,"Done",Appointments!$M$6:$M$2005,"&gt;"&amp;M990)=0,1,0),0)</f>
        <v/>
      </c>
      <c r="O990">
        <f>IF(AND(F990="Booked",M990&lt;&gt;"",N(B990)&gt;=TODAY()),IF(COUNTIFS(Appointments!$D$6:$D$2005,D990,Appointments!$F$6:$F$2005,"Booked",Appointments!$B$6:$B$2005,"&gt;="&amp;TODAY(),Appointments!$M$6:$M$2005,"&lt;"&amp;M990)=0,1,0),0)</f>
        <v/>
      </c>
    </row>
    <row r="991">
      <c r="A991" s="1" t="n"/>
      <c r="B991" s="30" t="n">
        <v>46261</v>
      </c>
      <c r="C991" s="31" t="n">
        <v>0.4236111111111111</v>
      </c>
      <c r="D991" s="32" t="inlineStr">
        <is>
          <t>Ava Lewis</t>
        </is>
      </c>
      <c r="E991" s="32" t="inlineStr">
        <is>
          <t>Women's haircut</t>
        </is>
      </c>
      <c r="F991" s="33" t="inlineStr">
        <is>
          <t>Done</t>
        </is>
      </c>
      <c r="G991" s="27">
        <f>IF(E991="","",MAX(0,IFERROR(INDEX(Services!$C$6:$C$35,MATCH(E991,Services!$B$6:$B$35,0)),0)-N(H991)))</f>
        <v/>
      </c>
      <c r="H991" s="34" t="n"/>
      <c r="I991" s="34" t="n">
        <v>55</v>
      </c>
      <c r="J991" s="33" t="inlineStr">
        <is>
          <t>Cash</t>
        </is>
      </c>
      <c r="K991" s="28">
        <f>IF(OR(B991="",F991&lt;&gt;"Done",J991="Package"),"",IF(N(G991)-N(I991)&gt;0,N(G991)-N(I991),""))</f>
        <v/>
      </c>
      <c r="L991" s="32" t="n"/>
      <c r="M991" s="1">
        <f>IF(OR(B991="",D991="",F991="Cancelled"),"",B991+N(C991)+ROW()/10000000)</f>
        <v/>
      </c>
      <c r="N991">
        <f>IF(AND(F991="Done",M991&lt;&gt;""),IF(COUNTIFS(Appointments!$D$6:$D$2005,D991,Appointments!$F$6:$F$2005,"Done",Appointments!$M$6:$M$2005,"&gt;"&amp;M991)=0,1,0),0)</f>
        <v/>
      </c>
      <c r="O991">
        <f>IF(AND(F991="Booked",M991&lt;&gt;"",N(B991)&gt;=TODAY()),IF(COUNTIFS(Appointments!$D$6:$D$2005,D991,Appointments!$F$6:$F$2005,"Booked",Appointments!$B$6:$B$2005,"&gt;="&amp;TODAY(),Appointments!$M$6:$M$2005,"&lt;"&amp;M991)=0,1,0),0)</f>
        <v/>
      </c>
    </row>
    <row r="992">
      <c r="A992" s="1" t="n"/>
      <c r="B992" s="30" t="n">
        <v>46261</v>
      </c>
      <c r="C992" s="31" t="n">
        <v>0.4722222222222222</v>
      </c>
      <c r="D992" s="32" t="inlineStr">
        <is>
          <t>Ian Reed</t>
        </is>
      </c>
      <c r="E992" s="32" t="inlineStr">
        <is>
          <t>Men's haircut</t>
        </is>
      </c>
      <c r="F992" s="33" t="inlineStr">
        <is>
          <t>Done</t>
        </is>
      </c>
      <c r="G992" s="27">
        <f>IF(E992="","",MAX(0,IFERROR(INDEX(Services!$C$6:$C$35,MATCH(E992,Services!$B$6:$B$35,0)),0)-N(H992)))</f>
        <v/>
      </c>
      <c r="H992" s="34" t="n"/>
      <c r="I992" s="34" t="n">
        <v>30</v>
      </c>
      <c r="J992" s="33" t="inlineStr">
        <is>
          <t>Card</t>
        </is>
      </c>
      <c r="K992" s="28">
        <f>IF(OR(B992="",F992&lt;&gt;"Done",J992="Package"),"",IF(N(G992)-N(I992)&gt;0,N(G992)-N(I992),""))</f>
        <v/>
      </c>
      <c r="L992" s="32" t="n"/>
      <c r="M992" s="1">
        <f>IF(OR(B992="",D992="",F992="Cancelled"),"",B992+N(C992)+ROW()/10000000)</f>
        <v/>
      </c>
      <c r="N992">
        <f>IF(AND(F992="Done",M992&lt;&gt;""),IF(COUNTIFS(Appointments!$D$6:$D$2005,D992,Appointments!$F$6:$F$2005,"Done",Appointments!$M$6:$M$2005,"&gt;"&amp;M992)=0,1,0),0)</f>
        <v/>
      </c>
      <c r="O992">
        <f>IF(AND(F992="Booked",M992&lt;&gt;"",N(B992)&gt;=TODAY()),IF(COUNTIFS(Appointments!$D$6:$D$2005,D992,Appointments!$F$6:$F$2005,"Booked",Appointments!$B$6:$B$2005,"&gt;="&amp;TODAY(),Appointments!$M$6:$M$2005,"&lt;"&amp;M992)=0,1,0),0)</f>
        <v/>
      </c>
    </row>
    <row r="993">
      <c r="A993" s="1" t="n"/>
      <c r="B993" s="30" t="n">
        <v>46261</v>
      </c>
      <c r="C993" s="31" t="n">
        <v>0.5</v>
      </c>
      <c r="D993" s="32" t="inlineStr">
        <is>
          <t>Luke Reed</t>
        </is>
      </c>
      <c r="E993" s="32" t="inlineStr">
        <is>
          <t>Men's haircut</t>
        </is>
      </c>
      <c r="F993" s="33" t="inlineStr">
        <is>
          <t>Done</t>
        </is>
      </c>
      <c r="G993" s="27">
        <f>IF(E993="","",MAX(0,IFERROR(INDEX(Services!$C$6:$C$35,MATCH(E993,Services!$B$6:$B$35,0)),0)-N(H993)))</f>
        <v/>
      </c>
      <c r="H993" s="34" t="n"/>
      <c r="I993" s="34" t="n">
        <v>30</v>
      </c>
      <c r="J993" s="33" t="inlineStr">
        <is>
          <t>Transfer</t>
        </is>
      </c>
      <c r="K993" s="28">
        <f>IF(OR(B993="",F993&lt;&gt;"Done",J993="Package"),"",IF(N(G993)-N(I993)&gt;0,N(G993)-N(I993),""))</f>
        <v/>
      </c>
      <c r="L993" s="32" t="n"/>
      <c r="M993" s="1">
        <f>IF(OR(B993="",D993="",F993="Cancelled"),"",B993+N(C993)+ROW()/10000000)</f>
        <v/>
      </c>
      <c r="N993">
        <f>IF(AND(F993="Done",M993&lt;&gt;""),IF(COUNTIFS(Appointments!$D$6:$D$2005,D993,Appointments!$F$6:$F$2005,"Done",Appointments!$M$6:$M$2005,"&gt;"&amp;M993)=0,1,0),0)</f>
        <v/>
      </c>
      <c r="O993">
        <f>IF(AND(F993="Booked",M993&lt;&gt;"",N(B993)&gt;=TODAY()),IF(COUNTIFS(Appointments!$D$6:$D$2005,D993,Appointments!$F$6:$F$2005,"Booked",Appointments!$B$6:$B$2005,"&gt;="&amp;TODAY(),Appointments!$M$6:$M$2005,"&lt;"&amp;M993)=0,1,0),0)</f>
        <v/>
      </c>
    </row>
    <row r="994">
      <c r="A994" s="1" t="n"/>
      <c r="B994" s="30" t="n">
        <v>46261</v>
      </c>
      <c r="C994" s="31" t="n">
        <v>0.5277777777777778</v>
      </c>
      <c r="D994" s="32" t="inlineStr">
        <is>
          <t>Nina Young</t>
        </is>
      </c>
      <c r="E994" s="32" t="inlineStr">
        <is>
          <t>Treatment</t>
        </is>
      </c>
      <c r="F994" s="33" t="inlineStr">
        <is>
          <t>Done</t>
        </is>
      </c>
      <c r="G994" s="27">
        <f>IF(E994="","",MAX(0,IFERROR(INDEX(Services!$C$6:$C$35,MATCH(E994,Services!$B$6:$B$35,0)),0)-N(H994)))</f>
        <v/>
      </c>
      <c r="H994" s="34" t="n"/>
      <c r="I994" s="34" t="n">
        <v>30</v>
      </c>
      <c r="J994" s="33" t="inlineStr">
        <is>
          <t>Card</t>
        </is>
      </c>
      <c r="K994" s="28">
        <f>IF(OR(B994="",F994&lt;&gt;"Done",J994="Package"),"",IF(N(G994)-N(I994)&gt;0,N(G994)-N(I994),""))</f>
        <v/>
      </c>
      <c r="L994" s="32" t="n"/>
      <c r="M994" s="1">
        <f>IF(OR(B994="",D994="",F994="Cancelled"),"",B994+N(C994)+ROW()/10000000)</f>
        <v/>
      </c>
      <c r="N994">
        <f>IF(AND(F994="Done",M994&lt;&gt;""),IF(COUNTIFS(Appointments!$D$6:$D$2005,D994,Appointments!$F$6:$F$2005,"Done",Appointments!$M$6:$M$2005,"&gt;"&amp;M994)=0,1,0),0)</f>
        <v/>
      </c>
      <c r="O994">
        <f>IF(AND(F994="Booked",M994&lt;&gt;"",N(B994)&gt;=TODAY()),IF(COUNTIFS(Appointments!$D$6:$D$2005,D994,Appointments!$F$6:$F$2005,"Booked",Appointments!$B$6:$B$2005,"&gt;="&amp;TODAY(),Appointments!$M$6:$M$2005,"&lt;"&amp;M994)=0,1,0),0)</f>
        <v/>
      </c>
    </row>
    <row r="995">
      <c r="A995" s="1" t="n"/>
      <c r="B995" s="30" t="n">
        <v>46261</v>
      </c>
      <c r="C995" s="31" t="n">
        <v>0.5555555555555556</v>
      </c>
      <c r="D995" s="32" t="inlineStr">
        <is>
          <t>Paula Mason</t>
        </is>
      </c>
      <c r="E995" s="32" t="inlineStr">
        <is>
          <t>Highlights</t>
        </is>
      </c>
      <c r="F995" s="33" t="inlineStr">
        <is>
          <t>Done</t>
        </is>
      </c>
      <c r="G995" s="27">
        <f>IF(E995="","",MAX(0,IFERROR(INDEX(Services!$C$6:$C$35,MATCH(E995,Services!$B$6:$B$35,0)),0)-N(H995)))</f>
        <v/>
      </c>
      <c r="H995" s="34" t="n"/>
      <c r="I995" s="34" t="n">
        <v>140</v>
      </c>
      <c r="J995" s="33" t="inlineStr">
        <is>
          <t>Cash</t>
        </is>
      </c>
      <c r="K995" s="28">
        <f>IF(OR(B995="",F995&lt;&gt;"Done",J995="Package"),"",IF(N(G995)-N(I995)&gt;0,N(G995)-N(I995),""))</f>
        <v/>
      </c>
      <c r="L995" s="32" t="n"/>
      <c r="M995" s="1">
        <f>IF(OR(B995="",D995="",F995="Cancelled"),"",B995+N(C995)+ROW()/10000000)</f>
        <v/>
      </c>
      <c r="N995">
        <f>IF(AND(F995="Done",M995&lt;&gt;""),IF(COUNTIFS(Appointments!$D$6:$D$2005,D995,Appointments!$F$6:$F$2005,"Done",Appointments!$M$6:$M$2005,"&gt;"&amp;M995)=0,1,0),0)</f>
        <v/>
      </c>
      <c r="O995">
        <f>IF(AND(F995="Booked",M995&lt;&gt;"",N(B995)&gt;=TODAY()),IF(COUNTIFS(Appointments!$D$6:$D$2005,D995,Appointments!$F$6:$F$2005,"Booked",Appointments!$B$6:$B$2005,"&gt;="&amp;TODAY(),Appointments!$M$6:$M$2005,"&lt;"&amp;M995)=0,1,0),0)</f>
        <v/>
      </c>
    </row>
    <row r="996">
      <c r="A996" s="1" t="n"/>
      <c r="B996" s="30" t="n">
        <v>46261</v>
      </c>
      <c r="C996" s="31" t="n">
        <v>0.6666666666666666</v>
      </c>
      <c r="D996" s="32" t="inlineStr">
        <is>
          <t>Ryan Davies</t>
        </is>
      </c>
      <c r="E996" s="32" t="inlineStr">
        <is>
          <t>Men's haircut</t>
        </is>
      </c>
      <c r="F996" s="33" t="inlineStr">
        <is>
          <t>Done</t>
        </is>
      </c>
      <c r="G996" s="27">
        <f>IF(E996="","",MAX(0,IFERROR(INDEX(Services!$C$6:$C$35,MATCH(E996,Services!$B$6:$B$35,0)),0)-N(H996)))</f>
        <v/>
      </c>
      <c r="H996" s="34" t="n"/>
      <c r="I996" s="34" t="n">
        <v>30</v>
      </c>
      <c r="J996" s="33" t="inlineStr">
        <is>
          <t>Card</t>
        </is>
      </c>
      <c r="K996" s="28">
        <f>IF(OR(B996="",F996&lt;&gt;"Done",J996="Package"),"",IF(N(G996)-N(I996)&gt;0,N(G996)-N(I996),""))</f>
        <v/>
      </c>
      <c r="L996" s="32" t="n"/>
      <c r="M996" s="1">
        <f>IF(OR(B996="",D996="",F996="Cancelled"),"",B996+N(C996)+ROW()/10000000)</f>
        <v/>
      </c>
      <c r="N996">
        <f>IF(AND(F996="Done",M996&lt;&gt;""),IF(COUNTIFS(Appointments!$D$6:$D$2005,D996,Appointments!$F$6:$F$2005,"Done",Appointments!$M$6:$M$2005,"&gt;"&amp;M996)=0,1,0),0)</f>
        <v/>
      </c>
      <c r="O996">
        <f>IF(AND(F996="Booked",M996&lt;&gt;"",N(B996)&gt;=TODAY()),IF(COUNTIFS(Appointments!$D$6:$D$2005,D996,Appointments!$F$6:$F$2005,"Booked",Appointments!$B$6:$B$2005,"&gt;="&amp;TODAY(),Appointments!$M$6:$M$2005,"&lt;"&amp;M996)=0,1,0),0)</f>
        <v/>
      </c>
    </row>
    <row r="997">
      <c r="A997" s="1" t="n"/>
      <c r="B997" s="30" t="n">
        <v>46262</v>
      </c>
      <c r="C997" s="31" t="n">
        <v>0.375</v>
      </c>
      <c r="D997" s="32" t="inlineStr">
        <is>
          <t>Harry Cox</t>
        </is>
      </c>
      <c r="E997" s="32" t="inlineStr">
        <is>
          <t>Men's haircut</t>
        </is>
      </c>
      <c r="F997" s="33" t="inlineStr">
        <is>
          <t>Done</t>
        </is>
      </c>
      <c r="G997" s="27">
        <f>IF(E997="","",MAX(0,IFERROR(INDEX(Services!$C$6:$C$35,MATCH(E997,Services!$B$6:$B$35,0)),0)-N(H997)))</f>
        <v/>
      </c>
      <c r="H997" s="34" t="n"/>
      <c r="I997" s="34" t="n">
        <v>30</v>
      </c>
      <c r="J997" s="33" t="inlineStr">
        <is>
          <t>Cash</t>
        </is>
      </c>
      <c r="K997" s="28">
        <f>IF(OR(B997="",F997&lt;&gt;"Done",J997="Package"),"",IF(N(G997)-N(I997)&gt;0,N(G997)-N(I997),""))</f>
        <v/>
      </c>
      <c r="L997" s="32" t="n"/>
      <c r="M997" s="1">
        <f>IF(OR(B997="",D997="",F997="Cancelled"),"",B997+N(C997)+ROW()/10000000)</f>
        <v/>
      </c>
      <c r="N997">
        <f>IF(AND(F997="Done",M997&lt;&gt;""),IF(COUNTIFS(Appointments!$D$6:$D$2005,D997,Appointments!$F$6:$F$2005,"Done",Appointments!$M$6:$M$2005,"&gt;"&amp;M997)=0,1,0),0)</f>
        <v/>
      </c>
      <c r="O997">
        <f>IF(AND(F997="Booked",M997&lt;&gt;"",N(B997)&gt;=TODAY()),IF(COUNTIFS(Appointments!$D$6:$D$2005,D997,Appointments!$F$6:$F$2005,"Booked",Appointments!$B$6:$B$2005,"&gt;="&amp;TODAY(),Appointments!$M$6:$M$2005,"&lt;"&amp;M997)=0,1,0),0)</f>
        <v/>
      </c>
    </row>
    <row r="998">
      <c r="A998" s="1" t="n"/>
      <c r="B998" s="30" t="n">
        <v>46262</v>
      </c>
      <c r="C998" s="31" t="n">
        <v>0.4027777777777778</v>
      </c>
      <c r="D998" s="32" t="inlineStr">
        <is>
          <t>Julia Hughes</t>
        </is>
      </c>
      <c r="E998" s="32" t="inlineStr">
        <is>
          <t>Women's haircut</t>
        </is>
      </c>
      <c r="F998" s="33" t="inlineStr">
        <is>
          <t>Done</t>
        </is>
      </c>
      <c r="G998" s="27">
        <f>IF(E998="","",MAX(0,IFERROR(INDEX(Services!$C$6:$C$35,MATCH(E998,Services!$B$6:$B$35,0)),0)-N(H998)))</f>
        <v/>
      </c>
      <c r="H998" s="34" t="n"/>
      <c r="I998" s="34" t="n">
        <v>55</v>
      </c>
      <c r="J998" s="33" t="inlineStr">
        <is>
          <t>Card</t>
        </is>
      </c>
      <c r="K998" s="28">
        <f>IF(OR(B998="",F998&lt;&gt;"Done",J998="Package"),"",IF(N(G998)-N(I998)&gt;0,N(G998)-N(I998),""))</f>
        <v/>
      </c>
      <c r="L998" s="32" t="n"/>
      <c r="M998" s="1">
        <f>IF(OR(B998="",D998="",F998="Cancelled"),"",B998+N(C998)+ROW()/10000000)</f>
        <v/>
      </c>
      <c r="N998">
        <f>IF(AND(F998="Done",M998&lt;&gt;""),IF(COUNTIFS(Appointments!$D$6:$D$2005,D998,Appointments!$F$6:$F$2005,"Done",Appointments!$M$6:$M$2005,"&gt;"&amp;M998)=0,1,0),0)</f>
        <v/>
      </c>
      <c r="O998">
        <f>IF(AND(F998="Booked",M998&lt;&gt;"",N(B998)&gt;=TODAY()),IF(COUNTIFS(Appointments!$D$6:$D$2005,D998,Appointments!$F$6:$F$2005,"Booked",Appointments!$B$6:$B$2005,"&gt;="&amp;TODAY(),Appointments!$M$6:$M$2005,"&lt;"&amp;M998)=0,1,0),0)</f>
        <v/>
      </c>
    </row>
    <row r="999">
      <c r="A999" s="1" t="n"/>
      <c r="B999" s="30" t="n">
        <v>46262</v>
      </c>
      <c r="C999" s="31" t="n">
        <v>0.4513888888888889</v>
      </c>
      <c r="D999" s="32" t="inlineStr">
        <is>
          <t>Kyle Fox</t>
        </is>
      </c>
      <c r="E999" s="32" t="inlineStr">
        <is>
          <t>Men's haircut</t>
        </is>
      </c>
      <c r="F999" s="33" t="inlineStr">
        <is>
          <t>Done</t>
        </is>
      </c>
      <c r="G999" s="27">
        <f>IF(E999="","",MAX(0,IFERROR(INDEX(Services!$C$6:$C$35,MATCH(E999,Services!$B$6:$B$35,0)),0)-N(H999)))</f>
        <v/>
      </c>
      <c r="H999" s="34" t="n"/>
      <c r="I999" s="34" t="n">
        <v>30</v>
      </c>
      <c r="J999" s="33" t="inlineStr">
        <is>
          <t>Card</t>
        </is>
      </c>
      <c r="K999" s="28">
        <f>IF(OR(B999="",F999&lt;&gt;"Done",J999="Package"),"",IF(N(G999)-N(I999)&gt;0,N(G999)-N(I999),""))</f>
        <v/>
      </c>
      <c r="L999" s="32" t="n"/>
      <c r="M999" s="1">
        <f>IF(OR(B999="",D999="",F999="Cancelled"),"",B999+N(C999)+ROW()/10000000)</f>
        <v/>
      </c>
      <c r="N999">
        <f>IF(AND(F999="Done",M999&lt;&gt;""),IF(COUNTIFS(Appointments!$D$6:$D$2005,D999,Appointments!$F$6:$F$2005,"Done",Appointments!$M$6:$M$2005,"&gt;"&amp;M999)=0,1,0),0)</f>
        <v/>
      </c>
      <c r="O999">
        <f>IF(AND(F999="Booked",M999&lt;&gt;"",N(B999)&gt;=TODAY()),IF(COUNTIFS(Appointments!$D$6:$D$2005,D999,Appointments!$F$6:$F$2005,"Booked",Appointments!$B$6:$B$2005,"&gt;="&amp;TODAY(),Appointments!$M$6:$M$2005,"&lt;"&amp;M999)=0,1,0),0)</f>
        <v/>
      </c>
    </row>
    <row r="1000">
      <c r="A1000" s="1" t="n"/>
      <c r="B1000" s="30" t="n">
        <v>46262</v>
      </c>
      <c r="C1000" s="31" t="n">
        <v>0.4791666666666667</v>
      </c>
      <c r="D1000" s="32" t="inlineStr">
        <is>
          <t>Sara Hughes</t>
        </is>
      </c>
      <c r="E1000" s="32" t="inlineStr">
        <is>
          <t>Highlights</t>
        </is>
      </c>
      <c r="F1000" s="33" t="inlineStr">
        <is>
          <t>Done</t>
        </is>
      </c>
      <c r="G1000" s="27">
        <f>IF(E1000="","",MAX(0,IFERROR(INDEX(Services!$C$6:$C$35,MATCH(E1000,Services!$B$6:$B$35,0)),0)-N(H1000)))</f>
        <v/>
      </c>
      <c r="H1000" s="34" t="n"/>
      <c r="I1000" s="34" t="n">
        <v>140</v>
      </c>
      <c r="J1000" s="33" t="inlineStr">
        <is>
          <t>Card</t>
        </is>
      </c>
      <c r="K1000" s="28">
        <f>IF(OR(B1000="",F1000&lt;&gt;"Done",J1000="Package"),"",IF(N(G1000)-N(I1000)&gt;0,N(G1000)-N(I1000),""))</f>
        <v/>
      </c>
      <c r="L1000" s="32" t="n"/>
      <c r="M1000" s="1">
        <f>IF(OR(B1000="",D1000="",F1000="Cancelled"),"",B1000+N(C1000)+ROW()/10000000)</f>
        <v/>
      </c>
      <c r="N1000">
        <f>IF(AND(F1000="Done",M1000&lt;&gt;""),IF(COUNTIFS(Appointments!$D$6:$D$2005,D1000,Appointments!$F$6:$F$2005,"Done",Appointments!$M$6:$M$2005,"&gt;"&amp;M1000)=0,1,0),0)</f>
        <v/>
      </c>
      <c r="O1000">
        <f>IF(AND(F1000="Booked",M1000&lt;&gt;"",N(B1000)&gt;=TODAY()),IF(COUNTIFS(Appointments!$D$6:$D$2005,D1000,Appointments!$F$6:$F$2005,"Booked",Appointments!$B$6:$B$2005,"&gt;="&amp;TODAY(),Appointments!$M$6:$M$2005,"&lt;"&amp;M1000)=0,1,0),0)</f>
        <v/>
      </c>
    </row>
    <row r="1001">
      <c r="A1001" s="1" t="n"/>
      <c r="B1001" s="30" t="n">
        <v>46263</v>
      </c>
      <c r="C1001" s="31" t="n">
        <v>0.375</v>
      </c>
      <c r="D1001" s="32" t="inlineStr">
        <is>
          <t>Helen Mason</t>
        </is>
      </c>
      <c r="E1001" s="32" t="inlineStr">
        <is>
          <t>Blow dry</t>
        </is>
      </c>
      <c r="F1001" s="33" t="inlineStr">
        <is>
          <t>Done</t>
        </is>
      </c>
      <c r="G1001" s="27">
        <f>IF(E1001="","",MAX(0,IFERROR(INDEX(Services!$C$6:$C$35,MATCH(E1001,Services!$B$6:$B$35,0)),0)-N(H1001)))</f>
        <v/>
      </c>
      <c r="H1001" s="34" t="n"/>
      <c r="I1001" s="34" t="n">
        <v>35</v>
      </c>
      <c r="J1001" s="33" t="inlineStr">
        <is>
          <t>Cash</t>
        </is>
      </c>
      <c r="K1001" s="28">
        <f>IF(OR(B1001="",F1001&lt;&gt;"Done",J1001="Package"),"",IF(N(G1001)-N(I1001)&gt;0,N(G1001)-N(I1001),""))</f>
        <v/>
      </c>
      <c r="L1001" s="32" t="n"/>
      <c r="M1001" s="1">
        <f>IF(OR(B1001="",D1001="",F1001="Cancelled"),"",B1001+N(C1001)+ROW()/10000000)</f>
        <v/>
      </c>
      <c r="N1001">
        <f>IF(AND(F1001="Done",M1001&lt;&gt;""),IF(COUNTIFS(Appointments!$D$6:$D$2005,D1001,Appointments!$F$6:$F$2005,"Done",Appointments!$M$6:$M$2005,"&gt;"&amp;M1001)=0,1,0),0)</f>
        <v/>
      </c>
      <c r="O1001">
        <f>IF(AND(F1001="Booked",M1001&lt;&gt;"",N(B1001)&gt;=TODAY()),IF(COUNTIFS(Appointments!$D$6:$D$2005,D1001,Appointments!$F$6:$F$2005,"Booked",Appointments!$B$6:$B$2005,"&gt;="&amp;TODAY(),Appointments!$M$6:$M$2005,"&lt;"&amp;M1001)=0,1,0),0)</f>
        <v/>
      </c>
    </row>
    <row r="1002">
      <c r="A1002" s="1" t="n"/>
      <c r="B1002" s="30" t="n">
        <v>46266</v>
      </c>
      <c r="C1002" s="31" t="n">
        <v>0.375</v>
      </c>
      <c r="D1002" s="32" t="inlineStr">
        <is>
          <t>Daniel Kim</t>
        </is>
      </c>
      <c r="E1002" s="32" t="inlineStr">
        <is>
          <t>Men's haircut</t>
        </is>
      </c>
      <c r="F1002" s="33" t="inlineStr">
        <is>
          <t>Done</t>
        </is>
      </c>
      <c r="G1002" s="27">
        <f>IF(E1002="","",MAX(0,IFERROR(INDEX(Services!$C$6:$C$35,MATCH(E1002,Services!$B$6:$B$35,0)),0)-N(H1002)))</f>
        <v/>
      </c>
      <c r="H1002" s="34" t="n"/>
      <c r="I1002" s="34" t="n">
        <v>30</v>
      </c>
      <c r="J1002" s="33" t="inlineStr">
        <is>
          <t>Card</t>
        </is>
      </c>
      <c r="K1002" s="28">
        <f>IF(OR(B1002="",F1002&lt;&gt;"Done",J1002="Package"),"",IF(N(G1002)-N(I1002)&gt;0,N(G1002)-N(I1002),""))</f>
        <v/>
      </c>
      <c r="L1002" s="32" t="n"/>
      <c r="M1002" s="1">
        <f>IF(OR(B1002="",D1002="",F1002="Cancelled"),"",B1002+N(C1002)+ROW()/10000000)</f>
        <v/>
      </c>
      <c r="N1002">
        <f>IF(AND(F1002="Done",M1002&lt;&gt;""),IF(COUNTIFS(Appointments!$D$6:$D$2005,D1002,Appointments!$F$6:$F$2005,"Done",Appointments!$M$6:$M$2005,"&gt;"&amp;M1002)=0,1,0),0)</f>
        <v/>
      </c>
      <c r="O1002">
        <f>IF(AND(F1002="Booked",M1002&lt;&gt;"",N(B1002)&gt;=TODAY()),IF(COUNTIFS(Appointments!$D$6:$D$2005,D1002,Appointments!$F$6:$F$2005,"Booked",Appointments!$B$6:$B$2005,"&gt;="&amp;TODAY(),Appointments!$M$6:$M$2005,"&lt;"&amp;M1002)=0,1,0),0)</f>
        <v/>
      </c>
    </row>
    <row r="1003">
      <c r="A1003" s="1" t="n"/>
      <c r="B1003" s="30" t="n">
        <v>46266</v>
      </c>
      <c r="C1003" s="31" t="n">
        <v>0.4027777777777778</v>
      </c>
      <c r="D1003" s="32" t="inlineStr">
        <is>
          <t>Emma Johnson</t>
        </is>
      </c>
      <c r="E1003" s="32" t="inlineStr">
        <is>
          <t>Blow dry</t>
        </is>
      </c>
      <c r="F1003" s="33" t="inlineStr">
        <is>
          <t>Done</t>
        </is>
      </c>
      <c r="G1003" s="27">
        <f>IF(E1003="","",MAX(0,IFERROR(INDEX(Services!$C$6:$C$35,MATCH(E1003,Services!$B$6:$B$35,0)),0)-N(H1003)))</f>
        <v/>
      </c>
      <c r="H1003" s="34" t="n"/>
      <c r="I1003" s="34" t="n"/>
      <c r="J1003" s="33" t="inlineStr">
        <is>
          <t>Package</t>
        </is>
      </c>
      <c r="K1003" s="28">
        <f>IF(OR(B1003="",F1003&lt;&gt;"Done",J1003="Package"),"",IF(N(G1003)-N(I1003)&gt;0,N(G1003)-N(I1003),""))</f>
        <v/>
      </c>
      <c r="L1003" s="32" t="n"/>
      <c r="M1003" s="1">
        <f>IF(OR(B1003="",D1003="",F1003="Cancelled"),"",B1003+N(C1003)+ROW()/10000000)</f>
        <v/>
      </c>
      <c r="N1003">
        <f>IF(AND(F1003="Done",M1003&lt;&gt;""),IF(COUNTIFS(Appointments!$D$6:$D$2005,D1003,Appointments!$F$6:$F$2005,"Done",Appointments!$M$6:$M$2005,"&gt;"&amp;M1003)=0,1,0),0)</f>
        <v/>
      </c>
      <c r="O1003">
        <f>IF(AND(F1003="Booked",M1003&lt;&gt;"",N(B1003)&gt;=TODAY()),IF(COUNTIFS(Appointments!$D$6:$D$2005,D1003,Appointments!$F$6:$F$2005,"Booked",Appointments!$B$6:$B$2005,"&gt;="&amp;TODAY(),Appointments!$M$6:$M$2005,"&lt;"&amp;M1003)=0,1,0),0)</f>
        <v/>
      </c>
    </row>
    <row r="1004">
      <c r="A1004" s="1" t="n"/>
      <c r="B1004" s="30" t="n">
        <v>46266</v>
      </c>
      <c r="C1004" s="31" t="n">
        <v>0.4409722222222222</v>
      </c>
      <c r="D1004" s="32" t="inlineStr">
        <is>
          <t>Liam Evans</t>
        </is>
      </c>
      <c r="E1004" s="32" t="inlineStr">
        <is>
          <t>Men's haircut</t>
        </is>
      </c>
      <c r="F1004" s="33" t="inlineStr">
        <is>
          <t>Done</t>
        </is>
      </c>
      <c r="G1004" s="27">
        <f>IF(E1004="","",MAX(0,IFERROR(INDEX(Services!$C$6:$C$35,MATCH(E1004,Services!$B$6:$B$35,0)),0)-N(H1004)))</f>
        <v/>
      </c>
      <c r="H1004" s="34" t="n"/>
      <c r="I1004" s="34" t="n">
        <v>30</v>
      </c>
      <c r="J1004" s="33" t="inlineStr">
        <is>
          <t>Card</t>
        </is>
      </c>
      <c r="K1004" s="28">
        <f>IF(OR(B1004="",F1004&lt;&gt;"Done",J1004="Package"),"",IF(N(G1004)-N(I1004)&gt;0,N(G1004)-N(I1004),""))</f>
        <v/>
      </c>
      <c r="L1004" s="32" t="n"/>
      <c r="M1004" s="1">
        <f>IF(OR(B1004="",D1004="",F1004="Cancelled"),"",B1004+N(C1004)+ROW()/10000000)</f>
        <v/>
      </c>
      <c r="N1004">
        <f>IF(AND(F1004="Done",M1004&lt;&gt;""),IF(COUNTIFS(Appointments!$D$6:$D$2005,D1004,Appointments!$F$6:$F$2005,"Done",Appointments!$M$6:$M$2005,"&gt;"&amp;M1004)=0,1,0),0)</f>
        <v/>
      </c>
      <c r="O1004">
        <f>IF(AND(F1004="Booked",M1004&lt;&gt;"",N(B1004)&gt;=TODAY()),IF(COUNTIFS(Appointments!$D$6:$D$2005,D1004,Appointments!$F$6:$F$2005,"Booked",Appointments!$B$6:$B$2005,"&gt;="&amp;TODAY(),Appointments!$M$6:$M$2005,"&lt;"&amp;M1004)=0,1,0),0)</f>
        <v/>
      </c>
    </row>
    <row r="1005">
      <c r="A1005" s="1" t="n"/>
      <c r="B1005" s="30" t="n">
        <v>46266</v>
      </c>
      <c r="C1005" s="31" t="n">
        <v>0.46875</v>
      </c>
      <c r="D1005" s="32" t="inlineStr">
        <is>
          <t>Luke Hall</t>
        </is>
      </c>
      <c r="E1005" s="32" t="inlineStr">
        <is>
          <t>Men's haircut</t>
        </is>
      </c>
      <c r="F1005" s="33" t="inlineStr">
        <is>
          <t>Done</t>
        </is>
      </c>
      <c r="G1005" s="27">
        <f>IF(E1005="","",MAX(0,IFERROR(INDEX(Services!$C$6:$C$35,MATCH(E1005,Services!$B$6:$B$35,0)),0)-N(H1005)))</f>
        <v/>
      </c>
      <c r="H1005" s="34" t="n"/>
      <c r="I1005" s="34" t="n">
        <v>30</v>
      </c>
      <c r="J1005" s="33" t="inlineStr">
        <is>
          <t>Card</t>
        </is>
      </c>
      <c r="K1005" s="28">
        <f>IF(OR(B1005="",F1005&lt;&gt;"Done",J1005="Package"),"",IF(N(G1005)-N(I1005)&gt;0,N(G1005)-N(I1005),""))</f>
        <v/>
      </c>
      <c r="L1005" s="32" t="n"/>
      <c r="M1005" s="1">
        <f>IF(OR(B1005="",D1005="",F1005="Cancelled"),"",B1005+N(C1005)+ROW()/10000000)</f>
        <v/>
      </c>
      <c r="N1005">
        <f>IF(AND(F1005="Done",M1005&lt;&gt;""),IF(COUNTIFS(Appointments!$D$6:$D$2005,D1005,Appointments!$F$6:$F$2005,"Done",Appointments!$M$6:$M$2005,"&gt;"&amp;M1005)=0,1,0),0)</f>
        <v/>
      </c>
      <c r="O1005">
        <f>IF(AND(F1005="Booked",M1005&lt;&gt;"",N(B1005)&gt;=TODAY()),IF(COUNTIFS(Appointments!$D$6:$D$2005,D1005,Appointments!$F$6:$F$2005,"Booked",Appointments!$B$6:$B$2005,"&gt;="&amp;TODAY(),Appointments!$M$6:$M$2005,"&lt;"&amp;M1005)=0,1,0),0)</f>
        <v/>
      </c>
    </row>
    <row r="1006">
      <c r="A1006" s="1" t="n"/>
      <c r="B1006" s="30" t="n">
        <v>46266</v>
      </c>
      <c r="C1006" s="31" t="n">
        <v>0.4965277777777778</v>
      </c>
      <c r="D1006" s="32" t="inlineStr">
        <is>
          <t>Maya Patel</t>
        </is>
      </c>
      <c r="E1006" s="32" t="inlineStr">
        <is>
          <t>Treatment</t>
        </is>
      </c>
      <c r="F1006" s="33" t="inlineStr">
        <is>
          <t>Done</t>
        </is>
      </c>
      <c r="G1006" s="27">
        <f>IF(E1006="","",MAX(0,IFERROR(INDEX(Services!$C$6:$C$35,MATCH(E1006,Services!$B$6:$B$35,0)),0)-N(H1006)))</f>
        <v/>
      </c>
      <c r="H1006" s="34" t="n"/>
      <c r="I1006" s="34" t="n"/>
      <c r="J1006" s="33" t="inlineStr">
        <is>
          <t>Package</t>
        </is>
      </c>
      <c r="K1006" s="28">
        <f>IF(OR(B1006="",F1006&lt;&gt;"Done",J1006="Package"),"",IF(N(G1006)-N(I1006)&gt;0,N(G1006)-N(I1006),""))</f>
        <v/>
      </c>
      <c r="L1006" s="32" t="n"/>
      <c r="M1006" s="1">
        <f>IF(OR(B1006="",D1006="",F1006="Cancelled"),"",B1006+N(C1006)+ROW()/10000000)</f>
        <v/>
      </c>
      <c r="N1006">
        <f>IF(AND(F1006="Done",M1006&lt;&gt;""),IF(COUNTIFS(Appointments!$D$6:$D$2005,D1006,Appointments!$F$6:$F$2005,"Done",Appointments!$M$6:$M$2005,"&gt;"&amp;M1006)=0,1,0),0)</f>
        <v/>
      </c>
      <c r="O1006">
        <f>IF(AND(F1006="Booked",M1006&lt;&gt;"",N(B1006)&gt;=TODAY()),IF(COUNTIFS(Appointments!$D$6:$D$2005,D1006,Appointments!$F$6:$F$2005,"Booked",Appointments!$B$6:$B$2005,"&gt;="&amp;TODAY(),Appointments!$M$6:$M$2005,"&lt;"&amp;M1006)=0,1,0),0)</f>
        <v/>
      </c>
    </row>
    <row r="1007">
      <c r="A1007" s="1" t="n"/>
      <c r="B1007" s="30" t="n">
        <v>46266</v>
      </c>
      <c r="C1007" s="31" t="n">
        <v>0.5243055555555556</v>
      </c>
      <c r="D1007" s="32" t="inlineStr">
        <is>
          <t>Paula Cook</t>
        </is>
      </c>
      <c r="E1007" s="32" t="inlineStr">
        <is>
          <t>Women's haircut</t>
        </is>
      </c>
      <c r="F1007" s="33" t="inlineStr">
        <is>
          <t>Done</t>
        </is>
      </c>
      <c r="G1007" s="27">
        <f>IF(E1007="","",MAX(0,IFERROR(INDEX(Services!$C$6:$C$35,MATCH(E1007,Services!$B$6:$B$35,0)),0)-N(H1007)))</f>
        <v/>
      </c>
      <c r="H1007" s="34" t="n"/>
      <c r="I1007" s="34" t="n">
        <v>55</v>
      </c>
      <c r="J1007" s="33" t="inlineStr">
        <is>
          <t>Cash</t>
        </is>
      </c>
      <c r="K1007" s="28">
        <f>IF(OR(B1007="",F1007&lt;&gt;"Done",J1007="Package"),"",IF(N(G1007)-N(I1007)&gt;0,N(G1007)-N(I1007),""))</f>
        <v/>
      </c>
      <c r="L1007" s="32" t="n"/>
      <c r="M1007" s="1">
        <f>IF(OR(B1007="",D1007="",F1007="Cancelled"),"",B1007+N(C1007)+ROW()/10000000)</f>
        <v/>
      </c>
      <c r="N1007">
        <f>IF(AND(F1007="Done",M1007&lt;&gt;""),IF(COUNTIFS(Appointments!$D$6:$D$2005,D1007,Appointments!$F$6:$F$2005,"Done",Appointments!$M$6:$M$2005,"&gt;"&amp;M1007)=0,1,0),0)</f>
        <v/>
      </c>
      <c r="O1007">
        <f>IF(AND(F1007="Booked",M1007&lt;&gt;"",N(B1007)&gt;=TODAY()),IF(COUNTIFS(Appointments!$D$6:$D$2005,D1007,Appointments!$F$6:$F$2005,"Booked",Appointments!$B$6:$B$2005,"&gt;="&amp;TODAY(),Appointments!$M$6:$M$2005,"&lt;"&amp;M1007)=0,1,0),0)</f>
        <v/>
      </c>
    </row>
    <row r="1008">
      <c r="A1008" s="1" t="n"/>
      <c r="B1008" s="30" t="n">
        <v>46266</v>
      </c>
      <c r="C1008" s="31" t="n">
        <v>0.5729166666666666</v>
      </c>
      <c r="D1008" s="32" t="inlineStr">
        <is>
          <t>Sam Clarke</t>
        </is>
      </c>
      <c r="E1008" s="32" t="inlineStr">
        <is>
          <t>Men's haircut</t>
        </is>
      </c>
      <c r="F1008" s="33" t="inlineStr">
        <is>
          <t>Done</t>
        </is>
      </c>
      <c r="G1008" s="27">
        <f>IF(E1008="","",MAX(0,IFERROR(INDEX(Services!$C$6:$C$35,MATCH(E1008,Services!$B$6:$B$35,0)),0)-N(H1008)))</f>
        <v/>
      </c>
      <c r="H1008" s="34" t="n"/>
      <c r="I1008" s="34" t="n">
        <v>30</v>
      </c>
      <c r="J1008" s="33" t="inlineStr">
        <is>
          <t>Card</t>
        </is>
      </c>
      <c r="K1008" s="28">
        <f>IF(OR(B1008="",F1008&lt;&gt;"Done",J1008="Package"),"",IF(N(G1008)-N(I1008)&gt;0,N(G1008)-N(I1008),""))</f>
        <v/>
      </c>
      <c r="L1008" s="32" t="n"/>
      <c r="M1008" s="1">
        <f>IF(OR(B1008="",D1008="",F1008="Cancelled"),"",B1008+N(C1008)+ROW()/10000000)</f>
        <v/>
      </c>
      <c r="N1008">
        <f>IF(AND(F1008="Done",M1008&lt;&gt;""),IF(COUNTIFS(Appointments!$D$6:$D$2005,D1008,Appointments!$F$6:$F$2005,"Done",Appointments!$M$6:$M$2005,"&gt;"&amp;M1008)=0,1,0),0)</f>
        <v/>
      </c>
      <c r="O1008">
        <f>IF(AND(F1008="Booked",M1008&lt;&gt;"",N(B1008)&gt;=TODAY()),IF(COUNTIFS(Appointments!$D$6:$D$2005,D1008,Appointments!$F$6:$F$2005,"Booked",Appointments!$B$6:$B$2005,"&gt;="&amp;TODAY(),Appointments!$M$6:$M$2005,"&lt;"&amp;M1008)=0,1,0),0)</f>
        <v/>
      </c>
    </row>
    <row r="1009">
      <c r="A1009" s="1" t="n"/>
      <c r="B1009" s="30" t="n">
        <v>46267</v>
      </c>
      <c r="C1009" s="31" t="n">
        <v>0.375</v>
      </c>
      <c r="D1009" s="32" t="inlineStr">
        <is>
          <t>Adam King</t>
        </is>
      </c>
      <c r="E1009" s="32" t="inlineStr">
        <is>
          <t>Men's haircut</t>
        </is>
      </c>
      <c r="F1009" s="33" t="inlineStr">
        <is>
          <t>Done</t>
        </is>
      </c>
      <c r="G1009" s="27">
        <f>IF(E1009="","",MAX(0,IFERROR(INDEX(Services!$C$6:$C$35,MATCH(E1009,Services!$B$6:$B$35,0)),0)-N(H1009)))</f>
        <v/>
      </c>
      <c r="H1009" s="34" t="n"/>
      <c r="I1009" s="34" t="n">
        <v>30</v>
      </c>
      <c r="J1009" s="33" t="inlineStr">
        <is>
          <t>Card</t>
        </is>
      </c>
      <c r="K1009" s="28">
        <f>IF(OR(B1009="",F1009&lt;&gt;"Done",J1009="Package"),"",IF(N(G1009)-N(I1009)&gt;0,N(G1009)-N(I1009),""))</f>
        <v/>
      </c>
      <c r="L1009" s="32" t="n"/>
      <c r="M1009" s="1">
        <f>IF(OR(B1009="",D1009="",F1009="Cancelled"),"",B1009+N(C1009)+ROW()/10000000)</f>
        <v/>
      </c>
      <c r="N1009">
        <f>IF(AND(F1009="Done",M1009&lt;&gt;""),IF(COUNTIFS(Appointments!$D$6:$D$2005,D1009,Appointments!$F$6:$F$2005,"Done",Appointments!$M$6:$M$2005,"&gt;"&amp;M1009)=0,1,0),0)</f>
        <v/>
      </c>
      <c r="O1009">
        <f>IF(AND(F1009="Booked",M1009&lt;&gt;"",N(B1009)&gt;=TODAY()),IF(COUNTIFS(Appointments!$D$6:$D$2005,D1009,Appointments!$F$6:$F$2005,"Booked",Appointments!$B$6:$B$2005,"&gt;="&amp;TODAY(),Appointments!$M$6:$M$2005,"&lt;"&amp;M1009)=0,1,0),0)</f>
        <v/>
      </c>
    </row>
    <row r="1010">
      <c r="A1010" s="1" t="n"/>
      <c r="B1010" s="30" t="n">
        <v>46267</v>
      </c>
      <c r="C1010" s="31" t="n">
        <v>0.4027777777777778</v>
      </c>
      <c r="D1010" s="32" t="inlineStr">
        <is>
          <t>Chris Cox</t>
        </is>
      </c>
      <c r="E1010" s="32" t="inlineStr">
        <is>
          <t>Men's haircut</t>
        </is>
      </c>
      <c r="F1010" s="33" t="inlineStr">
        <is>
          <t>Done</t>
        </is>
      </c>
      <c r="G1010" s="27">
        <f>IF(E1010="","",MAX(0,IFERROR(INDEX(Services!$C$6:$C$35,MATCH(E1010,Services!$B$6:$B$35,0)),0)-N(H1010)))</f>
        <v/>
      </c>
      <c r="H1010" s="34" t="n">
        <v>10</v>
      </c>
      <c r="I1010" s="34" t="n">
        <v>20</v>
      </c>
      <c r="J1010" s="33" t="inlineStr">
        <is>
          <t>Card</t>
        </is>
      </c>
      <c r="K1010" s="28">
        <f>IF(OR(B1010="",F1010&lt;&gt;"Done",J1010="Package"),"",IF(N(G1010)-N(I1010)&gt;0,N(G1010)-N(I1010),""))</f>
        <v/>
      </c>
      <c r="L1010" s="32" t="inlineStr">
        <is>
          <t>Friends and family</t>
        </is>
      </c>
      <c r="M1010" s="1">
        <f>IF(OR(B1010="",D1010="",F1010="Cancelled"),"",B1010+N(C1010)+ROW()/10000000)</f>
        <v/>
      </c>
      <c r="N1010">
        <f>IF(AND(F1010="Done",M1010&lt;&gt;""),IF(COUNTIFS(Appointments!$D$6:$D$2005,D1010,Appointments!$F$6:$F$2005,"Done",Appointments!$M$6:$M$2005,"&gt;"&amp;M1010)=0,1,0),0)</f>
        <v/>
      </c>
      <c r="O1010">
        <f>IF(AND(F1010="Booked",M1010&lt;&gt;"",N(B1010)&gt;=TODAY()),IF(COUNTIFS(Appointments!$D$6:$D$2005,D1010,Appointments!$F$6:$F$2005,"Booked",Appointments!$B$6:$B$2005,"&gt;="&amp;TODAY(),Appointments!$M$6:$M$2005,"&lt;"&amp;M1010)=0,1,0),0)</f>
        <v/>
      </c>
    </row>
    <row r="1011">
      <c r="A1011" s="1" t="n"/>
      <c r="B1011" s="30" t="n">
        <v>46267</v>
      </c>
      <c r="C1011" s="31" t="n">
        <v>0.4305555555555556</v>
      </c>
      <c r="D1011" s="32" t="inlineStr">
        <is>
          <t>Dina Baker</t>
        </is>
      </c>
      <c r="E1011" s="32" t="inlineStr">
        <is>
          <t>Colour</t>
        </is>
      </c>
      <c r="F1011" s="33" t="inlineStr">
        <is>
          <t>Done</t>
        </is>
      </c>
      <c r="G1011" s="27">
        <f>IF(E1011="","",MAX(0,IFERROR(INDEX(Services!$C$6:$C$35,MATCH(E1011,Services!$B$6:$B$35,0)),0)-N(H1011)))</f>
        <v/>
      </c>
      <c r="H1011" s="34" t="n"/>
      <c r="I1011" s="34" t="n">
        <v>95</v>
      </c>
      <c r="J1011" s="33" t="inlineStr">
        <is>
          <t>Card</t>
        </is>
      </c>
      <c r="K1011" s="28">
        <f>IF(OR(B1011="",F1011&lt;&gt;"Done",J1011="Package"),"",IF(N(G1011)-N(I1011)&gt;0,N(G1011)-N(I1011),""))</f>
        <v/>
      </c>
      <c r="L1011" s="32" t="n"/>
      <c r="M1011" s="1">
        <f>IF(OR(B1011="",D1011="",F1011="Cancelled"),"",B1011+N(C1011)+ROW()/10000000)</f>
        <v/>
      </c>
      <c r="N1011">
        <f>IF(AND(F1011="Done",M1011&lt;&gt;""),IF(COUNTIFS(Appointments!$D$6:$D$2005,D1011,Appointments!$F$6:$F$2005,"Done",Appointments!$M$6:$M$2005,"&gt;"&amp;M1011)=0,1,0),0)</f>
        <v/>
      </c>
      <c r="O1011">
        <f>IF(AND(F1011="Booked",M1011&lt;&gt;"",N(B1011)&gt;=TODAY()),IF(COUNTIFS(Appointments!$D$6:$D$2005,D1011,Appointments!$F$6:$F$2005,"Booked",Appointments!$B$6:$B$2005,"&gt;="&amp;TODAY(),Appointments!$M$6:$M$2005,"&lt;"&amp;M1011)=0,1,0),0)</f>
        <v/>
      </c>
    </row>
    <row r="1012">
      <c r="A1012" s="1" t="n"/>
      <c r="B1012" s="30" t="n">
        <v>46267</v>
      </c>
      <c r="C1012" s="31" t="n">
        <v>0.5208333333333334</v>
      </c>
      <c r="D1012" s="32" t="inlineStr">
        <is>
          <t>Holly Fox</t>
        </is>
      </c>
      <c r="E1012" s="32" t="inlineStr">
        <is>
          <t>Women's haircut</t>
        </is>
      </c>
      <c r="F1012" s="33" t="inlineStr">
        <is>
          <t>Done</t>
        </is>
      </c>
      <c r="G1012" s="27">
        <f>IF(E1012="","",MAX(0,IFERROR(INDEX(Services!$C$6:$C$35,MATCH(E1012,Services!$B$6:$B$35,0)),0)-N(H1012)))</f>
        <v/>
      </c>
      <c r="H1012" s="34" t="n"/>
      <c r="I1012" s="34" t="n">
        <v>55</v>
      </c>
      <c r="J1012" s="33" t="inlineStr">
        <is>
          <t>Card</t>
        </is>
      </c>
      <c r="K1012" s="28">
        <f>IF(OR(B1012="",F1012&lt;&gt;"Done",J1012="Package"),"",IF(N(G1012)-N(I1012)&gt;0,N(G1012)-N(I1012),""))</f>
        <v/>
      </c>
      <c r="L1012" s="32" t="n"/>
      <c r="M1012" s="1">
        <f>IF(OR(B1012="",D1012="",F1012="Cancelled"),"",B1012+N(C1012)+ROW()/10000000)</f>
        <v/>
      </c>
      <c r="N1012">
        <f>IF(AND(F1012="Done",M1012&lt;&gt;""),IF(COUNTIFS(Appointments!$D$6:$D$2005,D1012,Appointments!$F$6:$F$2005,"Done",Appointments!$M$6:$M$2005,"&gt;"&amp;M1012)=0,1,0),0)</f>
        <v/>
      </c>
      <c r="O1012">
        <f>IF(AND(F1012="Booked",M1012&lt;&gt;"",N(B1012)&gt;=TODAY()),IF(COUNTIFS(Appointments!$D$6:$D$2005,D1012,Appointments!$F$6:$F$2005,"Booked",Appointments!$B$6:$B$2005,"&gt;="&amp;TODAY(),Appointments!$M$6:$M$2005,"&lt;"&amp;M1012)=0,1,0),0)</f>
        <v/>
      </c>
    </row>
    <row r="1013">
      <c r="A1013" s="1" t="n"/>
      <c r="B1013" s="30" t="n">
        <v>46267</v>
      </c>
      <c r="C1013" s="31" t="n">
        <v>0.5694444444444444</v>
      </c>
      <c r="D1013" s="32" t="inlineStr">
        <is>
          <t>Holly Gray</t>
        </is>
      </c>
      <c r="E1013" s="32" t="inlineStr">
        <is>
          <t>Women's haircut</t>
        </is>
      </c>
      <c r="F1013" s="33" t="inlineStr">
        <is>
          <t>Done</t>
        </is>
      </c>
      <c r="G1013" s="27">
        <f>IF(E1013="","",MAX(0,IFERROR(INDEX(Services!$C$6:$C$35,MATCH(E1013,Services!$B$6:$B$35,0)),0)-N(H1013)))</f>
        <v/>
      </c>
      <c r="H1013" s="34" t="n"/>
      <c r="I1013" s="34" t="n">
        <v>55</v>
      </c>
      <c r="J1013" s="33" t="inlineStr">
        <is>
          <t>Cash</t>
        </is>
      </c>
      <c r="K1013" s="28">
        <f>IF(OR(B1013="",F1013&lt;&gt;"Done",J1013="Package"),"",IF(N(G1013)-N(I1013)&gt;0,N(G1013)-N(I1013),""))</f>
        <v/>
      </c>
      <c r="L1013" s="32" t="n"/>
      <c r="M1013" s="1">
        <f>IF(OR(B1013="",D1013="",F1013="Cancelled"),"",B1013+N(C1013)+ROW()/10000000)</f>
        <v/>
      </c>
      <c r="N1013">
        <f>IF(AND(F1013="Done",M1013&lt;&gt;""),IF(COUNTIFS(Appointments!$D$6:$D$2005,D1013,Appointments!$F$6:$F$2005,"Done",Appointments!$M$6:$M$2005,"&gt;"&amp;M1013)=0,1,0),0)</f>
        <v/>
      </c>
      <c r="O1013">
        <f>IF(AND(F1013="Booked",M1013&lt;&gt;"",N(B1013)&gt;=TODAY()),IF(COUNTIFS(Appointments!$D$6:$D$2005,D1013,Appointments!$F$6:$F$2005,"Booked",Appointments!$B$6:$B$2005,"&gt;="&amp;TODAY(),Appointments!$M$6:$M$2005,"&lt;"&amp;M1013)=0,1,0),0)</f>
        <v/>
      </c>
    </row>
    <row r="1014">
      <c r="A1014" s="1" t="n"/>
      <c r="B1014" s="30" t="n">
        <v>46267</v>
      </c>
      <c r="C1014" s="31" t="n">
        <v>0.6180555555555556</v>
      </c>
      <c r="D1014" s="32" t="inlineStr">
        <is>
          <t>Tom Ellis</t>
        </is>
      </c>
      <c r="E1014" s="32" t="inlineStr">
        <is>
          <t>Men's haircut</t>
        </is>
      </c>
      <c r="F1014" s="33" t="inlineStr">
        <is>
          <t>Done</t>
        </is>
      </c>
      <c r="G1014" s="27">
        <f>IF(E1014="","",MAX(0,IFERROR(INDEX(Services!$C$6:$C$35,MATCH(E1014,Services!$B$6:$B$35,0)),0)-N(H1014)))</f>
        <v/>
      </c>
      <c r="H1014" s="34" t="n"/>
      <c r="I1014" s="34" t="n">
        <v>30</v>
      </c>
      <c r="J1014" s="33" t="inlineStr">
        <is>
          <t>Card</t>
        </is>
      </c>
      <c r="K1014" s="28">
        <f>IF(OR(B1014="",F1014&lt;&gt;"Done",J1014="Package"),"",IF(N(G1014)-N(I1014)&gt;0,N(G1014)-N(I1014),""))</f>
        <v/>
      </c>
      <c r="L1014" s="32" t="n"/>
      <c r="M1014" s="1">
        <f>IF(OR(B1014="",D1014="",F1014="Cancelled"),"",B1014+N(C1014)+ROW()/10000000)</f>
        <v/>
      </c>
      <c r="N1014">
        <f>IF(AND(F1014="Done",M1014&lt;&gt;""),IF(COUNTIFS(Appointments!$D$6:$D$2005,D1014,Appointments!$F$6:$F$2005,"Done",Appointments!$M$6:$M$2005,"&gt;"&amp;M1014)=0,1,0),0)</f>
        <v/>
      </c>
      <c r="O1014">
        <f>IF(AND(F1014="Booked",M1014&lt;&gt;"",N(B1014)&gt;=TODAY()),IF(COUNTIFS(Appointments!$D$6:$D$2005,D1014,Appointments!$F$6:$F$2005,"Booked",Appointments!$B$6:$B$2005,"&gt;="&amp;TODAY(),Appointments!$M$6:$M$2005,"&lt;"&amp;M1014)=0,1,0),0)</f>
        <v/>
      </c>
    </row>
    <row r="1015">
      <c r="A1015" s="1" t="n"/>
      <c r="B1015" s="30" t="n">
        <v>46267</v>
      </c>
      <c r="C1015" s="31" t="n">
        <v>0.6458333333333334</v>
      </c>
      <c r="D1015" s="32" t="inlineStr">
        <is>
          <t>Wendy Scott</t>
        </is>
      </c>
      <c r="E1015" s="32" t="inlineStr">
        <is>
          <t>Toner</t>
        </is>
      </c>
      <c r="F1015" s="33" t="inlineStr">
        <is>
          <t>Done</t>
        </is>
      </c>
      <c r="G1015" s="27">
        <f>IF(E1015="","",MAX(0,IFERROR(INDEX(Services!$C$6:$C$35,MATCH(E1015,Services!$B$6:$B$35,0)),0)-N(H1015)))</f>
        <v/>
      </c>
      <c r="H1015" s="34" t="n"/>
      <c r="I1015" s="34" t="n"/>
      <c r="J1015" s="33" t="n"/>
      <c r="K1015" s="28">
        <f>IF(OR(B1015="",F1015&lt;&gt;"Done",J1015="Package"),"",IF(N(G1015)-N(I1015)&gt;0,N(G1015)-N(I1015),""))</f>
        <v/>
      </c>
      <c r="L1015" s="32" t="inlineStr">
        <is>
          <t>Forgot her card</t>
        </is>
      </c>
      <c r="M1015" s="1">
        <f>IF(OR(B1015="",D1015="",F1015="Cancelled"),"",B1015+N(C1015)+ROW()/10000000)</f>
        <v/>
      </c>
      <c r="N1015">
        <f>IF(AND(F1015="Done",M1015&lt;&gt;""),IF(COUNTIFS(Appointments!$D$6:$D$2005,D1015,Appointments!$F$6:$F$2005,"Done",Appointments!$M$6:$M$2005,"&gt;"&amp;M1015)=0,1,0),0)</f>
        <v/>
      </c>
      <c r="O1015">
        <f>IF(AND(F1015="Booked",M1015&lt;&gt;"",N(B1015)&gt;=TODAY()),IF(COUNTIFS(Appointments!$D$6:$D$2005,D1015,Appointments!$F$6:$F$2005,"Booked",Appointments!$B$6:$B$2005,"&gt;="&amp;TODAY(),Appointments!$M$6:$M$2005,"&lt;"&amp;M1015)=0,1,0),0)</f>
        <v/>
      </c>
    </row>
    <row r="1016">
      <c r="A1016" s="1" t="n"/>
      <c r="B1016" s="30" t="n">
        <v>46268</v>
      </c>
      <c r="C1016" s="31" t="n">
        <v>0.375</v>
      </c>
      <c r="D1016" s="32" t="inlineStr">
        <is>
          <t>Amy Hall</t>
        </is>
      </c>
      <c r="E1016" s="32" t="inlineStr">
        <is>
          <t>Blow dry</t>
        </is>
      </c>
      <c r="F1016" s="33" t="inlineStr">
        <is>
          <t>Done</t>
        </is>
      </c>
      <c r="G1016" s="27">
        <f>IF(E1016="","",MAX(0,IFERROR(INDEX(Services!$C$6:$C$35,MATCH(E1016,Services!$B$6:$B$35,0)),0)-N(H1016)))</f>
        <v/>
      </c>
      <c r="H1016" s="34" t="n"/>
      <c r="I1016" s="34" t="n">
        <v>35</v>
      </c>
      <c r="J1016" s="33" t="inlineStr">
        <is>
          <t>Cash</t>
        </is>
      </c>
      <c r="K1016" s="28">
        <f>IF(OR(B1016="",F1016&lt;&gt;"Done",J1016="Package"),"",IF(N(G1016)-N(I1016)&gt;0,N(G1016)-N(I1016),""))</f>
        <v/>
      </c>
      <c r="L1016" s="32" t="n"/>
      <c r="M1016" s="1">
        <f>IF(OR(B1016="",D1016="",F1016="Cancelled"),"",B1016+N(C1016)+ROW()/10000000)</f>
        <v/>
      </c>
      <c r="N1016">
        <f>IF(AND(F1016="Done",M1016&lt;&gt;""),IF(COUNTIFS(Appointments!$D$6:$D$2005,D1016,Appointments!$F$6:$F$2005,"Done",Appointments!$M$6:$M$2005,"&gt;"&amp;M1016)=0,1,0),0)</f>
        <v/>
      </c>
      <c r="O1016">
        <f>IF(AND(F1016="Booked",M1016&lt;&gt;"",N(B1016)&gt;=TODAY()),IF(COUNTIFS(Appointments!$D$6:$D$2005,D1016,Appointments!$F$6:$F$2005,"Booked",Appointments!$B$6:$B$2005,"&gt;="&amp;TODAY(),Appointments!$M$6:$M$2005,"&lt;"&amp;M1016)=0,1,0),0)</f>
        <v/>
      </c>
    </row>
    <row r="1017">
      <c r="A1017" s="1" t="n"/>
      <c r="B1017" s="30" t="n">
        <v>46268</v>
      </c>
      <c r="C1017" s="31" t="n">
        <v>0.4131944444444444</v>
      </c>
      <c r="D1017" s="32" t="inlineStr">
        <is>
          <t>Finn Davies</t>
        </is>
      </c>
      <c r="E1017" s="32" t="inlineStr">
        <is>
          <t>Men's haircut</t>
        </is>
      </c>
      <c r="F1017" s="33" t="inlineStr">
        <is>
          <t>Done</t>
        </is>
      </c>
      <c r="G1017" s="27">
        <f>IF(E1017="","",MAX(0,IFERROR(INDEX(Services!$C$6:$C$35,MATCH(E1017,Services!$B$6:$B$35,0)),0)-N(H1017)))</f>
        <v/>
      </c>
      <c r="H1017" s="34" t="n"/>
      <c r="I1017" s="34" t="n">
        <v>30</v>
      </c>
      <c r="J1017" s="33" t="inlineStr">
        <is>
          <t>Cash</t>
        </is>
      </c>
      <c r="K1017" s="28">
        <f>IF(OR(B1017="",F1017&lt;&gt;"Done",J1017="Package"),"",IF(N(G1017)-N(I1017)&gt;0,N(G1017)-N(I1017),""))</f>
        <v/>
      </c>
      <c r="L1017" s="32" t="n"/>
      <c r="M1017" s="1">
        <f>IF(OR(B1017="",D1017="",F1017="Cancelled"),"",B1017+N(C1017)+ROW()/10000000)</f>
        <v/>
      </c>
      <c r="N1017">
        <f>IF(AND(F1017="Done",M1017&lt;&gt;""),IF(COUNTIFS(Appointments!$D$6:$D$2005,D1017,Appointments!$F$6:$F$2005,"Done",Appointments!$M$6:$M$2005,"&gt;"&amp;M1017)=0,1,0),0)</f>
        <v/>
      </c>
      <c r="O1017">
        <f>IF(AND(F1017="Booked",M1017&lt;&gt;"",N(B1017)&gt;=TODAY()),IF(COUNTIFS(Appointments!$D$6:$D$2005,D1017,Appointments!$F$6:$F$2005,"Booked",Appointments!$B$6:$B$2005,"&gt;="&amp;TODAY(),Appointments!$M$6:$M$2005,"&lt;"&amp;M1017)=0,1,0),0)</f>
        <v/>
      </c>
    </row>
    <row r="1018">
      <c r="A1018" s="1" t="n"/>
      <c r="B1018" s="30" t="n">
        <v>46268</v>
      </c>
      <c r="C1018" s="31" t="n">
        <v>0.4409722222222222</v>
      </c>
      <c r="D1018" s="32" t="inlineStr">
        <is>
          <t>Ian Hall</t>
        </is>
      </c>
      <c r="E1018" s="32" t="inlineStr">
        <is>
          <t>Men's haircut</t>
        </is>
      </c>
      <c r="F1018" s="33" t="inlineStr">
        <is>
          <t>Done</t>
        </is>
      </c>
      <c r="G1018" s="27">
        <f>IF(E1018="","",MAX(0,IFERROR(INDEX(Services!$C$6:$C$35,MATCH(E1018,Services!$B$6:$B$35,0)),0)-N(H1018)))</f>
        <v/>
      </c>
      <c r="H1018" s="34" t="n"/>
      <c r="I1018" s="34" t="n">
        <v>30</v>
      </c>
      <c r="J1018" s="33" t="inlineStr">
        <is>
          <t>Card</t>
        </is>
      </c>
      <c r="K1018" s="28">
        <f>IF(OR(B1018="",F1018&lt;&gt;"Done",J1018="Package"),"",IF(N(G1018)-N(I1018)&gt;0,N(G1018)-N(I1018),""))</f>
        <v/>
      </c>
      <c r="L1018" s="32" t="n"/>
      <c r="M1018" s="1">
        <f>IF(OR(B1018="",D1018="",F1018="Cancelled"),"",B1018+N(C1018)+ROW()/10000000)</f>
        <v/>
      </c>
      <c r="N1018">
        <f>IF(AND(F1018="Done",M1018&lt;&gt;""),IF(COUNTIFS(Appointments!$D$6:$D$2005,D1018,Appointments!$F$6:$F$2005,"Done",Appointments!$M$6:$M$2005,"&gt;"&amp;M1018)=0,1,0),0)</f>
        <v/>
      </c>
      <c r="O1018">
        <f>IF(AND(F1018="Booked",M1018&lt;&gt;"",N(B1018)&gt;=TODAY()),IF(COUNTIFS(Appointments!$D$6:$D$2005,D1018,Appointments!$F$6:$F$2005,"Booked",Appointments!$B$6:$B$2005,"&gt;="&amp;TODAY(),Appointments!$M$6:$M$2005,"&lt;"&amp;M1018)=0,1,0),0)</f>
        <v/>
      </c>
    </row>
    <row r="1019">
      <c r="A1019" s="1" t="n"/>
      <c r="B1019" s="30" t="n">
        <v>46268</v>
      </c>
      <c r="C1019" s="31" t="n">
        <v>0.46875</v>
      </c>
      <c r="D1019" s="32" t="inlineStr">
        <is>
          <t>Jade Davies</t>
        </is>
      </c>
      <c r="E1019" s="32" t="inlineStr">
        <is>
          <t>Treatment</t>
        </is>
      </c>
      <c r="F1019" s="33" t="inlineStr">
        <is>
          <t>Done</t>
        </is>
      </c>
      <c r="G1019" s="27">
        <f>IF(E1019="","",MAX(0,IFERROR(INDEX(Services!$C$6:$C$35,MATCH(E1019,Services!$B$6:$B$35,0)),0)-N(H1019)))</f>
        <v/>
      </c>
      <c r="H1019" s="34" t="n"/>
      <c r="I1019" s="34" t="n">
        <v>30</v>
      </c>
      <c r="J1019" s="33" t="inlineStr">
        <is>
          <t>Card</t>
        </is>
      </c>
      <c r="K1019" s="28">
        <f>IF(OR(B1019="",F1019&lt;&gt;"Done",J1019="Package"),"",IF(N(G1019)-N(I1019)&gt;0,N(G1019)-N(I1019),""))</f>
        <v/>
      </c>
      <c r="L1019" s="32" t="n"/>
      <c r="M1019" s="1">
        <f>IF(OR(B1019="",D1019="",F1019="Cancelled"),"",B1019+N(C1019)+ROW()/10000000)</f>
        <v/>
      </c>
      <c r="N1019">
        <f>IF(AND(F1019="Done",M1019&lt;&gt;""),IF(COUNTIFS(Appointments!$D$6:$D$2005,D1019,Appointments!$F$6:$F$2005,"Done",Appointments!$M$6:$M$2005,"&gt;"&amp;M1019)=0,1,0),0)</f>
        <v/>
      </c>
      <c r="O1019">
        <f>IF(AND(F1019="Booked",M1019&lt;&gt;"",N(B1019)&gt;=TODAY()),IF(COUNTIFS(Appointments!$D$6:$D$2005,D1019,Appointments!$F$6:$F$2005,"Booked",Appointments!$B$6:$B$2005,"&gt;="&amp;TODAY(),Appointments!$M$6:$M$2005,"&lt;"&amp;M1019)=0,1,0),0)</f>
        <v/>
      </c>
    </row>
    <row r="1020">
      <c r="A1020" s="1" t="n"/>
      <c r="B1020" s="30" t="n">
        <v>46268</v>
      </c>
      <c r="C1020" s="31" t="n">
        <v>0.4965277777777778</v>
      </c>
      <c r="D1020" s="32" t="inlineStr">
        <is>
          <t>Lily Young</t>
        </is>
      </c>
      <c r="E1020" s="32" t="inlineStr">
        <is>
          <t>Women's haircut</t>
        </is>
      </c>
      <c r="F1020" s="33" t="inlineStr">
        <is>
          <t>Done</t>
        </is>
      </c>
      <c r="G1020" s="27">
        <f>IF(E1020="","",MAX(0,IFERROR(INDEX(Services!$C$6:$C$35,MATCH(E1020,Services!$B$6:$B$35,0)),0)-N(H1020)))</f>
        <v/>
      </c>
      <c r="H1020" s="34" t="n"/>
      <c r="I1020" s="34" t="n">
        <v>55</v>
      </c>
      <c r="J1020" s="33" t="inlineStr">
        <is>
          <t>Cash</t>
        </is>
      </c>
      <c r="K1020" s="28">
        <f>IF(OR(B1020="",F1020&lt;&gt;"Done",J1020="Package"),"",IF(N(G1020)-N(I1020)&gt;0,N(G1020)-N(I1020),""))</f>
        <v/>
      </c>
      <c r="L1020" s="32" t="n"/>
      <c r="M1020" s="1">
        <f>IF(OR(B1020="",D1020="",F1020="Cancelled"),"",B1020+N(C1020)+ROW()/10000000)</f>
        <v/>
      </c>
      <c r="N1020">
        <f>IF(AND(F1020="Done",M1020&lt;&gt;""),IF(COUNTIFS(Appointments!$D$6:$D$2005,D1020,Appointments!$F$6:$F$2005,"Done",Appointments!$M$6:$M$2005,"&gt;"&amp;M1020)=0,1,0),0)</f>
        <v/>
      </c>
      <c r="O1020">
        <f>IF(AND(F1020="Booked",M1020&lt;&gt;"",N(B1020)&gt;=TODAY()),IF(COUNTIFS(Appointments!$D$6:$D$2005,D1020,Appointments!$F$6:$F$2005,"Booked",Appointments!$B$6:$B$2005,"&gt;="&amp;TODAY(),Appointments!$M$6:$M$2005,"&lt;"&amp;M1020)=0,1,0),0)</f>
        <v/>
      </c>
    </row>
    <row r="1021">
      <c r="A1021" s="1" t="n"/>
      <c r="B1021" s="30" t="n">
        <v>46268</v>
      </c>
      <c r="C1021" s="31" t="n">
        <v>0.5451388888888888</v>
      </c>
      <c r="D1021" s="32" t="inlineStr">
        <is>
          <t>Luke Lewis</t>
        </is>
      </c>
      <c r="E1021" s="32" t="inlineStr">
        <is>
          <t>Men's haircut</t>
        </is>
      </c>
      <c r="F1021" s="33" t="inlineStr">
        <is>
          <t>No-show</t>
        </is>
      </c>
      <c r="G1021" s="27">
        <f>IF(E1021="","",MAX(0,IFERROR(INDEX(Services!$C$6:$C$35,MATCH(E1021,Services!$B$6:$B$35,0)),0)-N(H1021)))</f>
        <v/>
      </c>
      <c r="H1021" s="34" t="n"/>
      <c r="I1021" s="34" t="n"/>
      <c r="J1021" s="33" t="n"/>
      <c r="K1021" s="28">
        <f>IF(OR(B1021="",F1021&lt;&gt;"Done",J1021="Package"),"",IF(N(G1021)-N(I1021)&gt;0,N(G1021)-N(I1021),""))</f>
        <v/>
      </c>
      <c r="L1021" s="32" t="n"/>
      <c r="M1021" s="1">
        <f>IF(OR(B1021="",D1021="",F1021="Cancelled"),"",B1021+N(C1021)+ROW()/10000000)</f>
        <v/>
      </c>
      <c r="N1021">
        <f>IF(AND(F1021="Done",M1021&lt;&gt;""),IF(COUNTIFS(Appointments!$D$6:$D$2005,D1021,Appointments!$F$6:$F$2005,"Done",Appointments!$M$6:$M$2005,"&gt;"&amp;M1021)=0,1,0),0)</f>
        <v/>
      </c>
      <c r="O1021">
        <f>IF(AND(F1021="Booked",M1021&lt;&gt;"",N(B1021)&gt;=TODAY()),IF(COUNTIFS(Appointments!$D$6:$D$2005,D1021,Appointments!$F$6:$F$2005,"Booked",Appointments!$B$6:$B$2005,"&gt;="&amp;TODAY(),Appointments!$M$6:$M$2005,"&lt;"&amp;M1021)=0,1,0),0)</f>
        <v/>
      </c>
    </row>
    <row r="1022">
      <c r="A1022" s="1" t="n"/>
      <c r="B1022" s="30" t="n">
        <v>46268</v>
      </c>
      <c r="C1022" s="31" t="n">
        <v>0.5729166666666666</v>
      </c>
      <c r="D1022" s="32" t="inlineStr">
        <is>
          <t>Ruby Shaw</t>
        </is>
      </c>
      <c r="E1022" s="32" t="inlineStr">
        <is>
          <t>Blow dry</t>
        </is>
      </c>
      <c r="F1022" s="33" t="inlineStr">
        <is>
          <t>Done</t>
        </is>
      </c>
      <c r="G1022" s="27">
        <f>IF(E1022="","",MAX(0,IFERROR(INDEX(Services!$C$6:$C$35,MATCH(E1022,Services!$B$6:$B$35,0)),0)-N(H1022)))</f>
        <v/>
      </c>
      <c r="H1022" s="34" t="n"/>
      <c r="I1022" s="34" t="n">
        <v>35</v>
      </c>
      <c r="J1022" s="33" t="inlineStr">
        <is>
          <t>Card</t>
        </is>
      </c>
      <c r="K1022" s="28">
        <f>IF(OR(B1022="",F1022&lt;&gt;"Done",J1022="Package"),"",IF(N(G1022)-N(I1022)&gt;0,N(G1022)-N(I1022),""))</f>
        <v/>
      </c>
      <c r="L1022" s="32" t="n"/>
      <c r="M1022" s="1">
        <f>IF(OR(B1022="",D1022="",F1022="Cancelled"),"",B1022+N(C1022)+ROW()/10000000)</f>
        <v/>
      </c>
      <c r="N1022">
        <f>IF(AND(F1022="Done",M1022&lt;&gt;""),IF(COUNTIFS(Appointments!$D$6:$D$2005,D1022,Appointments!$F$6:$F$2005,"Done",Appointments!$M$6:$M$2005,"&gt;"&amp;M1022)=0,1,0),0)</f>
        <v/>
      </c>
      <c r="O1022">
        <f>IF(AND(F1022="Booked",M1022&lt;&gt;"",N(B1022)&gt;=TODAY()),IF(COUNTIFS(Appointments!$D$6:$D$2005,D1022,Appointments!$F$6:$F$2005,"Booked",Appointments!$B$6:$B$2005,"&gt;="&amp;TODAY(),Appointments!$M$6:$M$2005,"&lt;"&amp;M1022)=0,1,0),0)</f>
        <v/>
      </c>
    </row>
    <row r="1023">
      <c r="A1023" s="1" t="n"/>
      <c r="B1023" s="30" t="n">
        <v>46269</v>
      </c>
      <c r="C1023" s="31" t="n">
        <v>0.375</v>
      </c>
      <c r="D1023" s="32" t="inlineStr">
        <is>
          <t>Beth Reid</t>
        </is>
      </c>
      <c r="E1023" s="32" t="inlineStr">
        <is>
          <t>Highlights</t>
        </is>
      </c>
      <c r="F1023" s="33" t="inlineStr">
        <is>
          <t>Done</t>
        </is>
      </c>
      <c r="G1023" s="27">
        <f>IF(E1023="","",MAX(0,IFERROR(INDEX(Services!$C$6:$C$35,MATCH(E1023,Services!$B$6:$B$35,0)),0)-N(H1023)))</f>
        <v/>
      </c>
      <c r="H1023" s="34" t="n"/>
      <c r="I1023" s="34" t="n">
        <v>140</v>
      </c>
      <c r="J1023" s="33" t="inlineStr">
        <is>
          <t>Card</t>
        </is>
      </c>
      <c r="K1023" s="28">
        <f>IF(OR(B1023="",F1023&lt;&gt;"Done",J1023="Package"),"",IF(N(G1023)-N(I1023)&gt;0,N(G1023)-N(I1023),""))</f>
        <v/>
      </c>
      <c r="L1023" s="32" t="n"/>
      <c r="M1023" s="1">
        <f>IF(OR(B1023="",D1023="",F1023="Cancelled"),"",B1023+N(C1023)+ROW()/10000000)</f>
        <v/>
      </c>
      <c r="N1023">
        <f>IF(AND(F1023="Done",M1023&lt;&gt;""),IF(COUNTIFS(Appointments!$D$6:$D$2005,D1023,Appointments!$F$6:$F$2005,"Done",Appointments!$M$6:$M$2005,"&gt;"&amp;M1023)=0,1,0),0)</f>
        <v/>
      </c>
      <c r="O1023">
        <f>IF(AND(F1023="Booked",M1023&lt;&gt;"",N(B1023)&gt;=TODAY()),IF(COUNTIFS(Appointments!$D$6:$D$2005,D1023,Appointments!$F$6:$F$2005,"Booked",Appointments!$B$6:$B$2005,"&gt;="&amp;TODAY(),Appointments!$M$6:$M$2005,"&lt;"&amp;M1023)=0,1,0),0)</f>
        <v/>
      </c>
    </row>
    <row r="1024">
      <c r="A1024" s="1" t="n"/>
      <c r="B1024" s="30" t="n">
        <v>46269</v>
      </c>
      <c r="C1024" s="31" t="n">
        <v>0.4861111111111111</v>
      </c>
      <c r="D1024" s="32" t="inlineStr">
        <is>
          <t>Eli Hughes</t>
        </is>
      </c>
      <c r="E1024" s="32" t="inlineStr">
        <is>
          <t>Men's haircut</t>
        </is>
      </c>
      <c r="F1024" s="33" t="inlineStr">
        <is>
          <t>Done</t>
        </is>
      </c>
      <c r="G1024" s="27">
        <f>IF(E1024="","",MAX(0,IFERROR(INDEX(Services!$C$6:$C$35,MATCH(E1024,Services!$B$6:$B$35,0)),0)-N(H1024)))</f>
        <v/>
      </c>
      <c r="H1024" s="34" t="n"/>
      <c r="I1024" s="34" t="n">
        <v>30</v>
      </c>
      <c r="J1024" s="33" t="inlineStr">
        <is>
          <t>Card</t>
        </is>
      </c>
      <c r="K1024" s="28">
        <f>IF(OR(B1024="",F1024&lt;&gt;"Done",J1024="Package"),"",IF(N(G1024)-N(I1024)&gt;0,N(G1024)-N(I1024),""))</f>
        <v/>
      </c>
      <c r="L1024" s="32" t="n"/>
      <c r="M1024" s="1">
        <f>IF(OR(B1024="",D1024="",F1024="Cancelled"),"",B1024+N(C1024)+ROW()/10000000)</f>
        <v/>
      </c>
      <c r="N1024">
        <f>IF(AND(F1024="Done",M1024&lt;&gt;""),IF(COUNTIFS(Appointments!$D$6:$D$2005,D1024,Appointments!$F$6:$F$2005,"Done",Appointments!$M$6:$M$2005,"&gt;"&amp;M1024)=0,1,0),0)</f>
        <v/>
      </c>
      <c r="O1024">
        <f>IF(AND(F1024="Booked",M1024&lt;&gt;"",N(B1024)&gt;=TODAY()),IF(COUNTIFS(Appointments!$D$6:$D$2005,D1024,Appointments!$F$6:$F$2005,"Booked",Appointments!$B$6:$B$2005,"&gt;="&amp;TODAY(),Appointments!$M$6:$M$2005,"&lt;"&amp;M1024)=0,1,0),0)</f>
        <v/>
      </c>
    </row>
    <row r="1025">
      <c r="A1025" s="1" t="n"/>
      <c r="B1025" s="30" t="n">
        <v>46269</v>
      </c>
      <c r="C1025" s="31" t="n">
        <v>0.5138888888888888</v>
      </c>
      <c r="D1025" s="32" t="inlineStr">
        <is>
          <t>Finn Gray</t>
        </is>
      </c>
      <c r="E1025" s="32" t="inlineStr">
        <is>
          <t>Men's haircut</t>
        </is>
      </c>
      <c r="F1025" s="33" t="inlineStr">
        <is>
          <t>Done</t>
        </is>
      </c>
      <c r="G1025" s="27">
        <f>IF(E1025="","",MAX(0,IFERROR(INDEX(Services!$C$6:$C$35,MATCH(E1025,Services!$B$6:$B$35,0)),0)-N(H1025)))</f>
        <v/>
      </c>
      <c r="H1025" s="34" t="n"/>
      <c r="I1025" s="34" t="n">
        <v>30</v>
      </c>
      <c r="J1025" s="33" t="inlineStr">
        <is>
          <t>Card</t>
        </is>
      </c>
      <c r="K1025" s="28">
        <f>IF(OR(B1025="",F1025&lt;&gt;"Done",J1025="Package"),"",IF(N(G1025)-N(I1025)&gt;0,N(G1025)-N(I1025),""))</f>
        <v/>
      </c>
      <c r="L1025" s="32" t="n"/>
      <c r="M1025" s="1">
        <f>IF(OR(B1025="",D1025="",F1025="Cancelled"),"",B1025+N(C1025)+ROW()/10000000)</f>
        <v/>
      </c>
      <c r="N1025">
        <f>IF(AND(F1025="Done",M1025&lt;&gt;""),IF(COUNTIFS(Appointments!$D$6:$D$2005,D1025,Appointments!$F$6:$F$2005,"Done",Appointments!$M$6:$M$2005,"&gt;"&amp;M1025)=0,1,0),0)</f>
        <v/>
      </c>
      <c r="O1025">
        <f>IF(AND(F1025="Booked",M1025&lt;&gt;"",N(B1025)&gt;=TODAY()),IF(COUNTIFS(Appointments!$D$6:$D$2005,D1025,Appointments!$F$6:$F$2005,"Booked",Appointments!$B$6:$B$2005,"&gt;="&amp;TODAY(),Appointments!$M$6:$M$2005,"&lt;"&amp;M1025)=0,1,0),0)</f>
        <v/>
      </c>
    </row>
    <row r="1026">
      <c r="A1026" s="1" t="n"/>
      <c r="B1026" s="30" t="n">
        <v>46269</v>
      </c>
      <c r="C1026" s="31" t="n">
        <v>0.5416666666666666</v>
      </c>
      <c r="D1026" s="32" t="inlineStr">
        <is>
          <t>Luke Walsh</t>
        </is>
      </c>
      <c r="E1026" s="32" t="inlineStr">
        <is>
          <t>Men's haircut</t>
        </is>
      </c>
      <c r="F1026" s="33" t="inlineStr">
        <is>
          <t>Done</t>
        </is>
      </c>
      <c r="G1026" s="27">
        <f>IF(E1026="","",MAX(0,IFERROR(INDEX(Services!$C$6:$C$35,MATCH(E1026,Services!$B$6:$B$35,0)),0)-N(H1026)))</f>
        <v/>
      </c>
      <c r="H1026" s="34" t="n"/>
      <c r="I1026" s="34" t="n">
        <v>30</v>
      </c>
      <c r="J1026" s="33" t="inlineStr">
        <is>
          <t>Card</t>
        </is>
      </c>
      <c r="K1026" s="28">
        <f>IF(OR(B1026="",F1026&lt;&gt;"Done",J1026="Package"),"",IF(N(G1026)-N(I1026)&gt;0,N(G1026)-N(I1026),""))</f>
        <v/>
      </c>
      <c r="L1026" s="32" t="n"/>
      <c r="M1026" s="1">
        <f>IF(OR(B1026="",D1026="",F1026="Cancelled"),"",B1026+N(C1026)+ROW()/10000000)</f>
        <v/>
      </c>
      <c r="N1026">
        <f>IF(AND(F1026="Done",M1026&lt;&gt;""),IF(COUNTIFS(Appointments!$D$6:$D$2005,D1026,Appointments!$F$6:$F$2005,"Done",Appointments!$M$6:$M$2005,"&gt;"&amp;M1026)=0,1,0),0)</f>
        <v/>
      </c>
      <c r="O1026">
        <f>IF(AND(F1026="Booked",M1026&lt;&gt;"",N(B1026)&gt;=TODAY()),IF(COUNTIFS(Appointments!$D$6:$D$2005,D1026,Appointments!$F$6:$F$2005,"Booked",Appointments!$B$6:$B$2005,"&gt;="&amp;TODAY(),Appointments!$M$6:$M$2005,"&lt;"&amp;M1026)=0,1,0),0)</f>
        <v/>
      </c>
    </row>
    <row r="1027">
      <c r="A1027" s="1" t="n"/>
      <c r="B1027" s="30" t="n">
        <v>46269</v>
      </c>
      <c r="C1027" s="31" t="n">
        <v>0.5694444444444444</v>
      </c>
      <c r="D1027" s="32" t="inlineStr">
        <is>
          <t>Tina Baker</t>
        </is>
      </c>
      <c r="E1027" s="32" t="inlineStr">
        <is>
          <t>Colour</t>
        </is>
      </c>
      <c r="F1027" s="33" t="inlineStr">
        <is>
          <t>Done</t>
        </is>
      </c>
      <c r="G1027" s="27">
        <f>IF(E1027="","",MAX(0,IFERROR(INDEX(Services!$C$6:$C$35,MATCH(E1027,Services!$B$6:$B$35,0)),0)-N(H1027)))</f>
        <v/>
      </c>
      <c r="H1027" s="34" t="n"/>
      <c r="I1027" s="34" t="n">
        <v>95</v>
      </c>
      <c r="J1027" s="33" t="inlineStr">
        <is>
          <t>Transfer</t>
        </is>
      </c>
      <c r="K1027" s="28">
        <f>IF(OR(B1027="",F1027&lt;&gt;"Done",J1027="Package"),"",IF(N(G1027)-N(I1027)&gt;0,N(G1027)-N(I1027),""))</f>
        <v/>
      </c>
      <c r="L1027" s="32" t="n"/>
      <c r="M1027" s="1">
        <f>IF(OR(B1027="",D1027="",F1027="Cancelled"),"",B1027+N(C1027)+ROW()/10000000)</f>
        <v/>
      </c>
      <c r="N1027">
        <f>IF(AND(F1027="Done",M1027&lt;&gt;""),IF(COUNTIFS(Appointments!$D$6:$D$2005,D1027,Appointments!$F$6:$F$2005,"Done",Appointments!$M$6:$M$2005,"&gt;"&amp;M1027)=0,1,0),0)</f>
        <v/>
      </c>
      <c r="O1027">
        <f>IF(AND(F1027="Booked",M1027&lt;&gt;"",N(B1027)&gt;=TODAY()),IF(COUNTIFS(Appointments!$D$6:$D$2005,D1027,Appointments!$F$6:$F$2005,"Booked",Appointments!$B$6:$B$2005,"&gt;="&amp;TODAY(),Appointments!$M$6:$M$2005,"&lt;"&amp;M1027)=0,1,0),0)</f>
        <v/>
      </c>
    </row>
    <row r="1028">
      <c r="A1028" s="1" t="n"/>
      <c r="B1028" s="30" t="n">
        <v>46269</v>
      </c>
      <c r="C1028" s="31" t="n">
        <v>0.6597222222222222</v>
      </c>
      <c r="D1028" s="32" t="inlineStr">
        <is>
          <t>Tina Cook</t>
        </is>
      </c>
      <c r="E1028" s="32" t="inlineStr">
        <is>
          <t>Blow dry</t>
        </is>
      </c>
      <c r="F1028" s="33" t="inlineStr">
        <is>
          <t>Done</t>
        </is>
      </c>
      <c r="G1028" s="27">
        <f>IF(E1028="","",MAX(0,IFERROR(INDEX(Services!$C$6:$C$35,MATCH(E1028,Services!$B$6:$B$35,0)),0)-N(H1028)))</f>
        <v/>
      </c>
      <c r="H1028" s="34" t="n"/>
      <c r="I1028" s="34" t="n">
        <v>35</v>
      </c>
      <c r="J1028" s="33" t="inlineStr">
        <is>
          <t>Card</t>
        </is>
      </c>
      <c r="K1028" s="28">
        <f>IF(OR(B1028="",F1028&lt;&gt;"Done",J1028="Package"),"",IF(N(G1028)-N(I1028)&gt;0,N(G1028)-N(I1028),""))</f>
        <v/>
      </c>
      <c r="L1028" s="32" t="n"/>
      <c r="M1028" s="1">
        <f>IF(OR(B1028="",D1028="",F1028="Cancelled"),"",B1028+N(C1028)+ROW()/10000000)</f>
        <v/>
      </c>
      <c r="N1028">
        <f>IF(AND(F1028="Done",M1028&lt;&gt;""),IF(COUNTIFS(Appointments!$D$6:$D$2005,D1028,Appointments!$F$6:$F$2005,"Done",Appointments!$M$6:$M$2005,"&gt;"&amp;M1028)=0,1,0),0)</f>
        <v/>
      </c>
      <c r="O1028">
        <f>IF(AND(F1028="Booked",M1028&lt;&gt;"",N(B1028)&gt;=TODAY()),IF(COUNTIFS(Appointments!$D$6:$D$2005,D1028,Appointments!$F$6:$F$2005,"Booked",Appointments!$B$6:$B$2005,"&gt;="&amp;TODAY(),Appointments!$M$6:$M$2005,"&lt;"&amp;M1028)=0,1,0),0)</f>
        <v/>
      </c>
    </row>
    <row r="1029">
      <c r="A1029" s="1" t="n"/>
      <c r="B1029" s="30" t="n">
        <v>46270</v>
      </c>
      <c r="C1029" s="31" t="n">
        <v>0.375</v>
      </c>
      <c r="D1029" s="32" t="inlineStr">
        <is>
          <t>Dan Owens</t>
        </is>
      </c>
      <c r="E1029" s="32" t="inlineStr">
        <is>
          <t>Men's haircut</t>
        </is>
      </c>
      <c r="F1029" s="33" t="inlineStr">
        <is>
          <t>Done</t>
        </is>
      </c>
      <c r="G1029" s="27">
        <f>IF(E1029="","",MAX(0,IFERROR(INDEX(Services!$C$6:$C$35,MATCH(E1029,Services!$B$6:$B$35,0)),0)-N(H1029)))</f>
        <v/>
      </c>
      <c r="H1029" s="34" t="n"/>
      <c r="I1029" s="34" t="n">
        <v>30</v>
      </c>
      <c r="J1029" s="33" t="inlineStr">
        <is>
          <t>Cash</t>
        </is>
      </c>
      <c r="K1029" s="28">
        <f>IF(OR(B1029="",F1029&lt;&gt;"Done",J1029="Package"),"",IF(N(G1029)-N(I1029)&gt;0,N(G1029)-N(I1029),""))</f>
        <v/>
      </c>
      <c r="L1029" s="32" t="n"/>
      <c r="M1029" s="1">
        <f>IF(OR(B1029="",D1029="",F1029="Cancelled"),"",B1029+N(C1029)+ROW()/10000000)</f>
        <v/>
      </c>
      <c r="N1029">
        <f>IF(AND(F1029="Done",M1029&lt;&gt;""),IF(COUNTIFS(Appointments!$D$6:$D$2005,D1029,Appointments!$F$6:$F$2005,"Done",Appointments!$M$6:$M$2005,"&gt;"&amp;M1029)=0,1,0),0)</f>
        <v/>
      </c>
      <c r="O1029">
        <f>IF(AND(F1029="Booked",M1029&lt;&gt;"",N(B1029)&gt;=TODAY()),IF(COUNTIFS(Appointments!$D$6:$D$2005,D1029,Appointments!$F$6:$F$2005,"Booked",Appointments!$B$6:$B$2005,"&gt;="&amp;TODAY(),Appointments!$M$6:$M$2005,"&lt;"&amp;M1029)=0,1,0),0)</f>
        <v/>
      </c>
    </row>
    <row r="1030">
      <c r="A1030" s="1" t="n"/>
      <c r="B1030" s="30" t="n">
        <v>46270</v>
      </c>
      <c r="C1030" s="31" t="n">
        <v>0.4027777777777778</v>
      </c>
      <c r="D1030" s="32" t="inlineStr">
        <is>
          <t>Finn Wood</t>
        </is>
      </c>
      <c r="E1030" s="32" t="inlineStr">
        <is>
          <t>Men's haircut</t>
        </is>
      </c>
      <c r="F1030" s="33" t="inlineStr">
        <is>
          <t>Done</t>
        </is>
      </c>
      <c r="G1030" s="27">
        <f>IF(E1030="","",MAX(0,IFERROR(INDEX(Services!$C$6:$C$35,MATCH(E1030,Services!$B$6:$B$35,0)),0)-N(H1030)))</f>
        <v/>
      </c>
      <c r="H1030" s="34" t="n"/>
      <c r="I1030" s="34" t="n">
        <v>30</v>
      </c>
      <c r="J1030" s="33" t="inlineStr">
        <is>
          <t>Card</t>
        </is>
      </c>
      <c r="K1030" s="28">
        <f>IF(OR(B1030="",F1030&lt;&gt;"Done",J1030="Package"),"",IF(N(G1030)-N(I1030)&gt;0,N(G1030)-N(I1030),""))</f>
        <v/>
      </c>
      <c r="L1030" s="32" t="n"/>
      <c r="M1030" s="1">
        <f>IF(OR(B1030="",D1030="",F1030="Cancelled"),"",B1030+N(C1030)+ROW()/10000000)</f>
        <v/>
      </c>
      <c r="N1030">
        <f>IF(AND(F1030="Done",M1030&lt;&gt;""),IF(COUNTIFS(Appointments!$D$6:$D$2005,D1030,Appointments!$F$6:$F$2005,"Done",Appointments!$M$6:$M$2005,"&gt;"&amp;M1030)=0,1,0),0)</f>
        <v/>
      </c>
      <c r="O1030">
        <f>IF(AND(F1030="Booked",M1030&lt;&gt;"",N(B1030)&gt;=TODAY()),IF(COUNTIFS(Appointments!$D$6:$D$2005,D1030,Appointments!$F$6:$F$2005,"Booked",Appointments!$B$6:$B$2005,"&gt;="&amp;TODAY(),Appointments!$M$6:$M$2005,"&lt;"&amp;M1030)=0,1,0),0)</f>
        <v/>
      </c>
    </row>
    <row r="1031">
      <c r="A1031" s="1" t="n"/>
      <c r="B1031" s="30" t="n">
        <v>46270</v>
      </c>
      <c r="C1031" s="31" t="n">
        <v>0.4305555555555556</v>
      </c>
      <c r="D1031" s="32" t="inlineStr">
        <is>
          <t>Harry Ellis</t>
        </is>
      </c>
      <c r="E1031" s="32" t="inlineStr">
        <is>
          <t>Men's haircut</t>
        </is>
      </c>
      <c r="F1031" s="33" t="inlineStr">
        <is>
          <t>Done</t>
        </is>
      </c>
      <c r="G1031" s="27">
        <f>IF(E1031="","",MAX(0,IFERROR(INDEX(Services!$C$6:$C$35,MATCH(E1031,Services!$B$6:$B$35,0)),0)-N(H1031)))</f>
        <v/>
      </c>
      <c r="H1031" s="34" t="n"/>
      <c r="I1031" s="34" t="n">
        <v>30</v>
      </c>
      <c r="J1031" s="33" t="inlineStr">
        <is>
          <t>Transfer</t>
        </is>
      </c>
      <c r="K1031" s="28">
        <f>IF(OR(B1031="",F1031&lt;&gt;"Done",J1031="Package"),"",IF(N(G1031)-N(I1031)&gt;0,N(G1031)-N(I1031),""))</f>
        <v/>
      </c>
      <c r="L1031" s="32" t="n"/>
      <c r="M1031" s="1">
        <f>IF(OR(B1031="",D1031="",F1031="Cancelled"),"",B1031+N(C1031)+ROW()/10000000)</f>
        <v/>
      </c>
      <c r="N1031">
        <f>IF(AND(F1031="Done",M1031&lt;&gt;""),IF(COUNTIFS(Appointments!$D$6:$D$2005,D1031,Appointments!$F$6:$F$2005,"Done",Appointments!$M$6:$M$2005,"&gt;"&amp;M1031)=0,1,0),0)</f>
        <v/>
      </c>
      <c r="O1031">
        <f>IF(AND(F1031="Booked",M1031&lt;&gt;"",N(B1031)&gt;=TODAY()),IF(COUNTIFS(Appointments!$D$6:$D$2005,D1031,Appointments!$F$6:$F$2005,"Booked",Appointments!$B$6:$B$2005,"&gt;="&amp;TODAY(),Appointments!$M$6:$M$2005,"&lt;"&amp;M1031)=0,1,0),0)</f>
        <v/>
      </c>
    </row>
    <row r="1032">
      <c r="A1032" s="1" t="n"/>
      <c r="B1032" s="30" t="n">
        <v>46270</v>
      </c>
      <c r="C1032" s="31" t="n">
        <v>0.4583333333333333</v>
      </c>
      <c r="D1032" s="32" t="inlineStr">
        <is>
          <t>Julia Lewis</t>
        </is>
      </c>
      <c r="E1032" s="32" t="inlineStr">
        <is>
          <t>Women's haircut</t>
        </is>
      </c>
      <c r="F1032" s="33" t="inlineStr">
        <is>
          <t>Done</t>
        </is>
      </c>
      <c r="G1032" s="27">
        <f>IF(E1032="","",MAX(0,IFERROR(INDEX(Services!$C$6:$C$35,MATCH(E1032,Services!$B$6:$B$35,0)),0)-N(H1032)))</f>
        <v/>
      </c>
      <c r="H1032" s="34" t="n"/>
      <c r="I1032" s="34" t="n">
        <v>55</v>
      </c>
      <c r="J1032" s="33" t="inlineStr">
        <is>
          <t>Cash</t>
        </is>
      </c>
      <c r="K1032" s="28">
        <f>IF(OR(B1032="",F1032&lt;&gt;"Done",J1032="Package"),"",IF(N(G1032)-N(I1032)&gt;0,N(G1032)-N(I1032),""))</f>
        <v/>
      </c>
      <c r="L1032" s="32" t="n"/>
      <c r="M1032" s="1">
        <f>IF(OR(B1032="",D1032="",F1032="Cancelled"),"",B1032+N(C1032)+ROW()/10000000)</f>
        <v/>
      </c>
      <c r="N1032">
        <f>IF(AND(F1032="Done",M1032&lt;&gt;""),IF(COUNTIFS(Appointments!$D$6:$D$2005,D1032,Appointments!$F$6:$F$2005,"Done",Appointments!$M$6:$M$2005,"&gt;"&amp;M1032)=0,1,0),0)</f>
        <v/>
      </c>
      <c r="O1032">
        <f>IF(AND(F1032="Booked",M1032&lt;&gt;"",N(B1032)&gt;=TODAY()),IF(COUNTIFS(Appointments!$D$6:$D$2005,D1032,Appointments!$F$6:$F$2005,"Booked",Appointments!$B$6:$B$2005,"&gt;="&amp;TODAY(),Appointments!$M$6:$M$2005,"&lt;"&amp;M1032)=0,1,0),0)</f>
        <v/>
      </c>
    </row>
    <row r="1033">
      <c r="A1033" s="1" t="n"/>
      <c r="B1033" s="30" t="n">
        <v>46270</v>
      </c>
      <c r="C1033" s="31" t="n">
        <v>0.5069444444444444</v>
      </c>
      <c r="D1033" s="32" t="inlineStr">
        <is>
          <t>Ruby Webb</t>
        </is>
      </c>
      <c r="E1033" s="32" t="inlineStr">
        <is>
          <t>Treatment</t>
        </is>
      </c>
      <c r="F1033" s="33" t="inlineStr">
        <is>
          <t>No-show</t>
        </is>
      </c>
      <c r="G1033" s="27">
        <f>IF(E1033="","",MAX(0,IFERROR(INDEX(Services!$C$6:$C$35,MATCH(E1033,Services!$B$6:$B$35,0)),0)-N(H1033)))</f>
        <v/>
      </c>
      <c r="H1033" s="34" t="n"/>
      <c r="I1033" s="34" t="n"/>
      <c r="J1033" s="33" t="n"/>
      <c r="K1033" s="28">
        <f>IF(OR(B1033="",F1033&lt;&gt;"Done",J1033="Package"),"",IF(N(G1033)-N(I1033)&gt;0,N(G1033)-N(I1033),""))</f>
        <v/>
      </c>
      <c r="L1033" s="32" t="n"/>
      <c r="M1033" s="1">
        <f>IF(OR(B1033="",D1033="",F1033="Cancelled"),"",B1033+N(C1033)+ROW()/10000000)</f>
        <v/>
      </c>
      <c r="N1033">
        <f>IF(AND(F1033="Done",M1033&lt;&gt;""),IF(COUNTIFS(Appointments!$D$6:$D$2005,D1033,Appointments!$F$6:$F$2005,"Done",Appointments!$M$6:$M$2005,"&gt;"&amp;M1033)=0,1,0),0)</f>
        <v/>
      </c>
      <c r="O1033">
        <f>IF(AND(F1033="Booked",M1033&lt;&gt;"",N(B1033)&gt;=TODAY()),IF(COUNTIFS(Appointments!$D$6:$D$2005,D1033,Appointments!$F$6:$F$2005,"Booked",Appointments!$B$6:$B$2005,"&gt;="&amp;TODAY(),Appointments!$M$6:$M$2005,"&lt;"&amp;M1033)=0,1,0),0)</f>
        <v/>
      </c>
    </row>
    <row r="1034">
      <c r="A1034" s="1" t="n"/>
      <c r="B1034" s="30" t="n">
        <v>46270</v>
      </c>
      <c r="C1034" s="31" t="n">
        <v>0.5347222222222222</v>
      </c>
      <c r="D1034" s="32" t="inlineStr">
        <is>
          <t>Yara Haddad</t>
        </is>
      </c>
      <c r="E1034" s="32" t="inlineStr">
        <is>
          <t>Women's haircut</t>
        </is>
      </c>
      <c r="F1034" s="33" t="inlineStr">
        <is>
          <t>Done</t>
        </is>
      </c>
      <c r="G1034" s="27">
        <f>IF(E1034="","",MAX(0,IFERROR(INDEX(Services!$C$6:$C$35,MATCH(E1034,Services!$B$6:$B$35,0)),0)-N(H1034)))</f>
        <v/>
      </c>
      <c r="H1034" s="34" t="n"/>
      <c r="I1034" s="34" t="n">
        <v>55</v>
      </c>
      <c r="J1034" s="33" t="inlineStr">
        <is>
          <t>Card</t>
        </is>
      </c>
      <c r="K1034" s="28">
        <f>IF(OR(B1034="",F1034&lt;&gt;"Done",J1034="Package"),"",IF(N(G1034)-N(I1034)&gt;0,N(G1034)-N(I1034),""))</f>
        <v/>
      </c>
      <c r="L1034" s="32" t="n"/>
      <c r="M1034" s="1">
        <f>IF(OR(B1034="",D1034="",F1034="Cancelled"),"",B1034+N(C1034)+ROW()/10000000)</f>
        <v/>
      </c>
      <c r="N1034">
        <f>IF(AND(F1034="Done",M1034&lt;&gt;""),IF(COUNTIFS(Appointments!$D$6:$D$2005,D1034,Appointments!$F$6:$F$2005,"Done",Appointments!$M$6:$M$2005,"&gt;"&amp;M1034)=0,1,0),0)</f>
        <v/>
      </c>
      <c r="O1034">
        <f>IF(AND(F1034="Booked",M1034&lt;&gt;"",N(B1034)&gt;=TODAY()),IF(COUNTIFS(Appointments!$D$6:$D$2005,D1034,Appointments!$F$6:$F$2005,"Booked",Appointments!$B$6:$B$2005,"&gt;="&amp;TODAY(),Appointments!$M$6:$M$2005,"&lt;"&amp;M1034)=0,1,0),0)</f>
        <v/>
      </c>
    </row>
    <row r="1035">
      <c r="A1035" s="1" t="n"/>
      <c r="B1035" s="30" t="n">
        <v>46273</v>
      </c>
      <c r="C1035" s="31" t="n">
        <v>0.375</v>
      </c>
      <c r="D1035" s="32" t="inlineStr">
        <is>
          <t>Chloe Martin</t>
        </is>
      </c>
      <c r="E1035" s="32" t="inlineStr">
        <is>
          <t>Blow dry</t>
        </is>
      </c>
      <c r="F1035" s="33" t="inlineStr">
        <is>
          <t>Done</t>
        </is>
      </c>
      <c r="G1035" s="27">
        <f>IF(E1035="","",MAX(0,IFERROR(INDEX(Services!$C$6:$C$35,MATCH(E1035,Services!$B$6:$B$35,0)),0)-N(H1035)))</f>
        <v/>
      </c>
      <c r="H1035" s="34" t="n"/>
      <c r="I1035" s="34" t="n"/>
      <c r="J1035" s="33" t="inlineStr">
        <is>
          <t>Package</t>
        </is>
      </c>
      <c r="K1035" s="28">
        <f>IF(OR(B1035="",F1035&lt;&gt;"Done",J1035="Package"),"",IF(N(G1035)-N(I1035)&gt;0,N(G1035)-N(I1035),""))</f>
        <v/>
      </c>
      <c r="L1035" s="32" t="n"/>
      <c r="M1035" s="1">
        <f>IF(OR(B1035="",D1035="",F1035="Cancelled"),"",B1035+N(C1035)+ROW()/10000000)</f>
        <v/>
      </c>
      <c r="N1035">
        <f>IF(AND(F1035="Done",M1035&lt;&gt;""),IF(COUNTIFS(Appointments!$D$6:$D$2005,D1035,Appointments!$F$6:$F$2005,"Done",Appointments!$M$6:$M$2005,"&gt;"&amp;M1035)=0,1,0),0)</f>
        <v/>
      </c>
      <c r="O1035">
        <f>IF(AND(F1035="Booked",M1035&lt;&gt;"",N(B1035)&gt;=TODAY()),IF(COUNTIFS(Appointments!$D$6:$D$2005,D1035,Appointments!$F$6:$F$2005,"Booked",Appointments!$B$6:$B$2005,"&gt;="&amp;TODAY(),Appointments!$M$6:$M$2005,"&lt;"&amp;M1035)=0,1,0),0)</f>
        <v/>
      </c>
    </row>
    <row r="1036">
      <c r="A1036" s="1" t="n"/>
      <c r="B1036" s="30" t="n">
        <v>46273</v>
      </c>
      <c r="C1036" s="31" t="n">
        <v>0.4131944444444444</v>
      </c>
      <c r="D1036" s="32" t="inlineStr">
        <is>
          <t>Harry Adams</t>
        </is>
      </c>
      <c r="E1036" s="32" t="inlineStr">
        <is>
          <t>Men's haircut</t>
        </is>
      </c>
      <c r="F1036" s="33" t="inlineStr">
        <is>
          <t>Done</t>
        </is>
      </c>
      <c r="G1036" s="27">
        <f>IF(E1036="","",MAX(0,IFERROR(INDEX(Services!$C$6:$C$35,MATCH(E1036,Services!$B$6:$B$35,0)),0)-N(H1036)))</f>
        <v/>
      </c>
      <c r="H1036" s="34" t="n"/>
      <c r="I1036" s="34" t="n">
        <v>30</v>
      </c>
      <c r="J1036" s="33" t="inlineStr">
        <is>
          <t>App</t>
        </is>
      </c>
      <c r="K1036" s="28">
        <f>IF(OR(B1036="",F1036&lt;&gt;"Done",J1036="Package"),"",IF(N(G1036)-N(I1036)&gt;0,N(G1036)-N(I1036),""))</f>
        <v/>
      </c>
      <c r="L1036" s="32" t="n"/>
      <c r="M1036" s="1">
        <f>IF(OR(B1036="",D1036="",F1036="Cancelled"),"",B1036+N(C1036)+ROW()/10000000)</f>
        <v/>
      </c>
      <c r="N1036">
        <f>IF(AND(F1036="Done",M1036&lt;&gt;""),IF(COUNTIFS(Appointments!$D$6:$D$2005,D1036,Appointments!$F$6:$F$2005,"Done",Appointments!$M$6:$M$2005,"&gt;"&amp;M1036)=0,1,0),0)</f>
        <v/>
      </c>
      <c r="O1036">
        <f>IF(AND(F1036="Booked",M1036&lt;&gt;"",N(B1036)&gt;=TODAY()),IF(COUNTIFS(Appointments!$D$6:$D$2005,D1036,Appointments!$F$6:$F$2005,"Booked",Appointments!$B$6:$B$2005,"&gt;="&amp;TODAY(),Appointments!$M$6:$M$2005,"&lt;"&amp;M1036)=0,1,0),0)</f>
        <v/>
      </c>
    </row>
    <row r="1037">
      <c r="A1037" s="1" t="n"/>
      <c r="B1037" s="30" t="n">
        <v>46273</v>
      </c>
      <c r="C1037" s="31" t="n">
        <v>0.4409722222222222</v>
      </c>
      <c r="D1037" s="32" t="inlineStr">
        <is>
          <t>Hugo Silva</t>
        </is>
      </c>
      <c r="E1037" s="32" t="inlineStr">
        <is>
          <t>Men's haircut</t>
        </is>
      </c>
      <c r="F1037" s="33" t="inlineStr">
        <is>
          <t>Done</t>
        </is>
      </c>
      <c r="G1037" s="27">
        <f>IF(E1037="","",MAX(0,IFERROR(INDEX(Services!$C$6:$C$35,MATCH(E1037,Services!$B$6:$B$35,0)),0)-N(H1037)))</f>
        <v/>
      </c>
      <c r="H1037" s="34" t="n"/>
      <c r="I1037" s="34" t="n">
        <v>30</v>
      </c>
      <c r="J1037" s="33" t="inlineStr">
        <is>
          <t>Card</t>
        </is>
      </c>
      <c r="K1037" s="28">
        <f>IF(OR(B1037="",F1037&lt;&gt;"Done",J1037="Package"),"",IF(N(G1037)-N(I1037)&gt;0,N(G1037)-N(I1037),""))</f>
        <v/>
      </c>
      <c r="L1037" s="32" t="n"/>
      <c r="M1037" s="1">
        <f>IF(OR(B1037="",D1037="",F1037="Cancelled"),"",B1037+N(C1037)+ROW()/10000000)</f>
        <v/>
      </c>
      <c r="N1037">
        <f>IF(AND(F1037="Done",M1037&lt;&gt;""),IF(COUNTIFS(Appointments!$D$6:$D$2005,D1037,Appointments!$F$6:$F$2005,"Done",Appointments!$M$6:$M$2005,"&gt;"&amp;M1037)=0,1,0),0)</f>
        <v/>
      </c>
      <c r="O1037">
        <f>IF(AND(F1037="Booked",M1037&lt;&gt;"",N(B1037)&gt;=TODAY()),IF(COUNTIFS(Appointments!$D$6:$D$2005,D1037,Appointments!$F$6:$F$2005,"Booked",Appointments!$B$6:$B$2005,"&gt;="&amp;TODAY(),Appointments!$M$6:$M$2005,"&lt;"&amp;M1037)=0,1,0),0)</f>
        <v/>
      </c>
    </row>
    <row r="1038">
      <c r="A1038" s="1" t="n"/>
      <c r="B1038" s="30" t="n">
        <v>46273</v>
      </c>
      <c r="C1038" s="31" t="n">
        <v>0.46875</v>
      </c>
      <c r="D1038" s="32" t="inlineStr">
        <is>
          <t>Jack Wilson</t>
        </is>
      </c>
      <c r="E1038" s="32" t="inlineStr">
        <is>
          <t>Men's haircut</t>
        </is>
      </c>
      <c r="F1038" s="33" t="inlineStr">
        <is>
          <t>Done</t>
        </is>
      </c>
      <c r="G1038" s="27">
        <f>IF(E1038="","",MAX(0,IFERROR(INDEX(Services!$C$6:$C$35,MATCH(E1038,Services!$B$6:$B$35,0)),0)-N(H1038)))</f>
        <v/>
      </c>
      <c r="H1038" s="34" t="n"/>
      <c r="I1038" s="34" t="n">
        <v>30</v>
      </c>
      <c r="J1038" s="33" t="inlineStr">
        <is>
          <t>Card</t>
        </is>
      </c>
      <c r="K1038" s="28">
        <f>IF(OR(B1038="",F1038&lt;&gt;"Done",J1038="Package"),"",IF(N(G1038)-N(I1038)&gt;0,N(G1038)-N(I1038),""))</f>
        <v/>
      </c>
      <c r="L1038" s="32" t="n"/>
      <c r="M1038" s="1">
        <f>IF(OR(B1038="",D1038="",F1038="Cancelled"),"",B1038+N(C1038)+ROW()/10000000)</f>
        <v/>
      </c>
      <c r="N1038">
        <f>IF(AND(F1038="Done",M1038&lt;&gt;""),IF(COUNTIFS(Appointments!$D$6:$D$2005,D1038,Appointments!$F$6:$F$2005,"Done",Appointments!$M$6:$M$2005,"&gt;"&amp;M1038)=0,1,0),0)</f>
        <v/>
      </c>
      <c r="O1038">
        <f>IF(AND(F1038="Booked",M1038&lt;&gt;"",N(B1038)&gt;=TODAY()),IF(COUNTIFS(Appointments!$D$6:$D$2005,D1038,Appointments!$F$6:$F$2005,"Booked",Appointments!$B$6:$B$2005,"&gt;="&amp;TODAY(),Appointments!$M$6:$M$2005,"&lt;"&amp;M1038)=0,1,0),0)</f>
        <v/>
      </c>
    </row>
    <row r="1039">
      <c r="A1039" s="1" t="n"/>
      <c r="B1039" s="30" t="n">
        <v>46273</v>
      </c>
      <c r="C1039" s="31" t="n">
        <v>0.4965277777777778</v>
      </c>
      <c r="D1039" s="32" t="inlineStr">
        <is>
          <t>Sophie Stone</t>
        </is>
      </c>
      <c r="E1039" s="32" t="inlineStr">
        <is>
          <t>Blow dry</t>
        </is>
      </c>
      <c r="F1039" s="33" t="inlineStr">
        <is>
          <t>Cancelled</t>
        </is>
      </c>
      <c r="G1039" s="27">
        <f>IF(E1039="","",MAX(0,IFERROR(INDEX(Services!$C$6:$C$35,MATCH(E1039,Services!$B$6:$B$35,0)),0)-N(H1039)))</f>
        <v/>
      </c>
      <c r="H1039" s="34" t="n"/>
      <c r="I1039" s="34" t="n"/>
      <c r="J1039" s="33" t="n"/>
      <c r="K1039" s="28">
        <f>IF(OR(B1039="",F1039&lt;&gt;"Done",J1039="Package"),"",IF(N(G1039)-N(I1039)&gt;0,N(G1039)-N(I1039),""))</f>
        <v/>
      </c>
      <c r="L1039" s="32" t="n"/>
      <c r="M1039" s="1">
        <f>IF(OR(B1039="",D1039="",F1039="Cancelled"),"",B1039+N(C1039)+ROW()/10000000)</f>
        <v/>
      </c>
      <c r="N1039">
        <f>IF(AND(F1039="Done",M1039&lt;&gt;""),IF(COUNTIFS(Appointments!$D$6:$D$2005,D1039,Appointments!$F$6:$F$2005,"Done",Appointments!$M$6:$M$2005,"&gt;"&amp;M1039)=0,1,0),0)</f>
        <v/>
      </c>
      <c r="O1039">
        <f>IF(AND(F1039="Booked",M1039&lt;&gt;"",N(B1039)&gt;=TODAY()),IF(COUNTIFS(Appointments!$D$6:$D$2005,D1039,Appointments!$F$6:$F$2005,"Booked",Appointments!$B$6:$B$2005,"&gt;="&amp;TODAY(),Appointments!$M$6:$M$2005,"&lt;"&amp;M1039)=0,1,0),0)</f>
        <v/>
      </c>
    </row>
    <row r="1040">
      <c r="A1040" s="1" t="n"/>
      <c r="B1040" s="30" t="n">
        <v>46273</v>
      </c>
      <c r="C1040" s="31" t="n">
        <v>0.5347222222222222</v>
      </c>
      <c r="D1040" s="32" t="inlineStr">
        <is>
          <t>Victor Lane</t>
        </is>
      </c>
      <c r="E1040" s="32" t="inlineStr">
        <is>
          <t>Men's haircut</t>
        </is>
      </c>
      <c r="F1040" s="33" t="inlineStr">
        <is>
          <t>Done</t>
        </is>
      </c>
      <c r="G1040" s="27">
        <f>IF(E1040="","",MAX(0,IFERROR(INDEX(Services!$C$6:$C$35,MATCH(E1040,Services!$B$6:$B$35,0)),0)-N(H1040)))</f>
        <v/>
      </c>
      <c r="H1040" s="34" t="n"/>
      <c r="I1040" s="34" t="n">
        <v>30</v>
      </c>
      <c r="J1040" s="33" t="inlineStr">
        <is>
          <t>Cash</t>
        </is>
      </c>
      <c r="K1040" s="28">
        <f>IF(OR(B1040="",F1040&lt;&gt;"Done",J1040="Package"),"",IF(N(G1040)-N(I1040)&gt;0,N(G1040)-N(I1040),""))</f>
        <v/>
      </c>
      <c r="L1040" s="32" t="n"/>
      <c r="M1040" s="1">
        <f>IF(OR(B1040="",D1040="",F1040="Cancelled"),"",B1040+N(C1040)+ROW()/10000000)</f>
        <v/>
      </c>
      <c r="N1040">
        <f>IF(AND(F1040="Done",M1040&lt;&gt;""),IF(COUNTIFS(Appointments!$D$6:$D$2005,D1040,Appointments!$F$6:$F$2005,"Done",Appointments!$M$6:$M$2005,"&gt;"&amp;M1040)=0,1,0),0)</f>
        <v/>
      </c>
      <c r="O1040">
        <f>IF(AND(F1040="Booked",M1040&lt;&gt;"",N(B1040)&gt;=TODAY()),IF(COUNTIFS(Appointments!$D$6:$D$2005,D1040,Appointments!$F$6:$F$2005,"Booked",Appointments!$B$6:$B$2005,"&gt;="&amp;TODAY(),Appointments!$M$6:$M$2005,"&lt;"&amp;M1040)=0,1,0),0)</f>
        <v/>
      </c>
    </row>
    <row r="1041">
      <c r="A1041" s="1" t="n"/>
      <c r="B1041" s="30" t="n">
        <v>46273</v>
      </c>
      <c r="C1041" s="31" t="n">
        <v>0.5625</v>
      </c>
      <c r="D1041" s="32" t="inlineStr">
        <is>
          <t>Will Baker</t>
        </is>
      </c>
      <c r="E1041" s="32" t="inlineStr">
        <is>
          <t>Men's haircut</t>
        </is>
      </c>
      <c r="F1041" s="33" t="inlineStr">
        <is>
          <t>Done</t>
        </is>
      </c>
      <c r="G1041" s="27">
        <f>IF(E1041="","",MAX(0,IFERROR(INDEX(Services!$C$6:$C$35,MATCH(E1041,Services!$B$6:$B$35,0)),0)-N(H1041)))</f>
        <v/>
      </c>
      <c r="H1041" s="34" t="n"/>
      <c r="I1041" s="34" t="n">
        <v>30</v>
      </c>
      <c r="J1041" s="33" t="inlineStr">
        <is>
          <t>Card</t>
        </is>
      </c>
      <c r="K1041" s="28">
        <f>IF(OR(B1041="",F1041&lt;&gt;"Done",J1041="Package"),"",IF(N(G1041)-N(I1041)&gt;0,N(G1041)-N(I1041),""))</f>
        <v/>
      </c>
      <c r="L1041" s="32" t="n"/>
      <c r="M1041" s="1">
        <f>IF(OR(B1041="",D1041="",F1041="Cancelled"),"",B1041+N(C1041)+ROW()/10000000)</f>
        <v/>
      </c>
      <c r="N1041">
        <f>IF(AND(F1041="Done",M1041&lt;&gt;""),IF(COUNTIFS(Appointments!$D$6:$D$2005,D1041,Appointments!$F$6:$F$2005,"Done",Appointments!$M$6:$M$2005,"&gt;"&amp;M1041)=0,1,0),0)</f>
        <v/>
      </c>
      <c r="O1041">
        <f>IF(AND(F1041="Booked",M1041&lt;&gt;"",N(B1041)&gt;=TODAY()),IF(COUNTIFS(Appointments!$D$6:$D$2005,D1041,Appointments!$F$6:$F$2005,"Booked",Appointments!$B$6:$B$2005,"&gt;="&amp;TODAY(),Appointments!$M$6:$M$2005,"&lt;"&amp;M1041)=0,1,0),0)</f>
        <v/>
      </c>
    </row>
    <row r="1042">
      <c r="A1042" s="1" t="n"/>
      <c r="B1042" s="30" t="n">
        <v>46274</v>
      </c>
      <c r="C1042" s="31" t="n">
        <v>0.375</v>
      </c>
      <c r="D1042" s="32" t="inlineStr">
        <is>
          <t>Ava Reed</t>
        </is>
      </c>
      <c r="E1042" s="32" t="inlineStr">
        <is>
          <t>Highlights</t>
        </is>
      </c>
      <c r="F1042" s="33" t="inlineStr">
        <is>
          <t>Done</t>
        </is>
      </c>
      <c r="G1042" s="27">
        <f>IF(E1042="","",MAX(0,IFERROR(INDEX(Services!$C$6:$C$35,MATCH(E1042,Services!$B$6:$B$35,0)),0)-N(H1042)))</f>
        <v/>
      </c>
      <c r="H1042" s="34" t="n"/>
      <c r="I1042" s="34" t="n">
        <v>140</v>
      </c>
      <c r="J1042" s="33" t="inlineStr">
        <is>
          <t>Card</t>
        </is>
      </c>
      <c r="K1042" s="28">
        <f>IF(OR(B1042="",F1042&lt;&gt;"Done",J1042="Package"),"",IF(N(G1042)-N(I1042)&gt;0,N(G1042)-N(I1042),""))</f>
        <v/>
      </c>
      <c r="L1042" s="32" t="n"/>
      <c r="M1042" s="1">
        <f>IF(OR(B1042="",D1042="",F1042="Cancelled"),"",B1042+N(C1042)+ROW()/10000000)</f>
        <v/>
      </c>
      <c r="N1042">
        <f>IF(AND(F1042="Done",M1042&lt;&gt;""),IF(COUNTIFS(Appointments!$D$6:$D$2005,D1042,Appointments!$F$6:$F$2005,"Done",Appointments!$M$6:$M$2005,"&gt;"&amp;M1042)=0,1,0),0)</f>
        <v/>
      </c>
      <c r="O1042">
        <f>IF(AND(F1042="Booked",M1042&lt;&gt;"",N(B1042)&gt;=TODAY()),IF(COUNTIFS(Appointments!$D$6:$D$2005,D1042,Appointments!$F$6:$F$2005,"Booked",Appointments!$B$6:$B$2005,"&gt;="&amp;TODAY(),Appointments!$M$6:$M$2005,"&lt;"&amp;M1042)=0,1,0),0)</f>
        <v/>
      </c>
    </row>
    <row r="1043">
      <c r="A1043" s="1" t="n"/>
      <c r="B1043" s="30" t="n">
        <v>46274</v>
      </c>
      <c r="C1043" s="31" t="n">
        <v>0.4861111111111111</v>
      </c>
      <c r="D1043" s="32" t="inlineStr">
        <is>
          <t>George Kelly</t>
        </is>
      </c>
      <c r="E1043" s="32" t="inlineStr">
        <is>
          <t>Men's haircut</t>
        </is>
      </c>
      <c r="F1043" s="33" t="inlineStr">
        <is>
          <t>Done</t>
        </is>
      </c>
      <c r="G1043" s="27">
        <f>IF(E1043="","",MAX(0,IFERROR(INDEX(Services!$C$6:$C$35,MATCH(E1043,Services!$B$6:$B$35,0)),0)-N(H1043)))</f>
        <v/>
      </c>
      <c r="H1043" s="34" t="n"/>
      <c r="I1043" s="34" t="n">
        <v>30</v>
      </c>
      <c r="J1043" s="33" t="inlineStr">
        <is>
          <t>Card</t>
        </is>
      </c>
      <c r="K1043" s="28">
        <f>IF(OR(B1043="",F1043&lt;&gt;"Done",J1043="Package"),"",IF(N(G1043)-N(I1043)&gt;0,N(G1043)-N(I1043),""))</f>
        <v/>
      </c>
      <c r="L1043" s="32" t="n"/>
      <c r="M1043" s="1">
        <f>IF(OR(B1043="",D1043="",F1043="Cancelled"),"",B1043+N(C1043)+ROW()/10000000)</f>
        <v/>
      </c>
      <c r="N1043">
        <f>IF(AND(F1043="Done",M1043&lt;&gt;""),IF(COUNTIFS(Appointments!$D$6:$D$2005,D1043,Appointments!$F$6:$F$2005,"Done",Appointments!$M$6:$M$2005,"&gt;"&amp;M1043)=0,1,0),0)</f>
        <v/>
      </c>
      <c r="O1043">
        <f>IF(AND(F1043="Booked",M1043&lt;&gt;"",N(B1043)&gt;=TODAY()),IF(COUNTIFS(Appointments!$D$6:$D$2005,D1043,Appointments!$F$6:$F$2005,"Booked",Appointments!$B$6:$B$2005,"&gt;="&amp;TODAY(),Appointments!$M$6:$M$2005,"&lt;"&amp;M1043)=0,1,0),0)</f>
        <v/>
      </c>
    </row>
    <row r="1044">
      <c r="A1044" s="1" t="n"/>
      <c r="B1044" s="30" t="n">
        <v>46274</v>
      </c>
      <c r="C1044" s="31" t="n">
        <v>0.5138888888888888</v>
      </c>
      <c r="D1044" s="32" t="inlineStr">
        <is>
          <t>Hannah Kelly</t>
        </is>
      </c>
      <c r="E1044" s="32" t="inlineStr">
        <is>
          <t>Colour</t>
        </is>
      </c>
      <c r="F1044" s="33" t="inlineStr">
        <is>
          <t>Done</t>
        </is>
      </c>
      <c r="G1044" s="27">
        <f>IF(E1044="","",MAX(0,IFERROR(INDEX(Services!$C$6:$C$35,MATCH(E1044,Services!$B$6:$B$35,0)),0)-N(H1044)))</f>
        <v/>
      </c>
      <c r="H1044" s="34" t="n"/>
      <c r="I1044" s="34" t="n">
        <v>95</v>
      </c>
      <c r="J1044" s="33" t="inlineStr">
        <is>
          <t>Card</t>
        </is>
      </c>
      <c r="K1044" s="28">
        <f>IF(OR(B1044="",F1044&lt;&gt;"Done",J1044="Package"),"",IF(N(G1044)-N(I1044)&gt;0,N(G1044)-N(I1044),""))</f>
        <v/>
      </c>
      <c r="L1044" s="32" t="n"/>
      <c r="M1044" s="1">
        <f>IF(OR(B1044="",D1044="",F1044="Cancelled"),"",B1044+N(C1044)+ROW()/10000000)</f>
        <v/>
      </c>
      <c r="N1044">
        <f>IF(AND(F1044="Done",M1044&lt;&gt;""),IF(COUNTIFS(Appointments!$D$6:$D$2005,D1044,Appointments!$F$6:$F$2005,"Done",Appointments!$M$6:$M$2005,"&gt;"&amp;M1044)=0,1,0),0)</f>
        <v/>
      </c>
      <c r="O1044">
        <f>IF(AND(F1044="Booked",M1044&lt;&gt;"",N(B1044)&gt;=TODAY()),IF(COUNTIFS(Appointments!$D$6:$D$2005,D1044,Appointments!$F$6:$F$2005,"Booked",Appointments!$B$6:$B$2005,"&gt;="&amp;TODAY(),Appointments!$M$6:$M$2005,"&lt;"&amp;M1044)=0,1,0),0)</f>
        <v/>
      </c>
    </row>
    <row r="1045">
      <c r="A1045" s="1" t="n"/>
      <c r="B1045" s="30" t="n">
        <v>46274</v>
      </c>
      <c r="C1045" s="31" t="n">
        <v>0.6041666666666666</v>
      </c>
      <c r="D1045" s="32" t="inlineStr">
        <is>
          <t>Harry Hall</t>
        </is>
      </c>
      <c r="E1045" s="32" t="inlineStr">
        <is>
          <t>Men's haircut</t>
        </is>
      </c>
      <c r="F1045" s="33" t="inlineStr">
        <is>
          <t>Done</t>
        </is>
      </c>
      <c r="G1045" s="27">
        <f>IF(E1045="","",MAX(0,IFERROR(INDEX(Services!$C$6:$C$35,MATCH(E1045,Services!$B$6:$B$35,0)),0)-N(H1045)))</f>
        <v/>
      </c>
      <c r="H1045" s="34" t="n"/>
      <c r="I1045" s="34" t="n">
        <v>30</v>
      </c>
      <c r="J1045" s="33" t="inlineStr">
        <is>
          <t>Card</t>
        </is>
      </c>
      <c r="K1045" s="28">
        <f>IF(OR(B1045="",F1045&lt;&gt;"Done",J1045="Package"),"",IF(N(G1045)-N(I1045)&gt;0,N(G1045)-N(I1045),""))</f>
        <v/>
      </c>
      <c r="L1045" s="32" t="n"/>
      <c r="M1045" s="1">
        <f>IF(OR(B1045="",D1045="",F1045="Cancelled"),"",B1045+N(C1045)+ROW()/10000000)</f>
        <v/>
      </c>
      <c r="N1045">
        <f>IF(AND(F1045="Done",M1045&lt;&gt;""),IF(COUNTIFS(Appointments!$D$6:$D$2005,D1045,Appointments!$F$6:$F$2005,"Done",Appointments!$M$6:$M$2005,"&gt;"&amp;M1045)=0,1,0),0)</f>
        <v/>
      </c>
      <c r="O1045">
        <f>IF(AND(F1045="Booked",M1045&lt;&gt;"",N(B1045)&gt;=TODAY()),IF(COUNTIFS(Appointments!$D$6:$D$2005,D1045,Appointments!$F$6:$F$2005,"Booked",Appointments!$B$6:$B$2005,"&gt;="&amp;TODAY(),Appointments!$M$6:$M$2005,"&lt;"&amp;M1045)=0,1,0),0)</f>
        <v/>
      </c>
    </row>
    <row r="1046">
      <c r="A1046" s="1" t="n"/>
      <c r="B1046" s="30" t="n">
        <v>46274</v>
      </c>
      <c r="C1046" s="31" t="n">
        <v>0.6319444444444444</v>
      </c>
      <c r="D1046" s="32" t="inlineStr">
        <is>
          <t>Megan Morgan</t>
        </is>
      </c>
      <c r="E1046" s="32" t="inlineStr">
        <is>
          <t>Blow dry</t>
        </is>
      </c>
      <c r="F1046" s="33" t="inlineStr">
        <is>
          <t>Done</t>
        </is>
      </c>
      <c r="G1046" s="27">
        <f>IF(E1046="","",MAX(0,IFERROR(INDEX(Services!$C$6:$C$35,MATCH(E1046,Services!$B$6:$B$35,0)),0)-N(H1046)))</f>
        <v/>
      </c>
      <c r="H1046" s="34" t="n"/>
      <c r="I1046" s="34" t="n">
        <v>35</v>
      </c>
      <c r="J1046" s="33" t="inlineStr">
        <is>
          <t>Card</t>
        </is>
      </c>
      <c r="K1046" s="28">
        <f>IF(OR(B1046="",F1046&lt;&gt;"Done",J1046="Package"),"",IF(N(G1046)-N(I1046)&gt;0,N(G1046)-N(I1046),""))</f>
        <v/>
      </c>
      <c r="L1046" s="32" t="n"/>
      <c r="M1046" s="1">
        <f>IF(OR(B1046="",D1046="",F1046="Cancelled"),"",B1046+N(C1046)+ROW()/10000000)</f>
        <v/>
      </c>
      <c r="N1046">
        <f>IF(AND(F1046="Done",M1046&lt;&gt;""),IF(COUNTIFS(Appointments!$D$6:$D$2005,D1046,Appointments!$F$6:$F$2005,"Done",Appointments!$M$6:$M$2005,"&gt;"&amp;M1046)=0,1,0),0)</f>
        <v/>
      </c>
      <c r="O1046">
        <f>IF(AND(F1046="Booked",M1046&lt;&gt;"",N(B1046)&gt;=TODAY()),IF(COUNTIFS(Appointments!$D$6:$D$2005,D1046,Appointments!$F$6:$F$2005,"Booked",Appointments!$B$6:$B$2005,"&gt;="&amp;TODAY(),Appointments!$M$6:$M$2005,"&lt;"&amp;M1046)=0,1,0),0)</f>
        <v/>
      </c>
    </row>
    <row r="1047">
      <c r="A1047" s="1" t="n"/>
      <c r="B1047" s="30" t="n">
        <v>46274</v>
      </c>
      <c r="C1047" s="31" t="n">
        <v>0.6701388888888888</v>
      </c>
      <c r="D1047" s="32" t="inlineStr">
        <is>
          <t>Nina Baker</t>
        </is>
      </c>
      <c r="E1047" s="32" t="inlineStr">
        <is>
          <t>Women's haircut</t>
        </is>
      </c>
      <c r="F1047" s="33" t="inlineStr">
        <is>
          <t>Done</t>
        </is>
      </c>
      <c r="G1047" s="27">
        <f>IF(E1047="","",MAX(0,IFERROR(INDEX(Services!$C$6:$C$35,MATCH(E1047,Services!$B$6:$B$35,0)),0)-N(H1047)))</f>
        <v/>
      </c>
      <c r="H1047" s="34" t="n"/>
      <c r="I1047" s="34" t="n">
        <v>55</v>
      </c>
      <c r="J1047" s="33" t="inlineStr">
        <is>
          <t>Card</t>
        </is>
      </c>
      <c r="K1047" s="28">
        <f>IF(OR(B1047="",F1047&lt;&gt;"Done",J1047="Package"),"",IF(N(G1047)-N(I1047)&gt;0,N(G1047)-N(I1047),""))</f>
        <v/>
      </c>
      <c r="L1047" s="32" t="n"/>
      <c r="M1047" s="1">
        <f>IF(OR(B1047="",D1047="",F1047="Cancelled"),"",B1047+N(C1047)+ROW()/10000000)</f>
        <v/>
      </c>
      <c r="N1047">
        <f>IF(AND(F1047="Done",M1047&lt;&gt;""),IF(COUNTIFS(Appointments!$D$6:$D$2005,D1047,Appointments!$F$6:$F$2005,"Done",Appointments!$M$6:$M$2005,"&gt;"&amp;M1047)=0,1,0),0)</f>
        <v/>
      </c>
      <c r="O1047">
        <f>IF(AND(F1047="Booked",M1047&lt;&gt;"",N(B1047)&gt;=TODAY()),IF(COUNTIFS(Appointments!$D$6:$D$2005,D1047,Appointments!$F$6:$F$2005,"Booked",Appointments!$B$6:$B$2005,"&gt;="&amp;TODAY(),Appointments!$M$6:$M$2005,"&lt;"&amp;M1047)=0,1,0),0)</f>
        <v/>
      </c>
    </row>
    <row r="1048">
      <c r="A1048" s="1" t="n"/>
      <c r="B1048" s="30" t="n">
        <v>46274</v>
      </c>
      <c r="C1048" s="31" t="n">
        <v>0.71875</v>
      </c>
      <c r="D1048" s="32" t="inlineStr">
        <is>
          <t>Tom Cole</t>
        </is>
      </c>
      <c r="E1048" s="32" t="inlineStr">
        <is>
          <t>Men's haircut</t>
        </is>
      </c>
      <c r="F1048" s="33" t="inlineStr">
        <is>
          <t>Done</t>
        </is>
      </c>
      <c r="G1048" s="27">
        <f>IF(E1048="","",MAX(0,IFERROR(INDEX(Services!$C$6:$C$35,MATCH(E1048,Services!$B$6:$B$35,0)),0)-N(H1048)))</f>
        <v/>
      </c>
      <c r="H1048" s="34" t="n"/>
      <c r="I1048" s="34" t="n">
        <v>30</v>
      </c>
      <c r="J1048" s="33" t="inlineStr">
        <is>
          <t>Card</t>
        </is>
      </c>
      <c r="K1048" s="28">
        <f>IF(OR(B1048="",F1048&lt;&gt;"Done",J1048="Package"),"",IF(N(G1048)-N(I1048)&gt;0,N(G1048)-N(I1048),""))</f>
        <v/>
      </c>
      <c r="L1048" s="32" t="n"/>
      <c r="M1048" s="1">
        <f>IF(OR(B1048="",D1048="",F1048="Cancelled"),"",B1048+N(C1048)+ROW()/10000000)</f>
        <v/>
      </c>
      <c r="N1048">
        <f>IF(AND(F1048="Done",M1048&lt;&gt;""),IF(COUNTIFS(Appointments!$D$6:$D$2005,D1048,Appointments!$F$6:$F$2005,"Done",Appointments!$M$6:$M$2005,"&gt;"&amp;M1048)=0,1,0),0)</f>
        <v/>
      </c>
      <c r="O1048">
        <f>IF(AND(F1048="Booked",M1048&lt;&gt;"",N(B1048)&gt;=TODAY()),IF(COUNTIFS(Appointments!$D$6:$D$2005,D1048,Appointments!$F$6:$F$2005,"Booked",Appointments!$B$6:$B$2005,"&gt;="&amp;TODAY(),Appointments!$M$6:$M$2005,"&lt;"&amp;M1048)=0,1,0),0)</f>
        <v/>
      </c>
    </row>
    <row r="1049">
      <c r="A1049" s="1" t="n"/>
      <c r="B1049" s="30" t="n">
        <v>46275</v>
      </c>
      <c r="C1049" s="31" t="n">
        <v>0.375</v>
      </c>
      <c r="D1049" s="32" t="inlineStr">
        <is>
          <t>Eva Brooks</t>
        </is>
      </c>
      <c r="E1049" s="32" t="inlineStr">
        <is>
          <t>Blow dry</t>
        </is>
      </c>
      <c r="F1049" s="33" t="inlineStr">
        <is>
          <t>Done</t>
        </is>
      </c>
      <c r="G1049" s="27">
        <f>IF(E1049="","",MAX(0,IFERROR(INDEX(Services!$C$6:$C$35,MATCH(E1049,Services!$B$6:$B$35,0)),0)-N(H1049)))</f>
        <v/>
      </c>
      <c r="H1049" s="34" t="n"/>
      <c r="I1049" s="34" t="n">
        <v>35</v>
      </c>
      <c r="J1049" s="33" t="inlineStr">
        <is>
          <t>Transfer</t>
        </is>
      </c>
      <c r="K1049" s="28">
        <f>IF(OR(B1049="",F1049&lt;&gt;"Done",J1049="Package"),"",IF(N(G1049)-N(I1049)&gt;0,N(G1049)-N(I1049),""))</f>
        <v/>
      </c>
      <c r="L1049" s="32" t="n"/>
      <c r="M1049" s="1">
        <f>IF(OR(B1049="",D1049="",F1049="Cancelled"),"",B1049+N(C1049)+ROW()/10000000)</f>
        <v/>
      </c>
      <c r="N1049">
        <f>IF(AND(F1049="Done",M1049&lt;&gt;""),IF(COUNTIFS(Appointments!$D$6:$D$2005,D1049,Appointments!$F$6:$F$2005,"Done",Appointments!$M$6:$M$2005,"&gt;"&amp;M1049)=0,1,0),0)</f>
        <v/>
      </c>
      <c r="O1049">
        <f>IF(AND(F1049="Booked",M1049&lt;&gt;"",N(B1049)&gt;=TODAY()),IF(COUNTIFS(Appointments!$D$6:$D$2005,D1049,Appointments!$F$6:$F$2005,"Booked",Appointments!$B$6:$B$2005,"&gt;="&amp;TODAY(),Appointments!$M$6:$M$2005,"&lt;"&amp;M1049)=0,1,0),0)</f>
        <v/>
      </c>
    </row>
    <row r="1050">
      <c r="A1050" s="1" t="n"/>
      <c r="B1050" s="30" t="n">
        <v>46275</v>
      </c>
      <c r="C1050" s="31" t="n">
        <v>0.4131944444444444</v>
      </c>
      <c r="D1050" s="32" t="inlineStr">
        <is>
          <t>Gina Reid</t>
        </is>
      </c>
      <c r="E1050" s="32" t="inlineStr">
        <is>
          <t>Highlights</t>
        </is>
      </c>
      <c r="F1050" s="33" t="inlineStr">
        <is>
          <t>Done</t>
        </is>
      </c>
      <c r="G1050" s="27">
        <f>IF(E1050="","",MAX(0,IFERROR(INDEX(Services!$C$6:$C$35,MATCH(E1050,Services!$B$6:$B$35,0)),0)-N(H1050)))</f>
        <v/>
      </c>
      <c r="H1050" s="34" t="n"/>
      <c r="I1050" s="34" t="n">
        <v>140</v>
      </c>
      <c r="J1050" s="33" t="inlineStr">
        <is>
          <t>Card</t>
        </is>
      </c>
      <c r="K1050" s="28">
        <f>IF(OR(B1050="",F1050&lt;&gt;"Done",J1050="Package"),"",IF(N(G1050)-N(I1050)&gt;0,N(G1050)-N(I1050),""))</f>
        <v/>
      </c>
      <c r="L1050" s="32" t="n"/>
      <c r="M1050" s="1">
        <f>IF(OR(B1050="",D1050="",F1050="Cancelled"),"",B1050+N(C1050)+ROW()/10000000)</f>
        <v/>
      </c>
      <c r="N1050">
        <f>IF(AND(F1050="Done",M1050&lt;&gt;""),IF(COUNTIFS(Appointments!$D$6:$D$2005,D1050,Appointments!$F$6:$F$2005,"Done",Appointments!$M$6:$M$2005,"&gt;"&amp;M1050)=0,1,0),0)</f>
        <v/>
      </c>
      <c r="O1050">
        <f>IF(AND(F1050="Booked",M1050&lt;&gt;"",N(B1050)&gt;=TODAY()),IF(COUNTIFS(Appointments!$D$6:$D$2005,D1050,Appointments!$F$6:$F$2005,"Booked",Appointments!$B$6:$B$2005,"&gt;="&amp;TODAY(),Appointments!$M$6:$M$2005,"&lt;"&amp;M1050)=0,1,0),0)</f>
        <v/>
      </c>
    </row>
    <row r="1051">
      <c r="A1051" s="1" t="n"/>
      <c r="B1051" s="30" t="n">
        <v>46275</v>
      </c>
      <c r="C1051" s="31" t="n">
        <v>0.5243055555555556</v>
      </c>
      <c r="D1051" s="32" t="inlineStr">
        <is>
          <t>Hannah Hughes</t>
        </is>
      </c>
      <c r="E1051" s="32" t="inlineStr">
        <is>
          <t>Women's haircut</t>
        </is>
      </c>
      <c r="F1051" s="33" t="inlineStr">
        <is>
          <t>Done</t>
        </is>
      </c>
      <c r="G1051" s="27">
        <f>IF(E1051="","",MAX(0,IFERROR(INDEX(Services!$C$6:$C$35,MATCH(E1051,Services!$B$6:$B$35,0)),0)-N(H1051)))</f>
        <v/>
      </c>
      <c r="H1051" s="34" t="n"/>
      <c r="I1051" s="34" t="n">
        <v>55</v>
      </c>
      <c r="J1051" s="33" t="inlineStr">
        <is>
          <t>Cash</t>
        </is>
      </c>
      <c r="K1051" s="28">
        <f>IF(OR(B1051="",F1051&lt;&gt;"Done",J1051="Package"),"",IF(N(G1051)-N(I1051)&gt;0,N(G1051)-N(I1051),""))</f>
        <v/>
      </c>
      <c r="L1051" s="32" t="n"/>
      <c r="M1051" s="1">
        <f>IF(OR(B1051="",D1051="",F1051="Cancelled"),"",B1051+N(C1051)+ROW()/10000000)</f>
        <v/>
      </c>
      <c r="N1051">
        <f>IF(AND(F1051="Done",M1051&lt;&gt;""),IF(COUNTIFS(Appointments!$D$6:$D$2005,D1051,Appointments!$F$6:$F$2005,"Done",Appointments!$M$6:$M$2005,"&gt;"&amp;M1051)=0,1,0),0)</f>
        <v/>
      </c>
      <c r="O1051">
        <f>IF(AND(F1051="Booked",M1051&lt;&gt;"",N(B1051)&gt;=TODAY()),IF(COUNTIFS(Appointments!$D$6:$D$2005,D1051,Appointments!$F$6:$F$2005,"Booked",Appointments!$B$6:$B$2005,"&gt;="&amp;TODAY(),Appointments!$M$6:$M$2005,"&lt;"&amp;M1051)=0,1,0),0)</f>
        <v/>
      </c>
    </row>
    <row r="1052">
      <c r="A1052" s="1" t="n"/>
      <c r="B1052" s="30" t="n">
        <v>46275</v>
      </c>
      <c r="C1052" s="31" t="n">
        <v>0.5729166666666666</v>
      </c>
      <c r="D1052" s="32" t="inlineStr">
        <is>
          <t>Ryan Webb</t>
        </is>
      </c>
      <c r="E1052" s="32" t="inlineStr">
        <is>
          <t>Men's haircut</t>
        </is>
      </c>
      <c r="F1052" s="33" t="inlineStr">
        <is>
          <t>Done</t>
        </is>
      </c>
      <c r="G1052" s="27">
        <f>IF(E1052="","",MAX(0,IFERROR(INDEX(Services!$C$6:$C$35,MATCH(E1052,Services!$B$6:$B$35,0)),0)-N(H1052)))</f>
        <v/>
      </c>
      <c r="H1052" s="34" t="n"/>
      <c r="I1052" s="34" t="n">
        <v>30</v>
      </c>
      <c r="J1052" s="33" t="inlineStr">
        <is>
          <t>Card</t>
        </is>
      </c>
      <c r="K1052" s="28">
        <f>IF(OR(B1052="",F1052&lt;&gt;"Done",J1052="Package"),"",IF(N(G1052)-N(I1052)&gt;0,N(G1052)-N(I1052),""))</f>
        <v/>
      </c>
      <c r="L1052" s="32" t="n"/>
      <c r="M1052" s="1">
        <f>IF(OR(B1052="",D1052="",F1052="Cancelled"),"",B1052+N(C1052)+ROW()/10000000)</f>
        <v/>
      </c>
      <c r="N1052">
        <f>IF(AND(F1052="Done",M1052&lt;&gt;""),IF(COUNTIFS(Appointments!$D$6:$D$2005,D1052,Appointments!$F$6:$F$2005,"Done",Appointments!$M$6:$M$2005,"&gt;"&amp;M1052)=0,1,0),0)</f>
        <v/>
      </c>
      <c r="O1052">
        <f>IF(AND(F1052="Booked",M1052&lt;&gt;"",N(B1052)&gt;=TODAY()),IF(COUNTIFS(Appointments!$D$6:$D$2005,D1052,Appointments!$F$6:$F$2005,"Booked",Appointments!$B$6:$B$2005,"&gt;="&amp;TODAY(),Appointments!$M$6:$M$2005,"&lt;"&amp;M1052)=0,1,0),0)</f>
        <v/>
      </c>
    </row>
    <row r="1053">
      <c r="A1053" s="1" t="n"/>
      <c r="B1053" s="30" t="n">
        <v>46275</v>
      </c>
      <c r="C1053" s="31" t="n">
        <v>0.6006944444444444</v>
      </c>
      <c r="D1053" s="32" t="inlineStr">
        <is>
          <t>Sara Reed</t>
        </is>
      </c>
      <c r="E1053" s="32" t="inlineStr">
        <is>
          <t>Women's haircut</t>
        </is>
      </c>
      <c r="F1053" s="33" t="inlineStr">
        <is>
          <t>Done</t>
        </is>
      </c>
      <c r="G1053" s="27">
        <f>IF(E1053="","",MAX(0,IFERROR(INDEX(Services!$C$6:$C$35,MATCH(E1053,Services!$B$6:$B$35,0)),0)-N(H1053)))</f>
        <v/>
      </c>
      <c r="H1053" s="34" t="n"/>
      <c r="I1053" s="34" t="n">
        <v>55</v>
      </c>
      <c r="J1053" s="33" t="inlineStr">
        <is>
          <t>Card</t>
        </is>
      </c>
      <c r="K1053" s="28">
        <f>IF(OR(B1053="",F1053&lt;&gt;"Done",J1053="Package"),"",IF(N(G1053)-N(I1053)&gt;0,N(G1053)-N(I1053),""))</f>
        <v/>
      </c>
      <c r="L1053" s="32" t="n"/>
      <c r="M1053" s="1">
        <f>IF(OR(B1053="",D1053="",F1053="Cancelled"),"",B1053+N(C1053)+ROW()/10000000)</f>
        <v/>
      </c>
      <c r="N1053">
        <f>IF(AND(F1053="Done",M1053&lt;&gt;""),IF(COUNTIFS(Appointments!$D$6:$D$2005,D1053,Appointments!$F$6:$F$2005,"Done",Appointments!$M$6:$M$2005,"&gt;"&amp;M1053)=0,1,0),0)</f>
        <v/>
      </c>
      <c r="O1053">
        <f>IF(AND(F1053="Booked",M1053&lt;&gt;"",N(B1053)&gt;=TODAY()),IF(COUNTIFS(Appointments!$D$6:$D$2005,D1053,Appointments!$F$6:$F$2005,"Booked",Appointments!$B$6:$B$2005,"&gt;="&amp;TODAY(),Appointments!$M$6:$M$2005,"&lt;"&amp;M1053)=0,1,0),0)</f>
        <v/>
      </c>
    </row>
    <row r="1054">
      <c r="A1054" s="1" t="n"/>
      <c r="B1054" s="30" t="n">
        <v>46275</v>
      </c>
      <c r="C1054" s="31" t="n">
        <v>0.6493055555555556</v>
      </c>
      <c r="D1054" s="32" t="inlineStr">
        <is>
          <t>Sophie Ellis</t>
        </is>
      </c>
      <c r="E1054" s="32" t="inlineStr">
        <is>
          <t>Treatment</t>
        </is>
      </c>
      <c r="F1054" s="33" t="inlineStr">
        <is>
          <t>Done</t>
        </is>
      </c>
      <c r="G1054" s="27">
        <f>IF(E1054="","",MAX(0,IFERROR(INDEX(Services!$C$6:$C$35,MATCH(E1054,Services!$B$6:$B$35,0)),0)-N(H1054)))</f>
        <v/>
      </c>
      <c r="H1054" s="34" t="n"/>
      <c r="I1054" s="34" t="n">
        <v>30</v>
      </c>
      <c r="J1054" s="33" t="inlineStr">
        <is>
          <t>Card</t>
        </is>
      </c>
      <c r="K1054" s="28">
        <f>IF(OR(B1054="",F1054&lt;&gt;"Done",J1054="Package"),"",IF(N(G1054)-N(I1054)&gt;0,N(G1054)-N(I1054),""))</f>
        <v/>
      </c>
      <c r="L1054" s="32" t="n"/>
      <c r="M1054" s="1">
        <f>IF(OR(B1054="",D1054="",F1054="Cancelled"),"",B1054+N(C1054)+ROW()/10000000)</f>
        <v/>
      </c>
      <c r="N1054">
        <f>IF(AND(F1054="Done",M1054&lt;&gt;""),IF(COUNTIFS(Appointments!$D$6:$D$2005,D1054,Appointments!$F$6:$F$2005,"Done",Appointments!$M$6:$M$2005,"&gt;"&amp;M1054)=0,1,0),0)</f>
        <v/>
      </c>
      <c r="O1054">
        <f>IF(AND(F1054="Booked",M1054&lt;&gt;"",N(B1054)&gt;=TODAY()),IF(COUNTIFS(Appointments!$D$6:$D$2005,D1054,Appointments!$F$6:$F$2005,"Booked",Appointments!$B$6:$B$2005,"&gt;="&amp;TODAY(),Appointments!$M$6:$M$2005,"&lt;"&amp;M1054)=0,1,0),0)</f>
        <v/>
      </c>
    </row>
    <row r="1055">
      <c r="A1055" s="1" t="n"/>
      <c r="B1055" s="30" t="n">
        <v>46276</v>
      </c>
      <c r="C1055" s="31" t="n">
        <v>0.375</v>
      </c>
      <c r="D1055" s="32" t="inlineStr">
        <is>
          <t>Anna Rossi</t>
        </is>
      </c>
      <c r="E1055" s="32" t="inlineStr">
        <is>
          <t>Women's haircut</t>
        </is>
      </c>
      <c r="F1055" s="33" t="inlineStr">
        <is>
          <t>Done</t>
        </is>
      </c>
      <c r="G1055" s="27">
        <f>IF(E1055="","",MAX(0,IFERROR(INDEX(Services!$C$6:$C$35,MATCH(E1055,Services!$B$6:$B$35,0)),0)-N(H1055)))</f>
        <v/>
      </c>
      <c r="H1055" s="34" t="n"/>
      <c r="I1055" s="34" t="n">
        <v>55</v>
      </c>
      <c r="J1055" s="33" t="inlineStr">
        <is>
          <t>Card</t>
        </is>
      </c>
      <c r="K1055" s="28">
        <f>IF(OR(B1055="",F1055&lt;&gt;"Done",J1055="Package"),"",IF(N(G1055)-N(I1055)&gt;0,N(G1055)-N(I1055),""))</f>
        <v/>
      </c>
      <c r="L1055" s="32" t="n"/>
      <c r="M1055" s="1">
        <f>IF(OR(B1055="",D1055="",F1055="Cancelled"),"",B1055+N(C1055)+ROW()/10000000)</f>
        <v/>
      </c>
      <c r="N1055">
        <f>IF(AND(F1055="Done",M1055&lt;&gt;""),IF(COUNTIFS(Appointments!$D$6:$D$2005,D1055,Appointments!$F$6:$F$2005,"Done",Appointments!$M$6:$M$2005,"&gt;"&amp;M1055)=0,1,0),0)</f>
        <v/>
      </c>
      <c r="O1055">
        <f>IF(AND(F1055="Booked",M1055&lt;&gt;"",N(B1055)&gt;=TODAY()),IF(COUNTIFS(Appointments!$D$6:$D$2005,D1055,Appointments!$F$6:$F$2005,"Booked",Appointments!$B$6:$B$2005,"&gt;="&amp;TODAY(),Appointments!$M$6:$M$2005,"&lt;"&amp;M1055)=0,1,0),0)</f>
        <v/>
      </c>
    </row>
    <row r="1056">
      <c r="A1056" s="1" t="n"/>
      <c r="B1056" s="30" t="n">
        <v>46276</v>
      </c>
      <c r="C1056" s="31" t="n">
        <v>0.4236111111111111</v>
      </c>
      <c r="D1056" s="32" t="inlineStr">
        <is>
          <t>Harry Hill</t>
        </is>
      </c>
      <c r="E1056" s="32" t="inlineStr">
        <is>
          <t>Men's haircut</t>
        </is>
      </c>
      <c r="F1056" s="33" t="inlineStr">
        <is>
          <t>Done</t>
        </is>
      </c>
      <c r="G1056" s="27">
        <f>IF(E1056="","",MAX(0,IFERROR(INDEX(Services!$C$6:$C$35,MATCH(E1056,Services!$B$6:$B$35,0)),0)-N(H1056)))</f>
        <v/>
      </c>
      <c r="H1056" s="34" t="n"/>
      <c r="I1056" s="34" t="n">
        <v>30</v>
      </c>
      <c r="J1056" s="33" t="inlineStr">
        <is>
          <t>Card</t>
        </is>
      </c>
      <c r="K1056" s="28">
        <f>IF(OR(B1056="",F1056&lt;&gt;"Done",J1056="Package"),"",IF(N(G1056)-N(I1056)&gt;0,N(G1056)-N(I1056),""))</f>
        <v/>
      </c>
      <c r="L1056" s="32" t="n"/>
      <c r="M1056" s="1">
        <f>IF(OR(B1056="",D1056="",F1056="Cancelled"),"",B1056+N(C1056)+ROW()/10000000)</f>
        <v/>
      </c>
      <c r="N1056">
        <f>IF(AND(F1056="Done",M1056&lt;&gt;""),IF(COUNTIFS(Appointments!$D$6:$D$2005,D1056,Appointments!$F$6:$F$2005,"Done",Appointments!$M$6:$M$2005,"&gt;"&amp;M1056)=0,1,0),0)</f>
        <v/>
      </c>
      <c r="O1056">
        <f>IF(AND(F1056="Booked",M1056&lt;&gt;"",N(B1056)&gt;=TODAY()),IF(COUNTIFS(Appointments!$D$6:$D$2005,D1056,Appointments!$F$6:$F$2005,"Booked",Appointments!$B$6:$B$2005,"&gt;="&amp;TODAY(),Appointments!$M$6:$M$2005,"&lt;"&amp;M1056)=0,1,0),0)</f>
        <v/>
      </c>
    </row>
    <row r="1057">
      <c r="A1057" s="1" t="n"/>
      <c r="B1057" s="30" t="n">
        <v>46276</v>
      </c>
      <c r="C1057" s="31" t="n">
        <v>0.4513888888888889</v>
      </c>
      <c r="D1057" s="32" t="inlineStr">
        <is>
          <t>Jade Hughes</t>
        </is>
      </c>
      <c r="E1057" s="32" t="inlineStr">
        <is>
          <t>Blow dry</t>
        </is>
      </c>
      <c r="F1057" s="33" t="inlineStr">
        <is>
          <t>Done</t>
        </is>
      </c>
      <c r="G1057" s="27">
        <f>IF(E1057="","",MAX(0,IFERROR(INDEX(Services!$C$6:$C$35,MATCH(E1057,Services!$B$6:$B$35,0)),0)-N(H1057)))</f>
        <v/>
      </c>
      <c r="H1057" s="34" t="n">
        <v>10</v>
      </c>
      <c r="I1057" s="34" t="n">
        <v>25</v>
      </c>
      <c r="J1057" s="33" t="inlineStr">
        <is>
          <t>Transfer</t>
        </is>
      </c>
      <c r="K1057" s="28">
        <f>IF(OR(B1057="",F1057&lt;&gt;"Done",J1057="Package"),"",IF(N(G1057)-N(I1057)&gt;0,N(G1057)-N(I1057),""))</f>
        <v/>
      </c>
      <c r="L1057" s="32" t="inlineStr">
        <is>
          <t>Friends and family</t>
        </is>
      </c>
      <c r="M1057" s="1">
        <f>IF(OR(B1057="",D1057="",F1057="Cancelled"),"",B1057+N(C1057)+ROW()/10000000)</f>
        <v/>
      </c>
      <c r="N1057">
        <f>IF(AND(F1057="Done",M1057&lt;&gt;""),IF(COUNTIFS(Appointments!$D$6:$D$2005,D1057,Appointments!$F$6:$F$2005,"Done",Appointments!$M$6:$M$2005,"&gt;"&amp;M1057)=0,1,0),0)</f>
        <v/>
      </c>
      <c r="O1057">
        <f>IF(AND(F1057="Booked",M1057&lt;&gt;"",N(B1057)&gt;=TODAY()),IF(COUNTIFS(Appointments!$D$6:$D$2005,D1057,Appointments!$F$6:$F$2005,"Booked",Appointments!$B$6:$B$2005,"&gt;="&amp;TODAY(),Appointments!$M$6:$M$2005,"&lt;"&amp;M1057)=0,1,0),0)</f>
        <v/>
      </c>
    </row>
    <row r="1058">
      <c r="A1058" s="1" t="n"/>
      <c r="B1058" s="30" t="n">
        <v>46277</v>
      </c>
      <c r="C1058" s="31" t="n">
        <v>0.375</v>
      </c>
      <c r="D1058" s="32" t="inlineStr">
        <is>
          <t>Chris Ellis</t>
        </is>
      </c>
      <c r="E1058" s="32" t="inlineStr">
        <is>
          <t>Men's haircut</t>
        </is>
      </c>
      <c r="F1058" s="33" t="inlineStr">
        <is>
          <t>Done</t>
        </is>
      </c>
      <c r="G1058" s="27">
        <f>IF(E1058="","",MAX(0,IFERROR(INDEX(Services!$C$6:$C$35,MATCH(E1058,Services!$B$6:$B$35,0)),0)-N(H1058)))</f>
        <v/>
      </c>
      <c r="H1058" s="34" t="n"/>
      <c r="I1058" s="34" t="n">
        <v>30</v>
      </c>
      <c r="J1058" s="33" t="inlineStr">
        <is>
          <t>Transfer</t>
        </is>
      </c>
      <c r="K1058" s="28">
        <f>IF(OR(B1058="",F1058&lt;&gt;"Done",J1058="Package"),"",IF(N(G1058)-N(I1058)&gt;0,N(G1058)-N(I1058),""))</f>
        <v/>
      </c>
      <c r="L1058" s="32" t="n"/>
      <c r="M1058" s="1">
        <f>IF(OR(B1058="",D1058="",F1058="Cancelled"),"",B1058+N(C1058)+ROW()/10000000)</f>
        <v/>
      </c>
      <c r="N1058">
        <f>IF(AND(F1058="Done",M1058&lt;&gt;""),IF(COUNTIFS(Appointments!$D$6:$D$2005,D1058,Appointments!$F$6:$F$2005,"Done",Appointments!$M$6:$M$2005,"&gt;"&amp;M1058)=0,1,0),0)</f>
        <v/>
      </c>
      <c r="O1058">
        <f>IF(AND(F1058="Booked",M1058&lt;&gt;"",N(B1058)&gt;=TODAY()),IF(COUNTIFS(Appointments!$D$6:$D$2005,D1058,Appointments!$F$6:$F$2005,"Booked",Appointments!$B$6:$B$2005,"&gt;="&amp;TODAY(),Appointments!$M$6:$M$2005,"&lt;"&amp;M1058)=0,1,0),0)</f>
        <v/>
      </c>
    </row>
    <row r="1059">
      <c r="A1059" s="1" t="n"/>
      <c r="B1059" s="30" t="n">
        <v>46277</v>
      </c>
      <c r="C1059" s="31" t="n">
        <v>0.4027777777777778</v>
      </c>
      <c r="D1059" s="32" t="inlineStr">
        <is>
          <t>Chris West</t>
        </is>
      </c>
      <c r="E1059" s="32" t="inlineStr">
        <is>
          <t>Men's haircut</t>
        </is>
      </c>
      <c r="F1059" s="33" t="inlineStr">
        <is>
          <t>Done</t>
        </is>
      </c>
      <c r="G1059" s="27">
        <f>IF(E1059="","",MAX(0,IFERROR(INDEX(Services!$C$6:$C$35,MATCH(E1059,Services!$B$6:$B$35,0)),0)-N(H1059)))</f>
        <v/>
      </c>
      <c r="H1059" s="34" t="n"/>
      <c r="I1059" s="34" t="n">
        <v>30</v>
      </c>
      <c r="J1059" s="33" t="inlineStr">
        <is>
          <t>Card</t>
        </is>
      </c>
      <c r="K1059" s="28">
        <f>IF(OR(B1059="",F1059&lt;&gt;"Done",J1059="Package"),"",IF(N(G1059)-N(I1059)&gt;0,N(G1059)-N(I1059),""))</f>
        <v/>
      </c>
      <c r="L1059" s="32" t="n"/>
      <c r="M1059" s="1">
        <f>IF(OR(B1059="",D1059="",F1059="Cancelled"),"",B1059+N(C1059)+ROW()/10000000)</f>
        <v/>
      </c>
      <c r="N1059">
        <f>IF(AND(F1059="Done",M1059&lt;&gt;""),IF(COUNTIFS(Appointments!$D$6:$D$2005,D1059,Appointments!$F$6:$F$2005,"Done",Appointments!$M$6:$M$2005,"&gt;"&amp;M1059)=0,1,0),0)</f>
        <v/>
      </c>
      <c r="O1059">
        <f>IF(AND(F1059="Booked",M1059&lt;&gt;"",N(B1059)&gt;=TODAY()),IF(COUNTIFS(Appointments!$D$6:$D$2005,D1059,Appointments!$F$6:$F$2005,"Booked",Appointments!$B$6:$B$2005,"&gt;="&amp;TODAY(),Appointments!$M$6:$M$2005,"&lt;"&amp;M1059)=0,1,0),0)</f>
        <v/>
      </c>
    </row>
    <row r="1060">
      <c r="A1060" s="1" t="n"/>
      <c r="B1060" s="30" t="n">
        <v>46277</v>
      </c>
      <c r="C1060" s="31" t="n">
        <v>0.4305555555555556</v>
      </c>
      <c r="D1060" s="32" t="inlineStr">
        <is>
          <t>Hannah Ellis</t>
        </is>
      </c>
      <c r="E1060" s="32" t="inlineStr">
        <is>
          <t>Colour</t>
        </is>
      </c>
      <c r="F1060" s="33" t="inlineStr">
        <is>
          <t>Cancelled</t>
        </is>
      </c>
      <c r="G1060" s="27">
        <f>IF(E1060="","",MAX(0,IFERROR(INDEX(Services!$C$6:$C$35,MATCH(E1060,Services!$B$6:$B$35,0)),0)-N(H1060)))</f>
        <v/>
      </c>
      <c r="H1060" s="34" t="n"/>
      <c r="I1060" s="34" t="n"/>
      <c r="J1060" s="33" t="n"/>
      <c r="K1060" s="28">
        <f>IF(OR(B1060="",F1060&lt;&gt;"Done",J1060="Package"),"",IF(N(G1060)-N(I1060)&gt;0,N(G1060)-N(I1060),""))</f>
        <v/>
      </c>
      <c r="L1060" s="32" t="n"/>
      <c r="M1060" s="1">
        <f>IF(OR(B1060="",D1060="",F1060="Cancelled"),"",B1060+N(C1060)+ROW()/10000000)</f>
        <v/>
      </c>
      <c r="N1060">
        <f>IF(AND(F1060="Done",M1060&lt;&gt;""),IF(COUNTIFS(Appointments!$D$6:$D$2005,D1060,Appointments!$F$6:$F$2005,"Done",Appointments!$M$6:$M$2005,"&gt;"&amp;M1060)=0,1,0),0)</f>
        <v/>
      </c>
      <c r="O1060">
        <f>IF(AND(F1060="Booked",M1060&lt;&gt;"",N(B1060)&gt;=TODAY()),IF(COUNTIFS(Appointments!$D$6:$D$2005,D1060,Appointments!$F$6:$F$2005,"Booked",Appointments!$B$6:$B$2005,"&gt;="&amp;TODAY(),Appointments!$M$6:$M$2005,"&lt;"&amp;M1060)=0,1,0),0)</f>
        <v/>
      </c>
    </row>
    <row r="1061">
      <c r="A1061" s="1" t="n"/>
      <c r="B1061" s="30" t="n">
        <v>46277</v>
      </c>
      <c r="C1061" s="31" t="n">
        <v>0.5208333333333334</v>
      </c>
      <c r="D1061" s="32" t="inlineStr">
        <is>
          <t>Jon Reid</t>
        </is>
      </c>
      <c r="E1061" s="32" t="inlineStr">
        <is>
          <t>Men's haircut</t>
        </is>
      </c>
      <c r="F1061" s="33" t="inlineStr">
        <is>
          <t>Done</t>
        </is>
      </c>
      <c r="G1061" s="27">
        <f>IF(E1061="","",MAX(0,IFERROR(INDEX(Services!$C$6:$C$35,MATCH(E1061,Services!$B$6:$B$35,0)),0)-N(H1061)))</f>
        <v/>
      </c>
      <c r="H1061" s="34" t="n"/>
      <c r="I1061" s="34" t="n">
        <v>30</v>
      </c>
      <c r="J1061" s="33" t="inlineStr">
        <is>
          <t>Card</t>
        </is>
      </c>
      <c r="K1061" s="28">
        <f>IF(OR(B1061="",F1061&lt;&gt;"Done",J1061="Package"),"",IF(N(G1061)-N(I1061)&gt;0,N(G1061)-N(I1061),""))</f>
        <v/>
      </c>
      <c r="L1061" s="32" t="n"/>
      <c r="M1061" s="1">
        <f>IF(OR(B1061="",D1061="",F1061="Cancelled"),"",B1061+N(C1061)+ROW()/10000000)</f>
        <v/>
      </c>
      <c r="N1061">
        <f>IF(AND(F1061="Done",M1061&lt;&gt;""),IF(COUNTIFS(Appointments!$D$6:$D$2005,D1061,Appointments!$F$6:$F$2005,"Done",Appointments!$M$6:$M$2005,"&gt;"&amp;M1061)=0,1,0),0)</f>
        <v/>
      </c>
      <c r="O1061">
        <f>IF(AND(F1061="Booked",M1061&lt;&gt;"",N(B1061)&gt;=TODAY()),IF(COUNTIFS(Appointments!$D$6:$D$2005,D1061,Appointments!$F$6:$F$2005,"Booked",Appointments!$B$6:$B$2005,"&gt;="&amp;TODAY(),Appointments!$M$6:$M$2005,"&lt;"&amp;M1061)=0,1,0),0)</f>
        <v/>
      </c>
    </row>
    <row r="1062">
      <c r="A1062" s="1" t="n"/>
      <c r="B1062" s="30" t="n">
        <v>46277</v>
      </c>
      <c r="C1062" s="31" t="n">
        <v>0.5486111111111112</v>
      </c>
      <c r="D1062" s="32" t="inlineStr">
        <is>
          <t>Lucy Wood</t>
        </is>
      </c>
      <c r="E1062" s="32" t="inlineStr">
        <is>
          <t>Women's haircut</t>
        </is>
      </c>
      <c r="F1062" s="33" t="inlineStr">
        <is>
          <t>Done</t>
        </is>
      </c>
      <c r="G1062" s="27">
        <f>IF(E1062="","",MAX(0,IFERROR(INDEX(Services!$C$6:$C$35,MATCH(E1062,Services!$B$6:$B$35,0)),0)-N(H1062)))</f>
        <v/>
      </c>
      <c r="H1062" s="34" t="n"/>
      <c r="I1062" s="34" t="n">
        <v>55</v>
      </c>
      <c r="J1062" s="33" t="inlineStr">
        <is>
          <t>Cash</t>
        </is>
      </c>
      <c r="K1062" s="28">
        <f>IF(OR(B1062="",F1062&lt;&gt;"Done",J1062="Package"),"",IF(N(G1062)-N(I1062)&gt;0,N(G1062)-N(I1062),""))</f>
        <v/>
      </c>
      <c r="L1062" s="32" t="n"/>
      <c r="M1062" s="1">
        <f>IF(OR(B1062="",D1062="",F1062="Cancelled"),"",B1062+N(C1062)+ROW()/10000000)</f>
        <v/>
      </c>
      <c r="N1062">
        <f>IF(AND(F1062="Done",M1062&lt;&gt;""),IF(COUNTIFS(Appointments!$D$6:$D$2005,D1062,Appointments!$F$6:$F$2005,"Done",Appointments!$M$6:$M$2005,"&gt;"&amp;M1062)=0,1,0),0)</f>
        <v/>
      </c>
      <c r="O1062">
        <f>IF(AND(F1062="Booked",M1062&lt;&gt;"",N(B1062)&gt;=TODAY()),IF(COUNTIFS(Appointments!$D$6:$D$2005,D1062,Appointments!$F$6:$F$2005,"Booked",Appointments!$B$6:$B$2005,"&gt;="&amp;TODAY(),Appointments!$M$6:$M$2005,"&lt;"&amp;M1062)=0,1,0),0)</f>
        <v/>
      </c>
    </row>
    <row r="1063">
      <c r="A1063" s="1" t="n"/>
      <c r="B1063" s="30" t="n">
        <v>46277</v>
      </c>
      <c r="C1063" s="31" t="n">
        <v>0.5972222222222222</v>
      </c>
      <c r="D1063" s="32" t="inlineStr">
        <is>
          <t>Matt Ellis</t>
        </is>
      </c>
      <c r="E1063" s="32" t="inlineStr">
        <is>
          <t>Men's haircut</t>
        </is>
      </c>
      <c r="F1063" s="33" t="inlineStr">
        <is>
          <t>Done</t>
        </is>
      </c>
      <c r="G1063" s="27">
        <f>IF(E1063="","",MAX(0,IFERROR(INDEX(Services!$C$6:$C$35,MATCH(E1063,Services!$B$6:$B$35,0)),0)-N(H1063)))</f>
        <v/>
      </c>
      <c r="H1063" s="34" t="n"/>
      <c r="I1063" s="34" t="n">
        <v>30</v>
      </c>
      <c r="J1063" s="33" t="inlineStr">
        <is>
          <t>Card</t>
        </is>
      </c>
      <c r="K1063" s="28">
        <f>IF(OR(B1063="",F1063&lt;&gt;"Done",J1063="Package"),"",IF(N(G1063)-N(I1063)&gt;0,N(G1063)-N(I1063),""))</f>
        <v/>
      </c>
      <c r="L1063" s="32" t="n"/>
      <c r="M1063" s="1">
        <f>IF(OR(B1063="",D1063="",F1063="Cancelled"),"",B1063+N(C1063)+ROW()/10000000)</f>
        <v/>
      </c>
      <c r="N1063">
        <f>IF(AND(F1063="Done",M1063&lt;&gt;""),IF(COUNTIFS(Appointments!$D$6:$D$2005,D1063,Appointments!$F$6:$F$2005,"Done",Appointments!$M$6:$M$2005,"&gt;"&amp;M1063)=0,1,0),0)</f>
        <v/>
      </c>
      <c r="O1063">
        <f>IF(AND(F1063="Booked",M1063&lt;&gt;"",N(B1063)&gt;=TODAY()),IF(COUNTIFS(Appointments!$D$6:$D$2005,D1063,Appointments!$F$6:$F$2005,"Booked",Appointments!$B$6:$B$2005,"&gt;="&amp;TODAY(),Appointments!$M$6:$M$2005,"&lt;"&amp;M1063)=0,1,0),0)</f>
        <v/>
      </c>
    </row>
    <row r="1064">
      <c r="A1064" s="1" t="n"/>
      <c r="B1064" s="30" t="n">
        <v>46277</v>
      </c>
      <c r="C1064" s="31" t="n">
        <v>0.625</v>
      </c>
      <c r="D1064" s="32" t="inlineStr">
        <is>
          <t>Tom Davies</t>
        </is>
      </c>
      <c r="E1064" s="32" t="inlineStr">
        <is>
          <t>Men's haircut</t>
        </is>
      </c>
      <c r="F1064" s="33" t="inlineStr">
        <is>
          <t>Done</t>
        </is>
      </c>
      <c r="G1064" s="27">
        <f>IF(E1064="","",MAX(0,IFERROR(INDEX(Services!$C$6:$C$35,MATCH(E1064,Services!$B$6:$B$35,0)),0)-N(H1064)))</f>
        <v/>
      </c>
      <c r="H1064" s="34" t="n"/>
      <c r="I1064" s="34" t="n">
        <v>30</v>
      </c>
      <c r="J1064" s="33" t="inlineStr">
        <is>
          <t>Card</t>
        </is>
      </c>
      <c r="K1064" s="28">
        <f>IF(OR(B1064="",F1064&lt;&gt;"Done",J1064="Package"),"",IF(N(G1064)-N(I1064)&gt;0,N(G1064)-N(I1064),""))</f>
        <v/>
      </c>
      <c r="L1064" s="32" t="n"/>
      <c r="M1064" s="1">
        <f>IF(OR(B1064="",D1064="",F1064="Cancelled"),"",B1064+N(C1064)+ROW()/10000000)</f>
        <v/>
      </c>
      <c r="N1064">
        <f>IF(AND(F1064="Done",M1064&lt;&gt;""),IF(COUNTIFS(Appointments!$D$6:$D$2005,D1064,Appointments!$F$6:$F$2005,"Done",Appointments!$M$6:$M$2005,"&gt;"&amp;M1064)=0,1,0),0)</f>
        <v/>
      </c>
      <c r="O1064">
        <f>IF(AND(F1064="Booked",M1064&lt;&gt;"",N(B1064)&gt;=TODAY()),IF(COUNTIFS(Appointments!$D$6:$D$2005,D1064,Appointments!$F$6:$F$2005,"Booked",Appointments!$B$6:$B$2005,"&gt;="&amp;TODAY(),Appointments!$M$6:$M$2005,"&lt;"&amp;M1064)=0,1,0),0)</f>
        <v/>
      </c>
    </row>
    <row r="1065">
      <c r="A1065" s="1" t="n"/>
      <c r="B1065" s="30" t="n">
        <v>46280</v>
      </c>
      <c r="C1065" s="31" t="n">
        <v>0.375</v>
      </c>
      <c r="D1065" s="32" t="inlineStr">
        <is>
          <t>Ben Carter</t>
        </is>
      </c>
      <c r="E1065" s="32" t="inlineStr">
        <is>
          <t>Men's haircut</t>
        </is>
      </c>
      <c r="F1065" s="33" t="inlineStr">
        <is>
          <t>Done</t>
        </is>
      </c>
      <c r="G1065" s="27">
        <f>IF(E1065="","",MAX(0,IFERROR(INDEX(Services!$C$6:$C$35,MATCH(E1065,Services!$B$6:$B$35,0)),0)-N(H1065)))</f>
        <v/>
      </c>
      <c r="H1065" s="34" t="n"/>
      <c r="I1065" s="34" t="n">
        <v>30</v>
      </c>
      <c r="J1065" s="33" t="inlineStr">
        <is>
          <t>Cash</t>
        </is>
      </c>
      <c r="K1065" s="28">
        <f>IF(OR(B1065="",F1065&lt;&gt;"Done",J1065="Package"),"",IF(N(G1065)-N(I1065)&gt;0,N(G1065)-N(I1065),""))</f>
        <v/>
      </c>
      <c r="L1065" s="32" t="n"/>
      <c r="M1065" s="1">
        <f>IF(OR(B1065="",D1065="",F1065="Cancelled"),"",B1065+N(C1065)+ROW()/10000000)</f>
        <v/>
      </c>
      <c r="N1065">
        <f>IF(AND(F1065="Done",M1065&lt;&gt;""),IF(COUNTIFS(Appointments!$D$6:$D$2005,D1065,Appointments!$F$6:$F$2005,"Done",Appointments!$M$6:$M$2005,"&gt;"&amp;M1065)=0,1,0),0)</f>
        <v/>
      </c>
      <c r="O1065">
        <f>IF(AND(F1065="Booked",M1065&lt;&gt;"",N(B1065)&gt;=TODAY()),IF(COUNTIFS(Appointments!$D$6:$D$2005,D1065,Appointments!$F$6:$F$2005,"Booked",Appointments!$B$6:$B$2005,"&gt;="&amp;TODAY(),Appointments!$M$6:$M$2005,"&lt;"&amp;M1065)=0,1,0),0)</f>
        <v/>
      </c>
    </row>
    <row r="1066">
      <c r="A1066" s="1" t="n"/>
      <c r="B1066" s="30" t="n">
        <v>46280</v>
      </c>
      <c r="C1066" s="31" t="n">
        <v>0.4027777777777778</v>
      </c>
      <c r="D1066" s="32" t="inlineStr">
        <is>
          <t>Eli Cole</t>
        </is>
      </c>
      <c r="E1066" s="32" t="inlineStr">
        <is>
          <t>Men's haircut</t>
        </is>
      </c>
      <c r="F1066" s="33" t="inlineStr">
        <is>
          <t>Done</t>
        </is>
      </c>
      <c r="G1066" s="27">
        <f>IF(E1066="","",MAX(0,IFERROR(INDEX(Services!$C$6:$C$35,MATCH(E1066,Services!$B$6:$B$35,0)),0)-N(H1066)))</f>
        <v/>
      </c>
      <c r="H1066" s="34" t="n"/>
      <c r="I1066" s="34" t="n">
        <v>30</v>
      </c>
      <c r="J1066" s="33" t="inlineStr">
        <is>
          <t>Cash</t>
        </is>
      </c>
      <c r="K1066" s="28">
        <f>IF(OR(B1066="",F1066&lt;&gt;"Done",J1066="Package"),"",IF(N(G1066)-N(I1066)&gt;0,N(G1066)-N(I1066),""))</f>
        <v/>
      </c>
      <c r="L1066" s="32" t="n"/>
      <c r="M1066" s="1">
        <f>IF(OR(B1066="",D1066="",F1066="Cancelled"),"",B1066+N(C1066)+ROW()/10000000)</f>
        <v/>
      </c>
      <c r="N1066">
        <f>IF(AND(F1066="Done",M1066&lt;&gt;""),IF(COUNTIFS(Appointments!$D$6:$D$2005,D1066,Appointments!$F$6:$F$2005,"Done",Appointments!$M$6:$M$2005,"&gt;"&amp;M1066)=0,1,0),0)</f>
        <v/>
      </c>
      <c r="O1066">
        <f>IF(AND(F1066="Booked",M1066&lt;&gt;"",N(B1066)&gt;=TODAY()),IF(COUNTIFS(Appointments!$D$6:$D$2005,D1066,Appointments!$F$6:$F$2005,"Booked",Appointments!$B$6:$B$2005,"&gt;="&amp;TODAY(),Appointments!$M$6:$M$2005,"&lt;"&amp;M1066)=0,1,0),0)</f>
        <v/>
      </c>
    </row>
    <row r="1067">
      <c r="A1067" s="1" t="n"/>
      <c r="B1067" s="30" t="n">
        <v>46280</v>
      </c>
      <c r="C1067" s="31" t="n">
        <v>0.4305555555555556</v>
      </c>
      <c r="D1067" s="32" t="inlineStr">
        <is>
          <t>Nick Young</t>
        </is>
      </c>
      <c r="E1067" s="32" t="inlineStr">
        <is>
          <t>Men's haircut</t>
        </is>
      </c>
      <c r="F1067" s="33" t="inlineStr">
        <is>
          <t>Done</t>
        </is>
      </c>
      <c r="G1067" s="27">
        <f>IF(E1067="","",MAX(0,IFERROR(INDEX(Services!$C$6:$C$35,MATCH(E1067,Services!$B$6:$B$35,0)),0)-N(H1067)))</f>
        <v/>
      </c>
      <c r="H1067" s="34" t="n"/>
      <c r="I1067" s="34" t="n">
        <v>30</v>
      </c>
      <c r="J1067" s="33" t="inlineStr">
        <is>
          <t>Card</t>
        </is>
      </c>
      <c r="K1067" s="28">
        <f>IF(OR(B1067="",F1067&lt;&gt;"Done",J1067="Package"),"",IF(N(G1067)-N(I1067)&gt;0,N(G1067)-N(I1067),""))</f>
        <v/>
      </c>
      <c r="L1067" s="32" t="n"/>
      <c r="M1067" s="1">
        <f>IF(OR(B1067="",D1067="",F1067="Cancelled"),"",B1067+N(C1067)+ROW()/10000000)</f>
        <v/>
      </c>
      <c r="N1067">
        <f>IF(AND(F1067="Done",M1067&lt;&gt;""),IF(COUNTIFS(Appointments!$D$6:$D$2005,D1067,Appointments!$F$6:$F$2005,"Done",Appointments!$M$6:$M$2005,"&gt;"&amp;M1067)=0,1,0),0)</f>
        <v/>
      </c>
      <c r="O1067">
        <f>IF(AND(F1067="Booked",M1067&lt;&gt;"",N(B1067)&gt;=TODAY()),IF(COUNTIFS(Appointments!$D$6:$D$2005,D1067,Appointments!$F$6:$F$2005,"Booked",Appointments!$B$6:$B$2005,"&gt;="&amp;TODAY(),Appointments!$M$6:$M$2005,"&lt;"&amp;M1067)=0,1,0),0)</f>
        <v/>
      </c>
    </row>
    <row r="1068">
      <c r="A1068" s="1" t="n"/>
      <c r="B1068" s="30" t="n">
        <v>46280</v>
      </c>
      <c r="C1068" s="31" t="n">
        <v>0.4583333333333333</v>
      </c>
      <c r="D1068" s="32" t="inlineStr">
        <is>
          <t>Quinn Harris</t>
        </is>
      </c>
      <c r="E1068" s="32" t="inlineStr">
        <is>
          <t>Highlights</t>
        </is>
      </c>
      <c r="F1068" s="33" t="inlineStr">
        <is>
          <t>Done</t>
        </is>
      </c>
      <c r="G1068" s="27">
        <f>IF(E1068="","",MAX(0,IFERROR(INDEX(Services!$C$6:$C$35,MATCH(E1068,Services!$B$6:$B$35,0)),0)-N(H1068)))</f>
        <v/>
      </c>
      <c r="H1068" s="34" t="n"/>
      <c r="I1068" s="34" t="n">
        <v>140</v>
      </c>
      <c r="J1068" s="33" t="inlineStr">
        <is>
          <t>Cash</t>
        </is>
      </c>
      <c r="K1068" s="28">
        <f>IF(OR(B1068="",F1068&lt;&gt;"Done",J1068="Package"),"",IF(N(G1068)-N(I1068)&gt;0,N(G1068)-N(I1068),""))</f>
        <v/>
      </c>
      <c r="L1068" s="32" t="n"/>
      <c r="M1068" s="1">
        <f>IF(OR(B1068="",D1068="",F1068="Cancelled"),"",B1068+N(C1068)+ROW()/10000000)</f>
        <v/>
      </c>
      <c r="N1068">
        <f>IF(AND(F1068="Done",M1068&lt;&gt;""),IF(COUNTIFS(Appointments!$D$6:$D$2005,D1068,Appointments!$F$6:$F$2005,"Done",Appointments!$M$6:$M$2005,"&gt;"&amp;M1068)=0,1,0),0)</f>
        <v/>
      </c>
      <c r="O1068">
        <f>IF(AND(F1068="Booked",M1068&lt;&gt;"",N(B1068)&gt;=TODAY()),IF(COUNTIFS(Appointments!$D$6:$D$2005,D1068,Appointments!$F$6:$F$2005,"Booked",Appointments!$B$6:$B$2005,"&gt;="&amp;TODAY(),Appointments!$M$6:$M$2005,"&lt;"&amp;M1068)=0,1,0),0)</f>
        <v/>
      </c>
    </row>
    <row r="1069">
      <c r="A1069" s="1" t="n"/>
      <c r="B1069" s="30" t="n">
        <v>46280</v>
      </c>
      <c r="C1069" s="31" t="n">
        <v>0.5694444444444444</v>
      </c>
      <c r="D1069" s="32" t="inlineStr">
        <is>
          <t>Rosa Diaz</t>
        </is>
      </c>
      <c r="E1069" s="32" t="inlineStr">
        <is>
          <t>Colour</t>
        </is>
      </c>
      <c r="F1069" s="33" t="inlineStr">
        <is>
          <t>Done</t>
        </is>
      </c>
      <c r="G1069" s="27">
        <f>IF(E1069="","",MAX(0,IFERROR(INDEX(Services!$C$6:$C$35,MATCH(E1069,Services!$B$6:$B$35,0)),0)-N(H1069)))</f>
        <v/>
      </c>
      <c r="H1069" s="34" t="n"/>
      <c r="I1069" s="34" t="n">
        <v>55</v>
      </c>
      <c r="J1069" s="33" t="inlineStr">
        <is>
          <t>Card</t>
        </is>
      </c>
      <c r="K1069" s="28">
        <f>IF(OR(B1069="",F1069&lt;&gt;"Done",J1069="Package"),"",IF(N(G1069)-N(I1069)&gt;0,N(G1069)-N(I1069),""))</f>
        <v/>
      </c>
      <c r="L1069" s="32" t="inlineStr">
        <is>
          <t>Pays the rest next time</t>
        </is>
      </c>
      <c r="M1069" s="1">
        <f>IF(OR(B1069="",D1069="",F1069="Cancelled"),"",B1069+N(C1069)+ROW()/10000000)</f>
        <v/>
      </c>
      <c r="N1069">
        <f>IF(AND(F1069="Done",M1069&lt;&gt;""),IF(COUNTIFS(Appointments!$D$6:$D$2005,D1069,Appointments!$F$6:$F$2005,"Done",Appointments!$M$6:$M$2005,"&gt;"&amp;M1069)=0,1,0),0)</f>
        <v/>
      </c>
      <c r="O1069">
        <f>IF(AND(F1069="Booked",M1069&lt;&gt;"",N(B1069)&gt;=TODAY()),IF(COUNTIFS(Appointments!$D$6:$D$2005,D1069,Appointments!$F$6:$F$2005,"Booked",Appointments!$B$6:$B$2005,"&gt;="&amp;TODAY(),Appointments!$M$6:$M$2005,"&lt;"&amp;M1069)=0,1,0),0)</f>
        <v/>
      </c>
    </row>
    <row r="1070">
      <c r="A1070" s="1" t="n"/>
      <c r="B1070" s="30" t="n">
        <v>46280</v>
      </c>
      <c r="C1070" s="31" t="n">
        <v>0.6180555555555556</v>
      </c>
      <c r="D1070" s="32" t="inlineStr">
        <is>
          <t>Uma Nair</t>
        </is>
      </c>
      <c r="E1070" s="32" t="inlineStr">
        <is>
          <t>Women's haircut</t>
        </is>
      </c>
      <c r="F1070" s="33" t="inlineStr">
        <is>
          <t>Done</t>
        </is>
      </c>
      <c r="G1070" s="27">
        <f>IF(E1070="","",MAX(0,IFERROR(INDEX(Services!$C$6:$C$35,MATCH(E1070,Services!$B$6:$B$35,0)),0)-N(H1070)))</f>
        <v/>
      </c>
      <c r="H1070" s="34" t="n"/>
      <c r="I1070" s="34" t="n">
        <v>55</v>
      </c>
      <c r="J1070" s="33" t="inlineStr">
        <is>
          <t>Cash</t>
        </is>
      </c>
      <c r="K1070" s="28">
        <f>IF(OR(B1070="",F1070&lt;&gt;"Done",J1070="Package"),"",IF(N(G1070)-N(I1070)&gt;0,N(G1070)-N(I1070),""))</f>
        <v/>
      </c>
      <c r="L1070" s="32" t="n"/>
      <c r="M1070" s="1">
        <f>IF(OR(B1070="",D1070="",F1070="Cancelled"),"",B1070+N(C1070)+ROW()/10000000)</f>
        <v/>
      </c>
      <c r="N1070">
        <f>IF(AND(F1070="Done",M1070&lt;&gt;""),IF(COUNTIFS(Appointments!$D$6:$D$2005,D1070,Appointments!$F$6:$F$2005,"Done",Appointments!$M$6:$M$2005,"&gt;"&amp;M1070)=0,1,0),0)</f>
        <v/>
      </c>
      <c r="O1070">
        <f>IF(AND(F1070="Booked",M1070&lt;&gt;"",N(B1070)&gt;=TODAY()),IF(COUNTIFS(Appointments!$D$6:$D$2005,D1070,Appointments!$F$6:$F$2005,"Booked",Appointments!$B$6:$B$2005,"&gt;="&amp;TODAY(),Appointments!$M$6:$M$2005,"&lt;"&amp;M1070)=0,1,0),0)</f>
        <v/>
      </c>
    </row>
    <row r="1071">
      <c r="A1071" s="1" t="n"/>
      <c r="B1071" s="30" t="n">
        <v>46280</v>
      </c>
      <c r="C1071" s="31" t="n">
        <v>0.6666666666666666</v>
      </c>
      <c r="D1071" s="32" t="inlineStr">
        <is>
          <t>Zoe Turner</t>
        </is>
      </c>
      <c r="E1071" s="32" t="inlineStr">
        <is>
          <t>Blow dry</t>
        </is>
      </c>
      <c r="F1071" s="33" t="inlineStr">
        <is>
          <t>Done</t>
        </is>
      </c>
      <c r="G1071" s="27">
        <f>IF(E1071="","",MAX(0,IFERROR(INDEX(Services!$C$6:$C$35,MATCH(E1071,Services!$B$6:$B$35,0)),0)-N(H1071)))</f>
        <v/>
      </c>
      <c r="H1071" s="34" t="n"/>
      <c r="I1071" s="34" t="n">
        <v>35</v>
      </c>
      <c r="J1071" s="33" t="inlineStr">
        <is>
          <t>Card</t>
        </is>
      </c>
      <c r="K1071" s="28">
        <f>IF(OR(B1071="",F1071&lt;&gt;"Done",J1071="Package"),"",IF(N(G1071)-N(I1071)&gt;0,N(G1071)-N(I1071),""))</f>
        <v/>
      </c>
      <c r="L1071" s="32" t="n"/>
      <c r="M1071" s="1">
        <f>IF(OR(B1071="",D1071="",F1071="Cancelled"),"",B1071+N(C1071)+ROW()/10000000)</f>
        <v/>
      </c>
      <c r="N1071">
        <f>IF(AND(F1071="Done",M1071&lt;&gt;""),IF(COUNTIFS(Appointments!$D$6:$D$2005,D1071,Appointments!$F$6:$F$2005,"Done",Appointments!$M$6:$M$2005,"&gt;"&amp;M1071)=0,1,0),0)</f>
        <v/>
      </c>
      <c r="O1071">
        <f>IF(AND(F1071="Booked",M1071&lt;&gt;"",N(B1071)&gt;=TODAY()),IF(COUNTIFS(Appointments!$D$6:$D$2005,D1071,Appointments!$F$6:$F$2005,"Booked",Appointments!$B$6:$B$2005,"&gt;="&amp;TODAY(),Appointments!$M$6:$M$2005,"&lt;"&amp;M1071)=0,1,0),0)</f>
        <v/>
      </c>
    </row>
    <row r="1072">
      <c r="A1072" s="1" t="n"/>
      <c r="B1072" s="30" t="n">
        <v>46281</v>
      </c>
      <c r="C1072" s="31" t="n">
        <v>0.375</v>
      </c>
      <c r="D1072" s="32" t="inlineStr">
        <is>
          <t>Dan Hill</t>
        </is>
      </c>
      <c r="E1072" s="32" t="inlineStr">
        <is>
          <t>Men's haircut</t>
        </is>
      </c>
      <c r="F1072" s="33" t="inlineStr">
        <is>
          <t>Done</t>
        </is>
      </c>
      <c r="G1072" s="27">
        <f>IF(E1072="","",MAX(0,IFERROR(INDEX(Services!$C$6:$C$35,MATCH(E1072,Services!$B$6:$B$35,0)),0)-N(H1072)))</f>
        <v/>
      </c>
      <c r="H1072" s="34" t="n"/>
      <c r="I1072" s="34" t="n">
        <v>30</v>
      </c>
      <c r="J1072" s="33" t="inlineStr">
        <is>
          <t>Card</t>
        </is>
      </c>
      <c r="K1072" s="28">
        <f>IF(OR(B1072="",F1072&lt;&gt;"Done",J1072="Package"),"",IF(N(G1072)-N(I1072)&gt;0,N(G1072)-N(I1072),""))</f>
        <v/>
      </c>
      <c r="L1072" s="32" t="n"/>
      <c r="M1072" s="1">
        <f>IF(OR(B1072="",D1072="",F1072="Cancelled"),"",B1072+N(C1072)+ROW()/10000000)</f>
        <v/>
      </c>
      <c r="N1072">
        <f>IF(AND(F1072="Done",M1072&lt;&gt;""),IF(COUNTIFS(Appointments!$D$6:$D$2005,D1072,Appointments!$F$6:$F$2005,"Done",Appointments!$M$6:$M$2005,"&gt;"&amp;M1072)=0,1,0),0)</f>
        <v/>
      </c>
      <c r="O1072">
        <f>IF(AND(F1072="Booked",M1072&lt;&gt;"",N(B1072)&gt;=TODAY()),IF(COUNTIFS(Appointments!$D$6:$D$2005,D1072,Appointments!$F$6:$F$2005,"Booked",Appointments!$B$6:$B$2005,"&gt;="&amp;TODAY(),Appointments!$M$6:$M$2005,"&lt;"&amp;M1072)=0,1,0),0)</f>
        <v/>
      </c>
    </row>
    <row r="1073">
      <c r="A1073" s="1" t="n"/>
      <c r="B1073" s="30" t="n">
        <v>46281</v>
      </c>
      <c r="C1073" s="31" t="n">
        <v>0.4027777777777778</v>
      </c>
      <c r="D1073" s="32" t="inlineStr">
        <is>
          <t>Harry Owens</t>
        </is>
      </c>
      <c r="E1073" s="32" t="inlineStr">
        <is>
          <t>Men's haircut</t>
        </is>
      </c>
      <c r="F1073" s="33" t="inlineStr">
        <is>
          <t>Done</t>
        </is>
      </c>
      <c r="G1073" s="27">
        <f>IF(E1073="","",MAX(0,IFERROR(INDEX(Services!$C$6:$C$35,MATCH(E1073,Services!$B$6:$B$35,0)),0)-N(H1073)))</f>
        <v/>
      </c>
      <c r="H1073" s="34" t="n">
        <v>10</v>
      </c>
      <c r="I1073" s="34" t="n">
        <v>20</v>
      </c>
      <c r="J1073" s="33" t="inlineStr">
        <is>
          <t>Card</t>
        </is>
      </c>
      <c r="K1073" s="28">
        <f>IF(OR(B1073="",F1073&lt;&gt;"Done",J1073="Package"),"",IF(N(G1073)-N(I1073)&gt;0,N(G1073)-N(I1073),""))</f>
        <v/>
      </c>
      <c r="L1073" s="32" t="inlineStr">
        <is>
          <t>Friends and family</t>
        </is>
      </c>
      <c r="M1073" s="1">
        <f>IF(OR(B1073="",D1073="",F1073="Cancelled"),"",B1073+N(C1073)+ROW()/10000000)</f>
        <v/>
      </c>
      <c r="N1073">
        <f>IF(AND(F1073="Done",M1073&lt;&gt;""),IF(COUNTIFS(Appointments!$D$6:$D$2005,D1073,Appointments!$F$6:$F$2005,"Done",Appointments!$M$6:$M$2005,"&gt;"&amp;M1073)=0,1,0),0)</f>
        <v/>
      </c>
      <c r="O1073">
        <f>IF(AND(F1073="Booked",M1073&lt;&gt;"",N(B1073)&gt;=TODAY()),IF(COUNTIFS(Appointments!$D$6:$D$2005,D1073,Appointments!$F$6:$F$2005,"Booked",Appointments!$B$6:$B$2005,"&gt;="&amp;TODAY(),Appointments!$M$6:$M$2005,"&lt;"&amp;M1073)=0,1,0),0)</f>
        <v/>
      </c>
    </row>
    <row r="1074">
      <c r="A1074" s="1" t="n"/>
      <c r="B1074" s="30" t="n">
        <v>46281</v>
      </c>
      <c r="C1074" s="31" t="n">
        <v>0.4305555555555556</v>
      </c>
      <c r="D1074" s="32" t="inlineStr">
        <is>
          <t>Jade Hill</t>
        </is>
      </c>
      <c r="E1074" s="32" t="inlineStr">
        <is>
          <t>Women's haircut</t>
        </is>
      </c>
      <c r="F1074" s="33" t="inlineStr">
        <is>
          <t>Done</t>
        </is>
      </c>
      <c r="G1074" s="27">
        <f>IF(E1074="","",MAX(0,IFERROR(INDEX(Services!$C$6:$C$35,MATCH(E1074,Services!$B$6:$B$35,0)),0)-N(H1074)))</f>
        <v/>
      </c>
      <c r="H1074" s="34" t="n"/>
      <c r="I1074" s="34" t="n">
        <v>55</v>
      </c>
      <c r="J1074" s="33" t="inlineStr">
        <is>
          <t>Cash</t>
        </is>
      </c>
      <c r="K1074" s="28">
        <f>IF(OR(B1074="",F1074&lt;&gt;"Done",J1074="Package"),"",IF(N(G1074)-N(I1074)&gt;0,N(G1074)-N(I1074),""))</f>
        <v/>
      </c>
      <c r="L1074" s="32" t="n"/>
      <c r="M1074" s="1">
        <f>IF(OR(B1074="",D1074="",F1074="Cancelled"),"",B1074+N(C1074)+ROW()/10000000)</f>
        <v/>
      </c>
      <c r="N1074">
        <f>IF(AND(F1074="Done",M1074&lt;&gt;""),IF(COUNTIFS(Appointments!$D$6:$D$2005,D1074,Appointments!$F$6:$F$2005,"Done",Appointments!$M$6:$M$2005,"&gt;"&amp;M1074)=0,1,0),0)</f>
        <v/>
      </c>
      <c r="O1074">
        <f>IF(AND(F1074="Booked",M1074&lt;&gt;"",N(B1074)&gt;=TODAY()),IF(COUNTIFS(Appointments!$D$6:$D$2005,D1074,Appointments!$F$6:$F$2005,"Booked",Appointments!$B$6:$B$2005,"&gt;="&amp;TODAY(),Appointments!$M$6:$M$2005,"&lt;"&amp;M1074)=0,1,0),0)</f>
        <v/>
      </c>
    </row>
    <row r="1075">
      <c r="A1075" s="1" t="n"/>
      <c r="B1075" s="30" t="n">
        <v>46281</v>
      </c>
      <c r="C1075" s="31" t="n">
        <v>0.4791666666666667</v>
      </c>
      <c r="D1075" s="32" t="inlineStr">
        <is>
          <t>Lily Lewis</t>
        </is>
      </c>
      <c r="E1075" s="32" t="inlineStr">
        <is>
          <t>Blow dry</t>
        </is>
      </c>
      <c r="F1075" s="33" t="inlineStr">
        <is>
          <t>Done</t>
        </is>
      </c>
      <c r="G1075" s="27">
        <f>IF(E1075="","",MAX(0,IFERROR(INDEX(Services!$C$6:$C$35,MATCH(E1075,Services!$B$6:$B$35,0)),0)-N(H1075)))</f>
        <v/>
      </c>
      <c r="H1075" s="34" t="n"/>
      <c r="I1075" s="34" t="n">
        <v>35</v>
      </c>
      <c r="J1075" s="33" t="inlineStr">
        <is>
          <t>Card</t>
        </is>
      </c>
      <c r="K1075" s="28">
        <f>IF(OR(B1075="",F1075&lt;&gt;"Done",J1075="Package"),"",IF(N(G1075)-N(I1075)&gt;0,N(G1075)-N(I1075),""))</f>
        <v/>
      </c>
      <c r="L1075" s="32" t="n"/>
      <c r="M1075" s="1">
        <f>IF(OR(B1075="",D1075="",F1075="Cancelled"),"",B1075+N(C1075)+ROW()/10000000)</f>
        <v/>
      </c>
      <c r="N1075">
        <f>IF(AND(F1075="Done",M1075&lt;&gt;""),IF(COUNTIFS(Appointments!$D$6:$D$2005,D1075,Appointments!$F$6:$F$2005,"Done",Appointments!$M$6:$M$2005,"&gt;"&amp;M1075)=0,1,0),0)</f>
        <v/>
      </c>
      <c r="O1075">
        <f>IF(AND(F1075="Booked",M1075&lt;&gt;"",N(B1075)&gt;=TODAY()),IF(COUNTIFS(Appointments!$D$6:$D$2005,D1075,Appointments!$F$6:$F$2005,"Booked",Appointments!$B$6:$B$2005,"&gt;="&amp;TODAY(),Appointments!$M$6:$M$2005,"&lt;"&amp;M1075)=0,1,0),0)</f>
        <v/>
      </c>
    </row>
    <row r="1076">
      <c r="A1076" s="1" t="n"/>
      <c r="B1076" s="30" t="n">
        <v>46281</v>
      </c>
      <c r="C1076" s="31" t="n">
        <v>0.5173611111111112</v>
      </c>
      <c r="D1076" s="32" t="inlineStr">
        <is>
          <t>Mia Cole</t>
        </is>
      </c>
      <c r="E1076" s="32" t="inlineStr">
        <is>
          <t>Treatment</t>
        </is>
      </c>
      <c r="F1076" s="33" t="inlineStr">
        <is>
          <t>Done</t>
        </is>
      </c>
      <c r="G1076" s="27">
        <f>IF(E1076="","",MAX(0,IFERROR(INDEX(Services!$C$6:$C$35,MATCH(E1076,Services!$B$6:$B$35,0)),0)-N(H1076)))</f>
        <v/>
      </c>
      <c r="H1076" s="34" t="n"/>
      <c r="I1076" s="34" t="n">
        <v>30</v>
      </c>
      <c r="J1076" s="33" t="inlineStr">
        <is>
          <t>Cash</t>
        </is>
      </c>
      <c r="K1076" s="28">
        <f>IF(OR(B1076="",F1076&lt;&gt;"Done",J1076="Package"),"",IF(N(G1076)-N(I1076)&gt;0,N(G1076)-N(I1076),""))</f>
        <v/>
      </c>
      <c r="L1076" s="32" t="n"/>
      <c r="M1076" s="1">
        <f>IF(OR(B1076="",D1076="",F1076="Cancelled"),"",B1076+N(C1076)+ROW()/10000000)</f>
        <v/>
      </c>
      <c r="N1076">
        <f>IF(AND(F1076="Done",M1076&lt;&gt;""),IF(COUNTIFS(Appointments!$D$6:$D$2005,D1076,Appointments!$F$6:$F$2005,"Done",Appointments!$M$6:$M$2005,"&gt;"&amp;M1076)=0,1,0),0)</f>
        <v/>
      </c>
      <c r="O1076">
        <f>IF(AND(F1076="Booked",M1076&lt;&gt;"",N(B1076)&gt;=TODAY()),IF(COUNTIFS(Appointments!$D$6:$D$2005,D1076,Appointments!$F$6:$F$2005,"Booked",Appointments!$B$6:$B$2005,"&gt;="&amp;TODAY(),Appointments!$M$6:$M$2005,"&lt;"&amp;M1076)=0,1,0),0)</f>
        <v/>
      </c>
    </row>
    <row r="1077">
      <c r="A1077" s="1" t="n"/>
      <c r="B1077" s="30" t="n">
        <v>46281</v>
      </c>
      <c r="C1077" s="31" t="n">
        <v>0.5451388888888888</v>
      </c>
      <c r="D1077" s="32" t="inlineStr">
        <is>
          <t>Owen Morgan</t>
        </is>
      </c>
      <c r="E1077" s="32" t="inlineStr">
        <is>
          <t>Men's haircut</t>
        </is>
      </c>
      <c r="F1077" s="33" t="inlineStr">
        <is>
          <t>Done</t>
        </is>
      </c>
      <c r="G1077" s="27">
        <f>IF(E1077="","",MAX(0,IFERROR(INDEX(Services!$C$6:$C$35,MATCH(E1077,Services!$B$6:$B$35,0)),0)-N(H1077)))</f>
        <v/>
      </c>
      <c r="H1077" s="34" t="n"/>
      <c r="I1077" s="34" t="n">
        <v>30</v>
      </c>
      <c r="J1077" s="33" t="inlineStr">
        <is>
          <t>Card</t>
        </is>
      </c>
      <c r="K1077" s="28">
        <f>IF(OR(B1077="",F1077&lt;&gt;"Done",J1077="Package"),"",IF(N(G1077)-N(I1077)&gt;0,N(G1077)-N(I1077),""))</f>
        <v/>
      </c>
      <c r="L1077" s="32" t="n"/>
      <c r="M1077" s="1">
        <f>IF(OR(B1077="",D1077="",F1077="Cancelled"),"",B1077+N(C1077)+ROW()/10000000)</f>
        <v/>
      </c>
      <c r="N1077">
        <f>IF(AND(F1077="Done",M1077&lt;&gt;""),IF(COUNTIFS(Appointments!$D$6:$D$2005,D1077,Appointments!$F$6:$F$2005,"Done",Appointments!$M$6:$M$2005,"&gt;"&amp;M1077)=0,1,0),0)</f>
        <v/>
      </c>
      <c r="O1077">
        <f>IF(AND(F1077="Booked",M1077&lt;&gt;"",N(B1077)&gt;=TODAY()),IF(COUNTIFS(Appointments!$D$6:$D$2005,D1077,Appointments!$F$6:$F$2005,"Booked",Appointments!$B$6:$B$2005,"&gt;="&amp;TODAY(),Appointments!$M$6:$M$2005,"&lt;"&amp;M1077)=0,1,0),0)</f>
        <v/>
      </c>
    </row>
    <row r="1078">
      <c r="A1078" s="1" t="n"/>
      <c r="B1078" s="30" t="n">
        <v>46281</v>
      </c>
      <c r="C1078" s="31" t="n">
        <v>0.5729166666666666</v>
      </c>
      <c r="D1078" s="32" t="inlineStr">
        <is>
          <t>Tom Gray</t>
        </is>
      </c>
      <c r="E1078" s="32" t="inlineStr">
        <is>
          <t>Men's haircut</t>
        </is>
      </c>
      <c r="F1078" s="33" t="inlineStr">
        <is>
          <t>Done</t>
        </is>
      </c>
      <c r="G1078" s="27">
        <f>IF(E1078="","",MAX(0,IFERROR(INDEX(Services!$C$6:$C$35,MATCH(E1078,Services!$B$6:$B$35,0)),0)-N(H1078)))</f>
        <v/>
      </c>
      <c r="H1078" s="34" t="n"/>
      <c r="I1078" s="34" t="n">
        <v>30</v>
      </c>
      <c r="J1078" s="33" t="inlineStr">
        <is>
          <t>Card</t>
        </is>
      </c>
      <c r="K1078" s="28">
        <f>IF(OR(B1078="",F1078&lt;&gt;"Done",J1078="Package"),"",IF(N(G1078)-N(I1078)&gt;0,N(G1078)-N(I1078),""))</f>
        <v/>
      </c>
      <c r="L1078" s="32" t="n"/>
      <c r="M1078" s="1">
        <f>IF(OR(B1078="",D1078="",F1078="Cancelled"),"",B1078+N(C1078)+ROW()/10000000)</f>
        <v/>
      </c>
      <c r="N1078">
        <f>IF(AND(F1078="Done",M1078&lt;&gt;""),IF(COUNTIFS(Appointments!$D$6:$D$2005,D1078,Appointments!$F$6:$F$2005,"Done",Appointments!$M$6:$M$2005,"&gt;"&amp;M1078)=0,1,0),0)</f>
        <v/>
      </c>
      <c r="O1078">
        <f>IF(AND(F1078="Booked",M1078&lt;&gt;"",N(B1078)&gt;=TODAY()),IF(COUNTIFS(Appointments!$D$6:$D$2005,D1078,Appointments!$F$6:$F$2005,"Booked",Appointments!$B$6:$B$2005,"&gt;="&amp;TODAY(),Appointments!$M$6:$M$2005,"&lt;"&amp;M1078)=0,1,0),0)</f>
        <v/>
      </c>
    </row>
    <row r="1079">
      <c r="A1079" s="1" t="n"/>
      <c r="B1079" s="30" t="n">
        <v>46282</v>
      </c>
      <c r="C1079" s="31" t="n">
        <v>0.375</v>
      </c>
      <c r="D1079" s="32" t="inlineStr">
        <is>
          <t>Dina West</t>
        </is>
      </c>
      <c r="E1079" s="32" t="inlineStr">
        <is>
          <t>Treatment</t>
        </is>
      </c>
      <c r="F1079" s="33" t="inlineStr">
        <is>
          <t>Done</t>
        </is>
      </c>
      <c r="G1079" s="27">
        <f>IF(E1079="","",MAX(0,IFERROR(INDEX(Services!$C$6:$C$35,MATCH(E1079,Services!$B$6:$B$35,0)),0)-N(H1079)))</f>
        <v/>
      </c>
      <c r="H1079" s="34" t="n">
        <v>10</v>
      </c>
      <c r="I1079" s="34" t="n">
        <v>20</v>
      </c>
      <c r="J1079" s="33" t="inlineStr">
        <is>
          <t>Card</t>
        </is>
      </c>
      <c r="K1079" s="28">
        <f>IF(OR(B1079="",F1079&lt;&gt;"Done",J1079="Package"),"",IF(N(G1079)-N(I1079)&gt;0,N(G1079)-N(I1079),""))</f>
        <v/>
      </c>
      <c r="L1079" s="32" t="inlineStr">
        <is>
          <t>Friends and family</t>
        </is>
      </c>
      <c r="M1079" s="1">
        <f>IF(OR(B1079="",D1079="",F1079="Cancelled"),"",B1079+N(C1079)+ROW()/10000000)</f>
        <v/>
      </c>
      <c r="N1079">
        <f>IF(AND(F1079="Done",M1079&lt;&gt;""),IF(COUNTIFS(Appointments!$D$6:$D$2005,D1079,Appointments!$F$6:$F$2005,"Done",Appointments!$M$6:$M$2005,"&gt;"&amp;M1079)=0,1,0),0)</f>
        <v/>
      </c>
      <c r="O1079">
        <f>IF(AND(F1079="Booked",M1079&lt;&gt;"",N(B1079)&gt;=TODAY()),IF(COUNTIFS(Appointments!$D$6:$D$2005,D1079,Appointments!$F$6:$F$2005,"Booked",Appointments!$B$6:$B$2005,"&gt;="&amp;TODAY(),Appointments!$M$6:$M$2005,"&lt;"&amp;M1079)=0,1,0),0)</f>
        <v/>
      </c>
    </row>
    <row r="1080">
      <c r="A1080" s="1" t="n"/>
      <c r="B1080" s="30" t="n">
        <v>46282</v>
      </c>
      <c r="C1080" s="31" t="n">
        <v>0.4027777777777778</v>
      </c>
      <c r="D1080" s="32" t="inlineStr">
        <is>
          <t>Eli James</t>
        </is>
      </c>
      <c r="E1080" s="32" t="inlineStr">
        <is>
          <t>Men's haircut</t>
        </is>
      </c>
      <c r="F1080" s="33" t="inlineStr">
        <is>
          <t>Done</t>
        </is>
      </c>
      <c r="G1080" s="27">
        <f>IF(E1080="","",MAX(0,IFERROR(INDEX(Services!$C$6:$C$35,MATCH(E1080,Services!$B$6:$B$35,0)),0)-N(H1080)))</f>
        <v/>
      </c>
      <c r="H1080" s="34" t="n"/>
      <c r="I1080" s="34" t="n">
        <v>30</v>
      </c>
      <c r="J1080" s="33" t="inlineStr">
        <is>
          <t>Card</t>
        </is>
      </c>
      <c r="K1080" s="28">
        <f>IF(OR(B1080="",F1080&lt;&gt;"Done",J1080="Package"),"",IF(N(G1080)-N(I1080)&gt;0,N(G1080)-N(I1080),""))</f>
        <v/>
      </c>
      <c r="L1080" s="32" t="n"/>
      <c r="M1080" s="1">
        <f>IF(OR(B1080="",D1080="",F1080="Cancelled"),"",B1080+N(C1080)+ROW()/10000000)</f>
        <v/>
      </c>
      <c r="N1080">
        <f>IF(AND(F1080="Done",M1080&lt;&gt;""),IF(COUNTIFS(Appointments!$D$6:$D$2005,D1080,Appointments!$F$6:$F$2005,"Done",Appointments!$M$6:$M$2005,"&gt;"&amp;M1080)=0,1,0),0)</f>
        <v/>
      </c>
      <c r="O1080">
        <f>IF(AND(F1080="Booked",M1080&lt;&gt;"",N(B1080)&gt;=TODAY()),IF(COUNTIFS(Appointments!$D$6:$D$2005,D1080,Appointments!$F$6:$F$2005,"Booked",Appointments!$B$6:$B$2005,"&gt;="&amp;TODAY(),Appointments!$M$6:$M$2005,"&lt;"&amp;M1080)=0,1,0),0)</f>
        <v/>
      </c>
    </row>
    <row r="1081">
      <c r="A1081" s="1" t="n"/>
      <c r="B1081" s="30" t="n">
        <v>46282</v>
      </c>
      <c r="C1081" s="31" t="n">
        <v>0.4305555555555556</v>
      </c>
      <c r="D1081" s="32" t="inlineStr">
        <is>
          <t>Isla Brown</t>
        </is>
      </c>
      <c r="E1081" s="32" t="inlineStr">
        <is>
          <t>Treatment</t>
        </is>
      </c>
      <c r="F1081" s="33" t="inlineStr">
        <is>
          <t>Done</t>
        </is>
      </c>
      <c r="G1081" s="27">
        <f>IF(E1081="","",MAX(0,IFERROR(INDEX(Services!$C$6:$C$35,MATCH(E1081,Services!$B$6:$B$35,0)),0)-N(H1081)))</f>
        <v/>
      </c>
      <c r="H1081" s="34" t="n"/>
      <c r="I1081" s="34" t="n">
        <v>30</v>
      </c>
      <c r="J1081" s="33" t="inlineStr">
        <is>
          <t>App</t>
        </is>
      </c>
      <c r="K1081" s="28">
        <f>IF(OR(B1081="",F1081&lt;&gt;"Done",J1081="Package"),"",IF(N(G1081)-N(I1081)&gt;0,N(G1081)-N(I1081),""))</f>
        <v/>
      </c>
      <c r="L1081" s="32" t="n"/>
      <c r="M1081" s="1">
        <f>IF(OR(B1081="",D1081="",F1081="Cancelled"),"",B1081+N(C1081)+ROW()/10000000)</f>
        <v/>
      </c>
      <c r="N1081">
        <f>IF(AND(F1081="Done",M1081&lt;&gt;""),IF(COUNTIFS(Appointments!$D$6:$D$2005,D1081,Appointments!$F$6:$F$2005,"Done",Appointments!$M$6:$M$2005,"&gt;"&amp;M1081)=0,1,0),0)</f>
        <v/>
      </c>
      <c r="O1081">
        <f>IF(AND(F1081="Booked",M1081&lt;&gt;"",N(B1081)&gt;=TODAY()),IF(COUNTIFS(Appointments!$D$6:$D$2005,D1081,Appointments!$F$6:$F$2005,"Booked",Appointments!$B$6:$B$2005,"&gt;="&amp;TODAY(),Appointments!$M$6:$M$2005,"&lt;"&amp;M1081)=0,1,0),0)</f>
        <v/>
      </c>
    </row>
    <row r="1082">
      <c r="A1082" s="1" t="n"/>
      <c r="B1082" s="30" t="n">
        <v>46282</v>
      </c>
      <c r="C1082" s="31" t="n">
        <v>0.4583333333333333</v>
      </c>
      <c r="D1082" s="32" t="inlineStr">
        <is>
          <t>Noah Taylor</t>
        </is>
      </c>
      <c r="E1082" s="32" t="inlineStr">
        <is>
          <t>Men's haircut</t>
        </is>
      </c>
      <c r="F1082" s="33" t="inlineStr">
        <is>
          <t>Done</t>
        </is>
      </c>
      <c r="G1082" s="27">
        <f>IF(E1082="","",MAX(0,IFERROR(INDEX(Services!$C$6:$C$35,MATCH(E1082,Services!$B$6:$B$35,0)),0)-N(H1082)))</f>
        <v/>
      </c>
      <c r="H1082" s="34" t="n"/>
      <c r="I1082" s="34" t="n">
        <v>30</v>
      </c>
      <c r="J1082" s="33" t="inlineStr">
        <is>
          <t>Card</t>
        </is>
      </c>
      <c r="K1082" s="28">
        <f>IF(OR(B1082="",F1082&lt;&gt;"Done",J1082="Package"),"",IF(N(G1082)-N(I1082)&gt;0,N(G1082)-N(I1082),""))</f>
        <v/>
      </c>
      <c r="L1082" s="32" t="n"/>
      <c r="M1082" s="1">
        <f>IF(OR(B1082="",D1082="",F1082="Cancelled"),"",B1082+N(C1082)+ROW()/10000000)</f>
        <v/>
      </c>
      <c r="N1082">
        <f>IF(AND(F1082="Done",M1082&lt;&gt;""),IF(COUNTIFS(Appointments!$D$6:$D$2005,D1082,Appointments!$F$6:$F$2005,"Done",Appointments!$M$6:$M$2005,"&gt;"&amp;M1082)=0,1,0),0)</f>
        <v/>
      </c>
      <c r="O1082">
        <f>IF(AND(F1082="Booked",M1082&lt;&gt;"",N(B1082)&gt;=TODAY()),IF(COUNTIFS(Appointments!$D$6:$D$2005,D1082,Appointments!$F$6:$F$2005,"Booked",Appointments!$B$6:$B$2005,"&gt;="&amp;TODAY(),Appointments!$M$6:$M$2005,"&lt;"&amp;M1082)=0,1,0),0)</f>
        <v/>
      </c>
    </row>
    <row r="1083">
      <c r="A1083" s="1" t="n"/>
      <c r="B1083" s="30" t="n">
        <v>46282</v>
      </c>
      <c r="C1083" s="31" t="n">
        <v>0.4861111111111111</v>
      </c>
      <c r="D1083" s="32" t="inlineStr">
        <is>
          <t>Noah Taylor</t>
        </is>
      </c>
      <c r="E1083" s="32" t="inlineStr">
        <is>
          <t>Kids haircut</t>
        </is>
      </c>
      <c r="F1083" s="33" t="inlineStr">
        <is>
          <t>Done</t>
        </is>
      </c>
      <c r="G1083" s="27">
        <f>IF(E1083="","",MAX(0,IFERROR(INDEX(Services!$C$6:$C$35,MATCH(E1083,Services!$B$6:$B$35,0)),0)-N(H1083)))</f>
        <v/>
      </c>
      <c r="H1083" s="34" t="n"/>
      <c r="I1083" s="34" t="n">
        <v>20</v>
      </c>
      <c r="J1083" s="33" t="inlineStr">
        <is>
          <t>Cash</t>
        </is>
      </c>
      <c r="K1083" s="28">
        <f>IF(OR(B1083="",F1083&lt;&gt;"Done",J1083="Package"),"",IF(N(G1083)-N(I1083)&gt;0,N(G1083)-N(I1083),""))</f>
        <v/>
      </c>
      <c r="L1083" s="32" t="n"/>
      <c r="M1083" s="1">
        <f>IF(OR(B1083="",D1083="",F1083="Cancelled"),"",B1083+N(C1083)+ROW()/10000000)</f>
        <v/>
      </c>
      <c r="N1083">
        <f>IF(AND(F1083="Done",M1083&lt;&gt;""),IF(COUNTIFS(Appointments!$D$6:$D$2005,D1083,Appointments!$F$6:$F$2005,"Done",Appointments!$M$6:$M$2005,"&gt;"&amp;M1083)=0,1,0),0)</f>
        <v/>
      </c>
      <c r="O1083">
        <f>IF(AND(F1083="Booked",M1083&lt;&gt;"",N(B1083)&gt;=TODAY()),IF(COUNTIFS(Appointments!$D$6:$D$2005,D1083,Appointments!$F$6:$F$2005,"Booked",Appointments!$B$6:$B$2005,"&gt;="&amp;TODAY(),Appointments!$M$6:$M$2005,"&lt;"&amp;M1083)=0,1,0),0)</f>
        <v/>
      </c>
    </row>
    <row r="1084">
      <c r="A1084" s="1" t="n"/>
      <c r="B1084" s="30" t="n">
        <v>46282</v>
      </c>
      <c r="C1084" s="31" t="n">
        <v>0.5138888888888888</v>
      </c>
      <c r="D1084" s="32" t="inlineStr">
        <is>
          <t>Owen Lewis</t>
        </is>
      </c>
      <c r="E1084" s="32" t="inlineStr">
        <is>
          <t>Men's haircut</t>
        </is>
      </c>
      <c r="F1084" s="33" t="inlineStr">
        <is>
          <t>Done</t>
        </is>
      </c>
      <c r="G1084" s="27">
        <f>IF(E1084="","",MAX(0,IFERROR(INDEX(Services!$C$6:$C$35,MATCH(E1084,Services!$B$6:$B$35,0)),0)-N(H1084)))</f>
        <v/>
      </c>
      <c r="H1084" s="34" t="n"/>
      <c r="I1084" s="34" t="n">
        <v>30</v>
      </c>
      <c r="J1084" s="33" t="inlineStr">
        <is>
          <t>Card</t>
        </is>
      </c>
      <c r="K1084" s="28">
        <f>IF(OR(B1084="",F1084&lt;&gt;"Done",J1084="Package"),"",IF(N(G1084)-N(I1084)&gt;0,N(G1084)-N(I1084),""))</f>
        <v/>
      </c>
      <c r="L1084" s="32" t="n"/>
      <c r="M1084" s="1">
        <f>IF(OR(B1084="",D1084="",F1084="Cancelled"),"",B1084+N(C1084)+ROW()/10000000)</f>
        <v/>
      </c>
      <c r="N1084">
        <f>IF(AND(F1084="Done",M1084&lt;&gt;""),IF(COUNTIFS(Appointments!$D$6:$D$2005,D1084,Appointments!$F$6:$F$2005,"Done",Appointments!$M$6:$M$2005,"&gt;"&amp;M1084)=0,1,0),0)</f>
        <v/>
      </c>
      <c r="O1084">
        <f>IF(AND(F1084="Booked",M1084&lt;&gt;"",N(B1084)&gt;=TODAY()),IF(COUNTIFS(Appointments!$D$6:$D$2005,D1084,Appointments!$F$6:$F$2005,"Booked",Appointments!$B$6:$B$2005,"&gt;="&amp;TODAY(),Appointments!$M$6:$M$2005,"&lt;"&amp;M1084)=0,1,0),0)</f>
        <v/>
      </c>
    </row>
    <row r="1085">
      <c r="A1085" s="1" t="n"/>
      <c r="B1085" s="30" t="n">
        <v>46282</v>
      </c>
      <c r="C1085" s="31" t="n">
        <v>0.5416666666666666</v>
      </c>
      <c r="D1085" s="32" t="inlineStr">
        <is>
          <t>Ryan Adams</t>
        </is>
      </c>
      <c r="E1085" s="32" t="inlineStr">
        <is>
          <t>Men's haircut</t>
        </is>
      </c>
      <c r="F1085" s="33" t="inlineStr">
        <is>
          <t>Done</t>
        </is>
      </c>
      <c r="G1085" s="27">
        <f>IF(E1085="","",MAX(0,IFERROR(INDEX(Services!$C$6:$C$35,MATCH(E1085,Services!$B$6:$B$35,0)),0)-N(H1085)))</f>
        <v/>
      </c>
      <c r="H1085" s="34" t="n"/>
      <c r="I1085" s="34" t="n">
        <v>30</v>
      </c>
      <c r="J1085" s="33" t="inlineStr">
        <is>
          <t>Transfer</t>
        </is>
      </c>
      <c r="K1085" s="28">
        <f>IF(OR(B1085="",F1085&lt;&gt;"Done",J1085="Package"),"",IF(N(G1085)-N(I1085)&gt;0,N(G1085)-N(I1085),""))</f>
        <v/>
      </c>
      <c r="L1085" s="32" t="n"/>
      <c r="M1085" s="1">
        <f>IF(OR(B1085="",D1085="",F1085="Cancelled"),"",B1085+N(C1085)+ROW()/10000000)</f>
        <v/>
      </c>
      <c r="N1085">
        <f>IF(AND(F1085="Done",M1085&lt;&gt;""),IF(COUNTIFS(Appointments!$D$6:$D$2005,D1085,Appointments!$F$6:$F$2005,"Done",Appointments!$M$6:$M$2005,"&gt;"&amp;M1085)=0,1,0),0)</f>
        <v/>
      </c>
      <c r="O1085">
        <f>IF(AND(F1085="Booked",M1085&lt;&gt;"",N(B1085)&gt;=TODAY()),IF(COUNTIFS(Appointments!$D$6:$D$2005,D1085,Appointments!$F$6:$F$2005,"Booked",Appointments!$B$6:$B$2005,"&gt;="&amp;TODAY(),Appointments!$M$6:$M$2005,"&lt;"&amp;M1085)=0,1,0),0)</f>
        <v/>
      </c>
    </row>
    <row r="1086">
      <c r="A1086" s="1" t="n"/>
      <c r="B1086" s="30" t="n">
        <v>46282</v>
      </c>
      <c r="C1086" s="31" t="n">
        <v>0.5694444444444444</v>
      </c>
      <c r="D1086" s="32" t="inlineStr">
        <is>
          <t>Ryan Davies</t>
        </is>
      </c>
      <c r="E1086" s="32" t="inlineStr">
        <is>
          <t>Men's haircut</t>
        </is>
      </c>
      <c r="F1086" s="33" t="inlineStr">
        <is>
          <t>Done</t>
        </is>
      </c>
      <c r="G1086" s="27">
        <f>IF(E1086="","",MAX(0,IFERROR(INDEX(Services!$C$6:$C$35,MATCH(E1086,Services!$B$6:$B$35,0)),0)-N(H1086)))</f>
        <v/>
      </c>
      <c r="H1086" s="34" t="n"/>
      <c r="I1086" s="34" t="n">
        <v>30</v>
      </c>
      <c r="J1086" s="33" t="inlineStr">
        <is>
          <t>Transfer</t>
        </is>
      </c>
      <c r="K1086" s="28">
        <f>IF(OR(B1086="",F1086&lt;&gt;"Done",J1086="Package"),"",IF(N(G1086)-N(I1086)&gt;0,N(G1086)-N(I1086),""))</f>
        <v/>
      </c>
      <c r="L1086" s="32" t="n"/>
      <c r="M1086" s="1">
        <f>IF(OR(B1086="",D1086="",F1086="Cancelled"),"",B1086+N(C1086)+ROW()/10000000)</f>
        <v/>
      </c>
      <c r="N1086">
        <f>IF(AND(F1086="Done",M1086&lt;&gt;""),IF(COUNTIFS(Appointments!$D$6:$D$2005,D1086,Appointments!$F$6:$F$2005,"Done",Appointments!$M$6:$M$2005,"&gt;"&amp;M1086)=0,1,0),0)</f>
        <v/>
      </c>
      <c r="O1086">
        <f>IF(AND(F1086="Booked",M1086&lt;&gt;"",N(B1086)&gt;=TODAY()),IF(COUNTIFS(Appointments!$D$6:$D$2005,D1086,Appointments!$F$6:$F$2005,"Booked",Appointments!$B$6:$B$2005,"&gt;="&amp;TODAY(),Appointments!$M$6:$M$2005,"&lt;"&amp;M1086)=0,1,0),0)</f>
        <v/>
      </c>
    </row>
    <row r="1087">
      <c r="A1087" s="1" t="n"/>
      <c r="B1087" s="30" t="n">
        <v>46283</v>
      </c>
      <c r="C1087" s="31" t="n">
        <v>0.375</v>
      </c>
      <c r="D1087" s="32" t="inlineStr">
        <is>
          <t>Amy Hughes</t>
        </is>
      </c>
      <c r="E1087" s="32" t="inlineStr">
        <is>
          <t>Colour</t>
        </is>
      </c>
      <c r="F1087" s="33" t="inlineStr">
        <is>
          <t>Done</t>
        </is>
      </c>
      <c r="G1087" s="27">
        <f>IF(E1087="","",MAX(0,IFERROR(INDEX(Services!$C$6:$C$35,MATCH(E1087,Services!$B$6:$B$35,0)),0)-N(H1087)))</f>
        <v/>
      </c>
      <c r="H1087" s="34" t="n"/>
      <c r="I1087" s="34" t="n">
        <v>95</v>
      </c>
      <c r="J1087" s="33" t="inlineStr">
        <is>
          <t>Transfer</t>
        </is>
      </c>
      <c r="K1087" s="28">
        <f>IF(OR(B1087="",F1087&lt;&gt;"Done",J1087="Package"),"",IF(N(G1087)-N(I1087)&gt;0,N(G1087)-N(I1087),""))</f>
        <v/>
      </c>
      <c r="L1087" s="32" t="n"/>
      <c r="M1087" s="1">
        <f>IF(OR(B1087="",D1087="",F1087="Cancelled"),"",B1087+N(C1087)+ROW()/10000000)</f>
        <v/>
      </c>
      <c r="N1087">
        <f>IF(AND(F1087="Done",M1087&lt;&gt;""),IF(COUNTIFS(Appointments!$D$6:$D$2005,D1087,Appointments!$F$6:$F$2005,"Done",Appointments!$M$6:$M$2005,"&gt;"&amp;M1087)=0,1,0),0)</f>
        <v/>
      </c>
      <c r="O1087">
        <f>IF(AND(F1087="Booked",M1087&lt;&gt;"",N(B1087)&gt;=TODAY()),IF(COUNTIFS(Appointments!$D$6:$D$2005,D1087,Appointments!$F$6:$F$2005,"Booked",Appointments!$B$6:$B$2005,"&gt;="&amp;TODAY(),Appointments!$M$6:$M$2005,"&lt;"&amp;M1087)=0,1,0),0)</f>
        <v/>
      </c>
    </row>
    <row r="1088">
      <c r="A1088" s="1" t="n"/>
      <c r="B1088" s="30" t="n">
        <v>46283</v>
      </c>
      <c r="C1088" s="31" t="n">
        <v>0.4652777777777778</v>
      </c>
      <c r="D1088" s="32" t="inlineStr">
        <is>
          <t>Ella Kelly</t>
        </is>
      </c>
      <c r="E1088" s="32" t="inlineStr">
        <is>
          <t>Treatment</t>
        </is>
      </c>
      <c r="F1088" s="33" t="inlineStr">
        <is>
          <t>Done</t>
        </is>
      </c>
      <c r="G1088" s="27">
        <f>IF(E1088="","",MAX(0,IFERROR(INDEX(Services!$C$6:$C$35,MATCH(E1088,Services!$B$6:$B$35,0)),0)-N(H1088)))</f>
        <v/>
      </c>
      <c r="H1088" s="34" t="n"/>
      <c r="I1088" s="34" t="n">
        <v>30</v>
      </c>
      <c r="J1088" s="33" t="inlineStr">
        <is>
          <t>Card</t>
        </is>
      </c>
      <c r="K1088" s="28">
        <f>IF(OR(B1088="",F1088&lt;&gt;"Done",J1088="Package"),"",IF(N(G1088)-N(I1088)&gt;0,N(G1088)-N(I1088),""))</f>
        <v/>
      </c>
      <c r="L1088" s="32" t="n"/>
      <c r="M1088" s="1">
        <f>IF(OR(B1088="",D1088="",F1088="Cancelled"),"",B1088+N(C1088)+ROW()/10000000)</f>
        <v/>
      </c>
      <c r="N1088">
        <f>IF(AND(F1088="Done",M1088&lt;&gt;""),IF(COUNTIFS(Appointments!$D$6:$D$2005,D1088,Appointments!$F$6:$F$2005,"Done",Appointments!$M$6:$M$2005,"&gt;"&amp;M1088)=0,1,0),0)</f>
        <v/>
      </c>
      <c r="O1088">
        <f>IF(AND(F1088="Booked",M1088&lt;&gt;"",N(B1088)&gt;=TODAY()),IF(COUNTIFS(Appointments!$D$6:$D$2005,D1088,Appointments!$F$6:$F$2005,"Booked",Appointments!$B$6:$B$2005,"&gt;="&amp;TODAY(),Appointments!$M$6:$M$2005,"&lt;"&amp;M1088)=0,1,0),0)</f>
        <v/>
      </c>
    </row>
    <row r="1089">
      <c r="A1089" s="1" t="n"/>
      <c r="B1089" s="30" t="n">
        <v>46283</v>
      </c>
      <c r="C1089" s="31" t="n">
        <v>0.4930555555555556</v>
      </c>
      <c r="D1089" s="32" t="inlineStr">
        <is>
          <t>Finn Price</t>
        </is>
      </c>
      <c r="E1089" s="32" t="inlineStr">
        <is>
          <t>Men's haircut</t>
        </is>
      </c>
      <c r="F1089" s="33" t="inlineStr">
        <is>
          <t>Done</t>
        </is>
      </c>
      <c r="G1089" s="27">
        <f>IF(E1089="","",MAX(0,IFERROR(INDEX(Services!$C$6:$C$35,MATCH(E1089,Services!$B$6:$B$35,0)),0)-N(H1089)))</f>
        <v/>
      </c>
      <c r="H1089" s="34" t="n"/>
      <c r="I1089" s="34" t="n">
        <v>30</v>
      </c>
      <c r="J1089" s="33" t="inlineStr">
        <is>
          <t>Card</t>
        </is>
      </c>
      <c r="K1089" s="28">
        <f>IF(OR(B1089="",F1089&lt;&gt;"Done",J1089="Package"),"",IF(N(G1089)-N(I1089)&gt;0,N(G1089)-N(I1089),""))</f>
        <v/>
      </c>
      <c r="L1089" s="32" t="n"/>
      <c r="M1089" s="1">
        <f>IF(OR(B1089="",D1089="",F1089="Cancelled"),"",B1089+N(C1089)+ROW()/10000000)</f>
        <v/>
      </c>
      <c r="N1089">
        <f>IF(AND(F1089="Done",M1089&lt;&gt;""),IF(COUNTIFS(Appointments!$D$6:$D$2005,D1089,Appointments!$F$6:$F$2005,"Done",Appointments!$M$6:$M$2005,"&gt;"&amp;M1089)=0,1,0),0)</f>
        <v/>
      </c>
      <c r="O1089">
        <f>IF(AND(F1089="Booked",M1089&lt;&gt;"",N(B1089)&gt;=TODAY()),IF(COUNTIFS(Appointments!$D$6:$D$2005,D1089,Appointments!$F$6:$F$2005,"Booked",Appointments!$B$6:$B$2005,"&gt;="&amp;TODAY(),Appointments!$M$6:$M$2005,"&lt;"&amp;M1089)=0,1,0),0)</f>
        <v/>
      </c>
    </row>
    <row r="1090">
      <c r="A1090" s="1" t="n"/>
      <c r="B1090" s="30" t="n">
        <v>46283</v>
      </c>
      <c r="C1090" s="31" t="n">
        <v>0.5208333333333334</v>
      </c>
      <c r="D1090" s="32" t="inlineStr">
        <is>
          <t>Fiona Fox</t>
        </is>
      </c>
      <c r="E1090" s="32" t="inlineStr">
        <is>
          <t>Treatment</t>
        </is>
      </c>
      <c r="F1090" s="33" t="inlineStr">
        <is>
          <t>Done</t>
        </is>
      </c>
      <c r="G1090" s="27">
        <f>IF(E1090="","",MAX(0,IFERROR(INDEX(Services!$C$6:$C$35,MATCH(E1090,Services!$B$6:$B$35,0)),0)-N(H1090)))</f>
        <v/>
      </c>
      <c r="H1090" s="34" t="n"/>
      <c r="I1090" s="34" t="n">
        <v>30</v>
      </c>
      <c r="J1090" s="33" t="inlineStr">
        <is>
          <t>Card</t>
        </is>
      </c>
      <c r="K1090" s="28">
        <f>IF(OR(B1090="",F1090&lt;&gt;"Done",J1090="Package"),"",IF(N(G1090)-N(I1090)&gt;0,N(G1090)-N(I1090),""))</f>
        <v/>
      </c>
      <c r="L1090" s="32" t="n"/>
      <c r="M1090" s="1">
        <f>IF(OR(B1090="",D1090="",F1090="Cancelled"),"",B1090+N(C1090)+ROW()/10000000)</f>
        <v/>
      </c>
      <c r="N1090">
        <f>IF(AND(F1090="Done",M1090&lt;&gt;""),IF(COUNTIFS(Appointments!$D$6:$D$2005,D1090,Appointments!$F$6:$F$2005,"Done",Appointments!$M$6:$M$2005,"&gt;"&amp;M1090)=0,1,0),0)</f>
        <v/>
      </c>
      <c r="O1090">
        <f>IF(AND(F1090="Booked",M1090&lt;&gt;"",N(B1090)&gt;=TODAY()),IF(COUNTIFS(Appointments!$D$6:$D$2005,D1090,Appointments!$F$6:$F$2005,"Booked",Appointments!$B$6:$B$2005,"&gt;="&amp;TODAY(),Appointments!$M$6:$M$2005,"&lt;"&amp;M1090)=0,1,0),0)</f>
        <v/>
      </c>
    </row>
    <row r="1091">
      <c r="A1091" s="1" t="n"/>
      <c r="B1091" s="30" t="n">
        <v>46283</v>
      </c>
      <c r="C1091" s="31" t="n">
        <v>0.5486111111111112</v>
      </c>
      <c r="D1091" s="32" t="inlineStr">
        <is>
          <t>Jon Gray</t>
        </is>
      </c>
      <c r="E1091" s="32" t="inlineStr">
        <is>
          <t>Men's haircut</t>
        </is>
      </c>
      <c r="F1091" s="33" t="inlineStr">
        <is>
          <t>Done</t>
        </is>
      </c>
      <c r="G1091" s="27">
        <f>IF(E1091="","",MAX(0,IFERROR(INDEX(Services!$C$6:$C$35,MATCH(E1091,Services!$B$6:$B$35,0)),0)-N(H1091)))</f>
        <v/>
      </c>
      <c r="H1091" s="34" t="n"/>
      <c r="I1091" s="34" t="n">
        <v>30</v>
      </c>
      <c r="J1091" s="33" t="inlineStr">
        <is>
          <t>Card</t>
        </is>
      </c>
      <c r="K1091" s="28">
        <f>IF(OR(B1091="",F1091&lt;&gt;"Done",J1091="Package"),"",IF(N(G1091)-N(I1091)&gt;0,N(G1091)-N(I1091),""))</f>
        <v/>
      </c>
      <c r="L1091" s="32" t="n"/>
      <c r="M1091" s="1">
        <f>IF(OR(B1091="",D1091="",F1091="Cancelled"),"",B1091+N(C1091)+ROW()/10000000)</f>
        <v/>
      </c>
      <c r="N1091">
        <f>IF(AND(F1091="Done",M1091&lt;&gt;""),IF(COUNTIFS(Appointments!$D$6:$D$2005,D1091,Appointments!$F$6:$F$2005,"Done",Appointments!$M$6:$M$2005,"&gt;"&amp;M1091)=0,1,0),0)</f>
        <v/>
      </c>
      <c r="O1091">
        <f>IF(AND(F1091="Booked",M1091&lt;&gt;"",N(B1091)&gt;=TODAY()),IF(COUNTIFS(Appointments!$D$6:$D$2005,D1091,Appointments!$F$6:$F$2005,"Booked",Appointments!$B$6:$B$2005,"&gt;="&amp;TODAY(),Appointments!$M$6:$M$2005,"&lt;"&amp;M1091)=0,1,0),0)</f>
        <v/>
      </c>
    </row>
    <row r="1092">
      <c r="A1092" s="1" t="n"/>
      <c r="B1092" s="30" t="n">
        <v>46283</v>
      </c>
      <c r="C1092" s="31" t="n">
        <v>0.5763888888888888</v>
      </c>
      <c r="D1092" s="32" t="inlineStr">
        <is>
          <t>Pete Young</t>
        </is>
      </c>
      <c r="E1092" s="32" t="inlineStr">
        <is>
          <t>Men's haircut</t>
        </is>
      </c>
      <c r="F1092" s="33" t="inlineStr">
        <is>
          <t>Done</t>
        </is>
      </c>
      <c r="G1092" s="27">
        <f>IF(E1092="","",MAX(0,IFERROR(INDEX(Services!$C$6:$C$35,MATCH(E1092,Services!$B$6:$B$35,0)),0)-N(H1092)))</f>
        <v/>
      </c>
      <c r="H1092" s="34" t="n"/>
      <c r="I1092" s="34" t="n">
        <v>30</v>
      </c>
      <c r="J1092" s="33" t="inlineStr">
        <is>
          <t>Card</t>
        </is>
      </c>
      <c r="K1092" s="28">
        <f>IF(OR(B1092="",F1092&lt;&gt;"Done",J1092="Package"),"",IF(N(G1092)-N(I1092)&gt;0,N(G1092)-N(I1092),""))</f>
        <v/>
      </c>
      <c r="L1092" s="32" t="n"/>
      <c r="M1092" s="1">
        <f>IF(OR(B1092="",D1092="",F1092="Cancelled"),"",B1092+N(C1092)+ROW()/10000000)</f>
        <v/>
      </c>
      <c r="N1092">
        <f>IF(AND(F1092="Done",M1092&lt;&gt;""),IF(COUNTIFS(Appointments!$D$6:$D$2005,D1092,Appointments!$F$6:$F$2005,"Done",Appointments!$M$6:$M$2005,"&gt;"&amp;M1092)=0,1,0),0)</f>
        <v/>
      </c>
      <c r="O1092">
        <f>IF(AND(F1092="Booked",M1092&lt;&gt;"",N(B1092)&gt;=TODAY()),IF(COUNTIFS(Appointments!$D$6:$D$2005,D1092,Appointments!$F$6:$F$2005,"Booked",Appointments!$B$6:$B$2005,"&gt;="&amp;TODAY(),Appointments!$M$6:$M$2005,"&lt;"&amp;M1092)=0,1,0),0)</f>
        <v/>
      </c>
    </row>
    <row r="1093">
      <c r="A1093" s="1" t="n"/>
      <c r="B1093" s="30" t="n">
        <v>46283</v>
      </c>
      <c r="C1093" s="31" t="n">
        <v>0.6041666666666666</v>
      </c>
      <c r="D1093" s="32" t="inlineStr">
        <is>
          <t>Sophie Cox</t>
        </is>
      </c>
      <c r="E1093" s="32" t="inlineStr">
        <is>
          <t>Blow dry</t>
        </is>
      </c>
      <c r="F1093" s="33" t="inlineStr">
        <is>
          <t>Done</t>
        </is>
      </c>
      <c r="G1093" s="27">
        <f>IF(E1093="","",MAX(0,IFERROR(INDEX(Services!$C$6:$C$35,MATCH(E1093,Services!$B$6:$B$35,0)),0)-N(H1093)))</f>
        <v/>
      </c>
      <c r="H1093" s="34" t="n"/>
      <c r="I1093" s="34" t="n">
        <v>35</v>
      </c>
      <c r="J1093" s="33" t="inlineStr">
        <is>
          <t>Card</t>
        </is>
      </c>
      <c r="K1093" s="28">
        <f>IF(OR(B1093="",F1093&lt;&gt;"Done",J1093="Package"),"",IF(N(G1093)-N(I1093)&gt;0,N(G1093)-N(I1093),""))</f>
        <v/>
      </c>
      <c r="L1093" s="32" t="n"/>
      <c r="M1093" s="1">
        <f>IF(OR(B1093="",D1093="",F1093="Cancelled"),"",B1093+N(C1093)+ROW()/10000000)</f>
        <v/>
      </c>
      <c r="N1093">
        <f>IF(AND(F1093="Done",M1093&lt;&gt;""),IF(COUNTIFS(Appointments!$D$6:$D$2005,D1093,Appointments!$F$6:$F$2005,"Done",Appointments!$M$6:$M$2005,"&gt;"&amp;M1093)=0,1,0),0)</f>
        <v/>
      </c>
      <c r="O1093">
        <f>IF(AND(F1093="Booked",M1093&lt;&gt;"",N(B1093)&gt;=TODAY()),IF(COUNTIFS(Appointments!$D$6:$D$2005,D1093,Appointments!$F$6:$F$2005,"Booked",Appointments!$B$6:$B$2005,"&gt;="&amp;TODAY(),Appointments!$M$6:$M$2005,"&lt;"&amp;M1093)=0,1,0),0)</f>
        <v/>
      </c>
    </row>
    <row r="1094">
      <c r="A1094" s="1" t="n"/>
      <c r="B1094" s="30" t="n">
        <v>46284</v>
      </c>
      <c r="C1094" s="31" t="n">
        <v>0.375</v>
      </c>
      <c r="D1094" s="32" t="inlineStr">
        <is>
          <t>Eli Brooks</t>
        </is>
      </c>
      <c r="E1094" s="32" t="inlineStr">
        <is>
          <t>Men's haircut</t>
        </is>
      </c>
      <c r="F1094" s="33" t="inlineStr">
        <is>
          <t>Done</t>
        </is>
      </c>
      <c r="G1094" s="27">
        <f>IF(E1094="","",MAX(0,IFERROR(INDEX(Services!$C$6:$C$35,MATCH(E1094,Services!$B$6:$B$35,0)),0)-N(H1094)))</f>
        <v/>
      </c>
      <c r="H1094" s="34" t="n"/>
      <c r="I1094" s="34" t="n">
        <v>30</v>
      </c>
      <c r="J1094" s="33" t="inlineStr">
        <is>
          <t>Card</t>
        </is>
      </c>
      <c r="K1094" s="28">
        <f>IF(OR(B1094="",F1094&lt;&gt;"Done",J1094="Package"),"",IF(N(G1094)-N(I1094)&gt;0,N(G1094)-N(I1094),""))</f>
        <v/>
      </c>
      <c r="L1094" s="32" t="n"/>
      <c r="M1094" s="1">
        <f>IF(OR(B1094="",D1094="",F1094="Cancelled"),"",B1094+N(C1094)+ROW()/10000000)</f>
        <v/>
      </c>
      <c r="N1094">
        <f>IF(AND(F1094="Done",M1094&lt;&gt;""),IF(COUNTIFS(Appointments!$D$6:$D$2005,D1094,Appointments!$F$6:$F$2005,"Done",Appointments!$M$6:$M$2005,"&gt;"&amp;M1094)=0,1,0),0)</f>
        <v/>
      </c>
      <c r="O1094">
        <f>IF(AND(F1094="Booked",M1094&lt;&gt;"",N(B1094)&gt;=TODAY()),IF(COUNTIFS(Appointments!$D$6:$D$2005,D1094,Appointments!$F$6:$F$2005,"Booked",Appointments!$B$6:$B$2005,"&gt;="&amp;TODAY(),Appointments!$M$6:$M$2005,"&lt;"&amp;M1094)=0,1,0),0)</f>
        <v/>
      </c>
    </row>
    <row r="1095">
      <c r="A1095" s="1" t="n"/>
      <c r="B1095" s="30" t="n">
        <v>46284</v>
      </c>
      <c r="C1095" s="31" t="n">
        <v>0.4027777777777778</v>
      </c>
      <c r="D1095" s="32" t="inlineStr">
        <is>
          <t>Eva Mills</t>
        </is>
      </c>
      <c r="E1095" s="32" t="inlineStr">
        <is>
          <t>Blow dry</t>
        </is>
      </c>
      <c r="F1095" s="33" t="inlineStr">
        <is>
          <t>Done</t>
        </is>
      </c>
      <c r="G1095" s="27">
        <f>IF(E1095="","",MAX(0,IFERROR(INDEX(Services!$C$6:$C$35,MATCH(E1095,Services!$B$6:$B$35,0)),0)-N(H1095)))</f>
        <v/>
      </c>
      <c r="H1095" s="34" t="n"/>
      <c r="I1095" s="34" t="n">
        <v>35</v>
      </c>
      <c r="J1095" s="33" t="inlineStr">
        <is>
          <t>Transfer</t>
        </is>
      </c>
      <c r="K1095" s="28">
        <f>IF(OR(B1095="",F1095&lt;&gt;"Done",J1095="Package"),"",IF(N(G1095)-N(I1095)&gt;0,N(G1095)-N(I1095),""))</f>
        <v/>
      </c>
      <c r="L1095" s="32" t="n"/>
      <c r="M1095" s="1">
        <f>IF(OR(B1095="",D1095="",F1095="Cancelled"),"",B1095+N(C1095)+ROW()/10000000)</f>
        <v/>
      </c>
      <c r="N1095">
        <f>IF(AND(F1095="Done",M1095&lt;&gt;""),IF(COUNTIFS(Appointments!$D$6:$D$2005,D1095,Appointments!$F$6:$F$2005,"Done",Appointments!$M$6:$M$2005,"&gt;"&amp;M1095)=0,1,0),0)</f>
        <v/>
      </c>
      <c r="O1095">
        <f>IF(AND(F1095="Booked",M1095&lt;&gt;"",N(B1095)&gt;=TODAY()),IF(COUNTIFS(Appointments!$D$6:$D$2005,D1095,Appointments!$F$6:$F$2005,"Booked",Appointments!$B$6:$B$2005,"&gt;="&amp;TODAY(),Appointments!$M$6:$M$2005,"&lt;"&amp;M1095)=0,1,0),0)</f>
        <v/>
      </c>
    </row>
    <row r="1096">
      <c r="A1096" s="1" t="n"/>
      <c r="B1096" s="30" t="n">
        <v>46284</v>
      </c>
      <c r="C1096" s="31" t="n">
        <v>0.4409722222222222</v>
      </c>
      <c r="D1096" s="32" t="inlineStr">
        <is>
          <t>Kyle Hughes</t>
        </is>
      </c>
      <c r="E1096" s="32" t="inlineStr">
        <is>
          <t>Men's haircut</t>
        </is>
      </c>
      <c r="F1096" s="33" t="inlineStr">
        <is>
          <t>Done</t>
        </is>
      </c>
      <c r="G1096" s="27">
        <f>IF(E1096="","",MAX(0,IFERROR(INDEX(Services!$C$6:$C$35,MATCH(E1096,Services!$B$6:$B$35,0)),0)-N(H1096)))</f>
        <v/>
      </c>
      <c r="H1096" s="34" t="n"/>
      <c r="I1096" s="34" t="n">
        <v>30</v>
      </c>
      <c r="J1096" s="33" t="inlineStr">
        <is>
          <t>App</t>
        </is>
      </c>
      <c r="K1096" s="28">
        <f>IF(OR(B1096="",F1096&lt;&gt;"Done",J1096="Package"),"",IF(N(G1096)-N(I1096)&gt;0,N(G1096)-N(I1096),""))</f>
        <v/>
      </c>
      <c r="L1096" s="32" t="n"/>
      <c r="M1096" s="1">
        <f>IF(OR(B1096="",D1096="",F1096="Cancelled"),"",B1096+N(C1096)+ROW()/10000000)</f>
        <v/>
      </c>
      <c r="N1096">
        <f>IF(AND(F1096="Done",M1096&lt;&gt;""),IF(COUNTIFS(Appointments!$D$6:$D$2005,D1096,Appointments!$F$6:$F$2005,"Done",Appointments!$M$6:$M$2005,"&gt;"&amp;M1096)=0,1,0),0)</f>
        <v/>
      </c>
      <c r="O1096">
        <f>IF(AND(F1096="Booked",M1096&lt;&gt;"",N(B1096)&gt;=TODAY()),IF(COUNTIFS(Appointments!$D$6:$D$2005,D1096,Appointments!$F$6:$F$2005,"Booked",Appointments!$B$6:$B$2005,"&gt;="&amp;TODAY(),Appointments!$M$6:$M$2005,"&lt;"&amp;M1096)=0,1,0),0)</f>
        <v/>
      </c>
    </row>
    <row r="1097">
      <c r="A1097" s="1" t="n"/>
      <c r="B1097" s="30" t="n">
        <v>46284</v>
      </c>
      <c r="C1097" s="31" t="n">
        <v>0.46875</v>
      </c>
      <c r="D1097" s="32" t="inlineStr">
        <is>
          <t>Tom Ellis</t>
        </is>
      </c>
      <c r="E1097" s="32" t="inlineStr">
        <is>
          <t>Men's haircut</t>
        </is>
      </c>
      <c r="F1097" s="33" t="inlineStr">
        <is>
          <t>Done</t>
        </is>
      </c>
      <c r="G1097" s="27">
        <f>IF(E1097="","",MAX(0,IFERROR(INDEX(Services!$C$6:$C$35,MATCH(E1097,Services!$B$6:$B$35,0)),0)-N(H1097)))</f>
        <v/>
      </c>
      <c r="H1097" s="34" t="n"/>
      <c r="I1097" s="34" t="n">
        <v>30</v>
      </c>
      <c r="J1097" s="33" t="inlineStr">
        <is>
          <t>Transfer</t>
        </is>
      </c>
      <c r="K1097" s="28">
        <f>IF(OR(B1097="",F1097&lt;&gt;"Done",J1097="Package"),"",IF(N(G1097)-N(I1097)&gt;0,N(G1097)-N(I1097),""))</f>
        <v/>
      </c>
      <c r="L1097" s="32" t="n"/>
      <c r="M1097" s="1">
        <f>IF(OR(B1097="",D1097="",F1097="Cancelled"),"",B1097+N(C1097)+ROW()/10000000)</f>
        <v/>
      </c>
      <c r="N1097">
        <f>IF(AND(F1097="Done",M1097&lt;&gt;""),IF(COUNTIFS(Appointments!$D$6:$D$2005,D1097,Appointments!$F$6:$F$2005,"Done",Appointments!$M$6:$M$2005,"&gt;"&amp;M1097)=0,1,0),0)</f>
        <v/>
      </c>
      <c r="O1097">
        <f>IF(AND(F1097="Booked",M1097&lt;&gt;"",N(B1097)&gt;=TODAY()),IF(COUNTIFS(Appointments!$D$6:$D$2005,D1097,Appointments!$F$6:$F$2005,"Booked",Appointments!$B$6:$B$2005,"&gt;="&amp;TODAY(),Appointments!$M$6:$M$2005,"&lt;"&amp;M1097)=0,1,0),0)</f>
        <v/>
      </c>
    </row>
    <row r="1098">
      <c r="A1098" s="1" t="n"/>
      <c r="B1098" s="30" t="n">
        <v>46287</v>
      </c>
      <c r="C1098" s="31" t="n">
        <v>0.375</v>
      </c>
      <c r="D1098" s="32" t="inlineStr">
        <is>
          <t>Adam Gray</t>
        </is>
      </c>
      <c r="E1098" s="32" t="inlineStr">
        <is>
          <t>Men's haircut</t>
        </is>
      </c>
      <c r="F1098" s="33" t="inlineStr">
        <is>
          <t>Done</t>
        </is>
      </c>
      <c r="G1098" s="27">
        <f>IF(E1098="","",MAX(0,IFERROR(INDEX(Services!$C$6:$C$35,MATCH(E1098,Services!$B$6:$B$35,0)),0)-N(H1098)))</f>
        <v/>
      </c>
      <c r="H1098" s="34" t="n"/>
      <c r="I1098" s="34" t="n">
        <v>30</v>
      </c>
      <c r="J1098" s="33" t="inlineStr">
        <is>
          <t>Card</t>
        </is>
      </c>
      <c r="K1098" s="28">
        <f>IF(OR(B1098="",F1098&lt;&gt;"Done",J1098="Package"),"",IF(N(G1098)-N(I1098)&gt;0,N(G1098)-N(I1098),""))</f>
        <v/>
      </c>
      <c r="L1098" s="32" t="n"/>
      <c r="M1098" s="1">
        <f>IF(OR(B1098="",D1098="",F1098="Cancelled"),"",B1098+N(C1098)+ROW()/10000000)</f>
        <v/>
      </c>
      <c r="N1098">
        <f>IF(AND(F1098="Done",M1098&lt;&gt;""),IF(COUNTIFS(Appointments!$D$6:$D$2005,D1098,Appointments!$F$6:$F$2005,"Done",Appointments!$M$6:$M$2005,"&gt;"&amp;M1098)=0,1,0),0)</f>
        <v/>
      </c>
      <c r="O1098">
        <f>IF(AND(F1098="Booked",M1098&lt;&gt;"",N(B1098)&gt;=TODAY()),IF(COUNTIFS(Appointments!$D$6:$D$2005,D1098,Appointments!$F$6:$F$2005,"Booked",Appointments!$B$6:$B$2005,"&gt;="&amp;TODAY(),Appointments!$M$6:$M$2005,"&lt;"&amp;M1098)=0,1,0),0)</f>
        <v/>
      </c>
    </row>
    <row r="1099">
      <c r="A1099" s="1" t="n"/>
      <c r="B1099" s="30" t="n">
        <v>46287</v>
      </c>
      <c r="C1099" s="31" t="n">
        <v>0.4027777777777778</v>
      </c>
      <c r="D1099" s="32" t="inlineStr">
        <is>
          <t>Ava Lewis</t>
        </is>
      </c>
      <c r="E1099" s="32" t="inlineStr">
        <is>
          <t>Colour</t>
        </is>
      </c>
      <c r="F1099" s="33" t="inlineStr">
        <is>
          <t>Done</t>
        </is>
      </c>
      <c r="G1099" s="27">
        <f>IF(E1099="","",MAX(0,IFERROR(INDEX(Services!$C$6:$C$35,MATCH(E1099,Services!$B$6:$B$35,0)),0)-N(H1099)))</f>
        <v/>
      </c>
      <c r="H1099" s="34" t="n"/>
      <c r="I1099" s="34" t="n">
        <v>95</v>
      </c>
      <c r="J1099" s="33" t="inlineStr">
        <is>
          <t>Cash</t>
        </is>
      </c>
      <c r="K1099" s="28">
        <f>IF(OR(B1099="",F1099&lt;&gt;"Done",J1099="Package"),"",IF(N(G1099)-N(I1099)&gt;0,N(G1099)-N(I1099),""))</f>
        <v/>
      </c>
      <c r="L1099" s="32" t="n"/>
      <c r="M1099" s="1">
        <f>IF(OR(B1099="",D1099="",F1099="Cancelled"),"",B1099+N(C1099)+ROW()/10000000)</f>
        <v/>
      </c>
      <c r="N1099">
        <f>IF(AND(F1099="Done",M1099&lt;&gt;""),IF(COUNTIFS(Appointments!$D$6:$D$2005,D1099,Appointments!$F$6:$F$2005,"Done",Appointments!$M$6:$M$2005,"&gt;"&amp;M1099)=0,1,0),0)</f>
        <v/>
      </c>
      <c r="O1099">
        <f>IF(AND(F1099="Booked",M1099&lt;&gt;"",N(B1099)&gt;=TODAY()),IF(COUNTIFS(Appointments!$D$6:$D$2005,D1099,Appointments!$F$6:$F$2005,"Booked",Appointments!$B$6:$B$2005,"&gt;="&amp;TODAY(),Appointments!$M$6:$M$2005,"&lt;"&amp;M1099)=0,1,0),0)</f>
        <v/>
      </c>
    </row>
    <row r="1100">
      <c r="A1100" s="1" t="n"/>
      <c r="B1100" s="30" t="n">
        <v>46287</v>
      </c>
      <c r="C1100" s="31" t="n">
        <v>0.4930555555555556</v>
      </c>
      <c r="D1100" s="32" t="inlineStr">
        <is>
          <t>Emma Johnson</t>
        </is>
      </c>
      <c r="E1100" s="32" t="inlineStr">
        <is>
          <t>Blow dry</t>
        </is>
      </c>
      <c r="F1100" s="33" t="inlineStr">
        <is>
          <t>Done</t>
        </is>
      </c>
      <c r="G1100" s="27">
        <f>IF(E1100="","",MAX(0,IFERROR(INDEX(Services!$C$6:$C$35,MATCH(E1100,Services!$B$6:$B$35,0)),0)-N(H1100)))</f>
        <v/>
      </c>
      <c r="H1100" s="34" t="n"/>
      <c r="I1100" s="34" t="n"/>
      <c r="J1100" s="33" t="inlineStr">
        <is>
          <t>Package</t>
        </is>
      </c>
      <c r="K1100" s="28">
        <f>IF(OR(B1100="",F1100&lt;&gt;"Done",J1100="Package"),"",IF(N(G1100)-N(I1100)&gt;0,N(G1100)-N(I1100),""))</f>
        <v/>
      </c>
      <c r="L1100" s="32" t="n"/>
      <c r="M1100" s="1">
        <f>IF(OR(B1100="",D1100="",F1100="Cancelled"),"",B1100+N(C1100)+ROW()/10000000)</f>
        <v/>
      </c>
      <c r="N1100">
        <f>IF(AND(F1100="Done",M1100&lt;&gt;""),IF(COUNTIFS(Appointments!$D$6:$D$2005,D1100,Appointments!$F$6:$F$2005,"Done",Appointments!$M$6:$M$2005,"&gt;"&amp;M1100)=0,1,0),0)</f>
        <v/>
      </c>
      <c r="O1100">
        <f>IF(AND(F1100="Booked",M1100&lt;&gt;"",N(B1100)&gt;=TODAY()),IF(COUNTIFS(Appointments!$D$6:$D$2005,D1100,Appointments!$F$6:$F$2005,"Booked",Appointments!$B$6:$B$2005,"&gt;="&amp;TODAY(),Appointments!$M$6:$M$2005,"&lt;"&amp;M1100)=0,1,0),0)</f>
        <v/>
      </c>
    </row>
    <row r="1101">
      <c r="A1101" s="1" t="n"/>
      <c r="B1101" s="30" t="n">
        <v>46287</v>
      </c>
      <c r="C1101" s="31" t="n">
        <v>0.53125</v>
      </c>
      <c r="D1101" s="32" t="inlineStr">
        <is>
          <t>Harry Cox</t>
        </is>
      </c>
      <c r="E1101" s="32" t="inlineStr">
        <is>
          <t>Men's haircut</t>
        </is>
      </c>
      <c r="F1101" s="33" t="inlineStr">
        <is>
          <t>Done</t>
        </is>
      </c>
      <c r="G1101" s="27">
        <f>IF(E1101="","",MAX(0,IFERROR(INDEX(Services!$C$6:$C$35,MATCH(E1101,Services!$B$6:$B$35,0)),0)-N(H1101)))</f>
        <v/>
      </c>
      <c r="H1101" s="34" t="n"/>
      <c r="I1101" s="34" t="n">
        <v>30</v>
      </c>
      <c r="J1101" s="33" t="inlineStr">
        <is>
          <t>Cash</t>
        </is>
      </c>
      <c r="K1101" s="28">
        <f>IF(OR(B1101="",F1101&lt;&gt;"Done",J1101="Package"),"",IF(N(G1101)-N(I1101)&gt;0,N(G1101)-N(I1101),""))</f>
        <v/>
      </c>
      <c r="L1101" s="32" t="n"/>
      <c r="M1101" s="1">
        <f>IF(OR(B1101="",D1101="",F1101="Cancelled"),"",B1101+N(C1101)+ROW()/10000000)</f>
        <v/>
      </c>
      <c r="N1101">
        <f>IF(AND(F1101="Done",M1101&lt;&gt;""),IF(COUNTIFS(Appointments!$D$6:$D$2005,D1101,Appointments!$F$6:$F$2005,"Done",Appointments!$M$6:$M$2005,"&gt;"&amp;M1101)=0,1,0),0)</f>
        <v/>
      </c>
      <c r="O1101">
        <f>IF(AND(F1101="Booked",M1101&lt;&gt;"",N(B1101)&gt;=TODAY()),IF(COUNTIFS(Appointments!$D$6:$D$2005,D1101,Appointments!$F$6:$F$2005,"Booked",Appointments!$B$6:$B$2005,"&gt;="&amp;TODAY(),Appointments!$M$6:$M$2005,"&lt;"&amp;M1101)=0,1,0),0)</f>
        <v/>
      </c>
    </row>
    <row r="1102">
      <c r="A1102" s="1" t="n"/>
      <c r="B1102" s="30" t="n">
        <v>46287</v>
      </c>
      <c r="C1102" s="31" t="n">
        <v>0.5590277777777778</v>
      </c>
      <c r="D1102" s="32" t="inlineStr">
        <is>
          <t>Iris West</t>
        </is>
      </c>
      <c r="E1102" s="32" t="inlineStr">
        <is>
          <t>Women's haircut</t>
        </is>
      </c>
      <c r="F1102" s="33" t="inlineStr">
        <is>
          <t>Done</t>
        </is>
      </c>
      <c r="G1102" s="27">
        <f>IF(E1102="","",MAX(0,IFERROR(INDEX(Services!$C$6:$C$35,MATCH(E1102,Services!$B$6:$B$35,0)),0)-N(H1102)))</f>
        <v/>
      </c>
      <c r="H1102" s="34" t="n"/>
      <c r="I1102" s="34" t="n">
        <v>55</v>
      </c>
      <c r="J1102" s="33" t="inlineStr">
        <is>
          <t>Card</t>
        </is>
      </c>
      <c r="K1102" s="28">
        <f>IF(OR(B1102="",F1102&lt;&gt;"Done",J1102="Package"),"",IF(N(G1102)-N(I1102)&gt;0,N(G1102)-N(I1102),""))</f>
        <v/>
      </c>
      <c r="L1102" s="32" t="n"/>
      <c r="M1102" s="1">
        <f>IF(OR(B1102="",D1102="",F1102="Cancelled"),"",B1102+N(C1102)+ROW()/10000000)</f>
        <v/>
      </c>
      <c r="N1102">
        <f>IF(AND(F1102="Done",M1102&lt;&gt;""),IF(COUNTIFS(Appointments!$D$6:$D$2005,D1102,Appointments!$F$6:$F$2005,"Done",Appointments!$M$6:$M$2005,"&gt;"&amp;M1102)=0,1,0),0)</f>
        <v/>
      </c>
      <c r="O1102">
        <f>IF(AND(F1102="Booked",M1102&lt;&gt;"",N(B1102)&gt;=TODAY()),IF(COUNTIFS(Appointments!$D$6:$D$2005,D1102,Appointments!$F$6:$F$2005,"Booked",Appointments!$B$6:$B$2005,"&gt;="&amp;TODAY(),Appointments!$M$6:$M$2005,"&lt;"&amp;M1102)=0,1,0),0)</f>
        <v/>
      </c>
    </row>
    <row r="1103">
      <c r="A1103" s="1" t="n"/>
      <c r="B1103" s="30" t="n">
        <v>46287</v>
      </c>
      <c r="C1103" s="31" t="n">
        <v>0.6076388888888888</v>
      </c>
      <c r="D1103" s="32" t="inlineStr">
        <is>
          <t>Kara Adams</t>
        </is>
      </c>
      <c r="E1103" s="32" t="inlineStr">
        <is>
          <t>Women's haircut</t>
        </is>
      </c>
      <c r="F1103" s="33" t="inlineStr">
        <is>
          <t>Done</t>
        </is>
      </c>
      <c r="G1103" s="27">
        <f>IF(E1103="","",MAX(0,IFERROR(INDEX(Services!$C$6:$C$35,MATCH(E1103,Services!$B$6:$B$35,0)),0)-N(H1103)))</f>
        <v/>
      </c>
      <c r="H1103" s="34" t="n"/>
      <c r="I1103" s="34" t="n">
        <v>55</v>
      </c>
      <c r="J1103" s="33" t="inlineStr">
        <is>
          <t>Cash</t>
        </is>
      </c>
      <c r="K1103" s="28">
        <f>IF(OR(B1103="",F1103&lt;&gt;"Done",J1103="Package"),"",IF(N(G1103)-N(I1103)&gt;0,N(G1103)-N(I1103),""))</f>
        <v/>
      </c>
      <c r="L1103" s="32" t="n"/>
      <c r="M1103" s="1">
        <f>IF(OR(B1103="",D1103="",F1103="Cancelled"),"",B1103+N(C1103)+ROW()/10000000)</f>
        <v/>
      </c>
      <c r="N1103">
        <f>IF(AND(F1103="Done",M1103&lt;&gt;""),IF(COUNTIFS(Appointments!$D$6:$D$2005,D1103,Appointments!$F$6:$F$2005,"Done",Appointments!$M$6:$M$2005,"&gt;"&amp;M1103)=0,1,0),0)</f>
        <v/>
      </c>
      <c r="O1103">
        <f>IF(AND(F1103="Booked",M1103&lt;&gt;"",N(B1103)&gt;=TODAY()),IF(COUNTIFS(Appointments!$D$6:$D$2005,D1103,Appointments!$F$6:$F$2005,"Booked",Appointments!$B$6:$B$2005,"&gt;="&amp;TODAY(),Appointments!$M$6:$M$2005,"&lt;"&amp;M1103)=0,1,0),0)</f>
        <v/>
      </c>
    </row>
    <row r="1104">
      <c r="A1104" s="1" t="n"/>
      <c r="B1104" s="30" t="n">
        <v>46287</v>
      </c>
      <c r="C1104" s="31" t="n">
        <v>0.65625</v>
      </c>
      <c r="D1104" s="32" t="inlineStr">
        <is>
          <t>Sara Ward</t>
        </is>
      </c>
      <c r="E1104" s="32" t="inlineStr">
        <is>
          <t>Women's haircut</t>
        </is>
      </c>
      <c r="F1104" s="33" t="inlineStr">
        <is>
          <t>Done</t>
        </is>
      </c>
      <c r="G1104" s="27">
        <f>IF(E1104="","",MAX(0,IFERROR(INDEX(Services!$C$6:$C$35,MATCH(E1104,Services!$B$6:$B$35,0)),0)-N(H1104)))</f>
        <v/>
      </c>
      <c r="H1104" s="34" t="n"/>
      <c r="I1104" s="34" t="n">
        <v>55</v>
      </c>
      <c r="J1104" s="33" t="inlineStr">
        <is>
          <t>Card</t>
        </is>
      </c>
      <c r="K1104" s="28">
        <f>IF(OR(B1104="",F1104&lt;&gt;"Done",J1104="Package"),"",IF(N(G1104)-N(I1104)&gt;0,N(G1104)-N(I1104),""))</f>
        <v/>
      </c>
      <c r="L1104" s="32" t="n"/>
      <c r="M1104" s="1">
        <f>IF(OR(B1104="",D1104="",F1104="Cancelled"),"",B1104+N(C1104)+ROW()/10000000)</f>
        <v/>
      </c>
      <c r="N1104">
        <f>IF(AND(F1104="Done",M1104&lt;&gt;""),IF(COUNTIFS(Appointments!$D$6:$D$2005,D1104,Appointments!$F$6:$F$2005,"Done",Appointments!$M$6:$M$2005,"&gt;"&amp;M1104)=0,1,0),0)</f>
        <v/>
      </c>
      <c r="O1104">
        <f>IF(AND(F1104="Booked",M1104&lt;&gt;"",N(B1104)&gt;=TODAY()),IF(COUNTIFS(Appointments!$D$6:$D$2005,D1104,Appointments!$F$6:$F$2005,"Booked",Appointments!$B$6:$B$2005,"&gt;="&amp;TODAY(),Appointments!$M$6:$M$2005,"&lt;"&amp;M1104)=0,1,0),0)</f>
        <v/>
      </c>
    </row>
    <row r="1105">
      <c r="A1105" s="1" t="n"/>
      <c r="B1105" s="30" t="n">
        <v>46288</v>
      </c>
      <c r="C1105" s="31" t="n">
        <v>0.375</v>
      </c>
      <c r="D1105" s="32" t="inlineStr">
        <is>
          <t>Finn Cook</t>
        </is>
      </c>
      <c r="E1105" s="32" t="inlineStr">
        <is>
          <t>Men's haircut</t>
        </is>
      </c>
      <c r="F1105" s="33" t="inlineStr">
        <is>
          <t>Done</t>
        </is>
      </c>
      <c r="G1105" s="27">
        <f>IF(E1105="","",MAX(0,IFERROR(INDEX(Services!$C$6:$C$35,MATCH(E1105,Services!$B$6:$B$35,0)),0)-N(H1105)))</f>
        <v/>
      </c>
      <c r="H1105" s="34" t="n"/>
      <c r="I1105" s="34" t="n">
        <v>30</v>
      </c>
      <c r="J1105" s="33" t="inlineStr">
        <is>
          <t>Cash</t>
        </is>
      </c>
      <c r="K1105" s="28">
        <f>IF(OR(B1105="",F1105&lt;&gt;"Done",J1105="Package"),"",IF(N(G1105)-N(I1105)&gt;0,N(G1105)-N(I1105),""))</f>
        <v/>
      </c>
      <c r="L1105" s="32" t="n"/>
      <c r="M1105" s="1">
        <f>IF(OR(B1105="",D1105="",F1105="Cancelled"),"",B1105+N(C1105)+ROW()/10000000)</f>
        <v/>
      </c>
      <c r="N1105">
        <f>IF(AND(F1105="Done",M1105&lt;&gt;""),IF(COUNTIFS(Appointments!$D$6:$D$2005,D1105,Appointments!$F$6:$F$2005,"Done",Appointments!$M$6:$M$2005,"&gt;"&amp;M1105)=0,1,0),0)</f>
        <v/>
      </c>
      <c r="O1105">
        <f>IF(AND(F1105="Booked",M1105&lt;&gt;"",N(B1105)&gt;=TODAY()),IF(COUNTIFS(Appointments!$D$6:$D$2005,D1105,Appointments!$F$6:$F$2005,"Booked",Appointments!$B$6:$B$2005,"&gt;="&amp;TODAY(),Appointments!$M$6:$M$2005,"&lt;"&amp;M1105)=0,1,0),0)</f>
        <v/>
      </c>
    </row>
    <row r="1106">
      <c r="A1106" s="1" t="n"/>
      <c r="B1106" s="30" t="n">
        <v>46288</v>
      </c>
      <c r="C1106" s="31" t="n">
        <v>0.4027777777777778</v>
      </c>
      <c r="D1106" s="32" t="inlineStr">
        <is>
          <t>Finn Wood</t>
        </is>
      </c>
      <c r="E1106" s="32" t="inlineStr">
        <is>
          <t>Men's haircut</t>
        </is>
      </c>
      <c r="F1106" s="33" t="inlineStr">
        <is>
          <t>Done</t>
        </is>
      </c>
      <c r="G1106" s="27">
        <f>IF(E1106="","",MAX(0,IFERROR(INDEX(Services!$C$6:$C$35,MATCH(E1106,Services!$B$6:$B$35,0)),0)-N(H1106)))</f>
        <v/>
      </c>
      <c r="H1106" s="34" t="n"/>
      <c r="I1106" s="34" t="n">
        <v>30</v>
      </c>
      <c r="J1106" s="33" t="inlineStr">
        <is>
          <t>Card</t>
        </is>
      </c>
      <c r="K1106" s="28">
        <f>IF(OR(B1106="",F1106&lt;&gt;"Done",J1106="Package"),"",IF(N(G1106)-N(I1106)&gt;0,N(G1106)-N(I1106),""))</f>
        <v/>
      </c>
      <c r="L1106" s="32" t="n"/>
      <c r="M1106" s="1">
        <f>IF(OR(B1106="",D1106="",F1106="Cancelled"),"",B1106+N(C1106)+ROW()/10000000)</f>
        <v/>
      </c>
      <c r="N1106">
        <f>IF(AND(F1106="Done",M1106&lt;&gt;""),IF(COUNTIFS(Appointments!$D$6:$D$2005,D1106,Appointments!$F$6:$F$2005,"Done",Appointments!$M$6:$M$2005,"&gt;"&amp;M1106)=0,1,0),0)</f>
        <v/>
      </c>
      <c r="O1106">
        <f>IF(AND(F1106="Booked",M1106&lt;&gt;"",N(B1106)&gt;=TODAY()),IF(COUNTIFS(Appointments!$D$6:$D$2005,D1106,Appointments!$F$6:$F$2005,"Booked",Appointments!$B$6:$B$2005,"&gt;="&amp;TODAY(),Appointments!$M$6:$M$2005,"&lt;"&amp;M1106)=0,1,0),0)</f>
        <v/>
      </c>
    </row>
    <row r="1107">
      <c r="A1107" s="1" t="n"/>
      <c r="B1107" s="30" t="n">
        <v>46288</v>
      </c>
      <c r="C1107" s="31" t="n">
        <v>0.4305555555555556</v>
      </c>
      <c r="D1107" s="32" t="inlineStr">
        <is>
          <t>Ian Bell</t>
        </is>
      </c>
      <c r="E1107" s="32" t="inlineStr">
        <is>
          <t>Men's haircut</t>
        </is>
      </c>
      <c r="F1107" s="33" t="inlineStr">
        <is>
          <t>Done</t>
        </is>
      </c>
      <c r="G1107" s="27">
        <f>IF(E1107="","",MAX(0,IFERROR(INDEX(Services!$C$6:$C$35,MATCH(E1107,Services!$B$6:$B$35,0)),0)-N(H1107)))</f>
        <v/>
      </c>
      <c r="H1107" s="34" t="n"/>
      <c r="I1107" s="34" t="n">
        <v>30</v>
      </c>
      <c r="J1107" s="33" t="inlineStr">
        <is>
          <t>Card</t>
        </is>
      </c>
      <c r="K1107" s="28">
        <f>IF(OR(B1107="",F1107&lt;&gt;"Done",J1107="Package"),"",IF(N(G1107)-N(I1107)&gt;0,N(G1107)-N(I1107),""))</f>
        <v/>
      </c>
      <c r="L1107" s="32" t="n"/>
      <c r="M1107" s="1">
        <f>IF(OR(B1107="",D1107="",F1107="Cancelled"),"",B1107+N(C1107)+ROW()/10000000)</f>
        <v/>
      </c>
      <c r="N1107">
        <f>IF(AND(F1107="Done",M1107&lt;&gt;""),IF(COUNTIFS(Appointments!$D$6:$D$2005,D1107,Appointments!$F$6:$F$2005,"Done",Appointments!$M$6:$M$2005,"&gt;"&amp;M1107)=0,1,0),0)</f>
        <v/>
      </c>
      <c r="O1107">
        <f>IF(AND(F1107="Booked",M1107&lt;&gt;"",N(B1107)&gt;=TODAY()),IF(COUNTIFS(Appointments!$D$6:$D$2005,D1107,Appointments!$F$6:$F$2005,"Booked",Appointments!$B$6:$B$2005,"&gt;="&amp;TODAY(),Appointments!$M$6:$M$2005,"&lt;"&amp;M1107)=0,1,0),0)</f>
        <v/>
      </c>
    </row>
    <row r="1108">
      <c r="A1108" s="1" t="n"/>
      <c r="B1108" s="30" t="n">
        <v>46288</v>
      </c>
      <c r="C1108" s="31" t="n">
        <v>0.4583333333333333</v>
      </c>
      <c r="D1108" s="32" t="inlineStr">
        <is>
          <t>Ian Reed</t>
        </is>
      </c>
      <c r="E1108" s="32" t="inlineStr">
        <is>
          <t>Men's haircut</t>
        </is>
      </c>
      <c r="F1108" s="33" t="inlineStr">
        <is>
          <t>Done</t>
        </is>
      </c>
      <c r="G1108" s="27">
        <f>IF(E1108="","",MAX(0,IFERROR(INDEX(Services!$C$6:$C$35,MATCH(E1108,Services!$B$6:$B$35,0)),0)-N(H1108)))</f>
        <v/>
      </c>
      <c r="H1108" s="34" t="n"/>
      <c r="I1108" s="34" t="n">
        <v>30</v>
      </c>
      <c r="J1108" s="33" t="inlineStr">
        <is>
          <t>Cash</t>
        </is>
      </c>
      <c r="K1108" s="28">
        <f>IF(OR(B1108="",F1108&lt;&gt;"Done",J1108="Package"),"",IF(N(G1108)-N(I1108)&gt;0,N(G1108)-N(I1108),""))</f>
        <v/>
      </c>
      <c r="L1108" s="32" t="n"/>
      <c r="M1108" s="1">
        <f>IF(OR(B1108="",D1108="",F1108="Cancelled"),"",B1108+N(C1108)+ROW()/10000000)</f>
        <v/>
      </c>
      <c r="N1108">
        <f>IF(AND(F1108="Done",M1108&lt;&gt;""),IF(COUNTIFS(Appointments!$D$6:$D$2005,D1108,Appointments!$F$6:$F$2005,"Done",Appointments!$M$6:$M$2005,"&gt;"&amp;M1108)=0,1,0),0)</f>
        <v/>
      </c>
      <c r="O1108">
        <f>IF(AND(F1108="Booked",M1108&lt;&gt;"",N(B1108)&gt;=TODAY()),IF(COUNTIFS(Appointments!$D$6:$D$2005,D1108,Appointments!$F$6:$F$2005,"Booked",Appointments!$B$6:$B$2005,"&gt;="&amp;TODAY(),Appointments!$M$6:$M$2005,"&lt;"&amp;M1108)=0,1,0),0)</f>
        <v/>
      </c>
    </row>
    <row r="1109">
      <c r="A1109" s="1" t="n"/>
      <c r="B1109" s="30" t="n">
        <v>46288</v>
      </c>
      <c r="C1109" s="31" t="n">
        <v>0.4861111111111111</v>
      </c>
      <c r="D1109" s="32" t="inlineStr">
        <is>
          <t>Julia Young</t>
        </is>
      </c>
      <c r="E1109" s="32" t="inlineStr">
        <is>
          <t>Colour</t>
        </is>
      </c>
      <c r="F1109" s="33" t="inlineStr">
        <is>
          <t>Done</t>
        </is>
      </c>
      <c r="G1109" s="27">
        <f>IF(E1109="","",MAX(0,IFERROR(INDEX(Services!$C$6:$C$35,MATCH(E1109,Services!$B$6:$B$35,0)),0)-N(H1109)))</f>
        <v/>
      </c>
      <c r="H1109" s="34" t="n"/>
      <c r="I1109" s="34" t="n">
        <v>95</v>
      </c>
      <c r="J1109" s="33" t="inlineStr">
        <is>
          <t>Card</t>
        </is>
      </c>
      <c r="K1109" s="28">
        <f>IF(OR(B1109="",F1109&lt;&gt;"Done",J1109="Package"),"",IF(N(G1109)-N(I1109)&gt;0,N(G1109)-N(I1109),""))</f>
        <v/>
      </c>
      <c r="L1109" s="32" t="n"/>
      <c r="M1109" s="1">
        <f>IF(OR(B1109="",D1109="",F1109="Cancelled"),"",B1109+N(C1109)+ROW()/10000000)</f>
        <v/>
      </c>
      <c r="N1109">
        <f>IF(AND(F1109="Done",M1109&lt;&gt;""),IF(COUNTIFS(Appointments!$D$6:$D$2005,D1109,Appointments!$F$6:$F$2005,"Done",Appointments!$M$6:$M$2005,"&gt;"&amp;M1109)=0,1,0),0)</f>
        <v/>
      </c>
      <c r="O1109">
        <f>IF(AND(F1109="Booked",M1109&lt;&gt;"",N(B1109)&gt;=TODAY()),IF(COUNTIFS(Appointments!$D$6:$D$2005,D1109,Appointments!$F$6:$F$2005,"Booked",Appointments!$B$6:$B$2005,"&gt;="&amp;TODAY(),Appointments!$M$6:$M$2005,"&lt;"&amp;M1109)=0,1,0),0)</f>
        <v/>
      </c>
    </row>
    <row r="1110">
      <c r="A1110" s="1" t="n"/>
      <c r="B1110" s="30" t="n">
        <v>46289</v>
      </c>
      <c r="C1110" s="31" t="n">
        <v>0.375</v>
      </c>
      <c r="D1110" s="32" t="inlineStr">
        <is>
          <t>Alice Ward</t>
        </is>
      </c>
      <c r="E1110" s="32" t="inlineStr">
        <is>
          <t>Women's haircut</t>
        </is>
      </c>
      <c r="F1110" s="33" t="inlineStr">
        <is>
          <t>Done</t>
        </is>
      </c>
      <c r="G1110" s="27">
        <f>IF(E1110="","",MAX(0,IFERROR(INDEX(Services!$C$6:$C$35,MATCH(E1110,Services!$B$6:$B$35,0)),0)-N(H1110)))</f>
        <v/>
      </c>
      <c r="H1110" s="34" t="n"/>
      <c r="I1110" s="34" t="n">
        <v>55</v>
      </c>
      <c r="J1110" s="33" t="inlineStr">
        <is>
          <t>Card</t>
        </is>
      </c>
      <c r="K1110" s="28">
        <f>IF(OR(B1110="",F1110&lt;&gt;"Done",J1110="Package"),"",IF(N(G1110)-N(I1110)&gt;0,N(G1110)-N(I1110),""))</f>
        <v/>
      </c>
      <c r="L1110" s="32" t="n"/>
      <c r="M1110" s="1">
        <f>IF(OR(B1110="",D1110="",F1110="Cancelled"),"",B1110+N(C1110)+ROW()/10000000)</f>
        <v/>
      </c>
      <c r="N1110">
        <f>IF(AND(F1110="Done",M1110&lt;&gt;""),IF(COUNTIFS(Appointments!$D$6:$D$2005,D1110,Appointments!$F$6:$F$2005,"Done",Appointments!$M$6:$M$2005,"&gt;"&amp;M1110)=0,1,0),0)</f>
        <v/>
      </c>
      <c r="O1110">
        <f>IF(AND(F1110="Booked",M1110&lt;&gt;"",N(B1110)&gt;=TODAY()),IF(COUNTIFS(Appointments!$D$6:$D$2005,D1110,Appointments!$F$6:$F$2005,"Booked",Appointments!$B$6:$B$2005,"&gt;="&amp;TODAY(),Appointments!$M$6:$M$2005,"&lt;"&amp;M1110)=0,1,0),0)</f>
        <v/>
      </c>
    </row>
    <row r="1111">
      <c r="A1111" s="1" t="n"/>
      <c r="B1111" s="30" t="n">
        <v>46289</v>
      </c>
      <c r="C1111" s="31" t="n">
        <v>0.4236111111111111</v>
      </c>
      <c r="D1111" s="32" t="inlineStr">
        <is>
          <t>Fiona Price</t>
        </is>
      </c>
      <c r="E1111" s="32" t="inlineStr">
        <is>
          <t>Highlights</t>
        </is>
      </c>
      <c r="F1111" s="33" t="inlineStr">
        <is>
          <t>Done</t>
        </is>
      </c>
      <c r="G1111" s="27">
        <f>IF(E1111="","",MAX(0,IFERROR(INDEX(Services!$C$6:$C$35,MATCH(E1111,Services!$B$6:$B$35,0)),0)-N(H1111)))</f>
        <v/>
      </c>
      <c r="H1111" s="34" t="n"/>
      <c r="I1111" s="34" t="n">
        <v>140</v>
      </c>
      <c r="J1111" s="33" t="inlineStr">
        <is>
          <t>Card</t>
        </is>
      </c>
      <c r="K1111" s="28">
        <f>IF(OR(B1111="",F1111&lt;&gt;"Done",J1111="Package"),"",IF(N(G1111)-N(I1111)&gt;0,N(G1111)-N(I1111),""))</f>
        <v/>
      </c>
      <c r="L1111" s="32" t="n"/>
      <c r="M1111" s="1">
        <f>IF(OR(B1111="",D1111="",F1111="Cancelled"),"",B1111+N(C1111)+ROW()/10000000)</f>
        <v/>
      </c>
      <c r="N1111">
        <f>IF(AND(F1111="Done",M1111&lt;&gt;""),IF(COUNTIFS(Appointments!$D$6:$D$2005,D1111,Appointments!$F$6:$F$2005,"Done",Appointments!$M$6:$M$2005,"&gt;"&amp;M1111)=0,1,0),0)</f>
        <v/>
      </c>
      <c r="O1111">
        <f>IF(AND(F1111="Booked",M1111&lt;&gt;"",N(B1111)&gt;=TODAY()),IF(COUNTIFS(Appointments!$D$6:$D$2005,D1111,Appointments!$F$6:$F$2005,"Booked",Appointments!$B$6:$B$2005,"&gt;="&amp;TODAY(),Appointments!$M$6:$M$2005,"&lt;"&amp;M1111)=0,1,0),0)</f>
        <v/>
      </c>
    </row>
    <row r="1112">
      <c r="A1112" s="1" t="n"/>
      <c r="B1112" s="30" t="n">
        <v>46289</v>
      </c>
      <c r="C1112" s="31" t="n">
        <v>0.5347222222222222</v>
      </c>
      <c r="D1112" s="32" t="inlineStr">
        <is>
          <t>Gina Adams</t>
        </is>
      </c>
      <c r="E1112" s="32" t="inlineStr">
        <is>
          <t>Toner</t>
        </is>
      </c>
      <c r="F1112" s="33" t="inlineStr">
        <is>
          <t>Done</t>
        </is>
      </c>
      <c r="G1112" s="27">
        <f>IF(E1112="","",MAX(0,IFERROR(INDEX(Services!$C$6:$C$35,MATCH(E1112,Services!$B$6:$B$35,0)),0)-N(H1112)))</f>
        <v/>
      </c>
      <c r="H1112" s="34" t="n"/>
      <c r="I1112" s="34" t="n">
        <v>40</v>
      </c>
      <c r="J1112" s="33" t="inlineStr">
        <is>
          <t>Cash</t>
        </is>
      </c>
      <c r="K1112" s="28">
        <f>IF(OR(B1112="",F1112&lt;&gt;"Done",J1112="Package"),"",IF(N(G1112)-N(I1112)&gt;0,N(G1112)-N(I1112),""))</f>
        <v/>
      </c>
      <c r="L1112" s="32" t="n"/>
      <c r="M1112" s="1">
        <f>IF(OR(B1112="",D1112="",F1112="Cancelled"),"",B1112+N(C1112)+ROW()/10000000)</f>
        <v/>
      </c>
      <c r="N1112">
        <f>IF(AND(F1112="Done",M1112&lt;&gt;""),IF(COUNTIFS(Appointments!$D$6:$D$2005,D1112,Appointments!$F$6:$F$2005,"Done",Appointments!$M$6:$M$2005,"&gt;"&amp;M1112)=0,1,0),0)</f>
        <v/>
      </c>
      <c r="O1112">
        <f>IF(AND(F1112="Booked",M1112&lt;&gt;"",N(B1112)&gt;=TODAY()),IF(COUNTIFS(Appointments!$D$6:$D$2005,D1112,Appointments!$F$6:$F$2005,"Booked",Appointments!$B$6:$B$2005,"&gt;="&amp;TODAY(),Appointments!$M$6:$M$2005,"&lt;"&amp;M1112)=0,1,0),0)</f>
        <v/>
      </c>
    </row>
    <row r="1113">
      <c r="A1113" s="1" t="n"/>
      <c r="B1113" s="30" t="n">
        <v>46289</v>
      </c>
      <c r="C1113" s="31" t="n">
        <v>0.5625</v>
      </c>
      <c r="D1113" s="32" t="inlineStr">
        <is>
          <t>Grace Lee</t>
        </is>
      </c>
      <c r="E1113" s="32" t="inlineStr">
        <is>
          <t>Women's haircut</t>
        </is>
      </c>
      <c r="F1113" s="33" t="inlineStr">
        <is>
          <t>Done</t>
        </is>
      </c>
      <c r="G1113" s="27">
        <f>IF(E1113="","",MAX(0,IFERROR(INDEX(Services!$C$6:$C$35,MATCH(E1113,Services!$B$6:$B$35,0)),0)-N(H1113)))</f>
        <v/>
      </c>
      <c r="H1113" s="34" t="n"/>
      <c r="I1113" s="34" t="n">
        <v>55</v>
      </c>
      <c r="J1113" s="33" t="inlineStr">
        <is>
          <t>Card</t>
        </is>
      </c>
      <c r="K1113" s="28">
        <f>IF(OR(B1113="",F1113&lt;&gt;"Done",J1113="Package"),"",IF(N(G1113)-N(I1113)&gt;0,N(G1113)-N(I1113),""))</f>
        <v/>
      </c>
      <c r="L1113" s="32" t="n"/>
      <c r="M1113" s="1">
        <f>IF(OR(B1113="",D1113="",F1113="Cancelled"),"",B1113+N(C1113)+ROW()/10000000)</f>
        <v/>
      </c>
      <c r="N1113">
        <f>IF(AND(F1113="Done",M1113&lt;&gt;""),IF(COUNTIFS(Appointments!$D$6:$D$2005,D1113,Appointments!$F$6:$F$2005,"Done",Appointments!$M$6:$M$2005,"&gt;"&amp;M1113)=0,1,0),0)</f>
        <v/>
      </c>
      <c r="O1113">
        <f>IF(AND(F1113="Booked",M1113&lt;&gt;"",N(B1113)&gt;=TODAY()),IF(COUNTIFS(Appointments!$D$6:$D$2005,D1113,Appointments!$F$6:$F$2005,"Booked",Appointments!$B$6:$B$2005,"&gt;="&amp;TODAY(),Appointments!$M$6:$M$2005,"&lt;"&amp;M1113)=0,1,0),0)</f>
        <v/>
      </c>
    </row>
    <row r="1114">
      <c r="A1114" s="1" t="n"/>
      <c r="B1114" s="30" t="n">
        <v>46289</v>
      </c>
      <c r="C1114" s="31" t="n">
        <v>0.6111111111111112</v>
      </c>
      <c r="D1114" s="32" t="inlineStr">
        <is>
          <t>Kara Young</t>
        </is>
      </c>
      <c r="E1114" s="32" t="inlineStr">
        <is>
          <t>Highlights</t>
        </is>
      </c>
      <c r="F1114" s="33" t="inlineStr">
        <is>
          <t>Done</t>
        </is>
      </c>
      <c r="G1114" s="27">
        <f>IF(E1114="","",MAX(0,IFERROR(INDEX(Services!$C$6:$C$35,MATCH(E1114,Services!$B$6:$B$35,0)),0)-N(H1114)))</f>
        <v/>
      </c>
      <c r="H1114" s="34" t="n"/>
      <c r="I1114" s="34" t="n">
        <v>140</v>
      </c>
      <c r="J1114" s="33" t="inlineStr">
        <is>
          <t>App</t>
        </is>
      </c>
      <c r="K1114" s="28">
        <f>IF(OR(B1114="",F1114&lt;&gt;"Done",J1114="Package"),"",IF(N(G1114)-N(I1114)&gt;0,N(G1114)-N(I1114),""))</f>
        <v/>
      </c>
      <c r="L1114" s="32" t="n"/>
      <c r="M1114" s="1">
        <f>IF(OR(B1114="",D1114="",F1114="Cancelled"),"",B1114+N(C1114)+ROW()/10000000)</f>
        <v/>
      </c>
      <c r="N1114">
        <f>IF(AND(F1114="Done",M1114&lt;&gt;""),IF(COUNTIFS(Appointments!$D$6:$D$2005,D1114,Appointments!$F$6:$F$2005,"Done",Appointments!$M$6:$M$2005,"&gt;"&amp;M1114)=0,1,0),0)</f>
        <v/>
      </c>
      <c r="O1114">
        <f>IF(AND(F1114="Booked",M1114&lt;&gt;"",N(B1114)&gt;=TODAY()),IF(COUNTIFS(Appointments!$D$6:$D$2005,D1114,Appointments!$F$6:$F$2005,"Booked",Appointments!$B$6:$B$2005,"&gt;="&amp;TODAY(),Appointments!$M$6:$M$2005,"&lt;"&amp;M1114)=0,1,0),0)</f>
        <v/>
      </c>
    </row>
    <row r="1115">
      <c r="A1115" s="1" t="n"/>
      <c r="B1115" s="30" t="n">
        <v>46289</v>
      </c>
      <c r="C1115" s="31" t="n">
        <v>0.7222222222222222</v>
      </c>
      <c r="D1115" s="32" t="inlineStr">
        <is>
          <t>Luke Hall</t>
        </is>
      </c>
      <c r="E1115" s="32" t="inlineStr">
        <is>
          <t>Men's haircut</t>
        </is>
      </c>
      <c r="F1115" s="33" t="inlineStr">
        <is>
          <t>Done</t>
        </is>
      </c>
      <c r="G1115" s="27">
        <f>IF(E1115="","",MAX(0,IFERROR(INDEX(Services!$C$6:$C$35,MATCH(E1115,Services!$B$6:$B$35,0)),0)-N(H1115)))</f>
        <v/>
      </c>
      <c r="H1115" s="34" t="n"/>
      <c r="I1115" s="34" t="n">
        <v>30</v>
      </c>
      <c r="J1115" s="33" t="inlineStr">
        <is>
          <t>Card</t>
        </is>
      </c>
      <c r="K1115" s="28">
        <f>IF(OR(B1115="",F1115&lt;&gt;"Done",J1115="Package"),"",IF(N(G1115)-N(I1115)&gt;0,N(G1115)-N(I1115),""))</f>
        <v/>
      </c>
      <c r="L1115" s="32" t="n"/>
      <c r="M1115" s="1">
        <f>IF(OR(B1115="",D1115="",F1115="Cancelled"),"",B1115+N(C1115)+ROW()/10000000)</f>
        <v/>
      </c>
      <c r="N1115">
        <f>IF(AND(F1115="Done",M1115&lt;&gt;""),IF(COUNTIFS(Appointments!$D$6:$D$2005,D1115,Appointments!$F$6:$F$2005,"Done",Appointments!$M$6:$M$2005,"&gt;"&amp;M1115)=0,1,0),0)</f>
        <v/>
      </c>
      <c r="O1115">
        <f>IF(AND(F1115="Booked",M1115&lt;&gt;"",N(B1115)&gt;=TODAY()),IF(COUNTIFS(Appointments!$D$6:$D$2005,D1115,Appointments!$F$6:$F$2005,"Booked",Appointments!$B$6:$B$2005,"&gt;="&amp;TODAY(),Appointments!$M$6:$M$2005,"&lt;"&amp;M1115)=0,1,0),0)</f>
        <v/>
      </c>
    </row>
    <row r="1116">
      <c r="A1116" s="1" t="n"/>
      <c r="B1116" s="30" t="n">
        <v>46289</v>
      </c>
      <c r="C1116" s="31" t="n">
        <v>0.3854166666666667</v>
      </c>
      <c r="D1116" s="32" t="inlineStr">
        <is>
          <t>Luke Reed</t>
        </is>
      </c>
      <c r="E1116" s="32" t="inlineStr">
        <is>
          <t>Men's haircut</t>
        </is>
      </c>
      <c r="F1116" s="33" t="inlineStr">
        <is>
          <t>Done</t>
        </is>
      </c>
      <c r="G1116" s="27">
        <f>IF(E1116="","",MAX(0,IFERROR(INDEX(Services!$C$6:$C$35,MATCH(E1116,Services!$B$6:$B$35,0)),0)-N(H1116)))</f>
        <v/>
      </c>
      <c r="H1116" s="34" t="n"/>
      <c r="I1116" s="34" t="n">
        <v>30</v>
      </c>
      <c r="J1116" s="33" t="inlineStr">
        <is>
          <t>Card</t>
        </is>
      </c>
      <c r="K1116" s="28">
        <f>IF(OR(B1116="",F1116&lt;&gt;"Done",J1116="Package"),"",IF(N(G1116)-N(I1116)&gt;0,N(G1116)-N(I1116),""))</f>
        <v/>
      </c>
      <c r="L1116" s="32" t="n"/>
      <c r="M1116" s="1">
        <f>IF(OR(B1116="",D1116="",F1116="Cancelled"),"",B1116+N(C1116)+ROW()/10000000)</f>
        <v/>
      </c>
      <c r="N1116">
        <f>IF(AND(F1116="Done",M1116&lt;&gt;""),IF(COUNTIFS(Appointments!$D$6:$D$2005,D1116,Appointments!$F$6:$F$2005,"Done",Appointments!$M$6:$M$2005,"&gt;"&amp;M1116)=0,1,0),0)</f>
        <v/>
      </c>
      <c r="O1116">
        <f>IF(AND(F1116="Booked",M1116&lt;&gt;"",N(B1116)&gt;=TODAY()),IF(COUNTIFS(Appointments!$D$6:$D$2005,D1116,Appointments!$F$6:$F$2005,"Booked",Appointments!$B$6:$B$2005,"&gt;="&amp;TODAY(),Appointments!$M$6:$M$2005,"&lt;"&amp;M1116)=0,1,0),0)</f>
        <v/>
      </c>
    </row>
    <row r="1117">
      <c r="A1117" s="1" t="n"/>
      <c r="B1117" s="30" t="n">
        <v>46290</v>
      </c>
      <c r="C1117" s="31" t="n">
        <v>0.375</v>
      </c>
      <c r="D1117" s="32" t="inlineStr">
        <is>
          <t>George Mason</t>
        </is>
      </c>
      <c r="E1117" s="32" t="inlineStr">
        <is>
          <t>Men's haircut</t>
        </is>
      </c>
      <c r="F1117" s="33" t="inlineStr">
        <is>
          <t>Done</t>
        </is>
      </c>
      <c r="G1117" s="27">
        <f>IF(E1117="","",MAX(0,IFERROR(INDEX(Services!$C$6:$C$35,MATCH(E1117,Services!$B$6:$B$35,0)),0)-N(H1117)))</f>
        <v/>
      </c>
      <c r="H1117" s="34" t="n"/>
      <c r="I1117" s="34" t="n">
        <v>30</v>
      </c>
      <c r="J1117" s="33" t="inlineStr">
        <is>
          <t>Card</t>
        </is>
      </c>
      <c r="K1117" s="28">
        <f>IF(OR(B1117="",F1117&lt;&gt;"Done",J1117="Package"),"",IF(N(G1117)-N(I1117)&gt;0,N(G1117)-N(I1117),""))</f>
        <v/>
      </c>
      <c r="L1117" s="32" t="n"/>
      <c r="M1117" s="1">
        <f>IF(OR(B1117="",D1117="",F1117="Cancelled"),"",B1117+N(C1117)+ROW()/10000000)</f>
        <v/>
      </c>
      <c r="N1117">
        <f>IF(AND(F1117="Done",M1117&lt;&gt;""),IF(COUNTIFS(Appointments!$D$6:$D$2005,D1117,Appointments!$F$6:$F$2005,"Done",Appointments!$M$6:$M$2005,"&gt;"&amp;M1117)=0,1,0),0)</f>
        <v/>
      </c>
      <c r="O1117">
        <f>IF(AND(F1117="Booked",M1117&lt;&gt;"",N(B1117)&gt;=TODAY()),IF(COUNTIFS(Appointments!$D$6:$D$2005,D1117,Appointments!$F$6:$F$2005,"Booked",Appointments!$B$6:$B$2005,"&gt;="&amp;TODAY(),Appointments!$M$6:$M$2005,"&lt;"&amp;M1117)=0,1,0),0)</f>
        <v/>
      </c>
    </row>
    <row r="1118">
      <c r="A1118" s="1" t="n"/>
      <c r="B1118" s="30" t="n">
        <v>46290</v>
      </c>
      <c r="C1118" s="31" t="n">
        <v>0.4027777777777778</v>
      </c>
      <c r="D1118" s="32" t="inlineStr">
        <is>
          <t>Ian Hall</t>
        </is>
      </c>
      <c r="E1118" s="32" t="inlineStr">
        <is>
          <t>Men's haircut</t>
        </is>
      </c>
      <c r="F1118" s="33" t="inlineStr">
        <is>
          <t>Done</t>
        </is>
      </c>
      <c r="G1118" s="27">
        <f>IF(E1118="","",MAX(0,IFERROR(INDEX(Services!$C$6:$C$35,MATCH(E1118,Services!$B$6:$B$35,0)),0)-N(H1118)))</f>
        <v/>
      </c>
      <c r="H1118" s="34" t="n"/>
      <c r="I1118" s="34" t="n">
        <v>30</v>
      </c>
      <c r="J1118" s="33" t="inlineStr">
        <is>
          <t>Card</t>
        </is>
      </c>
      <c r="K1118" s="28">
        <f>IF(OR(B1118="",F1118&lt;&gt;"Done",J1118="Package"),"",IF(N(G1118)-N(I1118)&gt;0,N(G1118)-N(I1118),""))</f>
        <v/>
      </c>
      <c r="L1118" s="32" t="n"/>
      <c r="M1118" s="1">
        <f>IF(OR(B1118="",D1118="",F1118="Cancelled"),"",B1118+N(C1118)+ROW()/10000000)</f>
        <v/>
      </c>
      <c r="N1118">
        <f>IF(AND(F1118="Done",M1118&lt;&gt;""),IF(COUNTIFS(Appointments!$D$6:$D$2005,D1118,Appointments!$F$6:$F$2005,"Done",Appointments!$M$6:$M$2005,"&gt;"&amp;M1118)=0,1,0),0)</f>
        <v/>
      </c>
      <c r="O1118">
        <f>IF(AND(F1118="Booked",M1118&lt;&gt;"",N(B1118)&gt;=TODAY()),IF(COUNTIFS(Appointments!$D$6:$D$2005,D1118,Appointments!$F$6:$F$2005,"Booked",Appointments!$B$6:$B$2005,"&gt;="&amp;TODAY(),Appointments!$M$6:$M$2005,"&lt;"&amp;M1118)=0,1,0),0)</f>
        <v/>
      </c>
    </row>
    <row r="1119">
      <c r="A1119" s="1" t="n"/>
      <c r="B1119" s="30" t="n">
        <v>46290</v>
      </c>
      <c r="C1119" s="31" t="n">
        <v>0.4305555555555556</v>
      </c>
      <c r="D1119" s="32" t="inlineStr">
        <is>
          <t>Jack Wilson</t>
        </is>
      </c>
      <c r="E1119" s="32" t="inlineStr">
        <is>
          <t>Men's haircut</t>
        </is>
      </c>
      <c r="F1119" s="33" t="inlineStr">
        <is>
          <t>Done</t>
        </is>
      </c>
      <c r="G1119" s="27">
        <f>IF(E1119="","",MAX(0,IFERROR(INDEX(Services!$C$6:$C$35,MATCH(E1119,Services!$B$6:$B$35,0)),0)-N(H1119)))</f>
        <v/>
      </c>
      <c r="H1119" s="34" t="n"/>
      <c r="I1119" s="34" t="n">
        <v>30</v>
      </c>
      <c r="J1119" s="33" t="inlineStr">
        <is>
          <t>Card</t>
        </is>
      </c>
      <c r="K1119" s="28">
        <f>IF(OR(B1119="",F1119&lt;&gt;"Done",J1119="Package"),"",IF(N(G1119)-N(I1119)&gt;0,N(G1119)-N(I1119),""))</f>
        <v/>
      </c>
      <c r="L1119" s="32" t="n"/>
      <c r="M1119" s="1">
        <f>IF(OR(B1119="",D1119="",F1119="Cancelled"),"",B1119+N(C1119)+ROW()/10000000)</f>
        <v/>
      </c>
      <c r="N1119">
        <f>IF(AND(F1119="Done",M1119&lt;&gt;""),IF(COUNTIFS(Appointments!$D$6:$D$2005,D1119,Appointments!$F$6:$F$2005,"Done",Appointments!$M$6:$M$2005,"&gt;"&amp;M1119)=0,1,0),0)</f>
        <v/>
      </c>
      <c r="O1119">
        <f>IF(AND(F1119="Booked",M1119&lt;&gt;"",N(B1119)&gt;=TODAY()),IF(COUNTIFS(Appointments!$D$6:$D$2005,D1119,Appointments!$F$6:$F$2005,"Booked",Appointments!$B$6:$B$2005,"&gt;="&amp;TODAY(),Appointments!$M$6:$M$2005,"&lt;"&amp;M1119)=0,1,0),0)</f>
        <v/>
      </c>
    </row>
    <row r="1120">
      <c r="A1120" s="1" t="n"/>
      <c r="B1120" s="30" t="n">
        <v>46290</v>
      </c>
      <c r="C1120" s="31" t="n">
        <v>0.4583333333333333</v>
      </c>
      <c r="D1120" s="32" t="inlineStr">
        <is>
          <t>Luke Lewis</t>
        </is>
      </c>
      <c r="E1120" s="32" t="inlineStr">
        <is>
          <t>Men's haircut</t>
        </is>
      </c>
      <c r="F1120" s="33" t="inlineStr">
        <is>
          <t>Done</t>
        </is>
      </c>
      <c r="G1120" s="27">
        <f>IF(E1120="","",MAX(0,IFERROR(INDEX(Services!$C$6:$C$35,MATCH(E1120,Services!$B$6:$B$35,0)),0)-N(H1120)))</f>
        <v/>
      </c>
      <c r="H1120" s="34" t="n"/>
      <c r="I1120" s="34" t="n">
        <v>30</v>
      </c>
      <c r="J1120" s="33" t="inlineStr">
        <is>
          <t>Card</t>
        </is>
      </c>
      <c r="K1120" s="28">
        <f>IF(OR(B1120="",F1120&lt;&gt;"Done",J1120="Package"),"",IF(N(G1120)-N(I1120)&gt;0,N(G1120)-N(I1120),""))</f>
        <v/>
      </c>
      <c r="L1120" s="32" t="n"/>
      <c r="M1120" s="1">
        <f>IF(OR(B1120="",D1120="",F1120="Cancelled"),"",B1120+N(C1120)+ROW()/10000000)</f>
        <v/>
      </c>
      <c r="N1120">
        <f>IF(AND(F1120="Done",M1120&lt;&gt;""),IF(COUNTIFS(Appointments!$D$6:$D$2005,D1120,Appointments!$F$6:$F$2005,"Done",Appointments!$M$6:$M$2005,"&gt;"&amp;M1120)=0,1,0),0)</f>
        <v/>
      </c>
      <c r="O1120">
        <f>IF(AND(F1120="Booked",M1120&lt;&gt;"",N(B1120)&gt;=TODAY()),IF(COUNTIFS(Appointments!$D$6:$D$2005,D1120,Appointments!$F$6:$F$2005,"Booked",Appointments!$B$6:$B$2005,"&gt;="&amp;TODAY(),Appointments!$M$6:$M$2005,"&lt;"&amp;M1120)=0,1,0),0)</f>
        <v/>
      </c>
    </row>
    <row r="1121">
      <c r="A1121" s="1" t="n"/>
      <c r="B1121" s="30" t="n">
        <v>46290</v>
      </c>
      <c r="C1121" s="31" t="n">
        <v>0.4861111111111111</v>
      </c>
      <c r="D1121" s="32" t="inlineStr">
        <is>
          <t>Olivia Green</t>
        </is>
      </c>
      <c r="E1121" s="32" t="inlineStr">
        <is>
          <t>Women's haircut</t>
        </is>
      </c>
      <c r="F1121" s="33" t="inlineStr">
        <is>
          <t>Done</t>
        </is>
      </c>
      <c r="G1121" s="27">
        <f>IF(E1121="","",MAX(0,IFERROR(INDEX(Services!$C$6:$C$35,MATCH(E1121,Services!$B$6:$B$35,0)),0)-N(H1121)))</f>
        <v/>
      </c>
      <c r="H1121" s="34" t="n"/>
      <c r="I1121" s="34" t="n">
        <v>55</v>
      </c>
      <c r="J1121" s="33" t="inlineStr">
        <is>
          <t>Card</t>
        </is>
      </c>
      <c r="K1121" s="28">
        <f>IF(OR(B1121="",F1121&lt;&gt;"Done",J1121="Package"),"",IF(N(G1121)-N(I1121)&gt;0,N(G1121)-N(I1121),""))</f>
        <v/>
      </c>
      <c r="L1121" s="32" t="n"/>
      <c r="M1121" s="1">
        <f>IF(OR(B1121="",D1121="",F1121="Cancelled"),"",B1121+N(C1121)+ROW()/10000000)</f>
        <v/>
      </c>
      <c r="N1121">
        <f>IF(AND(F1121="Done",M1121&lt;&gt;""),IF(COUNTIFS(Appointments!$D$6:$D$2005,D1121,Appointments!$F$6:$F$2005,"Done",Appointments!$M$6:$M$2005,"&gt;"&amp;M1121)=0,1,0),0)</f>
        <v/>
      </c>
      <c r="O1121">
        <f>IF(AND(F1121="Booked",M1121&lt;&gt;"",N(B1121)&gt;=TODAY()),IF(COUNTIFS(Appointments!$D$6:$D$2005,D1121,Appointments!$F$6:$F$2005,"Booked",Appointments!$B$6:$B$2005,"&gt;="&amp;TODAY(),Appointments!$M$6:$M$2005,"&lt;"&amp;M1121)=0,1,0),0)</f>
        <v/>
      </c>
    </row>
    <row r="1122">
      <c r="A1122" s="1" t="n"/>
      <c r="B1122" s="30" t="n">
        <v>46290</v>
      </c>
      <c r="C1122" s="31" t="n">
        <v>0.5347222222222222</v>
      </c>
      <c r="D1122" s="32" t="inlineStr">
        <is>
          <t>Tina Walsh</t>
        </is>
      </c>
      <c r="E1122" s="32" t="inlineStr">
        <is>
          <t>Blow dry</t>
        </is>
      </c>
      <c r="F1122" s="33" t="inlineStr">
        <is>
          <t>Done</t>
        </is>
      </c>
      <c r="G1122" s="27">
        <f>IF(E1122="","",MAX(0,IFERROR(INDEX(Services!$C$6:$C$35,MATCH(E1122,Services!$B$6:$B$35,0)),0)-N(H1122)))</f>
        <v/>
      </c>
      <c r="H1122" s="34" t="n"/>
      <c r="I1122" s="34" t="n">
        <v>35</v>
      </c>
      <c r="J1122" s="33" t="inlineStr">
        <is>
          <t>Card</t>
        </is>
      </c>
      <c r="K1122" s="28">
        <f>IF(OR(B1122="",F1122&lt;&gt;"Done",J1122="Package"),"",IF(N(G1122)-N(I1122)&gt;0,N(G1122)-N(I1122),""))</f>
        <v/>
      </c>
      <c r="L1122" s="32" t="n"/>
      <c r="M1122" s="1">
        <f>IF(OR(B1122="",D1122="",F1122="Cancelled"),"",B1122+N(C1122)+ROW()/10000000)</f>
        <v/>
      </c>
      <c r="N1122">
        <f>IF(AND(F1122="Done",M1122&lt;&gt;""),IF(COUNTIFS(Appointments!$D$6:$D$2005,D1122,Appointments!$F$6:$F$2005,"Done",Appointments!$M$6:$M$2005,"&gt;"&amp;M1122)=0,1,0),0)</f>
        <v/>
      </c>
      <c r="O1122">
        <f>IF(AND(F1122="Booked",M1122&lt;&gt;"",N(B1122)&gt;=TODAY()),IF(COUNTIFS(Appointments!$D$6:$D$2005,D1122,Appointments!$F$6:$F$2005,"Booked",Appointments!$B$6:$B$2005,"&gt;="&amp;TODAY(),Appointments!$M$6:$M$2005,"&lt;"&amp;M1122)=0,1,0),0)</f>
        <v/>
      </c>
    </row>
    <row r="1123">
      <c r="A1123" s="1" t="n"/>
      <c r="B1123" s="30" t="n">
        <v>46291</v>
      </c>
      <c r="C1123" s="31" t="n">
        <v>0.375</v>
      </c>
      <c r="D1123" s="32" t="inlineStr">
        <is>
          <t>Chloe Martin</t>
        </is>
      </c>
      <c r="E1123" s="32" t="inlineStr">
        <is>
          <t>Highlights</t>
        </is>
      </c>
      <c r="F1123" s="33" t="inlineStr">
        <is>
          <t>Done</t>
        </is>
      </c>
      <c r="G1123" s="27">
        <f>IF(E1123="","",MAX(0,IFERROR(INDEX(Services!$C$6:$C$35,MATCH(E1123,Services!$B$6:$B$35,0)),0)-N(H1123)))</f>
        <v/>
      </c>
      <c r="H1123" s="34" t="n"/>
      <c r="I1123" s="34" t="n">
        <v>140</v>
      </c>
      <c r="J1123" s="33" t="inlineStr">
        <is>
          <t>Cash</t>
        </is>
      </c>
      <c r="K1123" s="28">
        <f>IF(OR(B1123="",F1123&lt;&gt;"Done",J1123="Package"),"",IF(N(G1123)-N(I1123)&gt;0,N(G1123)-N(I1123),""))</f>
        <v/>
      </c>
      <c r="L1123" s="32" t="n"/>
      <c r="M1123" s="1">
        <f>IF(OR(B1123="",D1123="",F1123="Cancelled"),"",B1123+N(C1123)+ROW()/10000000)</f>
        <v/>
      </c>
      <c r="N1123">
        <f>IF(AND(F1123="Done",M1123&lt;&gt;""),IF(COUNTIFS(Appointments!$D$6:$D$2005,D1123,Appointments!$F$6:$F$2005,"Done",Appointments!$M$6:$M$2005,"&gt;"&amp;M1123)=0,1,0),0)</f>
        <v/>
      </c>
      <c r="O1123">
        <f>IF(AND(F1123="Booked",M1123&lt;&gt;"",N(B1123)&gt;=TODAY()),IF(COUNTIFS(Appointments!$D$6:$D$2005,D1123,Appointments!$F$6:$F$2005,"Booked",Appointments!$B$6:$B$2005,"&gt;="&amp;TODAY(),Appointments!$M$6:$M$2005,"&lt;"&amp;M1123)=0,1,0),0)</f>
        <v/>
      </c>
    </row>
    <row r="1124">
      <c r="A1124" s="1" t="n"/>
      <c r="B1124" s="30" t="n">
        <v>46291</v>
      </c>
      <c r="C1124" s="31" t="n">
        <v>0.4861111111111111</v>
      </c>
      <c r="D1124" s="32" t="inlineStr">
        <is>
          <t>Harry Lewis</t>
        </is>
      </c>
      <c r="E1124" s="32" t="inlineStr">
        <is>
          <t>Men's haircut</t>
        </is>
      </c>
      <c r="F1124" s="33" t="inlineStr">
        <is>
          <t>Done</t>
        </is>
      </c>
      <c r="G1124" s="27">
        <f>IF(E1124="","",MAX(0,IFERROR(INDEX(Services!$C$6:$C$35,MATCH(E1124,Services!$B$6:$B$35,0)),0)-N(H1124)))</f>
        <v/>
      </c>
      <c r="H1124" s="34" t="n"/>
      <c r="I1124" s="34" t="n">
        <v>30</v>
      </c>
      <c r="J1124" s="33" t="inlineStr">
        <is>
          <t>Card</t>
        </is>
      </c>
      <c r="K1124" s="28">
        <f>IF(OR(B1124="",F1124&lt;&gt;"Done",J1124="Package"),"",IF(N(G1124)-N(I1124)&gt;0,N(G1124)-N(I1124),""))</f>
        <v/>
      </c>
      <c r="L1124" s="32" t="n"/>
      <c r="M1124" s="1">
        <f>IF(OR(B1124="",D1124="",F1124="Cancelled"),"",B1124+N(C1124)+ROW()/10000000)</f>
        <v/>
      </c>
      <c r="N1124">
        <f>IF(AND(F1124="Done",M1124&lt;&gt;""),IF(COUNTIFS(Appointments!$D$6:$D$2005,D1124,Appointments!$F$6:$F$2005,"Done",Appointments!$M$6:$M$2005,"&gt;"&amp;M1124)=0,1,0),0)</f>
        <v/>
      </c>
      <c r="O1124">
        <f>IF(AND(F1124="Booked",M1124&lt;&gt;"",N(B1124)&gt;=TODAY()),IF(COUNTIFS(Appointments!$D$6:$D$2005,D1124,Appointments!$F$6:$F$2005,"Booked",Appointments!$B$6:$B$2005,"&gt;="&amp;TODAY(),Appointments!$M$6:$M$2005,"&lt;"&amp;M1124)=0,1,0),0)</f>
        <v/>
      </c>
    </row>
    <row r="1125">
      <c r="A1125" s="1" t="n"/>
      <c r="B1125" s="30" t="n">
        <v>46291</v>
      </c>
      <c r="C1125" s="31" t="n">
        <v>0.5138888888888888</v>
      </c>
      <c r="D1125" s="32" t="inlineStr">
        <is>
          <t>Holly Shaw</t>
        </is>
      </c>
      <c r="E1125" s="32" t="inlineStr">
        <is>
          <t>Women's haircut</t>
        </is>
      </c>
      <c r="F1125" s="33" t="inlineStr">
        <is>
          <t>Done</t>
        </is>
      </c>
      <c r="G1125" s="27">
        <f>IF(E1125="","",MAX(0,IFERROR(INDEX(Services!$C$6:$C$35,MATCH(E1125,Services!$B$6:$B$35,0)),0)-N(H1125)))</f>
        <v/>
      </c>
      <c r="H1125" s="34" t="n"/>
      <c r="I1125" s="34" t="n">
        <v>55</v>
      </c>
      <c r="J1125" s="33" t="inlineStr">
        <is>
          <t>Cash</t>
        </is>
      </c>
      <c r="K1125" s="28">
        <f>IF(OR(B1125="",F1125&lt;&gt;"Done",J1125="Package"),"",IF(N(G1125)-N(I1125)&gt;0,N(G1125)-N(I1125),""))</f>
        <v/>
      </c>
      <c r="L1125" s="32" t="n"/>
      <c r="M1125" s="1">
        <f>IF(OR(B1125="",D1125="",F1125="Cancelled"),"",B1125+N(C1125)+ROW()/10000000)</f>
        <v/>
      </c>
      <c r="N1125">
        <f>IF(AND(F1125="Done",M1125&lt;&gt;""),IF(COUNTIFS(Appointments!$D$6:$D$2005,D1125,Appointments!$F$6:$F$2005,"Done",Appointments!$M$6:$M$2005,"&gt;"&amp;M1125)=0,1,0),0)</f>
        <v/>
      </c>
      <c r="O1125">
        <f>IF(AND(F1125="Booked",M1125&lt;&gt;"",N(B1125)&gt;=TODAY()),IF(COUNTIFS(Appointments!$D$6:$D$2005,D1125,Appointments!$F$6:$F$2005,"Booked",Appointments!$B$6:$B$2005,"&gt;="&amp;TODAY(),Appointments!$M$6:$M$2005,"&lt;"&amp;M1125)=0,1,0),0)</f>
        <v/>
      </c>
    </row>
    <row r="1126">
      <c r="A1126" s="1" t="n"/>
      <c r="B1126" s="30" t="n">
        <v>46291</v>
      </c>
      <c r="C1126" s="31" t="n">
        <v>0.5625</v>
      </c>
      <c r="D1126" s="32" t="inlineStr">
        <is>
          <t>Nina Ellis</t>
        </is>
      </c>
      <c r="E1126" s="32" t="inlineStr">
        <is>
          <t>Treatment</t>
        </is>
      </c>
      <c r="F1126" s="33" t="inlineStr">
        <is>
          <t>Done</t>
        </is>
      </c>
      <c r="G1126" s="27">
        <f>IF(E1126="","",MAX(0,IFERROR(INDEX(Services!$C$6:$C$35,MATCH(E1126,Services!$B$6:$B$35,0)),0)-N(H1126)))</f>
        <v/>
      </c>
      <c r="H1126" s="34" t="n"/>
      <c r="I1126" s="34" t="n">
        <v>30</v>
      </c>
      <c r="J1126" s="33" t="inlineStr">
        <is>
          <t>Card</t>
        </is>
      </c>
      <c r="K1126" s="28">
        <f>IF(OR(B1126="",F1126&lt;&gt;"Done",J1126="Package"),"",IF(N(G1126)-N(I1126)&gt;0,N(G1126)-N(I1126),""))</f>
        <v/>
      </c>
      <c r="L1126" s="32" t="n"/>
      <c r="M1126" s="1">
        <f>IF(OR(B1126="",D1126="",F1126="Cancelled"),"",B1126+N(C1126)+ROW()/10000000)</f>
        <v/>
      </c>
      <c r="N1126">
        <f>IF(AND(F1126="Done",M1126&lt;&gt;""),IF(COUNTIFS(Appointments!$D$6:$D$2005,D1126,Appointments!$F$6:$F$2005,"Done",Appointments!$M$6:$M$2005,"&gt;"&amp;M1126)=0,1,0),0)</f>
        <v/>
      </c>
      <c r="O1126">
        <f>IF(AND(F1126="Booked",M1126&lt;&gt;"",N(B1126)&gt;=TODAY()),IF(COUNTIFS(Appointments!$D$6:$D$2005,D1126,Appointments!$F$6:$F$2005,"Booked",Appointments!$B$6:$B$2005,"&gt;="&amp;TODAY(),Appointments!$M$6:$M$2005,"&lt;"&amp;M1126)=0,1,0),0)</f>
        <v/>
      </c>
    </row>
    <row r="1127">
      <c r="A1127" s="1" t="n"/>
      <c r="B1127" s="30" t="n">
        <v>46291</v>
      </c>
      <c r="C1127" s="31" t="n">
        <v>0.5902777777777778</v>
      </c>
      <c r="D1127" s="32" t="inlineStr">
        <is>
          <t>Owen Walsh</t>
        </is>
      </c>
      <c r="E1127" s="32" t="inlineStr">
        <is>
          <t>Men's haircut</t>
        </is>
      </c>
      <c r="F1127" s="33" t="inlineStr">
        <is>
          <t>Done</t>
        </is>
      </c>
      <c r="G1127" s="27">
        <f>IF(E1127="","",MAX(0,IFERROR(INDEX(Services!$C$6:$C$35,MATCH(E1127,Services!$B$6:$B$35,0)),0)-N(H1127)))</f>
        <v/>
      </c>
      <c r="H1127" s="34" t="n"/>
      <c r="I1127" s="34" t="n">
        <v>30</v>
      </c>
      <c r="J1127" s="33" t="inlineStr">
        <is>
          <t>Transfer</t>
        </is>
      </c>
      <c r="K1127" s="28">
        <f>IF(OR(B1127="",F1127&lt;&gt;"Done",J1127="Package"),"",IF(N(G1127)-N(I1127)&gt;0,N(G1127)-N(I1127),""))</f>
        <v/>
      </c>
      <c r="L1127" s="32" t="n"/>
      <c r="M1127" s="1">
        <f>IF(OR(B1127="",D1127="",F1127="Cancelled"),"",B1127+N(C1127)+ROW()/10000000)</f>
        <v/>
      </c>
      <c r="N1127">
        <f>IF(AND(F1127="Done",M1127&lt;&gt;""),IF(COUNTIFS(Appointments!$D$6:$D$2005,D1127,Appointments!$F$6:$F$2005,"Done",Appointments!$M$6:$M$2005,"&gt;"&amp;M1127)=0,1,0),0)</f>
        <v/>
      </c>
      <c r="O1127">
        <f>IF(AND(F1127="Booked",M1127&lt;&gt;"",N(B1127)&gt;=TODAY()),IF(COUNTIFS(Appointments!$D$6:$D$2005,D1127,Appointments!$F$6:$F$2005,"Booked",Appointments!$B$6:$B$2005,"&gt;="&amp;TODAY(),Appointments!$M$6:$M$2005,"&lt;"&amp;M1127)=0,1,0),0)</f>
        <v/>
      </c>
    </row>
    <row r="1128">
      <c r="A1128" s="1" t="n"/>
      <c r="B1128" s="30" t="n">
        <v>46291</v>
      </c>
      <c r="C1128" s="31" t="n">
        <v>0.6180555555555556</v>
      </c>
      <c r="D1128" s="32" t="inlineStr">
        <is>
          <t>Sara Cox</t>
        </is>
      </c>
      <c r="E1128" s="32" t="inlineStr">
        <is>
          <t>Colour</t>
        </is>
      </c>
      <c r="F1128" s="33" t="inlineStr">
        <is>
          <t>Booked</t>
        </is>
      </c>
      <c r="G1128" s="27">
        <f>IF(E1128="","",MAX(0,IFERROR(INDEX(Services!$C$6:$C$35,MATCH(E1128,Services!$B$6:$B$35,0)),0)-N(H1128)))</f>
        <v/>
      </c>
      <c r="H1128" s="34" t="n"/>
      <c r="I1128" s="34" t="n"/>
      <c r="J1128" s="33" t="n"/>
      <c r="K1128" s="28">
        <f>IF(OR(B1128="",F1128&lt;&gt;"Done",J1128="Package"),"",IF(N(G1128)-N(I1128)&gt;0,N(G1128)-N(I1128),""))</f>
        <v/>
      </c>
      <c r="L1128" s="32" t="n"/>
      <c r="M1128" s="1">
        <f>IF(OR(B1128="",D1128="",F1128="Cancelled"),"",B1128+N(C1128)+ROW()/10000000)</f>
        <v/>
      </c>
      <c r="N1128">
        <f>IF(AND(F1128="Done",M1128&lt;&gt;""),IF(COUNTIFS(Appointments!$D$6:$D$2005,D1128,Appointments!$F$6:$F$2005,"Done",Appointments!$M$6:$M$2005,"&gt;"&amp;M1128)=0,1,0),0)</f>
        <v/>
      </c>
      <c r="O1128">
        <f>IF(AND(F1128="Booked",M1128&lt;&gt;"",N(B1128)&gt;=TODAY()),IF(COUNTIFS(Appointments!$D$6:$D$2005,D1128,Appointments!$F$6:$F$2005,"Booked",Appointments!$B$6:$B$2005,"&gt;="&amp;TODAY(),Appointments!$M$6:$M$2005,"&lt;"&amp;M1128)=0,1,0),0)</f>
        <v/>
      </c>
    </row>
    <row r="1129">
      <c r="A1129" s="1" t="n"/>
      <c r="B1129" s="30" t="n">
        <v>46294</v>
      </c>
      <c r="C1129" s="31" t="n">
        <v>0.375</v>
      </c>
      <c r="D1129" s="32" t="inlineStr">
        <is>
          <t>Adam King</t>
        </is>
      </c>
      <c r="E1129" s="32" t="inlineStr">
        <is>
          <t>Men's haircut</t>
        </is>
      </c>
      <c r="F1129" s="33" t="inlineStr">
        <is>
          <t>Booked</t>
        </is>
      </c>
      <c r="G1129" s="27">
        <f>IF(E1129="","",MAX(0,IFERROR(INDEX(Services!$C$6:$C$35,MATCH(E1129,Services!$B$6:$B$35,0)),0)-N(H1129)))</f>
        <v/>
      </c>
      <c r="H1129" s="34" t="n"/>
      <c r="I1129" s="34" t="n"/>
      <c r="J1129" s="33" t="n"/>
      <c r="K1129" s="28">
        <f>IF(OR(B1129="",F1129&lt;&gt;"Done",J1129="Package"),"",IF(N(G1129)-N(I1129)&gt;0,N(G1129)-N(I1129),""))</f>
        <v/>
      </c>
      <c r="L1129" s="32" t="n"/>
      <c r="M1129" s="1">
        <f>IF(OR(B1129="",D1129="",F1129="Cancelled"),"",B1129+N(C1129)+ROW()/10000000)</f>
        <v/>
      </c>
      <c r="N1129">
        <f>IF(AND(F1129="Done",M1129&lt;&gt;""),IF(COUNTIFS(Appointments!$D$6:$D$2005,D1129,Appointments!$F$6:$F$2005,"Done",Appointments!$M$6:$M$2005,"&gt;"&amp;M1129)=0,1,0),0)</f>
        <v/>
      </c>
      <c r="O1129">
        <f>IF(AND(F1129="Booked",M1129&lt;&gt;"",N(B1129)&gt;=TODAY()),IF(COUNTIFS(Appointments!$D$6:$D$2005,D1129,Appointments!$F$6:$F$2005,"Booked",Appointments!$B$6:$B$2005,"&gt;="&amp;TODAY(),Appointments!$M$6:$M$2005,"&lt;"&amp;M1129)=0,1,0),0)</f>
        <v/>
      </c>
    </row>
    <row r="1130">
      <c r="A1130" s="1" t="n"/>
      <c r="B1130" s="30" t="n">
        <v>46294</v>
      </c>
      <c r="C1130" s="31" t="n">
        <v>0.4027777777777778</v>
      </c>
      <c r="D1130" s="32" t="inlineStr">
        <is>
          <t>Clara Morgan</t>
        </is>
      </c>
      <c r="E1130" s="32" t="inlineStr">
        <is>
          <t>Colour</t>
        </is>
      </c>
      <c r="F1130" s="33" t="inlineStr">
        <is>
          <t>Booked</t>
        </is>
      </c>
      <c r="G1130" s="27">
        <f>IF(E1130="","",MAX(0,IFERROR(INDEX(Services!$C$6:$C$35,MATCH(E1130,Services!$B$6:$B$35,0)),0)-N(H1130)))</f>
        <v/>
      </c>
      <c r="H1130" s="34" t="n"/>
      <c r="I1130" s="34" t="n"/>
      <c r="J1130" s="33" t="n"/>
      <c r="K1130" s="28">
        <f>IF(OR(B1130="",F1130&lt;&gt;"Done",J1130="Package"),"",IF(N(G1130)-N(I1130)&gt;0,N(G1130)-N(I1130),""))</f>
        <v/>
      </c>
      <c r="L1130" s="32" t="n"/>
      <c r="M1130" s="1">
        <f>IF(OR(B1130="",D1130="",F1130="Cancelled"),"",B1130+N(C1130)+ROW()/10000000)</f>
        <v/>
      </c>
      <c r="N1130">
        <f>IF(AND(F1130="Done",M1130&lt;&gt;""),IF(COUNTIFS(Appointments!$D$6:$D$2005,D1130,Appointments!$F$6:$F$2005,"Done",Appointments!$M$6:$M$2005,"&gt;"&amp;M1130)=0,1,0),0)</f>
        <v/>
      </c>
      <c r="O1130">
        <f>IF(AND(F1130="Booked",M1130&lt;&gt;"",N(B1130)&gt;=TODAY()),IF(COUNTIFS(Appointments!$D$6:$D$2005,D1130,Appointments!$F$6:$F$2005,"Booked",Appointments!$B$6:$B$2005,"&gt;="&amp;TODAY(),Appointments!$M$6:$M$2005,"&lt;"&amp;M1130)=0,1,0),0)</f>
        <v/>
      </c>
    </row>
    <row r="1131">
      <c r="A1131" s="1" t="n"/>
      <c r="B1131" s="30" t="n">
        <v>46294</v>
      </c>
      <c r="C1131" s="31" t="n">
        <v>0.4930555555555556</v>
      </c>
      <c r="D1131" s="32" t="inlineStr">
        <is>
          <t>Dina Adams</t>
        </is>
      </c>
      <c r="E1131" s="32" t="inlineStr">
        <is>
          <t>Women's haircut</t>
        </is>
      </c>
      <c r="F1131" s="33" t="inlineStr">
        <is>
          <t>Booked</t>
        </is>
      </c>
      <c r="G1131" s="27">
        <f>IF(E1131="","",MAX(0,IFERROR(INDEX(Services!$C$6:$C$35,MATCH(E1131,Services!$B$6:$B$35,0)),0)-N(H1131)))</f>
        <v/>
      </c>
      <c r="H1131" s="34" t="n"/>
      <c r="I1131" s="34" t="n"/>
      <c r="J1131" s="33" t="n"/>
      <c r="K1131" s="28">
        <f>IF(OR(B1131="",F1131&lt;&gt;"Done",J1131="Package"),"",IF(N(G1131)-N(I1131)&gt;0,N(G1131)-N(I1131),""))</f>
        <v/>
      </c>
      <c r="L1131" s="32" t="n"/>
      <c r="M1131" s="1">
        <f>IF(OR(B1131="",D1131="",F1131="Cancelled"),"",B1131+N(C1131)+ROW()/10000000)</f>
        <v/>
      </c>
      <c r="N1131">
        <f>IF(AND(F1131="Done",M1131&lt;&gt;""),IF(COUNTIFS(Appointments!$D$6:$D$2005,D1131,Appointments!$F$6:$F$2005,"Done",Appointments!$M$6:$M$2005,"&gt;"&amp;M1131)=0,1,0),0)</f>
        <v/>
      </c>
      <c r="O1131">
        <f>IF(AND(F1131="Booked",M1131&lt;&gt;"",N(B1131)&gt;=TODAY()),IF(COUNTIFS(Appointments!$D$6:$D$2005,D1131,Appointments!$F$6:$F$2005,"Booked",Appointments!$B$6:$B$2005,"&gt;="&amp;TODAY(),Appointments!$M$6:$M$2005,"&lt;"&amp;M1131)=0,1,0),0)</f>
        <v/>
      </c>
    </row>
    <row r="1132">
      <c r="A1132" s="1" t="n"/>
      <c r="B1132" s="30" t="n">
        <v>46294</v>
      </c>
      <c r="C1132" s="31" t="n">
        <v>0.5416666666666666</v>
      </c>
      <c r="D1132" s="32" t="inlineStr">
        <is>
          <t>Owen Webb</t>
        </is>
      </c>
      <c r="E1132" s="32" t="inlineStr">
        <is>
          <t>Men's haircut</t>
        </is>
      </c>
      <c r="F1132" s="33" t="inlineStr">
        <is>
          <t>Booked</t>
        </is>
      </c>
      <c r="G1132" s="27">
        <f>IF(E1132="","",MAX(0,IFERROR(INDEX(Services!$C$6:$C$35,MATCH(E1132,Services!$B$6:$B$35,0)),0)-N(H1132)))</f>
        <v/>
      </c>
      <c r="H1132" s="34" t="n"/>
      <c r="I1132" s="34" t="n"/>
      <c r="J1132" s="33" t="n"/>
      <c r="K1132" s="28">
        <f>IF(OR(B1132="",F1132&lt;&gt;"Done",J1132="Package"),"",IF(N(G1132)-N(I1132)&gt;0,N(G1132)-N(I1132),""))</f>
        <v/>
      </c>
      <c r="L1132" s="32" t="n"/>
      <c r="M1132" s="1">
        <f>IF(OR(B1132="",D1132="",F1132="Cancelled"),"",B1132+N(C1132)+ROW()/10000000)</f>
        <v/>
      </c>
      <c r="N1132">
        <f>IF(AND(F1132="Done",M1132&lt;&gt;""),IF(COUNTIFS(Appointments!$D$6:$D$2005,D1132,Appointments!$F$6:$F$2005,"Done",Appointments!$M$6:$M$2005,"&gt;"&amp;M1132)=0,1,0),0)</f>
        <v/>
      </c>
      <c r="O1132">
        <f>IF(AND(F1132="Booked",M1132&lt;&gt;"",N(B1132)&gt;=TODAY()),IF(COUNTIFS(Appointments!$D$6:$D$2005,D1132,Appointments!$F$6:$F$2005,"Booked",Appointments!$B$6:$B$2005,"&gt;="&amp;TODAY(),Appointments!$M$6:$M$2005,"&lt;"&amp;M1132)=0,1,0),0)</f>
        <v/>
      </c>
    </row>
    <row r="1133">
      <c r="A1133" s="1" t="n"/>
      <c r="B1133" s="30" t="n">
        <v>46294</v>
      </c>
      <c r="C1133" s="31" t="n">
        <v>0.5694444444444444</v>
      </c>
      <c r="D1133" s="32" t="inlineStr">
        <is>
          <t>Paula Cook</t>
        </is>
      </c>
      <c r="E1133" s="32" t="inlineStr">
        <is>
          <t>Women's haircut</t>
        </is>
      </c>
      <c r="F1133" s="33" t="inlineStr">
        <is>
          <t>Booked</t>
        </is>
      </c>
      <c r="G1133" s="27">
        <f>IF(E1133="","",MAX(0,IFERROR(INDEX(Services!$C$6:$C$35,MATCH(E1133,Services!$B$6:$B$35,0)),0)-N(H1133)))</f>
        <v/>
      </c>
      <c r="H1133" s="34" t="n"/>
      <c r="I1133" s="34" t="n"/>
      <c r="J1133" s="33" t="n"/>
      <c r="K1133" s="28">
        <f>IF(OR(B1133="",F1133&lt;&gt;"Done",J1133="Package"),"",IF(N(G1133)-N(I1133)&gt;0,N(G1133)-N(I1133),""))</f>
        <v/>
      </c>
      <c r="L1133" s="32" t="n"/>
      <c r="M1133" s="1">
        <f>IF(OR(B1133="",D1133="",F1133="Cancelled"),"",B1133+N(C1133)+ROW()/10000000)</f>
        <v/>
      </c>
      <c r="N1133">
        <f>IF(AND(F1133="Done",M1133&lt;&gt;""),IF(COUNTIFS(Appointments!$D$6:$D$2005,D1133,Appointments!$F$6:$F$2005,"Done",Appointments!$M$6:$M$2005,"&gt;"&amp;M1133)=0,1,0),0)</f>
        <v/>
      </c>
      <c r="O1133">
        <f>IF(AND(F1133="Booked",M1133&lt;&gt;"",N(B1133)&gt;=TODAY()),IF(COUNTIFS(Appointments!$D$6:$D$2005,D1133,Appointments!$F$6:$F$2005,"Booked",Appointments!$B$6:$B$2005,"&gt;="&amp;TODAY(),Appointments!$M$6:$M$2005,"&lt;"&amp;M1133)=0,1,0),0)</f>
        <v/>
      </c>
    </row>
    <row r="1134">
      <c r="A1134" s="1" t="n"/>
      <c r="B1134" s="30" t="n">
        <v>46294</v>
      </c>
      <c r="C1134" s="31" t="n">
        <v>0.6180555555555556</v>
      </c>
      <c r="D1134" s="32" t="inlineStr">
        <is>
          <t>Ruby Cook</t>
        </is>
      </c>
      <c r="E1134" s="32" t="inlineStr">
        <is>
          <t>Blow dry</t>
        </is>
      </c>
      <c r="F1134" s="33" t="inlineStr">
        <is>
          <t>Booked</t>
        </is>
      </c>
      <c r="G1134" s="27">
        <f>IF(E1134="","",MAX(0,IFERROR(INDEX(Services!$C$6:$C$35,MATCH(E1134,Services!$B$6:$B$35,0)),0)-N(H1134)))</f>
        <v/>
      </c>
      <c r="H1134" s="34" t="n"/>
      <c r="I1134" s="34" t="n"/>
      <c r="J1134" s="33" t="n"/>
      <c r="K1134" s="28">
        <f>IF(OR(B1134="",F1134&lt;&gt;"Done",J1134="Package"),"",IF(N(G1134)-N(I1134)&gt;0,N(G1134)-N(I1134),""))</f>
        <v/>
      </c>
      <c r="L1134" s="32" t="n"/>
      <c r="M1134" s="1">
        <f>IF(OR(B1134="",D1134="",F1134="Cancelled"),"",B1134+N(C1134)+ROW()/10000000)</f>
        <v/>
      </c>
      <c r="N1134">
        <f>IF(AND(F1134="Done",M1134&lt;&gt;""),IF(COUNTIFS(Appointments!$D$6:$D$2005,D1134,Appointments!$F$6:$F$2005,"Done",Appointments!$M$6:$M$2005,"&gt;"&amp;M1134)=0,1,0),0)</f>
        <v/>
      </c>
      <c r="O1134">
        <f>IF(AND(F1134="Booked",M1134&lt;&gt;"",N(B1134)&gt;=TODAY()),IF(COUNTIFS(Appointments!$D$6:$D$2005,D1134,Appointments!$F$6:$F$2005,"Booked",Appointments!$B$6:$B$2005,"&gt;="&amp;TODAY(),Appointments!$M$6:$M$2005,"&lt;"&amp;M1134)=0,1,0),0)</f>
        <v/>
      </c>
    </row>
    <row r="1135">
      <c r="A1135" s="1" t="n"/>
      <c r="B1135" s="30" t="n">
        <v>46294</v>
      </c>
      <c r="C1135" s="31" t="n">
        <v>0.65625</v>
      </c>
      <c r="D1135" s="32" t="inlineStr">
        <is>
          <t>Sam Clarke</t>
        </is>
      </c>
      <c r="E1135" s="32" t="inlineStr">
        <is>
          <t>Men's haircut</t>
        </is>
      </c>
      <c r="F1135" s="33" t="inlineStr">
        <is>
          <t>Booked</t>
        </is>
      </c>
      <c r="G1135" s="27">
        <f>IF(E1135="","",MAX(0,IFERROR(INDEX(Services!$C$6:$C$35,MATCH(E1135,Services!$B$6:$B$35,0)),0)-N(H1135)))</f>
        <v/>
      </c>
      <c r="H1135" s="34" t="n"/>
      <c r="I1135" s="34" t="n"/>
      <c r="J1135" s="33" t="n"/>
      <c r="K1135" s="28">
        <f>IF(OR(B1135="",F1135&lt;&gt;"Done",J1135="Package"),"",IF(N(G1135)-N(I1135)&gt;0,N(G1135)-N(I1135),""))</f>
        <v/>
      </c>
      <c r="L1135" s="32" t="n"/>
      <c r="M1135" s="1">
        <f>IF(OR(B1135="",D1135="",F1135="Cancelled"),"",B1135+N(C1135)+ROW()/10000000)</f>
        <v/>
      </c>
      <c r="N1135">
        <f>IF(AND(F1135="Done",M1135&lt;&gt;""),IF(COUNTIFS(Appointments!$D$6:$D$2005,D1135,Appointments!$F$6:$F$2005,"Done",Appointments!$M$6:$M$2005,"&gt;"&amp;M1135)=0,1,0),0)</f>
        <v/>
      </c>
      <c r="O1135">
        <f>IF(AND(F1135="Booked",M1135&lt;&gt;"",N(B1135)&gt;=TODAY()),IF(COUNTIFS(Appointments!$D$6:$D$2005,D1135,Appointments!$F$6:$F$2005,"Booked",Appointments!$B$6:$B$2005,"&gt;="&amp;TODAY(),Appointments!$M$6:$M$2005,"&lt;"&amp;M1135)=0,1,0),0)</f>
        <v/>
      </c>
    </row>
    <row r="1136">
      <c r="A1136" s="1" t="n"/>
      <c r="B1136" s="30" t="n">
        <v>46295</v>
      </c>
      <c r="C1136" s="31" t="n">
        <v>0.375</v>
      </c>
      <c r="D1136" s="32" t="inlineStr">
        <is>
          <t>Chris Cox</t>
        </is>
      </c>
      <c r="E1136" s="32" t="inlineStr">
        <is>
          <t>Men's haircut</t>
        </is>
      </c>
      <c r="F1136" s="33" t="inlineStr">
        <is>
          <t>Booked</t>
        </is>
      </c>
      <c r="G1136" s="27">
        <f>IF(E1136="","",MAX(0,IFERROR(INDEX(Services!$C$6:$C$35,MATCH(E1136,Services!$B$6:$B$35,0)),0)-N(H1136)))</f>
        <v/>
      </c>
      <c r="H1136" s="34" t="n"/>
      <c r="I1136" s="34" t="n"/>
      <c r="J1136" s="33" t="n"/>
      <c r="K1136" s="28">
        <f>IF(OR(B1136="",F1136&lt;&gt;"Done",J1136="Package"),"",IF(N(G1136)-N(I1136)&gt;0,N(G1136)-N(I1136),""))</f>
        <v/>
      </c>
      <c r="L1136" s="32" t="n"/>
      <c r="M1136" s="1">
        <f>IF(OR(B1136="",D1136="",F1136="Cancelled"),"",B1136+N(C1136)+ROW()/10000000)</f>
        <v/>
      </c>
      <c r="N1136">
        <f>IF(AND(F1136="Done",M1136&lt;&gt;""),IF(COUNTIFS(Appointments!$D$6:$D$2005,D1136,Appointments!$F$6:$F$2005,"Done",Appointments!$M$6:$M$2005,"&gt;"&amp;M1136)=0,1,0),0)</f>
        <v/>
      </c>
      <c r="O1136">
        <f>IF(AND(F1136="Booked",M1136&lt;&gt;"",N(B1136)&gt;=TODAY()),IF(COUNTIFS(Appointments!$D$6:$D$2005,D1136,Appointments!$F$6:$F$2005,"Booked",Appointments!$B$6:$B$2005,"&gt;="&amp;TODAY(),Appointments!$M$6:$M$2005,"&lt;"&amp;M1136)=0,1,0),0)</f>
        <v/>
      </c>
    </row>
    <row r="1137">
      <c r="A1137" s="1" t="n"/>
      <c r="B1137" s="30" t="n">
        <v>46295</v>
      </c>
      <c r="C1137" s="31" t="n">
        <v>0.4027777777777778</v>
      </c>
      <c r="D1137" s="32" t="inlineStr">
        <is>
          <t>Dina Baker</t>
        </is>
      </c>
      <c r="E1137" s="32" t="inlineStr">
        <is>
          <t>Colour</t>
        </is>
      </c>
      <c r="F1137" s="33" t="inlineStr">
        <is>
          <t>Booked</t>
        </is>
      </c>
      <c r="G1137" s="27">
        <f>IF(E1137="","",MAX(0,IFERROR(INDEX(Services!$C$6:$C$35,MATCH(E1137,Services!$B$6:$B$35,0)),0)-N(H1137)))</f>
        <v/>
      </c>
      <c r="H1137" s="34" t="n"/>
      <c r="I1137" s="34" t="n"/>
      <c r="J1137" s="33" t="n"/>
      <c r="K1137" s="28">
        <f>IF(OR(B1137="",F1137&lt;&gt;"Done",J1137="Package"),"",IF(N(G1137)-N(I1137)&gt;0,N(G1137)-N(I1137),""))</f>
        <v/>
      </c>
      <c r="L1137" s="32" t="n"/>
      <c r="M1137" s="1">
        <f>IF(OR(B1137="",D1137="",F1137="Cancelled"),"",B1137+N(C1137)+ROW()/10000000)</f>
        <v/>
      </c>
      <c r="N1137">
        <f>IF(AND(F1137="Done",M1137&lt;&gt;""),IF(COUNTIFS(Appointments!$D$6:$D$2005,D1137,Appointments!$F$6:$F$2005,"Done",Appointments!$M$6:$M$2005,"&gt;"&amp;M1137)=0,1,0),0)</f>
        <v/>
      </c>
      <c r="O1137">
        <f>IF(AND(F1137="Booked",M1137&lt;&gt;"",N(B1137)&gt;=TODAY()),IF(COUNTIFS(Appointments!$D$6:$D$2005,D1137,Appointments!$F$6:$F$2005,"Booked",Appointments!$B$6:$B$2005,"&gt;="&amp;TODAY(),Appointments!$M$6:$M$2005,"&lt;"&amp;M1137)=0,1,0),0)</f>
        <v/>
      </c>
    </row>
    <row r="1138">
      <c r="A1138" s="1" t="n"/>
      <c r="B1138" s="30" t="n">
        <v>46295</v>
      </c>
      <c r="C1138" s="31" t="n">
        <v>0.4930555555555556</v>
      </c>
      <c r="D1138" s="32" t="inlineStr">
        <is>
          <t>Finn Gray</t>
        </is>
      </c>
      <c r="E1138" s="32" t="inlineStr">
        <is>
          <t>Men's haircut</t>
        </is>
      </c>
      <c r="F1138" s="33" t="inlineStr">
        <is>
          <t>Booked</t>
        </is>
      </c>
      <c r="G1138" s="27">
        <f>IF(E1138="","",MAX(0,IFERROR(INDEX(Services!$C$6:$C$35,MATCH(E1138,Services!$B$6:$B$35,0)),0)-N(H1138)))</f>
        <v/>
      </c>
      <c r="H1138" s="34" t="n"/>
      <c r="I1138" s="34" t="n"/>
      <c r="J1138" s="33" t="n"/>
      <c r="K1138" s="28">
        <f>IF(OR(B1138="",F1138&lt;&gt;"Done",J1138="Package"),"",IF(N(G1138)-N(I1138)&gt;0,N(G1138)-N(I1138),""))</f>
        <v/>
      </c>
      <c r="L1138" s="32" t="n"/>
      <c r="M1138" s="1">
        <f>IF(OR(B1138="",D1138="",F1138="Cancelled"),"",B1138+N(C1138)+ROW()/10000000)</f>
        <v/>
      </c>
      <c r="N1138">
        <f>IF(AND(F1138="Done",M1138&lt;&gt;""),IF(COUNTIFS(Appointments!$D$6:$D$2005,D1138,Appointments!$F$6:$F$2005,"Done",Appointments!$M$6:$M$2005,"&gt;"&amp;M1138)=0,1,0),0)</f>
        <v/>
      </c>
      <c r="O1138">
        <f>IF(AND(F1138="Booked",M1138&lt;&gt;"",N(B1138)&gt;=TODAY()),IF(COUNTIFS(Appointments!$D$6:$D$2005,D1138,Appointments!$F$6:$F$2005,"Booked",Appointments!$B$6:$B$2005,"&gt;="&amp;TODAY(),Appointments!$M$6:$M$2005,"&lt;"&amp;M1138)=0,1,0),0)</f>
        <v/>
      </c>
    </row>
    <row r="1139">
      <c r="A1139" s="1" t="n"/>
      <c r="B1139" s="30" t="n">
        <v>46295</v>
      </c>
      <c r="C1139" s="31" t="n">
        <v>0.5208333333333334</v>
      </c>
      <c r="D1139" s="32" t="inlineStr">
        <is>
          <t>Harry Hall</t>
        </is>
      </c>
      <c r="E1139" s="32" t="inlineStr">
        <is>
          <t>Men's haircut</t>
        </is>
      </c>
      <c r="F1139" s="33" t="inlineStr">
        <is>
          <t>Booked</t>
        </is>
      </c>
      <c r="G1139" s="27">
        <f>IF(E1139="","",MAX(0,IFERROR(INDEX(Services!$C$6:$C$35,MATCH(E1139,Services!$B$6:$B$35,0)),0)-N(H1139)))</f>
        <v/>
      </c>
      <c r="H1139" s="34" t="n"/>
      <c r="I1139" s="34" t="n"/>
      <c r="J1139" s="33" t="n"/>
      <c r="K1139" s="28">
        <f>IF(OR(B1139="",F1139&lt;&gt;"Done",J1139="Package"),"",IF(N(G1139)-N(I1139)&gt;0,N(G1139)-N(I1139),""))</f>
        <v/>
      </c>
      <c r="L1139" s="32" t="n"/>
      <c r="M1139" s="1">
        <f>IF(OR(B1139="",D1139="",F1139="Cancelled"),"",B1139+N(C1139)+ROW()/10000000)</f>
        <v/>
      </c>
      <c r="N1139">
        <f>IF(AND(F1139="Done",M1139&lt;&gt;""),IF(COUNTIFS(Appointments!$D$6:$D$2005,D1139,Appointments!$F$6:$F$2005,"Done",Appointments!$M$6:$M$2005,"&gt;"&amp;M1139)=0,1,0),0)</f>
        <v/>
      </c>
      <c r="O1139">
        <f>IF(AND(F1139="Booked",M1139&lt;&gt;"",N(B1139)&gt;=TODAY()),IF(COUNTIFS(Appointments!$D$6:$D$2005,D1139,Appointments!$F$6:$F$2005,"Booked",Appointments!$B$6:$B$2005,"&gt;="&amp;TODAY(),Appointments!$M$6:$M$2005,"&lt;"&amp;M1139)=0,1,0),0)</f>
        <v/>
      </c>
    </row>
    <row r="1140">
      <c r="A1140" s="1" t="n"/>
      <c r="B1140" s="30" t="n">
        <v>46295</v>
      </c>
      <c r="C1140" s="31" t="n">
        <v>0.5486111111111112</v>
      </c>
      <c r="D1140" s="32" t="inlineStr">
        <is>
          <t>Kyle Fox</t>
        </is>
      </c>
      <c r="E1140" s="32" t="inlineStr">
        <is>
          <t>Men's haircut</t>
        </is>
      </c>
      <c r="F1140" s="33" t="inlineStr">
        <is>
          <t>Booked</t>
        </is>
      </c>
      <c r="G1140" s="27">
        <f>IF(E1140="","",MAX(0,IFERROR(INDEX(Services!$C$6:$C$35,MATCH(E1140,Services!$B$6:$B$35,0)),0)-N(H1140)))</f>
        <v/>
      </c>
      <c r="H1140" s="34" t="n"/>
      <c r="I1140" s="34" t="n"/>
      <c r="J1140" s="33" t="n"/>
      <c r="K1140" s="28">
        <f>IF(OR(B1140="",F1140&lt;&gt;"Done",J1140="Package"),"",IF(N(G1140)-N(I1140)&gt;0,N(G1140)-N(I1140),""))</f>
        <v/>
      </c>
      <c r="L1140" s="32" t="n"/>
      <c r="M1140" s="1">
        <f>IF(OR(B1140="",D1140="",F1140="Cancelled"),"",B1140+N(C1140)+ROW()/10000000)</f>
        <v/>
      </c>
      <c r="N1140">
        <f>IF(AND(F1140="Done",M1140&lt;&gt;""),IF(COUNTIFS(Appointments!$D$6:$D$2005,D1140,Appointments!$F$6:$F$2005,"Done",Appointments!$M$6:$M$2005,"&gt;"&amp;M1140)=0,1,0),0)</f>
        <v/>
      </c>
      <c r="O1140">
        <f>IF(AND(F1140="Booked",M1140&lt;&gt;"",N(B1140)&gt;=TODAY()),IF(COUNTIFS(Appointments!$D$6:$D$2005,D1140,Appointments!$F$6:$F$2005,"Booked",Appointments!$B$6:$B$2005,"&gt;="&amp;TODAY(),Appointments!$M$6:$M$2005,"&lt;"&amp;M1140)=0,1,0),0)</f>
        <v/>
      </c>
    </row>
    <row r="1141">
      <c r="A1141" s="1" t="n"/>
      <c r="B1141" s="30" t="n">
        <v>46295</v>
      </c>
      <c r="C1141" s="31" t="n">
        <v>0.5763888888888888</v>
      </c>
      <c r="D1141" s="32" t="inlineStr">
        <is>
          <t>Sara Hughes</t>
        </is>
      </c>
      <c r="E1141" s="32" t="inlineStr">
        <is>
          <t>Toner</t>
        </is>
      </c>
      <c r="F1141" s="33" t="inlineStr">
        <is>
          <t>Booked</t>
        </is>
      </c>
      <c r="G1141" s="27">
        <f>IF(E1141="","",MAX(0,IFERROR(INDEX(Services!$C$6:$C$35,MATCH(E1141,Services!$B$6:$B$35,0)),0)-N(H1141)))</f>
        <v/>
      </c>
      <c r="H1141" s="34" t="n"/>
      <c r="I1141" s="34" t="n"/>
      <c r="J1141" s="33" t="n"/>
      <c r="K1141" s="28">
        <f>IF(OR(B1141="",F1141&lt;&gt;"Done",J1141="Package"),"",IF(N(G1141)-N(I1141)&gt;0,N(G1141)-N(I1141),""))</f>
        <v/>
      </c>
      <c r="L1141" s="32" t="n"/>
      <c r="M1141" s="1">
        <f>IF(OR(B1141="",D1141="",F1141="Cancelled"),"",B1141+N(C1141)+ROW()/10000000)</f>
        <v/>
      </c>
      <c r="N1141">
        <f>IF(AND(F1141="Done",M1141&lt;&gt;""),IF(COUNTIFS(Appointments!$D$6:$D$2005,D1141,Appointments!$F$6:$F$2005,"Done",Appointments!$M$6:$M$2005,"&gt;"&amp;M1141)=0,1,0),0)</f>
        <v/>
      </c>
      <c r="O1141">
        <f>IF(AND(F1141="Booked",M1141&lt;&gt;"",N(B1141)&gt;=TODAY()),IF(COUNTIFS(Appointments!$D$6:$D$2005,D1141,Appointments!$F$6:$F$2005,"Booked",Appointments!$B$6:$B$2005,"&gt;="&amp;TODAY(),Appointments!$M$6:$M$2005,"&lt;"&amp;M1141)=0,1,0),0)</f>
        <v/>
      </c>
    </row>
    <row r="1142">
      <c r="A1142" s="1" t="n"/>
      <c r="B1142" s="30" t="n">
        <v>46296</v>
      </c>
      <c r="C1142" s="31" t="n">
        <v>0.375</v>
      </c>
      <c r="D1142" s="32" t="inlineStr">
        <is>
          <t>Daniel Kim</t>
        </is>
      </c>
      <c r="E1142" s="32" t="inlineStr">
        <is>
          <t>Men's haircut</t>
        </is>
      </c>
      <c r="F1142" s="33" t="inlineStr">
        <is>
          <t>Booked</t>
        </is>
      </c>
      <c r="G1142" s="27">
        <f>IF(E1142="","",MAX(0,IFERROR(INDEX(Services!$C$6:$C$35,MATCH(E1142,Services!$B$6:$B$35,0)),0)-N(H1142)))</f>
        <v/>
      </c>
      <c r="H1142" s="34" t="n"/>
      <c r="I1142" s="34" t="n"/>
      <c r="J1142" s="33" t="n"/>
      <c r="K1142" s="28">
        <f>IF(OR(B1142="",F1142&lt;&gt;"Done",J1142="Package"),"",IF(N(G1142)-N(I1142)&gt;0,N(G1142)-N(I1142),""))</f>
        <v/>
      </c>
      <c r="L1142" s="32" t="n"/>
      <c r="M1142" s="1">
        <f>IF(OR(B1142="",D1142="",F1142="Cancelled"),"",B1142+N(C1142)+ROW()/10000000)</f>
        <v/>
      </c>
      <c r="N1142">
        <f>IF(AND(F1142="Done",M1142&lt;&gt;""),IF(COUNTIFS(Appointments!$D$6:$D$2005,D1142,Appointments!$F$6:$F$2005,"Done",Appointments!$M$6:$M$2005,"&gt;"&amp;M1142)=0,1,0),0)</f>
        <v/>
      </c>
      <c r="O1142">
        <f>IF(AND(F1142="Booked",M1142&lt;&gt;"",N(B1142)&gt;=TODAY()),IF(COUNTIFS(Appointments!$D$6:$D$2005,D1142,Appointments!$F$6:$F$2005,"Booked",Appointments!$B$6:$B$2005,"&gt;="&amp;TODAY(),Appointments!$M$6:$M$2005,"&lt;"&amp;M1142)=0,1,0),0)</f>
        <v/>
      </c>
    </row>
    <row r="1143">
      <c r="A1143" s="1" t="n"/>
      <c r="B1143" s="30" t="n">
        <v>46296</v>
      </c>
      <c r="C1143" s="31" t="n">
        <v>0.4027777777777778</v>
      </c>
      <c r="D1143" s="32" t="inlineStr">
        <is>
          <t>Harry Ellis</t>
        </is>
      </c>
      <c r="E1143" s="32" t="inlineStr">
        <is>
          <t>Men's haircut</t>
        </is>
      </c>
      <c r="F1143" s="33" t="inlineStr">
        <is>
          <t>Booked</t>
        </is>
      </c>
      <c r="G1143" s="27">
        <f>IF(E1143="","",MAX(0,IFERROR(INDEX(Services!$C$6:$C$35,MATCH(E1143,Services!$B$6:$B$35,0)),0)-N(H1143)))</f>
        <v/>
      </c>
      <c r="H1143" s="34" t="n"/>
      <c r="I1143" s="34" t="n"/>
      <c r="J1143" s="33" t="n"/>
      <c r="K1143" s="28">
        <f>IF(OR(B1143="",F1143&lt;&gt;"Done",J1143="Package"),"",IF(N(G1143)-N(I1143)&gt;0,N(G1143)-N(I1143),""))</f>
        <v/>
      </c>
      <c r="L1143" s="32" t="n"/>
      <c r="M1143" s="1">
        <f>IF(OR(B1143="",D1143="",F1143="Cancelled"),"",B1143+N(C1143)+ROW()/10000000)</f>
        <v/>
      </c>
      <c r="N1143">
        <f>IF(AND(F1143="Done",M1143&lt;&gt;""),IF(COUNTIFS(Appointments!$D$6:$D$2005,D1143,Appointments!$F$6:$F$2005,"Done",Appointments!$M$6:$M$2005,"&gt;"&amp;M1143)=0,1,0),0)</f>
        <v/>
      </c>
      <c r="O1143">
        <f>IF(AND(F1143="Booked",M1143&lt;&gt;"",N(B1143)&gt;=TODAY()),IF(COUNTIFS(Appointments!$D$6:$D$2005,D1143,Appointments!$F$6:$F$2005,"Booked",Appointments!$B$6:$B$2005,"&gt;="&amp;TODAY(),Appointments!$M$6:$M$2005,"&lt;"&amp;M1143)=0,1,0),0)</f>
        <v/>
      </c>
    </row>
    <row r="1144">
      <c r="A1144" s="1" t="n"/>
      <c r="B1144" s="30" t="n">
        <v>46296</v>
      </c>
      <c r="C1144" s="31" t="n">
        <v>0.4305555555555556</v>
      </c>
      <c r="D1144" s="32" t="inlineStr">
        <is>
          <t>Julia Hughes</t>
        </is>
      </c>
      <c r="E1144" s="32" t="inlineStr">
        <is>
          <t>Women's haircut</t>
        </is>
      </c>
      <c r="F1144" s="33" t="inlineStr">
        <is>
          <t>Booked</t>
        </is>
      </c>
      <c r="G1144" s="27">
        <f>IF(E1144="","",MAX(0,IFERROR(INDEX(Services!$C$6:$C$35,MATCH(E1144,Services!$B$6:$B$35,0)),0)-N(H1144)))</f>
        <v/>
      </c>
      <c r="H1144" s="34" t="n"/>
      <c r="I1144" s="34" t="n"/>
      <c r="J1144" s="33" t="n"/>
      <c r="K1144" s="28">
        <f>IF(OR(B1144="",F1144&lt;&gt;"Done",J1144="Package"),"",IF(N(G1144)-N(I1144)&gt;0,N(G1144)-N(I1144),""))</f>
        <v/>
      </c>
      <c r="L1144" s="32" t="n"/>
      <c r="M1144" s="1">
        <f>IF(OR(B1144="",D1144="",F1144="Cancelled"),"",B1144+N(C1144)+ROW()/10000000)</f>
        <v/>
      </c>
      <c r="N1144">
        <f>IF(AND(F1144="Done",M1144&lt;&gt;""),IF(COUNTIFS(Appointments!$D$6:$D$2005,D1144,Appointments!$F$6:$F$2005,"Done",Appointments!$M$6:$M$2005,"&gt;"&amp;M1144)=0,1,0),0)</f>
        <v/>
      </c>
      <c r="O1144">
        <f>IF(AND(F1144="Booked",M1144&lt;&gt;"",N(B1144)&gt;=TODAY()),IF(COUNTIFS(Appointments!$D$6:$D$2005,D1144,Appointments!$F$6:$F$2005,"Booked",Appointments!$B$6:$B$2005,"&gt;="&amp;TODAY(),Appointments!$M$6:$M$2005,"&lt;"&amp;M1144)=0,1,0),0)</f>
        <v/>
      </c>
    </row>
    <row r="1145">
      <c r="A1145" s="1" t="n"/>
      <c r="B1145" s="30" t="n">
        <v>46297</v>
      </c>
      <c r="C1145" s="31" t="n">
        <v>0.375</v>
      </c>
      <c r="D1145" s="32" t="inlineStr">
        <is>
          <t>Chris Cook</t>
        </is>
      </c>
      <c r="E1145" s="32" t="inlineStr">
        <is>
          <t>Men's haircut</t>
        </is>
      </c>
      <c r="F1145" s="33" t="inlineStr">
        <is>
          <t>Booked</t>
        </is>
      </c>
      <c r="G1145" s="27">
        <f>IF(E1145="","",MAX(0,IFERROR(INDEX(Services!$C$6:$C$35,MATCH(E1145,Services!$B$6:$B$35,0)),0)-N(H1145)))</f>
        <v/>
      </c>
      <c r="H1145" s="34" t="n"/>
      <c r="I1145" s="34" t="n"/>
      <c r="J1145" s="33" t="n"/>
      <c r="K1145" s="28">
        <f>IF(OR(B1145="",F1145&lt;&gt;"Done",J1145="Package"),"",IF(N(G1145)-N(I1145)&gt;0,N(G1145)-N(I1145),""))</f>
        <v/>
      </c>
      <c r="L1145" s="32" t="n"/>
      <c r="M1145" s="1">
        <f>IF(OR(B1145="",D1145="",F1145="Cancelled"),"",B1145+N(C1145)+ROW()/10000000)</f>
        <v/>
      </c>
      <c r="N1145">
        <f>IF(AND(F1145="Done",M1145&lt;&gt;""),IF(COUNTIFS(Appointments!$D$6:$D$2005,D1145,Appointments!$F$6:$F$2005,"Done",Appointments!$M$6:$M$2005,"&gt;"&amp;M1145)=0,1,0),0)</f>
        <v/>
      </c>
      <c r="O1145">
        <f>IF(AND(F1145="Booked",M1145&lt;&gt;"",N(B1145)&gt;=TODAY()),IF(COUNTIFS(Appointments!$D$6:$D$2005,D1145,Appointments!$F$6:$F$2005,"Booked",Appointments!$B$6:$B$2005,"&gt;="&amp;TODAY(),Appointments!$M$6:$M$2005,"&lt;"&amp;M1145)=0,1,0),0)</f>
        <v/>
      </c>
    </row>
    <row r="1146">
      <c r="A1146" s="1" t="n"/>
      <c r="B1146" s="30" t="n">
        <v>46297</v>
      </c>
      <c r="C1146" s="31" t="n">
        <v>0.4027777777777778</v>
      </c>
      <c r="D1146" s="32" t="inlineStr">
        <is>
          <t>Dan Owens</t>
        </is>
      </c>
      <c r="E1146" s="32" t="inlineStr">
        <is>
          <t>Men's haircut</t>
        </is>
      </c>
      <c r="F1146" s="33" t="inlineStr">
        <is>
          <t>Booked</t>
        </is>
      </c>
      <c r="G1146" s="27">
        <f>IF(E1146="","",MAX(0,IFERROR(INDEX(Services!$C$6:$C$35,MATCH(E1146,Services!$B$6:$B$35,0)),0)-N(H1146)))</f>
        <v/>
      </c>
      <c r="H1146" s="34" t="n"/>
      <c r="I1146" s="34" t="n"/>
      <c r="J1146" s="33" t="n"/>
      <c r="K1146" s="28">
        <f>IF(OR(B1146="",F1146&lt;&gt;"Done",J1146="Package"),"",IF(N(G1146)-N(I1146)&gt;0,N(G1146)-N(I1146),""))</f>
        <v/>
      </c>
      <c r="L1146" s="32" t="n"/>
      <c r="M1146" s="1">
        <f>IF(OR(B1146="",D1146="",F1146="Cancelled"),"",B1146+N(C1146)+ROW()/10000000)</f>
        <v/>
      </c>
      <c r="N1146">
        <f>IF(AND(F1146="Done",M1146&lt;&gt;""),IF(COUNTIFS(Appointments!$D$6:$D$2005,D1146,Appointments!$F$6:$F$2005,"Done",Appointments!$M$6:$M$2005,"&gt;"&amp;M1146)=0,1,0),0)</f>
        <v/>
      </c>
      <c r="O1146">
        <f>IF(AND(F1146="Booked",M1146&lt;&gt;"",N(B1146)&gt;=TODAY()),IF(COUNTIFS(Appointments!$D$6:$D$2005,D1146,Appointments!$F$6:$F$2005,"Booked",Appointments!$B$6:$B$2005,"&gt;="&amp;TODAY(),Appointments!$M$6:$M$2005,"&lt;"&amp;M1146)=0,1,0),0)</f>
        <v/>
      </c>
    </row>
    <row r="1147">
      <c r="A1147" s="1" t="n"/>
      <c r="B1147" s="30" t="n">
        <v>46297</v>
      </c>
      <c r="C1147" s="31" t="n">
        <v>0.4305555555555556</v>
      </c>
      <c r="D1147" s="32" t="inlineStr">
        <is>
          <t>Megan Lewis</t>
        </is>
      </c>
      <c r="E1147" s="32" t="inlineStr">
        <is>
          <t>Women's haircut</t>
        </is>
      </c>
      <c r="F1147" s="33" t="inlineStr">
        <is>
          <t>Booked</t>
        </is>
      </c>
      <c r="G1147" s="27">
        <f>IF(E1147="","",MAX(0,IFERROR(INDEX(Services!$C$6:$C$35,MATCH(E1147,Services!$B$6:$B$35,0)),0)-N(H1147)))</f>
        <v/>
      </c>
      <c r="H1147" s="34" t="n"/>
      <c r="I1147" s="34" t="n"/>
      <c r="J1147" s="33" t="n"/>
      <c r="K1147" s="28">
        <f>IF(OR(B1147="",F1147&lt;&gt;"Done",J1147="Package"),"",IF(N(G1147)-N(I1147)&gt;0,N(G1147)-N(I1147),""))</f>
        <v/>
      </c>
      <c r="L1147" s="32" t="n"/>
      <c r="M1147" s="1">
        <f>IF(OR(B1147="",D1147="",F1147="Cancelled"),"",B1147+N(C1147)+ROW()/10000000)</f>
        <v/>
      </c>
      <c r="N1147">
        <f>IF(AND(F1147="Done",M1147&lt;&gt;""),IF(COUNTIFS(Appointments!$D$6:$D$2005,D1147,Appointments!$F$6:$F$2005,"Done",Appointments!$M$6:$M$2005,"&gt;"&amp;M1147)=0,1,0),0)</f>
        <v/>
      </c>
      <c r="O1147">
        <f>IF(AND(F1147="Booked",M1147&lt;&gt;"",N(B1147)&gt;=TODAY()),IF(COUNTIFS(Appointments!$D$6:$D$2005,D1147,Appointments!$F$6:$F$2005,"Booked",Appointments!$B$6:$B$2005,"&gt;="&amp;TODAY(),Appointments!$M$6:$M$2005,"&lt;"&amp;M1147)=0,1,0),0)</f>
        <v/>
      </c>
    </row>
    <row r="1148">
      <c r="A1148" s="1" t="n"/>
      <c r="B1148" s="30" t="n">
        <v>46297</v>
      </c>
      <c r="C1148" s="31" t="n">
        <v>0.4791666666666667</v>
      </c>
      <c r="D1148" s="32" t="inlineStr">
        <is>
          <t>Nora Walsh</t>
        </is>
      </c>
      <c r="E1148" s="32" t="inlineStr">
        <is>
          <t>Women's haircut</t>
        </is>
      </c>
      <c r="F1148" s="33" t="inlineStr">
        <is>
          <t>Booked</t>
        </is>
      </c>
      <c r="G1148" s="27">
        <f>IF(E1148="","",MAX(0,IFERROR(INDEX(Services!$C$6:$C$35,MATCH(E1148,Services!$B$6:$B$35,0)),0)-N(H1148)))</f>
        <v/>
      </c>
      <c r="H1148" s="34" t="n"/>
      <c r="I1148" s="34" t="n"/>
      <c r="J1148" s="33" t="n"/>
      <c r="K1148" s="28">
        <f>IF(OR(B1148="",F1148&lt;&gt;"Done",J1148="Package"),"",IF(N(G1148)-N(I1148)&gt;0,N(G1148)-N(I1148),""))</f>
        <v/>
      </c>
      <c r="L1148" s="32" t="n"/>
      <c r="M1148" s="1">
        <f>IF(OR(B1148="",D1148="",F1148="Cancelled"),"",B1148+N(C1148)+ROW()/10000000)</f>
        <v/>
      </c>
      <c r="N1148">
        <f>IF(AND(F1148="Done",M1148&lt;&gt;""),IF(COUNTIFS(Appointments!$D$6:$D$2005,D1148,Appointments!$F$6:$F$2005,"Done",Appointments!$M$6:$M$2005,"&gt;"&amp;M1148)=0,1,0),0)</f>
        <v/>
      </c>
      <c r="O1148">
        <f>IF(AND(F1148="Booked",M1148&lt;&gt;"",N(B1148)&gt;=TODAY()),IF(COUNTIFS(Appointments!$D$6:$D$2005,D1148,Appointments!$F$6:$F$2005,"Booked",Appointments!$B$6:$B$2005,"&gt;="&amp;TODAY(),Appointments!$M$6:$M$2005,"&lt;"&amp;M1148)=0,1,0),0)</f>
        <v/>
      </c>
    </row>
    <row r="1149">
      <c r="A1149" s="1" t="n"/>
      <c r="B1149" s="30" t="n">
        <v>46298</v>
      </c>
      <c r="C1149" s="31" t="n">
        <v>0.375</v>
      </c>
      <c r="D1149" s="32" t="inlineStr">
        <is>
          <t>Farah Ali</t>
        </is>
      </c>
      <c r="E1149" s="32" t="inlineStr">
        <is>
          <t>Colour</t>
        </is>
      </c>
      <c r="F1149" s="33" t="inlineStr">
        <is>
          <t>Booked</t>
        </is>
      </c>
      <c r="G1149" s="27">
        <f>IF(E1149="","",MAX(0,IFERROR(INDEX(Services!$C$6:$C$35,MATCH(E1149,Services!$B$6:$B$35,0)),0)-N(H1149)))</f>
        <v/>
      </c>
      <c r="H1149" s="34" t="n"/>
      <c r="I1149" s="34" t="n"/>
      <c r="J1149" s="33" t="n"/>
      <c r="K1149" s="28">
        <f>IF(OR(B1149="",F1149&lt;&gt;"Done",J1149="Package"),"",IF(N(G1149)-N(I1149)&gt;0,N(G1149)-N(I1149),""))</f>
        <v/>
      </c>
      <c r="L1149" s="32" t="n"/>
      <c r="M1149" s="1">
        <f>IF(OR(B1149="",D1149="",F1149="Cancelled"),"",B1149+N(C1149)+ROW()/10000000)</f>
        <v/>
      </c>
      <c r="N1149">
        <f>IF(AND(F1149="Done",M1149&lt;&gt;""),IF(COUNTIFS(Appointments!$D$6:$D$2005,D1149,Appointments!$F$6:$F$2005,"Done",Appointments!$M$6:$M$2005,"&gt;"&amp;M1149)=0,1,0),0)</f>
        <v/>
      </c>
      <c r="O1149">
        <f>IF(AND(F1149="Booked",M1149&lt;&gt;"",N(B1149)&gt;=TODAY()),IF(COUNTIFS(Appointments!$D$6:$D$2005,D1149,Appointments!$F$6:$F$2005,"Booked",Appointments!$B$6:$B$2005,"&gt;="&amp;TODAY(),Appointments!$M$6:$M$2005,"&lt;"&amp;M1149)=0,1,0),0)</f>
        <v/>
      </c>
    </row>
    <row r="1150">
      <c r="A1150" s="1" t="n"/>
      <c r="B1150" s="30" t="n">
        <v>46298</v>
      </c>
      <c r="C1150" s="31" t="n">
        <v>0.4652777777777778</v>
      </c>
      <c r="D1150" s="32" t="inlineStr">
        <is>
          <t>Harry Adams</t>
        </is>
      </c>
      <c r="E1150" s="32" t="inlineStr">
        <is>
          <t>Men's haircut</t>
        </is>
      </c>
      <c r="F1150" s="33" t="inlineStr">
        <is>
          <t>Booked</t>
        </is>
      </c>
      <c r="G1150" s="27">
        <f>IF(E1150="","",MAX(0,IFERROR(INDEX(Services!$C$6:$C$35,MATCH(E1150,Services!$B$6:$B$35,0)),0)-N(H1150)))</f>
        <v/>
      </c>
      <c r="H1150" s="34" t="n"/>
      <c r="I1150" s="34" t="n"/>
      <c r="J1150" s="33" t="n"/>
      <c r="K1150" s="28">
        <f>IF(OR(B1150="",F1150&lt;&gt;"Done",J1150="Package"),"",IF(N(G1150)-N(I1150)&gt;0,N(G1150)-N(I1150),""))</f>
        <v/>
      </c>
      <c r="L1150" s="32" t="n"/>
      <c r="M1150" s="1">
        <f>IF(OR(B1150="",D1150="",F1150="Cancelled"),"",B1150+N(C1150)+ROW()/10000000)</f>
        <v/>
      </c>
      <c r="N1150">
        <f>IF(AND(F1150="Done",M1150&lt;&gt;""),IF(COUNTIFS(Appointments!$D$6:$D$2005,D1150,Appointments!$F$6:$F$2005,"Done",Appointments!$M$6:$M$2005,"&gt;"&amp;M1150)=0,1,0),0)</f>
        <v/>
      </c>
      <c r="O1150">
        <f>IF(AND(F1150="Booked",M1150&lt;&gt;"",N(B1150)&gt;=TODAY()),IF(COUNTIFS(Appointments!$D$6:$D$2005,D1150,Appointments!$F$6:$F$2005,"Booked",Appointments!$B$6:$B$2005,"&gt;="&amp;TODAY(),Appointments!$M$6:$M$2005,"&lt;"&amp;M1150)=0,1,0),0)</f>
        <v/>
      </c>
    </row>
    <row r="1151">
      <c r="A1151" s="1" t="n"/>
      <c r="B1151" s="30" t="n">
        <v>46298</v>
      </c>
      <c r="C1151" s="31" t="n">
        <v>0.4930555555555556</v>
      </c>
      <c r="D1151" s="32" t="inlineStr">
        <is>
          <t>Liam Evans</t>
        </is>
      </c>
      <c r="E1151" s="32" t="inlineStr">
        <is>
          <t>Men's haircut</t>
        </is>
      </c>
      <c r="F1151" s="33" t="inlineStr">
        <is>
          <t>Booked</t>
        </is>
      </c>
      <c r="G1151" s="27">
        <f>IF(E1151="","",MAX(0,IFERROR(INDEX(Services!$C$6:$C$35,MATCH(E1151,Services!$B$6:$B$35,0)),0)-N(H1151)))</f>
        <v/>
      </c>
      <c r="H1151" s="34" t="n"/>
      <c r="I1151" s="34" t="n"/>
      <c r="J1151" s="33" t="n"/>
      <c r="K1151" s="28">
        <f>IF(OR(B1151="",F1151&lt;&gt;"Done",J1151="Package"),"",IF(N(G1151)-N(I1151)&gt;0,N(G1151)-N(I1151),""))</f>
        <v/>
      </c>
      <c r="L1151" s="32" t="n"/>
      <c r="M1151" s="1">
        <f>IF(OR(B1151="",D1151="",F1151="Cancelled"),"",B1151+N(C1151)+ROW()/10000000)</f>
        <v/>
      </c>
      <c r="N1151">
        <f>IF(AND(F1151="Done",M1151&lt;&gt;""),IF(COUNTIFS(Appointments!$D$6:$D$2005,D1151,Appointments!$F$6:$F$2005,"Done",Appointments!$M$6:$M$2005,"&gt;"&amp;M1151)=0,1,0),0)</f>
        <v/>
      </c>
      <c r="O1151">
        <f>IF(AND(F1151="Booked",M1151&lt;&gt;"",N(B1151)&gt;=TODAY()),IF(COUNTIFS(Appointments!$D$6:$D$2005,D1151,Appointments!$F$6:$F$2005,"Booked",Appointments!$B$6:$B$2005,"&gt;="&amp;TODAY(),Appointments!$M$6:$M$2005,"&lt;"&amp;M1151)=0,1,0),0)</f>
        <v/>
      </c>
    </row>
    <row r="1152">
      <c r="A1152" s="1" t="n"/>
      <c r="B1152" s="30" t="n">
        <v>46298</v>
      </c>
      <c r="C1152" s="31" t="n">
        <v>0.5208333333333334</v>
      </c>
      <c r="D1152" s="32" t="inlineStr">
        <is>
          <t>Lily Wood</t>
        </is>
      </c>
      <c r="E1152" s="32" t="inlineStr">
        <is>
          <t>Colour</t>
        </is>
      </c>
      <c r="F1152" s="33" t="inlineStr">
        <is>
          <t>Booked</t>
        </is>
      </c>
      <c r="G1152" s="27">
        <f>IF(E1152="","",MAX(0,IFERROR(INDEX(Services!$C$6:$C$35,MATCH(E1152,Services!$B$6:$B$35,0)),0)-N(H1152)))</f>
        <v/>
      </c>
      <c r="H1152" s="34" t="n"/>
      <c r="I1152" s="34" t="n"/>
      <c r="J1152" s="33" t="n"/>
      <c r="K1152" s="28">
        <f>IF(OR(B1152="",F1152&lt;&gt;"Done",J1152="Package"),"",IF(N(G1152)-N(I1152)&gt;0,N(G1152)-N(I1152),""))</f>
        <v/>
      </c>
      <c r="L1152" s="32" t="n"/>
      <c r="M1152" s="1">
        <f>IF(OR(B1152="",D1152="",F1152="Cancelled"),"",B1152+N(C1152)+ROW()/10000000)</f>
        <v/>
      </c>
      <c r="N1152">
        <f>IF(AND(F1152="Done",M1152&lt;&gt;""),IF(COUNTIFS(Appointments!$D$6:$D$2005,D1152,Appointments!$F$6:$F$2005,"Done",Appointments!$M$6:$M$2005,"&gt;"&amp;M1152)=0,1,0),0)</f>
        <v/>
      </c>
      <c r="O1152">
        <f>IF(AND(F1152="Booked",M1152&lt;&gt;"",N(B1152)&gt;=TODAY()),IF(COUNTIFS(Appointments!$D$6:$D$2005,D1152,Appointments!$F$6:$F$2005,"Booked",Appointments!$B$6:$B$2005,"&gt;="&amp;TODAY(),Appointments!$M$6:$M$2005,"&lt;"&amp;M1152)=0,1,0),0)</f>
        <v/>
      </c>
    </row>
    <row r="1153">
      <c r="A1153" s="1" t="n"/>
      <c r="B1153" s="30" t="n">
        <v>46298</v>
      </c>
      <c r="C1153" s="31" t="n">
        <v>0.6111111111111112</v>
      </c>
      <c r="D1153" s="32" t="inlineStr">
        <is>
          <t>Owen Morgan</t>
        </is>
      </c>
      <c r="E1153" s="32" t="inlineStr">
        <is>
          <t>Men's haircut</t>
        </is>
      </c>
      <c r="F1153" s="33" t="inlineStr">
        <is>
          <t>Booked</t>
        </is>
      </c>
      <c r="G1153" s="27">
        <f>IF(E1153="","",MAX(0,IFERROR(INDEX(Services!$C$6:$C$35,MATCH(E1153,Services!$B$6:$B$35,0)),0)-N(H1153)))</f>
        <v/>
      </c>
      <c r="H1153" s="34" t="n"/>
      <c r="I1153" s="34" t="n"/>
      <c r="J1153" s="33" t="n"/>
      <c r="K1153" s="28">
        <f>IF(OR(B1153="",F1153&lt;&gt;"Done",J1153="Package"),"",IF(N(G1153)-N(I1153)&gt;0,N(G1153)-N(I1153),""))</f>
        <v/>
      </c>
      <c r="L1153" s="32" t="n"/>
      <c r="M1153" s="1">
        <f>IF(OR(B1153="",D1153="",F1153="Cancelled"),"",B1153+N(C1153)+ROW()/10000000)</f>
        <v/>
      </c>
      <c r="N1153">
        <f>IF(AND(F1153="Done",M1153&lt;&gt;""),IF(COUNTIFS(Appointments!$D$6:$D$2005,D1153,Appointments!$F$6:$F$2005,"Done",Appointments!$M$6:$M$2005,"&gt;"&amp;M1153)=0,1,0),0)</f>
        <v/>
      </c>
      <c r="O1153">
        <f>IF(AND(F1153="Booked",M1153&lt;&gt;"",N(B1153)&gt;=TODAY()),IF(COUNTIFS(Appointments!$D$6:$D$2005,D1153,Appointments!$F$6:$F$2005,"Booked",Appointments!$B$6:$B$2005,"&gt;="&amp;TODAY(),Appointments!$M$6:$M$2005,"&lt;"&amp;M1153)=0,1,0),0)</f>
        <v/>
      </c>
    </row>
    <row r="1154">
      <c r="A1154" s="1" t="n"/>
      <c r="B1154" s="30" t="n">
        <v>46301</v>
      </c>
      <c r="C1154" s="31" t="n">
        <v>0.375</v>
      </c>
      <c r="D1154" s="32" t="inlineStr">
        <is>
          <t>Hugo Silva</t>
        </is>
      </c>
      <c r="E1154" s="32" t="inlineStr">
        <is>
          <t>Men's haircut</t>
        </is>
      </c>
      <c r="F1154" s="33" t="inlineStr">
        <is>
          <t>Booked</t>
        </is>
      </c>
      <c r="G1154" s="27">
        <f>IF(E1154="","",MAX(0,IFERROR(INDEX(Services!$C$6:$C$35,MATCH(E1154,Services!$B$6:$B$35,0)),0)-N(H1154)))</f>
        <v/>
      </c>
      <c r="H1154" s="34" t="n"/>
      <c r="I1154" s="34" t="n"/>
      <c r="J1154" s="33" t="n"/>
      <c r="K1154" s="28">
        <f>IF(OR(B1154="",F1154&lt;&gt;"Done",J1154="Package"),"",IF(N(G1154)-N(I1154)&gt;0,N(G1154)-N(I1154),""))</f>
        <v/>
      </c>
      <c r="L1154" s="32" t="n"/>
      <c r="M1154" s="1">
        <f>IF(OR(B1154="",D1154="",F1154="Cancelled"),"",B1154+N(C1154)+ROW()/10000000)</f>
        <v/>
      </c>
      <c r="N1154">
        <f>IF(AND(F1154="Done",M1154&lt;&gt;""),IF(COUNTIFS(Appointments!$D$6:$D$2005,D1154,Appointments!$F$6:$F$2005,"Done",Appointments!$M$6:$M$2005,"&gt;"&amp;M1154)=0,1,0),0)</f>
        <v/>
      </c>
      <c r="O1154">
        <f>IF(AND(F1154="Booked",M1154&lt;&gt;"",N(B1154)&gt;=TODAY()),IF(COUNTIFS(Appointments!$D$6:$D$2005,D1154,Appointments!$F$6:$F$2005,"Booked",Appointments!$B$6:$B$2005,"&gt;="&amp;TODAY(),Appointments!$M$6:$M$2005,"&lt;"&amp;M1154)=0,1,0),0)</f>
        <v/>
      </c>
    </row>
    <row r="1155">
      <c r="A1155" s="1" t="n"/>
      <c r="B1155" s="30" t="n">
        <v>46301</v>
      </c>
      <c r="C1155" s="31" t="n">
        <v>0.4027777777777778</v>
      </c>
      <c r="D1155" s="32" t="inlineStr">
        <is>
          <t>Jade Hughes</t>
        </is>
      </c>
      <c r="E1155" s="32" t="inlineStr">
        <is>
          <t>Blow dry</t>
        </is>
      </c>
      <c r="F1155" s="33" t="inlineStr">
        <is>
          <t>Booked</t>
        </is>
      </c>
      <c r="G1155" s="27">
        <f>IF(E1155="","",MAX(0,IFERROR(INDEX(Services!$C$6:$C$35,MATCH(E1155,Services!$B$6:$B$35,0)),0)-N(H1155)))</f>
        <v/>
      </c>
      <c r="H1155" s="34" t="n"/>
      <c r="I1155" s="34" t="n"/>
      <c r="J1155" s="33" t="n"/>
      <c r="K1155" s="28">
        <f>IF(OR(B1155="",F1155&lt;&gt;"Done",J1155="Package"),"",IF(N(G1155)-N(I1155)&gt;0,N(G1155)-N(I1155),""))</f>
        <v/>
      </c>
      <c r="L1155" s="32" t="n"/>
      <c r="M1155" s="1">
        <f>IF(OR(B1155="",D1155="",F1155="Cancelled"),"",B1155+N(C1155)+ROW()/10000000)</f>
        <v/>
      </c>
      <c r="N1155">
        <f>IF(AND(F1155="Done",M1155&lt;&gt;""),IF(COUNTIFS(Appointments!$D$6:$D$2005,D1155,Appointments!$F$6:$F$2005,"Done",Appointments!$M$6:$M$2005,"&gt;"&amp;M1155)=0,1,0),0)</f>
        <v/>
      </c>
      <c r="O1155">
        <f>IF(AND(F1155="Booked",M1155&lt;&gt;"",N(B1155)&gt;=TODAY()),IF(COUNTIFS(Appointments!$D$6:$D$2005,D1155,Appointments!$F$6:$F$2005,"Booked",Appointments!$B$6:$B$2005,"&gt;="&amp;TODAY(),Appointments!$M$6:$M$2005,"&lt;"&amp;M1155)=0,1,0),0)</f>
        <v/>
      </c>
    </row>
    <row r="1156">
      <c r="A1156" s="1" t="n"/>
      <c r="B1156" s="30" t="n">
        <v>46301</v>
      </c>
      <c r="C1156" s="31" t="n">
        <v>0.4409722222222222</v>
      </c>
      <c r="D1156" s="32" t="inlineStr">
        <is>
          <t>Matt Ellis</t>
        </is>
      </c>
      <c r="E1156" s="32" t="inlineStr">
        <is>
          <t>Men's haircut</t>
        </is>
      </c>
      <c r="F1156" s="33" t="inlineStr">
        <is>
          <t>Booked</t>
        </is>
      </c>
      <c r="G1156" s="27">
        <f>IF(E1156="","",MAX(0,IFERROR(INDEX(Services!$C$6:$C$35,MATCH(E1156,Services!$B$6:$B$35,0)),0)-N(H1156)))</f>
        <v/>
      </c>
      <c r="H1156" s="34" t="n"/>
      <c r="I1156" s="34" t="n"/>
      <c r="J1156" s="33" t="n"/>
      <c r="K1156" s="28">
        <f>IF(OR(B1156="",F1156&lt;&gt;"Done",J1156="Package"),"",IF(N(G1156)-N(I1156)&gt;0,N(G1156)-N(I1156),""))</f>
        <v/>
      </c>
      <c r="L1156" s="32" t="n"/>
      <c r="M1156" s="1">
        <f>IF(OR(B1156="",D1156="",F1156="Cancelled"),"",B1156+N(C1156)+ROW()/10000000)</f>
        <v/>
      </c>
      <c r="N1156">
        <f>IF(AND(F1156="Done",M1156&lt;&gt;""),IF(COUNTIFS(Appointments!$D$6:$D$2005,D1156,Appointments!$F$6:$F$2005,"Done",Appointments!$M$6:$M$2005,"&gt;"&amp;M1156)=0,1,0),0)</f>
        <v/>
      </c>
      <c r="O1156">
        <f>IF(AND(F1156="Booked",M1156&lt;&gt;"",N(B1156)&gt;=TODAY()),IF(COUNTIFS(Appointments!$D$6:$D$2005,D1156,Appointments!$F$6:$F$2005,"Booked",Appointments!$B$6:$B$2005,"&gt;="&amp;TODAY(),Appointments!$M$6:$M$2005,"&lt;"&amp;M1156)=0,1,0),0)</f>
        <v/>
      </c>
    </row>
    <row r="1157">
      <c r="A1157" s="1" t="n"/>
      <c r="B1157" s="30" t="n">
        <v>46301</v>
      </c>
      <c r="C1157" s="31" t="n">
        <v>0.46875</v>
      </c>
      <c r="D1157" s="32" t="inlineStr">
        <is>
          <t>Nick Young</t>
        </is>
      </c>
      <c r="E1157" s="32" t="inlineStr">
        <is>
          <t>Men's haircut</t>
        </is>
      </c>
      <c r="F1157" s="33" t="inlineStr">
        <is>
          <t>Booked</t>
        </is>
      </c>
      <c r="G1157" s="27">
        <f>IF(E1157="","",MAX(0,IFERROR(INDEX(Services!$C$6:$C$35,MATCH(E1157,Services!$B$6:$B$35,0)),0)-N(H1157)))</f>
        <v/>
      </c>
      <c r="H1157" s="34" t="n"/>
      <c r="I1157" s="34" t="n"/>
      <c r="J1157" s="33" t="n"/>
      <c r="K1157" s="28">
        <f>IF(OR(B1157="",F1157&lt;&gt;"Done",J1157="Package"),"",IF(N(G1157)-N(I1157)&gt;0,N(G1157)-N(I1157),""))</f>
        <v/>
      </c>
      <c r="L1157" s="32" t="n"/>
      <c r="M1157" s="1">
        <f>IF(OR(B1157="",D1157="",F1157="Cancelled"),"",B1157+N(C1157)+ROW()/10000000)</f>
        <v/>
      </c>
      <c r="N1157">
        <f>IF(AND(F1157="Done",M1157&lt;&gt;""),IF(COUNTIFS(Appointments!$D$6:$D$2005,D1157,Appointments!$F$6:$F$2005,"Done",Appointments!$M$6:$M$2005,"&gt;"&amp;M1157)=0,1,0),0)</f>
        <v/>
      </c>
      <c r="O1157">
        <f>IF(AND(F1157="Booked",M1157&lt;&gt;"",N(B1157)&gt;=TODAY()),IF(COUNTIFS(Appointments!$D$6:$D$2005,D1157,Appointments!$F$6:$F$2005,"Booked",Appointments!$B$6:$B$2005,"&gt;="&amp;TODAY(),Appointments!$M$6:$M$2005,"&lt;"&amp;M1157)=0,1,0),0)</f>
        <v/>
      </c>
    </row>
    <row r="1158">
      <c r="A1158" s="1" t="n"/>
      <c r="B1158" s="30" t="n">
        <v>46301</v>
      </c>
      <c r="C1158" s="31" t="n">
        <v>0.4965277777777778</v>
      </c>
      <c r="D1158" s="32" t="inlineStr">
        <is>
          <t>Ruby Shaw</t>
        </is>
      </c>
      <c r="E1158" s="32" t="inlineStr">
        <is>
          <t>Women's haircut</t>
        </is>
      </c>
      <c r="F1158" s="33" t="inlineStr">
        <is>
          <t>Booked</t>
        </is>
      </c>
      <c r="G1158" s="27">
        <f>IF(E1158="","",MAX(0,IFERROR(INDEX(Services!$C$6:$C$35,MATCH(E1158,Services!$B$6:$B$35,0)),0)-N(H1158)))</f>
        <v/>
      </c>
      <c r="H1158" s="34" t="n"/>
      <c r="I1158" s="34" t="n"/>
      <c r="J1158" s="33" t="n"/>
      <c r="K1158" s="28">
        <f>IF(OR(B1158="",F1158&lt;&gt;"Done",J1158="Package"),"",IF(N(G1158)-N(I1158)&gt;0,N(G1158)-N(I1158),""))</f>
        <v/>
      </c>
      <c r="L1158" s="32" t="n"/>
      <c r="M1158" s="1">
        <f>IF(OR(B1158="",D1158="",F1158="Cancelled"),"",B1158+N(C1158)+ROW()/10000000)</f>
        <v/>
      </c>
      <c r="N1158">
        <f>IF(AND(F1158="Done",M1158&lt;&gt;""),IF(COUNTIFS(Appointments!$D$6:$D$2005,D1158,Appointments!$F$6:$F$2005,"Done",Appointments!$M$6:$M$2005,"&gt;"&amp;M1158)=0,1,0),0)</f>
        <v/>
      </c>
      <c r="O1158">
        <f>IF(AND(F1158="Booked",M1158&lt;&gt;"",N(B1158)&gt;=TODAY()),IF(COUNTIFS(Appointments!$D$6:$D$2005,D1158,Appointments!$F$6:$F$2005,"Booked",Appointments!$B$6:$B$2005,"&gt;="&amp;TODAY(),Appointments!$M$6:$M$2005,"&lt;"&amp;M1158)=0,1,0),0)</f>
        <v/>
      </c>
    </row>
    <row r="1159">
      <c r="A1159" s="1" t="n"/>
      <c r="B1159" s="30" t="n">
        <v>46301</v>
      </c>
      <c r="C1159" s="31" t="n">
        <v>0.5451388888888888</v>
      </c>
      <c r="D1159" s="32" t="inlineStr">
        <is>
          <t>Victor Lane</t>
        </is>
      </c>
      <c r="E1159" s="32" t="inlineStr">
        <is>
          <t>Men's haircut</t>
        </is>
      </c>
      <c r="F1159" s="33" t="inlineStr">
        <is>
          <t>Booked</t>
        </is>
      </c>
      <c r="G1159" s="27">
        <f>IF(E1159="","",MAX(0,IFERROR(INDEX(Services!$C$6:$C$35,MATCH(E1159,Services!$B$6:$B$35,0)),0)-N(H1159)))</f>
        <v/>
      </c>
      <c r="H1159" s="34" t="n"/>
      <c r="I1159" s="34" t="n"/>
      <c r="J1159" s="33" t="n"/>
      <c r="K1159" s="28">
        <f>IF(OR(B1159="",F1159&lt;&gt;"Done",J1159="Package"),"",IF(N(G1159)-N(I1159)&gt;0,N(G1159)-N(I1159),""))</f>
        <v/>
      </c>
      <c r="L1159" s="32" t="n"/>
      <c r="M1159" s="1">
        <f>IF(OR(B1159="",D1159="",F1159="Cancelled"),"",B1159+N(C1159)+ROW()/10000000)</f>
        <v/>
      </c>
      <c r="N1159">
        <f>IF(AND(F1159="Done",M1159&lt;&gt;""),IF(COUNTIFS(Appointments!$D$6:$D$2005,D1159,Appointments!$F$6:$F$2005,"Done",Appointments!$M$6:$M$2005,"&gt;"&amp;M1159)=0,1,0),0)</f>
        <v/>
      </c>
      <c r="O1159">
        <f>IF(AND(F1159="Booked",M1159&lt;&gt;"",N(B1159)&gt;=TODAY()),IF(COUNTIFS(Appointments!$D$6:$D$2005,D1159,Appointments!$F$6:$F$2005,"Booked",Appointments!$B$6:$B$2005,"&gt;="&amp;TODAY(),Appointments!$M$6:$M$2005,"&lt;"&amp;M1159)=0,1,0),0)</f>
        <v/>
      </c>
    </row>
    <row r="1160">
      <c r="A1160" s="1" t="n"/>
      <c r="B1160" s="30" t="n">
        <v>46301</v>
      </c>
      <c r="C1160" s="31" t="n">
        <v>0.5729166666666666</v>
      </c>
      <c r="D1160" s="32" t="inlineStr">
        <is>
          <t>Will Baker</t>
        </is>
      </c>
      <c r="E1160" s="32" t="inlineStr">
        <is>
          <t>Men's haircut</t>
        </is>
      </c>
      <c r="F1160" s="33" t="inlineStr">
        <is>
          <t>Booked</t>
        </is>
      </c>
      <c r="G1160" s="27">
        <f>IF(E1160="","",MAX(0,IFERROR(INDEX(Services!$C$6:$C$35,MATCH(E1160,Services!$B$6:$B$35,0)),0)-N(H1160)))</f>
        <v/>
      </c>
      <c r="H1160" s="34" t="n"/>
      <c r="I1160" s="34" t="n"/>
      <c r="J1160" s="33" t="n"/>
      <c r="K1160" s="28">
        <f>IF(OR(B1160="",F1160&lt;&gt;"Done",J1160="Package"),"",IF(N(G1160)-N(I1160)&gt;0,N(G1160)-N(I1160),""))</f>
        <v/>
      </c>
      <c r="L1160" s="32" t="n"/>
      <c r="M1160" s="1">
        <f>IF(OR(B1160="",D1160="",F1160="Cancelled"),"",B1160+N(C1160)+ROW()/10000000)</f>
        <v/>
      </c>
      <c r="N1160">
        <f>IF(AND(F1160="Done",M1160&lt;&gt;""),IF(COUNTIFS(Appointments!$D$6:$D$2005,D1160,Appointments!$F$6:$F$2005,"Done",Appointments!$M$6:$M$2005,"&gt;"&amp;M1160)=0,1,0),0)</f>
        <v/>
      </c>
      <c r="O1160">
        <f>IF(AND(F1160="Booked",M1160&lt;&gt;"",N(B1160)&gt;=TODAY()),IF(COUNTIFS(Appointments!$D$6:$D$2005,D1160,Appointments!$F$6:$F$2005,"Booked",Appointments!$B$6:$B$2005,"&gt;="&amp;TODAY(),Appointments!$M$6:$M$2005,"&lt;"&amp;M1160)=0,1,0),0)</f>
        <v/>
      </c>
    </row>
    <row r="1161">
      <c r="A1161" s="1" t="n"/>
      <c r="B1161" s="30" t="n">
        <v>46302</v>
      </c>
      <c r="C1161" s="31" t="n">
        <v>0.375</v>
      </c>
      <c r="D1161" s="32" t="inlineStr">
        <is>
          <t>Chris Ellis</t>
        </is>
      </c>
      <c r="E1161" s="32" t="inlineStr">
        <is>
          <t>Men's haircut</t>
        </is>
      </c>
      <c r="F1161" s="33" t="inlineStr">
        <is>
          <t>Booked</t>
        </is>
      </c>
      <c r="G1161" s="27">
        <f>IF(E1161="","",MAX(0,IFERROR(INDEX(Services!$C$6:$C$35,MATCH(E1161,Services!$B$6:$B$35,0)),0)-N(H1161)))</f>
        <v/>
      </c>
      <c r="H1161" s="34" t="n"/>
      <c r="I1161" s="34" t="n"/>
      <c r="J1161" s="33" t="n"/>
      <c r="K1161" s="28">
        <f>IF(OR(B1161="",F1161&lt;&gt;"Done",J1161="Package"),"",IF(N(G1161)-N(I1161)&gt;0,N(G1161)-N(I1161),""))</f>
        <v/>
      </c>
      <c r="L1161" s="32" t="n"/>
      <c r="M1161" s="1">
        <f>IF(OR(B1161="",D1161="",F1161="Cancelled"),"",B1161+N(C1161)+ROW()/10000000)</f>
        <v/>
      </c>
      <c r="N1161">
        <f>IF(AND(F1161="Done",M1161&lt;&gt;""),IF(COUNTIFS(Appointments!$D$6:$D$2005,D1161,Appointments!$F$6:$F$2005,"Done",Appointments!$M$6:$M$2005,"&gt;"&amp;M1161)=0,1,0),0)</f>
        <v/>
      </c>
      <c r="O1161">
        <f>IF(AND(F1161="Booked",M1161&lt;&gt;"",N(B1161)&gt;=TODAY()),IF(COUNTIFS(Appointments!$D$6:$D$2005,D1161,Appointments!$F$6:$F$2005,"Booked",Appointments!$B$6:$B$2005,"&gt;="&amp;TODAY(),Appointments!$M$6:$M$2005,"&lt;"&amp;M1161)=0,1,0),0)</f>
        <v/>
      </c>
    </row>
    <row r="1162">
      <c r="A1162" s="1" t="n"/>
      <c r="B1162" s="30" t="n">
        <v>46302</v>
      </c>
      <c r="C1162" s="31" t="n">
        <v>0.4027777777777778</v>
      </c>
      <c r="D1162" s="32" t="inlineStr">
        <is>
          <t>Eli Hughes</t>
        </is>
      </c>
      <c r="E1162" s="32" t="inlineStr">
        <is>
          <t>Men's haircut</t>
        </is>
      </c>
      <c r="F1162" s="33" t="inlineStr">
        <is>
          <t>Booked</t>
        </is>
      </c>
      <c r="G1162" s="27">
        <f>IF(E1162="","",MAX(0,IFERROR(INDEX(Services!$C$6:$C$35,MATCH(E1162,Services!$B$6:$B$35,0)),0)-N(H1162)))</f>
        <v/>
      </c>
      <c r="H1162" s="34" t="n"/>
      <c r="I1162" s="34" t="n"/>
      <c r="J1162" s="33" t="n"/>
      <c r="K1162" s="28">
        <f>IF(OR(B1162="",F1162&lt;&gt;"Done",J1162="Package"),"",IF(N(G1162)-N(I1162)&gt;0,N(G1162)-N(I1162),""))</f>
        <v/>
      </c>
      <c r="L1162" s="32" t="n"/>
      <c r="M1162" s="1">
        <f>IF(OR(B1162="",D1162="",F1162="Cancelled"),"",B1162+N(C1162)+ROW()/10000000)</f>
        <v/>
      </c>
      <c r="N1162">
        <f>IF(AND(F1162="Done",M1162&lt;&gt;""),IF(COUNTIFS(Appointments!$D$6:$D$2005,D1162,Appointments!$F$6:$F$2005,"Done",Appointments!$M$6:$M$2005,"&gt;"&amp;M1162)=0,1,0),0)</f>
        <v/>
      </c>
      <c r="O1162">
        <f>IF(AND(F1162="Booked",M1162&lt;&gt;"",N(B1162)&gt;=TODAY()),IF(COUNTIFS(Appointments!$D$6:$D$2005,D1162,Appointments!$F$6:$F$2005,"Booked",Appointments!$B$6:$B$2005,"&gt;="&amp;TODAY(),Appointments!$M$6:$M$2005,"&lt;"&amp;M1162)=0,1,0),0)</f>
        <v/>
      </c>
    </row>
    <row r="1163">
      <c r="A1163" s="1" t="n"/>
      <c r="B1163" s="30" t="n">
        <v>46302</v>
      </c>
      <c r="C1163" s="31" t="n">
        <v>0.4305555555555556</v>
      </c>
      <c r="D1163" s="32" t="inlineStr">
        <is>
          <t>Ella Morgan</t>
        </is>
      </c>
      <c r="E1163" s="32" t="inlineStr">
        <is>
          <t>Women's haircut</t>
        </is>
      </c>
      <c r="F1163" s="33" t="inlineStr">
        <is>
          <t>Booked</t>
        </is>
      </c>
      <c r="G1163" s="27">
        <f>IF(E1163="","",MAX(0,IFERROR(INDEX(Services!$C$6:$C$35,MATCH(E1163,Services!$B$6:$B$35,0)),0)-N(H1163)))</f>
        <v/>
      </c>
      <c r="H1163" s="34" t="n"/>
      <c r="I1163" s="34" t="n"/>
      <c r="J1163" s="33" t="n"/>
      <c r="K1163" s="28">
        <f>IF(OR(B1163="",F1163&lt;&gt;"Done",J1163="Package"),"",IF(N(G1163)-N(I1163)&gt;0,N(G1163)-N(I1163),""))</f>
        <v/>
      </c>
      <c r="L1163" s="32" t="n"/>
      <c r="M1163" s="1">
        <f>IF(OR(B1163="",D1163="",F1163="Cancelled"),"",B1163+N(C1163)+ROW()/10000000)</f>
        <v/>
      </c>
      <c r="N1163">
        <f>IF(AND(F1163="Done",M1163&lt;&gt;""),IF(COUNTIFS(Appointments!$D$6:$D$2005,D1163,Appointments!$F$6:$F$2005,"Done",Appointments!$M$6:$M$2005,"&gt;"&amp;M1163)=0,1,0),0)</f>
        <v/>
      </c>
      <c r="O1163">
        <f>IF(AND(F1163="Booked",M1163&lt;&gt;"",N(B1163)&gt;=TODAY()),IF(COUNTIFS(Appointments!$D$6:$D$2005,D1163,Appointments!$F$6:$F$2005,"Booked",Appointments!$B$6:$B$2005,"&gt;="&amp;TODAY(),Appointments!$M$6:$M$2005,"&lt;"&amp;M1163)=0,1,0),0)</f>
        <v/>
      </c>
    </row>
    <row r="1164">
      <c r="A1164" s="1" t="n"/>
      <c r="B1164" s="30" t="n">
        <v>46302</v>
      </c>
      <c r="C1164" s="31" t="n">
        <v>0.4791666666666667</v>
      </c>
      <c r="D1164" s="32" t="inlineStr">
        <is>
          <t>Finn Davies</t>
        </is>
      </c>
      <c r="E1164" s="32" t="inlineStr">
        <is>
          <t>Men's haircut</t>
        </is>
      </c>
      <c r="F1164" s="33" t="inlineStr">
        <is>
          <t>Booked</t>
        </is>
      </c>
      <c r="G1164" s="27">
        <f>IF(E1164="","",MAX(0,IFERROR(INDEX(Services!$C$6:$C$35,MATCH(E1164,Services!$B$6:$B$35,0)),0)-N(H1164)))</f>
        <v/>
      </c>
      <c r="H1164" s="34" t="n"/>
      <c r="I1164" s="34" t="n"/>
      <c r="J1164" s="33" t="n"/>
      <c r="K1164" s="28">
        <f>IF(OR(B1164="",F1164&lt;&gt;"Done",J1164="Package"),"",IF(N(G1164)-N(I1164)&gt;0,N(G1164)-N(I1164),""))</f>
        <v/>
      </c>
      <c r="L1164" s="32" t="n"/>
      <c r="M1164" s="1">
        <f>IF(OR(B1164="",D1164="",F1164="Cancelled"),"",B1164+N(C1164)+ROW()/10000000)</f>
        <v/>
      </c>
      <c r="N1164">
        <f>IF(AND(F1164="Done",M1164&lt;&gt;""),IF(COUNTIFS(Appointments!$D$6:$D$2005,D1164,Appointments!$F$6:$F$2005,"Done",Appointments!$M$6:$M$2005,"&gt;"&amp;M1164)=0,1,0),0)</f>
        <v/>
      </c>
      <c r="O1164">
        <f>IF(AND(F1164="Booked",M1164&lt;&gt;"",N(B1164)&gt;=TODAY()),IF(COUNTIFS(Appointments!$D$6:$D$2005,D1164,Appointments!$F$6:$F$2005,"Booked",Appointments!$B$6:$B$2005,"&gt;="&amp;TODAY(),Appointments!$M$6:$M$2005,"&lt;"&amp;M1164)=0,1,0),0)</f>
        <v/>
      </c>
    </row>
    <row r="1165">
      <c r="A1165" s="1" t="n"/>
      <c r="B1165" s="30" t="n">
        <v>46302</v>
      </c>
      <c r="C1165" s="31" t="n">
        <v>0.5069444444444444</v>
      </c>
      <c r="D1165" s="32" t="inlineStr">
        <is>
          <t>Holly Fox</t>
        </is>
      </c>
      <c r="E1165" s="32" t="inlineStr">
        <is>
          <t>Blow dry</t>
        </is>
      </c>
      <c r="F1165" s="33" t="inlineStr">
        <is>
          <t>Booked</t>
        </is>
      </c>
      <c r="G1165" s="27">
        <f>IF(E1165="","",MAX(0,IFERROR(INDEX(Services!$C$6:$C$35,MATCH(E1165,Services!$B$6:$B$35,0)),0)-N(H1165)))</f>
        <v/>
      </c>
      <c r="H1165" s="34" t="n"/>
      <c r="I1165" s="34" t="n"/>
      <c r="J1165" s="33" t="n"/>
      <c r="K1165" s="28">
        <f>IF(OR(B1165="",F1165&lt;&gt;"Done",J1165="Package"),"",IF(N(G1165)-N(I1165)&gt;0,N(G1165)-N(I1165),""))</f>
        <v/>
      </c>
      <c r="L1165" s="32" t="n"/>
      <c r="M1165" s="1">
        <f>IF(OR(B1165="",D1165="",F1165="Cancelled"),"",B1165+N(C1165)+ROW()/10000000)</f>
        <v/>
      </c>
      <c r="N1165">
        <f>IF(AND(F1165="Done",M1165&lt;&gt;""),IF(COUNTIFS(Appointments!$D$6:$D$2005,D1165,Appointments!$F$6:$F$2005,"Done",Appointments!$M$6:$M$2005,"&gt;"&amp;M1165)=0,1,0),0)</f>
        <v/>
      </c>
      <c r="O1165">
        <f>IF(AND(F1165="Booked",M1165&lt;&gt;"",N(B1165)&gt;=TODAY()),IF(COUNTIFS(Appointments!$D$6:$D$2005,D1165,Appointments!$F$6:$F$2005,"Booked",Appointments!$B$6:$B$2005,"&gt;="&amp;TODAY(),Appointments!$M$6:$M$2005,"&lt;"&amp;M1165)=0,1,0),0)</f>
        <v/>
      </c>
    </row>
    <row r="1166">
      <c r="A1166" s="1" t="n"/>
      <c r="B1166" s="30" t="n">
        <v>46302</v>
      </c>
      <c r="C1166" s="31" t="n">
        <v>0.5451388888888888</v>
      </c>
      <c r="D1166" s="32" t="inlineStr">
        <is>
          <t>Jon Reid</t>
        </is>
      </c>
      <c r="E1166" s="32" t="inlineStr">
        <is>
          <t>Men's haircut</t>
        </is>
      </c>
      <c r="F1166" s="33" t="inlineStr">
        <is>
          <t>Booked</t>
        </is>
      </c>
      <c r="G1166" s="27">
        <f>IF(E1166="","",MAX(0,IFERROR(INDEX(Services!$C$6:$C$35,MATCH(E1166,Services!$B$6:$B$35,0)),0)-N(H1166)))</f>
        <v/>
      </c>
      <c r="H1166" s="34" t="n"/>
      <c r="I1166" s="34" t="n"/>
      <c r="J1166" s="33" t="n"/>
      <c r="K1166" s="28">
        <f>IF(OR(B1166="",F1166&lt;&gt;"Done",J1166="Package"),"",IF(N(G1166)-N(I1166)&gt;0,N(G1166)-N(I1166),""))</f>
        <v/>
      </c>
      <c r="L1166" s="32" t="n"/>
      <c r="M1166" s="1">
        <f>IF(OR(B1166="",D1166="",F1166="Cancelled"),"",B1166+N(C1166)+ROW()/10000000)</f>
        <v/>
      </c>
      <c r="N1166">
        <f>IF(AND(F1166="Done",M1166&lt;&gt;""),IF(COUNTIFS(Appointments!$D$6:$D$2005,D1166,Appointments!$F$6:$F$2005,"Done",Appointments!$M$6:$M$2005,"&gt;"&amp;M1166)=0,1,0),0)</f>
        <v/>
      </c>
      <c r="O1166">
        <f>IF(AND(F1166="Booked",M1166&lt;&gt;"",N(B1166)&gt;=TODAY()),IF(COUNTIFS(Appointments!$D$6:$D$2005,D1166,Appointments!$F$6:$F$2005,"Booked",Appointments!$B$6:$B$2005,"&gt;="&amp;TODAY(),Appointments!$M$6:$M$2005,"&lt;"&amp;M1166)=0,1,0),0)</f>
        <v/>
      </c>
    </row>
    <row r="1167">
      <c r="A1167" s="1" t="n"/>
      <c r="B1167" s="30" t="n">
        <v>46302</v>
      </c>
      <c r="C1167" s="31" t="n">
        <v>0.5729166666666666</v>
      </c>
      <c r="D1167" s="32" t="inlineStr">
        <is>
          <t>Ryan Davies</t>
        </is>
      </c>
      <c r="E1167" s="32" t="inlineStr">
        <is>
          <t>Men's haircut</t>
        </is>
      </c>
      <c r="F1167" s="33" t="inlineStr">
        <is>
          <t>Booked</t>
        </is>
      </c>
      <c r="G1167" s="27">
        <f>IF(E1167="","",MAX(0,IFERROR(INDEX(Services!$C$6:$C$35,MATCH(E1167,Services!$B$6:$B$35,0)),0)-N(H1167)))</f>
        <v/>
      </c>
      <c r="H1167" s="34" t="n"/>
      <c r="I1167" s="34" t="n"/>
      <c r="J1167" s="33" t="n"/>
      <c r="K1167" s="28">
        <f>IF(OR(B1167="",F1167&lt;&gt;"Done",J1167="Package"),"",IF(N(G1167)-N(I1167)&gt;0,N(G1167)-N(I1167),""))</f>
        <v/>
      </c>
      <c r="L1167" s="32" t="n"/>
      <c r="M1167" s="1">
        <f>IF(OR(B1167="",D1167="",F1167="Cancelled"),"",B1167+N(C1167)+ROW()/10000000)</f>
        <v/>
      </c>
      <c r="N1167">
        <f>IF(AND(F1167="Done",M1167&lt;&gt;""),IF(COUNTIFS(Appointments!$D$6:$D$2005,D1167,Appointments!$F$6:$F$2005,"Done",Appointments!$M$6:$M$2005,"&gt;"&amp;M1167)=0,1,0),0)</f>
        <v/>
      </c>
      <c r="O1167">
        <f>IF(AND(F1167="Booked",M1167&lt;&gt;"",N(B1167)&gt;=TODAY()),IF(COUNTIFS(Appointments!$D$6:$D$2005,D1167,Appointments!$F$6:$F$2005,"Booked",Appointments!$B$6:$B$2005,"&gt;="&amp;TODAY(),Appointments!$M$6:$M$2005,"&lt;"&amp;M1167)=0,1,0),0)</f>
        <v/>
      </c>
    </row>
    <row r="1168">
      <c r="A1168" s="1" t="n"/>
      <c r="B1168" s="30" t="n">
        <v>46303</v>
      </c>
      <c r="C1168" s="31" t="n">
        <v>0.375</v>
      </c>
      <c r="D1168" s="32" t="inlineStr">
        <is>
          <t>Finn Price</t>
        </is>
      </c>
      <c r="E1168" s="32" t="inlineStr">
        <is>
          <t>Men's haircut</t>
        </is>
      </c>
      <c r="F1168" s="33" t="inlineStr">
        <is>
          <t>Booked</t>
        </is>
      </c>
      <c r="G1168" s="27">
        <f>IF(E1168="","",MAX(0,IFERROR(INDEX(Services!$C$6:$C$35,MATCH(E1168,Services!$B$6:$B$35,0)),0)-N(H1168)))</f>
        <v/>
      </c>
      <c r="H1168" s="34" t="n"/>
      <c r="I1168" s="34" t="n"/>
      <c r="J1168" s="33" t="n"/>
      <c r="K1168" s="28">
        <f>IF(OR(B1168="",F1168&lt;&gt;"Done",J1168="Package"),"",IF(N(G1168)-N(I1168)&gt;0,N(G1168)-N(I1168),""))</f>
        <v/>
      </c>
      <c r="L1168" s="32" t="n"/>
      <c r="M1168" s="1">
        <f>IF(OR(B1168="",D1168="",F1168="Cancelled"),"",B1168+N(C1168)+ROW()/10000000)</f>
        <v/>
      </c>
      <c r="N1168">
        <f>IF(AND(F1168="Done",M1168&lt;&gt;""),IF(COUNTIFS(Appointments!$D$6:$D$2005,D1168,Appointments!$F$6:$F$2005,"Done",Appointments!$M$6:$M$2005,"&gt;"&amp;M1168)=0,1,0),0)</f>
        <v/>
      </c>
      <c r="O1168">
        <f>IF(AND(F1168="Booked",M1168&lt;&gt;"",N(B1168)&gt;=TODAY()),IF(COUNTIFS(Appointments!$D$6:$D$2005,D1168,Appointments!$F$6:$F$2005,"Booked",Appointments!$B$6:$B$2005,"&gt;="&amp;TODAY(),Appointments!$M$6:$M$2005,"&lt;"&amp;M1168)=0,1,0),0)</f>
        <v/>
      </c>
    </row>
    <row r="1169">
      <c r="A1169" s="1" t="n"/>
      <c r="B1169" s="30" t="n">
        <v>46303</v>
      </c>
      <c r="C1169" s="31" t="n">
        <v>0.4027777777777778</v>
      </c>
      <c r="D1169" s="32" t="inlineStr">
        <is>
          <t>George Kelly</t>
        </is>
      </c>
      <c r="E1169" s="32" t="inlineStr">
        <is>
          <t>Men's haircut</t>
        </is>
      </c>
      <c r="F1169" s="33" t="inlineStr">
        <is>
          <t>Booked</t>
        </is>
      </c>
      <c r="G1169" s="27">
        <f>IF(E1169="","",MAX(0,IFERROR(INDEX(Services!$C$6:$C$35,MATCH(E1169,Services!$B$6:$B$35,0)),0)-N(H1169)))</f>
        <v/>
      </c>
      <c r="H1169" s="34" t="n"/>
      <c r="I1169" s="34" t="n"/>
      <c r="J1169" s="33" t="n"/>
      <c r="K1169" s="28">
        <f>IF(OR(B1169="",F1169&lt;&gt;"Done",J1169="Package"),"",IF(N(G1169)-N(I1169)&gt;0,N(G1169)-N(I1169),""))</f>
        <v/>
      </c>
      <c r="L1169" s="32" t="n"/>
      <c r="M1169" s="1">
        <f>IF(OR(B1169="",D1169="",F1169="Cancelled"),"",B1169+N(C1169)+ROW()/10000000)</f>
        <v/>
      </c>
      <c r="N1169">
        <f>IF(AND(F1169="Done",M1169&lt;&gt;""),IF(COUNTIFS(Appointments!$D$6:$D$2005,D1169,Appointments!$F$6:$F$2005,"Done",Appointments!$M$6:$M$2005,"&gt;"&amp;M1169)=0,1,0),0)</f>
        <v/>
      </c>
      <c r="O1169">
        <f>IF(AND(F1169="Booked",M1169&lt;&gt;"",N(B1169)&gt;=TODAY()),IF(COUNTIFS(Appointments!$D$6:$D$2005,D1169,Appointments!$F$6:$F$2005,"Booked",Appointments!$B$6:$B$2005,"&gt;="&amp;TODAY(),Appointments!$M$6:$M$2005,"&lt;"&amp;M1169)=0,1,0),0)</f>
        <v/>
      </c>
    </row>
    <row r="1170">
      <c r="A1170" s="1" t="n"/>
      <c r="B1170" s="30" t="n">
        <v>46303</v>
      </c>
      <c r="C1170" s="31" t="n">
        <v>0.4305555555555556</v>
      </c>
      <c r="D1170" s="32" t="inlineStr">
        <is>
          <t>Helen Mason</t>
        </is>
      </c>
      <c r="E1170" s="32" t="inlineStr">
        <is>
          <t>Blow dry</t>
        </is>
      </c>
      <c r="F1170" s="33" t="inlineStr">
        <is>
          <t>Booked</t>
        </is>
      </c>
      <c r="G1170" s="27">
        <f>IF(E1170="","",MAX(0,IFERROR(INDEX(Services!$C$6:$C$35,MATCH(E1170,Services!$B$6:$B$35,0)),0)-N(H1170)))</f>
        <v/>
      </c>
      <c r="H1170" s="34" t="n"/>
      <c r="I1170" s="34" t="n"/>
      <c r="J1170" s="33" t="n"/>
      <c r="K1170" s="28">
        <f>IF(OR(B1170="",F1170&lt;&gt;"Done",J1170="Package"),"",IF(N(G1170)-N(I1170)&gt;0,N(G1170)-N(I1170),""))</f>
        <v/>
      </c>
      <c r="L1170" s="32" t="n"/>
      <c r="M1170" s="1">
        <f>IF(OR(B1170="",D1170="",F1170="Cancelled"),"",B1170+N(C1170)+ROW()/10000000)</f>
        <v/>
      </c>
      <c r="N1170">
        <f>IF(AND(F1170="Done",M1170&lt;&gt;""),IF(COUNTIFS(Appointments!$D$6:$D$2005,D1170,Appointments!$F$6:$F$2005,"Done",Appointments!$M$6:$M$2005,"&gt;"&amp;M1170)=0,1,0),0)</f>
        <v/>
      </c>
      <c r="O1170">
        <f>IF(AND(F1170="Booked",M1170&lt;&gt;"",N(B1170)&gt;=TODAY()),IF(COUNTIFS(Appointments!$D$6:$D$2005,D1170,Appointments!$F$6:$F$2005,"Booked",Appointments!$B$6:$B$2005,"&gt;="&amp;TODAY(),Appointments!$M$6:$M$2005,"&lt;"&amp;M1170)=0,1,0),0)</f>
        <v/>
      </c>
    </row>
    <row r="1171">
      <c r="A1171" s="1" t="n"/>
      <c r="B1171" s="30" t="n">
        <v>46303</v>
      </c>
      <c r="C1171" s="31" t="n">
        <v>0.46875</v>
      </c>
      <c r="D1171" s="32" t="inlineStr">
        <is>
          <t>Julia Lewis</t>
        </is>
      </c>
      <c r="E1171" s="32" t="inlineStr">
        <is>
          <t>Women's haircut</t>
        </is>
      </c>
      <c r="F1171" s="33" t="inlineStr">
        <is>
          <t>Booked</t>
        </is>
      </c>
      <c r="G1171" s="27">
        <f>IF(E1171="","",MAX(0,IFERROR(INDEX(Services!$C$6:$C$35,MATCH(E1171,Services!$B$6:$B$35,0)),0)-N(H1171)))</f>
        <v/>
      </c>
      <c r="H1171" s="34" t="n"/>
      <c r="I1171" s="34" t="n"/>
      <c r="J1171" s="33" t="n"/>
      <c r="K1171" s="28">
        <f>IF(OR(B1171="",F1171&lt;&gt;"Done",J1171="Package"),"",IF(N(G1171)-N(I1171)&gt;0,N(G1171)-N(I1171),""))</f>
        <v/>
      </c>
      <c r="L1171" s="32" t="n"/>
      <c r="M1171" s="1">
        <f>IF(OR(B1171="",D1171="",F1171="Cancelled"),"",B1171+N(C1171)+ROW()/10000000)</f>
        <v/>
      </c>
      <c r="N1171">
        <f>IF(AND(F1171="Done",M1171&lt;&gt;""),IF(COUNTIFS(Appointments!$D$6:$D$2005,D1171,Appointments!$F$6:$F$2005,"Done",Appointments!$M$6:$M$2005,"&gt;"&amp;M1171)=0,1,0),0)</f>
        <v/>
      </c>
      <c r="O1171">
        <f>IF(AND(F1171="Booked",M1171&lt;&gt;"",N(B1171)&gt;=TODAY()),IF(COUNTIFS(Appointments!$D$6:$D$2005,D1171,Appointments!$F$6:$F$2005,"Booked",Appointments!$B$6:$B$2005,"&gt;="&amp;TODAY(),Appointments!$M$6:$M$2005,"&lt;"&amp;M1171)=0,1,0),0)</f>
        <v/>
      </c>
    </row>
    <row r="1172">
      <c r="A1172" s="1" t="n"/>
      <c r="B1172" s="30" t="n">
        <v>46303</v>
      </c>
      <c r="C1172" s="31" t="n">
        <v>0.5173611111111112</v>
      </c>
      <c r="D1172" s="32" t="inlineStr">
        <is>
          <t>Sophie Ellis</t>
        </is>
      </c>
      <c r="E1172" s="32" t="inlineStr">
        <is>
          <t>Women's haircut</t>
        </is>
      </c>
      <c r="F1172" s="33" t="inlineStr">
        <is>
          <t>Booked</t>
        </is>
      </c>
      <c r="G1172" s="27">
        <f>IF(E1172="","",MAX(0,IFERROR(INDEX(Services!$C$6:$C$35,MATCH(E1172,Services!$B$6:$B$35,0)),0)-N(H1172)))</f>
        <v/>
      </c>
      <c r="H1172" s="34" t="n"/>
      <c r="I1172" s="34" t="n"/>
      <c r="J1172" s="33" t="n"/>
      <c r="K1172" s="28">
        <f>IF(OR(B1172="",F1172&lt;&gt;"Done",J1172="Package"),"",IF(N(G1172)-N(I1172)&gt;0,N(G1172)-N(I1172),""))</f>
        <v/>
      </c>
      <c r="L1172" s="32" t="n"/>
      <c r="M1172" s="1">
        <f>IF(OR(B1172="",D1172="",F1172="Cancelled"),"",B1172+N(C1172)+ROW()/10000000)</f>
        <v/>
      </c>
      <c r="N1172">
        <f>IF(AND(F1172="Done",M1172&lt;&gt;""),IF(COUNTIFS(Appointments!$D$6:$D$2005,D1172,Appointments!$F$6:$F$2005,"Done",Appointments!$M$6:$M$2005,"&gt;"&amp;M1172)=0,1,0),0)</f>
        <v/>
      </c>
      <c r="O1172">
        <f>IF(AND(F1172="Booked",M1172&lt;&gt;"",N(B1172)&gt;=TODAY()),IF(COUNTIFS(Appointments!$D$6:$D$2005,D1172,Appointments!$F$6:$F$2005,"Booked",Appointments!$B$6:$B$2005,"&gt;="&amp;TODAY(),Appointments!$M$6:$M$2005,"&lt;"&amp;M1172)=0,1,0),0)</f>
        <v/>
      </c>
    </row>
    <row r="1173">
      <c r="A1173" s="1" t="n"/>
      <c r="B1173" s="30" t="n">
        <v>46303</v>
      </c>
      <c r="C1173" s="31" t="n">
        <v>0.5659722222222222</v>
      </c>
      <c r="D1173" s="32" t="inlineStr">
        <is>
          <t>Tina Baker</t>
        </is>
      </c>
      <c r="E1173" s="32" t="inlineStr">
        <is>
          <t>Colour</t>
        </is>
      </c>
      <c r="F1173" s="33" t="inlineStr">
        <is>
          <t>Booked</t>
        </is>
      </c>
      <c r="G1173" s="27">
        <f>IF(E1173="","",MAX(0,IFERROR(INDEX(Services!$C$6:$C$35,MATCH(E1173,Services!$B$6:$B$35,0)),0)-N(H1173)))</f>
        <v/>
      </c>
      <c r="H1173" s="34" t="n"/>
      <c r="I1173" s="34" t="n"/>
      <c r="J1173" s="33" t="n"/>
      <c r="K1173" s="28">
        <f>IF(OR(B1173="",F1173&lt;&gt;"Done",J1173="Package"),"",IF(N(G1173)-N(I1173)&gt;0,N(G1173)-N(I1173),""))</f>
        <v/>
      </c>
      <c r="L1173" s="32" t="n"/>
      <c r="M1173" s="1">
        <f>IF(OR(B1173="",D1173="",F1173="Cancelled"),"",B1173+N(C1173)+ROW()/10000000)</f>
        <v/>
      </c>
      <c r="N1173">
        <f>IF(AND(F1173="Done",M1173&lt;&gt;""),IF(COUNTIFS(Appointments!$D$6:$D$2005,D1173,Appointments!$F$6:$F$2005,"Done",Appointments!$M$6:$M$2005,"&gt;"&amp;M1173)=0,1,0),0)</f>
        <v/>
      </c>
      <c r="O1173">
        <f>IF(AND(F1173="Booked",M1173&lt;&gt;"",N(B1173)&gt;=TODAY()),IF(COUNTIFS(Appointments!$D$6:$D$2005,D1173,Appointments!$F$6:$F$2005,"Booked",Appointments!$B$6:$B$2005,"&gt;="&amp;TODAY(),Appointments!$M$6:$M$2005,"&lt;"&amp;M1173)=0,1,0),0)</f>
        <v/>
      </c>
    </row>
    <row r="1174">
      <c r="A1174" s="1" t="n"/>
      <c r="B1174" s="30" t="n">
        <v>46303</v>
      </c>
      <c r="C1174" s="31" t="n">
        <v>0.65625</v>
      </c>
      <c r="D1174" s="32" t="inlineStr">
        <is>
          <t>Tom Cole</t>
        </is>
      </c>
      <c r="E1174" s="32" t="inlineStr">
        <is>
          <t>Men's haircut</t>
        </is>
      </c>
      <c r="F1174" s="33" t="inlineStr">
        <is>
          <t>Booked</t>
        </is>
      </c>
      <c r="G1174" s="27">
        <f>IF(E1174="","",MAX(0,IFERROR(INDEX(Services!$C$6:$C$35,MATCH(E1174,Services!$B$6:$B$35,0)),0)-N(H1174)))</f>
        <v/>
      </c>
      <c r="H1174" s="34" t="n"/>
      <c r="I1174" s="34" t="n"/>
      <c r="J1174" s="33" t="n"/>
      <c r="K1174" s="28">
        <f>IF(OR(B1174="",F1174&lt;&gt;"Done",J1174="Package"),"",IF(N(G1174)-N(I1174)&gt;0,N(G1174)-N(I1174),""))</f>
        <v/>
      </c>
      <c r="L1174" s="32" t="n"/>
      <c r="M1174" s="1">
        <f>IF(OR(B1174="",D1174="",F1174="Cancelled"),"",B1174+N(C1174)+ROW()/10000000)</f>
        <v/>
      </c>
      <c r="N1174">
        <f>IF(AND(F1174="Done",M1174&lt;&gt;""),IF(COUNTIFS(Appointments!$D$6:$D$2005,D1174,Appointments!$F$6:$F$2005,"Done",Appointments!$M$6:$M$2005,"&gt;"&amp;M1174)=0,1,0),0)</f>
        <v/>
      </c>
      <c r="O1174">
        <f>IF(AND(F1174="Booked",M1174&lt;&gt;"",N(B1174)&gt;=TODAY()),IF(COUNTIFS(Appointments!$D$6:$D$2005,D1174,Appointments!$F$6:$F$2005,"Booked",Appointments!$B$6:$B$2005,"&gt;="&amp;TODAY(),Appointments!$M$6:$M$2005,"&lt;"&amp;M1174)=0,1,0),0)</f>
        <v/>
      </c>
    </row>
    <row r="1175">
      <c r="A1175" s="1" t="n"/>
      <c r="B1175" s="30" t="n">
        <v>46304</v>
      </c>
      <c r="C1175" s="31" t="n">
        <v>0.375</v>
      </c>
      <c r="D1175" s="32" t="inlineStr">
        <is>
          <t>Chris West</t>
        </is>
      </c>
      <c r="E1175" s="32" t="inlineStr">
        <is>
          <t>Men's haircut</t>
        </is>
      </c>
      <c r="F1175" s="33" t="inlineStr">
        <is>
          <t>Booked</t>
        </is>
      </c>
      <c r="G1175" s="27">
        <f>IF(E1175="","",MAX(0,IFERROR(INDEX(Services!$C$6:$C$35,MATCH(E1175,Services!$B$6:$B$35,0)),0)-N(H1175)))</f>
        <v/>
      </c>
      <c r="H1175" s="34" t="n"/>
      <c r="I1175" s="34" t="n"/>
      <c r="J1175" s="33" t="n"/>
      <c r="K1175" s="28">
        <f>IF(OR(B1175="",F1175&lt;&gt;"Done",J1175="Package"),"",IF(N(G1175)-N(I1175)&gt;0,N(G1175)-N(I1175),""))</f>
        <v/>
      </c>
      <c r="L1175" s="32" t="n"/>
      <c r="M1175" s="1">
        <f>IF(OR(B1175="",D1175="",F1175="Cancelled"),"",B1175+N(C1175)+ROW()/10000000)</f>
        <v/>
      </c>
      <c r="N1175">
        <f>IF(AND(F1175="Done",M1175&lt;&gt;""),IF(COUNTIFS(Appointments!$D$6:$D$2005,D1175,Appointments!$F$6:$F$2005,"Done",Appointments!$M$6:$M$2005,"&gt;"&amp;M1175)=0,1,0),0)</f>
        <v/>
      </c>
      <c r="O1175">
        <f>IF(AND(F1175="Booked",M1175&lt;&gt;"",N(B1175)&gt;=TODAY()),IF(COUNTIFS(Appointments!$D$6:$D$2005,D1175,Appointments!$F$6:$F$2005,"Booked",Appointments!$B$6:$B$2005,"&gt;="&amp;TODAY(),Appointments!$M$6:$M$2005,"&lt;"&amp;M1175)=0,1,0),0)</f>
        <v/>
      </c>
    </row>
    <row r="1176">
      <c r="A1176" s="1" t="n"/>
      <c r="B1176" s="30" t="n">
        <v>46304</v>
      </c>
      <c r="C1176" s="31" t="n">
        <v>0.4027777777777778</v>
      </c>
      <c r="D1176" s="32" t="inlineStr">
        <is>
          <t>Harry Hill</t>
        </is>
      </c>
      <c r="E1176" s="32" t="inlineStr">
        <is>
          <t>Men's haircut</t>
        </is>
      </c>
      <c r="F1176" s="33" t="inlineStr">
        <is>
          <t>Booked</t>
        </is>
      </c>
      <c r="G1176" s="27">
        <f>IF(E1176="","",MAX(0,IFERROR(INDEX(Services!$C$6:$C$35,MATCH(E1176,Services!$B$6:$B$35,0)),0)-N(H1176)))</f>
        <v/>
      </c>
      <c r="H1176" s="34" t="n"/>
      <c r="I1176" s="34" t="n"/>
      <c r="J1176" s="33" t="n"/>
      <c r="K1176" s="28">
        <f>IF(OR(B1176="",F1176&lt;&gt;"Done",J1176="Package"),"",IF(N(G1176)-N(I1176)&gt;0,N(G1176)-N(I1176),""))</f>
        <v/>
      </c>
      <c r="L1176" s="32" t="n"/>
      <c r="M1176" s="1">
        <f>IF(OR(B1176="",D1176="",F1176="Cancelled"),"",B1176+N(C1176)+ROW()/10000000)</f>
        <v/>
      </c>
      <c r="N1176">
        <f>IF(AND(F1176="Done",M1176&lt;&gt;""),IF(COUNTIFS(Appointments!$D$6:$D$2005,D1176,Appointments!$F$6:$F$2005,"Done",Appointments!$M$6:$M$2005,"&gt;"&amp;M1176)=0,1,0),0)</f>
        <v/>
      </c>
      <c r="O1176">
        <f>IF(AND(F1176="Booked",M1176&lt;&gt;"",N(B1176)&gt;=TODAY()),IF(COUNTIFS(Appointments!$D$6:$D$2005,D1176,Appointments!$F$6:$F$2005,"Booked",Appointments!$B$6:$B$2005,"&gt;="&amp;TODAY(),Appointments!$M$6:$M$2005,"&lt;"&amp;M1176)=0,1,0),0)</f>
        <v/>
      </c>
    </row>
    <row r="1177">
      <c r="A1177" s="1" t="n"/>
      <c r="B1177" s="30" t="n">
        <v>46304</v>
      </c>
      <c r="C1177" s="31" t="n">
        <v>0.4305555555555556</v>
      </c>
      <c r="D1177" s="32" t="inlineStr">
        <is>
          <t>Lily Young</t>
        </is>
      </c>
      <c r="E1177" s="32" t="inlineStr">
        <is>
          <t>Blow dry</t>
        </is>
      </c>
      <c r="F1177" s="33" t="inlineStr">
        <is>
          <t>Booked</t>
        </is>
      </c>
      <c r="G1177" s="27">
        <f>IF(E1177="","",MAX(0,IFERROR(INDEX(Services!$C$6:$C$35,MATCH(E1177,Services!$B$6:$B$35,0)),0)-N(H1177)))</f>
        <v/>
      </c>
      <c r="H1177" s="34" t="n"/>
      <c r="I1177" s="34" t="n"/>
      <c r="J1177" s="33" t="n"/>
      <c r="K1177" s="28">
        <f>IF(OR(B1177="",F1177&lt;&gt;"Done",J1177="Package"),"",IF(N(G1177)-N(I1177)&gt;0,N(G1177)-N(I1177),""))</f>
        <v/>
      </c>
      <c r="L1177" s="32" t="n"/>
      <c r="M1177" s="1">
        <f>IF(OR(B1177="",D1177="",F1177="Cancelled"),"",B1177+N(C1177)+ROW()/10000000)</f>
        <v/>
      </c>
      <c r="N1177">
        <f>IF(AND(F1177="Done",M1177&lt;&gt;""),IF(COUNTIFS(Appointments!$D$6:$D$2005,D1177,Appointments!$F$6:$F$2005,"Done",Appointments!$M$6:$M$2005,"&gt;"&amp;M1177)=0,1,0),0)</f>
        <v/>
      </c>
      <c r="O1177">
        <f>IF(AND(F1177="Booked",M1177&lt;&gt;"",N(B1177)&gt;=TODAY()),IF(COUNTIFS(Appointments!$D$6:$D$2005,D1177,Appointments!$F$6:$F$2005,"Booked",Appointments!$B$6:$B$2005,"&gt;="&amp;TODAY(),Appointments!$M$6:$M$2005,"&lt;"&amp;M1177)=0,1,0),0)</f>
        <v/>
      </c>
    </row>
    <row r="1178">
      <c r="A1178" s="1" t="n"/>
      <c r="B1178" s="30" t="n">
        <v>46304</v>
      </c>
      <c r="C1178" s="31" t="n">
        <v>0.46875</v>
      </c>
      <c r="D1178" s="32" t="inlineStr">
        <is>
          <t>Paula Mason</t>
        </is>
      </c>
      <c r="E1178" s="32" t="inlineStr">
        <is>
          <t>Toner</t>
        </is>
      </c>
      <c r="F1178" s="33" t="inlineStr">
        <is>
          <t>Booked</t>
        </is>
      </c>
      <c r="G1178" s="27">
        <f>IF(E1178="","",MAX(0,IFERROR(INDEX(Services!$C$6:$C$35,MATCH(E1178,Services!$B$6:$B$35,0)),0)-N(H1178)))</f>
        <v/>
      </c>
      <c r="H1178" s="34" t="n"/>
      <c r="I1178" s="34" t="n"/>
      <c r="J1178" s="33" t="n"/>
      <c r="K1178" s="28">
        <f>IF(OR(B1178="",F1178&lt;&gt;"Done",J1178="Package"),"",IF(N(G1178)-N(I1178)&gt;0,N(G1178)-N(I1178),""))</f>
        <v/>
      </c>
      <c r="L1178" s="32" t="n"/>
      <c r="M1178" s="1">
        <f>IF(OR(B1178="",D1178="",F1178="Cancelled"),"",B1178+N(C1178)+ROW()/10000000)</f>
        <v/>
      </c>
      <c r="N1178">
        <f>IF(AND(F1178="Done",M1178&lt;&gt;""),IF(COUNTIFS(Appointments!$D$6:$D$2005,D1178,Appointments!$F$6:$F$2005,"Done",Appointments!$M$6:$M$2005,"&gt;"&amp;M1178)=0,1,0),0)</f>
        <v/>
      </c>
      <c r="O1178">
        <f>IF(AND(F1178="Booked",M1178&lt;&gt;"",N(B1178)&gt;=TODAY()),IF(COUNTIFS(Appointments!$D$6:$D$2005,D1178,Appointments!$F$6:$F$2005,"Booked",Appointments!$B$6:$B$2005,"&gt;="&amp;TODAY(),Appointments!$M$6:$M$2005,"&lt;"&amp;M1178)=0,1,0),0)</f>
        <v/>
      </c>
    </row>
    <row r="1179">
      <c r="A1179" s="1" t="n"/>
      <c r="B1179" s="30" t="n">
        <v>46305</v>
      </c>
      <c r="C1179" s="31" t="n">
        <v>0.375</v>
      </c>
      <c r="D1179" s="32" t="inlineStr">
        <is>
          <t>Luke Walsh</t>
        </is>
      </c>
      <c r="E1179" s="32" t="inlineStr">
        <is>
          <t>Men's haircut</t>
        </is>
      </c>
      <c r="F1179" s="33" t="inlineStr">
        <is>
          <t>Booked</t>
        </is>
      </c>
      <c r="G1179" s="27">
        <f>IF(E1179="","",MAX(0,IFERROR(INDEX(Services!$C$6:$C$35,MATCH(E1179,Services!$B$6:$B$35,0)),0)-N(H1179)))</f>
        <v/>
      </c>
      <c r="H1179" s="34" t="n"/>
      <c r="I1179" s="34" t="n"/>
      <c r="J1179" s="33" t="n"/>
      <c r="K1179" s="28">
        <f>IF(OR(B1179="",F1179&lt;&gt;"Done",J1179="Package"),"",IF(N(G1179)-N(I1179)&gt;0,N(G1179)-N(I1179),""))</f>
        <v/>
      </c>
      <c r="L1179" s="32" t="n"/>
      <c r="M1179" s="1">
        <f>IF(OR(B1179="",D1179="",F1179="Cancelled"),"",B1179+N(C1179)+ROW()/10000000)</f>
        <v/>
      </c>
      <c r="N1179">
        <f>IF(AND(F1179="Done",M1179&lt;&gt;""),IF(COUNTIFS(Appointments!$D$6:$D$2005,D1179,Appointments!$F$6:$F$2005,"Done",Appointments!$M$6:$M$2005,"&gt;"&amp;M1179)=0,1,0),0)</f>
        <v/>
      </c>
      <c r="O1179">
        <f>IF(AND(F1179="Booked",M1179&lt;&gt;"",N(B1179)&gt;=TODAY()),IF(COUNTIFS(Appointments!$D$6:$D$2005,D1179,Appointments!$F$6:$F$2005,"Booked",Appointments!$B$6:$B$2005,"&gt;="&amp;TODAY(),Appointments!$M$6:$M$2005,"&lt;"&amp;M1179)=0,1,0),0)</f>
        <v/>
      </c>
    </row>
    <row r="1180">
      <c r="A1180" s="1" t="n"/>
      <c r="B1180" s="30" t="n">
        <v>46305</v>
      </c>
      <c r="C1180" s="31" t="n">
        <v>0.4027777777777778</v>
      </c>
      <c r="D1180" s="32" t="inlineStr">
        <is>
          <t>Owen Lewis</t>
        </is>
      </c>
      <c r="E1180" s="32" t="inlineStr">
        <is>
          <t>Men's haircut</t>
        </is>
      </c>
      <c r="F1180" s="33" t="inlineStr">
        <is>
          <t>Booked</t>
        </is>
      </c>
      <c r="G1180" s="27">
        <f>IF(E1180="","",MAX(0,IFERROR(INDEX(Services!$C$6:$C$35,MATCH(E1180,Services!$B$6:$B$35,0)),0)-N(H1180)))</f>
        <v/>
      </c>
      <c r="H1180" s="34" t="n"/>
      <c r="I1180" s="34" t="n"/>
      <c r="J1180" s="33" t="n"/>
      <c r="K1180" s="28">
        <f>IF(OR(B1180="",F1180&lt;&gt;"Done",J1180="Package"),"",IF(N(G1180)-N(I1180)&gt;0,N(G1180)-N(I1180),""))</f>
        <v/>
      </c>
      <c r="L1180" s="32" t="n"/>
      <c r="M1180" s="1">
        <f>IF(OR(B1180="",D1180="",F1180="Cancelled"),"",B1180+N(C1180)+ROW()/10000000)</f>
        <v/>
      </c>
      <c r="N1180">
        <f>IF(AND(F1180="Done",M1180&lt;&gt;""),IF(COUNTIFS(Appointments!$D$6:$D$2005,D1180,Appointments!$F$6:$F$2005,"Done",Appointments!$M$6:$M$2005,"&gt;"&amp;M1180)=0,1,0),0)</f>
        <v/>
      </c>
      <c r="O1180">
        <f>IF(AND(F1180="Booked",M1180&lt;&gt;"",N(B1180)&gt;=TODAY()),IF(COUNTIFS(Appointments!$D$6:$D$2005,D1180,Appointments!$F$6:$F$2005,"Booked",Appointments!$B$6:$B$2005,"&gt;="&amp;TODAY(),Appointments!$M$6:$M$2005,"&lt;"&amp;M1180)=0,1,0),0)</f>
        <v/>
      </c>
    </row>
    <row r="1181">
      <c r="A1181" s="1" t="n"/>
      <c r="B1181" s="30" t="n">
        <v>46305</v>
      </c>
      <c r="C1181" s="31" t="n">
        <v>0.4305555555555556</v>
      </c>
      <c r="D1181" s="32" t="inlineStr">
        <is>
          <t>Ryan Webb</t>
        </is>
      </c>
      <c r="E1181" s="32" t="inlineStr">
        <is>
          <t>Men's haircut</t>
        </is>
      </c>
      <c r="F1181" s="33" t="inlineStr">
        <is>
          <t>Booked</t>
        </is>
      </c>
      <c r="G1181" s="27">
        <f>IF(E1181="","",MAX(0,IFERROR(INDEX(Services!$C$6:$C$35,MATCH(E1181,Services!$B$6:$B$35,0)),0)-N(H1181)))</f>
        <v/>
      </c>
      <c r="H1181" s="34" t="n"/>
      <c r="I1181" s="34" t="n"/>
      <c r="J1181" s="33" t="n"/>
      <c r="K1181" s="28">
        <f>IF(OR(B1181="",F1181&lt;&gt;"Done",J1181="Package"),"",IF(N(G1181)-N(I1181)&gt;0,N(G1181)-N(I1181),""))</f>
        <v/>
      </c>
      <c r="L1181" s="32" t="n"/>
      <c r="M1181" s="1">
        <f>IF(OR(B1181="",D1181="",F1181="Cancelled"),"",B1181+N(C1181)+ROW()/10000000)</f>
        <v/>
      </c>
      <c r="N1181">
        <f>IF(AND(F1181="Done",M1181&lt;&gt;""),IF(COUNTIFS(Appointments!$D$6:$D$2005,D1181,Appointments!$F$6:$F$2005,"Done",Appointments!$M$6:$M$2005,"&gt;"&amp;M1181)=0,1,0),0)</f>
        <v/>
      </c>
      <c r="O1181">
        <f>IF(AND(F1181="Booked",M1181&lt;&gt;"",N(B1181)&gt;=TODAY()),IF(COUNTIFS(Appointments!$D$6:$D$2005,D1181,Appointments!$F$6:$F$2005,"Booked",Appointments!$B$6:$B$2005,"&gt;="&amp;TODAY(),Appointments!$M$6:$M$2005,"&lt;"&amp;M1181)=0,1,0),0)</f>
        <v/>
      </c>
    </row>
    <row r="1182">
      <c r="A1182" s="1" t="n"/>
      <c r="B1182" s="30" t="n">
        <v>46305</v>
      </c>
      <c r="C1182" s="31" t="n">
        <v>0.4583333333333333</v>
      </c>
      <c r="D1182" s="32" t="inlineStr">
        <is>
          <t>Tom Ellis</t>
        </is>
      </c>
      <c r="E1182" s="32" t="inlineStr">
        <is>
          <t>Men's haircut</t>
        </is>
      </c>
      <c r="F1182" s="33" t="inlineStr">
        <is>
          <t>Booked</t>
        </is>
      </c>
      <c r="G1182" s="27">
        <f>IF(E1182="","",MAX(0,IFERROR(INDEX(Services!$C$6:$C$35,MATCH(E1182,Services!$B$6:$B$35,0)),0)-N(H1182)))</f>
        <v/>
      </c>
      <c r="H1182" s="34" t="n"/>
      <c r="I1182" s="34" t="n"/>
      <c r="J1182" s="33" t="n"/>
      <c r="K1182" s="28">
        <f>IF(OR(B1182="",F1182&lt;&gt;"Done",J1182="Package"),"",IF(N(G1182)-N(I1182)&gt;0,N(G1182)-N(I1182),""))</f>
        <v/>
      </c>
      <c r="L1182" s="32" t="n"/>
      <c r="M1182" s="1">
        <f>IF(OR(B1182="",D1182="",F1182="Cancelled"),"",B1182+N(C1182)+ROW()/10000000)</f>
        <v/>
      </c>
      <c r="N1182">
        <f>IF(AND(F1182="Done",M1182&lt;&gt;""),IF(COUNTIFS(Appointments!$D$6:$D$2005,D1182,Appointments!$F$6:$F$2005,"Done",Appointments!$M$6:$M$2005,"&gt;"&amp;M1182)=0,1,0),0)</f>
        <v/>
      </c>
      <c r="O1182">
        <f>IF(AND(F1182="Booked",M1182&lt;&gt;"",N(B1182)&gt;=TODAY()),IF(COUNTIFS(Appointments!$D$6:$D$2005,D1182,Appointments!$F$6:$F$2005,"Booked",Appointments!$B$6:$B$2005,"&gt;="&amp;TODAY(),Appointments!$M$6:$M$2005,"&lt;"&amp;M1182)=0,1,0),0)</f>
        <v/>
      </c>
    </row>
    <row r="1183">
      <c r="A1183" s="1" t="n"/>
      <c r="B1183" s="30" t="n">
        <v>46305</v>
      </c>
      <c r="C1183" s="31" t="n">
        <v>0.4861111111111111</v>
      </c>
      <c r="D1183" s="32" t="inlineStr">
        <is>
          <t>Yara Haddad</t>
        </is>
      </c>
      <c r="E1183" s="32" t="inlineStr">
        <is>
          <t>Highlights</t>
        </is>
      </c>
      <c r="F1183" s="33" t="inlineStr">
        <is>
          <t>Booked</t>
        </is>
      </c>
      <c r="G1183" s="27">
        <f>IF(E1183="","",MAX(0,IFERROR(INDEX(Services!$C$6:$C$35,MATCH(E1183,Services!$B$6:$B$35,0)),0)-N(H1183)))</f>
        <v/>
      </c>
      <c r="H1183" s="34" t="n"/>
      <c r="I1183" s="34" t="n"/>
      <c r="J1183" s="33" t="n"/>
      <c r="K1183" s="28">
        <f>IF(OR(B1183="",F1183&lt;&gt;"Done",J1183="Package"),"",IF(N(G1183)-N(I1183)&gt;0,N(G1183)-N(I1183),""))</f>
        <v/>
      </c>
      <c r="L1183" s="32" t="n"/>
      <c r="M1183" s="1">
        <f>IF(OR(B1183="",D1183="",F1183="Cancelled"),"",B1183+N(C1183)+ROW()/10000000)</f>
        <v/>
      </c>
      <c r="N1183">
        <f>IF(AND(F1183="Done",M1183&lt;&gt;""),IF(COUNTIFS(Appointments!$D$6:$D$2005,D1183,Appointments!$F$6:$F$2005,"Done",Appointments!$M$6:$M$2005,"&gt;"&amp;M1183)=0,1,0),0)</f>
        <v/>
      </c>
      <c r="O1183">
        <f>IF(AND(F1183="Booked",M1183&lt;&gt;"",N(B1183)&gt;=TODAY()),IF(COUNTIFS(Appointments!$D$6:$D$2005,D1183,Appointments!$F$6:$F$2005,"Booked",Appointments!$B$6:$B$2005,"&gt;="&amp;TODAY(),Appointments!$M$6:$M$2005,"&lt;"&amp;M1183)=0,1,0),0)</f>
        <v/>
      </c>
    </row>
    <row r="1184">
      <c r="A1184" s="1" t="n"/>
      <c r="B1184" s="30" t="n">
        <v>46308</v>
      </c>
      <c r="C1184" s="31" t="n">
        <v>0.375</v>
      </c>
      <c r="D1184" s="32" t="inlineStr">
        <is>
          <t>Ben Carter</t>
        </is>
      </c>
      <c r="E1184" s="32" t="inlineStr">
        <is>
          <t>Men's haircut</t>
        </is>
      </c>
      <c r="F1184" s="33" t="inlineStr">
        <is>
          <t>Booked</t>
        </is>
      </c>
      <c r="G1184" s="27">
        <f>IF(E1184="","",MAX(0,IFERROR(INDEX(Services!$C$6:$C$35,MATCH(E1184,Services!$B$6:$B$35,0)),0)-N(H1184)))</f>
        <v/>
      </c>
      <c r="H1184" s="34" t="n"/>
      <c r="I1184" s="34" t="n"/>
      <c r="J1184" s="33" t="n"/>
      <c r="K1184" s="28">
        <f>IF(OR(B1184="",F1184&lt;&gt;"Done",J1184="Package"),"",IF(N(G1184)-N(I1184)&gt;0,N(G1184)-N(I1184),""))</f>
        <v/>
      </c>
      <c r="L1184" s="32" t="n"/>
      <c r="M1184" s="1">
        <f>IF(OR(B1184="",D1184="",F1184="Cancelled"),"",B1184+N(C1184)+ROW()/10000000)</f>
        <v/>
      </c>
      <c r="N1184">
        <f>IF(AND(F1184="Done",M1184&lt;&gt;""),IF(COUNTIFS(Appointments!$D$6:$D$2005,D1184,Appointments!$F$6:$F$2005,"Done",Appointments!$M$6:$M$2005,"&gt;"&amp;M1184)=0,1,0),0)</f>
        <v/>
      </c>
      <c r="O1184">
        <f>IF(AND(F1184="Booked",M1184&lt;&gt;"",N(B1184)&gt;=TODAY()),IF(COUNTIFS(Appointments!$D$6:$D$2005,D1184,Appointments!$F$6:$F$2005,"Booked",Appointments!$B$6:$B$2005,"&gt;="&amp;TODAY(),Appointments!$M$6:$M$2005,"&lt;"&amp;M1184)=0,1,0),0)</f>
        <v/>
      </c>
    </row>
    <row r="1185">
      <c r="A1185" s="1" t="n"/>
      <c r="B1185" s="30" t="n">
        <v>46308</v>
      </c>
      <c r="C1185" s="31" t="n">
        <v>0.4027777777777778</v>
      </c>
      <c r="D1185" s="32" t="inlineStr">
        <is>
          <t>Eli James</t>
        </is>
      </c>
      <c r="E1185" s="32" t="inlineStr">
        <is>
          <t>Men's haircut</t>
        </is>
      </c>
      <c r="F1185" s="33" t="inlineStr">
        <is>
          <t>Booked</t>
        </is>
      </c>
      <c r="G1185" s="27">
        <f>IF(E1185="","",MAX(0,IFERROR(INDEX(Services!$C$6:$C$35,MATCH(E1185,Services!$B$6:$B$35,0)),0)-N(H1185)))</f>
        <v/>
      </c>
      <c r="H1185" s="34" t="n"/>
      <c r="I1185" s="34" t="n"/>
      <c r="J1185" s="33" t="n"/>
      <c r="K1185" s="28">
        <f>IF(OR(B1185="",F1185&lt;&gt;"Done",J1185="Package"),"",IF(N(G1185)-N(I1185)&gt;0,N(G1185)-N(I1185),""))</f>
        <v/>
      </c>
      <c r="L1185" s="32" t="n"/>
      <c r="M1185" s="1">
        <f>IF(OR(B1185="",D1185="",F1185="Cancelled"),"",B1185+N(C1185)+ROW()/10000000)</f>
        <v/>
      </c>
      <c r="N1185">
        <f>IF(AND(F1185="Done",M1185&lt;&gt;""),IF(COUNTIFS(Appointments!$D$6:$D$2005,D1185,Appointments!$F$6:$F$2005,"Done",Appointments!$M$6:$M$2005,"&gt;"&amp;M1185)=0,1,0),0)</f>
        <v/>
      </c>
      <c r="O1185">
        <f>IF(AND(F1185="Booked",M1185&lt;&gt;"",N(B1185)&gt;=TODAY()),IF(COUNTIFS(Appointments!$D$6:$D$2005,D1185,Appointments!$F$6:$F$2005,"Booked",Appointments!$B$6:$B$2005,"&gt;="&amp;TODAY(),Appointments!$M$6:$M$2005,"&lt;"&amp;M1185)=0,1,0),0)</f>
        <v/>
      </c>
    </row>
    <row r="1186">
      <c r="A1186" s="1" t="n"/>
      <c r="B1186" s="30" t="n">
        <v>46308</v>
      </c>
      <c r="C1186" s="31" t="n">
        <v>0.4305555555555556</v>
      </c>
      <c r="D1186" s="32" t="inlineStr">
        <is>
          <t>Emma Johnson</t>
        </is>
      </c>
      <c r="E1186" s="32" t="inlineStr">
        <is>
          <t>Blow dry</t>
        </is>
      </c>
      <c r="F1186" s="33" t="inlineStr">
        <is>
          <t>Booked</t>
        </is>
      </c>
      <c r="G1186" s="27">
        <f>IF(E1186="","",MAX(0,IFERROR(INDEX(Services!$C$6:$C$35,MATCH(E1186,Services!$B$6:$B$35,0)),0)-N(H1186)))</f>
        <v/>
      </c>
      <c r="H1186" s="34" t="n"/>
      <c r="I1186" s="34" t="n"/>
      <c r="J1186" s="33" t="n"/>
      <c r="K1186" s="28">
        <f>IF(OR(B1186="",F1186&lt;&gt;"Done",J1186="Package"),"",IF(N(G1186)-N(I1186)&gt;0,N(G1186)-N(I1186),""))</f>
        <v/>
      </c>
      <c r="L1186" s="32" t="n"/>
      <c r="M1186" s="1">
        <f>IF(OR(B1186="",D1186="",F1186="Cancelled"),"",B1186+N(C1186)+ROW()/10000000)</f>
        <v/>
      </c>
      <c r="N1186">
        <f>IF(AND(F1186="Done",M1186&lt;&gt;""),IF(COUNTIFS(Appointments!$D$6:$D$2005,D1186,Appointments!$F$6:$F$2005,"Done",Appointments!$M$6:$M$2005,"&gt;"&amp;M1186)=0,1,0),0)</f>
        <v/>
      </c>
      <c r="O1186">
        <f>IF(AND(F1186="Booked",M1186&lt;&gt;"",N(B1186)&gt;=TODAY()),IF(COUNTIFS(Appointments!$D$6:$D$2005,D1186,Appointments!$F$6:$F$2005,"Booked",Appointments!$B$6:$B$2005,"&gt;="&amp;TODAY(),Appointments!$M$6:$M$2005,"&lt;"&amp;M1186)=0,1,0),0)</f>
        <v/>
      </c>
    </row>
    <row r="1187">
      <c r="A1187" s="1" t="n"/>
      <c r="B1187" s="30" t="n">
        <v>46308</v>
      </c>
      <c r="C1187" s="31" t="n">
        <v>0.46875</v>
      </c>
      <c r="D1187" s="32" t="inlineStr">
        <is>
          <t>Harry Cox</t>
        </is>
      </c>
      <c r="E1187" s="32" t="inlineStr">
        <is>
          <t>Men's haircut</t>
        </is>
      </c>
      <c r="F1187" s="33" t="inlineStr">
        <is>
          <t>Booked</t>
        </is>
      </c>
      <c r="G1187" s="27">
        <f>IF(E1187="","",MAX(0,IFERROR(INDEX(Services!$C$6:$C$35,MATCH(E1187,Services!$B$6:$B$35,0)),0)-N(H1187)))</f>
        <v/>
      </c>
      <c r="H1187" s="34" t="n"/>
      <c r="I1187" s="34" t="n"/>
      <c r="J1187" s="33" t="n"/>
      <c r="K1187" s="28">
        <f>IF(OR(B1187="",F1187&lt;&gt;"Done",J1187="Package"),"",IF(N(G1187)-N(I1187)&gt;0,N(G1187)-N(I1187),""))</f>
        <v/>
      </c>
      <c r="L1187" s="32" t="n"/>
      <c r="M1187" s="1">
        <f>IF(OR(B1187="",D1187="",F1187="Cancelled"),"",B1187+N(C1187)+ROW()/10000000)</f>
        <v/>
      </c>
      <c r="N1187">
        <f>IF(AND(F1187="Done",M1187&lt;&gt;""),IF(COUNTIFS(Appointments!$D$6:$D$2005,D1187,Appointments!$F$6:$F$2005,"Done",Appointments!$M$6:$M$2005,"&gt;"&amp;M1187)=0,1,0),0)</f>
        <v/>
      </c>
      <c r="O1187">
        <f>IF(AND(F1187="Booked",M1187&lt;&gt;"",N(B1187)&gt;=TODAY()),IF(COUNTIFS(Appointments!$D$6:$D$2005,D1187,Appointments!$F$6:$F$2005,"Booked",Appointments!$B$6:$B$2005,"&gt;="&amp;TODAY(),Appointments!$M$6:$M$2005,"&lt;"&amp;M1187)=0,1,0),0)</f>
        <v/>
      </c>
    </row>
    <row r="1188">
      <c r="A1188" s="1" t="n"/>
      <c r="B1188" s="30" t="n">
        <v>46308</v>
      </c>
      <c r="C1188" s="31" t="n">
        <v>0.4965277777777778</v>
      </c>
      <c r="D1188" s="32" t="inlineStr">
        <is>
          <t>Lucy Wood</t>
        </is>
      </c>
      <c r="E1188" s="32" t="inlineStr">
        <is>
          <t>Women's haircut</t>
        </is>
      </c>
      <c r="F1188" s="33" t="inlineStr">
        <is>
          <t>Booked</t>
        </is>
      </c>
      <c r="G1188" s="27">
        <f>IF(E1188="","",MAX(0,IFERROR(INDEX(Services!$C$6:$C$35,MATCH(E1188,Services!$B$6:$B$35,0)),0)-N(H1188)))</f>
        <v/>
      </c>
      <c r="H1188" s="34" t="n"/>
      <c r="I1188" s="34" t="n"/>
      <c r="J1188" s="33" t="n"/>
      <c r="K1188" s="28">
        <f>IF(OR(B1188="",F1188&lt;&gt;"Done",J1188="Package"),"",IF(N(G1188)-N(I1188)&gt;0,N(G1188)-N(I1188),""))</f>
        <v/>
      </c>
      <c r="L1188" s="32" t="n"/>
      <c r="M1188" s="1">
        <f>IF(OR(B1188="",D1188="",F1188="Cancelled"),"",B1188+N(C1188)+ROW()/10000000)</f>
        <v/>
      </c>
      <c r="N1188">
        <f>IF(AND(F1188="Done",M1188&lt;&gt;""),IF(COUNTIFS(Appointments!$D$6:$D$2005,D1188,Appointments!$F$6:$F$2005,"Done",Appointments!$M$6:$M$2005,"&gt;"&amp;M1188)=0,1,0),0)</f>
        <v/>
      </c>
      <c r="O1188">
        <f>IF(AND(F1188="Booked",M1188&lt;&gt;"",N(B1188)&gt;=TODAY()),IF(COUNTIFS(Appointments!$D$6:$D$2005,D1188,Appointments!$F$6:$F$2005,"Booked",Appointments!$B$6:$B$2005,"&gt;="&amp;TODAY(),Appointments!$M$6:$M$2005,"&lt;"&amp;M1188)=0,1,0),0)</f>
        <v/>
      </c>
    </row>
    <row r="1189">
      <c r="A1189" s="1" t="n"/>
      <c r="B1189" s="30" t="n">
        <v>46308</v>
      </c>
      <c r="C1189" s="31" t="n">
        <v>0.5451388888888888</v>
      </c>
      <c r="D1189" s="32" t="inlineStr">
        <is>
          <t>Mia Cole</t>
        </is>
      </c>
      <c r="E1189" s="32" t="inlineStr">
        <is>
          <t>Treatment</t>
        </is>
      </c>
      <c r="F1189" s="33" t="inlineStr">
        <is>
          <t>Booked</t>
        </is>
      </c>
      <c r="G1189" s="27">
        <f>IF(E1189="","",MAX(0,IFERROR(INDEX(Services!$C$6:$C$35,MATCH(E1189,Services!$B$6:$B$35,0)),0)-N(H1189)))</f>
        <v/>
      </c>
      <c r="H1189" s="34" t="n"/>
      <c r="I1189" s="34" t="n"/>
      <c r="J1189" s="33" t="n"/>
      <c r="K1189" s="28">
        <f>IF(OR(B1189="",F1189&lt;&gt;"Done",J1189="Package"),"",IF(N(G1189)-N(I1189)&gt;0,N(G1189)-N(I1189),""))</f>
        <v/>
      </c>
      <c r="L1189" s="32" t="n"/>
      <c r="M1189" s="1">
        <f>IF(OR(B1189="",D1189="",F1189="Cancelled"),"",B1189+N(C1189)+ROW()/10000000)</f>
        <v/>
      </c>
      <c r="N1189">
        <f>IF(AND(F1189="Done",M1189&lt;&gt;""),IF(COUNTIFS(Appointments!$D$6:$D$2005,D1189,Appointments!$F$6:$F$2005,"Done",Appointments!$M$6:$M$2005,"&gt;"&amp;M1189)=0,1,0),0)</f>
        <v/>
      </c>
      <c r="O1189">
        <f>IF(AND(F1189="Booked",M1189&lt;&gt;"",N(B1189)&gt;=TODAY()),IF(COUNTIFS(Appointments!$D$6:$D$2005,D1189,Appointments!$F$6:$F$2005,"Booked",Appointments!$B$6:$B$2005,"&gt;="&amp;TODAY(),Appointments!$M$6:$M$2005,"&lt;"&amp;M1189)=0,1,0),0)</f>
        <v/>
      </c>
    </row>
    <row r="1190">
      <c r="A1190" s="1" t="n"/>
      <c r="B1190" s="30" t="n">
        <v>46308</v>
      </c>
      <c r="C1190" s="31" t="n">
        <v>0.5729166666666666</v>
      </c>
      <c r="D1190" s="32" t="inlineStr">
        <is>
          <t>Tom Davies</t>
        </is>
      </c>
      <c r="E1190" s="32" t="inlineStr">
        <is>
          <t>Men's haircut</t>
        </is>
      </c>
      <c r="F1190" s="33" t="inlineStr">
        <is>
          <t>Booked</t>
        </is>
      </c>
      <c r="G1190" s="27">
        <f>IF(E1190="","",MAX(0,IFERROR(INDEX(Services!$C$6:$C$35,MATCH(E1190,Services!$B$6:$B$35,0)),0)-N(H1190)))</f>
        <v/>
      </c>
      <c r="H1190" s="34" t="n"/>
      <c r="I1190" s="34" t="n"/>
      <c r="J1190" s="33" t="n"/>
      <c r="K1190" s="28">
        <f>IF(OR(B1190="",F1190&lt;&gt;"Done",J1190="Package"),"",IF(N(G1190)-N(I1190)&gt;0,N(G1190)-N(I1190),""))</f>
        <v/>
      </c>
      <c r="L1190" s="32" t="n"/>
      <c r="M1190" s="1">
        <f>IF(OR(B1190="",D1190="",F1190="Cancelled"),"",B1190+N(C1190)+ROW()/10000000)</f>
        <v/>
      </c>
      <c r="N1190">
        <f>IF(AND(F1190="Done",M1190&lt;&gt;""),IF(COUNTIFS(Appointments!$D$6:$D$2005,D1190,Appointments!$F$6:$F$2005,"Done",Appointments!$M$6:$M$2005,"&gt;"&amp;M1190)=0,1,0),0)</f>
        <v/>
      </c>
      <c r="O1190">
        <f>IF(AND(F1190="Booked",M1190&lt;&gt;"",N(B1190)&gt;=TODAY()),IF(COUNTIFS(Appointments!$D$6:$D$2005,D1190,Appointments!$F$6:$F$2005,"Booked",Appointments!$B$6:$B$2005,"&gt;="&amp;TODAY(),Appointments!$M$6:$M$2005,"&lt;"&amp;M1190)=0,1,0),0)</f>
        <v/>
      </c>
    </row>
    <row r="1191">
      <c r="A1191" s="1" t="n"/>
      <c r="B1191" s="30" t="n">
        <v>46309</v>
      </c>
      <c r="C1191" s="31" t="n">
        <v>0.375</v>
      </c>
      <c r="D1191" s="32" t="inlineStr">
        <is>
          <t>Amy Hall</t>
        </is>
      </c>
      <c r="E1191" s="32" t="inlineStr">
        <is>
          <t>Blow dry</t>
        </is>
      </c>
      <c r="F1191" s="33" t="inlineStr">
        <is>
          <t>Booked</t>
        </is>
      </c>
      <c r="G1191" s="27">
        <f>IF(E1191="","",MAX(0,IFERROR(INDEX(Services!$C$6:$C$35,MATCH(E1191,Services!$B$6:$B$35,0)),0)-N(H1191)))</f>
        <v/>
      </c>
      <c r="H1191" s="34" t="n"/>
      <c r="I1191" s="34" t="n"/>
      <c r="J1191" s="33" t="n"/>
      <c r="K1191" s="28">
        <f>IF(OR(B1191="",F1191&lt;&gt;"Done",J1191="Package"),"",IF(N(G1191)-N(I1191)&gt;0,N(G1191)-N(I1191),""))</f>
        <v/>
      </c>
      <c r="L1191" s="32" t="n"/>
      <c r="M1191" s="1">
        <f>IF(OR(B1191="",D1191="",F1191="Cancelled"),"",B1191+N(C1191)+ROW()/10000000)</f>
        <v/>
      </c>
      <c r="N1191">
        <f>IF(AND(F1191="Done",M1191&lt;&gt;""),IF(COUNTIFS(Appointments!$D$6:$D$2005,D1191,Appointments!$F$6:$F$2005,"Done",Appointments!$M$6:$M$2005,"&gt;"&amp;M1191)=0,1,0),0)</f>
        <v/>
      </c>
      <c r="O1191">
        <f>IF(AND(F1191="Booked",M1191&lt;&gt;"",N(B1191)&gt;=TODAY()),IF(COUNTIFS(Appointments!$D$6:$D$2005,D1191,Appointments!$F$6:$F$2005,"Booked",Appointments!$B$6:$B$2005,"&gt;="&amp;TODAY(),Appointments!$M$6:$M$2005,"&lt;"&amp;M1191)=0,1,0),0)</f>
        <v/>
      </c>
    </row>
    <row r="1192">
      <c r="A1192" s="1" t="n"/>
      <c r="B1192" s="30" t="n">
        <v>46309</v>
      </c>
      <c r="C1192" s="31" t="n">
        <v>0.4131944444444444</v>
      </c>
      <c r="D1192" s="32" t="inlineStr">
        <is>
          <t>Ava Cox</t>
        </is>
      </c>
      <c r="E1192" s="32" t="inlineStr">
        <is>
          <t>Blow dry</t>
        </is>
      </c>
      <c r="F1192" s="33" t="inlineStr">
        <is>
          <t>Booked</t>
        </is>
      </c>
      <c r="G1192" s="27">
        <f>IF(E1192="","",MAX(0,IFERROR(INDEX(Services!$C$6:$C$35,MATCH(E1192,Services!$B$6:$B$35,0)),0)-N(H1192)))</f>
        <v/>
      </c>
      <c r="H1192" s="34" t="n"/>
      <c r="I1192" s="34" t="n"/>
      <c r="J1192" s="33" t="n"/>
      <c r="K1192" s="28">
        <f>IF(OR(B1192="",F1192&lt;&gt;"Done",J1192="Package"),"",IF(N(G1192)-N(I1192)&gt;0,N(G1192)-N(I1192),""))</f>
        <v/>
      </c>
      <c r="L1192" s="32" t="n"/>
      <c r="M1192" s="1">
        <f>IF(OR(B1192="",D1192="",F1192="Cancelled"),"",B1192+N(C1192)+ROW()/10000000)</f>
        <v/>
      </c>
      <c r="N1192">
        <f>IF(AND(F1192="Done",M1192&lt;&gt;""),IF(COUNTIFS(Appointments!$D$6:$D$2005,D1192,Appointments!$F$6:$F$2005,"Done",Appointments!$M$6:$M$2005,"&gt;"&amp;M1192)=0,1,0),0)</f>
        <v/>
      </c>
      <c r="O1192">
        <f>IF(AND(F1192="Booked",M1192&lt;&gt;"",N(B1192)&gt;=TODAY()),IF(COUNTIFS(Appointments!$D$6:$D$2005,D1192,Appointments!$F$6:$F$2005,"Booked",Appointments!$B$6:$B$2005,"&gt;="&amp;TODAY(),Appointments!$M$6:$M$2005,"&lt;"&amp;M1192)=0,1,0),0)</f>
        <v/>
      </c>
    </row>
    <row r="1193">
      <c r="A1193" s="1" t="n"/>
      <c r="B1193" s="30" t="n">
        <v>46309</v>
      </c>
      <c r="C1193" s="31" t="n">
        <v>0.4513888888888889</v>
      </c>
      <c r="D1193" s="32" t="inlineStr">
        <is>
          <t>Harry Owens</t>
        </is>
      </c>
      <c r="E1193" s="32" t="inlineStr">
        <is>
          <t>Men's haircut</t>
        </is>
      </c>
      <c r="F1193" s="33" t="inlineStr">
        <is>
          <t>Booked</t>
        </is>
      </c>
      <c r="G1193" s="27">
        <f>IF(E1193="","",MAX(0,IFERROR(INDEX(Services!$C$6:$C$35,MATCH(E1193,Services!$B$6:$B$35,0)),0)-N(H1193)))</f>
        <v/>
      </c>
      <c r="H1193" s="34" t="n"/>
      <c r="I1193" s="34" t="n"/>
      <c r="J1193" s="33" t="n"/>
      <c r="K1193" s="28">
        <f>IF(OR(B1193="",F1193&lt;&gt;"Done",J1193="Package"),"",IF(N(G1193)-N(I1193)&gt;0,N(G1193)-N(I1193),""))</f>
        <v/>
      </c>
      <c r="L1193" s="32" t="n"/>
      <c r="M1193" s="1">
        <f>IF(OR(B1193="",D1193="",F1193="Cancelled"),"",B1193+N(C1193)+ROW()/10000000)</f>
        <v/>
      </c>
      <c r="N1193">
        <f>IF(AND(F1193="Done",M1193&lt;&gt;""),IF(COUNTIFS(Appointments!$D$6:$D$2005,D1193,Appointments!$F$6:$F$2005,"Done",Appointments!$M$6:$M$2005,"&gt;"&amp;M1193)=0,1,0),0)</f>
        <v/>
      </c>
      <c r="O1193">
        <f>IF(AND(F1193="Booked",M1193&lt;&gt;"",N(B1193)&gt;=TODAY()),IF(COUNTIFS(Appointments!$D$6:$D$2005,D1193,Appointments!$F$6:$F$2005,"Booked",Appointments!$B$6:$B$2005,"&gt;="&amp;TODAY(),Appointments!$M$6:$M$2005,"&lt;"&amp;M1193)=0,1,0),0)</f>
        <v/>
      </c>
    </row>
    <row r="1194">
      <c r="A1194" s="1" t="n"/>
      <c r="B1194" s="30" t="n">
        <v>46309</v>
      </c>
      <c r="C1194" s="31" t="n">
        <v>0.4791666666666667</v>
      </c>
      <c r="D1194" s="32" t="inlineStr">
        <is>
          <t>Megan Morgan</t>
        </is>
      </c>
      <c r="E1194" s="32" t="inlineStr">
        <is>
          <t>Women's haircut</t>
        </is>
      </c>
      <c r="F1194" s="33" t="inlineStr">
        <is>
          <t>Booked</t>
        </is>
      </c>
      <c r="G1194" s="27">
        <f>IF(E1194="","",MAX(0,IFERROR(INDEX(Services!$C$6:$C$35,MATCH(E1194,Services!$B$6:$B$35,0)),0)-N(H1194)))</f>
        <v/>
      </c>
      <c r="H1194" s="34" t="n"/>
      <c r="I1194" s="34" t="n"/>
      <c r="J1194" s="33" t="n"/>
      <c r="K1194" s="28">
        <f>IF(OR(B1194="",F1194&lt;&gt;"Done",J1194="Package"),"",IF(N(G1194)-N(I1194)&gt;0,N(G1194)-N(I1194),""))</f>
        <v/>
      </c>
      <c r="L1194" s="32" t="n"/>
      <c r="M1194" s="1">
        <f>IF(OR(B1194="",D1194="",F1194="Cancelled"),"",B1194+N(C1194)+ROW()/10000000)</f>
        <v/>
      </c>
      <c r="N1194">
        <f>IF(AND(F1194="Done",M1194&lt;&gt;""),IF(COUNTIFS(Appointments!$D$6:$D$2005,D1194,Appointments!$F$6:$F$2005,"Done",Appointments!$M$6:$M$2005,"&gt;"&amp;M1194)=0,1,0),0)</f>
        <v/>
      </c>
      <c r="O1194">
        <f>IF(AND(F1194="Booked",M1194&lt;&gt;"",N(B1194)&gt;=TODAY()),IF(COUNTIFS(Appointments!$D$6:$D$2005,D1194,Appointments!$F$6:$F$2005,"Booked",Appointments!$B$6:$B$2005,"&gt;="&amp;TODAY(),Appointments!$M$6:$M$2005,"&lt;"&amp;M1194)=0,1,0),0)</f>
        <v/>
      </c>
    </row>
    <row r="1195">
      <c r="A1195" s="1" t="n"/>
      <c r="B1195" s="30" t="n">
        <v>46309</v>
      </c>
      <c r="C1195" s="31" t="n">
        <v>0.5277777777777778</v>
      </c>
      <c r="D1195" s="32" t="inlineStr">
        <is>
          <t>Nina Baker</t>
        </is>
      </c>
      <c r="E1195" s="32" t="inlineStr">
        <is>
          <t>Women's haircut</t>
        </is>
      </c>
      <c r="F1195" s="33" t="inlineStr">
        <is>
          <t>Booked</t>
        </is>
      </c>
      <c r="G1195" s="27">
        <f>IF(E1195="","",MAX(0,IFERROR(INDEX(Services!$C$6:$C$35,MATCH(E1195,Services!$B$6:$B$35,0)),0)-N(H1195)))</f>
        <v/>
      </c>
      <c r="H1195" s="34" t="n"/>
      <c r="I1195" s="34" t="n"/>
      <c r="J1195" s="33" t="n"/>
      <c r="K1195" s="28">
        <f>IF(OR(B1195="",F1195&lt;&gt;"Done",J1195="Package"),"",IF(N(G1195)-N(I1195)&gt;0,N(G1195)-N(I1195),""))</f>
        <v/>
      </c>
      <c r="L1195" s="32" t="n"/>
      <c r="M1195" s="1">
        <f>IF(OR(B1195="",D1195="",F1195="Cancelled"),"",B1195+N(C1195)+ROW()/10000000)</f>
        <v/>
      </c>
      <c r="N1195">
        <f>IF(AND(F1195="Done",M1195&lt;&gt;""),IF(COUNTIFS(Appointments!$D$6:$D$2005,D1195,Appointments!$F$6:$F$2005,"Done",Appointments!$M$6:$M$2005,"&gt;"&amp;M1195)=0,1,0),0)</f>
        <v/>
      </c>
      <c r="O1195">
        <f>IF(AND(F1195="Booked",M1195&lt;&gt;"",N(B1195)&gt;=TODAY()),IF(COUNTIFS(Appointments!$D$6:$D$2005,D1195,Appointments!$F$6:$F$2005,"Booked",Appointments!$B$6:$B$2005,"&gt;="&amp;TODAY(),Appointments!$M$6:$M$2005,"&lt;"&amp;M1195)=0,1,0),0)</f>
        <v/>
      </c>
    </row>
    <row r="1196">
      <c r="A1196" s="1" t="n"/>
      <c r="B1196" s="30" t="n">
        <v>46309</v>
      </c>
      <c r="C1196" s="31" t="n">
        <v>0.5763888888888888</v>
      </c>
      <c r="D1196" s="32" t="inlineStr">
        <is>
          <t>Pete Young</t>
        </is>
      </c>
      <c r="E1196" s="32" t="inlineStr">
        <is>
          <t>Men's haircut</t>
        </is>
      </c>
      <c r="F1196" s="33" t="inlineStr">
        <is>
          <t>Booked</t>
        </is>
      </c>
      <c r="G1196" s="27">
        <f>IF(E1196="","",MAX(0,IFERROR(INDEX(Services!$C$6:$C$35,MATCH(E1196,Services!$B$6:$B$35,0)),0)-N(H1196)))</f>
        <v/>
      </c>
      <c r="H1196" s="34" t="n"/>
      <c r="I1196" s="34" t="n"/>
      <c r="J1196" s="33" t="n"/>
      <c r="K1196" s="28">
        <f>IF(OR(B1196="",F1196&lt;&gt;"Done",J1196="Package"),"",IF(N(G1196)-N(I1196)&gt;0,N(G1196)-N(I1196),""))</f>
        <v/>
      </c>
      <c r="L1196" s="32" t="n"/>
      <c r="M1196" s="1">
        <f>IF(OR(B1196="",D1196="",F1196="Cancelled"),"",B1196+N(C1196)+ROW()/10000000)</f>
        <v/>
      </c>
      <c r="N1196">
        <f>IF(AND(F1196="Done",M1196&lt;&gt;""),IF(COUNTIFS(Appointments!$D$6:$D$2005,D1196,Appointments!$F$6:$F$2005,"Done",Appointments!$M$6:$M$2005,"&gt;"&amp;M1196)=0,1,0),0)</f>
        <v/>
      </c>
      <c r="O1196">
        <f>IF(AND(F1196="Booked",M1196&lt;&gt;"",N(B1196)&gt;=TODAY()),IF(COUNTIFS(Appointments!$D$6:$D$2005,D1196,Appointments!$F$6:$F$2005,"Booked",Appointments!$B$6:$B$2005,"&gt;="&amp;TODAY(),Appointments!$M$6:$M$2005,"&lt;"&amp;M1196)=0,1,0),0)</f>
        <v/>
      </c>
    </row>
    <row r="1197">
      <c r="A1197" s="1" t="n"/>
      <c r="B1197" s="30" t="n">
        <v>46309</v>
      </c>
      <c r="C1197" s="31" t="n">
        <v>0.6041666666666666</v>
      </c>
      <c r="D1197" s="32" t="inlineStr">
        <is>
          <t>Sara Stone</t>
        </is>
      </c>
      <c r="E1197" s="32" t="inlineStr">
        <is>
          <t>Blow dry</t>
        </is>
      </c>
      <c r="F1197" s="33" t="inlineStr">
        <is>
          <t>Booked</t>
        </is>
      </c>
      <c r="G1197" s="27">
        <f>IF(E1197="","",MAX(0,IFERROR(INDEX(Services!$C$6:$C$35,MATCH(E1197,Services!$B$6:$B$35,0)),0)-N(H1197)))</f>
        <v/>
      </c>
      <c r="H1197" s="34" t="n"/>
      <c r="I1197" s="34" t="n"/>
      <c r="J1197" s="33" t="n"/>
      <c r="K1197" s="28">
        <f>IF(OR(B1197="",F1197&lt;&gt;"Done",J1197="Package"),"",IF(N(G1197)-N(I1197)&gt;0,N(G1197)-N(I1197),""))</f>
        <v/>
      </c>
      <c r="L1197" s="32" t="n"/>
      <c r="M1197" s="1">
        <f>IF(OR(B1197="",D1197="",F1197="Cancelled"),"",B1197+N(C1197)+ROW()/10000000)</f>
        <v/>
      </c>
      <c r="N1197">
        <f>IF(AND(F1197="Done",M1197&lt;&gt;""),IF(COUNTIFS(Appointments!$D$6:$D$2005,D1197,Appointments!$F$6:$F$2005,"Done",Appointments!$M$6:$M$2005,"&gt;"&amp;M1197)=0,1,0),0)</f>
        <v/>
      </c>
      <c r="O1197">
        <f>IF(AND(F1197="Booked",M1197&lt;&gt;"",N(B1197)&gt;=TODAY()),IF(COUNTIFS(Appointments!$D$6:$D$2005,D1197,Appointments!$F$6:$F$2005,"Booked",Appointments!$B$6:$B$2005,"&gt;="&amp;TODAY(),Appointments!$M$6:$M$2005,"&lt;"&amp;M1197)=0,1,0),0)</f>
        <v/>
      </c>
    </row>
    <row r="1198">
      <c r="A1198" s="1" t="n"/>
      <c r="B1198" s="30" t="n">
        <v>46310</v>
      </c>
      <c r="C1198" s="31" t="n">
        <v>0.375</v>
      </c>
      <c r="D1198" s="32" t="inlineStr">
        <is>
          <t>Dina West</t>
        </is>
      </c>
      <c r="E1198" s="32" t="inlineStr">
        <is>
          <t>Women's haircut</t>
        </is>
      </c>
      <c r="F1198" s="33" t="inlineStr">
        <is>
          <t>Booked</t>
        </is>
      </c>
      <c r="G1198" s="27">
        <f>IF(E1198="","",MAX(0,IFERROR(INDEX(Services!$C$6:$C$35,MATCH(E1198,Services!$B$6:$B$35,0)),0)-N(H1198)))</f>
        <v/>
      </c>
      <c r="H1198" s="34" t="n"/>
      <c r="I1198" s="34" t="n"/>
      <c r="J1198" s="33" t="n"/>
      <c r="K1198" s="28">
        <f>IF(OR(B1198="",F1198&lt;&gt;"Done",J1198="Package"),"",IF(N(G1198)-N(I1198)&gt;0,N(G1198)-N(I1198),""))</f>
        <v/>
      </c>
      <c r="L1198" s="32" t="n"/>
      <c r="M1198" s="1">
        <f>IF(OR(B1198="",D1198="",F1198="Cancelled"),"",B1198+N(C1198)+ROW()/10000000)</f>
        <v/>
      </c>
      <c r="N1198">
        <f>IF(AND(F1198="Done",M1198&lt;&gt;""),IF(COUNTIFS(Appointments!$D$6:$D$2005,D1198,Appointments!$F$6:$F$2005,"Done",Appointments!$M$6:$M$2005,"&gt;"&amp;M1198)=0,1,0),0)</f>
        <v/>
      </c>
      <c r="O1198">
        <f>IF(AND(F1198="Booked",M1198&lt;&gt;"",N(B1198)&gt;=TODAY()),IF(COUNTIFS(Appointments!$D$6:$D$2005,D1198,Appointments!$F$6:$F$2005,"Booked",Appointments!$B$6:$B$2005,"&gt;="&amp;TODAY(),Appointments!$M$6:$M$2005,"&lt;"&amp;M1198)=0,1,0),0)</f>
        <v/>
      </c>
    </row>
    <row r="1199">
      <c r="A1199" s="1" t="n"/>
      <c r="B1199" s="30" t="n">
        <v>46310</v>
      </c>
      <c r="C1199" s="31" t="n">
        <v>0.4236111111111111</v>
      </c>
      <c r="D1199" s="32" t="inlineStr">
        <is>
          <t>Eva Brooks</t>
        </is>
      </c>
      <c r="E1199" s="32" t="inlineStr">
        <is>
          <t>Blow dry</t>
        </is>
      </c>
      <c r="F1199" s="33" t="inlineStr">
        <is>
          <t>Booked</t>
        </is>
      </c>
      <c r="G1199" s="27">
        <f>IF(E1199="","",MAX(0,IFERROR(INDEX(Services!$C$6:$C$35,MATCH(E1199,Services!$B$6:$B$35,0)),0)-N(H1199)))</f>
        <v/>
      </c>
      <c r="H1199" s="34" t="n"/>
      <c r="I1199" s="34" t="n"/>
      <c r="J1199" s="33" t="n"/>
      <c r="K1199" s="28">
        <f>IF(OR(B1199="",F1199&lt;&gt;"Done",J1199="Package"),"",IF(N(G1199)-N(I1199)&gt;0,N(G1199)-N(I1199),""))</f>
        <v/>
      </c>
      <c r="L1199" s="32" t="n"/>
      <c r="M1199" s="1">
        <f>IF(OR(B1199="",D1199="",F1199="Cancelled"),"",B1199+N(C1199)+ROW()/10000000)</f>
        <v/>
      </c>
      <c r="N1199">
        <f>IF(AND(F1199="Done",M1199&lt;&gt;""),IF(COUNTIFS(Appointments!$D$6:$D$2005,D1199,Appointments!$F$6:$F$2005,"Done",Appointments!$M$6:$M$2005,"&gt;"&amp;M1199)=0,1,0),0)</f>
        <v/>
      </c>
      <c r="O1199">
        <f>IF(AND(F1199="Booked",M1199&lt;&gt;"",N(B1199)&gt;=TODAY()),IF(COUNTIFS(Appointments!$D$6:$D$2005,D1199,Appointments!$F$6:$F$2005,"Booked",Appointments!$B$6:$B$2005,"&gt;="&amp;TODAY(),Appointments!$M$6:$M$2005,"&lt;"&amp;M1199)=0,1,0),0)</f>
        <v/>
      </c>
    </row>
    <row r="1200">
      <c r="A1200" s="1" t="n"/>
      <c r="B1200" s="30" t="n">
        <v>46310</v>
      </c>
      <c r="C1200" s="31" t="n">
        <v>0.4618055555555556</v>
      </c>
      <c r="D1200" s="32" t="inlineStr">
        <is>
          <t>Eva Mills</t>
        </is>
      </c>
      <c r="E1200" s="32" t="inlineStr">
        <is>
          <t>Blow dry</t>
        </is>
      </c>
      <c r="F1200" s="33" t="inlineStr">
        <is>
          <t>Booked</t>
        </is>
      </c>
      <c r="G1200" s="27">
        <f>IF(E1200="","",MAX(0,IFERROR(INDEX(Services!$C$6:$C$35,MATCH(E1200,Services!$B$6:$B$35,0)),0)-N(H1200)))</f>
        <v/>
      </c>
      <c r="H1200" s="34" t="n"/>
      <c r="I1200" s="34" t="n"/>
      <c r="J1200" s="33" t="n"/>
      <c r="K1200" s="28">
        <f>IF(OR(B1200="",F1200&lt;&gt;"Done",J1200="Package"),"",IF(N(G1200)-N(I1200)&gt;0,N(G1200)-N(I1200),""))</f>
        <v/>
      </c>
      <c r="L1200" s="32" t="n"/>
      <c r="M1200" s="1">
        <f>IF(OR(B1200="",D1200="",F1200="Cancelled"),"",B1200+N(C1200)+ROW()/10000000)</f>
        <v/>
      </c>
      <c r="N1200">
        <f>IF(AND(F1200="Done",M1200&lt;&gt;""),IF(COUNTIFS(Appointments!$D$6:$D$2005,D1200,Appointments!$F$6:$F$2005,"Done",Appointments!$M$6:$M$2005,"&gt;"&amp;M1200)=0,1,0),0)</f>
        <v/>
      </c>
      <c r="O1200">
        <f>IF(AND(F1200="Booked",M1200&lt;&gt;"",N(B1200)&gt;=TODAY()),IF(COUNTIFS(Appointments!$D$6:$D$2005,D1200,Appointments!$F$6:$F$2005,"Booked",Appointments!$B$6:$B$2005,"&gt;="&amp;TODAY(),Appointments!$M$6:$M$2005,"&lt;"&amp;M1200)=0,1,0),0)</f>
        <v/>
      </c>
    </row>
    <row r="1201">
      <c r="A1201" s="1" t="n"/>
      <c r="B1201" s="30" t="n">
        <v>46310</v>
      </c>
      <c r="C1201" s="31" t="n">
        <v>0.5</v>
      </c>
      <c r="D1201" s="32" t="inlineStr">
        <is>
          <t>Gina Reid</t>
        </is>
      </c>
      <c r="E1201" s="32" t="inlineStr">
        <is>
          <t>Highlights</t>
        </is>
      </c>
      <c r="F1201" s="33" t="inlineStr">
        <is>
          <t>Booked</t>
        </is>
      </c>
      <c r="G1201" s="27">
        <f>IF(E1201="","",MAX(0,IFERROR(INDEX(Services!$C$6:$C$35,MATCH(E1201,Services!$B$6:$B$35,0)),0)-N(H1201)))</f>
        <v/>
      </c>
      <c r="H1201" s="34" t="n"/>
      <c r="I1201" s="34" t="n"/>
      <c r="J1201" s="33" t="n"/>
      <c r="K1201" s="28">
        <f>IF(OR(B1201="",F1201&lt;&gt;"Done",J1201="Package"),"",IF(N(G1201)-N(I1201)&gt;0,N(G1201)-N(I1201),""))</f>
        <v/>
      </c>
      <c r="L1201" s="32" t="n"/>
      <c r="M1201" s="1">
        <f>IF(OR(B1201="",D1201="",F1201="Cancelled"),"",B1201+N(C1201)+ROW()/10000000)</f>
        <v/>
      </c>
      <c r="N1201">
        <f>IF(AND(F1201="Done",M1201&lt;&gt;""),IF(COUNTIFS(Appointments!$D$6:$D$2005,D1201,Appointments!$F$6:$F$2005,"Done",Appointments!$M$6:$M$2005,"&gt;"&amp;M1201)=0,1,0),0)</f>
        <v/>
      </c>
      <c r="O1201">
        <f>IF(AND(F1201="Booked",M1201&lt;&gt;"",N(B1201)&gt;=TODAY()),IF(COUNTIFS(Appointments!$D$6:$D$2005,D1201,Appointments!$F$6:$F$2005,"Booked",Appointments!$B$6:$B$2005,"&gt;="&amp;TODAY(),Appointments!$M$6:$M$2005,"&lt;"&amp;M1201)=0,1,0),0)</f>
        <v/>
      </c>
    </row>
    <row r="1202">
      <c r="A1202" s="1" t="n"/>
      <c r="B1202" s="30" t="n">
        <v>46310</v>
      </c>
      <c r="C1202" s="31" t="n">
        <v>0.6111111111111112</v>
      </c>
      <c r="D1202" s="32" t="inlineStr">
        <is>
          <t>Ian Hall</t>
        </is>
      </c>
      <c r="E1202" s="32" t="inlineStr">
        <is>
          <t>Men's haircut</t>
        </is>
      </c>
      <c r="F1202" s="33" t="inlineStr">
        <is>
          <t>Booked</t>
        </is>
      </c>
      <c r="G1202" s="27">
        <f>IF(E1202="","",MAX(0,IFERROR(INDEX(Services!$C$6:$C$35,MATCH(E1202,Services!$B$6:$B$35,0)),0)-N(H1202)))</f>
        <v/>
      </c>
      <c r="H1202" s="34" t="n"/>
      <c r="I1202" s="34" t="n"/>
      <c r="J1202" s="33" t="n"/>
      <c r="K1202" s="28">
        <f>IF(OR(B1202="",F1202&lt;&gt;"Done",J1202="Package"),"",IF(N(G1202)-N(I1202)&gt;0,N(G1202)-N(I1202),""))</f>
        <v/>
      </c>
      <c r="L1202" s="32" t="n"/>
      <c r="M1202" s="1">
        <f>IF(OR(B1202="",D1202="",F1202="Cancelled"),"",B1202+N(C1202)+ROW()/10000000)</f>
        <v/>
      </c>
      <c r="N1202">
        <f>IF(AND(F1202="Done",M1202&lt;&gt;""),IF(COUNTIFS(Appointments!$D$6:$D$2005,D1202,Appointments!$F$6:$F$2005,"Done",Appointments!$M$6:$M$2005,"&gt;"&amp;M1202)=0,1,0),0)</f>
        <v/>
      </c>
      <c r="O1202">
        <f>IF(AND(F1202="Booked",M1202&lt;&gt;"",N(B1202)&gt;=TODAY()),IF(COUNTIFS(Appointments!$D$6:$D$2005,D1202,Appointments!$F$6:$F$2005,"Booked",Appointments!$B$6:$B$2005,"&gt;="&amp;TODAY(),Appointments!$M$6:$M$2005,"&lt;"&amp;M1202)=0,1,0),0)</f>
        <v/>
      </c>
    </row>
    <row r="1203">
      <c r="A1203" s="1" t="n"/>
      <c r="B1203" s="30" t="n">
        <v>46310</v>
      </c>
      <c r="C1203" s="31" t="n">
        <v>0.6388888888888888</v>
      </c>
      <c r="D1203" s="32" t="inlineStr">
        <is>
          <t>Nina Cook</t>
        </is>
      </c>
      <c r="E1203" s="32" t="inlineStr">
        <is>
          <t>Highlights</t>
        </is>
      </c>
      <c r="F1203" s="33" t="inlineStr">
        <is>
          <t>Booked</t>
        </is>
      </c>
      <c r="G1203" s="27">
        <f>IF(E1203="","",MAX(0,IFERROR(INDEX(Services!$C$6:$C$35,MATCH(E1203,Services!$B$6:$B$35,0)),0)-N(H1203)))</f>
        <v/>
      </c>
      <c r="H1203" s="34" t="n"/>
      <c r="I1203" s="34" t="n"/>
      <c r="J1203" s="33" t="n"/>
      <c r="K1203" s="28">
        <f>IF(OR(B1203="",F1203&lt;&gt;"Done",J1203="Package"),"",IF(N(G1203)-N(I1203)&gt;0,N(G1203)-N(I1203),""))</f>
        <v/>
      </c>
      <c r="L1203" s="32" t="n"/>
      <c r="M1203" s="1">
        <f>IF(OR(B1203="",D1203="",F1203="Cancelled"),"",B1203+N(C1203)+ROW()/10000000)</f>
        <v/>
      </c>
      <c r="N1203">
        <f>IF(AND(F1203="Done",M1203&lt;&gt;""),IF(COUNTIFS(Appointments!$D$6:$D$2005,D1203,Appointments!$F$6:$F$2005,"Done",Appointments!$M$6:$M$2005,"&gt;"&amp;M1203)=0,1,0),0)</f>
        <v/>
      </c>
      <c r="O1203">
        <f>IF(AND(F1203="Booked",M1203&lt;&gt;"",N(B1203)&gt;=TODAY()),IF(COUNTIFS(Appointments!$D$6:$D$2005,D1203,Appointments!$F$6:$F$2005,"Booked",Appointments!$B$6:$B$2005,"&gt;="&amp;TODAY(),Appointments!$M$6:$M$2005,"&lt;"&amp;M1203)=0,1,0),0)</f>
        <v/>
      </c>
    </row>
    <row r="1204">
      <c r="A1204" s="1" t="n"/>
      <c r="B1204" s="30" t="n">
        <v>46311</v>
      </c>
      <c r="C1204" s="31" t="n">
        <v>0.375</v>
      </c>
      <c r="D1204" s="32" t="inlineStr">
        <is>
          <t>Anna Rossi</t>
        </is>
      </c>
      <c r="E1204" s="32" t="inlineStr">
        <is>
          <t>Colour</t>
        </is>
      </c>
      <c r="F1204" s="33" t="inlineStr">
        <is>
          <t>Booked</t>
        </is>
      </c>
      <c r="G1204" s="27">
        <f>IF(E1204="","",MAX(0,IFERROR(INDEX(Services!$C$6:$C$35,MATCH(E1204,Services!$B$6:$B$35,0)),0)-N(H1204)))</f>
        <v/>
      </c>
      <c r="H1204" s="34" t="n"/>
      <c r="I1204" s="34" t="n"/>
      <c r="J1204" s="33" t="n"/>
      <c r="K1204" s="28">
        <f>IF(OR(B1204="",F1204&lt;&gt;"Done",J1204="Package"),"",IF(N(G1204)-N(I1204)&gt;0,N(G1204)-N(I1204),""))</f>
        <v/>
      </c>
      <c r="L1204" s="32" t="n"/>
      <c r="M1204" s="1">
        <f>IF(OR(B1204="",D1204="",F1204="Cancelled"),"",B1204+N(C1204)+ROW()/10000000)</f>
        <v/>
      </c>
      <c r="N1204">
        <f>IF(AND(F1204="Done",M1204&lt;&gt;""),IF(COUNTIFS(Appointments!$D$6:$D$2005,D1204,Appointments!$F$6:$F$2005,"Done",Appointments!$M$6:$M$2005,"&gt;"&amp;M1204)=0,1,0),0)</f>
        <v/>
      </c>
      <c r="O1204">
        <f>IF(AND(F1204="Booked",M1204&lt;&gt;"",N(B1204)&gt;=TODAY()),IF(COUNTIFS(Appointments!$D$6:$D$2005,D1204,Appointments!$F$6:$F$2005,"Booked",Appointments!$B$6:$B$2005,"&gt;="&amp;TODAY(),Appointments!$M$6:$M$2005,"&lt;"&amp;M1204)=0,1,0),0)</f>
        <v/>
      </c>
    </row>
    <row r="1205">
      <c r="A1205" s="1" t="n"/>
      <c r="B1205" s="30" t="n">
        <v>46311</v>
      </c>
      <c r="C1205" s="31" t="n">
        <v>0.4652777777777778</v>
      </c>
      <c r="D1205" s="32" t="inlineStr">
        <is>
          <t>Eli Cole</t>
        </is>
      </c>
      <c r="E1205" s="32" t="inlineStr">
        <is>
          <t>Men's haircut</t>
        </is>
      </c>
      <c r="F1205" s="33" t="inlineStr">
        <is>
          <t>Booked</t>
        </is>
      </c>
      <c r="G1205" s="27">
        <f>IF(E1205="","",MAX(0,IFERROR(INDEX(Services!$C$6:$C$35,MATCH(E1205,Services!$B$6:$B$35,0)),0)-N(H1205)))</f>
        <v/>
      </c>
      <c r="H1205" s="34" t="n"/>
      <c r="I1205" s="34" t="n"/>
      <c r="J1205" s="33" t="n"/>
      <c r="K1205" s="28">
        <f>IF(OR(B1205="",F1205&lt;&gt;"Done",J1205="Package"),"",IF(N(G1205)-N(I1205)&gt;0,N(G1205)-N(I1205),""))</f>
        <v/>
      </c>
      <c r="L1205" s="32" t="n"/>
      <c r="M1205" s="1">
        <f>IF(OR(B1205="",D1205="",F1205="Cancelled"),"",B1205+N(C1205)+ROW()/10000000)</f>
        <v/>
      </c>
      <c r="N1205">
        <f>IF(AND(F1205="Done",M1205&lt;&gt;""),IF(COUNTIFS(Appointments!$D$6:$D$2005,D1205,Appointments!$F$6:$F$2005,"Done",Appointments!$M$6:$M$2005,"&gt;"&amp;M1205)=0,1,0),0)</f>
        <v/>
      </c>
      <c r="O1205">
        <f>IF(AND(F1205="Booked",M1205&lt;&gt;"",N(B1205)&gt;=TODAY()),IF(COUNTIFS(Appointments!$D$6:$D$2005,D1205,Appointments!$F$6:$F$2005,"Booked",Appointments!$B$6:$B$2005,"&gt;="&amp;TODAY(),Appointments!$M$6:$M$2005,"&lt;"&amp;M1205)=0,1,0),0)</f>
        <v/>
      </c>
    </row>
    <row r="1206">
      <c r="A1206" s="1" t="n"/>
      <c r="B1206" s="30" t="n">
        <v>46311</v>
      </c>
      <c r="C1206" s="31" t="n">
        <v>0.4930555555555556</v>
      </c>
      <c r="D1206" s="32" t="inlineStr">
        <is>
          <t>Luke Lewis</t>
        </is>
      </c>
      <c r="E1206" s="32" t="inlineStr">
        <is>
          <t>Men's haircut</t>
        </is>
      </c>
      <c r="F1206" s="33" t="inlineStr">
        <is>
          <t>Booked</t>
        </is>
      </c>
      <c r="G1206" s="27">
        <f>IF(E1206="","",MAX(0,IFERROR(INDEX(Services!$C$6:$C$35,MATCH(E1206,Services!$B$6:$B$35,0)),0)-N(H1206)))</f>
        <v/>
      </c>
      <c r="H1206" s="34" t="n"/>
      <c r="I1206" s="34" t="n"/>
      <c r="J1206" s="33" t="n"/>
      <c r="K1206" s="28">
        <f>IF(OR(B1206="",F1206&lt;&gt;"Done",J1206="Package"),"",IF(N(G1206)-N(I1206)&gt;0,N(G1206)-N(I1206),""))</f>
        <v/>
      </c>
      <c r="L1206" s="32" t="n"/>
      <c r="M1206" s="1">
        <f>IF(OR(B1206="",D1206="",F1206="Cancelled"),"",B1206+N(C1206)+ROW()/10000000)</f>
        <v/>
      </c>
      <c r="N1206">
        <f>IF(AND(F1206="Done",M1206&lt;&gt;""),IF(COUNTIFS(Appointments!$D$6:$D$2005,D1206,Appointments!$F$6:$F$2005,"Done",Appointments!$M$6:$M$2005,"&gt;"&amp;M1206)=0,1,0),0)</f>
        <v/>
      </c>
      <c r="O1206">
        <f>IF(AND(F1206="Booked",M1206&lt;&gt;"",N(B1206)&gt;=TODAY()),IF(COUNTIFS(Appointments!$D$6:$D$2005,D1206,Appointments!$F$6:$F$2005,"Booked",Appointments!$B$6:$B$2005,"&gt;="&amp;TODAY(),Appointments!$M$6:$M$2005,"&lt;"&amp;M1206)=0,1,0),0)</f>
        <v/>
      </c>
    </row>
    <row r="1207">
      <c r="A1207" s="1" t="n"/>
      <c r="B1207" s="30" t="n">
        <v>46312</v>
      </c>
      <c r="C1207" s="31" t="n">
        <v>0.375</v>
      </c>
      <c r="D1207" s="32" t="inlineStr">
        <is>
          <t>Harry Hall</t>
        </is>
      </c>
      <c r="E1207" s="32" t="inlineStr">
        <is>
          <t>Men's haircut</t>
        </is>
      </c>
      <c r="F1207" s="33" t="inlineStr">
        <is>
          <t>Booked</t>
        </is>
      </c>
      <c r="G1207" s="27">
        <f>IF(E1207="","",MAX(0,IFERROR(INDEX(Services!$C$6:$C$35,MATCH(E1207,Services!$B$6:$B$35,0)),0)-N(H1207)))</f>
        <v/>
      </c>
      <c r="H1207" s="34" t="n"/>
      <c r="I1207" s="34" t="n"/>
      <c r="J1207" s="33" t="n"/>
      <c r="K1207" s="28">
        <f>IF(OR(B1207="",F1207&lt;&gt;"Done",J1207="Package"),"",IF(N(G1207)-N(I1207)&gt;0,N(G1207)-N(I1207),""))</f>
        <v/>
      </c>
      <c r="L1207" s="32" t="n"/>
      <c r="M1207" s="1">
        <f>IF(OR(B1207="",D1207="",F1207="Cancelled"),"",B1207+N(C1207)+ROW()/10000000)</f>
        <v/>
      </c>
      <c r="N1207">
        <f>IF(AND(F1207="Done",M1207&lt;&gt;""),IF(COUNTIFS(Appointments!$D$6:$D$2005,D1207,Appointments!$F$6:$F$2005,"Done",Appointments!$M$6:$M$2005,"&gt;"&amp;M1207)=0,1,0),0)</f>
        <v/>
      </c>
      <c r="O1207">
        <f>IF(AND(F1207="Booked",M1207&lt;&gt;"",N(B1207)&gt;=TODAY()),IF(COUNTIFS(Appointments!$D$6:$D$2005,D1207,Appointments!$F$6:$F$2005,"Booked",Appointments!$B$6:$B$2005,"&gt;="&amp;TODAY(),Appointments!$M$6:$M$2005,"&lt;"&amp;M1207)=0,1,0),0)</f>
        <v/>
      </c>
    </row>
    <row r="1208">
      <c r="A1208" s="1" t="n"/>
      <c r="B1208" s="30" t="n">
        <v>46312</v>
      </c>
      <c r="C1208" s="31" t="n">
        <v>0.4027777777777778</v>
      </c>
      <c r="D1208" s="32" t="inlineStr">
        <is>
          <t>Jack Wilson</t>
        </is>
      </c>
      <c r="E1208" s="32" t="inlineStr">
        <is>
          <t>Men's haircut</t>
        </is>
      </c>
      <c r="F1208" s="33" t="inlineStr">
        <is>
          <t>Booked</t>
        </is>
      </c>
      <c r="G1208" s="27">
        <f>IF(E1208="","",MAX(0,IFERROR(INDEX(Services!$C$6:$C$35,MATCH(E1208,Services!$B$6:$B$35,0)),0)-N(H1208)))</f>
        <v/>
      </c>
      <c r="H1208" s="34" t="n"/>
      <c r="I1208" s="34" t="n"/>
      <c r="J1208" s="33" t="n"/>
      <c r="K1208" s="28">
        <f>IF(OR(B1208="",F1208&lt;&gt;"Done",J1208="Package"),"",IF(N(G1208)-N(I1208)&gt;0,N(G1208)-N(I1208),""))</f>
        <v/>
      </c>
      <c r="L1208" s="32" t="n"/>
      <c r="M1208" s="1">
        <f>IF(OR(B1208="",D1208="",F1208="Cancelled"),"",B1208+N(C1208)+ROW()/10000000)</f>
        <v/>
      </c>
      <c r="N1208">
        <f>IF(AND(F1208="Done",M1208&lt;&gt;""),IF(COUNTIFS(Appointments!$D$6:$D$2005,D1208,Appointments!$F$6:$F$2005,"Done",Appointments!$M$6:$M$2005,"&gt;"&amp;M1208)=0,1,0),0)</f>
        <v/>
      </c>
      <c r="O1208">
        <f>IF(AND(F1208="Booked",M1208&lt;&gt;"",N(B1208)&gt;=TODAY()),IF(COUNTIFS(Appointments!$D$6:$D$2005,D1208,Appointments!$F$6:$F$2005,"Booked",Appointments!$B$6:$B$2005,"&gt;="&amp;TODAY(),Appointments!$M$6:$M$2005,"&lt;"&amp;M1208)=0,1,0),0)</f>
        <v/>
      </c>
    </row>
    <row r="1209">
      <c r="A1209" s="1" t="n"/>
      <c r="B1209" s="30" t="n">
        <v>46312</v>
      </c>
      <c r="C1209" s="31" t="n">
        <v>0.4305555555555556</v>
      </c>
      <c r="D1209" s="32" t="inlineStr">
        <is>
          <t>Jon Gray</t>
        </is>
      </c>
      <c r="E1209" s="32" t="inlineStr">
        <is>
          <t>Men's haircut</t>
        </is>
      </c>
      <c r="F1209" s="33" t="inlineStr">
        <is>
          <t>Booked</t>
        </is>
      </c>
      <c r="G1209" s="27">
        <f>IF(E1209="","",MAX(0,IFERROR(INDEX(Services!$C$6:$C$35,MATCH(E1209,Services!$B$6:$B$35,0)),0)-N(H1209)))</f>
        <v/>
      </c>
      <c r="H1209" s="34" t="n"/>
      <c r="I1209" s="34" t="n"/>
      <c r="J1209" s="33" t="n"/>
      <c r="K1209" s="28">
        <f>IF(OR(B1209="",F1209&lt;&gt;"Done",J1209="Package"),"",IF(N(G1209)-N(I1209)&gt;0,N(G1209)-N(I1209),""))</f>
        <v/>
      </c>
      <c r="L1209" s="32" t="n"/>
      <c r="M1209" s="1">
        <f>IF(OR(B1209="",D1209="",F1209="Cancelled"),"",B1209+N(C1209)+ROW()/10000000)</f>
        <v/>
      </c>
      <c r="N1209">
        <f>IF(AND(F1209="Done",M1209&lt;&gt;""),IF(COUNTIFS(Appointments!$D$6:$D$2005,D1209,Appointments!$F$6:$F$2005,"Done",Appointments!$M$6:$M$2005,"&gt;"&amp;M1209)=0,1,0),0)</f>
        <v/>
      </c>
      <c r="O1209">
        <f>IF(AND(F1209="Booked",M1209&lt;&gt;"",N(B1209)&gt;=TODAY()),IF(COUNTIFS(Appointments!$D$6:$D$2005,D1209,Appointments!$F$6:$F$2005,"Booked",Appointments!$B$6:$B$2005,"&gt;="&amp;TODAY(),Appointments!$M$6:$M$2005,"&lt;"&amp;M1209)=0,1,0),0)</f>
        <v/>
      </c>
    </row>
    <row r="1210">
      <c r="A1210" s="1" t="n"/>
      <c r="B1210" s="30" t="n">
        <v>46312</v>
      </c>
      <c r="C1210" s="31" t="n">
        <v>0.4583333333333333</v>
      </c>
      <c r="D1210" s="32" t="inlineStr">
        <is>
          <t>Tina Cook</t>
        </is>
      </c>
      <c r="E1210" s="32" t="inlineStr">
        <is>
          <t>Women's haircut</t>
        </is>
      </c>
      <c r="F1210" s="33" t="inlineStr">
        <is>
          <t>Booked</t>
        </is>
      </c>
      <c r="G1210" s="27">
        <f>IF(E1210="","",MAX(0,IFERROR(INDEX(Services!$C$6:$C$35,MATCH(E1210,Services!$B$6:$B$35,0)),0)-N(H1210)))</f>
        <v/>
      </c>
      <c r="H1210" s="34" t="n"/>
      <c r="I1210" s="34" t="n"/>
      <c r="J1210" s="33" t="n"/>
      <c r="K1210" s="28">
        <f>IF(OR(B1210="",F1210&lt;&gt;"Done",J1210="Package"),"",IF(N(G1210)-N(I1210)&gt;0,N(G1210)-N(I1210),""))</f>
        <v/>
      </c>
      <c r="L1210" s="32" t="n"/>
      <c r="M1210" s="1">
        <f>IF(OR(B1210="",D1210="",F1210="Cancelled"),"",B1210+N(C1210)+ROW()/10000000)</f>
        <v/>
      </c>
      <c r="N1210">
        <f>IF(AND(F1210="Done",M1210&lt;&gt;""),IF(COUNTIFS(Appointments!$D$6:$D$2005,D1210,Appointments!$F$6:$F$2005,"Done",Appointments!$M$6:$M$2005,"&gt;"&amp;M1210)=0,1,0),0)</f>
        <v/>
      </c>
      <c r="O1210">
        <f>IF(AND(F1210="Booked",M1210&lt;&gt;"",N(B1210)&gt;=TODAY()),IF(COUNTIFS(Appointments!$D$6:$D$2005,D1210,Appointments!$F$6:$F$2005,"Booked",Appointments!$B$6:$B$2005,"&gt;="&amp;TODAY(),Appointments!$M$6:$M$2005,"&lt;"&amp;M1210)=0,1,0),0)</f>
        <v/>
      </c>
    </row>
    <row r="1211">
      <c r="A1211" s="1" t="n"/>
      <c r="B1211" s="30" t="n">
        <v>46315</v>
      </c>
      <c r="C1211" s="31" t="n">
        <v>0.375</v>
      </c>
      <c r="D1211" s="32" t="inlineStr">
        <is>
          <t>Amy Kelly</t>
        </is>
      </c>
      <c r="E1211" s="32" t="inlineStr">
        <is>
          <t>Women's haircut</t>
        </is>
      </c>
      <c r="F1211" s="33" t="inlineStr">
        <is>
          <t>Booked</t>
        </is>
      </c>
      <c r="G1211" s="27">
        <f>IF(E1211="","",MAX(0,IFERROR(INDEX(Services!$C$6:$C$35,MATCH(E1211,Services!$B$6:$B$35,0)),0)-N(H1211)))</f>
        <v/>
      </c>
      <c r="H1211" s="34" t="n"/>
      <c r="I1211" s="34" t="n"/>
      <c r="J1211" s="33" t="n"/>
      <c r="K1211" s="28">
        <f>IF(OR(B1211="",F1211&lt;&gt;"Done",J1211="Package"),"",IF(N(G1211)-N(I1211)&gt;0,N(G1211)-N(I1211),""))</f>
        <v/>
      </c>
      <c r="L1211" s="32" t="n"/>
      <c r="M1211" s="1">
        <f>IF(OR(B1211="",D1211="",F1211="Cancelled"),"",B1211+N(C1211)+ROW()/10000000)</f>
        <v/>
      </c>
      <c r="N1211">
        <f>IF(AND(F1211="Done",M1211&lt;&gt;""),IF(COUNTIFS(Appointments!$D$6:$D$2005,D1211,Appointments!$F$6:$F$2005,"Done",Appointments!$M$6:$M$2005,"&gt;"&amp;M1211)=0,1,0),0)</f>
        <v/>
      </c>
      <c r="O1211">
        <f>IF(AND(F1211="Booked",M1211&lt;&gt;"",N(B1211)&gt;=TODAY()),IF(COUNTIFS(Appointments!$D$6:$D$2005,D1211,Appointments!$F$6:$F$2005,"Booked",Appointments!$B$6:$B$2005,"&gt;="&amp;TODAY(),Appointments!$M$6:$M$2005,"&lt;"&amp;M1211)=0,1,0),0)</f>
        <v/>
      </c>
    </row>
    <row r="1212">
      <c r="A1212" s="1" t="n"/>
      <c r="B1212" s="30" t="n">
        <v>46315</v>
      </c>
      <c r="C1212" s="31" t="n">
        <v>0.4236111111111111</v>
      </c>
      <c r="D1212" s="32" t="inlineStr">
        <is>
          <t>Finn Wood</t>
        </is>
      </c>
      <c r="E1212" s="32" t="inlineStr">
        <is>
          <t>Men's haircut</t>
        </is>
      </c>
      <c r="F1212" s="33" t="inlineStr">
        <is>
          <t>Booked</t>
        </is>
      </c>
      <c r="G1212" s="27">
        <f>IF(E1212="","",MAX(0,IFERROR(INDEX(Services!$C$6:$C$35,MATCH(E1212,Services!$B$6:$B$35,0)),0)-N(H1212)))</f>
        <v/>
      </c>
      <c r="H1212" s="34" t="n"/>
      <c r="I1212" s="34" t="n"/>
      <c r="J1212" s="33" t="n"/>
      <c r="K1212" s="28">
        <f>IF(OR(B1212="",F1212&lt;&gt;"Done",J1212="Package"),"",IF(N(G1212)-N(I1212)&gt;0,N(G1212)-N(I1212),""))</f>
        <v/>
      </c>
      <c r="L1212" s="32" t="n"/>
      <c r="M1212" s="1">
        <f>IF(OR(B1212="",D1212="",F1212="Cancelled"),"",B1212+N(C1212)+ROW()/10000000)</f>
        <v/>
      </c>
      <c r="N1212">
        <f>IF(AND(F1212="Done",M1212&lt;&gt;""),IF(COUNTIFS(Appointments!$D$6:$D$2005,D1212,Appointments!$F$6:$F$2005,"Done",Appointments!$M$6:$M$2005,"&gt;"&amp;M1212)=0,1,0),0)</f>
        <v/>
      </c>
      <c r="O1212">
        <f>IF(AND(F1212="Booked",M1212&lt;&gt;"",N(B1212)&gt;=TODAY()),IF(COUNTIFS(Appointments!$D$6:$D$2005,D1212,Appointments!$F$6:$F$2005,"Booked",Appointments!$B$6:$B$2005,"&gt;="&amp;TODAY(),Appointments!$M$6:$M$2005,"&lt;"&amp;M1212)=0,1,0),0)</f>
        <v/>
      </c>
    </row>
    <row r="1213">
      <c r="A1213" s="1" t="n"/>
      <c r="B1213" s="30" t="n">
        <v>46315</v>
      </c>
      <c r="C1213" s="31" t="n">
        <v>0.4513888888888889</v>
      </c>
      <c r="D1213" s="32" t="inlineStr">
        <is>
          <t>Luke Hall</t>
        </is>
      </c>
      <c r="E1213" s="32" t="inlineStr">
        <is>
          <t>Men's haircut</t>
        </is>
      </c>
      <c r="F1213" s="33" t="inlineStr">
        <is>
          <t>Booked</t>
        </is>
      </c>
      <c r="G1213" s="27">
        <f>IF(E1213="","",MAX(0,IFERROR(INDEX(Services!$C$6:$C$35,MATCH(E1213,Services!$B$6:$B$35,0)),0)-N(H1213)))</f>
        <v/>
      </c>
      <c r="H1213" s="34" t="n"/>
      <c r="I1213" s="34" t="n"/>
      <c r="J1213" s="33" t="n"/>
      <c r="K1213" s="28">
        <f>IF(OR(B1213="",F1213&lt;&gt;"Done",J1213="Package"),"",IF(N(G1213)-N(I1213)&gt;0,N(G1213)-N(I1213),""))</f>
        <v/>
      </c>
      <c r="L1213" s="32" t="n"/>
      <c r="M1213" s="1">
        <f>IF(OR(B1213="",D1213="",F1213="Cancelled"),"",B1213+N(C1213)+ROW()/10000000)</f>
        <v/>
      </c>
      <c r="N1213">
        <f>IF(AND(F1213="Done",M1213&lt;&gt;""),IF(COUNTIFS(Appointments!$D$6:$D$2005,D1213,Appointments!$F$6:$F$2005,"Done",Appointments!$M$6:$M$2005,"&gt;"&amp;M1213)=0,1,0),0)</f>
        <v/>
      </c>
      <c r="O1213">
        <f>IF(AND(F1213="Booked",M1213&lt;&gt;"",N(B1213)&gt;=TODAY()),IF(COUNTIFS(Appointments!$D$6:$D$2005,D1213,Appointments!$F$6:$F$2005,"Booked",Appointments!$B$6:$B$2005,"&gt;="&amp;TODAY(),Appointments!$M$6:$M$2005,"&lt;"&amp;M1213)=0,1,0),0)</f>
        <v/>
      </c>
    </row>
    <row r="1214">
      <c r="A1214" s="1" t="n"/>
      <c r="B1214" s="30" t="n">
        <v>46315</v>
      </c>
      <c r="C1214" s="31" t="n">
        <v>0.4791666666666667</v>
      </c>
      <c r="D1214" s="32" t="inlineStr">
        <is>
          <t>Ryan Adams</t>
        </is>
      </c>
      <c r="E1214" s="32" t="inlineStr">
        <is>
          <t>Men's haircut</t>
        </is>
      </c>
      <c r="F1214" s="33" t="inlineStr">
        <is>
          <t>Booked</t>
        </is>
      </c>
      <c r="G1214" s="27">
        <f>IF(E1214="","",MAX(0,IFERROR(INDEX(Services!$C$6:$C$35,MATCH(E1214,Services!$B$6:$B$35,0)),0)-N(H1214)))</f>
        <v/>
      </c>
      <c r="H1214" s="34" t="n"/>
      <c r="I1214" s="34" t="n"/>
      <c r="J1214" s="33" t="n"/>
      <c r="K1214" s="28">
        <f>IF(OR(B1214="",F1214&lt;&gt;"Done",J1214="Package"),"",IF(N(G1214)-N(I1214)&gt;0,N(G1214)-N(I1214),""))</f>
        <v/>
      </c>
      <c r="L1214" s="32" t="n"/>
      <c r="M1214" s="1">
        <f>IF(OR(B1214="",D1214="",F1214="Cancelled"),"",B1214+N(C1214)+ROW()/10000000)</f>
        <v/>
      </c>
      <c r="N1214">
        <f>IF(AND(F1214="Done",M1214&lt;&gt;""),IF(COUNTIFS(Appointments!$D$6:$D$2005,D1214,Appointments!$F$6:$F$2005,"Done",Appointments!$M$6:$M$2005,"&gt;"&amp;M1214)=0,1,0),0)</f>
        <v/>
      </c>
      <c r="O1214">
        <f>IF(AND(F1214="Booked",M1214&lt;&gt;"",N(B1214)&gt;=TODAY()),IF(COUNTIFS(Appointments!$D$6:$D$2005,D1214,Appointments!$F$6:$F$2005,"Booked",Appointments!$B$6:$B$2005,"&gt;="&amp;TODAY(),Appointments!$M$6:$M$2005,"&lt;"&amp;M1214)=0,1,0),0)</f>
        <v/>
      </c>
    </row>
    <row r="1215">
      <c r="A1215" s="1" t="n"/>
      <c r="B1215" s="30" t="n">
        <v>46315</v>
      </c>
      <c r="C1215" s="31" t="n">
        <v>0.5069444444444444</v>
      </c>
      <c r="D1215" s="32" t="inlineStr">
        <is>
          <t>Wendy Scott</t>
        </is>
      </c>
      <c r="E1215" s="32" t="inlineStr">
        <is>
          <t>Women's haircut</t>
        </is>
      </c>
      <c r="F1215" s="33" t="inlineStr">
        <is>
          <t>Booked</t>
        </is>
      </c>
      <c r="G1215" s="27">
        <f>IF(E1215="","",MAX(0,IFERROR(INDEX(Services!$C$6:$C$35,MATCH(E1215,Services!$B$6:$B$35,0)),0)-N(H1215)))</f>
        <v/>
      </c>
      <c r="H1215" s="34" t="n"/>
      <c r="I1215" s="34" t="n"/>
      <c r="J1215" s="33" t="n"/>
      <c r="K1215" s="28">
        <f>IF(OR(B1215="",F1215&lt;&gt;"Done",J1215="Package"),"",IF(N(G1215)-N(I1215)&gt;0,N(G1215)-N(I1215),""))</f>
        <v/>
      </c>
      <c r="L1215" s="32" t="n"/>
      <c r="M1215" s="1">
        <f>IF(OR(B1215="",D1215="",F1215="Cancelled"),"",B1215+N(C1215)+ROW()/10000000)</f>
        <v/>
      </c>
      <c r="N1215">
        <f>IF(AND(F1215="Done",M1215&lt;&gt;""),IF(COUNTIFS(Appointments!$D$6:$D$2005,D1215,Appointments!$F$6:$F$2005,"Done",Appointments!$M$6:$M$2005,"&gt;"&amp;M1215)=0,1,0),0)</f>
        <v/>
      </c>
      <c r="O1215">
        <f>IF(AND(F1215="Booked",M1215&lt;&gt;"",N(B1215)&gt;=TODAY()),IF(COUNTIFS(Appointments!$D$6:$D$2005,D1215,Appointments!$F$6:$F$2005,"Booked",Appointments!$B$6:$B$2005,"&gt;="&amp;TODAY(),Appointments!$M$6:$M$2005,"&lt;"&amp;M1215)=0,1,0),0)</f>
        <v/>
      </c>
    </row>
    <row r="1216">
      <c r="A1216" s="1" t="n"/>
      <c r="B1216" s="30" t="n"/>
      <c r="C1216" s="31" t="n"/>
      <c r="D1216" s="32" t="n"/>
      <c r="E1216" s="32" t="n"/>
      <c r="F1216" s="33" t="n"/>
      <c r="G1216" s="27">
        <f>IF(E1216="","",MAX(0,IFERROR(INDEX(Services!$C$6:$C$35,MATCH(E1216,Services!$B$6:$B$35,0)),0)-N(H1216)))</f>
        <v/>
      </c>
      <c r="H1216" s="34" t="n"/>
      <c r="I1216" s="34" t="n"/>
      <c r="J1216" s="33" t="n"/>
      <c r="K1216" s="28">
        <f>IF(OR(B1216="",F1216&lt;&gt;"Done",J1216="Package"),"",IF(N(G1216)-N(I1216)&gt;0,N(G1216)-N(I1216),""))</f>
        <v/>
      </c>
      <c r="L1216" s="32" t="n"/>
      <c r="M1216" s="1">
        <f>IF(OR(B1216="",D1216="",F1216="Cancelled"),"",B1216+N(C1216)+ROW()/10000000)</f>
        <v/>
      </c>
      <c r="N1216">
        <f>IF(AND(F1216="Done",M1216&lt;&gt;""),IF(COUNTIFS(Appointments!$D$6:$D$2005,D1216,Appointments!$F$6:$F$2005,"Done",Appointments!$M$6:$M$2005,"&gt;"&amp;M1216)=0,1,0),0)</f>
        <v/>
      </c>
      <c r="O1216">
        <f>IF(AND(F1216="Booked",M1216&lt;&gt;"",N(B1216)&gt;=TODAY()),IF(COUNTIFS(Appointments!$D$6:$D$2005,D1216,Appointments!$F$6:$F$2005,"Booked",Appointments!$B$6:$B$2005,"&gt;="&amp;TODAY(),Appointments!$M$6:$M$2005,"&lt;"&amp;M1216)=0,1,0),0)</f>
        <v/>
      </c>
    </row>
    <row r="1217">
      <c r="A1217" s="1" t="n"/>
      <c r="B1217" s="30" t="n"/>
      <c r="C1217" s="31" t="n"/>
      <c r="D1217" s="32" t="n"/>
      <c r="E1217" s="32" t="n"/>
      <c r="F1217" s="33" t="n"/>
      <c r="G1217" s="27">
        <f>IF(E1217="","",MAX(0,IFERROR(INDEX(Services!$C$6:$C$35,MATCH(E1217,Services!$B$6:$B$35,0)),0)-N(H1217)))</f>
        <v/>
      </c>
      <c r="H1217" s="34" t="n"/>
      <c r="I1217" s="34" t="n"/>
      <c r="J1217" s="33" t="n"/>
      <c r="K1217" s="28">
        <f>IF(OR(B1217="",F1217&lt;&gt;"Done",J1217="Package"),"",IF(N(G1217)-N(I1217)&gt;0,N(G1217)-N(I1217),""))</f>
        <v/>
      </c>
      <c r="L1217" s="32" t="n"/>
      <c r="M1217" s="1">
        <f>IF(OR(B1217="",D1217="",F1217="Cancelled"),"",B1217+N(C1217)+ROW()/10000000)</f>
        <v/>
      </c>
      <c r="N1217">
        <f>IF(AND(F1217="Done",M1217&lt;&gt;""),IF(COUNTIFS(Appointments!$D$6:$D$2005,D1217,Appointments!$F$6:$F$2005,"Done",Appointments!$M$6:$M$2005,"&gt;"&amp;M1217)=0,1,0),0)</f>
        <v/>
      </c>
      <c r="O1217">
        <f>IF(AND(F1217="Booked",M1217&lt;&gt;"",N(B1217)&gt;=TODAY()),IF(COUNTIFS(Appointments!$D$6:$D$2005,D1217,Appointments!$F$6:$F$2005,"Booked",Appointments!$B$6:$B$2005,"&gt;="&amp;TODAY(),Appointments!$M$6:$M$2005,"&lt;"&amp;M1217)=0,1,0),0)</f>
        <v/>
      </c>
    </row>
    <row r="1218">
      <c r="A1218" s="1" t="n"/>
      <c r="B1218" s="30" t="n"/>
      <c r="C1218" s="31" t="n"/>
      <c r="D1218" s="32" t="n"/>
      <c r="E1218" s="32" t="n"/>
      <c r="F1218" s="33" t="n"/>
      <c r="G1218" s="27">
        <f>IF(E1218="","",MAX(0,IFERROR(INDEX(Services!$C$6:$C$35,MATCH(E1218,Services!$B$6:$B$35,0)),0)-N(H1218)))</f>
        <v/>
      </c>
      <c r="H1218" s="34" t="n"/>
      <c r="I1218" s="34" t="n"/>
      <c r="J1218" s="33" t="n"/>
      <c r="K1218" s="28">
        <f>IF(OR(B1218="",F1218&lt;&gt;"Done",J1218="Package"),"",IF(N(G1218)-N(I1218)&gt;0,N(G1218)-N(I1218),""))</f>
        <v/>
      </c>
      <c r="L1218" s="32" t="n"/>
      <c r="M1218" s="1">
        <f>IF(OR(B1218="",D1218="",F1218="Cancelled"),"",B1218+N(C1218)+ROW()/10000000)</f>
        <v/>
      </c>
      <c r="N1218">
        <f>IF(AND(F1218="Done",M1218&lt;&gt;""),IF(COUNTIFS(Appointments!$D$6:$D$2005,D1218,Appointments!$F$6:$F$2005,"Done",Appointments!$M$6:$M$2005,"&gt;"&amp;M1218)=0,1,0),0)</f>
        <v/>
      </c>
      <c r="O1218">
        <f>IF(AND(F1218="Booked",M1218&lt;&gt;"",N(B1218)&gt;=TODAY()),IF(COUNTIFS(Appointments!$D$6:$D$2005,D1218,Appointments!$F$6:$F$2005,"Booked",Appointments!$B$6:$B$2005,"&gt;="&amp;TODAY(),Appointments!$M$6:$M$2005,"&lt;"&amp;M1218)=0,1,0),0)</f>
        <v/>
      </c>
    </row>
    <row r="1219">
      <c r="A1219" s="1" t="n"/>
      <c r="B1219" s="30" t="n"/>
      <c r="C1219" s="31" t="n"/>
      <c r="D1219" s="32" t="n"/>
      <c r="E1219" s="32" t="n"/>
      <c r="F1219" s="33" t="n"/>
      <c r="G1219" s="27">
        <f>IF(E1219="","",MAX(0,IFERROR(INDEX(Services!$C$6:$C$35,MATCH(E1219,Services!$B$6:$B$35,0)),0)-N(H1219)))</f>
        <v/>
      </c>
      <c r="H1219" s="34" t="n"/>
      <c r="I1219" s="34" t="n"/>
      <c r="J1219" s="33" t="n"/>
      <c r="K1219" s="28">
        <f>IF(OR(B1219="",F1219&lt;&gt;"Done",J1219="Package"),"",IF(N(G1219)-N(I1219)&gt;0,N(G1219)-N(I1219),""))</f>
        <v/>
      </c>
      <c r="L1219" s="32" t="n"/>
      <c r="M1219" s="1">
        <f>IF(OR(B1219="",D1219="",F1219="Cancelled"),"",B1219+N(C1219)+ROW()/10000000)</f>
        <v/>
      </c>
      <c r="N1219">
        <f>IF(AND(F1219="Done",M1219&lt;&gt;""),IF(COUNTIFS(Appointments!$D$6:$D$2005,D1219,Appointments!$F$6:$F$2005,"Done",Appointments!$M$6:$M$2005,"&gt;"&amp;M1219)=0,1,0),0)</f>
        <v/>
      </c>
      <c r="O1219">
        <f>IF(AND(F1219="Booked",M1219&lt;&gt;"",N(B1219)&gt;=TODAY()),IF(COUNTIFS(Appointments!$D$6:$D$2005,D1219,Appointments!$F$6:$F$2005,"Booked",Appointments!$B$6:$B$2005,"&gt;="&amp;TODAY(),Appointments!$M$6:$M$2005,"&lt;"&amp;M1219)=0,1,0),0)</f>
        <v/>
      </c>
    </row>
    <row r="1220">
      <c r="A1220" s="1" t="n"/>
      <c r="B1220" s="30" t="n"/>
      <c r="C1220" s="31" t="n"/>
      <c r="D1220" s="32" t="n"/>
      <c r="E1220" s="32" t="n"/>
      <c r="F1220" s="33" t="n"/>
      <c r="G1220" s="27">
        <f>IF(E1220="","",MAX(0,IFERROR(INDEX(Services!$C$6:$C$35,MATCH(E1220,Services!$B$6:$B$35,0)),0)-N(H1220)))</f>
        <v/>
      </c>
      <c r="H1220" s="34" t="n"/>
      <c r="I1220" s="34" t="n"/>
      <c r="J1220" s="33" t="n"/>
      <c r="K1220" s="28">
        <f>IF(OR(B1220="",F1220&lt;&gt;"Done",J1220="Package"),"",IF(N(G1220)-N(I1220)&gt;0,N(G1220)-N(I1220),""))</f>
        <v/>
      </c>
      <c r="L1220" s="32" t="n"/>
      <c r="M1220" s="1">
        <f>IF(OR(B1220="",D1220="",F1220="Cancelled"),"",B1220+N(C1220)+ROW()/10000000)</f>
        <v/>
      </c>
      <c r="N1220">
        <f>IF(AND(F1220="Done",M1220&lt;&gt;""),IF(COUNTIFS(Appointments!$D$6:$D$2005,D1220,Appointments!$F$6:$F$2005,"Done",Appointments!$M$6:$M$2005,"&gt;"&amp;M1220)=0,1,0),0)</f>
        <v/>
      </c>
      <c r="O1220">
        <f>IF(AND(F1220="Booked",M1220&lt;&gt;"",N(B1220)&gt;=TODAY()),IF(COUNTIFS(Appointments!$D$6:$D$2005,D1220,Appointments!$F$6:$F$2005,"Booked",Appointments!$B$6:$B$2005,"&gt;="&amp;TODAY(),Appointments!$M$6:$M$2005,"&lt;"&amp;M1220)=0,1,0),0)</f>
        <v/>
      </c>
    </row>
    <row r="1221">
      <c r="A1221" s="1" t="n"/>
      <c r="B1221" s="30" t="n"/>
      <c r="C1221" s="31" t="n"/>
      <c r="D1221" s="32" t="n"/>
      <c r="E1221" s="32" t="n"/>
      <c r="F1221" s="33" t="n"/>
      <c r="G1221" s="27">
        <f>IF(E1221="","",MAX(0,IFERROR(INDEX(Services!$C$6:$C$35,MATCH(E1221,Services!$B$6:$B$35,0)),0)-N(H1221)))</f>
        <v/>
      </c>
      <c r="H1221" s="34" t="n"/>
      <c r="I1221" s="34" t="n"/>
      <c r="J1221" s="33" t="n"/>
      <c r="K1221" s="28">
        <f>IF(OR(B1221="",F1221&lt;&gt;"Done",J1221="Package"),"",IF(N(G1221)-N(I1221)&gt;0,N(G1221)-N(I1221),""))</f>
        <v/>
      </c>
      <c r="L1221" s="32" t="n"/>
      <c r="M1221" s="1">
        <f>IF(OR(B1221="",D1221="",F1221="Cancelled"),"",B1221+N(C1221)+ROW()/10000000)</f>
        <v/>
      </c>
      <c r="N1221">
        <f>IF(AND(F1221="Done",M1221&lt;&gt;""),IF(COUNTIFS(Appointments!$D$6:$D$2005,D1221,Appointments!$F$6:$F$2005,"Done",Appointments!$M$6:$M$2005,"&gt;"&amp;M1221)=0,1,0),0)</f>
        <v/>
      </c>
      <c r="O1221">
        <f>IF(AND(F1221="Booked",M1221&lt;&gt;"",N(B1221)&gt;=TODAY()),IF(COUNTIFS(Appointments!$D$6:$D$2005,D1221,Appointments!$F$6:$F$2005,"Booked",Appointments!$B$6:$B$2005,"&gt;="&amp;TODAY(),Appointments!$M$6:$M$2005,"&lt;"&amp;M1221)=0,1,0),0)</f>
        <v/>
      </c>
    </row>
    <row r="1222">
      <c r="A1222" s="1" t="n"/>
      <c r="B1222" s="30" t="n"/>
      <c r="C1222" s="31" t="n"/>
      <c r="D1222" s="32" t="n"/>
      <c r="E1222" s="32" t="n"/>
      <c r="F1222" s="33" t="n"/>
      <c r="G1222" s="27">
        <f>IF(E1222="","",MAX(0,IFERROR(INDEX(Services!$C$6:$C$35,MATCH(E1222,Services!$B$6:$B$35,0)),0)-N(H1222)))</f>
        <v/>
      </c>
      <c r="H1222" s="34" t="n"/>
      <c r="I1222" s="34" t="n"/>
      <c r="J1222" s="33" t="n"/>
      <c r="K1222" s="28">
        <f>IF(OR(B1222="",F1222&lt;&gt;"Done",J1222="Package"),"",IF(N(G1222)-N(I1222)&gt;0,N(G1222)-N(I1222),""))</f>
        <v/>
      </c>
      <c r="L1222" s="32" t="n"/>
      <c r="M1222" s="1">
        <f>IF(OR(B1222="",D1222="",F1222="Cancelled"),"",B1222+N(C1222)+ROW()/10000000)</f>
        <v/>
      </c>
      <c r="N1222">
        <f>IF(AND(F1222="Done",M1222&lt;&gt;""),IF(COUNTIFS(Appointments!$D$6:$D$2005,D1222,Appointments!$F$6:$F$2005,"Done",Appointments!$M$6:$M$2005,"&gt;"&amp;M1222)=0,1,0),0)</f>
        <v/>
      </c>
      <c r="O1222">
        <f>IF(AND(F1222="Booked",M1222&lt;&gt;"",N(B1222)&gt;=TODAY()),IF(COUNTIFS(Appointments!$D$6:$D$2005,D1222,Appointments!$F$6:$F$2005,"Booked",Appointments!$B$6:$B$2005,"&gt;="&amp;TODAY(),Appointments!$M$6:$M$2005,"&lt;"&amp;M1222)=0,1,0),0)</f>
        <v/>
      </c>
    </row>
    <row r="1223">
      <c r="A1223" s="1" t="n"/>
      <c r="B1223" s="30" t="n"/>
      <c r="C1223" s="31" t="n"/>
      <c r="D1223" s="32" t="n"/>
      <c r="E1223" s="32" t="n"/>
      <c r="F1223" s="33" t="n"/>
      <c r="G1223" s="27">
        <f>IF(E1223="","",MAX(0,IFERROR(INDEX(Services!$C$6:$C$35,MATCH(E1223,Services!$B$6:$B$35,0)),0)-N(H1223)))</f>
        <v/>
      </c>
      <c r="H1223" s="34" t="n"/>
      <c r="I1223" s="34" t="n"/>
      <c r="J1223" s="33" t="n"/>
      <c r="K1223" s="28">
        <f>IF(OR(B1223="",F1223&lt;&gt;"Done",J1223="Package"),"",IF(N(G1223)-N(I1223)&gt;0,N(G1223)-N(I1223),""))</f>
        <v/>
      </c>
      <c r="L1223" s="32" t="n"/>
      <c r="M1223" s="1">
        <f>IF(OR(B1223="",D1223="",F1223="Cancelled"),"",B1223+N(C1223)+ROW()/10000000)</f>
        <v/>
      </c>
      <c r="N1223">
        <f>IF(AND(F1223="Done",M1223&lt;&gt;""),IF(COUNTIFS(Appointments!$D$6:$D$2005,D1223,Appointments!$F$6:$F$2005,"Done",Appointments!$M$6:$M$2005,"&gt;"&amp;M1223)=0,1,0),0)</f>
        <v/>
      </c>
      <c r="O1223">
        <f>IF(AND(F1223="Booked",M1223&lt;&gt;"",N(B1223)&gt;=TODAY()),IF(COUNTIFS(Appointments!$D$6:$D$2005,D1223,Appointments!$F$6:$F$2005,"Booked",Appointments!$B$6:$B$2005,"&gt;="&amp;TODAY(),Appointments!$M$6:$M$2005,"&lt;"&amp;M1223)=0,1,0),0)</f>
        <v/>
      </c>
    </row>
    <row r="1224">
      <c r="A1224" s="1" t="n"/>
      <c r="B1224" s="30" t="n"/>
      <c r="C1224" s="31" t="n"/>
      <c r="D1224" s="32" t="n"/>
      <c r="E1224" s="32" t="n"/>
      <c r="F1224" s="33" t="n"/>
      <c r="G1224" s="27">
        <f>IF(E1224="","",MAX(0,IFERROR(INDEX(Services!$C$6:$C$35,MATCH(E1224,Services!$B$6:$B$35,0)),0)-N(H1224)))</f>
        <v/>
      </c>
      <c r="H1224" s="34" t="n"/>
      <c r="I1224" s="34" t="n"/>
      <c r="J1224" s="33" t="n"/>
      <c r="K1224" s="28">
        <f>IF(OR(B1224="",F1224&lt;&gt;"Done",J1224="Package"),"",IF(N(G1224)-N(I1224)&gt;0,N(G1224)-N(I1224),""))</f>
        <v/>
      </c>
      <c r="L1224" s="32" t="n"/>
      <c r="M1224" s="1">
        <f>IF(OR(B1224="",D1224="",F1224="Cancelled"),"",B1224+N(C1224)+ROW()/10000000)</f>
        <v/>
      </c>
      <c r="N1224">
        <f>IF(AND(F1224="Done",M1224&lt;&gt;""),IF(COUNTIFS(Appointments!$D$6:$D$2005,D1224,Appointments!$F$6:$F$2005,"Done",Appointments!$M$6:$M$2005,"&gt;"&amp;M1224)=0,1,0),0)</f>
        <v/>
      </c>
      <c r="O1224">
        <f>IF(AND(F1224="Booked",M1224&lt;&gt;"",N(B1224)&gt;=TODAY()),IF(COUNTIFS(Appointments!$D$6:$D$2005,D1224,Appointments!$F$6:$F$2005,"Booked",Appointments!$B$6:$B$2005,"&gt;="&amp;TODAY(),Appointments!$M$6:$M$2005,"&lt;"&amp;M1224)=0,1,0),0)</f>
        <v/>
      </c>
    </row>
    <row r="1225">
      <c r="A1225" s="1" t="n"/>
      <c r="B1225" s="30" t="n"/>
      <c r="C1225" s="31" t="n"/>
      <c r="D1225" s="32" t="n"/>
      <c r="E1225" s="32" t="n"/>
      <c r="F1225" s="33" t="n"/>
      <c r="G1225" s="27">
        <f>IF(E1225="","",MAX(0,IFERROR(INDEX(Services!$C$6:$C$35,MATCH(E1225,Services!$B$6:$B$35,0)),0)-N(H1225)))</f>
        <v/>
      </c>
      <c r="H1225" s="34" t="n"/>
      <c r="I1225" s="34" t="n"/>
      <c r="J1225" s="33" t="n"/>
      <c r="K1225" s="28">
        <f>IF(OR(B1225="",F1225&lt;&gt;"Done",J1225="Package"),"",IF(N(G1225)-N(I1225)&gt;0,N(G1225)-N(I1225),""))</f>
        <v/>
      </c>
      <c r="L1225" s="32" t="n"/>
      <c r="M1225" s="1">
        <f>IF(OR(B1225="",D1225="",F1225="Cancelled"),"",B1225+N(C1225)+ROW()/10000000)</f>
        <v/>
      </c>
      <c r="N1225">
        <f>IF(AND(F1225="Done",M1225&lt;&gt;""),IF(COUNTIFS(Appointments!$D$6:$D$2005,D1225,Appointments!$F$6:$F$2005,"Done",Appointments!$M$6:$M$2005,"&gt;"&amp;M1225)=0,1,0),0)</f>
        <v/>
      </c>
      <c r="O1225">
        <f>IF(AND(F1225="Booked",M1225&lt;&gt;"",N(B1225)&gt;=TODAY()),IF(COUNTIFS(Appointments!$D$6:$D$2005,D1225,Appointments!$F$6:$F$2005,"Booked",Appointments!$B$6:$B$2005,"&gt;="&amp;TODAY(),Appointments!$M$6:$M$2005,"&lt;"&amp;M1225)=0,1,0),0)</f>
        <v/>
      </c>
    </row>
    <row r="1226">
      <c r="A1226" s="1" t="n"/>
      <c r="B1226" s="30" t="n"/>
      <c r="C1226" s="31" t="n"/>
      <c r="D1226" s="32" t="n"/>
      <c r="E1226" s="32" t="n"/>
      <c r="F1226" s="33" t="n"/>
      <c r="G1226" s="27">
        <f>IF(E1226="","",MAX(0,IFERROR(INDEX(Services!$C$6:$C$35,MATCH(E1226,Services!$B$6:$B$35,0)),0)-N(H1226)))</f>
        <v/>
      </c>
      <c r="H1226" s="34" t="n"/>
      <c r="I1226" s="34" t="n"/>
      <c r="J1226" s="33" t="n"/>
      <c r="K1226" s="28">
        <f>IF(OR(B1226="",F1226&lt;&gt;"Done",J1226="Package"),"",IF(N(G1226)-N(I1226)&gt;0,N(G1226)-N(I1226),""))</f>
        <v/>
      </c>
      <c r="L1226" s="32" t="n"/>
      <c r="M1226" s="1">
        <f>IF(OR(B1226="",D1226="",F1226="Cancelled"),"",B1226+N(C1226)+ROW()/10000000)</f>
        <v/>
      </c>
      <c r="N1226">
        <f>IF(AND(F1226="Done",M1226&lt;&gt;""),IF(COUNTIFS(Appointments!$D$6:$D$2005,D1226,Appointments!$F$6:$F$2005,"Done",Appointments!$M$6:$M$2005,"&gt;"&amp;M1226)=0,1,0),0)</f>
        <v/>
      </c>
      <c r="O1226">
        <f>IF(AND(F1226="Booked",M1226&lt;&gt;"",N(B1226)&gt;=TODAY()),IF(COUNTIFS(Appointments!$D$6:$D$2005,D1226,Appointments!$F$6:$F$2005,"Booked",Appointments!$B$6:$B$2005,"&gt;="&amp;TODAY(),Appointments!$M$6:$M$2005,"&lt;"&amp;M1226)=0,1,0),0)</f>
        <v/>
      </c>
    </row>
    <row r="1227">
      <c r="A1227" s="1" t="n"/>
      <c r="B1227" s="30" t="n"/>
      <c r="C1227" s="31" t="n"/>
      <c r="D1227" s="32" t="n"/>
      <c r="E1227" s="32" t="n"/>
      <c r="F1227" s="33" t="n"/>
      <c r="G1227" s="27">
        <f>IF(E1227="","",MAX(0,IFERROR(INDEX(Services!$C$6:$C$35,MATCH(E1227,Services!$B$6:$B$35,0)),0)-N(H1227)))</f>
        <v/>
      </c>
      <c r="H1227" s="34" t="n"/>
      <c r="I1227" s="34" t="n"/>
      <c r="J1227" s="33" t="n"/>
      <c r="K1227" s="28">
        <f>IF(OR(B1227="",F1227&lt;&gt;"Done",J1227="Package"),"",IF(N(G1227)-N(I1227)&gt;0,N(G1227)-N(I1227),""))</f>
        <v/>
      </c>
      <c r="L1227" s="32" t="n"/>
      <c r="M1227" s="1">
        <f>IF(OR(B1227="",D1227="",F1227="Cancelled"),"",B1227+N(C1227)+ROW()/10000000)</f>
        <v/>
      </c>
      <c r="N1227">
        <f>IF(AND(F1227="Done",M1227&lt;&gt;""),IF(COUNTIFS(Appointments!$D$6:$D$2005,D1227,Appointments!$F$6:$F$2005,"Done",Appointments!$M$6:$M$2005,"&gt;"&amp;M1227)=0,1,0),0)</f>
        <v/>
      </c>
      <c r="O1227">
        <f>IF(AND(F1227="Booked",M1227&lt;&gt;"",N(B1227)&gt;=TODAY()),IF(COUNTIFS(Appointments!$D$6:$D$2005,D1227,Appointments!$F$6:$F$2005,"Booked",Appointments!$B$6:$B$2005,"&gt;="&amp;TODAY(),Appointments!$M$6:$M$2005,"&lt;"&amp;M1227)=0,1,0),0)</f>
        <v/>
      </c>
    </row>
    <row r="1228">
      <c r="A1228" s="1" t="n"/>
      <c r="B1228" s="30" t="n"/>
      <c r="C1228" s="31" t="n"/>
      <c r="D1228" s="32" t="n"/>
      <c r="E1228" s="32" t="n"/>
      <c r="F1228" s="33" t="n"/>
      <c r="G1228" s="27">
        <f>IF(E1228="","",MAX(0,IFERROR(INDEX(Services!$C$6:$C$35,MATCH(E1228,Services!$B$6:$B$35,0)),0)-N(H1228)))</f>
        <v/>
      </c>
      <c r="H1228" s="34" t="n"/>
      <c r="I1228" s="34" t="n"/>
      <c r="J1228" s="33" t="n"/>
      <c r="K1228" s="28">
        <f>IF(OR(B1228="",F1228&lt;&gt;"Done",J1228="Package"),"",IF(N(G1228)-N(I1228)&gt;0,N(G1228)-N(I1228),""))</f>
        <v/>
      </c>
      <c r="L1228" s="32" t="n"/>
      <c r="M1228" s="1">
        <f>IF(OR(B1228="",D1228="",F1228="Cancelled"),"",B1228+N(C1228)+ROW()/10000000)</f>
        <v/>
      </c>
      <c r="N1228">
        <f>IF(AND(F1228="Done",M1228&lt;&gt;""),IF(COUNTIFS(Appointments!$D$6:$D$2005,D1228,Appointments!$F$6:$F$2005,"Done",Appointments!$M$6:$M$2005,"&gt;"&amp;M1228)=0,1,0),0)</f>
        <v/>
      </c>
      <c r="O1228">
        <f>IF(AND(F1228="Booked",M1228&lt;&gt;"",N(B1228)&gt;=TODAY()),IF(COUNTIFS(Appointments!$D$6:$D$2005,D1228,Appointments!$F$6:$F$2005,"Booked",Appointments!$B$6:$B$2005,"&gt;="&amp;TODAY(),Appointments!$M$6:$M$2005,"&lt;"&amp;M1228)=0,1,0),0)</f>
        <v/>
      </c>
    </row>
    <row r="1229">
      <c r="A1229" s="1" t="n"/>
      <c r="B1229" s="30" t="n"/>
      <c r="C1229" s="31" t="n"/>
      <c r="D1229" s="32" t="n"/>
      <c r="E1229" s="32" t="n"/>
      <c r="F1229" s="33" t="n"/>
      <c r="G1229" s="27">
        <f>IF(E1229="","",MAX(0,IFERROR(INDEX(Services!$C$6:$C$35,MATCH(E1229,Services!$B$6:$B$35,0)),0)-N(H1229)))</f>
        <v/>
      </c>
      <c r="H1229" s="34" t="n"/>
      <c r="I1229" s="34" t="n"/>
      <c r="J1229" s="33" t="n"/>
      <c r="K1229" s="28">
        <f>IF(OR(B1229="",F1229&lt;&gt;"Done",J1229="Package"),"",IF(N(G1229)-N(I1229)&gt;0,N(G1229)-N(I1229),""))</f>
        <v/>
      </c>
      <c r="L1229" s="32" t="n"/>
      <c r="M1229" s="1">
        <f>IF(OR(B1229="",D1229="",F1229="Cancelled"),"",B1229+N(C1229)+ROW()/10000000)</f>
        <v/>
      </c>
      <c r="N1229">
        <f>IF(AND(F1229="Done",M1229&lt;&gt;""),IF(COUNTIFS(Appointments!$D$6:$D$2005,D1229,Appointments!$F$6:$F$2005,"Done",Appointments!$M$6:$M$2005,"&gt;"&amp;M1229)=0,1,0),0)</f>
        <v/>
      </c>
      <c r="O1229">
        <f>IF(AND(F1229="Booked",M1229&lt;&gt;"",N(B1229)&gt;=TODAY()),IF(COUNTIFS(Appointments!$D$6:$D$2005,D1229,Appointments!$F$6:$F$2005,"Booked",Appointments!$B$6:$B$2005,"&gt;="&amp;TODAY(),Appointments!$M$6:$M$2005,"&lt;"&amp;M1229)=0,1,0),0)</f>
        <v/>
      </c>
    </row>
    <row r="1230">
      <c r="A1230" s="1" t="n"/>
      <c r="B1230" s="30" t="n"/>
      <c r="C1230" s="31" t="n"/>
      <c r="D1230" s="32" t="n"/>
      <c r="E1230" s="32" t="n"/>
      <c r="F1230" s="33" t="n"/>
      <c r="G1230" s="27">
        <f>IF(E1230="","",MAX(0,IFERROR(INDEX(Services!$C$6:$C$35,MATCH(E1230,Services!$B$6:$B$35,0)),0)-N(H1230)))</f>
        <v/>
      </c>
      <c r="H1230" s="34" t="n"/>
      <c r="I1230" s="34" t="n"/>
      <c r="J1230" s="33" t="n"/>
      <c r="K1230" s="28">
        <f>IF(OR(B1230="",F1230&lt;&gt;"Done",J1230="Package"),"",IF(N(G1230)-N(I1230)&gt;0,N(G1230)-N(I1230),""))</f>
        <v/>
      </c>
      <c r="L1230" s="32" t="n"/>
      <c r="M1230" s="1">
        <f>IF(OR(B1230="",D1230="",F1230="Cancelled"),"",B1230+N(C1230)+ROW()/10000000)</f>
        <v/>
      </c>
      <c r="N1230">
        <f>IF(AND(F1230="Done",M1230&lt;&gt;""),IF(COUNTIFS(Appointments!$D$6:$D$2005,D1230,Appointments!$F$6:$F$2005,"Done",Appointments!$M$6:$M$2005,"&gt;"&amp;M1230)=0,1,0),0)</f>
        <v/>
      </c>
      <c r="O1230">
        <f>IF(AND(F1230="Booked",M1230&lt;&gt;"",N(B1230)&gt;=TODAY()),IF(COUNTIFS(Appointments!$D$6:$D$2005,D1230,Appointments!$F$6:$F$2005,"Booked",Appointments!$B$6:$B$2005,"&gt;="&amp;TODAY(),Appointments!$M$6:$M$2005,"&lt;"&amp;M1230)=0,1,0),0)</f>
        <v/>
      </c>
    </row>
    <row r="1231">
      <c r="A1231" s="1" t="n"/>
      <c r="B1231" s="30" t="n"/>
      <c r="C1231" s="31" t="n"/>
      <c r="D1231" s="32" t="n"/>
      <c r="E1231" s="32" t="n"/>
      <c r="F1231" s="33" t="n"/>
      <c r="G1231" s="27">
        <f>IF(E1231="","",MAX(0,IFERROR(INDEX(Services!$C$6:$C$35,MATCH(E1231,Services!$B$6:$B$35,0)),0)-N(H1231)))</f>
        <v/>
      </c>
      <c r="H1231" s="34" t="n"/>
      <c r="I1231" s="34" t="n"/>
      <c r="J1231" s="33" t="n"/>
      <c r="K1231" s="28">
        <f>IF(OR(B1231="",F1231&lt;&gt;"Done",J1231="Package"),"",IF(N(G1231)-N(I1231)&gt;0,N(G1231)-N(I1231),""))</f>
        <v/>
      </c>
      <c r="L1231" s="32" t="n"/>
      <c r="M1231" s="1">
        <f>IF(OR(B1231="",D1231="",F1231="Cancelled"),"",B1231+N(C1231)+ROW()/10000000)</f>
        <v/>
      </c>
      <c r="N1231">
        <f>IF(AND(F1231="Done",M1231&lt;&gt;""),IF(COUNTIFS(Appointments!$D$6:$D$2005,D1231,Appointments!$F$6:$F$2005,"Done",Appointments!$M$6:$M$2005,"&gt;"&amp;M1231)=0,1,0),0)</f>
        <v/>
      </c>
      <c r="O1231">
        <f>IF(AND(F1231="Booked",M1231&lt;&gt;"",N(B1231)&gt;=TODAY()),IF(COUNTIFS(Appointments!$D$6:$D$2005,D1231,Appointments!$F$6:$F$2005,"Booked",Appointments!$B$6:$B$2005,"&gt;="&amp;TODAY(),Appointments!$M$6:$M$2005,"&lt;"&amp;M1231)=0,1,0),0)</f>
        <v/>
      </c>
    </row>
    <row r="1232">
      <c r="A1232" s="1" t="n"/>
      <c r="B1232" s="30" t="n"/>
      <c r="C1232" s="31" t="n"/>
      <c r="D1232" s="32" t="n"/>
      <c r="E1232" s="32" t="n"/>
      <c r="F1232" s="33" t="n"/>
      <c r="G1232" s="27">
        <f>IF(E1232="","",MAX(0,IFERROR(INDEX(Services!$C$6:$C$35,MATCH(E1232,Services!$B$6:$B$35,0)),0)-N(H1232)))</f>
        <v/>
      </c>
      <c r="H1232" s="34" t="n"/>
      <c r="I1232" s="34" t="n"/>
      <c r="J1232" s="33" t="n"/>
      <c r="K1232" s="28">
        <f>IF(OR(B1232="",F1232&lt;&gt;"Done",J1232="Package"),"",IF(N(G1232)-N(I1232)&gt;0,N(G1232)-N(I1232),""))</f>
        <v/>
      </c>
      <c r="L1232" s="32" t="n"/>
      <c r="M1232" s="1">
        <f>IF(OR(B1232="",D1232="",F1232="Cancelled"),"",B1232+N(C1232)+ROW()/10000000)</f>
        <v/>
      </c>
      <c r="N1232">
        <f>IF(AND(F1232="Done",M1232&lt;&gt;""),IF(COUNTIFS(Appointments!$D$6:$D$2005,D1232,Appointments!$F$6:$F$2005,"Done",Appointments!$M$6:$M$2005,"&gt;"&amp;M1232)=0,1,0),0)</f>
        <v/>
      </c>
      <c r="O1232">
        <f>IF(AND(F1232="Booked",M1232&lt;&gt;"",N(B1232)&gt;=TODAY()),IF(COUNTIFS(Appointments!$D$6:$D$2005,D1232,Appointments!$F$6:$F$2005,"Booked",Appointments!$B$6:$B$2005,"&gt;="&amp;TODAY(),Appointments!$M$6:$M$2005,"&lt;"&amp;M1232)=0,1,0),0)</f>
        <v/>
      </c>
    </row>
    <row r="1233">
      <c r="A1233" s="1" t="n"/>
      <c r="B1233" s="30" t="n"/>
      <c r="C1233" s="31" t="n"/>
      <c r="D1233" s="32" t="n"/>
      <c r="E1233" s="32" t="n"/>
      <c r="F1233" s="33" t="n"/>
      <c r="G1233" s="27">
        <f>IF(E1233="","",MAX(0,IFERROR(INDEX(Services!$C$6:$C$35,MATCH(E1233,Services!$B$6:$B$35,0)),0)-N(H1233)))</f>
        <v/>
      </c>
      <c r="H1233" s="34" t="n"/>
      <c r="I1233" s="34" t="n"/>
      <c r="J1233" s="33" t="n"/>
      <c r="K1233" s="28">
        <f>IF(OR(B1233="",F1233&lt;&gt;"Done",J1233="Package"),"",IF(N(G1233)-N(I1233)&gt;0,N(G1233)-N(I1233),""))</f>
        <v/>
      </c>
      <c r="L1233" s="32" t="n"/>
      <c r="M1233" s="1">
        <f>IF(OR(B1233="",D1233="",F1233="Cancelled"),"",B1233+N(C1233)+ROW()/10000000)</f>
        <v/>
      </c>
      <c r="N1233">
        <f>IF(AND(F1233="Done",M1233&lt;&gt;""),IF(COUNTIFS(Appointments!$D$6:$D$2005,D1233,Appointments!$F$6:$F$2005,"Done",Appointments!$M$6:$M$2005,"&gt;"&amp;M1233)=0,1,0),0)</f>
        <v/>
      </c>
      <c r="O1233">
        <f>IF(AND(F1233="Booked",M1233&lt;&gt;"",N(B1233)&gt;=TODAY()),IF(COUNTIFS(Appointments!$D$6:$D$2005,D1233,Appointments!$F$6:$F$2005,"Booked",Appointments!$B$6:$B$2005,"&gt;="&amp;TODAY(),Appointments!$M$6:$M$2005,"&lt;"&amp;M1233)=0,1,0),0)</f>
        <v/>
      </c>
    </row>
    <row r="1234">
      <c r="A1234" s="1" t="n"/>
      <c r="B1234" s="30" t="n"/>
      <c r="C1234" s="31" t="n"/>
      <c r="D1234" s="32" t="n"/>
      <c r="E1234" s="32" t="n"/>
      <c r="F1234" s="33" t="n"/>
      <c r="G1234" s="27">
        <f>IF(E1234="","",MAX(0,IFERROR(INDEX(Services!$C$6:$C$35,MATCH(E1234,Services!$B$6:$B$35,0)),0)-N(H1234)))</f>
        <v/>
      </c>
      <c r="H1234" s="34" t="n"/>
      <c r="I1234" s="34" t="n"/>
      <c r="J1234" s="33" t="n"/>
      <c r="K1234" s="28">
        <f>IF(OR(B1234="",F1234&lt;&gt;"Done",J1234="Package"),"",IF(N(G1234)-N(I1234)&gt;0,N(G1234)-N(I1234),""))</f>
        <v/>
      </c>
      <c r="L1234" s="32" t="n"/>
      <c r="M1234" s="1">
        <f>IF(OR(B1234="",D1234="",F1234="Cancelled"),"",B1234+N(C1234)+ROW()/10000000)</f>
        <v/>
      </c>
      <c r="N1234">
        <f>IF(AND(F1234="Done",M1234&lt;&gt;""),IF(COUNTIFS(Appointments!$D$6:$D$2005,D1234,Appointments!$F$6:$F$2005,"Done",Appointments!$M$6:$M$2005,"&gt;"&amp;M1234)=0,1,0),0)</f>
        <v/>
      </c>
      <c r="O1234">
        <f>IF(AND(F1234="Booked",M1234&lt;&gt;"",N(B1234)&gt;=TODAY()),IF(COUNTIFS(Appointments!$D$6:$D$2005,D1234,Appointments!$F$6:$F$2005,"Booked",Appointments!$B$6:$B$2005,"&gt;="&amp;TODAY(),Appointments!$M$6:$M$2005,"&lt;"&amp;M1234)=0,1,0),0)</f>
        <v/>
      </c>
    </row>
    <row r="1235">
      <c r="A1235" s="1" t="n"/>
      <c r="B1235" s="30" t="n"/>
      <c r="C1235" s="31" t="n"/>
      <c r="D1235" s="32" t="n"/>
      <c r="E1235" s="32" t="n"/>
      <c r="F1235" s="33" t="n"/>
      <c r="G1235" s="27">
        <f>IF(E1235="","",MAX(0,IFERROR(INDEX(Services!$C$6:$C$35,MATCH(E1235,Services!$B$6:$B$35,0)),0)-N(H1235)))</f>
        <v/>
      </c>
      <c r="H1235" s="34" t="n"/>
      <c r="I1235" s="34" t="n"/>
      <c r="J1235" s="33" t="n"/>
      <c r="K1235" s="28">
        <f>IF(OR(B1235="",F1235&lt;&gt;"Done",J1235="Package"),"",IF(N(G1235)-N(I1235)&gt;0,N(G1235)-N(I1235),""))</f>
        <v/>
      </c>
      <c r="L1235" s="32" t="n"/>
      <c r="M1235" s="1">
        <f>IF(OR(B1235="",D1235="",F1235="Cancelled"),"",B1235+N(C1235)+ROW()/10000000)</f>
        <v/>
      </c>
      <c r="N1235">
        <f>IF(AND(F1235="Done",M1235&lt;&gt;""),IF(COUNTIFS(Appointments!$D$6:$D$2005,D1235,Appointments!$F$6:$F$2005,"Done",Appointments!$M$6:$M$2005,"&gt;"&amp;M1235)=0,1,0),0)</f>
        <v/>
      </c>
      <c r="O1235">
        <f>IF(AND(F1235="Booked",M1235&lt;&gt;"",N(B1235)&gt;=TODAY()),IF(COUNTIFS(Appointments!$D$6:$D$2005,D1235,Appointments!$F$6:$F$2005,"Booked",Appointments!$B$6:$B$2005,"&gt;="&amp;TODAY(),Appointments!$M$6:$M$2005,"&lt;"&amp;M1235)=0,1,0),0)</f>
        <v/>
      </c>
    </row>
    <row r="1236">
      <c r="A1236" s="1" t="n"/>
      <c r="B1236" s="30" t="n"/>
      <c r="C1236" s="31" t="n"/>
      <c r="D1236" s="32" t="n"/>
      <c r="E1236" s="32" t="n"/>
      <c r="F1236" s="33" t="n"/>
      <c r="G1236" s="27">
        <f>IF(E1236="","",MAX(0,IFERROR(INDEX(Services!$C$6:$C$35,MATCH(E1236,Services!$B$6:$B$35,0)),0)-N(H1236)))</f>
        <v/>
      </c>
      <c r="H1236" s="34" t="n"/>
      <c r="I1236" s="34" t="n"/>
      <c r="J1236" s="33" t="n"/>
      <c r="K1236" s="28">
        <f>IF(OR(B1236="",F1236&lt;&gt;"Done",J1236="Package"),"",IF(N(G1236)-N(I1236)&gt;0,N(G1236)-N(I1236),""))</f>
        <v/>
      </c>
      <c r="L1236" s="32" t="n"/>
      <c r="M1236" s="1">
        <f>IF(OR(B1236="",D1236="",F1236="Cancelled"),"",B1236+N(C1236)+ROW()/10000000)</f>
        <v/>
      </c>
      <c r="N1236">
        <f>IF(AND(F1236="Done",M1236&lt;&gt;""),IF(COUNTIFS(Appointments!$D$6:$D$2005,D1236,Appointments!$F$6:$F$2005,"Done",Appointments!$M$6:$M$2005,"&gt;"&amp;M1236)=0,1,0),0)</f>
        <v/>
      </c>
      <c r="O1236">
        <f>IF(AND(F1236="Booked",M1236&lt;&gt;"",N(B1236)&gt;=TODAY()),IF(COUNTIFS(Appointments!$D$6:$D$2005,D1236,Appointments!$F$6:$F$2005,"Booked",Appointments!$B$6:$B$2005,"&gt;="&amp;TODAY(),Appointments!$M$6:$M$2005,"&lt;"&amp;M1236)=0,1,0),0)</f>
        <v/>
      </c>
    </row>
    <row r="1237">
      <c r="A1237" s="1" t="n"/>
      <c r="B1237" s="30" t="n"/>
      <c r="C1237" s="31" t="n"/>
      <c r="D1237" s="32" t="n"/>
      <c r="E1237" s="32" t="n"/>
      <c r="F1237" s="33" t="n"/>
      <c r="G1237" s="27">
        <f>IF(E1237="","",MAX(0,IFERROR(INDEX(Services!$C$6:$C$35,MATCH(E1237,Services!$B$6:$B$35,0)),0)-N(H1237)))</f>
        <v/>
      </c>
      <c r="H1237" s="34" t="n"/>
      <c r="I1237" s="34" t="n"/>
      <c r="J1237" s="33" t="n"/>
      <c r="K1237" s="28">
        <f>IF(OR(B1237="",F1237&lt;&gt;"Done",J1237="Package"),"",IF(N(G1237)-N(I1237)&gt;0,N(G1237)-N(I1237),""))</f>
        <v/>
      </c>
      <c r="L1237" s="32" t="n"/>
      <c r="M1237" s="1">
        <f>IF(OR(B1237="",D1237="",F1237="Cancelled"),"",B1237+N(C1237)+ROW()/10000000)</f>
        <v/>
      </c>
      <c r="N1237">
        <f>IF(AND(F1237="Done",M1237&lt;&gt;""),IF(COUNTIFS(Appointments!$D$6:$D$2005,D1237,Appointments!$F$6:$F$2005,"Done",Appointments!$M$6:$M$2005,"&gt;"&amp;M1237)=0,1,0),0)</f>
        <v/>
      </c>
      <c r="O1237">
        <f>IF(AND(F1237="Booked",M1237&lt;&gt;"",N(B1237)&gt;=TODAY()),IF(COUNTIFS(Appointments!$D$6:$D$2005,D1237,Appointments!$F$6:$F$2005,"Booked",Appointments!$B$6:$B$2005,"&gt;="&amp;TODAY(),Appointments!$M$6:$M$2005,"&lt;"&amp;M1237)=0,1,0),0)</f>
        <v/>
      </c>
    </row>
    <row r="1238">
      <c r="A1238" s="1" t="n"/>
      <c r="B1238" s="30" t="n"/>
      <c r="C1238" s="31" t="n"/>
      <c r="D1238" s="32" t="n"/>
      <c r="E1238" s="32" t="n"/>
      <c r="F1238" s="33" t="n"/>
      <c r="G1238" s="27">
        <f>IF(E1238="","",MAX(0,IFERROR(INDEX(Services!$C$6:$C$35,MATCH(E1238,Services!$B$6:$B$35,0)),0)-N(H1238)))</f>
        <v/>
      </c>
      <c r="H1238" s="34" t="n"/>
      <c r="I1238" s="34" t="n"/>
      <c r="J1238" s="33" t="n"/>
      <c r="K1238" s="28">
        <f>IF(OR(B1238="",F1238&lt;&gt;"Done",J1238="Package"),"",IF(N(G1238)-N(I1238)&gt;0,N(G1238)-N(I1238),""))</f>
        <v/>
      </c>
      <c r="L1238" s="32" t="n"/>
      <c r="M1238" s="1">
        <f>IF(OR(B1238="",D1238="",F1238="Cancelled"),"",B1238+N(C1238)+ROW()/10000000)</f>
        <v/>
      </c>
      <c r="N1238">
        <f>IF(AND(F1238="Done",M1238&lt;&gt;""),IF(COUNTIFS(Appointments!$D$6:$D$2005,D1238,Appointments!$F$6:$F$2005,"Done",Appointments!$M$6:$M$2005,"&gt;"&amp;M1238)=0,1,0),0)</f>
        <v/>
      </c>
      <c r="O1238">
        <f>IF(AND(F1238="Booked",M1238&lt;&gt;"",N(B1238)&gt;=TODAY()),IF(COUNTIFS(Appointments!$D$6:$D$2005,D1238,Appointments!$F$6:$F$2005,"Booked",Appointments!$B$6:$B$2005,"&gt;="&amp;TODAY(),Appointments!$M$6:$M$2005,"&lt;"&amp;M1238)=0,1,0),0)</f>
        <v/>
      </c>
    </row>
    <row r="1239">
      <c r="A1239" s="1" t="n"/>
      <c r="B1239" s="30" t="n"/>
      <c r="C1239" s="31" t="n"/>
      <c r="D1239" s="32" t="n"/>
      <c r="E1239" s="32" t="n"/>
      <c r="F1239" s="33" t="n"/>
      <c r="G1239" s="27">
        <f>IF(E1239="","",MAX(0,IFERROR(INDEX(Services!$C$6:$C$35,MATCH(E1239,Services!$B$6:$B$35,0)),0)-N(H1239)))</f>
        <v/>
      </c>
      <c r="H1239" s="34" t="n"/>
      <c r="I1239" s="34" t="n"/>
      <c r="J1239" s="33" t="n"/>
      <c r="K1239" s="28">
        <f>IF(OR(B1239="",F1239&lt;&gt;"Done",J1239="Package"),"",IF(N(G1239)-N(I1239)&gt;0,N(G1239)-N(I1239),""))</f>
        <v/>
      </c>
      <c r="L1239" s="32" t="n"/>
      <c r="M1239" s="1">
        <f>IF(OR(B1239="",D1239="",F1239="Cancelled"),"",B1239+N(C1239)+ROW()/10000000)</f>
        <v/>
      </c>
      <c r="N1239">
        <f>IF(AND(F1239="Done",M1239&lt;&gt;""),IF(COUNTIFS(Appointments!$D$6:$D$2005,D1239,Appointments!$F$6:$F$2005,"Done",Appointments!$M$6:$M$2005,"&gt;"&amp;M1239)=0,1,0),0)</f>
        <v/>
      </c>
      <c r="O1239">
        <f>IF(AND(F1239="Booked",M1239&lt;&gt;"",N(B1239)&gt;=TODAY()),IF(COUNTIFS(Appointments!$D$6:$D$2005,D1239,Appointments!$F$6:$F$2005,"Booked",Appointments!$B$6:$B$2005,"&gt;="&amp;TODAY(),Appointments!$M$6:$M$2005,"&lt;"&amp;M1239)=0,1,0),0)</f>
        <v/>
      </c>
    </row>
    <row r="1240">
      <c r="A1240" s="1" t="n"/>
      <c r="B1240" s="30" t="n"/>
      <c r="C1240" s="31" t="n"/>
      <c r="D1240" s="32" t="n"/>
      <c r="E1240" s="32" t="n"/>
      <c r="F1240" s="33" t="n"/>
      <c r="G1240" s="27">
        <f>IF(E1240="","",MAX(0,IFERROR(INDEX(Services!$C$6:$C$35,MATCH(E1240,Services!$B$6:$B$35,0)),0)-N(H1240)))</f>
        <v/>
      </c>
      <c r="H1240" s="34" t="n"/>
      <c r="I1240" s="34" t="n"/>
      <c r="J1240" s="33" t="n"/>
      <c r="K1240" s="28">
        <f>IF(OR(B1240="",F1240&lt;&gt;"Done",J1240="Package"),"",IF(N(G1240)-N(I1240)&gt;0,N(G1240)-N(I1240),""))</f>
        <v/>
      </c>
      <c r="L1240" s="32" t="n"/>
      <c r="M1240" s="1">
        <f>IF(OR(B1240="",D1240="",F1240="Cancelled"),"",B1240+N(C1240)+ROW()/10000000)</f>
        <v/>
      </c>
      <c r="N1240">
        <f>IF(AND(F1240="Done",M1240&lt;&gt;""),IF(COUNTIFS(Appointments!$D$6:$D$2005,D1240,Appointments!$F$6:$F$2005,"Done",Appointments!$M$6:$M$2005,"&gt;"&amp;M1240)=0,1,0),0)</f>
        <v/>
      </c>
      <c r="O1240">
        <f>IF(AND(F1240="Booked",M1240&lt;&gt;"",N(B1240)&gt;=TODAY()),IF(COUNTIFS(Appointments!$D$6:$D$2005,D1240,Appointments!$F$6:$F$2005,"Booked",Appointments!$B$6:$B$2005,"&gt;="&amp;TODAY(),Appointments!$M$6:$M$2005,"&lt;"&amp;M1240)=0,1,0),0)</f>
        <v/>
      </c>
    </row>
    <row r="1241">
      <c r="A1241" s="1" t="n"/>
      <c r="B1241" s="30" t="n"/>
      <c r="C1241" s="31" t="n"/>
      <c r="D1241" s="32" t="n"/>
      <c r="E1241" s="32" t="n"/>
      <c r="F1241" s="33" t="n"/>
      <c r="G1241" s="27">
        <f>IF(E1241="","",MAX(0,IFERROR(INDEX(Services!$C$6:$C$35,MATCH(E1241,Services!$B$6:$B$35,0)),0)-N(H1241)))</f>
        <v/>
      </c>
      <c r="H1241" s="34" t="n"/>
      <c r="I1241" s="34" t="n"/>
      <c r="J1241" s="33" t="n"/>
      <c r="K1241" s="28">
        <f>IF(OR(B1241="",F1241&lt;&gt;"Done",J1241="Package"),"",IF(N(G1241)-N(I1241)&gt;0,N(G1241)-N(I1241),""))</f>
        <v/>
      </c>
      <c r="L1241" s="32" t="n"/>
      <c r="M1241" s="1">
        <f>IF(OR(B1241="",D1241="",F1241="Cancelled"),"",B1241+N(C1241)+ROW()/10000000)</f>
        <v/>
      </c>
      <c r="N1241">
        <f>IF(AND(F1241="Done",M1241&lt;&gt;""),IF(COUNTIFS(Appointments!$D$6:$D$2005,D1241,Appointments!$F$6:$F$2005,"Done",Appointments!$M$6:$M$2005,"&gt;"&amp;M1241)=0,1,0),0)</f>
        <v/>
      </c>
      <c r="O1241">
        <f>IF(AND(F1241="Booked",M1241&lt;&gt;"",N(B1241)&gt;=TODAY()),IF(COUNTIFS(Appointments!$D$6:$D$2005,D1241,Appointments!$F$6:$F$2005,"Booked",Appointments!$B$6:$B$2005,"&gt;="&amp;TODAY(),Appointments!$M$6:$M$2005,"&lt;"&amp;M1241)=0,1,0),0)</f>
        <v/>
      </c>
    </row>
    <row r="1242">
      <c r="A1242" s="1" t="n"/>
      <c r="B1242" s="30" t="n"/>
      <c r="C1242" s="31" t="n"/>
      <c r="D1242" s="32" t="n"/>
      <c r="E1242" s="32" t="n"/>
      <c r="F1242" s="33" t="n"/>
      <c r="G1242" s="27">
        <f>IF(E1242="","",MAX(0,IFERROR(INDEX(Services!$C$6:$C$35,MATCH(E1242,Services!$B$6:$B$35,0)),0)-N(H1242)))</f>
        <v/>
      </c>
      <c r="H1242" s="34" t="n"/>
      <c r="I1242" s="34" t="n"/>
      <c r="J1242" s="33" t="n"/>
      <c r="K1242" s="28">
        <f>IF(OR(B1242="",F1242&lt;&gt;"Done",J1242="Package"),"",IF(N(G1242)-N(I1242)&gt;0,N(G1242)-N(I1242),""))</f>
        <v/>
      </c>
      <c r="L1242" s="32" t="n"/>
      <c r="M1242" s="1">
        <f>IF(OR(B1242="",D1242="",F1242="Cancelled"),"",B1242+N(C1242)+ROW()/10000000)</f>
        <v/>
      </c>
      <c r="N1242">
        <f>IF(AND(F1242="Done",M1242&lt;&gt;""),IF(COUNTIFS(Appointments!$D$6:$D$2005,D1242,Appointments!$F$6:$F$2005,"Done",Appointments!$M$6:$M$2005,"&gt;"&amp;M1242)=0,1,0),0)</f>
        <v/>
      </c>
      <c r="O1242">
        <f>IF(AND(F1242="Booked",M1242&lt;&gt;"",N(B1242)&gt;=TODAY()),IF(COUNTIFS(Appointments!$D$6:$D$2005,D1242,Appointments!$F$6:$F$2005,"Booked",Appointments!$B$6:$B$2005,"&gt;="&amp;TODAY(),Appointments!$M$6:$M$2005,"&lt;"&amp;M1242)=0,1,0),0)</f>
        <v/>
      </c>
    </row>
    <row r="1243">
      <c r="A1243" s="1" t="n"/>
      <c r="B1243" s="30" t="n"/>
      <c r="C1243" s="31" t="n"/>
      <c r="D1243" s="32" t="n"/>
      <c r="E1243" s="32" t="n"/>
      <c r="F1243" s="33" t="n"/>
      <c r="G1243" s="27">
        <f>IF(E1243="","",MAX(0,IFERROR(INDEX(Services!$C$6:$C$35,MATCH(E1243,Services!$B$6:$B$35,0)),0)-N(H1243)))</f>
        <v/>
      </c>
      <c r="H1243" s="34" t="n"/>
      <c r="I1243" s="34" t="n"/>
      <c r="J1243" s="33" t="n"/>
      <c r="K1243" s="28">
        <f>IF(OR(B1243="",F1243&lt;&gt;"Done",J1243="Package"),"",IF(N(G1243)-N(I1243)&gt;0,N(G1243)-N(I1243),""))</f>
        <v/>
      </c>
      <c r="L1243" s="32" t="n"/>
      <c r="M1243" s="1">
        <f>IF(OR(B1243="",D1243="",F1243="Cancelled"),"",B1243+N(C1243)+ROW()/10000000)</f>
        <v/>
      </c>
      <c r="N1243">
        <f>IF(AND(F1243="Done",M1243&lt;&gt;""),IF(COUNTIFS(Appointments!$D$6:$D$2005,D1243,Appointments!$F$6:$F$2005,"Done",Appointments!$M$6:$M$2005,"&gt;"&amp;M1243)=0,1,0),0)</f>
        <v/>
      </c>
      <c r="O1243">
        <f>IF(AND(F1243="Booked",M1243&lt;&gt;"",N(B1243)&gt;=TODAY()),IF(COUNTIFS(Appointments!$D$6:$D$2005,D1243,Appointments!$F$6:$F$2005,"Booked",Appointments!$B$6:$B$2005,"&gt;="&amp;TODAY(),Appointments!$M$6:$M$2005,"&lt;"&amp;M1243)=0,1,0),0)</f>
        <v/>
      </c>
    </row>
    <row r="1244">
      <c r="A1244" s="1" t="n"/>
      <c r="B1244" s="30" t="n"/>
      <c r="C1244" s="31" t="n"/>
      <c r="D1244" s="32" t="n"/>
      <c r="E1244" s="32" t="n"/>
      <c r="F1244" s="33" t="n"/>
      <c r="G1244" s="27">
        <f>IF(E1244="","",MAX(0,IFERROR(INDEX(Services!$C$6:$C$35,MATCH(E1244,Services!$B$6:$B$35,0)),0)-N(H1244)))</f>
        <v/>
      </c>
      <c r="H1244" s="34" t="n"/>
      <c r="I1244" s="34" t="n"/>
      <c r="J1244" s="33" t="n"/>
      <c r="K1244" s="28">
        <f>IF(OR(B1244="",F1244&lt;&gt;"Done",J1244="Package"),"",IF(N(G1244)-N(I1244)&gt;0,N(G1244)-N(I1244),""))</f>
        <v/>
      </c>
      <c r="L1244" s="32" t="n"/>
      <c r="M1244" s="1">
        <f>IF(OR(B1244="",D1244="",F1244="Cancelled"),"",B1244+N(C1244)+ROW()/10000000)</f>
        <v/>
      </c>
      <c r="N1244">
        <f>IF(AND(F1244="Done",M1244&lt;&gt;""),IF(COUNTIFS(Appointments!$D$6:$D$2005,D1244,Appointments!$F$6:$F$2005,"Done",Appointments!$M$6:$M$2005,"&gt;"&amp;M1244)=0,1,0),0)</f>
        <v/>
      </c>
      <c r="O1244">
        <f>IF(AND(F1244="Booked",M1244&lt;&gt;"",N(B1244)&gt;=TODAY()),IF(COUNTIFS(Appointments!$D$6:$D$2005,D1244,Appointments!$F$6:$F$2005,"Booked",Appointments!$B$6:$B$2005,"&gt;="&amp;TODAY(),Appointments!$M$6:$M$2005,"&lt;"&amp;M1244)=0,1,0),0)</f>
        <v/>
      </c>
    </row>
    <row r="1245">
      <c r="A1245" s="1" t="n"/>
      <c r="B1245" s="30" t="n"/>
      <c r="C1245" s="31" t="n"/>
      <c r="D1245" s="32" t="n"/>
      <c r="E1245" s="32" t="n"/>
      <c r="F1245" s="33" t="n"/>
      <c r="G1245" s="27">
        <f>IF(E1245="","",MAX(0,IFERROR(INDEX(Services!$C$6:$C$35,MATCH(E1245,Services!$B$6:$B$35,0)),0)-N(H1245)))</f>
        <v/>
      </c>
      <c r="H1245" s="34" t="n"/>
      <c r="I1245" s="34" t="n"/>
      <c r="J1245" s="33" t="n"/>
      <c r="K1245" s="28">
        <f>IF(OR(B1245="",F1245&lt;&gt;"Done",J1245="Package"),"",IF(N(G1245)-N(I1245)&gt;0,N(G1245)-N(I1245),""))</f>
        <v/>
      </c>
      <c r="L1245" s="32" t="n"/>
      <c r="M1245" s="1">
        <f>IF(OR(B1245="",D1245="",F1245="Cancelled"),"",B1245+N(C1245)+ROW()/10000000)</f>
        <v/>
      </c>
      <c r="N1245">
        <f>IF(AND(F1245="Done",M1245&lt;&gt;""),IF(COUNTIFS(Appointments!$D$6:$D$2005,D1245,Appointments!$F$6:$F$2005,"Done",Appointments!$M$6:$M$2005,"&gt;"&amp;M1245)=0,1,0),0)</f>
        <v/>
      </c>
      <c r="O1245">
        <f>IF(AND(F1245="Booked",M1245&lt;&gt;"",N(B1245)&gt;=TODAY()),IF(COUNTIFS(Appointments!$D$6:$D$2005,D1245,Appointments!$F$6:$F$2005,"Booked",Appointments!$B$6:$B$2005,"&gt;="&amp;TODAY(),Appointments!$M$6:$M$2005,"&lt;"&amp;M1245)=0,1,0),0)</f>
        <v/>
      </c>
    </row>
    <row r="1246">
      <c r="A1246" s="1" t="n"/>
      <c r="B1246" s="30" t="n"/>
      <c r="C1246" s="31" t="n"/>
      <c r="D1246" s="32" t="n"/>
      <c r="E1246" s="32" t="n"/>
      <c r="F1246" s="33" t="n"/>
      <c r="G1246" s="27">
        <f>IF(E1246="","",MAX(0,IFERROR(INDEX(Services!$C$6:$C$35,MATCH(E1246,Services!$B$6:$B$35,0)),0)-N(H1246)))</f>
        <v/>
      </c>
      <c r="H1246" s="34" t="n"/>
      <c r="I1246" s="34" t="n"/>
      <c r="J1246" s="33" t="n"/>
      <c r="K1246" s="28">
        <f>IF(OR(B1246="",F1246&lt;&gt;"Done",J1246="Package"),"",IF(N(G1246)-N(I1246)&gt;0,N(G1246)-N(I1246),""))</f>
        <v/>
      </c>
      <c r="L1246" s="32" t="n"/>
      <c r="M1246" s="1">
        <f>IF(OR(B1246="",D1246="",F1246="Cancelled"),"",B1246+N(C1246)+ROW()/10000000)</f>
        <v/>
      </c>
      <c r="N1246">
        <f>IF(AND(F1246="Done",M1246&lt;&gt;""),IF(COUNTIFS(Appointments!$D$6:$D$2005,D1246,Appointments!$F$6:$F$2005,"Done",Appointments!$M$6:$M$2005,"&gt;"&amp;M1246)=0,1,0),0)</f>
        <v/>
      </c>
      <c r="O1246">
        <f>IF(AND(F1246="Booked",M1246&lt;&gt;"",N(B1246)&gt;=TODAY()),IF(COUNTIFS(Appointments!$D$6:$D$2005,D1246,Appointments!$F$6:$F$2005,"Booked",Appointments!$B$6:$B$2005,"&gt;="&amp;TODAY(),Appointments!$M$6:$M$2005,"&lt;"&amp;M1246)=0,1,0),0)</f>
        <v/>
      </c>
    </row>
    <row r="1247">
      <c r="A1247" s="1" t="n"/>
      <c r="B1247" s="30" t="n"/>
      <c r="C1247" s="31" t="n"/>
      <c r="D1247" s="32" t="n"/>
      <c r="E1247" s="32" t="n"/>
      <c r="F1247" s="33" t="n"/>
      <c r="G1247" s="27">
        <f>IF(E1247="","",MAX(0,IFERROR(INDEX(Services!$C$6:$C$35,MATCH(E1247,Services!$B$6:$B$35,0)),0)-N(H1247)))</f>
        <v/>
      </c>
      <c r="H1247" s="34" t="n"/>
      <c r="I1247" s="34" t="n"/>
      <c r="J1247" s="33" t="n"/>
      <c r="K1247" s="28">
        <f>IF(OR(B1247="",F1247&lt;&gt;"Done",J1247="Package"),"",IF(N(G1247)-N(I1247)&gt;0,N(G1247)-N(I1247),""))</f>
        <v/>
      </c>
      <c r="L1247" s="32" t="n"/>
      <c r="M1247" s="1">
        <f>IF(OR(B1247="",D1247="",F1247="Cancelled"),"",B1247+N(C1247)+ROW()/10000000)</f>
        <v/>
      </c>
      <c r="N1247">
        <f>IF(AND(F1247="Done",M1247&lt;&gt;""),IF(COUNTIFS(Appointments!$D$6:$D$2005,D1247,Appointments!$F$6:$F$2005,"Done",Appointments!$M$6:$M$2005,"&gt;"&amp;M1247)=0,1,0),0)</f>
        <v/>
      </c>
      <c r="O1247">
        <f>IF(AND(F1247="Booked",M1247&lt;&gt;"",N(B1247)&gt;=TODAY()),IF(COUNTIFS(Appointments!$D$6:$D$2005,D1247,Appointments!$F$6:$F$2005,"Booked",Appointments!$B$6:$B$2005,"&gt;="&amp;TODAY(),Appointments!$M$6:$M$2005,"&lt;"&amp;M1247)=0,1,0),0)</f>
        <v/>
      </c>
    </row>
    <row r="1248">
      <c r="A1248" s="1" t="n"/>
      <c r="B1248" s="30" t="n"/>
      <c r="C1248" s="31" t="n"/>
      <c r="D1248" s="32" t="n"/>
      <c r="E1248" s="32" t="n"/>
      <c r="F1248" s="33" t="n"/>
      <c r="G1248" s="27">
        <f>IF(E1248="","",MAX(0,IFERROR(INDEX(Services!$C$6:$C$35,MATCH(E1248,Services!$B$6:$B$35,0)),0)-N(H1248)))</f>
        <v/>
      </c>
      <c r="H1248" s="34" t="n"/>
      <c r="I1248" s="34" t="n"/>
      <c r="J1248" s="33" t="n"/>
      <c r="K1248" s="28">
        <f>IF(OR(B1248="",F1248&lt;&gt;"Done",J1248="Package"),"",IF(N(G1248)-N(I1248)&gt;0,N(G1248)-N(I1248),""))</f>
        <v/>
      </c>
      <c r="L1248" s="32" t="n"/>
      <c r="M1248" s="1">
        <f>IF(OR(B1248="",D1248="",F1248="Cancelled"),"",B1248+N(C1248)+ROW()/10000000)</f>
        <v/>
      </c>
      <c r="N1248">
        <f>IF(AND(F1248="Done",M1248&lt;&gt;""),IF(COUNTIFS(Appointments!$D$6:$D$2005,D1248,Appointments!$F$6:$F$2005,"Done",Appointments!$M$6:$M$2005,"&gt;"&amp;M1248)=0,1,0),0)</f>
        <v/>
      </c>
      <c r="O1248">
        <f>IF(AND(F1248="Booked",M1248&lt;&gt;"",N(B1248)&gt;=TODAY()),IF(COUNTIFS(Appointments!$D$6:$D$2005,D1248,Appointments!$F$6:$F$2005,"Booked",Appointments!$B$6:$B$2005,"&gt;="&amp;TODAY(),Appointments!$M$6:$M$2005,"&lt;"&amp;M1248)=0,1,0),0)</f>
        <v/>
      </c>
    </row>
    <row r="1249">
      <c r="A1249" s="1" t="n"/>
      <c r="B1249" s="30" t="n"/>
      <c r="C1249" s="31" t="n"/>
      <c r="D1249" s="32" t="n"/>
      <c r="E1249" s="32" t="n"/>
      <c r="F1249" s="33" t="n"/>
      <c r="G1249" s="27">
        <f>IF(E1249="","",MAX(0,IFERROR(INDEX(Services!$C$6:$C$35,MATCH(E1249,Services!$B$6:$B$35,0)),0)-N(H1249)))</f>
        <v/>
      </c>
      <c r="H1249" s="34" t="n"/>
      <c r="I1249" s="34" t="n"/>
      <c r="J1249" s="33" t="n"/>
      <c r="K1249" s="28">
        <f>IF(OR(B1249="",F1249&lt;&gt;"Done",J1249="Package"),"",IF(N(G1249)-N(I1249)&gt;0,N(G1249)-N(I1249),""))</f>
        <v/>
      </c>
      <c r="L1249" s="32" t="n"/>
      <c r="M1249" s="1">
        <f>IF(OR(B1249="",D1249="",F1249="Cancelled"),"",B1249+N(C1249)+ROW()/10000000)</f>
        <v/>
      </c>
      <c r="N1249">
        <f>IF(AND(F1249="Done",M1249&lt;&gt;""),IF(COUNTIFS(Appointments!$D$6:$D$2005,D1249,Appointments!$F$6:$F$2005,"Done",Appointments!$M$6:$M$2005,"&gt;"&amp;M1249)=0,1,0),0)</f>
        <v/>
      </c>
      <c r="O1249">
        <f>IF(AND(F1249="Booked",M1249&lt;&gt;"",N(B1249)&gt;=TODAY()),IF(COUNTIFS(Appointments!$D$6:$D$2005,D1249,Appointments!$F$6:$F$2005,"Booked",Appointments!$B$6:$B$2005,"&gt;="&amp;TODAY(),Appointments!$M$6:$M$2005,"&lt;"&amp;M1249)=0,1,0),0)</f>
        <v/>
      </c>
    </row>
    <row r="1250">
      <c r="A1250" s="1" t="n"/>
      <c r="B1250" s="30" t="n"/>
      <c r="C1250" s="31" t="n"/>
      <c r="D1250" s="32" t="n"/>
      <c r="E1250" s="32" t="n"/>
      <c r="F1250" s="33" t="n"/>
      <c r="G1250" s="27">
        <f>IF(E1250="","",MAX(0,IFERROR(INDEX(Services!$C$6:$C$35,MATCH(E1250,Services!$B$6:$B$35,0)),0)-N(H1250)))</f>
        <v/>
      </c>
      <c r="H1250" s="34" t="n"/>
      <c r="I1250" s="34" t="n"/>
      <c r="J1250" s="33" t="n"/>
      <c r="K1250" s="28">
        <f>IF(OR(B1250="",F1250&lt;&gt;"Done",J1250="Package"),"",IF(N(G1250)-N(I1250)&gt;0,N(G1250)-N(I1250),""))</f>
        <v/>
      </c>
      <c r="L1250" s="32" t="n"/>
      <c r="M1250" s="1">
        <f>IF(OR(B1250="",D1250="",F1250="Cancelled"),"",B1250+N(C1250)+ROW()/10000000)</f>
        <v/>
      </c>
      <c r="N1250">
        <f>IF(AND(F1250="Done",M1250&lt;&gt;""),IF(COUNTIFS(Appointments!$D$6:$D$2005,D1250,Appointments!$F$6:$F$2005,"Done",Appointments!$M$6:$M$2005,"&gt;"&amp;M1250)=0,1,0),0)</f>
        <v/>
      </c>
      <c r="O1250">
        <f>IF(AND(F1250="Booked",M1250&lt;&gt;"",N(B1250)&gt;=TODAY()),IF(COUNTIFS(Appointments!$D$6:$D$2005,D1250,Appointments!$F$6:$F$2005,"Booked",Appointments!$B$6:$B$2005,"&gt;="&amp;TODAY(),Appointments!$M$6:$M$2005,"&lt;"&amp;M1250)=0,1,0),0)</f>
        <v/>
      </c>
    </row>
    <row r="1251">
      <c r="A1251" s="1" t="n"/>
      <c r="B1251" s="30" t="n"/>
      <c r="C1251" s="31" t="n"/>
      <c r="D1251" s="32" t="n"/>
      <c r="E1251" s="32" t="n"/>
      <c r="F1251" s="33" t="n"/>
      <c r="G1251" s="27">
        <f>IF(E1251="","",MAX(0,IFERROR(INDEX(Services!$C$6:$C$35,MATCH(E1251,Services!$B$6:$B$35,0)),0)-N(H1251)))</f>
        <v/>
      </c>
      <c r="H1251" s="34" t="n"/>
      <c r="I1251" s="34" t="n"/>
      <c r="J1251" s="33" t="n"/>
      <c r="K1251" s="28">
        <f>IF(OR(B1251="",F1251&lt;&gt;"Done",J1251="Package"),"",IF(N(G1251)-N(I1251)&gt;0,N(G1251)-N(I1251),""))</f>
        <v/>
      </c>
      <c r="L1251" s="32" t="n"/>
      <c r="M1251" s="1">
        <f>IF(OR(B1251="",D1251="",F1251="Cancelled"),"",B1251+N(C1251)+ROW()/10000000)</f>
        <v/>
      </c>
      <c r="N1251">
        <f>IF(AND(F1251="Done",M1251&lt;&gt;""),IF(COUNTIFS(Appointments!$D$6:$D$2005,D1251,Appointments!$F$6:$F$2005,"Done",Appointments!$M$6:$M$2005,"&gt;"&amp;M1251)=0,1,0),0)</f>
        <v/>
      </c>
      <c r="O1251">
        <f>IF(AND(F1251="Booked",M1251&lt;&gt;"",N(B1251)&gt;=TODAY()),IF(COUNTIFS(Appointments!$D$6:$D$2005,D1251,Appointments!$F$6:$F$2005,"Booked",Appointments!$B$6:$B$2005,"&gt;="&amp;TODAY(),Appointments!$M$6:$M$2005,"&lt;"&amp;M1251)=0,1,0),0)</f>
        <v/>
      </c>
    </row>
    <row r="1252">
      <c r="A1252" s="1" t="n"/>
      <c r="B1252" s="30" t="n"/>
      <c r="C1252" s="31" t="n"/>
      <c r="D1252" s="32" t="n"/>
      <c r="E1252" s="32" t="n"/>
      <c r="F1252" s="33" t="n"/>
      <c r="G1252" s="27">
        <f>IF(E1252="","",MAX(0,IFERROR(INDEX(Services!$C$6:$C$35,MATCH(E1252,Services!$B$6:$B$35,0)),0)-N(H1252)))</f>
        <v/>
      </c>
      <c r="H1252" s="34" t="n"/>
      <c r="I1252" s="34" t="n"/>
      <c r="J1252" s="33" t="n"/>
      <c r="K1252" s="28">
        <f>IF(OR(B1252="",F1252&lt;&gt;"Done",J1252="Package"),"",IF(N(G1252)-N(I1252)&gt;0,N(G1252)-N(I1252),""))</f>
        <v/>
      </c>
      <c r="L1252" s="32" t="n"/>
      <c r="M1252" s="1">
        <f>IF(OR(B1252="",D1252="",F1252="Cancelled"),"",B1252+N(C1252)+ROW()/10000000)</f>
        <v/>
      </c>
      <c r="N1252">
        <f>IF(AND(F1252="Done",M1252&lt;&gt;""),IF(COUNTIFS(Appointments!$D$6:$D$2005,D1252,Appointments!$F$6:$F$2005,"Done",Appointments!$M$6:$M$2005,"&gt;"&amp;M1252)=0,1,0),0)</f>
        <v/>
      </c>
      <c r="O1252">
        <f>IF(AND(F1252="Booked",M1252&lt;&gt;"",N(B1252)&gt;=TODAY()),IF(COUNTIFS(Appointments!$D$6:$D$2005,D1252,Appointments!$F$6:$F$2005,"Booked",Appointments!$B$6:$B$2005,"&gt;="&amp;TODAY(),Appointments!$M$6:$M$2005,"&lt;"&amp;M1252)=0,1,0),0)</f>
        <v/>
      </c>
    </row>
    <row r="1253">
      <c r="A1253" s="1" t="n"/>
      <c r="B1253" s="30" t="n"/>
      <c r="C1253" s="31" t="n"/>
      <c r="D1253" s="32" t="n"/>
      <c r="E1253" s="32" t="n"/>
      <c r="F1253" s="33" t="n"/>
      <c r="G1253" s="27">
        <f>IF(E1253="","",MAX(0,IFERROR(INDEX(Services!$C$6:$C$35,MATCH(E1253,Services!$B$6:$B$35,0)),0)-N(H1253)))</f>
        <v/>
      </c>
      <c r="H1253" s="34" t="n"/>
      <c r="I1253" s="34" t="n"/>
      <c r="J1253" s="33" t="n"/>
      <c r="K1253" s="28">
        <f>IF(OR(B1253="",F1253&lt;&gt;"Done",J1253="Package"),"",IF(N(G1253)-N(I1253)&gt;0,N(G1253)-N(I1253),""))</f>
        <v/>
      </c>
      <c r="L1253" s="32" t="n"/>
      <c r="M1253" s="1">
        <f>IF(OR(B1253="",D1253="",F1253="Cancelled"),"",B1253+N(C1253)+ROW()/10000000)</f>
        <v/>
      </c>
      <c r="N1253">
        <f>IF(AND(F1253="Done",M1253&lt;&gt;""),IF(COUNTIFS(Appointments!$D$6:$D$2005,D1253,Appointments!$F$6:$F$2005,"Done",Appointments!$M$6:$M$2005,"&gt;"&amp;M1253)=0,1,0),0)</f>
        <v/>
      </c>
      <c r="O1253">
        <f>IF(AND(F1253="Booked",M1253&lt;&gt;"",N(B1253)&gt;=TODAY()),IF(COUNTIFS(Appointments!$D$6:$D$2005,D1253,Appointments!$F$6:$F$2005,"Booked",Appointments!$B$6:$B$2005,"&gt;="&amp;TODAY(),Appointments!$M$6:$M$2005,"&lt;"&amp;M1253)=0,1,0),0)</f>
        <v/>
      </c>
    </row>
    <row r="1254">
      <c r="A1254" s="1" t="n"/>
      <c r="B1254" s="30" t="n"/>
      <c r="C1254" s="31" t="n"/>
      <c r="D1254" s="32" t="n"/>
      <c r="E1254" s="32" t="n"/>
      <c r="F1254" s="33" t="n"/>
      <c r="G1254" s="27">
        <f>IF(E1254="","",MAX(0,IFERROR(INDEX(Services!$C$6:$C$35,MATCH(E1254,Services!$B$6:$B$35,0)),0)-N(H1254)))</f>
        <v/>
      </c>
      <c r="H1254" s="34" t="n"/>
      <c r="I1254" s="34" t="n"/>
      <c r="J1254" s="33" t="n"/>
      <c r="K1254" s="28">
        <f>IF(OR(B1254="",F1254&lt;&gt;"Done",J1254="Package"),"",IF(N(G1254)-N(I1254)&gt;0,N(G1254)-N(I1254),""))</f>
        <v/>
      </c>
      <c r="L1254" s="32" t="n"/>
      <c r="M1254" s="1">
        <f>IF(OR(B1254="",D1254="",F1254="Cancelled"),"",B1254+N(C1254)+ROW()/10000000)</f>
        <v/>
      </c>
      <c r="N1254">
        <f>IF(AND(F1254="Done",M1254&lt;&gt;""),IF(COUNTIFS(Appointments!$D$6:$D$2005,D1254,Appointments!$F$6:$F$2005,"Done",Appointments!$M$6:$M$2005,"&gt;"&amp;M1254)=0,1,0),0)</f>
        <v/>
      </c>
      <c r="O1254">
        <f>IF(AND(F1254="Booked",M1254&lt;&gt;"",N(B1254)&gt;=TODAY()),IF(COUNTIFS(Appointments!$D$6:$D$2005,D1254,Appointments!$F$6:$F$2005,"Booked",Appointments!$B$6:$B$2005,"&gt;="&amp;TODAY(),Appointments!$M$6:$M$2005,"&lt;"&amp;M1254)=0,1,0),0)</f>
        <v/>
      </c>
    </row>
    <row r="1255">
      <c r="A1255" s="1" t="n"/>
      <c r="B1255" s="30" t="n"/>
      <c r="C1255" s="31" t="n"/>
      <c r="D1255" s="32" t="n"/>
      <c r="E1255" s="32" t="n"/>
      <c r="F1255" s="33" t="n"/>
      <c r="G1255" s="27">
        <f>IF(E1255="","",MAX(0,IFERROR(INDEX(Services!$C$6:$C$35,MATCH(E1255,Services!$B$6:$B$35,0)),0)-N(H1255)))</f>
        <v/>
      </c>
      <c r="H1255" s="34" t="n"/>
      <c r="I1255" s="34" t="n"/>
      <c r="J1255" s="33" t="n"/>
      <c r="K1255" s="28">
        <f>IF(OR(B1255="",F1255&lt;&gt;"Done",J1255="Package"),"",IF(N(G1255)-N(I1255)&gt;0,N(G1255)-N(I1255),""))</f>
        <v/>
      </c>
      <c r="L1255" s="32" t="n"/>
      <c r="M1255" s="1">
        <f>IF(OR(B1255="",D1255="",F1255="Cancelled"),"",B1255+N(C1255)+ROW()/10000000)</f>
        <v/>
      </c>
      <c r="N1255">
        <f>IF(AND(F1255="Done",M1255&lt;&gt;""),IF(COUNTIFS(Appointments!$D$6:$D$2005,D1255,Appointments!$F$6:$F$2005,"Done",Appointments!$M$6:$M$2005,"&gt;"&amp;M1255)=0,1,0),0)</f>
        <v/>
      </c>
      <c r="O1255">
        <f>IF(AND(F1255="Booked",M1255&lt;&gt;"",N(B1255)&gt;=TODAY()),IF(COUNTIFS(Appointments!$D$6:$D$2005,D1255,Appointments!$F$6:$F$2005,"Booked",Appointments!$B$6:$B$2005,"&gt;="&amp;TODAY(),Appointments!$M$6:$M$2005,"&lt;"&amp;M1255)=0,1,0),0)</f>
        <v/>
      </c>
    </row>
    <row r="1256">
      <c r="A1256" s="1" t="n"/>
      <c r="B1256" s="30" t="n"/>
      <c r="C1256" s="31" t="n"/>
      <c r="D1256" s="32" t="n"/>
      <c r="E1256" s="32" t="n"/>
      <c r="F1256" s="33" t="n"/>
      <c r="G1256" s="27">
        <f>IF(E1256="","",MAX(0,IFERROR(INDEX(Services!$C$6:$C$35,MATCH(E1256,Services!$B$6:$B$35,0)),0)-N(H1256)))</f>
        <v/>
      </c>
      <c r="H1256" s="34" t="n"/>
      <c r="I1256" s="34" t="n"/>
      <c r="J1256" s="33" t="n"/>
      <c r="K1256" s="28">
        <f>IF(OR(B1256="",F1256&lt;&gt;"Done",J1256="Package"),"",IF(N(G1256)-N(I1256)&gt;0,N(G1256)-N(I1256),""))</f>
        <v/>
      </c>
      <c r="L1256" s="32" t="n"/>
      <c r="M1256" s="1">
        <f>IF(OR(B1256="",D1256="",F1256="Cancelled"),"",B1256+N(C1256)+ROW()/10000000)</f>
        <v/>
      </c>
      <c r="N1256">
        <f>IF(AND(F1256="Done",M1256&lt;&gt;""),IF(COUNTIFS(Appointments!$D$6:$D$2005,D1256,Appointments!$F$6:$F$2005,"Done",Appointments!$M$6:$M$2005,"&gt;"&amp;M1256)=0,1,0),0)</f>
        <v/>
      </c>
      <c r="O1256">
        <f>IF(AND(F1256="Booked",M1256&lt;&gt;"",N(B1256)&gt;=TODAY()),IF(COUNTIFS(Appointments!$D$6:$D$2005,D1256,Appointments!$F$6:$F$2005,"Booked",Appointments!$B$6:$B$2005,"&gt;="&amp;TODAY(),Appointments!$M$6:$M$2005,"&lt;"&amp;M1256)=0,1,0),0)</f>
        <v/>
      </c>
    </row>
    <row r="1257">
      <c r="A1257" s="1" t="n"/>
      <c r="B1257" s="30" t="n"/>
      <c r="C1257" s="31" t="n"/>
      <c r="D1257" s="32" t="n"/>
      <c r="E1257" s="32" t="n"/>
      <c r="F1257" s="33" t="n"/>
      <c r="G1257" s="27">
        <f>IF(E1257="","",MAX(0,IFERROR(INDEX(Services!$C$6:$C$35,MATCH(E1257,Services!$B$6:$B$35,0)),0)-N(H1257)))</f>
        <v/>
      </c>
      <c r="H1257" s="34" t="n"/>
      <c r="I1257" s="34" t="n"/>
      <c r="J1257" s="33" t="n"/>
      <c r="K1257" s="28">
        <f>IF(OR(B1257="",F1257&lt;&gt;"Done",J1257="Package"),"",IF(N(G1257)-N(I1257)&gt;0,N(G1257)-N(I1257),""))</f>
        <v/>
      </c>
      <c r="L1257" s="32" t="n"/>
      <c r="M1257" s="1">
        <f>IF(OR(B1257="",D1257="",F1257="Cancelled"),"",B1257+N(C1257)+ROW()/10000000)</f>
        <v/>
      </c>
      <c r="N1257">
        <f>IF(AND(F1257="Done",M1257&lt;&gt;""),IF(COUNTIFS(Appointments!$D$6:$D$2005,D1257,Appointments!$F$6:$F$2005,"Done",Appointments!$M$6:$M$2005,"&gt;"&amp;M1257)=0,1,0),0)</f>
        <v/>
      </c>
      <c r="O1257">
        <f>IF(AND(F1257="Booked",M1257&lt;&gt;"",N(B1257)&gt;=TODAY()),IF(COUNTIFS(Appointments!$D$6:$D$2005,D1257,Appointments!$F$6:$F$2005,"Booked",Appointments!$B$6:$B$2005,"&gt;="&amp;TODAY(),Appointments!$M$6:$M$2005,"&lt;"&amp;M1257)=0,1,0),0)</f>
        <v/>
      </c>
    </row>
    <row r="1258">
      <c r="A1258" s="1" t="n"/>
      <c r="B1258" s="30" t="n"/>
      <c r="C1258" s="31" t="n"/>
      <c r="D1258" s="32" t="n"/>
      <c r="E1258" s="32" t="n"/>
      <c r="F1258" s="33" t="n"/>
      <c r="G1258" s="27">
        <f>IF(E1258="","",MAX(0,IFERROR(INDEX(Services!$C$6:$C$35,MATCH(E1258,Services!$B$6:$B$35,0)),0)-N(H1258)))</f>
        <v/>
      </c>
      <c r="H1258" s="34" t="n"/>
      <c r="I1258" s="34" t="n"/>
      <c r="J1258" s="33" t="n"/>
      <c r="K1258" s="28">
        <f>IF(OR(B1258="",F1258&lt;&gt;"Done",J1258="Package"),"",IF(N(G1258)-N(I1258)&gt;0,N(G1258)-N(I1258),""))</f>
        <v/>
      </c>
      <c r="L1258" s="32" t="n"/>
      <c r="M1258" s="1">
        <f>IF(OR(B1258="",D1258="",F1258="Cancelled"),"",B1258+N(C1258)+ROW()/10000000)</f>
        <v/>
      </c>
      <c r="N1258">
        <f>IF(AND(F1258="Done",M1258&lt;&gt;""),IF(COUNTIFS(Appointments!$D$6:$D$2005,D1258,Appointments!$F$6:$F$2005,"Done",Appointments!$M$6:$M$2005,"&gt;"&amp;M1258)=0,1,0),0)</f>
        <v/>
      </c>
      <c r="O1258">
        <f>IF(AND(F1258="Booked",M1258&lt;&gt;"",N(B1258)&gt;=TODAY()),IF(COUNTIFS(Appointments!$D$6:$D$2005,D1258,Appointments!$F$6:$F$2005,"Booked",Appointments!$B$6:$B$2005,"&gt;="&amp;TODAY(),Appointments!$M$6:$M$2005,"&lt;"&amp;M1258)=0,1,0),0)</f>
        <v/>
      </c>
    </row>
    <row r="1259">
      <c r="A1259" s="1" t="n"/>
      <c r="B1259" s="30" t="n"/>
      <c r="C1259" s="31" t="n"/>
      <c r="D1259" s="32" t="n"/>
      <c r="E1259" s="32" t="n"/>
      <c r="F1259" s="33" t="n"/>
      <c r="G1259" s="27">
        <f>IF(E1259="","",MAX(0,IFERROR(INDEX(Services!$C$6:$C$35,MATCH(E1259,Services!$B$6:$B$35,0)),0)-N(H1259)))</f>
        <v/>
      </c>
      <c r="H1259" s="34" t="n"/>
      <c r="I1259" s="34" t="n"/>
      <c r="J1259" s="33" t="n"/>
      <c r="K1259" s="28">
        <f>IF(OR(B1259="",F1259&lt;&gt;"Done",J1259="Package"),"",IF(N(G1259)-N(I1259)&gt;0,N(G1259)-N(I1259),""))</f>
        <v/>
      </c>
      <c r="L1259" s="32" t="n"/>
      <c r="M1259" s="1">
        <f>IF(OR(B1259="",D1259="",F1259="Cancelled"),"",B1259+N(C1259)+ROW()/10000000)</f>
        <v/>
      </c>
      <c r="N1259">
        <f>IF(AND(F1259="Done",M1259&lt;&gt;""),IF(COUNTIFS(Appointments!$D$6:$D$2005,D1259,Appointments!$F$6:$F$2005,"Done",Appointments!$M$6:$M$2005,"&gt;"&amp;M1259)=0,1,0),0)</f>
        <v/>
      </c>
      <c r="O1259">
        <f>IF(AND(F1259="Booked",M1259&lt;&gt;"",N(B1259)&gt;=TODAY()),IF(COUNTIFS(Appointments!$D$6:$D$2005,D1259,Appointments!$F$6:$F$2005,"Booked",Appointments!$B$6:$B$2005,"&gt;="&amp;TODAY(),Appointments!$M$6:$M$2005,"&lt;"&amp;M1259)=0,1,0),0)</f>
        <v/>
      </c>
    </row>
    <row r="1260">
      <c r="A1260" s="1" t="n"/>
      <c r="B1260" s="30" t="n"/>
      <c r="C1260" s="31" t="n"/>
      <c r="D1260" s="32" t="n"/>
      <c r="E1260" s="32" t="n"/>
      <c r="F1260" s="33" t="n"/>
      <c r="G1260" s="27">
        <f>IF(E1260="","",MAX(0,IFERROR(INDEX(Services!$C$6:$C$35,MATCH(E1260,Services!$B$6:$B$35,0)),0)-N(H1260)))</f>
        <v/>
      </c>
      <c r="H1260" s="34" t="n"/>
      <c r="I1260" s="34" t="n"/>
      <c r="J1260" s="33" t="n"/>
      <c r="K1260" s="28">
        <f>IF(OR(B1260="",F1260&lt;&gt;"Done",J1260="Package"),"",IF(N(G1260)-N(I1260)&gt;0,N(G1260)-N(I1260),""))</f>
        <v/>
      </c>
      <c r="L1260" s="32" t="n"/>
      <c r="M1260" s="1">
        <f>IF(OR(B1260="",D1260="",F1260="Cancelled"),"",B1260+N(C1260)+ROW()/10000000)</f>
        <v/>
      </c>
      <c r="N1260">
        <f>IF(AND(F1260="Done",M1260&lt;&gt;""),IF(COUNTIFS(Appointments!$D$6:$D$2005,D1260,Appointments!$F$6:$F$2005,"Done",Appointments!$M$6:$M$2005,"&gt;"&amp;M1260)=0,1,0),0)</f>
        <v/>
      </c>
      <c r="O1260">
        <f>IF(AND(F1260="Booked",M1260&lt;&gt;"",N(B1260)&gt;=TODAY()),IF(COUNTIFS(Appointments!$D$6:$D$2005,D1260,Appointments!$F$6:$F$2005,"Booked",Appointments!$B$6:$B$2005,"&gt;="&amp;TODAY(),Appointments!$M$6:$M$2005,"&lt;"&amp;M1260)=0,1,0),0)</f>
        <v/>
      </c>
    </row>
    <row r="1261">
      <c r="A1261" s="1" t="n"/>
      <c r="B1261" s="30" t="n"/>
      <c r="C1261" s="31" t="n"/>
      <c r="D1261" s="32" t="n"/>
      <c r="E1261" s="32" t="n"/>
      <c r="F1261" s="33" t="n"/>
      <c r="G1261" s="27">
        <f>IF(E1261="","",MAX(0,IFERROR(INDEX(Services!$C$6:$C$35,MATCH(E1261,Services!$B$6:$B$35,0)),0)-N(H1261)))</f>
        <v/>
      </c>
      <c r="H1261" s="34" t="n"/>
      <c r="I1261" s="34" t="n"/>
      <c r="J1261" s="33" t="n"/>
      <c r="K1261" s="28">
        <f>IF(OR(B1261="",F1261&lt;&gt;"Done",J1261="Package"),"",IF(N(G1261)-N(I1261)&gt;0,N(G1261)-N(I1261),""))</f>
        <v/>
      </c>
      <c r="L1261" s="32" t="n"/>
      <c r="M1261" s="1">
        <f>IF(OR(B1261="",D1261="",F1261="Cancelled"),"",B1261+N(C1261)+ROW()/10000000)</f>
        <v/>
      </c>
      <c r="N1261">
        <f>IF(AND(F1261="Done",M1261&lt;&gt;""),IF(COUNTIFS(Appointments!$D$6:$D$2005,D1261,Appointments!$F$6:$F$2005,"Done",Appointments!$M$6:$M$2005,"&gt;"&amp;M1261)=0,1,0),0)</f>
        <v/>
      </c>
      <c r="O1261">
        <f>IF(AND(F1261="Booked",M1261&lt;&gt;"",N(B1261)&gt;=TODAY()),IF(COUNTIFS(Appointments!$D$6:$D$2005,D1261,Appointments!$F$6:$F$2005,"Booked",Appointments!$B$6:$B$2005,"&gt;="&amp;TODAY(),Appointments!$M$6:$M$2005,"&lt;"&amp;M1261)=0,1,0),0)</f>
        <v/>
      </c>
    </row>
    <row r="1262">
      <c r="A1262" s="1" t="n"/>
      <c r="B1262" s="30" t="n"/>
      <c r="C1262" s="31" t="n"/>
      <c r="D1262" s="32" t="n"/>
      <c r="E1262" s="32" t="n"/>
      <c r="F1262" s="33" t="n"/>
      <c r="G1262" s="27">
        <f>IF(E1262="","",MAX(0,IFERROR(INDEX(Services!$C$6:$C$35,MATCH(E1262,Services!$B$6:$B$35,0)),0)-N(H1262)))</f>
        <v/>
      </c>
      <c r="H1262" s="34" t="n"/>
      <c r="I1262" s="34" t="n"/>
      <c r="J1262" s="33" t="n"/>
      <c r="K1262" s="28">
        <f>IF(OR(B1262="",F1262&lt;&gt;"Done",J1262="Package"),"",IF(N(G1262)-N(I1262)&gt;0,N(G1262)-N(I1262),""))</f>
        <v/>
      </c>
      <c r="L1262" s="32" t="n"/>
      <c r="M1262" s="1">
        <f>IF(OR(B1262="",D1262="",F1262="Cancelled"),"",B1262+N(C1262)+ROW()/10000000)</f>
        <v/>
      </c>
      <c r="N1262">
        <f>IF(AND(F1262="Done",M1262&lt;&gt;""),IF(COUNTIFS(Appointments!$D$6:$D$2005,D1262,Appointments!$F$6:$F$2005,"Done",Appointments!$M$6:$M$2005,"&gt;"&amp;M1262)=0,1,0),0)</f>
        <v/>
      </c>
      <c r="O1262">
        <f>IF(AND(F1262="Booked",M1262&lt;&gt;"",N(B1262)&gt;=TODAY()),IF(COUNTIFS(Appointments!$D$6:$D$2005,D1262,Appointments!$F$6:$F$2005,"Booked",Appointments!$B$6:$B$2005,"&gt;="&amp;TODAY(),Appointments!$M$6:$M$2005,"&lt;"&amp;M1262)=0,1,0),0)</f>
        <v/>
      </c>
    </row>
    <row r="1263">
      <c r="A1263" s="1" t="n"/>
      <c r="B1263" s="30" t="n"/>
      <c r="C1263" s="31" t="n"/>
      <c r="D1263" s="32" t="n"/>
      <c r="E1263" s="32" t="n"/>
      <c r="F1263" s="33" t="n"/>
      <c r="G1263" s="27">
        <f>IF(E1263="","",MAX(0,IFERROR(INDEX(Services!$C$6:$C$35,MATCH(E1263,Services!$B$6:$B$35,0)),0)-N(H1263)))</f>
        <v/>
      </c>
      <c r="H1263" s="34" t="n"/>
      <c r="I1263" s="34" t="n"/>
      <c r="J1263" s="33" t="n"/>
      <c r="K1263" s="28">
        <f>IF(OR(B1263="",F1263&lt;&gt;"Done",J1263="Package"),"",IF(N(G1263)-N(I1263)&gt;0,N(G1263)-N(I1263),""))</f>
        <v/>
      </c>
      <c r="L1263" s="32" t="n"/>
      <c r="M1263" s="1">
        <f>IF(OR(B1263="",D1263="",F1263="Cancelled"),"",B1263+N(C1263)+ROW()/10000000)</f>
        <v/>
      </c>
      <c r="N1263">
        <f>IF(AND(F1263="Done",M1263&lt;&gt;""),IF(COUNTIFS(Appointments!$D$6:$D$2005,D1263,Appointments!$F$6:$F$2005,"Done",Appointments!$M$6:$M$2005,"&gt;"&amp;M1263)=0,1,0),0)</f>
        <v/>
      </c>
      <c r="O1263">
        <f>IF(AND(F1263="Booked",M1263&lt;&gt;"",N(B1263)&gt;=TODAY()),IF(COUNTIFS(Appointments!$D$6:$D$2005,D1263,Appointments!$F$6:$F$2005,"Booked",Appointments!$B$6:$B$2005,"&gt;="&amp;TODAY(),Appointments!$M$6:$M$2005,"&lt;"&amp;M1263)=0,1,0),0)</f>
        <v/>
      </c>
    </row>
    <row r="1264">
      <c r="A1264" s="1" t="n"/>
      <c r="B1264" s="30" t="n"/>
      <c r="C1264" s="31" t="n"/>
      <c r="D1264" s="32" t="n"/>
      <c r="E1264" s="32" t="n"/>
      <c r="F1264" s="33" t="n"/>
      <c r="G1264" s="27">
        <f>IF(E1264="","",MAX(0,IFERROR(INDEX(Services!$C$6:$C$35,MATCH(E1264,Services!$B$6:$B$35,0)),0)-N(H1264)))</f>
        <v/>
      </c>
      <c r="H1264" s="34" t="n"/>
      <c r="I1264" s="34" t="n"/>
      <c r="J1264" s="33" t="n"/>
      <c r="K1264" s="28">
        <f>IF(OR(B1264="",F1264&lt;&gt;"Done",J1264="Package"),"",IF(N(G1264)-N(I1264)&gt;0,N(G1264)-N(I1264),""))</f>
        <v/>
      </c>
      <c r="L1264" s="32" t="n"/>
      <c r="M1264" s="1">
        <f>IF(OR(B1264="",D1264="",F1264="Cancelled"),"",B1264+N(C1264)+ROW()/10000000)</f>
        <v/>
      </c>
      <c r="N1264">
        <f>IF(AND(F1264="Done",M1264&lt;&gt;""),IF(COUNTIFS(Appointments!$D$6:$D$2005,D1264,Appointments!$F$6:$F$2005,"Done",Appointments!$M$6:$M$2005,"&gt;"&amp;M1264)=0,1,0),0)</f>
        <v/>
      </c>
      <c r="O1264">
        <f>IF(AND(F1264="Booked",M1264&lt;&gt;"",N(B1264)&gt;=TODAY()),IF(COUNTIFS(Appointments!$D$6:$D$2005,D1264,Appointments!$F$6:$F$2005,"Booked",Appointments!$B$6:$B$2005,"&gt;="&amp;TODAY(),Appointments!$M$6:$M$2005,"&lt;"&amp;M1264)=0,1,0),0)</f>
        <v/>
      </c>
    </row>
    <row r="1265">
      <c r="A1265" s="1" t="n"/>
      <c r="B1265" s="30" t="n"/>
      <c r="C1265" s="31" t="n"/>
      <c r="D1265" s="32" t="n"/>
      <c r="E1265" s="32" t="n"/>
      <c r="F1265" s="33" t="n"/>
      <c r="G1265" s="27">
        <f>IF(E1265="","",MAX(0,IFERROR(INDEX(Services!$C$6:$C$35,MATCH(E1265,Services!$B$6:$B$35,0)),0)-N(H1265)))</f>
        <v/>
      </c>
      <c r="H1265" s="34" t="n"/>
      <c r="I1265" s="34" t="n"/>
      <c r="J1265" s="33" t="n"/>
      <c r="K1265" s="28">
        <f>IF(OR(B1265="",F1265&lt;&gt;"Done",J1265="Package"),"",IF(N(G1265)-N(I1265)&gt;0,N(G1265)-N(I1265),""))</f>
        <v/>
      </c>
      <c r="L1265" s="32" t="n"/>
      <c r="M1265" s="1">
        <f>IF(OR(B1265="",D1265="",F1265="Cancelled"),"",B1265+N(C1265)+ROW()/10000000)</f>
        <v/>
      </c>
      <c r="N1265">
        <f>IF(AND(F1265="Done",M1265&lt;&gt;""),IF(COUNTIFS(Appointments!$D$6:$D$2005,D1265,Appointments!$F$6:$F$2005,"Done",Appointments!$M$6:$M$2005,"&gt;"&amp;M1265)=0,1,0),0)</f>
        <v/>
      </c>
      <c r="O1265">
        <f>IF(AND(F1265="Booked",M1265&lt;&gt;"",N(B1265)&gt;=TODAY()),IF(COUNTIFS(Appointments!$D$6:$D$2005,D1265,Appointments!$F$6:$F$2005,"Booked",Appointments!$B$6:$B$2005,"&gt;="&amp;TODAY(),Appointments!$M$6:$M$2005,"&lt;"&amp;M1265)=0,1,0),0)</f>
        <v/>
      </c>
    </row>
    <row r="1266">
      <c r="A1266" s="1" t="n"/>
      <c r="B1266" s="30" t="n"/>
      <c r="C1266" s="31" t="n"/>
      <c r="D1266" s="32" t="n"/>
      <c r="E1266" s="32" t="n"/>
      <c r="F1266" s="33" t="n"/>
      <c r="G1266" s="27">
        <f>IF(E1266="","",MAX(0,IFERROR(INDEX(Services!$C$6:$C$35,MATCH(E1266,Services!$B$6:$B$35,0)),0)-N(H1266)))</f>
        <v/>
      </c>
      <c r="H1266" s="34" t="n"/>
      <c r="I1266" s="34" t="n"/>
      <c r="J1266" s="33" t="n"/>
      <c r="K1266" s="28">
        <f>IF(OR(B1266="",F1266&lt;&gt;"Done",J1266="Package"),"",IF(N(G1266)-N(I1266)&gt;0,N(G1266)-N(I1266),""))</f>
        <v/>
      </c>
      <c r="L1266" s="32" t="n"/>
      <c r="M1266" s="1">
        <f>IF(OR(B1266="",D1266="",F1266="Cancelled"),"",B1266+N(C1266)+ROW()/10000000)</f>
        <v/>
      </c>
      <c r="N1266">
        <f>IF(AND(F1266="Done",M1266&lt;&gt;""),IF(COUNTIFS(Appointments!$D$6:$D$2005,D1266,Appointments!$F$6:$F$2005,"Done",Appointments!$M$6:$M$2005,"&gt;"&amp;M1266)=0,1,0),0)</f>
        <v/>
      </c>
      <c r="O1266">
        <f>IF(AND(F1266="Booked",M1266&lt;&gt;"",N(B1266)&gt;=TODAY()),IF(COUNTIFS(Appointments!$D$6:$D$2005,D1266,Appointments!$F$6:$F$2005,"Booked",Appointments!$B$6:$B$2005,"&gt;="&amp;TODAY(),Appointments!$M$6:$M$2005,"&lt;"&amp;M1266)=0,1,0),0)</f>
        <v/>
      </c>
    </row>
    <row r="1267">
      <c r="A1267" s="1" t="n"/>
      <c r="B1267" s="30" t="n"/>
      <c r="C1267" s="31" t="n"/>
      <c r="D1267" s="32" t="n"/>
      <c r="E1267" s="32" t="n"/>
      <c r="F1267" s="33" t="n"/>
      <c r="G1267" s="27">
        <f>IF(E1267="","",MAX(0,IFERROR(INDEX(Services!$C$6:$C$35,MATCH(E1267,Services!$B$6:$B$35,0)),0)-N(H1267)))</f>
        <v/>
      </c>
      <c r="H1267" s="34" t="n"/>
      <c r="I1267" s="34" t="n"/>
      <c r="J1267" s="33" t="n"/>
      <c r="K1267" s="28">
        <f>IF(OR(B1267="",F1267&lt;&gt;"Done",J1267="Package"),"",IF(N(G1267)-N(I1267)&gt;0,N(G1267)-N(I1267),""))</f>
        <v/>
      </c>
      <c r="L1267" s="32" t="n"/>
      <c r="M1267" s="1">
        <f>IF(OR(B1267="",D1267="",F1267="Cancelled"),"",B1267+N(C1267)+ROW()/10000000)</f>
        <v/>
      </c>
      <c r="N1267">
        <f>IF(AND(F1267="Done",M1267&lt;&gt;""),IF(COUNTIFS(Appointments!$D$6:$D$2005,D1267,Appointments!$F$6:$F$2005,"Done",Appointments!$M$6:$M$2005,"&gt;"&amp;M1267)=0,1,0),0)</f>
        <v/>
      </c>
      <c r="O1267">
        <f>IF(AND(F1267="Booked",M1267&lt;&gt;"",N(B1267)&gt;=TODAY()),IF(COUNTIFS(Appointments!$D$6:$D$2005,D1267,Appointments!$F$6:$F$2005,"Booked",Appointments!$B$6:$B$2005,"&gt;="&amp;TODAY(),Appointments!$M$6:$M$2005,"&lt;"&amp;M1267)=0,1,0),0)</f>
        <v/>
      </c>
    </row>
    <row r="1268">
      <c r="A1268" s="1" t="n"/>
      <c r="B1268" s="30" t="n"/>
      <c r="C1268" s="31" t="n"/>
      <c r="D1268" s="32" t="n"/>
      <c r="E1268" s="32" t="n"/>
      <c r="F1268" s="33" t="n"/>
      <c r="G1268" s="27">
        <f>IF(E1268="","",MAX(0,IFERROR(INDEX(Services!$C$6:$C$35,MATCH(E1268,Services!$B$6:$B$35,0)),0)-N(H1268)))</f>
        <v/>
      </c>
      <c r="H1268" s="34" t="n"/>
      <c r="I1268" s="34" t="n"/>
      <c r="J1268" s="33" t="n"/>
      <c r="K1268" s="28">
        <f>IF(OR(B1268="",F1268&lt;&gt;"Done",J1268="Package"),"",IF(N(G1268)-N(I1268)&gt;0,N(G1268)-N(I1268),""))</f>
        <v/>
      </c>
      <c r="L1268" s="32" t="n"/>
      <c r="M1268" s="1">
        <f>IF(OR(B1268="",D1268="",F1268="Cancelled"),"",B1268+N(C1268)+ROW()/10000000)</f>
        <v/>
      </c>
      <c r="N1268">
        <f>IF(AND(F1268="Done",M1268&lt;&gt;""),IF(COUNTIFS(Appointments!$D$6:$D$2005,D1268,Appointments!$F$6:$F$2005,"Done",Appointments!$M$6:$M$2005,"&gt;"&amp;M1268)=0,1,0),0)</f>
        <v/>
      </c>
      <c r="O1268">
        <f>IF(AND(F1268="Booked",M1268&lt;&gt;"",N(B1268)&gt;=TODAY()),IF(COUNTIFS(Appointments!$D$6:$D$2005,D1268,Appointments!$F$6:$F$2005,"Booked",Appointments!$B$6:$B$2005,"&gt;="&amp;TODAY(),Appointments!$M$6:$M$2005,"&lt;"&amp;M1268)=0,1,0),0)</f>
        <v/>
      </c>
    </row>
    <row r="1269">
      <c r="A1269" s="1" t="n"/>
      <c r="B1269" s="30" t="n"/>
      <c r="C1269" s="31" t="n"/>
      <c r="D1269" s="32" t="n"/>
      <c r="E1269" s="32" t="n"/>
      <c r="F1269" s="33" t="n"/>
      <c r="G1269" s="27">
        <f>IF(E1269="","",MAX(0,IFERROR(INDEX(Services!$C$6:$C$35,MATCH(E1269,Services!$B$6:$B$35,0)),0)-N(H1269)))</f>
        <v/>
      </c>
      <c r="H1269" s="34" t="n"/>
      <c r="I1269" s="34" t="n"/>
      <c r="J1269" s="33" t="n"/>
      <c r="K1269" s="28">
        <f>IF(OR(B1269="",F1269&lt;&gt;"Done",J1269="Package"),"",IF(N(G1269)-N(I1269)&gt;0,N(G1269)-N(I1269),""))</f>
        <v/>
      </c>
      <c r="L1269" s="32" t="n"/>
      <c r="M1269" s="1">
        <f>IF(OR(B1269="",D1269="",F1269="Cancelled"),"",B1269+N(C1269)+ROW()/10000000)</f>
        <v/>
      </c>
      <c r="N1269">
        <f>IF(AND(F1269="Done",M1269&lt;&gt;""),IF(COUNTIFS(Appointments!$D$6:$D$2005,D1269,Appointments!$F$6:$F$2005,"Done",Appointments!$M$6:$M$2005,"&gt;"&amp;M1269)=0,1,0),0)</f>
        <v/>
      </c>
      <c r="O1269">
        <f>IF(AND(F1269="Booked",M1269&lt;&gt;"",N(B1269)&gt;=TODAY()),IF(COUNTIFS(Appointments!$D$6:$D$2005,D1269,Appointments!$F$6:$F$2005,"Booked",Appointments!$B$6:$B$2005,"&gt;="&amp;TODAY(),Appointments!$M$6:$M$2005,"&lt;"&amp;M1269)=0,1,0),0)</f>
        <v/>
      </c>
    </row>
    <row r="1270">
      <c r="A1270" s="1" t="n"/>
      <c r="B1270" s="30" t="n"/>
      <c r="C1270" s="31" t="n"/>
      <c r="D1270" s="32" t="n"/>
      <c r="E1270" s="32" t="n"/>
      <c r="F1270" s="33" t="n"/>
      <c r="G1270" s="27">
        <f>IF(E1270="","",MAX(0,IFERROR(INDEX(Services!$C$6:$C$35,MATCH(E1270,Services!$B$6:$B$35,0)),0)-N(H1270)))</f>
        <v/>
      </c>
      <c r="H1270" s="34" t="n"/>
      <c r="I1270" s="34" t="n"/>
      <c r="J1270" s="33" t="n"/>
      <c r="K1270" s="28">
        <f>IF(OR(B1270="",F1270&lt;&gt;"Done",J1270="Package"),"",IF(N(G1270)-N(I1270)&gt;0,N(G1270)-N(I1270),""))</f>
        <v/>
      </c>
      <c r="L1270" s="32" t="n"/>
      <c r="M1270" s="1">
        <f>IF(OR(B1270="",D1270="",F1270="Cancelled"),"",B1270+N(C1270)+ROW()/10000000)</f>
        <v/>
      </c>
      <c r="N1270">
        <f>IF(AND(F1270="Done",M1270&lt;&gt;""),IF(COUNTIFS(Appointments!$D$6:$D$2005,D1270,Appointments!$F$6:$F$2005,"Done",Appointments!$M$6:$M$2005,"&gt;"&amp;M1270)=0,1,0),0)</f>
        <v/>
      </c>
      <c r="O1270">
        <f>IF(AND(F1270="Booked",M1270&lt;&gt;"",N(B1270)&gt;=TODAY()),IF(COUNTIFS(Appointments!$D$6:$D$2005,D1270,Appointments!$F$6:$F$2005,"Booked",Appointments!$B$6:$B$2005,"&gt;="&amp;TODAY(),Appointments!$M$6:$M$2005,"&lt;"&amp;M1270)=0,1,0),0)</f>
        <v/>
      </c>
    </row>
    <row r="1271">
      <c r="A1271" s="1" t="n"/>
      <c r="B1271" s="30" t="n"/>
      <c r="C1271" s="31" t="n"/>
      <c r="D1271" s="32" t="n"/>
      <c r="E1271" s="32" t="n"/>
      <c r="F1271" s="33" t="n"/>
      <c r="G1271" s="27">
        <f>IF(E1271="","",MAX(0,IFERROR(INDEX(Services!$C$6:$C$35,MATCH(E1271,Services!$B$6:$B$35,0)),0)-N(H1271)))</f>
        <v/>
      </c>
      <c r="H1271" s="34" t="n"/>
      <c r="I1271" s="34" t="n"/>
      <c r="J1271" s="33" t="n"/>
      <c r="K1271" s="28">
        <f>IF(OR(B1271="",F1271&lt;&gt;"Done",J1271="Package"),"",IF(N(G1271)-N(I1271)&gt;0,N(G1271)-N(I1271),""))</f>
        <v/>
      </c>
      <c r="L1271" s="32" t="n"/>
      <c r="M1271" s="1">
        <f>IF(OR(B1271="",D1271="",F1271="Cancelled"),"",B1271+N(C1271)+ROW()/10000000)</f>
        <v/>
      </c>
      <c r="N1271">
        <f>IF(AND(F1271="Done",M1271&lt;&gt;""),IF(COUNTIFS(Appointments!$D$6:$D$2005,D1271,Appointments!$F$6:$F$2005,"Done",Appointments!$M$6:$M$2005,"&gt;"&amp;M1271)=0,1,0),0)</f>
        <v/>
      </c>
      <c r="O1271">
        <f>IF(AND(F1271="Booked",M1271&lt;&gt;"",N(B1271)&gt;=TODAY()),IF(COUNTIFS(Appointments!$D$6:$D$2005,D1271,Appointments!$F$6:$F$2005,"Booked",Appointments!$B$6:$B$2005,"&gt;="&amp;TODAY(),Appointments!$M$6:$M$2005,"&lt;"&amp;M1271)=0,1,0),0)</f>
        <v/>
      </c>
    </row>
    <row r="1272">
      <c r="A1272" s="1" t="n"/>
      <c r="B1272" s="30" t="n"/>
      <c r="C1272" s="31" t="n"/>
      <c r="D1272" s="32" t="n"/>
      <c r="E1272" s="32" t="n"/>
      <c r="F1272" s="33" t="n"/>
      <c r="G1272" s="27">
        <f>IF(E1272="","",MAX(0,IFERROR(INDEX(Services!$C$6:$C$35,MATCH(E1272,Services!$B$6:$B$35,0)),0)-N(H1272)))</f>
        <v/>
      </c>
      <c r="H1272" s="34" t="n"/>
      <c r="I1272" s="34" t="n"/>
      <c r="J1272" s="33" t="n"/>
      <c r="K1272" s="28">
        <f>IF(OR(B1272="",F1272&lt;&gt;"Done",J1272="Package"),"",IF(N(G1272)-N(I1272)&gt;0,N(G1272)-N(I1272),""))</f>
        <v/>
      </c>
      <c r="L1272" s="32" t="n"/>
      <c r="M1272" s="1">
        <f>IF(OR(B1272="",D1272="",F1272="Cancelled"),"",B1272+N(C1272)+ROW()/10000000)</f>
        <v/>
      </c>
      <c r="N1272">
        <f>IF(AND(F1272="Done",M1272&lt;&gt;""),IF(COUNTIFS(Appointments!$D$6:$D$2005,D1272,Appointments!$F$6:$F$2005,"Done",Appointments!$M$6:$M$2005,"&gt;"&amp;M1272)=0,1,0),0)</f>
        <v/>
      </c>
      <c r="O1272">
        <f>IF(AND(F1272="Booked",M1272&lt;&gt;"",N(B1272)&gt;=TODAY()),IF(COUNTIFS(Appointments!$D$6:$D$2005,D1272,Appointments!$F$6:$F$2005,"Booked",Appointments!$B$6:$B$2005,"&gt;="&amp;TODAY(),Appointments!$M$6:$M$2005,"&lt;"&amp;M1272)=0,1,0),0)</f>
        <v/>
      </c>
    </row>
    <row r="1273">
      <c r="A1273" s="1" t="n"/>
      <c r="B1273" s="30" t="n"/>
      <c r="C1273" s="31" t="n"/>
      <c r="D1273" s="32" t="n"/>
      <c r="E1273" s="32" t="n"/>
      <c r="F1273" s="33" t="n"/>
      <c r="G1273" s="27">
        <f>IF(E1273="","",MAX(0,IFERROR(INDEX(Services!$C$6:$C$35,MATCH(E1273,Services!$B$6:$B$35,0)),0)-N(H1273)))</f>
        <v/>
      </c>
      <c r="H1273" s="34" t="n"/>
      <c r="I1273" s="34" t="n"/>
      <c r="J1273" s="33" t="n"/>
      <c r="K1273" s="28">
        <f>IF(OR(B1273="",F1273&lt;&gt;"Done",J1273="Package"),"",IF(N(G1273)-N(I1273)&gt;0,N(G1273)-N(I1273),""))</f>
        <v/>
      </c>
      <c r="L1273" s="32" t="n"/>
      <c r="M1273" s="1">
        <f>IF(OR(B1273="",D1273="",F1273="Cancelled"),"",B1273+N(C1273)+ROW()/10000000)</f>
        <v/>
      </c>
      <c r="N1273">
        <f>IF(AND(F1273="Done",M1273&lt;&gt;""),IF(COUNTIFS(Appointments!$D$6:$D$2005,D1273,Appointments!$F$6:$F$2005,"Done",Appointments!$M$6:$M$2005,"&gt;"&amp;M1273)=0,1,0),0)</f>
        <v/>
      </c>
      <c r="O1273">
        <f>IF(AND(F1273="Booked",M1273&lt;&gt;"",N(B1273)&gt;=TODAY()),IF(COUNTIFS(Appointments!$D$6:$D$2005,D1273,Appointments!$F$6:$F$2005,"Booked",Appointments!$B$6:$B$2005,"&gt;="&amp;TODAY(),Appointments!$M$6:$M$2005,"&lt;"&amp;M1273)=0,1,0),0)</f>
        <v/>
      </c>
    </row>
    <row r="1274">
      <c r="A1274" s="1" t="n"/>
      <c r="B1274" s="30" t="n"/>
      <c r="C1274" s="31" t="n"/>
      <c r="D1274" s="32" t="n"/>
      <c r="E1274" s="32" t="n"/>
      <c r="F1274" s="33" t="n"/>
      <c r="G1274" s="27">
        <f>IF(E1274="","",MAX(0,IFERROR(INDEX(Services!$C$6:$C$35,MATCH(E1274,Services!$B$6:$B$35,0)),0)-N(H1274)))</f>
        <v/>
      </c>
      <c r="H1274" s="34" t="n"/>
      <c r="I1274" s="34" t="n"/>
      <c r="J1274" s="33" t="n"/>
      <c r="K1274" s="28">
        <f>IF(OR(B1274="",F1274&lt;&gt;"Done",J1274="Package"),"",IF(N(G1274)-N(I1274)&gt;0,N(G1274)-N(I1274),""))</f>
        <v/>
      </c>
      <c r="L1274" s="32" t="n"/>
      <c r="M1274" s="1">
        <f>IF(OR(B1274="",D1274="",F1274="Cancelled"),"",B1274+N(C1274)+ROW()/10000000)</f>
        <v/>
      </c>
      <c r="N1274">
        <f>IF(AND(F1274="Done",M1274&lt;&gt;""),IF(COUNTIFS(Appointments!$D$6:$D$2005,D1274,Appointments!$F$6:$F$2005,"Done",Appointments!$M$6:$M$2005,"&gt;"&amp;M1274)=0,1,0),0)</f>
        <v/>
      </c>
      <c r="O1274">
        <f>IF(AND(F1274="Booked",M1274&lt;&gt;"",N(B1274)&gt;=TODAY()),IF(COUNTIFS(Appointments!$D$6:$D$2005,D1274,Appointments!$F$6:$F$2005,"Booked",Appointments!$B$6:$B$2005,"&gt;="&amp;TODAY(),Appointments!$M$6:$M$2005,"&lt;"&amp;M1274)=0,1,0),0)</f>
        <v/>
      </c>
    </row>
    <row r="1275">
      <c r="A1275" s="1" t="n"/>
      <c r="B1275" s="30" t="n"/>
      <c r="C1275" s="31" t="n"/>
      <c r="D1275" s="32" t="n"/>
      <c r="E1275" s="32" t="n"/>
      <c r="F1275" s="33" t="n"/>
      <c r="G1275" s="27">
        <f>IF(E1275="","",MAX(0,IFERROR(INDEX(Services!$C$6:$C$35,MATCH(E1275,Services!$B$6:$B$35,0)),0)-N(H1275)))</f>
        <v/>
      </c>
      <c r="H1275" s="34" t="n"/>
      <c r="I1275" s="34" t="n"/>
      <c r="J1275" s="33" t="n"/>
      <c r="K1275" s="28">
        <f>IF(OR(B1275="",F1275&lt;&gt;"Done",J1275="Package"),"",IF(N(G1275)-N(I1275)&gt;0,N(G1275)-N(I1275),""))</f>
        <v/>
      </c>
      <c r="L1275" s="32" t="n"/>
      <c r="M1275" s="1">
        <f>IF(OR(B1275="",D1275="",F1275="Cancelled"),"",B1275+N(C1275)+ROW()/10000000)</f>
        <v/>
      </c>
      <c r="N1275">
        <f>IF(AND(F1275="Done",M1275&lt;&gt;""),IF(COUNTIFS(Appointments!$D$6:$D$2005,D1275,Appointments!$F$6:$F$2005,"Done",Appointments!$M$6:$M$2005,"&gt;"&amp;M1275)=0,1,0),0)</f>
        <v/>
      </c>
      <c r="O1275">
        <f>IF(AND(F1275="Booked",M1275&lt;&gt;"",N(B1275)&gt;=TODAY()),IF(COUNTIFS(Appointments!$D$6:$D$2005,D1275,Appointments!$F$6:$F$2005,"Booked",Appointments!$B$6:$B$2005,"&gt;="&amp;TODAY(),Appointments!$M$6:$M$2005,"&lt;"&amp;M1275)=0,1,0),0)</f>
        <v/>
      </c>
    </row>
    <row r="1276">
      <c r="A1276" s="1" t="n"/>
      <c r="B1276" s="30" t="n"/>
      <c r="C1276" s="31" t="n"/>
      <c r="D1276" s="32" t="n"/>
      <c r="E1276" s="32" t="n"/>
      <c r="F1276" s="33" t="n"/>
      <c r="G1276" s="27">
        <f>IF(E1276="","",MAX(0,IFERROR(INDEX(Services!$C$6:$C$35,MATCH(E1276,Services!$B$6:$B$35,0)),0)-N(H1276)))</f>
        <v/>
      </c>
      <c r="H1276" s="34" t="n"/>
      <c r="I1276" s="34" t="n"/>
      <c r="J1276" s="33" t="n"/>
      <c r="K1276" s="28">
        <f>IF(OR(B1276="",F1276&lt;&gt;"Done",J1276="Package"),"",IF(N(G1276)-N(I1276)&gt;0,N(G1276)-N(I1276),""))</f>
        <v/>
      </c>
      <c r="L1276" s="32" t="n"/>
      <c r="M1276" s="1">
        <f>IF(OR(B1276="",D1276="",F1276="Cancelled"),"",B1276+N(C1276)+ROW()/10000000)</f>
        <v/>
      </c>
      <c r="N1276">
        <f>IF(AND(F1276="Done",M1276&lt;&gt;""),IF(COUNTIFS(Appointments!$D$6:$D$2005,D1276,Appointments!$F$6:$F$2005,"Done",Appointments!$M$6:$M$2005,"&gt;"&amp;M1276)=0,1,0),0)</f>
        <v/>
      </c>
      <c r="O1276">
        <f>IF(AND(F1276="Booked",M1276&lt;&gt;"",N(B1276)&gt;=TODAY()),IF(COUNTIFS(Appointments!$D$6:$D$2005,D1276,Appointments!$F$6:$F$2005,"Booked",Appointments!$B$6:$B$2005,"&gt;="&amp;TODAY(),Appointments!$M$6:$M$2005,"&lt;"&amp;M1276)=0,1,0),0)</f>
        <v/>
      </c>
    </row>
    <row r="1277">
      <c r="A1277" s="1" t="n"/>
      <c r="B1277" s="30" t="n"/>
      <c r="C1277" s="31" t="n"/>
      <c r="D1277" s="32" t="n"/>
      <c r="E1277" s="32" t="n"/>
      <c r="F1277" s="33" t="n"/>
      <c r="G1277" s="27">
        <f>IF(E1277="","",MAX(0,IFERROR(INDEX(Services!$C$6:$C$35,MATCH(E1277,Services!$B$6:$B$35,0)),0)-N(H1277)))</f>
        <v/>
      </c>
      <c r="H1277" s="34" t="n"/>
      <c r="I1277" s="34" t="n"/>
      <c r="J1277" s="33" t="n"/>
      <c r="K1277" s="28">
        <f>IF(OR(B1277="",F1277&lt;&gt;"Done",J1277="Package"),"",IF(N(G1277)-N(I1277)&gt;0,N(G1277)-N(I1277),""))</f>
        <v/>
      </c>
      <c r="L1277" s="32" t="n"/>
      <c r="M1277" s="1">
        <f>IF(OR(B1277="",D1277="",F1277="Cancelled"),"",B1277+N(C1277)+ROW()/10000000)</f>
        <v/>
      </c>
      <c r="N1277">
        <f>IF(AND(F1277="Done",M1277&lt;&gt;""),IF(COUNTIFS(Appointments!$D$6:$D$2005,D1277,Appointments!$F$6:$F$2005,"Done",Appointments!$M$6:$M$2005,"&gt;"&amp;M1277)=0,1,0),0)</f>
        <v/>
      </c>
      <c r="O1277">
        <f>IF(AND(F1277="Booked",M1277&lt;&gt;"",N(B1277)&gt;=TODAY()),IF(COUNTIFS(Appointments!$D$6:$D$2005,D1277,Appointments!$F$6:$F$2005,"Booked",Appointments!$B$6:$B$2005,"&gt;="&amp;TODAY(),Appointments!$M$6:$M$2005,"&lt;"&amp;M1277)=0,1,0),0)</f>
        <v/>
      </c>
    </row>
    <row r="1278">
      <c r="A1278" s="1" t="n"/>
      <c r="B1278" s="30" t="n"/>
      <c r="C1278" s="31" t="n"/>
      <c r="D1278" s="32" t="n"/>
      <c r="E1278" s="32" t="n"/>
      <c r="F1278" s="33" t="n"/>
      <c r="G1278" s="27">
        <f>IF(E1278="","",MAX(0,IFERROR(INDEX(Services!$C$6:$C$35,MATCH(E1278,Services!$B$6:$B$35,0)),0)-N(H1278)))</f>
        <v/>
      </c>
      <c r="H1278" s="34" t="n"/>
      <c r="I1278" s="34" t="n"/>
      <c r="J1278" s="33" t="n"/>
      <c r="K1278" s="28">
        <f>IF(OR(B1278="",F1278&lt;&gt;"Done",J1278="Package"),"",IF(N(G1278)-N(I1278)&gt;0,N(G1278)-N(I1278),""))</f>
        <v/>
      </c>
      <c r="L1278" s="32" t="n"/>
      <c r="M1278" s="1">
        <f>IF(OR(B1278="",D1278="",F1278="Cancelled"),"",B1278+N(C1278)+ROW()/10000000)</f>
        <v/>
      </c>
      <c r="N1278">
        <f>IF(AND(F1278="Done",M1278&lt;&gt;""),IF(COUNTIFS(Appointments!$D$6:$D$2005,D1278,Appointments!$F$6:$F$2005,"Done",Appointments!$M$6:$M$2005,"&gt;"&amp;M1278)=0,1,0),0)</f>
        <v/>
      </c>
      <c r="O1278">
        <f>IF(AND(F1278="Booked",M1278&lt;&gt;"",N(B1278)&gt;=TODAY()),IF(COUNTIFS(Appointments!$D$6:$D$2005,D1278,Appointments!$F$6:$F$2005,"Booked",Appointments!$B$6:$B$2005,"&gt;="&amp;TODAY(),Appointments!$M$6:$M$2005,"&lt;"&amp;M1278)=0,1,0),0)</f>
        <v/>
      </c>
    </row>
    <row r="1279">
      <c r="A1279" s="1" t="n"/>
      <c r="B1279" s="30" t="n"/>
      <c r="C1279" s="31" t="n"/>
      <c r="D1279" s="32" t="n"/>
      <c r="E1279" s="32" t="n"/>
      <c r="F1279" s="33" t="n"/>
      <c r="G1279" s="27">
        <f>IF(E1279="","",MAX(0,IFERROR(INDEX(Services!$C$6:$C$35,MATCH(E1279,Services!$B$6:$B$35,0)),0)-N(H1279)))</f>
        <v/>
      </c>
      <c r="H1279" s="34" t="n"/>
      <c r="I1279" s="34" t="n"/>
      <c r="J1279" s="33" t="n"/>
      <c r="K1279" s="28">
        <f>IF(OR(B1279="",F1279&lt;&gt;"Done",J1279="Package"),"",IF(N(G1279)-N(I1279)&gt;0,N(G1279)-N(I1279),""))</f>
        <v/>
      </c>
      <c r="L1279" s="32" t="n"/>
      <c r="M1279" s="1">
        <f>IF(OR(B1279="",D1279="",F1279="Cancelled"),"",B1279+N(C1279)+ROW()/10000000)</f>
        <v/>
      </c>
      <c r="N1279">
        <f>IF(AND(F1279="Done",M1279&lt;&gt;""),IF(COUNTIFS(Appointments!$D$6:$D$2005,D1279,Appointments!$F$6:$F$2005,"Done",Appointments!$M$6:$M$2005,"&gt;"&amp;M1279)=0,1,0),0)</f>
        <v/>
      </c>
      <c r="O1279">
        <f>IF(AND(F1279="Booked",M1279&lt;&gt;"",N(B1279)&gt;=TODAY()),IF(COUNTIFS(Appointments!$D$6:$D$2005,D1279,Appointments!$F$6:$F$2005,"Booked",Appointments!$B$6:$B$2005,"&gt;="&amp;TODAY(),Appointments!$M$6:$M$2005,"&lt;"&amp;M1279)=0,1,0),0)</f>
        <v/>
      </c>
    </row>
    <row r="1280">
      <c r="A1280" s="1" t="n"/>
      <c r="B1280" s="30" t="n"/>
      <c r="C1280" s="31" t="n"/>
      <c r="D1280" s="32" t="n"/>
      <c r="E1280" s="32" t="n"/>
      <c r="F1280" s="33" t="n"/>
      <c r="G1280" s="27">
        <f>IF(E1280="","",MAX(0,IFERROR(INDEX(Services!$C$6:$C$35,MATCH(E1280,Services!$B$6:$B$35,0)),0)-N(H1280)))</f>
        <v/>
      </c>
      <c r="H1280" s="34" t="n"/>
      <c r="I1280" s="34" t="n"/>
      <c r="J1280" s="33" t="n"/>
      <c r="K1280" s="28">
        <f>IF(OR(B1280="",F1280&lt;&gt;"Done",J1280="Package"),"",IF(N(G1280)-N(I1280)&gt;0,N(G1280)-N(I1280),""))</f>
        <v/>
      </c>
      <c r="L1280" s="32" t="n"/>
      <c r="M1280" s="1">
        <f>IF(OR(B1280="",D1280="",F1280="Cancelled"),"",B1280+N(C1280)+ROW()/10000000)</f>
        <v/>
      </c>
      <c r="N1280">
        <f>IF(AND(F1280="Done",M1280&lt;&gt;""),IF(COUNTIFS(Appointments!$D$6:$D$2005,D1280,Appointments!$F$6:$F$2005,"Done",Appointments!$M$6:$M$2005,"&gt;"&amp;M1280)=0,1,0),0)</f>
        <v/>
      </c>
      <c r="O1280">
        <f>IF(AND(F1280="Booked",M1280&lt;&gt;"",N(B1280)&gt;=TODAY()),IF(COUNTIFS(Appointments!$D$6:$D$2005,D1280,Appointments!$F$6:$F$2005,"Booked",Appointments!$B$6:$B$2005,"&gt;="&amp;TODAY(),Appointments!$M$6:$M$2005,"&lt;"&amp;M1280)=0,1,0),0)</f>
        <v/>
      </c>
    </row>
    <row r="1281">
      <c r="A1281" s="1" t="n"/>
      <c r="B1281" s="30" t="n"/>
      <c r="C1281" s="31" t="n"/>
      <c r="D1281" s="32" t="n"/>
      <c r="E1281" s="32" t="n"/>
      <c r="F1281" s="33" t="n"/>
      <c r="G1281" s="27">
        <f>IF(E1281="","",MAX(0,IFERROR(INDEX(Services!$C$6:$C$35,MATCH(E1281,Services!$B$6:$B$35,0)),0)-N(H1281)))</f>
        <v/>
      </c>
      <c r="H1281" s="34" t="n"/>
      <c r="I1281" s="34" t="n"/>
      <c r="J1281" s="33" t="n"/>
      <c r="K1281" s="28">
        <f>IF(OR(B1281="",F1281&lt;&gt;"Done",J1281="Package"),"",IF(N(G1281)-N(I1281)&gt;0,N(G1281)-N(I1281),""))</f>
        <v/>
      </c>
      <c r="L1281" s="32" t="n"/>
      <c r="M1281" s="1">
        <f>IF(OR(B1281="",D1281="",F1281="Cancelled"),"",B1281+N(C1281)+ROW()/10000000)</f>
        <v/>
      </c>
      <c r="N1281">
        <f>IF(AND(F1281="Done",M1281&lt;&gt;""),IF(COUNTIFS(Appointments!$D$6:$D$2005,D1281,Appointments!$F$6:$F$2005,"Done",Appointments!$M$6:$M$2005,"&gt;"&amp;M1281)=0,1,0),0)</f>
        <v/>
      </c>
      <c r="O1281">
        <f>IF(AND(F1281="Booked",M1281&lt;&gt;"",N(B1281)&gt;=TODAY()),IF(COUNTIFS(Appointments!$D$6:$D$2005,D1281,Appointments!$F$6:$F$2005,"Booked",Appointments!$B$6:$B$2005,"&gt;="&amp;TODAY(),Appointments!$M$6:$M$2005,"&lt;"&amp;M1281)=0,1,0),0)</f>
        <v/>
      </c>
    </row>
    <row r="1282">
      <c r="A1282" s="1" t="n"/>
      <c r="B1282" s="30" t="n"/>
      <c r="C1282" s="31" t="n"/>
      <c r="D1282" s="32" t="n"/>
      <c r="E1282" s="32" t="n"/>
      <c r="F1282" s="33" t="n"/>
      <c r="G1282" s="27">
        <f>IF(E1282="","",MAX(0,IFERROR(INDEX(Services!$C$6:$C$35,MATCH(E1282,Services!$B$6:$B$35,0)),0)-N(H1282)))</f>
        <v/>
      </c>
      <c r="H1282" s="34" t="n"/>
      <c r="I1282" s="34" t="n"/>
      <c r="J1282" s="33" t="n"/>
      <c r="K1282" s="28">
        <f>IF(OR(B1282="",F1282&lt;&gt;"Done",J1282="Package"),"",IF(N(G1282)-N(I1282)&gt;0,N(G1282)-N(I1282),""))</f>
        <v/>
      </c>
      <c r="L1282" s="32" t="n"/>
      <c r="M1282" s="1">
        <f>IF(OR(B1282="",D1282="",F1282="Cancelled"),"",B1282+N(C1282)+ROW()/10000000)</f>
        <v/>
      </c>
      <c r="N1282">
        <f>IF(AND(F1282="Done",M1282&lt;&gt;""),IF(COUNTIFS(Appointments!$D$6:$D$2005,D1282,Appointments!$F$6:$F$2005,"Done",Appointments!$M$6:$M$2005,"&gt;"&amp;M1282)=0,1,0),0)</f>
        <v/>
      </c>
      <c r="O1282">
        <f>IF(AND(F1282="Booked",M1282&lt;&gt;"",N(B1282)&gt;=TODAY()),IF(COUNTIFS(Appointments!$D$6:$D$2005,D1282,Appointments!$F$6:$F$2005,"Booked",Appointments!$B$6:$B$2005,"&gt;="&amp;TODAY(),Appointments!$M$6:$M$2005,"&lt;"&amp;M1282)=0,1,0),0)</f>
        <v/>
      </c>
    </row>
    <row r="1283">
      <c r="A1283" s="1" t="n"/>
      <c r="B1283" s="30" t="n"/>
      <c r="C1283" s="31" t="n"/>
      <c r="D1283" s="32" t="n"/>
      <c r="E1283" s="32" t="n"/>
      <c r="F1283" s="33" t="n"/>
      <c r="G1283" s="27">
        <f>IF(E1283="","",MAX(0,IFERROR(INDEX(Services!$C$6:$C$35,MATCH(E1283,Services!$B$6:$B$35,0)),0)-N(H1283)))</f>
        <v/>
      </c>
      <c r="H1283" s="34" t="n"/>
      <c r="I1283" s="34" t="n"/>
      <c r="J1283" s="33" t="n"/>
      <c r="K1283" s="28">
        <f>IF(OR(B1283="",F1283&lt;&gt;"Done",J1283="Package"),"",IF(N(G1283)-N(I1283)&gt;0,N(G1283)-N(I1283),""))</f>
        <v/>
      </c>
      <c r="L1283" s="32" t="n"/>
      <c r="M1283" s="1">
        <f>IF(OR(B1283="",D1283="",F1283="Cancelled"),"",B1283+N(C1283)+ROW()/10000000)</f>
        <v/>
      </c>
      <c r="N1283">
        <f>IF(AND(F1283="Done",M1283&lt;&gt;""),IF(COUNTIFS(Appointments!$D$6:$D$2005,D1283,Appointments!$F$6:$F$2005,"Done",Appointments!$M$6:$M$2005,"&gt;"&amp;M1283)=0,1,0),0)</f>
        <v/>
      </c>
      <c r="O1283">
        <f>IF(AND(F1283="Booked",M1283&lt;&gt;"",N(B1283)&gt;=TODAY()),IF(COUNTIFS(Appointments!$D$6:$D$2005,D1283,Appointments!$F$6:$F$2005,"Booked",Appointments!$B$6:$B$2005,"&gt;="&amp;TODAY(),Appointments!$M$6:$M$2005,"&lt;"&amp;M1283)=0,1,0),0)</f>
        <v/>
      </c>
    </row>
    <row r="1284">
      <c r="A1284" s="1" t="n"/>
      <c r="B1284" s="30" t="n"/>
      <c r="C1284" s="31" t="n"/>
      <c r="D1284" s="32" t="n"/>
      <c r="E1284" s="32" t="n"/>
      <c r="F1284" s="33" t="n"/>
      <c r="G1284" s="27">
        <f>IF(E1284="","",MAX(0,IFERROR(INDEX(Services!$C$6:$C$35,MATCH(E1284,Services!$B$6:$B$35,0)),0)-N(H1284)))</f>
        <v/>
      </c>
      <c r="H1284" s="34" t="n"/>
      <c r="I1284" s="34" t="n"/>
      <c r="J1284" s="33" t="n"/>
      <c r="K1284" s="28">
        <f>IF(OR(B1284="",F1284&lt;&gt;"Done",J1284="Package"),"",IF(N(G1284)-N(I1284)&gt;0,N(G1284)-N(I1284),""))</f>
        <v/>
      </c>
      <c r="L1284" s="32" t="n"/>
      <c r="M1284" s="1">
        <f>IF(OR(B1284="",D1284="",F1284="Cancelled"),"",B1284+N(C1284)+ROW()/10000000)</f>
        <v/>
      </c>
      <c r="N1284">
        <f>IF(AND(F1284="Done",M1284&lt;&gt;""),IF(COUNTIFS(Appointments!$D$6:$D$2005,D1284,Appointments!$F$6:$F$2005,"Done",Appointments!$M$6:$M$2005,"&gt;"&amp;M1284)=0,1,0),0)</f>
        <v/>
      </c>
      <c r="O1284">
        <f>IF(AND(F1284="Booked",M1284&lt;&gt;"",N(B1284)&gt;=TODAY()),IF(COUNTIFS(Appointments!$D$6:$D$2005,D1284,Appointments!$F$6:$F$2005,"Booked",Appointments!$B$6:$B$2005,"&gt;="&amp;TODAY(),Appointments!$M$6:$M$2005,"&lt;"&amp;M1284)=0,1,0),0)</f>
        <v/>
      </c>
    </row>
    <row r="1285">
      <c r="A1285" s="1" t="n"/>
      <c r="B1285" s="30" t="n"/>
      <c r="C1285" s="31" t="n"/>
      <c r="D1285" s="32" t="n"/>
      <c r="E1285" s="32" t="n"/>
      <c r="F1285" s="33" t="n"/>
      <c r="G1285" s="27">
        <f>IF(E1285="","",MAX(0,IFERROR(INDEX(Services!$C$6:$C$35,MATCH(E1285,Services!$B$6:$B$35,0)),0)-N(H1285)))</f>
        <v/>
      </c>
      <c r="H1285" s="34" t="n"/>
      <c r="I1285" s="34" t="n"/>
      <c r="J1285" s="33" t="n"/>
      <c r="K1285" s="28">
        <f>IF(OR(B1285="",F1285&lt;&gt;"Done",J1285="Package"),"",IF(N(G1285)-N(I1285)&gt;0,N(G1285)-N(I1285),""))</f>
        <v/>
      </c>
      <c r="L1285" s="32" t="n"/>
      <c r="M1285" s="1">
        <f>IF(OR(B1285="",D1285="",F1285="Cancelled"),"",B1285+N(C1285)+ROW()/10000000)</f>
        <v/>
      </c>
      <c r="N1285">
        <f>IF(AND(F1285="Done",M1285&lt;&gt;""),IF(COUNTIFS(Appointments!$D$6:$D$2005,D1285,Appointments!$F$6:$F$2005,"Done",Appointments!$M$6:$M$2005,"&gt;"&amp;M1285)=0,1,0),0)</f>
        <v/>
      </c>
      <c r="O1285">
        <f>IF(AND(F1285="Booked",M1285&lt;&gt;"",N(B1285)&gt;=TODAY()),IF(COUNTIFS(Appointments!$D$6:$D$2005,D1285,Appointments!$F$6:$F$2005,"Booked",Appointments!$B$6:$B$2005,"&gt;="&amp;TODAY(),Appointments!$M$6:$M$2005,"&lt;"&amp;M1285)=0,1,0),0)</f>
        <v/>
      </c>
    </row>
    <row r="1286">
      <c r="A1286" s="1" t="n"/>
      <c r="B1286" s="30" t="n"/>
      <c r="C1286" s="31" t="n"/>
      <c r="D1286" s="32" t="n"/>
      <c r="E1286" s="32" t="n"/>
      <c r="F1286" s="33" t="n"/>
      <c r="G1286" s="27">
        <f>IF(E1286="","",MAX(0,IFERROR(INDEX(Services!$C$6:$C$35,MATCH(E1286,Services!$B$6:$B$35,0)),0)-N(H1286)))</f>
        <v/>
      </c>
      <c r="H1286" s="34" t="n"/>
      <c r="I1286" s="34" t="n"/>
      <c r="J1286" s="33" t="n"/>
      <c r="K1286" s="28">
        <f>IF(OR(B1286="",F1286&lt;&gt;"Done",J1286="Package"),"",IF(N(G1286)-N(I1286)&gt;0,N(G1286)-N(I1286),""))</f>
        <v/>
      </c>
      <c r="L1286" s="32" t="n"/>
      <c r="M1286" s="1">
        <f>IF(OR(B1286="",D1286="",F1286="Cancelled"),"",B1286+N(C1286)+ROW()/10000000)</f>
        <v/>
      </c>
      <c r="N1286">
        <f>IF(AND(F1286="Done",M1286&lt;&gt;""),IF(COUNTIFS(Appointments!$D$6:$D$2005,D1286,Appointments!$F$6:$F$2005,"Done",Appointments!$M$6:$M$2005,"&gt;"&amp;M1286)=0,1,0),0)</f>
        <v/>
      </c>
      <c r="O1286">
        <f>IF(AND(F1286="Booked",M1286&lt;&gt;"",N(B1286)&gt;=TODAY()),IF(COUNTIFS(Appointments!$D$6:$D$2005,D1286,Appointments!$F$6:$F$2005,"Booked",Appointments!$B$6:$B$2005,"&gt;="&amp;TODAY(),Appointments!$M$6:$M$2005,"&lt;"&amp;M1286)=0,1,0),0)</f>
        <v/>
      </c>
    </row>
    <row r="1287">
      <c r="A1287" s="1" t="n"/>
      <c r="B1287" s="30" t="n"/>
      <c r="C1287" s="31" t="n"/>
      <c r="D1287" s="32" t="n"/>
      <c r="E1287" s="32" t="n"/>
      <c r="F1287" s="33" t="n"/>
      <c r="G1287" s="27">
        <f>IF(E1287="","",MAX(0,IFERROR(INDEX(Services!$C$6:$C$35,MATCH(E1287,Services!$B$6:$B$35,0)),0)-N(H1287)))</f>
        <v/>
      </c>
      <c r="H1287" s="34" t="n"/>
      <c r="I1287" s="34" t="n"/>
      <c r="J1287" s="33" t="n"/>
      <c r="K1287" s="28">
        <f>IF(OR(B1287="",F1287&lt;&gt;"Done",J1287="Package"),"",IF(N(G1287)-N(I1287)&gt;0,N(G1287)-N(I1287),""))</f>
        <v/>
      </c>
      <c r="L1287" s="32" t="n"/>
      <c r="M1287" s="1">
        <f>IF(OR(B1287="",D1287="",F1287="Cancelled"),"",B1287+N(C1287)+ROW()/10000000)</f>
        <v/>
      </c>
      <c r="N1287">
        <f>IF(AND(F1287="Done",M1287&lt;&gt;""),IF(COUNTIFS(Appointments!$D$6:$D$2005,D1287,Appointments!$F$6:$F$2005,"Done",Appointments!$M$6:$M$2005,"&gt;"&amp;M1287)=0,1,0),0)</f>
        <v/>
      </c>
      <c r="O1287">
        <f>IF(AND(F1287="Booked",M1287&lt;&gt;"",N(B1287)&gt;=TODAY()),IF(COUNTIFS(Appointments!$D$6:$D$2005,D1287,Appointments!$F$6:$F$2005,"Booked",Appointments!$B$6:$B$2005,"&gt;="&amp;TODAY(),Appointments!$M$6:$M$2005,"&lt;"&amp;M1287)=0,1,0),0)</f>
        <v/>
      </c>
    </row>
    <row r="1288">
      <c r="A1288" s="1" t="n"/>
      <c r="B1288" s="30" t="n"/>
      <c r="C1288" s="31" t="n"/>
      <c r="D1288" s="32" t="n"/>
      <c r="E1288" s="32" t="n"/>
      <c r="F1288" s="33" t="n"/>
      <c r="G1288" s="27">
        <f>IF(E1288="","",MAX(0,IFERROR(INDEX(Services!$C$6:$C$35,MATCH(E1288,Services!$B$6:$B$35,0)),0)-N(H1288)))</f>
        <v/>
      </c>
      <c r="H1288" s="34" t="n"/>
      <c r="I1288" s="34" t="n"/>
      <c r="J1288" s="33" t="n"/>
      <c r="K1288" s="28">
        <f>IF(OR(B1288="",F1288&lt;&gt;"Done",J1288="Package"),"",IF(N(G1288)-N(I1288)&gt;0,N(G1288)-N(I1288),""))</f>
        <v/>
      </c>
      <c r="L1288" s="32" t="n"/>
      <c r="M1288" s="1">
        <f>IF(OR(B1288="",D1288="",F1288="Cancelled"),"",B1288+N(C1288)+ROW()/10000000)</f>
        <v/>
      </c>
      <c r="N1288">
        <f>IF(AND(F1288="Done",M1288&lt;&gt;""),IF(COUNTIFS(Appointments!$D$6:$D$2005,D1288,Appointments!$F$6:$F$2005,"Done",Appointments!$M$6:$M$2005,"&gt;"&amp;M1288)=0,1,0),0)</f>
        <v/>
      </c>
      <c r="O1288">
        <f>IF(AND(F1288="Booked",M1288&lt;&gt;"",N(B1288)&gt;=TODAY()),IF(COUNTIFS(Appointments!$D$6:$D$2005,D1288,Appointments!$F$6:$F$2005,"Booked",Appointments!$B$6:$B$2005,"&gt;="&amp;TODAY(),Appointments!$M$6:$M$2005,"&lt;"&amp;M1288)=0,1,0),0)</f>
        <v/>
      </c>
    </row>
    <row r="1289">
      <c r="A1289" s="1" t="n"/>
      <c r="B1289" s="30" t="n"/>
      <c r="C1289" s="31" t="n"/>
      <c r="D1289" s="32" t="n"/>
      <c r="E1289" s="32" t="n"/>
      <c r="F1289" s="33" t="n"/>
      <c r="G1289" s="27">
        <f>IF(E1289="","",MAX(0,IFERROR(INDEX(Services!$C$6:$C$35,MATCH(E1289,Services!$B$6:$B$35,0)),0)-N(H1289)))</f>
        <v/>
      </c>
      <c r="H1289" s="34" t="n"/>
      <c r="I1289" s="34" t="n"/>
      <c r="J1289" s="33" t="n"/>
      <c r="K1289" s="28">
        <f>IF(OR(B1289="",F1289&lt;&gt;"Done",J1289="Package"),"",IF(N(G1289)-N(I1289)&gt;0,N(G1289)-N(I1289),""))</f>
        <v/>
      </c>
      <c r="L1289" s="32" t="n"/>
      <c r="M1289" s="1">
        <f>IF(OR(B1289="",D1289="",F1289="Cancelled"),"",B1289+N(C1289)+ROW()/10000000)</f>
        <v/>
      </c>
      <c r="N1289">
        <f>IF(AND(F1289="Done",M1289&lt;&gt;""),IF(COUNTIFS(Appointments!$D$6:$D$2005,D1289,Appointments!$F$6:$F$2005,"Done",Appointments!$M$6:$M$2005,"&gt;"&amp;M1289)=0,1,0),0)</f>
        <v/>
      </c>
      <c r="O1289">
        <f>IF(AND(F1289="Booked",M1289&lt;&gt;"",N(B1289)&gt;=TODAY()),IF(COUNTIFS(Appointments!$D$6:$D$2005,D1289,Appointments!$F$6:$F$2005,"Booked",Appointments!$B$6:$B$2005,"&gt;="&amp;TODAY(),Appointments!$M$6:$M$2005,"&lt;"&amp;M1289)=0,1,0),0)</f>
        <v/>
      </c>
    </row>
    <row r="1290">
      <c r="A1290" s="1" t="n"/>
      <c r="B1290" s="30" t="n"/>
      <c r="C1290" s="31" t="n"/>
      <c r="D1290" s="32" t="n"/>
      <c r="E1290" s="32" t="n"/>
      <c r="F1290" s="33" t="n"/>
      <c r="G1290" s="27">
        <f>IF(E1290="","",MAX(0,IFERROR(INDEX(Services!$C$6:$C$35,MATCH(E1290,Services!$B$6:$B$35,0)),0)-N(H1290)))</f>
        <v/>
      </c>
      <c r="H1290" s="34" t="n"/>
      <c r="I1290" s="34" t="n"/>
      <c r="J1290" s="33" t="n"/>
      <c r="K1290" s="28">
        <f>IF(OR(B1290="",F1290&lt;&gt;"Done",J1290="Package"),"",IF(N(G1290)-N(I1290)&gt;0,N(G1290)-N(I1290),""))</f>
        <v/>
      </c>
      <c r="L1290" s="32" t="n"/>
      <c r="M1290" s="1">
        <f>IF(OR(B1290="",D1290="",F1290="Cancelled"),"",B1290+N(C1290)+ROW()/10000000)</f>
        <v/>
      </c>
      <c r="N1290">
        <f>IF(AND(F1290="Done",M1290&lt;&gt;""),IF(COUNTIFS(Appointments!$D$6:$D$2005,D1290,Appointments!$F$6:$F$2005,"Done",Appointments!$M$6:$M$2005,"&gt;"&amp;M1290)=0,1,0),0)</f>
        <v/>
      </c>
      <c r="O1290">
        <f>IF(AND(F1290="Booked",M1290&lt;&gt;"",N(B1290)&gt;=TODAY()),IF(COUNTIFS(Appointments!$D$6:$D$2005,D1290,Appointments!$F$6:$F$2005,"Booked",Appointments!$B$6:$B$2005,"&gt;="&amp;TODAY(),Appointments!$M$6:$M$2005,"&lt;"&amp;M1290)=0,1,0),0)</f>
        <v/>
      </c>
    </row>
    <row r="1291">
      <c r="A1291" s="1" t="n"/>
      <c r="B1291" s="30" t="n"/>
      <c r="C1291" s="31" t="n"/>
      <c r="D1291" s="32" t="n"/>
      <c r="E1291" s="32" t="n"/>
      <c r="F1291" s="33" t="n"/>
      <c r="G1291" s="27">
        <f>IF(E1291="","",MAX(0,IFERROR(INDEX(Services!$C$6:$C$35,MATCH(E1291,Services!$B$6:$B$35,0)),0)-N(H1291)))</f>
        <v/>
      </c>
      <c r="H1291" s="34" t="n"/>
      <c r="I1291" s="34" t="n"/>
      <c r="J1291" s="33" t="n"/>
      <c r="K1291" s="28">
        <f>IF(OR(B1291="",F1291&lt;&gt;"Done",J1291="Package"),"",IF(N(G1291)-N(I1291)&gt;0,N(G1291)-N(I1291),""))</f>
        <v/>
      </c>
      <c r="L1291" s="32" t="n"/>
      <c r="M1291" s="1">
        <f>IF(OR(B1291="",D1291="",F1291="Cancelled"),"",B1291+N(C1291)+ROW()/10000000)</f>
        <v/>
      </c>
      <c r="N1291">
        <f>IF(AND(F1291="Done",M1291&lt;&gt;""),IF(COUNTIFS(Appointments!$D$6:$D$2005,D1291,Appointments!$F$6:$F$2005,"Done",Appointments!$M$6:$M$2005,"&gt;"&amp;M1291)=0,1,0),0)</f>
        <v/>
      </c>
      <c r="O1291">
        <f>IF(AND(F1291="Booked",M1291&lt;&gt;"",N(B1291)&gt;=TODAY()),IF(COUNTIFS(Appointments!$D$6:$D$2005,D1291,Appointments!$F$6:$F$2005,"Booked",Appointments!$B$6:$B$2005,"&gt;="&amp;TODAY(),Appointments!$M$6:$M$2005,"&lt;"&amp;M1291)=0,1,0),0)</f>
        <v/>
      </c>
    </row>
    <row r="1292">
      <c r="A1292" s="1" t="n"/>
      <c r="B1292" s="30" t="n"/>
      <c r="C1292" s="31" t="n"/>
      <c r="D1292" s="32" t="n"/>
      <c r="E1292" s="32" t="n"/>
      <c r="F1292" s="33" t="n"/>
      <c r="G1292" s="27">
        <f>IF(E1292="","",MAX(0,IFERROR(INDEX(Services!$C$6:$C$35,MATCH(E1292,Services!$B$6:$B$35,0)),0)-N(H1292)))</f>
        <v/>
      </c>
      <c r="H1292" s="34" t="n"/>
      <c r="I1292" s="34" t="n"/>
      <c r="J1292" s="33" t="n"/>
      <c r="K1292" s="28">
        <f>IF(OR(B1292="",F1292&lt;&gt;"Done",J1292="Package"),"",IF(N(G1292)-N(I1292)&gt;0,N(G1292)-N(I1292),""))</f>
        <v/>
      </c>
      <c r="L1292" s="32" t="n"/>
      <c r="M1292" s="1">
        <f>IF(OR(B1292="",D1292="",F1292="Cancelled"),"",B1292+N(C1292)+ROW()/10000000)</f>
        <v/>
      </c>
      <c r="N1292">
        <f>IF(AND(F1292="Done",M1292&lt;&gt;""),IF(COUNTIFS(Appointments!$D$6:$D$2005,D1292,Appointments!$F$6:$F$2005,"Done",Appointments!$M$6:$M$2005,"&gt;"&amp;M1292)=0,1,0),0)</f>
        <v/>
      </c>
      <c r="O1292">
        <f>IF(AND(F1292="Booked",M1292&lt;&gt;"",N(B1292)&gt;=TODAY()),IF(COUNTIFS(Appointments!$D$6:$D$2005,D1292,Appointments!$F$6:$F$2005,"Booked",Appointments!$B$6:$B$2005,"&gt;="&amp;TODAY(),Appointments!$M$6:$M$2005,"&lt;"&amp;M1292)=0,1,0),0)</f>
        <v/>
      </c>
    </row>
    <row r="1293">
      <c r="A1293" s="1" t="n"/>
      <c r="B1293" s="30" t="n"/>
      <c r="C1293" s="31" t="n"/>
      <c r="D1293" s="32" t="n"/>
      <c r="E1293" s="32" t="n"/>
      <c r="F1293" s="33" t="n"/>
      <c r="G1293" s="27">
        <f>IF(E1293="","",MAX(0,IFERROR(INDEX(Services!$C$6:$C$35,MATCH(E1293,Services!$B$6:$B$35,0)),0)-N(H1293)))</f>
        <v/>
      </c>
      <c r="H1293" s="34" t="n"/>
      <c r="I1293" s="34" t="n"/>
      <c r="J1293" s="33" t="n"/>
      <c r="K1293" s="28">
        <f>IF(OR(B1293="",F1293&lt;&gt;"Done",J1293="Package"),"",IF(N(G1293)-N(I1293)&gt;0,N(G1293)-N(I1293),""))</f>
        <v/>
      </c>
      <c r="L1293" s="32" t="n"/>
      <c r="M1293" s="1">
        <f>IF(OR(B1293="",D1293="",F1293="Cancelled"),"",B1293+N(C1293)+ROW()/10000000)</f>
        <v/>
      </c>
      <c r="N1293">
        <f>IF(AND(F1293="Done",M1293&lt;&gt;""),IF(COUNTIFS(Appointments!$D$6:$D$2005,D1293,Appointments!$F$6:$F$2005,"Done",Appointments!$M$6:$M$2005,"&gt;"&amp;M1293)=0,1,0),0)</f>
        <v/>
      </c>
      <c r="O1293">
        <f>IF(AND(F1293="Booked",M1293&lt;&gt;"",N(B1293)&gt;=TODAY()),IF(COUNTIFS(Appointments!$D$6:$D$2005,D1293,Appointments!$F$6:$F$2005,"Booked",Appointments!$B$6:$B$2005,"&gt;="&amp;TODAY(),Appointments!$M$6:$M$2005,"&lt;"&amp;M1293)=0,1,0),0)</f>
        <v/>
      </c>
    </row>
    <row r="1294">
      <c r="A1294" s="1" t="n"/>
      <c r="B1294" s="30" t="n"/>
      <c r="C1294" s="31" t="n"/>
      <c r="D1294" s="32" t="n"/>
      <c r="E1294" s="32" t="n"/>
      <c r="F1294" s="33" t="n"/>
      <c r="G1294" s="27">
        <f>IF(E1294="","",MAX(0,IFERROR(INDEX(Services!$C$6:$C$35,MATCH(E1294,Services!$B$6:$B$35,0)),0)-N(H1294)))</f>
        <v/>
      </c>
      <c r="H1294" s="34" t="n"/>
      <c r="I1294" s="34" t="n"/>
      <c r="J1294" s="33" t="n"/>
      <c r="K1294" s="28">
        <f>IF(OR(B1294="",F1294&lt;&gt;"Done",J1294="Package"),"",IF(N(G1294)-N(I1294)&gt;0,N(G1294)-N(I1294),""))</f>
        <v/>
      </c>
      <c r="L1294" s="32" t="n"/>
      <c r="M1294" s="1">
        <f>IF(OR(B1294="",D1294="",F1294="Cancelled"),"",B1294+N(C1294)+ROW()/10000000)</f>
        <v/>
      </c>
      <c r="N1294">
        <f>IF(AND(F1294="Done",M1294&lt;&gt;""),IF(COUNTIFS(Appointments!$D$6:$D$2005,D1294,Appointments!$F$6:$F$2005,"Done",Appointments!$M$6:$M$2005,"&gt;"&amp;M1294)=0,1,0),0)</f>
        <v/>
      </c>
      <c r="O1294">
        <f>IF(AND(F1294="Booked",M1294&lt;&gt;"",N(B1294)&gt;=TODAY()),IF(COUNTIFS(Appointments!$D$6:$D$2005,D1294,Appointments!$F$6:$F$2005,"Booked",Appointments!$B$6:$B$2005,"&gt;="&amp;TODAY(),Appointments!$M$6:$M$2005,"&lt;"&amp;M1294)=0,1,0),0)</f>
        <v/>
      </c>
    </row>
    <row r="1295">
      <c r="A1295" s="1" t="n"/>
      <c r="B1295" s="30" t="n"/>
      <c r="C1295" s="31" t="n"/>
      <c r="D1295" s="32" t="n"/>
      <c r="E1295" s="32" t="n"/>
      <c r="F1295" s="33" t="n"/>
      <c r="G1295" s="27">
        <f>IF(E1295="","",MAX(0,IFERROR(INDEX(Services!$C$6:$C$35,MATCH(E1295,Services!$B$6:$B$35,0)),0)-N(H1295)))</f>
        <v/>
      </c>
      <c r="H1295" s="34" t="n"/>
      <c r="I1295" s="34" t="n"/>
      <c r="J1295" s="33" t="n"/>
      <c r="K1295" s="28">
        <f>IF(OR(B1295="",F1295&lt;&gt;"Done",J1295="Package"),"",IF(N(G1295)-N(I1295)&gt;0,N(G1295)-N(I1295),""))</f>
        <v/>
      </c>
      <c r="L1295" s="32" t="n"/>
      <c r="M1295" s="1">
        <f>IF(OR(B1295="",D1295="",F1295="Cancelled"),"",B1295+N(C1295)+ROW()/10000000)</f>
        <v/>
      </c>
      <c r="N1295">
        <f>IF(AND(F1295="Done",M1295&lt;&gt;""),IF(COUNTIFS(Appointments!$D$6:$D$2005,D1295,Appointments!$F$6:$F$2005,"Done",Appointments!$M$6:$M$2005,"&gt;"&amp;M1295)=0,1,0),0)</f>
        <v/>
      </c>
      <c r="O1295">
        <f>IF(AND(F1295="Booked",M1295&lt;&gt;"",N(B1295)&gt;=TODAY()),IF(COUNTIFS(Appointments!$D$6:$D$2005,D1295,Appointments!$F$6:$F$2005,"Booked",Appointments!$B$6:$B$2005,"&gt;="&amp;TODAY(),Appointments!$M$6:$M$2005,"&lt;"&amp;M1295)=0,1,0),0)</f>
        <v/>
      </c>
    </row>
    <row r="1296">
      <c r="A1296" s="1" t="n"/>
      <c r="B1296" s="30" t="n"/>
      <c r="C1296" s="31" t="n"/>
      <c r="D1296" s="32" t="n"/>
      <c r="E1296" s="32" t="n"/>
      <c r="F1296" s="33" t="n"/>
      <c r="G1296" s="27">
        <f>IF(E1296="","",MAX(0,IFERROR(INDEX(Services!$C$6:$C$35,MATCH(E1296,Services!$B$6:$B$35,0)),0)-N(H1296)))</f>
        <v/>
      </c>
      <c r="H1296" s="34" t="n"/>
      <c r="I1296" s="34" t="n"/>
      <c r="J1296" s="33" t="n"/>
      <c r="K1296" s="28">
        <f>IF(OR(B1296="",F1296&lt;&gt;"Done",J1296="Package"),"",IF(N(G1296)-N(I1296)&gt;0,N(G1296)-N(I1296),""))</f>
        <v/>
      </c>
      <c r="L1296" s="32" t="n"/>
      <c r="M1296" s="1">
        <f>IF(OR(B1296="",D1296="",F1296="Cancelled"),"",B1296+N(C1296)+ROW()/10000000)</f>
        <v/>
      </c>
      <c r="N1296">
        <f>IF(AND(F1296="Done",M1296&lt;&gt;""),IF(COUNTIFS(Appointments!$D$6:$D$2005,D1296,Appointments!$F$6:$F$2005,"Done",Appointments!$M$6:$M$2005,"&gt;"&amp;M1296)=0,1,0),0)</f>
        <v/>
      </c>
      <c r="O1296">
        <f>IF(AND(F1296="Booked",M1296&lt;&gt;"",N(B1296)&gt;=TODAY()),IF(COUNTIFS(Appointments!$D$6:$D$2005,D1296,Appointments!$F$6:$F$2005,"Booked",Appointments!$B$6:$B$2005,"&gt;="&amp;TODAY(),Appointments!$M$6:$M$2005,"&lt;"&amp;M1296)=0,1,0),0)</f>
        <v/>
      </c>
    </row>
    <row r="1297">
      <c r="A1297" s="1" t="n"/>
      <c r="B1297" s="30" t="n"/>
      <c r="C1297" s="31" t="n"/>
      <c r="D1297" s="32" t="n"/>
      <c r="E1297" s="32" t="n"/>
      <c r="F1297" s="33" t="n"/>
      <c r="G1297" s="27">
        <f>IF(E1297="","",MAX(0,IFERROR(INDEX(Services!$C$6:$C$35,MATCH(E1297,Services!$B$6:$B$35,0)),0)-N(H1297)))</f>
        <v/>
      </c>
      <c r="H1297" s="34" t="n"/>
      <c r="I1297" s="34" t="n"/>
      <c r="J1297" s="33" t="n"/>
      <c r="K1297" s="28">
        <f>IF(OR(B1297="",F1297&lt;&gt;"Done",J1297="Package"),"",IF(N(G1297)-N(I1297)&gt;0,N(G1297)-N(I1297),""))</f>
        <v/>
      </c>
      <c r="L1297" s="32" t="n"/>
      <c r="M1297" s="1">
        <f>IF(OR(B1297="",D1297="",F1297="Cancelled"),"",B1297+N(C1297)+ROW()/10000000)</f>
        <v/>
      </c>
      <c r="N1297">
        <f>IF(AND(F1297="Done",M1297&lt;&gt;""),IF(COUNTIFS(Appointments!$D$6:$D$2005,D1297,Appointments!$F$6:$F$2005,"Done",Appointments!$M$6:$M$2005,"&gt;"&amp;M1297)=0,1,0),0)</f>
        <v/>
      </c>
      <c r="O1297">
        <f>IF(AND(F1297="Booked",M1297&lt;&gt;"",N(B1297)&gt;=TODAY()),IF(COUNTIFS(Appointments!$D$6:$D$2005,D1297,Appointments!$F$6:$F$2005,"Booked",Appointments!$B$6:$B$2005,"&gt;="&amp;TODAY(),Appointments!$M$6:$M$2005,"&lt;"&amp;M1297)=0,1,0),0)</f>
        <v/>
      </c>
    </row>
    <row r="1298">
      <c r="A1298" s="1" t="n"/>
      <c r="B1298" s="30" t="n"/>
      <c r="C1298" s="31" t="n"/>
      <c r="D1298" s="32" t="n"/>
      <c r="E1298" s="32" t="n"/>
      <c r="F1298" s="33" t="n"/>
      <c r="G1298" s="27">
        <f>IF(E1298="","",MAX(0,IFERROR(INDEX(Services!$C$6:$C$35,MATCH(E1298,Services!$B$6:$B$35,0)),0)-N(H1298)))</f>
        <v/>
      </c>
      <c r="H1298" s="34" t="n"/>
      <c r="I1298" s="34" t="n"/>
      <c r="J1298" s="33" t="n"/>
      <c r="K1298" s="28">
        <f>IF(OR(B1298="",F1298&lt;&gt;"Done",J1298="Package"),"",IF(N(G1298)-N(I1298)&gt;0,N(G1298)-N(I1298),""))</f>
        <v/>
      </c>
      <c r="L1298" s="32" t="n"/>
      <c r="M1298" s="1">
        <f>IF(OR(B1298="",D1298="",F1298="Cancelled"),"",B1298+N(C1298)+ROW()/10000000)</f>
        <v/>
      </c>
      <c r="N1298">
        <f>IF(AND(F1298="Done",M1298&lt;&gt;""),IF(COUNTIFS(Appointments!$D$6:$D$2005,D1298,Appointments!$F$6:$F$2005,"Done",Appointments!$M$6:$M$2005,"&gt;"&amp;M1298)=0,1,0),0)</f>
        <v/>
      </c>
      <c r="O1298">
        <f>IF(AND(F1298="Booked",M1298&lt;&gt;"",N(B1298)&gt;=TODAY()),IF(COUNTIFS(Appointments!$D$6:$D$2005,D1298,Appointments!$F$6:$F$2005,"Booked",Appointments!$B$6:$B$2005,"&gt;="&amp;TODAY(),Appointments!$M$6:$M$2005,"&lt;"&amp;M1298)=0,1,0),0)</f>
        <v/>
      </c>
    </row>
    <row r="1299">
      <c r="A1299" s="1" t="n"/>
      <c r="B1299" s="30" t="n"/>
      <c r="C1299" s="31" t="n"/>
      <c r="D1299" s="32" t="n"/>
      <c r="E1299" s="32" t="n"/>
      <c r="F1299" s="33" t="n"/>
      <c r="G1299" s="27">
        <f>IF(E1299="","",MAX(0,IFERROR(INDEX(Services!$C$6:$C$35,MATCH(E1299,Services!$B$6:$B$35,0)),0)-N(H1299)))</f>
        <v/>
      </c>
      <c r="H1299" s="34" t="n"/>
      <c r="I1299" s="34" t="n"/>
      <c r="J1299" s="33" t="n"/>
      <c r="K1299" s="28">
        <f>IF(OR(B1299="",F1299&lt;&gt;"Done",J1299="Package"),"",IF(N(G1299)-N(I1299)&gt;0,N(G1299)-N(I1299),""))</f>
        <v/>
      </c>
      <c r="L1299" s="32" t="n"/>
      <c r="M1299" s="1">
        <f>IF(OR(B1299="",D1299="",F1299="Cancelled"),"",B1299+N(C1299)+ROW()/10000000)</f>
        <v/>
      </c>
      <c r="N1299">
        <f>IF(AND(F1299="Done",M1299&lt;&gt;""),IF(COUNTIFS(Appointments!$D$6:$D$2005,D1299,Appointments!$F$6:$F$2005,"Done",Appointments!$M$6:$M$2005,"&gt;"&amp;M1299)=0,1,0),0)</f>
        <v/>
      </c>
      <c r="O1299">
        <f>IF(AND(F1299="Booked",M1299&lt;&gt;"",N(B1299)&gt;=TODAY()),IF(COUNTIFS(Appointments!$D$6:$D$2005,D1299,Appointments!$F$6:$F$2005,"Booked",Appointments!$B$6:$B$2005,"&gt;="&amp;TODAY(),Appointments!$M$6:$M$2005,"&lt;"&amp;M1299)=0,1,0),0)</f>
        <v/>
      </c>
    </row>
    <row r="1300">
      <c r="A1300" s="1" t="n"/>
      <c r="B1300" s="30" t="n"/>
      <c r="C1300" s="31" t="n"/>
      <c r="D1300" s="32" t="n"/>
      <c r="E1300" s="32" t="n"/>
      <c r="F1300" s="33" t="n"/>
      <c r="G1300" s="27">
        <f>IF(E1300="","",MAX(0,IFERROR(INDEX(Services!$C$6:$C$35,MATCH(E1300,Services!$B$6:$B$35,0)),0)-N(H1300)))</f>
        <v/>
      </c>
      <c r="H1300" s="34" t="n"/>
      <c r="I1300" s="34" t="n"/>
      <c r="J1300" s="33" t="n"/>
      <c r="K1300" s="28">
        <f>IF(OR(B1300="",F1300&lt;&gt;"Done",J1300="Package"),"",IF(N(G1300)-N(I1300)&gt;0,N(G1300)-N(I1300),""))</f>
        <v/>
      </c>
      <c r="L1300" s="32" t="n"/>
      <c r="M1300" s="1">
        <f>IF(OR(B1300="",D1300="",F1300="Cancelled"),"",B1300+N(C1300)+ROW()/10000000)</f>
        <v/>
      </c>
      <c r="N1300">
        <f>IF(AND(F1300="Done",M1300&lt;&gt;""),IF(COUNTIFS(Appointments!$D$6:$D$2005,D1300,Appointments!$F$6:$F$2005,"Done",Appointments!$M$6:$M$2005,"&gt;"&amp;M1300)=0,1,0),0)</f>
        <v/>
      </c>
      <c r="O1300">
        <f>IF(AND(F1300="Booked",M1300&lt;&gt;"",N(B1300)&gt;=TODAY()),IF(COUNTIFS(Appointments!$D$6:$D$2005,D1300,Appointments!$F$6:$F$2005,"Booked",Appointments!$B$6:$B$2005,"&gt;="&amp;TODAY(),Appointments!$M$6:$M$2005,"&lt;"&amp;M1300)=0,1,0),0)</f>
        <v/>
      </c>
    </row>
    <row r="1301">
      <c r="A1301" s="1" t="n"/>
      <c r="B1301" s="30" t="n"/>
      <c r="C1301" s="31" t="n"/>
      <c r="D1301" s="32" t="n"/>
      <c r="E1301" s="32" t="n"/>
      <c r="F1301" s="33" t="n"/>
      <c r="G1301" s="27">
        <f>IF(E1301="","",MAX(0,IFERROR(INDEX(Services!$C$6:$C$35,MATCH(E1301,Services!$B$6:$B$35,0)),0)-N(H1301)))</f>
        <v/>
      </c>
      <c r="H1301" s="34" t="n"/>
      <c r="I1301" s="34" t="n"/>
      <c r="J1301" s="33" t="n"/>
      <c r="K1301" s="28">
        <f>IF(OR(B1301="",F1301&lt;&gt;"Done",J1301="Package"),"",IF(N(G1301)-N(I1301)&gt;0,N(G1301)-N(I1301),""))</f>
        <v/>
      </c>
      <c r="L1301" s="32" t="n"/>
      <c r="M1301" s="1">
        <f>IF(OR(B1301="",D1301="",F1301="Cancelled"),"",B1301+N(C1301)+ROW()/10000000)</f>
        <v/>
      </c>
      <c r="N1301">
        <f>IF(AND(F1301="Done",M1301&lt;&gt;""),IF(COUNTIFS(Appointments!$D$6:$D$2005,D1301,Appointments!$F$6:$F$2005,"Done",Appointments!$M$6:$M$2005,"&gt;"&amp;M1301)=0,1,0),0)</f>
        <v/>
      </c>
      <c r="O1301">
        <f>IF(AND(F1301="Booked",M1301&lt;&gt;"",N(B1301)&gt;=TODAY()),IF(COUNTIFS(Appointments!$D$6:$D$2005,D1301,Appointments!$F$6:$F$2005,"Booked",Appointments!$B$6:$B$2005,"&gt;="&amp;TODAY(),Appointments!$M$6:$M$2005,"&lt;"&amp;M1301)=0,1,0),0)</f>
        <v/>
      </c>
    </row>
    <row r="1302">
      <c r="A1302" s="1" t="n"/>
      <c r="B1302" s="30" t="n"/>
      <c r="C1302" s="31" t="n"/>
      <c r="D1302" s="32" t="n"/>
      <c r="E1302" s="32" t="n"/>
      <c r="F1302" s="33" t="n"/>
      <c r="G1302" s="27">
        <f>IF(E1302="","",MAX(0,IFERROR(INDEX(Services!$C$6:$C$35,MATCH(E1302,Services!$B$6:$B$35,0)),0)-N(H1302)))</f>
        <v/>
      </c>
      <c r="H1302" s="34" t="n"/>
      <c r="I1302" s="34" t="n"/>
      <c r="J1302" s="33" t="n"/>
      <c r="K1302" s="28">
        <f>IF(OR(B1302="",F1302&lt;&gt;"Done",J1302="Package"),"",IF(N(G1302)-N(I1302)&gt;0,N(G1302)-N(I1302),""))</f>
        <v/>
      </c>
      <c r="L1302" s="32" t="n"/>
      <c r="M1302" s="1">
        <f>IF(OR(B1302="",D1302="",F1302="Cancelled"),"",B1302+N(C1302)+ROW()/10000000)</f>
        <v/>
      </c>
      <c r="N1302">
        <f>IF(AND(F1302="Done",M1302&lt;&gt;""),IF(COUNTIFS(Appointments!$D$6:$D$2005,D1302,Appointments!$F$6:$F$2005,"Done",Appointments!$M$6:$M$2005,"&gt;"&amp;M1302)=0,1,0),0)</f>
        <v/>
      </c>
      <c r="O1302">
        <f>IF(AND(F1302="Booked",M1302&lt;&gt;"",N(B1302)&gt;=TODAY()),IF(COUNTIFS(Appointments!$D$6:$D$2005,D1302,Appointments!$F$6:$F$2005,"Booked",Appointments!$B$6:$B$2005,"&gt;="&amp;TODAY(),Appointments!$M$6:$M$2005,"&lt;"&amp;M1302)=0,1,0),0)</f>
        <v/>
      </c>
    </row>
    <row r="1303">
      <c r="A1303" s="1" t="n"/>
      <c r="B1303" s="30" t="n"/>
      <c r="C1303" s="31" t="n"/>
      <c r="D1303" s="32" t="n"/>
      <c r="E1303" s="32" t="n"/>
      <c r="F1303" s="33" t="n"/>
      <c r="G1303" s="27">
        <f>IF(E1303="","",MAX(0,IFERROR(INDEX(Services!$C$6:$C$35,MATCH(E1303,Services!$B$6:$B$35,0)),0)-N(H1303)))</f>
        <v/>
      </c>
      <c r="H1303" s="34" t="n"/>
      <c r="I1303" s="34" t="n"/>
      <c r="J1303" s="33" t="n"/>
      <c r="K1303" s="28">
        <f>IF(OR(B1303="",F1303&lt;&gt;"Done",J1303="Package"),"",IF(N(G1303)-N(I1303)&gt;0,N(G1303)-N(I1303),""))</f>
        <v/>
      </c>
      <c r="L1303" s="32" t="n"/>
      <c r="M1303" s="1">
        <f>IF(OR(B1303="",D1303="",F1303="Cancelled"),"",B1303+N(C1303)+ROW()/10000000)</f>
        <v/>
      </c>
      <c r="N1303">
        <f>IF(AND(F1303="Done",M1303&lt;&gt;""),IF(COUNTIFS(Appointments!$D$6:$D$2005,D1303,Appointments!$F$6:$F$2005,"Done",Appointments!$M$6:$M$2005,"&gt;"&amp;M1303)=0,1,0),0)</f>
        <v/>
      </c>
      <c r="O1303">
        <f>IF(AND(F1303="Booked",M1303&lt;&gt;"",N(B1303)&gt;=TODAY()),IF(COUNTIFS(Appointments!$D$6:$D$2005,D1303,Appointments!$F$6:$F$2005,"Booked",Appointments!$B$6:$B$2005,"&gt;="&amp;TODAY(),Appointments!$M$6:$M$2005,"&lt;"&amp;M1303)=0,1,0),0)</f>
        <v/>
      </c>
    </row>
    <row r="1304">
      <c r="A1304" s="1" t="n"/>
      <c r="B1304" s="30" t="n"/>
      <c r="C1304" s="31" t="n"/>
      <c r="D1304" s="32" t="n"/>
      <c r="E1304" s="32" t="n"/>
      <c r="F1304" s="33" t="n"/>
      <c r="G1304" s="27">
        <f>IF(E1304="","",MAX(0,IFERROR(INDEX(Services!$C$6:$C$35,MATCH(E1304,Services!$B$6:$B$35,0)),0)-N(H1304)))</f>
        <v/>
      </c>
      <c r="H1304" s="34" t="n"/>
      <c r="I1304" s="34" t="n"/>
      <c r="J1304" s="33" t="n"/>
      <c r="K1304" s="28">
        <f>IF(OR(B1304="",F1304&lt;&gt;"Done",J1304="Package"),"",IF(N(G1304)-N(I1304)&gt;0,N(G1304)-N(I1304),""))</f>
        <v/>
      </c>
      <c r="L1304" s="32" t="n"/>
      <c r="M1304" s="1">
        <f>IF(OR(B1304="",D1304="",F1304="Cancelled"),"",B1304+N(C1304)+ROW()/10000000)</f>
        <v/>
      </c>
      <c r="N1304">
        <f>IF(AND(F1304="Done",M1304&lt;&gt;""),IF(COUNTIFS(Appointments!$D$6:$D$2005,D1304,Appointments!$F$6:$F$2005,"Done",Appointments!$M$6:$M$2005,"&gt;"&amp;M1304)=0,1,0),0)</f>
        <v/>
      </c>
      <c r="O1304">
        <f>IF(AND(F1304="Booked",M1304&lt;&gt;"",N(B1304)&gt;=TODAY()),IF(COUNTIFS(Appointments!$D$6:$D$2005,D1304,Appointments!$F$6:$F$2005,"Booked",Appointments!$B$6:$B$2005,"&gt;="&amp;TODAY(),Appointments!$M$6:$M$2005,"&lt;"&amp;M1304)=0,1,0),0)</f>
        <v/>
      </c>
    </row>
    <row r="1305">
      <c r="A1305" s="1" t="n"/>
      <c r="B1305" s="30" t="n"/>
      <c r="C1305" s="31" t="n"/>
      <c r="D1305" s="32" t="n"/>
      <c r="E1305" s="32" t="n"/>
      <c r="F1305" s="33" t="n"/>
      <c r="G1305" s="27">
        <f>IF(E1305="","",MAX(0,IFERROR(INDEX(Services!$C$6:$C$35,MATCH(E1305,Services!$B$6:$B$35,0)),0)-N(H1305)))</f>
        <v/>
      </c>
      <c r="H1305" s="34" t="n"/>
      <c r="I1305" s="34" t="n"/>
      <c r="J1305" s="33" t="n"/>
      <c r="K1305" s="28">
        <f>IF(OR(B1305="",F1305&lt;&gt;"Done",J1305="Package"),"",IF(N(G1305)-N(I1305)&gt;0,N(G1305)-N(I1305),""))</f>
        <v/>
      </c>
      <c r="L1305" s="32" t="n"/>
      <c r="M1305" s="1">
        <f>IF(OR(B1305="",D1305="",F1305="Cancelled"),"",B1305+N(C1305)+ROW()/10000000)</f>
        <v/>
      </c>
      <c r="N1305">
        <f>IF(AND(F1305="Done",M1305&lt;&gt;""),IF(COUNTIFS(Appointments!$D$6:$D$2005,D1305,Appointments!$F$6:$F$2005,"Done",Appointments!$M$6:$M$2005,"&gt;"&amp;M1305)=0,1,0),0)</f>
        <v/>
      </c>
      <c r="O1305">
        <f>IF(AND(F1305="Booked",M1305&lt;&gt;"",N(B1305)&gt;=TODAY()),IF(COUNTIFS(Appointments!$D$6:$D$2005,D1305,Appointments!$F$6:$F$2005,"Booked",Appointments!$B$6:$B$2005,"&gt;="&amp;TODAY(),Appointments!$M$6:$M$2005,"&lt;"&amp;M1305)=0,1,0),0)</f>
        <v/>
      </c>
    </row>
    <row r="1306">
      <c r="A1306" s="1" t="n"/>
      <c r="B1306" s="30" t="n"/>
      <c r="C1306" s="31" t="n"/>
      <c r="D1306" s="32" t="n"/>
      <c r="E1306" s="32" t="n"/>
      <c r="F1306" s="33" t="n"/>
      <c r="G1306" s="27">
        <f>IF(E1306="","",MAX(0,IFERROR(INDEX(Services!$C$6:$C$35,MATCH(E1306,Services!$B$6:$B$35,0)),0)-N(H1306)))</f>
        <v/>
      </c>
      <c r="H1306" s="34" t="n"/>
      <c r="I1306" s="34" t="n"/>
      <c r="J1306" s="33" t="n"/>
      <c r="K1306" s="28">
        <f>IF(OR(B1306="",F1306&lt;&gt;"Done",J1306="Package"),"",IF(N(G1306)-N(I1306)&gt;0,N(G1306)-N(I1306),""))</f>
        <v/>
      </c>
      <c r="L1306" s="32" t="n"/>
      <c r="M1306" s="1">
        <f>IF(OR(B1306="",D1306="",F1306="Cancelled"),"",B1306+N(C1306)+ROW()/10000000)</f>
        <v/>
      </c>
      <c r="N1306">
        <f>IF(AND(F1306="Done",M1306&lt;&gt;""),IF(COUNTIFS(Appointments!$D$6:$D$2005,D1306,Appointments!$F$6:$F$2005,"Done",Appointments!$M$6:$M$2005,"&gt;"&amp;M1306)=0,1,0),0)</f>
        <v/>
      </c>
      <c r="O1306">
        <f>IF(AND(F1306="Booked",M1306&lt;&gt;"",N(B1306)&gt;=TODAY()),IF(COUNTIFS(Appointments!$D$6:$D$2005,D1306,Appointments!$F$6:$F$2005,"Booked",Appointments!$B$6:$B$2005,"&gt;="&amp;TODAY(),Appointments!$M$6:$M$2005,"&lt;"&amp;M1306)=0,1,0),0)</f>
        <v/>
      </c>
    </row>
    <row r="1307">
      <c r="A1307" s="1" t="n"/>
      <c r="B1307" s="30" t="n"/>
      <c r="C1307" s="31" t="n"/>
      <c r="D1307" s="32" t="n"/>
      <c r="E1307" s="32" t="n"/>
      <c r="F1307" s="33" t="n"/>
      <c r="G1307" s="27">
        <f>IF(E1307="","",MAX(0,IFERROR(INDEX(Services!$C$6:$C$35,MATCH(E1307,Services!$B$6:$B$35,0)),0)-N(H1307)))</f>
        <v/>
      </c>
      <c r="H1307" s="34" t="n"/>
      <c r="I1307" s="34" t="n"/>
      <c r="J1307" s="33" t="n"/>
      <c r="K1307" s="28">
        <f>IF(OR(B1307="",F1307&lt;&gt;"Done",J1307="Package"),"",IF(N(G1307)-N(I1307)&gt;0,N(G1307)-N(I1307),""))</f>
        <v/>
      </c>
      <c r="L1307" s="32" t="n"/>
      <c r="M1307" s="1">
        <f>IF(OR(B1307="",D1307="",F1307="Cancelled"),"",B1307+N(C1307)+ROW()/10000000)</f>
        <v/>
      </c>
      <c r="N1307">
        <f>IF(AND(F1307="Done",M1307&lt;&gt;""),IF(COUNTIFS(Appointments!$D$6:$D$2005,D1307,Appointments!$F$6:$F$2005,"Done",Appointments!$M$6:$M$2005,"&gt;"&amp;M1307)=0,1,0),0)</f>
        <v/>
      </c>
      <c r="O1307">
        <f>IF(AND(F1307="Booked",M1307&lt;&gt;"",N(B1307)&gt;=TODAY()),IF(COUNTIFS(Appointments!$D$6:$D$2005,D1307,Appointments!$F$6:$F$2005,"Booked",Appointments!$B$6:$B$2005,"&gt;="&amp;TODAY(),Appointments!$M$6:$M$2005,"&lt;"&amp;M1307)=0,1,0),0)</f>
        <v/>
      </c>
    </row>
    <row r="1308">
      <c r="A1308" s="1" t="n"/>
      <c r="B1308" s="30" t="n"/>
      <c r="C1308" s="31" t="n"/>
      <c r="D1308" s="32" t="n"/>
      <c r="E1308" s="32" t="n"/>
      <c r="F1308" s="33" t="n"/>
      <c r="G1308" s="27">
        <f>IF(E1308="","",MAX(0,IFERROR(INDEX(Services!$C$6:$C$35,MATCH(E1308,Services!$B$6:$B$35,0)),0)-N(H1308)))</f>
        <v/>
      </c>
      <c r="H1308" s="34" t="n"/>
      <c r="I1308" s="34" t="n"/>
      <c r="J1308" s="33" t="n"/>
      <c r="K1308" s="28">
        <f>IF(OR(B1308="",F1308&lt;&gt;"Done",J1308="Package"),"",IF(N(G1308)-N(I1308)&gt;0,N(G1308)-N(I1308),""))</f>
        <v/>
      </c>
      <c r="L1308" s="32" t="n"/>
      <c r="M1308" s="1">
        <f>IF(OR(B1308="",D1308="",F1308="Cancelled"),"",B1308+N(C1308)+ROW()/10000000)</f>
        <v/>
      </c>
      <c r="N1308">
        <f>IF(AND(F1308="Done",M1308&lt;&gt;""),IF(COUNTIFS(Appointments!$D$6:$D$2005,D1308,Appointments!$F$6:$F$2005,"Done",Appointments!$M$6:$M$2005,"&gt;"&amp;M1308)=0,1,0),0)</f>
        <v/>
      </c>
      <c r="O1308">
        <f>IF(AND(F1308="Booked",M1308&lt;&gt;"",N(B1308)&gt;=TODAY()),IF(COUNTIFS(Appointments!$D$6:$D$2005,D1308,Appointments!$F$6:$F$2005,"Booked",Appointments!$B$6:$B$2005,"&gt;="&amp;TODAY(),Appointments!$M$6:$M$2005,"&lt;"&amp;M1308)=0,1,0),0)</f>
        <v/>
      </c>
    </row>
    <row r="1309">
      <c r="A1309" s="1" t="n"/>
      <c r="B1309" s="30" t="n"/>
      <c r="C1309" s="31" t="n"/>
      <c r="D1309" s="32" t="n"/>
      <c r="E1309" s="32" t="n"/>
      <c r="F1309" s="33" t="n"/>
      <c r="G1309" s="27">
        <f>IF(E1309="","",MAX(0,IFERROR(INDEX(Services!$C$6:$C$35,MATCH(E1309,Services!$B$6:$B$35,0)),0)-N(H1309)))</f>
        <v/>
      </c>
      <c r="H1309" s="34" t="n"/>
      <c r="I1309" s="34" t="n"/>
      <c r="J1309" s="33" t="n"/>
      <c r="K1309" s="28">
        <f>IF(OR(B1309="",F1309&lt;&gt;"Done",J1309="Package"),"",IF(N(G1309)-N(I1309)&gt;0,N(G1309)-N(I1309),""))</f>
        <v/>
      </c>
      <c r="L1309" s="32" t="n"/>
      <c r="M1309" s="1">
        <f>IF(OR(B1309="",D1309="",F1309="Cancelled"),"",B1309+N(C1309)+ROW()/10000000)</f>
        <v/>
      </c>
      <c r="N1309">
        <f>IF(AND(F1309="Done",M1309&lt;&gt;""),IF(COUNTIFS(Appointments!$D$6:$D$2005,D1309,Appointments!$F$6:$F$2005,"Done",Appointments!$M$6:$M$2005,"&gt;"&amp;M1309)=0,1,0),0)</f>
        <v/>
      </c>
      <c r="O1309">
        <f>IF(AND(F1309="Booked",M1309&lt;&gt;"",N(B1309)&gt;=TODAY()),IF(COUNTIFS(Appointments!$D$6:$D$2005,D1309,Appointments!$F$6:$F$2005,"Booked",Appointments!$B$6:$B$2005,"&gt;="&amp;TODAY(),Appointments!$M$6:$M$2005,"&lt;"&amp;M1309)=0,1,0),0)</f>
        <v/>
      </c>
    </row>
    <row r="1310">
      <c r="A1310" s="1" t="n"/>
      <c r="B1310" s="30" t="n"/>
      <c r="C1310" s="31" t="n"/>
      <c r="D1310" s="32" t="n"/>
      <c r="E1310" s="32" t="n"/>
      <c r="F1310" s="33" t="n"/>
      <c r="G1310" s="27">
        <f>IF(E1310="","",MAX(0,IFERROR(INDEX(Services!$C$6:$C$35,MATCH(E1310,Services!$B$6:$B$35,0)),0)-N(H1310)))</f>
        <v/>
      </c>
      <c r="H1310" s="34" t="n"/>
      <c r="I1310" s="34" t="n"/>
      <c r="J1310" s="33" t="n"/>
      <c r="K1310" s="28">
        <f>IF(OR(B1310="",F1310&lt;&gt;"Done",J1310="Package"),"",IF(N(G1310)-N(I1310)&gt;0,N(G1310)-N(I1310),""))</f>
        <v/>
      </c>
      <c r="L1310" s="32" t="n"/>
      <c r="M1310" s="1">
        <f>IF(OR(B1310="",D1310="",F1310="Cancelled"),"",B1310+N(C1310)+ROW()/10000000)</f>
        <v/>
      </c>
      <c r="N1310">
        <f>IF(AND(F1310="Done",M1310&lt;&gt;""),IF(COUNTIFS(Appointments!$D$6:$D$2005,D1310,Appointments!$F$6:$F$2005,"Done",Appointments!$M$6:$M$2005,"&gt;"&amp;M1310)=0,1,0),0)</f>
        <v/>
      </c>
      <c r="O1310">
        <f>IF(AND(F1310="Booked",M1310&lt;&gt;"",N(B1310)&gt;=TODAY()),IF(COUNTIFS(Appointments!$D$6:$D$2005,D1310,Appointments!$F$6:$F$2005,"Booked",Appointments!$B$6:$B$2005,"&gt;="&amp;TODAY(),Appointments!$M$6:$M$2005,"&lt;"&amp;M1310)=0,1,0),0)</f>
        <v/>
      </c>
    </row>
    <row r="1311">
      <c r="A1311" s="1" t="n"/>
      <c r="B1311" s="30" t="n"/>
      <c r="C1311" s="31" t="n"/>
      <c r="D1311" s="32" t="n"/>
      <c r="E1311" s="32" t="n"/>
      <c r="F1311" s="33" t="n"/>
      <c r="G1311" s="27">
        <f>IF(E1311="","",MAX(0,IFERROR(INDEX(Services!$C$6:$C$35,MATCH(E1311,Services!$B$6:$B$35,0)),0)-N(H1311)))</f>
        <v/>
      </c>
      <c r="H1311" s="34" t="n"/>
      <c r="I1311" s="34" t="n"/>
      <c r="J1311" s="33" t="n"/>
      <c r="K1311" s="28">
        <f>IF(OR(B1311="",F1311&lt;&gt;"Done",J1311="Package"),"",IF(N(G1311)-N(I1311)&gt;0,N(G1311)-N(I1311),""))</f>
        <v/>
      </c>
      <c r="L1311" s="32" t="n"/>
      <c r="M1311" s="1">
        <f>IF(OR(B1311="",D1311="",F1311="Cancelled"),"",B1311+N(C1311)+ROW()/10000000)</f>
        <v/>
      </c>
      <c r="N1311">
        <f>IF(AND(F1311="Done",M1311&lt;&gt;""),IF(COUNTIFS(Appointments!$D$6:$D$2005,D1311,Appointments!$F$6:$F$2005,"Done",Appointments!$M$6:$M$2005,"&gt;"&amp;M1311)=0,1,0),0)</f>
        <v/>
      </c>
      <c r="O1311">
        <f>IF(AND(F1311="Booked",M1311&lt;&gt;"",N(B1311)&gt;=TODAY()),IF(COUNTIFS(Appointments!$D$6:$D$2005,D1311,Appointments!$F$6:$F$2005,"Booked",Appointments!$B$6:$B$2005,"&gt;="&amp;TODAY(),Appointments!$M$6:$M$2005,"&lt;"&amp;M1311)=0,1,0),0)</f>
        <v/>
      </c>
    </row>
    <row r="1312">
      <c r="A1312" s="1" t="n"/>
      <c r="B1312" s="30" t="n"/>
      <c r="C1312" s="31" t="n"/>
      <c r="D1312" s="32" t="n"/>
      <c r="E1312" s="32" t="n"/>
      <c r="F1312" s="33" t="n"/>
      <c r="G1312" s="27">
        <f>IF(E1312="","",MAX(0,IFERROR(INDEX(Services!$C$6:$C$35,MATCH(E1312,Services!$B$6:$B$35,0)),0)-N(H1312)))</f>
        <v/>
      </c>
      <c r="H1312" s="34" t="n"/>
      <c r="I1312" s="34" t="n"/>
      <c r="J1312" s="33" t="n"/>
      <c r="K1312" s="28">
        <f>IF(OR(B1312="",F1312&lt;&gt;"Done",J1312="Package"),"",IF(N(G1312)-N(I1312)&gt;0,N(G1312)-N(I1312),""))</f>
        <v/>
      </c>
      <c r="L1312" s="32" t="n"/>
      <c r="M1312" s="1">
        <f>IF(OR(B1312="",D1312="",F1312="Cancelled"),"",B1312+N(C1312)+ROW()/10000000)</f>
        <v/>
      </c>
      <c r="N1312">
        <f>IF(AND(F1312="Done",M1312&lt;&gt;""),IF(COUNTIFS(Appointments!$D$6:$D$2005,D1312,Appointments!$F$6:$F$2005,"Done",Appointments!$M$6:$M$2005,"&gt;"&amp;M1312)=0,1,0),0)</f>
        <v/>
      </c>
      <c r="O1312">
        <f>IF(AND(F1312="Booked",M1312&lt;&gt;"",N(B1312)&gt;=TODAY()),IF(COUNTIFS(Appointments!$D$6:$D$2005,D1312,Appointments!$F$6:$F$2005,"Booked",Appointments!$B$6:$B$2005,"&gt;="&amp;TODAY(),Appointments!$M$6:$M$2005,"&lt;"&amp;M1312)=0,1,0),0)</f>
        <v/>
      </c>
    </row>
    <row r="1313">
      <c r="A1313" s="1" t="n"/>
      <c r="B1313" s="30" t="n"/>
      <c r="C1313" s="31" t="n"/>
      <c r="D1313" s="32" t="n"/>
      <c r="E1313" s="32" t="n"/>
      <c r="F1313" s="33" t="n"/>
      <c r="G1313" s="27">
        <f>IF(E1313="","",MAX(0,IFERROR(INDEX(Services!$C$6:$C$35,MATCH(E1313,Services!$B$6:$B$35,0)),0)-N(H1313)))</f>
        <v/>
      </c>
      <c r="H1313" s="34" t="n"/>
      <c r="I1313" s="34" t="n"/>
      <c r="J1313" s="33" t="n"/>
      <c r="K1313" s="28">
        <f>IF(OR(B1313="",F1313&lt;&gt;"Done",J1313="Package"),"",IF(N(G1313)-N(I1313)&gt;0,N(G1313)-N(I1313),""))</f>
        <v/>
      </c>
      <c r="L1313" s="32" t="n"/>
      <c r="M1313" s="1">
        <f>IF(OR(B1313="",D1313="",F1313="Cancelled"),"",B1313+N(C1313)+ROW()/10000000)</f>
        <v/>
      </c>
      <c r="N1313">
        <f>IF(AND(F1313="Done",M1313&lt;&gt;""),IF(COUNTIFS(Appointments!$D$6:$D$2005,D1313,Appointments!$F$6:$F$2005,"Done",Appointments!$M$6:$M$2005,"&gt;"&amp;M1313)=0,1,0),0)</f>
        <v/>
      </c>
      <c r="O1313">
        <f>IF(AND(F1313="Booked",M1313&lt;&gt;"",N(B1313)&gt;=TODAY()),IF(COUNTIFS(Appointments!$D$6:$D$2005,D1313,Appointments!$F$6:$F$2005,"Booked",Appointments!$B$6:$B$2005,"&gt;="&amp;TODAY(),Appointments!$M$6:$M$2005,"&lt;"&amp;M1313)=0,1,0),0)</f>
        <v/>
      </c>
    </row>
    <row r="1314">
      <c r="A1314" s="1" t="n"/>
      <c r="B1314" s="30" t="n"/>
      <c r="C1314" s="31" t="n"/>
      <c r="D1314" s="32" t="n"/>
      <c r="E1314" s="32" t="n"/>
      <c r="F1314" s="33" t="n"/>
      <c r="G1314" s="27">
        <f>IF(E1314="","",MAX(0,IFERROR(INDEX(Services!$C$6:$C$35,MATCH(E1314,Services!$B$6:$B$35,0)),0)-N(H1314)))</f>
        <v/>
      </c>
      <c r="H1314" s="34" t="n"/>
      <c r="I1314" s="34" t="n"/>
      <c r="J1314" s="33" t="n"/>
      <c r="K1314" s="28">
        <f>IF(OR(B1314="",F1314&lt;&gt;"Done",J1314="Package"),"",IF(N(G1314)-N(I1314)&gt;0,N(G1314)-N(I1314),""))</f>
        <v/>
      </c>
      <c r="L1314" s="32" t="n"/>
      <c r="M1314" s="1">
        <f>IF(OR(B1314="",D1314="",F1314="Cancelled"),"",B1314+N(C1314)+ROW()/10000000)</f>
        <v/>
      </c>
      <c r="N1314">
        <f>IF(AND(F1314="Done",M1314&lt;&gt;""),IF(COUNTIFS(Appointments!$D$6:$D$2005,D1314,Appointments!$F$6:$F$2005,"Done",Appointments!$M$6:$M$2005,"&gt;"&amp;M1314)=0,1,0),0)</f>
        <v/>
      </c>
      <c r="O1314">
        <f>IF(AND(F1314="Booked",M1314&lt;&gt;"",N(B1314)&gt;=TODAY()),IF(COUNTIFS(Appointments!$D$6:$D$2005,D1314,Appointments!$F$6:$F$2005,"Booked",Appointments!$B$6:$B$2005,"&gt;="&amp;TODAY(),Appointments!$M$6:$M$2005,"&lt;"&amp;M1314)=0,1,0),0)</f>
        <v/>
      </c>
    </row>
    <row r="1315">
      <c r="A1315" s="1" t="n"/>
      <c r="B1315" s="30" t="n"/>
      <c r="C1315" s="31" t="n"/>
      <c r="D1315" s="32" t="n"/>
      <c r="E1315" s="32" t="n"/>
      <c r="F1315" s="33" t="n"/>
      <c r="G1315" s="27">
        <f>IF(E1315="","",MAX(0,IFERROR(INDEX(Services!$C$6:$C$35,MATCH(E1315,Services!$B$6:$B$35,0)),0)-N(H1315)))</f>
        <v/>
      </c>
      <c r="H1315" s="34" t="n"/>
      <c r="I1315" s="34" t="n"/>
      <c r="J1315" s="33" t="n"/>
      <c r="K1315" s="28">
        <f>IF(OR(B1315="",F1315&lt;&gt;"Done",J1315="Package"),"",IF(N(G1315)-N(I1315)&gt;0,N(G1315)-N(I1315),""))</f>
        <v/>
      </c>
      <c r="L1315" s="32" t="n"/>
      <c r="M1315" s="1">
        <f>IF(OR(B1315="",D1315="",F1315="Cancelled"),"",B1315+N(C1315)+ROW()/10000000)</f>
        <v/>
      </c>
      <c r="N1315">
        <f>IF(AND(F1315="Done",M1315&lt;&gt;""),IF(COUNTIFS(Appointments!$D$6:$D$2005,D1315,Appointments!$F$6:$F$2005,"Done",Appointments!$M$6:$M$2005,"&gt;"&amp;M1315)=0,1,0),0)</f>
        <v/>
      </c>
      <c r="O1315">
        <f>IF(AND(F1315="Booked",M1315&lt;&gt;"",N(B1315)&gt;=TODAY()),IF(COUNTIFS(Appointments!$D$6:$D$2005,D1315,Appointments!$F$6:$F$2005,"Booked",Appointments!$B$6:$B$2005,"&gt;="&amp;TODAY(),Appointments!$M$6:$M$2005,"&lt;"&amp;M1315)=0,1,0),0)</f>
        <v/>
      </c>
    </row>
    <row r="1316">
      <c r="A1316" s="1" t="n"/>
      <c r="B1316" s="30" t="n"/>
      <c r="C1316" s="31" t="n"/>
      <c r="D1316" s="32" t="n"/>
      <c r="E1316" s="32" t="n"/>
      <c r="F1316" s="33" t="n"/>
      <c r="G1316" s="27">
        <f>IF(E1316="","",MAX(0,IFERROR(INDEX(Services!$C$6:$C$35,MATCH(E1316,Services!$B$6:$B$35,0)),0)-N(H1316)))</f>
        <v/>
      </c>
      <c r="H1316" s="34" t="n"/>
      <c r="I1316" s="34" t="n"/>
      <c r="J1316" s="33" t="n"/>
      <c r="K1316" s="28">
        <f>IF(OR(B1316="",F1316&lt;&gt;"Done",J1316="Package"),"",IF(N(G1316)-N(I1316)&gt;0,N(G1316)-N(I1316),""))</f>
        <v/>
      </c>
      <c r="L1316" s="32" t="n"/>
      <c r="M1316" s="1">
        <f>IF(OR(B1316="",D1316="",F1316="Cancelled"),"",B1316+N(C1316)+ROW()/10000000)</f>
        <v/>
      </c>
      <c r="N1316">
        <f>IF(AND(F1316="Done",M1316&lt;&gt;""),IF(COUNTIFS(Appointments!$D$6:$D$2005,D1316,Appointments!$F$6:$F$2005,"Done",Appointments!$M$6:$M$2005,"&gt;"&amp;M1316)=0,1,0),0)</f>
        <v/>
      </c>
      <c r="O1316">
        <f>IF(AND(F1316="Booked",M1316&lt;&gt;"",N(B1316)&gt;=TODAY()),IF(COUNTIFS(Appointments!$D$6:$D$2005,D1316,Appointments!$F$6:$F$2005,"Booked",Appointments!$B$6:$B$2005,"&gt;="&amp;TODAY(),Appointments!$M$6:$M$2005,"&lt;"&amp;M1316)=0,1,0),0)</f>
        <v/>
      </c>
    </row>
    <row r="1317">
      <c r="A1317" s="1" t="n"/>
      <c r="B1317" s="30" t="n"/>
      <c r="C1317" s="31" t="n"/>
      <c r="D1317" s="32" t="n"/>
      <c r="E1317" s="32" t="n"/>
      <c r="F1317" s="33" t="n"/>
      <c r="G1317" s="27">
        <f>IF(E1317="","",MAX(0,IFERROR(INDEX(Services!$C$6:$C$35,MATCH(E1317,Services!$B$6:$B$35,0)),0)-N(H1317)))</f>
        <v/>
      </c>
      <c r="H1317" s="34" t="n"/>
      <c r="I1317" s="34" t="n"/>
      <c r="J1317" s="33" t="n"/>
      <c r="K1317" s="28">
        <f>IF(OR(B1317="",F1317&lt;&gt;"Done",J1317="Package"),"",IF(N(G1317)-N(I1317)&gt;0,N(G1317)-N(I1317),""))</f>
        <v/>
      </c>
      <c r="L1317" s="32" t="n"/>
      <c r="M1317" s="1">
        <f>IF(OR(B1317="",D1317="",F1317="Cancelled"),"",B1317+N(C1317)+ROW()/10000000)</f>
        <v/>
      </c>
      <c r="N1317">
        <f>IF(AND(F1317="Done",M1317&lt;&gt;""),IF(COUNTIFS(Appointments!$D$6:$D$2005,D1317,Appointments!$F$6:$F$2005,"Done",Appointments!$M$6:$M$2005,"&gt;"&amp;M1317)=0,1,0),0)</f>
        <v/>
      </c>
      <c r="O1317">
        <f>IF(AND(F1317="Booked",M1317&lt;&gt;"",N(B1317)&gt;=TODAY()),IF(COUNTIFS(Appointments!$D$6:$D$2005,D1317,Appointments!$F$6:$F$2005,"Booked",Appointments!$B$6:$B$2005,"&gt;="&amp;TODAY(),Appointments!$M$6:$M$2005,"&lt;"&amp;M1317)=0,1,0),0)</f>
        <v/>
      </c>
    </row>
    <row r="1318">
      <c r="A1318" s="1" t="n"/>
      <c r="B1318" s="30" t="n"/>
      <c r="C1318" s="31" t="n"/>
      <c r="D1318" s="32" t="n"/>
      <c r="E1318" s="32" t="n"/>
      <c r="F1318" s="33" t="n"/>
      <c r="G1318" s="27">
        <f>IF(E1318="","",MAX(0,IFERROR(INDEX(Services!$C$6:$C$35,MATCH(E1318,Services!$B$6:$B$35,0)),0)-N(H1318)))</f>
        <v/>
      </c>
      <c r="H1318" s="34" t="n"/>
      <c r="I1318" s="34" t="n"/>
      <c r="J1318" s="33" t="n"/>
      <c r="K1318" s="28">
        <f>IF(OR(B1318="",F1318&lt;&gt;"Done",J1318="Package"),"",IF(N(G1318)-N(I1318)&gt;0,N(G1318)-N(I1318),""))</f>
        <v/>
      </c>
      <c r="L1318" s="32" t="n"/>
      <c r="M1318" s="1">
        <f>IF(OR(B1318="",D1318="",F1318="Cancelled"),"",B1318+N(C1318)+ROW()/10000000)</f>
        <v/>
      </c>
      <c r="N1318">
        <f>IF(AND(F1318="Done",M1318&lt;&gt;""),IF(COUNTIFS(Appointments!$D$6:$D$2005,D1318,Appointments!$F$6:$F$2005,"Done",Appointments!$M$6:$M$2005,"&gt;"&amp;M1318)=0,1,0),0)</f>
        <v/>
      </c>
      <c r="O1318">
        <f>IF(AND(F1318="Booked",M1318&lt;&gt;"",N(B1318)&gt;=TODAY()),IF(COUNTIFS(Appointments!$D$6:$D$2005,D1318,Appointments!$F$6:$F$2005,"Booked",Appointments!$B$6:$B$2005,"&gt;="&amp;TODAY(),Appointments!$M$6:$M$2005,"&lt;"&amp;M1318)=0,1,0),0)</f>
        <v/>
      </c>
    </row>
    <row r="1319">
      <c r="A1319" s="1" t="n"/>
      <c r="B1319" s="30" t="n"/>
      <c r="C1319" s="31" t="n"/>
      <c r="D1319" s="32" t="n"/>
      <c r="E1319" s="32" t="n"/>
      <c r="F1319" s="33" t="n"/>
      <c r="G1319" s="27">
        <f>IF(E1319="","",MAX(0,IFERROR(INDEX(Services!$C$6:$C$35,MATCH(E1319,Services!$B$6:$B$35,0)),0)-N(H1319)))</f>
        <v/>
      </c>
      <c r="H1319" s="34" t="n"/>
      <c r="I1319" s="34" t="n"/>
      <c r="J1319" s="33" t="n"/>
      <c r="K1319" s="28">
        <f>IF(OR(B1319="",F1319&lt;&gt;"Done",J1319="Package"),"",IF(N(G1319)-N(I1319)&gt;0,N(G1319)-N(I1319),""))</f>
        <v/>
      </c>
      <c r="L1319" s="32" t="n"/>
      <c r="M1319" s="1">
        <f>IF(OR(B1319="",D1319="",F1319="Cancelled"),"",B1319+N(C1319)+ROW()/10000000)</f>
        <v/>
      </c>
      <c r="N1319">
        <f>IF(AND(F1319="Done",M1319&lt;&gt;""),IF(COUNTIFS(Appointments!$D$6:$D$2005,D1319,Appointments!$F$6:$F$2005,"Done",Appointments!$M$6:$M$2005,"&gt;"&amp;M1319)=0,1,0),0)</f>
        <v/>
      </c>
      <c r="O1319">
        <f>IF(AND(F1319="Booked",M1319&lt;&gt;"",N(B1319)&gt;=TODAY()),IF(COUNTIFS(Appointments!$D$6:$D$2005,D1319,Appointments!$F$6:$F$2005,"Booked",Appointments!$B$6:$B$2005,"&gt;="&amp;TODAY(),Appointments!$M$6:$M$2005,"&lt;"&amp;M1319)=0,1,0),0)</f>
        <v/>
      </c>
    </row>
    <row r="1320">
      <c r="A1320" s="1" t="n"/>
      <c r="B1320" s="30" t="n"/>
      <c r="C1320" s="31" t="n"/>
      <c r="D1320" s="32" t="n"/>
      <c r="E1320" s="32" t="n"/>
      <c r="F1320" s="33" t="n"/>
      <c r="G1320" s="27">
        <f>IF(E1320="","",MAX(0,IFERROR(INDEX(Services!$C$6:$C$35,MATCH(E1320,Services!$B$6:$B$35,0)),0)-N(H1320)))</f>
        <v/>
      </c>
      <c r="H1320" s="34" t="n"/>
      <c r="I1320" s="34" t="n"/>
      <c r="J1320" s="33" t="n"/>
      <c r="K1320" s="28">
        <f>IF(OR(B1320="",F1320&lt;&gt;"Done",J1320="Package"),"",IF(N(G1320)-N(I1320)&gt;0,N(G1320)-N(I1320),""))</f>
        <v/>
      </c>
      <c r="L1320" s="32" t="n"/>
      <c r="M1320" s="1">
        <f>IF(OR(B1320="",D1320="",F1320="Cancelled"),"",B1320+N(C1320)+ROW()/10000000)</f>
        <v/>
      </c>
      <c r="N1320">
        <f>IF(AND(F1320="Done",M1320&lt;&gt;""),IF(COUNTIFS(Appointments!$D$6:$D$2005,D1320,Appointments!$F$6:$F$2005,"Done",Appointments!$M$6:$M$2005,"&gt;"&amp;M1320)=0,1,0),0)</f>
        <v/>
      </c>
      <c r="O1320">
        <f>IF(AND(F1320="Booked",M1320&lt;&gt;"",N(B1320)&gt;=TODAY()),IF(COUNTIFS(Appointments!$D$6:$D$2005,D1320,Appointments!$F$6:$F$2005,"Booked",Appointments!$B$6:$B$2005,"&gt;="&amp;TODAY(),Appointments!$M$6:$M$2005,"&lt;"&amp;M1320)=0,1,0),0)</f>
        <v/>
      </c>
    </row>
    <row r="1321">
      <c r="A1321" s="1" t="n"/>
      <c r="B1321" s="30" t="n"/>
      <c r="C1321" s="31" t="n"/>
      <c r="D1321" s="32" t="n"/>
      <c r="E1321" s="32" t="n"/>
      <c r="F1321" s="33" t="n"/>
      <c r="G1321" s="27">
        <f>IF(E1321="","",MAX(0,IFERROR(INDEX(Services!$C$6:$C$35,MATCH(E1321,Services!$B$6:$B$35,0)),0)-N(H1321)))</f>
        <v/>
      </c>
      <c r="H1321" s="34" t="n"/>
      <c r="I1321" s="34" t="n"/>
      <c r="J1321" s="33" t="n"/>
      <c r="K1321" s="28">
        <f>IF(OR(B1321="",F1321&lt;&gt;"Done",J1321="Package"),"",IF(N(G1321)-N(I1321)&gt;0,N(G1321)-N(I1321),""))</f>
        <v/>
      </c>
      <c r="L1321" s="32" t="n"/>
      <c r="M1321" s="1">
        <f>IF(OR(B1321="",D1321="",F1321="Cancelled"),"",B1321+N(C1321)+ROW()/10000000)</f>
        <v/>
      </c>
      <c r="N1321">
        <f>IF(AND(F1321="Done",M1321&lt;&gt;""),IF(COUNTIFS(Appointments!$D$6:$D$2005,D1321,Appointments!$F$6:$F$2005,"Done",Appointments!$M$6:$M$2005,"&gt;"&amp;M1321)=0,1,0),0)</f>
        <v/>
      </c>
      <c r="O1321">
        <f>IF(AND(F1321="Booked",M1321&lt;&gt;"",N(B1321)&gt;=TODAY()),IF(COUNTIFS(Appointments!$D$6:$D$2005,D1321,Appointments!$F$6:$F$2005,"Booked",Appointments!$B$6:$B$2005,"&gt;="&amp;TODAY(),Appointments!$M$6:$M$2005,"&lt;"&amp;M1321)=0,1,0),0)</f>
        <v/>
      </c>
    </row>
    <row r="1322">
      <c r="A1322" s="1" t="n"/>
      <c r="B1322" s="30" t="n"/>
      <c r="C1322" s="31" t="n"/>
      <c r="D1322" s="32" t="n"/>
      <c r="E1322" s="32" t="n"/>
      <c r="F1322" s="33" t="n"/>
      <c r="G1322" s="27">
        <f>IF(E1322="","",MAX(0,IFERROR(INDEX(Services!$C$6:$C$35,MATCH(E1322,Services!$B$6:$B$35,0)),0)-N(H1322)))</f>
        <v/>
      </c>
      <c r="H1322" s="34" t="n"/>
      <c r="I1322" s="34" t="n"/>
      <c r="J1322" s="33" t="n"/>
      <c r="K1322" s="28">
        <f>IF(OR(B1322="",F1322&lt;&gt;"Done",J1322="Package"),"",IF(N(G1322)-N(I1322)&gt;0,N(G1322)-N(I1322),""))</f>
        <v/>
      </c>
      <c r="L1322" s="32" t="n"/>
      <c r="M1322" s="1">
        <f>IF(OR(B1322="",D1322="",F1322="Cancelled"),"",B1322+N(C1322)+ROW()/10000000)</f>
        <v/>
      </c>
      <c r="N1322">
        <f>IF(AND(F1322="Done",M1322&lt;&gt;""),IF(COUNTIFS(Appointments!$D$6:$D$2005,D1322,Appointments!$F$6:$F$2005,"Done",Appointments!$M$6:$M$2005,"&gt;"&amp;M1322)=0,1,0),0)</f>
        <v/>
      </c>
      <c r="O1322">
        <f>IF(AND(F1322="Booked",M1322&lt;&gt;"",N(B1322)&gt;=TODAY()),IF(COUNTIFS(Appointments!$D$6:$D$2005,D1322,Appointments!$F$6:$F$2005,"Booked",Appointments!$B$6:$B$2005,"&gt;="&amp;TODAY(),Appointments!$M$6:$M$2005,"&lt;"&amp;M1322)=0,1,0),0)</f>
        <v/>
      </c>
    </row>
    <row r="1323">
      <c r="A1323" s="1" t="n"/>
      <c r="B1323" s="30" t="n"/>
      <c r="C1323" s="31" t="n"/>
      <c r="D1323" s="32" t="n"/>
      <c r="E1323" s="32" t="n"/>
      <c r="F1323" s="33" t="n"/>
      <c r="G1323" s="27">
        <f>IF(E1323="","",MAX(0,IFERROR(INDEX(Services!$C$6:$C$35,MATCH(E1323,Services!$B$6:$B$35,0)),0)-N(H1323)))</f>
        <v/>
      </c>
      <c r="H1323" s="34" t="n"/>
      <c r="I1323" s="34" t="n"/>
      <c r="J1323" s="33" t="n"/>
      <c r="K1323" s="28">
        <f>IF(OR(B1323="",F1323&lt;&gt;"Done",J1323="Package"),"",IF(N(G1323)-N(I1323)&gt;0,N(G1323)-N(I1323),""))</f>
        <v/>
      </c>
      <c r="L1323" s="32" t="n"/>
      <c r="M1323" s="1">
        <f>IF(OR(B1323="",D1323="",F1323="Cancelled"),"",B1323+N(C1323)+ROW()/10000000)</f>
        <v/>
      </c>
      <c r="N1323">
        <f>IF(AND(F1323="Done",M1323&lt;&gt;""),IF(COUNTIFS(Appointments!$D$6:$D$2005,D1323,Appointments!$F$6:$F$2005,"Done",Appointments!$M$6:$M$2005,"&gt;"&amp;M1323)=0,1,0),0)</f>
        <v/>
      </c>
      <c r="O1323">
        <f>IF(AND(F1323="Booked",M1323&lt;&gt;"",N(B1323)&gt;=TODAY()),IF(COUNTIFS(Appointments!$D$6:$D$2005,D1323,Appointments!$F$6:$F$2005,"Booked",Appointments!$B$6:$B$2005,"&gt;="&amp;TODAY(),Appointments!$M$6:$M$2005,"&lt;"&amp;M1323)=0,1,0),0)</f>
        <v/>
      </c>
    </row>
    <row r="1324">
      <c r="A1324" s="1" t="n"/>
      <c r="B1324" s="30" t="n"/>
      <c r="C1324" s="31" t="n"/>
      <c r="D1324" s="32" t="n"/>
      <c r="E1324" s="32" t="n"/>
      <c r="F1324" s="33" t="n"/>
      <c r="G1324" s="27">
        <f>IF(E1324="","",MAX(0,IFERROR(INDEX(Services!$C$6:$C$35,MATCH(E1324,Services!$B$6:$B$35,0)),0)-N(H1324)))</f>
        <v/>
      </c>
      <c r="H1324" s="34" t="n"/>
      <c r="I1324" s="34" t="n"/>
      <c r="J1324" s="33" t="n"/>
      <c r="K1324" s="28">
        <f>IF(OR(B1324="",F1324&lt;&gt;"Done",J1324="Package"),"",IF(N(G1324)-N(I1324)&gt;0,N(G1324)-N(I1324),""))</f>
        <v/>
      </c>
      <c r="L1324" s="32" t="n"/>
      <c r="M1324" s="1">
        <f>IF(OR(B1324="",D1324="",F1324="Cancelled"),"",B1324+N(C1324)+ROW()/10000000)</f>
        <v/>
      </c>
      <c r="N1324">
        <f>IF(AND(F1324="Done",M1324&lt;&gt;""),IF(COUNTIFS(Appointments!$D$6:$D$2005,D1324,Appointments!$F$6:$F$2005,"Done",Appointments!$M$6:$M$2005,"&gt;"&amp;M1324)=0,1,0),0)</f>
        <v/>
      </c>
      <c r="O1324">
        <f>IF(AND(F1324="Booked",M1324&lt;&gt;"",N(B1324)&gt;=TODAY()),IF(COUNTIFS(Appointments!$D$6:$D$2005,D1324,Appointments!$F$6:$F$2005,"Booked",Appointments!$B$6:$B$2005,"&gt;="&amp;TODAY(),Appointments!$M$6:$M$2005,"&lt;"&amp;M1324)=0,1,0),0)</f>
        <v/>
      </c>
    </row>
    <row r="1325">
      <c r="A1325" s="1" t="n"/>
      <c r="B1325" s="30" t="n"/>
      <c r="C1325" s="31" t="n"/>
      <c r="D1325" s="32" t="n"/>
      <c r="E1325" s="32" t="n"/>
      <c r="F1325" s="33" t="n"/>
      <c r="G1325" s="27">
        <f>IF(E1325="","",MAX(0,IFERROR(INDEX(Services!$C$6:$C$35,MATCH(E1325,Services!$B$6:$B$35,0)),0)-N(H1325)))</f>
        <v/>
      </c>
      <c r="H1325" s="34" t="n"/>
      <c r="I1325" s="34" t="n"/>
      <c r="J1325" s="33" t="n"/>
      <c r="K1325" s="28">
        <f>IF(OR(B1325="",F1325&lt;&gt;"Done",J1325="Package"),"",IF(N(G1325)-N(I1325)&gt;0,N(G1325)-N(I1325),""))</f>
        <v/>
      </c>
      <c r="L1325" s="32" t="n"/>
      <c r="M1325" s="1">
        <f>IF(OR(B1325="",D1325="",F1325="Cancelled"),"",B1325+N(C1325)+ROW()/10000000)</f>
        <v/>
      </c>
      <c r="N1325">
        <f>IF(AND(F1325="Done",M1325&lt;&gt;""),IF(COUNTIFS(Appointments!$D$6:$D$2005,D1325,Appointments!$F$6:$F$2005,"Done",Appointments!$M$6:$M$2005,"&gt;"&amp;M1325)=0,1,0),0)</f>
        <v/>
      </c>
      <c r="O1325">
        <f>IF(AND(F1325="Booked",M1325&lt;&gt;"",N(B1325)&gt;=TODAY()),IF(COUNTIFS(Appointments!$D$6:$D$2005,D1325,Appointments!$F$6:$F$2005,"Booked",Appointments!$B$6:$B$2005,"&gt;="&amp;TODAY(),Appointments!$M$6:$M$2005,"&lt;"&amp;M1325)=0,1,0),0)</f>
        <v/>
      </c>
    </row>
    <row r="1326">
      <c r="A1326" s="1" t="n"/>
      <c r="B1326" s="30" t="n"/>
      <c r="C1326" s="31" t="n"/>
      <c r="D1326" s="32" t="n"/>
      <c r="E1326" s="32" t="n"/>
      <c r="F1326" s="33" t="n"/>
      <c r="G1326" s="27">
        <f>IF(E1326="","",MAX(0,IFERROR(INDEX(Services!$C$6:$C$35,MATCH(E1326,Services!$B$6:$B$35,0)),0)-N(H1326)))</f>
        <v/>
      </c>
      <c r="H1326" s="34" t="n"/>
      <c r="I1326" s="34" t="n"/>
      <c r="J1326" s="33" t="n"/>
      <c r="K1326" s="28">
        <f>IF(OR(B1326="",F1326&lt;&gt;"Done",J1326="Package"),"",IF(N(G1326)-N(I1326)&gt;0,N(G1326)-N(I1326),""))</f>
        <v/>
      </c>
      <c r="L1326" s="32" t="n"/>
      <c r="M1326" s="1">
        <f>IF(OR(B1326="",D1326="",F1326="Cancelled"),"",B1326+N(C1326)+ROW()/10000000)</f>
        <v/>
      </c>
      <c r="N1326">
        <f>IF(AND(F1326="Done",M1326&lt;&gt;""),IF(COUNTIFS(Appointments!$D$6:$D$2005,D1326,Appointments!$F$6:$F$2005,"Done",Appointments!$M$6:$M$2005,"&gt;"&amp;M1326)=0,1,0),0)</f>
        <v/>
      </c>
      <c r="O1326">
        <f>IF(AND(F1326="Booked",M1326&lt;&gt;"",N(B1326)&gt;=TODAY()),IF(COUNTIFS(Appointments!$D$6:$D$2005,D1326,Appointments!$F$6:$F$2005,"Booked",Appointments!$B$6:$B$2005,"&gt;="&amp;TODAY(),Appointments!$M$6:$M$2005,"&lt;"&amp;M1326)=0,1,0),0)</f>
        <v/>
      </c>
    </row>
    <row r="1327">
      <c r="A1327" s="1" t="n"/>
      <c r="B1327" s="30" t="n"/>
      <c r="C1327" s="31" t="n"/>
      <c r="D1327" s="32" t="n"/>
      <c r="E1327" s="32" t="n"/>
      <c r="F1327" s="33" t="n"/>
      <c r="G1327" s="27">
        <f>IF(E1327="","",MAX(0,IFERROR(INDEX(Services!$C$6:$C$35,MATCH(E1327,Services!$B$6:$B$35,0)),0)-N(H1327)))</f>
        <v/>
      </c>
      <c r="H1327" s="34" t="n"/>
      <c r="I1327" s="34" t="n"/>
      <c r="J1327" s="33" t="n"/>
      <c r="K1327" s="28">
        <f>IF(OR(B1327="",F1327&lt;&gt;"Done",J1327="Package"),"",IF(N(G1327)-N(I1327)&gt;0,N(G1327)-N(I1327),""))</f>
        <v/>
      </c>
      <c r="L1327" s="32" t="n"/>
      <c r="M1327" s="1">
        <f>IF(OR(B1327="",D1327="",F1327="Cancelled"),"",B1327+N(C1327)+ROW()/10000000)</f>
        <v/>
      </c>
      <c r="N1327">
        <f>IF(AND(F1327="Done",M1327&lt;&gt;""),IF(COUNTIFS(Appointments!$D$6:$D$2005,D1327,Appointments!$F$6:$F$2005,"Done",Appointments!$M$6:$M$2005,"&gt;"&amp;M1327)=0,1,0),0)</f>
        <v/>
      </c>
      <c r="O1327">
        <f>IF(AND(F1327="Booked",M1327&lt;&gt;"",N(B1327)&gt;=TODAY()),IF(COUNTIFS(Appointments!$D$6:$D$2005,D1327,Appointments!$F$6:$F$2005,"Booked",Appointments!$B$6:$B$2005,"&gt;="&amp;TODAY(),Appointments!$M$6:$M$2005,"&lt;"&amp;M1327)=0,1,0),0)</f>
        <v/>
      </c>
    </row>
    <row r="1328">
      <c r="A1328" s="1" t="n"/>
      <c r="B1328" s="30" t="n"/>
      <c r="C1328" s="31" t="n"/>
      <c r="D1328" s="32" t="n"/>
      <c r="E1328" s="32" t="n"/>
      <c r="F1328" s="33" t="n"/>
      <c r="G1328" s="27">
        <f>IF(E1328="","",MAX(0,IFERROR(INDEX(Services!$C$6:$C$35,MATCH(E1328,Services!$B$6:$B$35,0)),0)-N(H1328)))</f>
        <v/>
      </c>
      <c r="H1328" s="34" t="n"/>
      <c r="I1328" s="34" t="n"/>
      <c r="J1328" s="33" t="n"/>
      <c r="K1328" s="28">
        <f>IF(OR(B1328="",F1328&lt;&gt;"Done",J1328="Package"),"",IF(N(G1328)-N(I1328)&gt;0,N(G1328)-N(I1328),""))</f>
        <v/>
      </c>
      <c r="L1328" s="32" t="n"/>
      <c r="M1328" s="1">
        <f>IF(OR(B1328="",D1328="",F1328="Cancelled"),"",B1328+N(C1328)+ROW()/10000000)</f>
        <v/>
      </c>
      <c r="N1328">
        <f>IF(AND(F1328="Done",M1328&lt;&gt;""),IF(COUNTIFS(Appointments!$D$6:$D$2005,D1328,Appointments!$F$6:$F$2005,"Done",Appointments!$M$6:$M$2005,"&gt;"&amp;M1328)=0,1,0),0)</f>
        <v/>
      </c>
      <c r="O1328">
        <f>IF(AND(F1328="Booked",M1328&lt;&gt;"",N(B1328)&gt;=TODAY()),IF(COUNTIFS(Appointments!$D$6:$D$2005,D1328,Appointments!$F$6:$F$2005,"Booked",Appointments!$B$6:$B$2005,"&gt;="&amp;TODAY(),Appointments!$M$6:$M$2005,"&lt;"&amp;M1328)=0,1,0),0)</f>
        <v/>
      </c>
    </row>
    <row r="1329">
      <c r="A1329" s="1" t="n"/>
      <c r="B1329" s="30" t="n"/>
      <c r="C1329" s="31" t="n"/>
      <c r="D1329" s="32" t="n"/>
      <c r="E1329" s="32" t="n"/>
      <c r="F1329" s="33" t="n"/>
      <c r="G1329" s="27">
        <f>IF(E1329="","",MAX(0,IFERROR(INDEX(Services!$C$6:$C$35,MATCH(E1329,Services!$B$6:$B$35,0)),0)-N(H1329)))</f>
        <v/>
      </c>
      <c r="H1329" s="34" t="n"/>
      <c r="I1329" s="34" t="n"/>
      <c r="J1329" s="33" t="n"/>
      <c r="K1329" s="28">
        <f>IF(OR(B1329="",F1329&lt;&gt;"Done",J1329="Package"),"",IF(N(G1329)-N(I1329)&gt;0,N(G1329)-N(I1329),""))</f>
        <v/>
      </c>
      <c r="L1329" s="32" t="n"/>
      <c r="M1329" s="1">
        <f>IF(OR(B1329="",D1329="",F1329="Cancelled"),"",B1329+N(C1329)+ROW()/10000000)</f>
        <v/>
      </c>
      <c r="N1329">
        <f>IF(AND(F1329="Done",M1329&lt;&gt;""),IF(COUNTIFS(Appointments!$D$6:$D$2005,D1329,Appointments!$F$6:$F$2005,"Done",Appointments!$M$6:$M$2005,"&gt;"&amp;M1329)=0,1,0),0)</f>
        <v/>
      </c>
      <c r="O1329">
        <f>IF(AND(F1329="Booked",M1329&lt;&gt;"",N(B1329)&gt;=TODAY()),IF(COUNTIFS(Appointments!$D$6:$D$2005,D1329,Appointments!$F$6:$F$2005,"Booked",Appointments!$B$6:$B$2005,"&gt;="&amp;TODAY(),Appointments!$M$6:$M$2005,"&lt;"&amp;M1329)=0,1,0),0)</f>
        <v/>
      </c>
    </row>
    <row r="1330">
      <c r="A1330" s="1" t="n"/>
      <c r="B1330" s="30" t="n"/>
      <c r="C1330" s="31" t="n"/>
      <c r="D1330" s="32" t="n"/>
      <c r="E1330" s="32" t="n"/>
      <c r="F1330" s="33" t="n"/>
      <c r="G1330" s="27">
        <f>IF(E1330="","",MAX(0,IFERROR(INDEX(Services!$C$6:$C$35,MATCH(E1330,Services!$B$6:$B$35,0)),0)-N(H1330)))</f>
        <v/>
      </c>
      <c r="H1330" s="34" t="n"/>
      <c r="I1330" s="34" t="n"/>
      <c r="J1330" s="33" t="n"/>
      <c r="K1330" s="28">
        <f>IF(OR(B1330="",F1330&lt;&gt;"Done",J1330="Package"),"",IF(N(G1330)-N(I1330)&gt;0,N(G1330)-N(I1330),""))</f>
        <v/>
      </c>
      <c r="L1330" s="32" t="n"/>
      <c r="M1330" s="1">
        <f>IF(OR(B1330="",D1330="",F1330="Cancelled"),"",B1330+N(C1330)+ROW()/10000000)</f>
        <v/>
      </c>
      <c r="N1330">
        <f>IF(AND(F1330="Done",M1330&lt;&gt;""),IF(COUNTIFS(Appointments!$D$6:$D$2005,D1330,Appointments!$F$6:$F$2005,"Done",Appointments!$M$6:$M$2005,"&gt;"&amp;M1330)=0,1,0),0)</f>
        <v/>
      </c>
      <c r="O1330">
        <f>IF(AND(F1330="Booked",M1330&lt;&gt;"",N(B1330)&gt;=TODAY()),IF(COUNTIFS(Appointments!$D$6:$D$2005,D1330,Appointments!$F$6:$F$2005,"Booked",Appointments!$B$6:$B$2005,"&gt;="&amp;TODAY(),Appointments!$M$6:$M$2005,"&lt;"&amp;M1330)=0,1,0),0)</f>
        <v/>
      </c>
    </row>
    <row r="1331">
      <c r="A1331" s="1" t="n"/>
      <c r="B1331" s="30" t="n"/>
      <c r="C1331" s="31" t="n"/>
      <c r="D1331" s="32" t="n"/>
      <c r="E1331" s="32" t="n"/>
      <c r="F1331" s="33" t="n"/>
      <c r="G1331" s="27">
        <f>IF(E1331="","",MAX(0,IFERROR(INDEX(Services!$C$6:$C$35,MATCH(E1331,Services!$B$6:$B$35,0)),0)-N(H1331)))</f>
        <v/>
      </c>
      <c r="H1331" s="34" t="n"/>
      <c r="I1331" s="34" t="n"/>
      <c r="J1331" s="33" t="n"/>
      <c r="K1331" s="28">
        <f>IF(OR(B1331="",F1331&lt;&gt;"Done",J1331="Package"),"",IF(N(G1331)-N(I1331)&gt;0,N(G1331)-N(I1331),""))</f>
        <v/>
      </c>
      <c r="L1331" s="32" t="n"/>
      <c r="M1331" s="1">
        <f>IF(OR(B1331="",D1331="",F1331="Cancelled"),"",B1331+N(C1331)+ROW()/10000000)</f>
        <v/>
      </c>
      <c r="N1331">
        <f>IF(AND(F1331="Done",M1331&lt;&gt;""),IF(COUNTIFS(Appointments!$D$6:$D$2005,D1331,Appointments!$F$6:$F$2005,"Done",Appointments!$M$6:$M$2005,"&gt;"&amp;M1331)=0,1,0),0)</f>
        <v/>
      </c>
      <c r="O1331">
        <f>IF(AND(F1331="Booked",M1331&lt;&gt;"",N(B1331)&gt;=TODAY()),IF(COUNTIFS(Appointments!$D$6:$D$2005,D1331,Appointments!$F$6:$F$2005,"Booked",Appointments!$B$6:$B$2005,"&gt;="&amp;TODAY(),Appointments!$M$6:$M$2005,"&lt;"&amp;M1331)=0,1,0),0)</f>
        <v/>
      </c>
    </row>
    <row r="1332">
      <c r="A1332" s="1" t="n"/>
      <c r="B1332" s="30" t="n"/>
      <c r="C1332" s="31" t="n"/>
      <c r="D1332" s="32" t="n"/>
      <c r="E1332" s="32" t="n"/>
      <c r="F1332" s="33" t="n"/>
      <c r="G1332" s="27">
        <f>IF(E1332="","",MAX(0,IFERROR(INDEX(Services!$C$6:$C$35,MATCH(E1332,Services!$B$6:$B$35,0)),0)-N(H1332)))</f>
        <v/>
      </c>
      <c r="H1332" s="34" t="n"/>
      <c r="I1332" s="34" t="n"/>
      <c r="J1332" s="33" t="n"/>
      <c r="K1332" s="28">
        <f>IF(OR(B1332="",F1332&lt;&gt;"Done",J1332="Package"),"",IF(N(G1332)-N(I1332)&gt;0,N(G1332)-N(I1332),""))</f>
        <v/>
      </c>
      <c r="L1332" s="32" t="n"/>
      <c r="M1332" s="1">
        <f>IF(OR(B1332="",D1332="",F1332="Cancelled"),"",B1332+N(C1332)+ROW()/10000000)</f>
        <v/>
      </c>
      <c r="N1332">
        <f>IF(AND(F1332="Done",M1332&lt;&gt;""),IF(COUNTIFS(Appointments!$D$6:$D$2005,D1332,Appointments!$F$6:$F$2005,"Done",Appointments!$M$6:$M$2005,"&gt;"&amp;M1332)=0,1,0),0)</f>
        <v/>
      </c>
      <c r="O1332">
        <f>IF(AND(F1332="Booked",M1332&lt;&gt;"",N(B1332)&gt;=TODAY()),IF(COUNTIFS(Appointments!$D$6:$D$2005,D1332,Appointments!$F$6:$F$2005,"Booked",Appointments!$B$6:$B$2005,"&gt;="&amp;TODAY(),Appointments!$M$6:$M$2005,"&lt;"&amp;M1332)=0,1,0),0)</f>
        <v/>
      </c>
    </row>
    <row r="1333">
      <c r="A1333" s="1" t="n"/>
      <c r="B1333" s="30" t="n"/>
      <c r="C1333" s="31" t="n"/>
      <c r="D1333" s="32" t="n"/>
      <c r="E1333" s="32" t="n"/>
      <c r="F1333" s="33" t="n"/>
      <c r="G1333" s="27">
        <f>IF(E1333="","",MAX(0,IFERROR(INDEX(Services!$C$6:$C$35,MATCH(E1333,Services!$B$6:$B$35,0)),0)-N(H1333)))</f>
        <v/>
      </c>
      <c r="H1333" s="34" t="n"/>
      <c r="I1333" s="34" t="n"/>
      <c r="J1333" s="33" t="n"/>
      <c r="K1333" s="28">
        <f>IF(OR(B1333="",F1333&lt;&gt;"Done",J1333="Package"),"",IF(N(G1333)-N(I1333)&gt;0,N(G1333)-N(I1333),""))</f>
        <v/>
      </c>
      <c r="L1333" s="32" t="n"/>
      <c r="M1333" s="1">
        <f>IF(OR(B1333="",D1333="",F1333="Cancelled"),"",B1333+N(C1333)+ROW()/10000000)</f>
        <v/>
      </c>
      <c r="N1333">
        <f>IF(AND(F1333="Done",M1333&lt;&gt;""),IF(COUNTIFS(Appointments!$D$6:$D$2005,D1333,Appointments!$F$6:$F$2005,"Done",Appointments!$M$6:$M$2005,"&gt;"&amp;M1333)=0,1,0),0)</f>
        <v/>
      </c>
      <c r="O1333">
        <f>IF(AND(F1333="Booked",M1333&lt;&gt;"",N(B1333)&gt;=TODAY()),IF(COUNTIFS(Appointments!$D$6:$D$2005,D1333,Appointments!$F$6:$F$2005,"Booked",Appointments!$B$6:$B$2005,"&gt;="&amp;TODAY(),Appointments!$M$6:$M$2005,"&lt;"&amp;M1333)=0,1,0),0)</f>
        <v/>
      </c>
    </row>
    <row r="1334">
      <c r="A1334" s="1" t="n"/>
      <c r="B1334" s="30" t="n"/>
      <c r="C1334" s="31" t="n"/>
      <c r="D1334" s="32" t="n"/>
      <c r="E1334" s="32" t="n"/>
      <c r="F1334" s="33" t="n"/>
      <c r="G1334" s="27">
        <f>IF(E1334="","",MAX(0,IFERROR(INDEX(Services!$C$6:$C$35,MATCH(E1334,Services!$B$6:$B$35,0)),0)-N(H1334)))</f>
        <v/>
      </c>
      <c r="H1334" s="34" t="n"/>
      <c r="I1334" s="34" t="n"/>
      <c r="J1334" s="33" t="n"/>
      <c r="K1334" s="28">
        <f>IF(OR(B1334="",F1334&lt;&gt;"Done",J1334="Package"),"",IF(N(G1334)-N(I1334)&gt;0,N(G1334)-N(I1334),""))</f>
        <v/>
      </c>
      <c r="L1334" s="32" t="n"/>
      <c r="M1334" s="1">
        <f>IF(OR(B1334="",D1334="",F1334="Cancelled"),"",B1334+N(C1334)+ROW()/10000000)</f>
        <v/>
      </c>
      <c r="N1334">
        <f>IF(AND(F1334="Done",M1334&lt;&gt;""),IF(COUNTIFS(Appointments!$D$6:$D$2005,D1334,Appointments!$F$6:$F$2005,"Done",Appointments!$M$6:$M$2005,"&gt;"&amp;M1334)=0,1,0),0)</f>
        <v/>
      </c>
      <c r="O1334">
        <f>IF(AND(F1334="Booked",M1334&lt;&gt;"",N(B1334)&gt;=TODAY()),IF(COUNTIFS(Appointments!$D$6:$D$2005,D1334,Appointments!$F$6:$F$2005,"Booked",Appointments!$B$6:$B$2005,"&gt;="&amp;TODAY(),Appointments!$M$6:$M$2005,"&lt;"&amp;M1334)=0,1,0),0)</f>
        <v/>
      </c>
    </row>
    <row r="1335">
      <c r="A1335" s="1" t="n"/>
      <c r="B1335" s="30" t="n"/>
      <c r="C1335" s="31" t="n"/>
      <c r="D1335" s="32" t="n"/>
      <c r="E1335" s="32" t="n"/>
      <c r="F1335" s="33" t="n"/>
      <c r="G1335" s="27">
        <f>IF(E1335="","",MAX(0,IFERROR(INDEX(Services!$C$6:$C$35,MATCH(E1335,Services!$B$6:$B$35,0)),0)-N(H1335)))</f>
        <v/>
      </c>
      <c r="H1335" s="34" t="n"/>
      <c r="I1335" s="34" t="n"/>
      <c r="J1335" s="33" t="n"/>
      <c r="K1335" s="28">
        <f>IF(OR(B1335="",F1335&lt;&gt;"Done",J1335="Package"),"",IF(N(G1335)-N(I1335)&gt;0,N(G1335)-N(I1335),""))</f>
        <v/>
      </c>
      <c r="L1335" s="32" t="n"/>
      <c r="M1335" s="1">
        <f>IF(OR(B1335="",D1335="",F1335="Cancelled"),"",B1335+N(C1335)+ROW()/10000000)</f>
        <v/>
      </c>
      <c r="N1335">
        <f>IF(AND(F1335="Done",M1335&lt;&gt;""),IF(COUNTIFS(Appointments!$D$6:$D$2005,D1335,Appointments!$F$6:$F$2005,"Done",Appointments!$M$6:$M$2005,"&gt;"&amp;M1335)=0,1,0),0)</f>
        <v/>
      </c>
      <c r="O1335">
        <f>IF(AND(F1335="Booked",M1335&lt;&gt;"",N(B1335)&gt;=TODAY()),IF(COUNTIFS(Appointments!$D$6:$D$2005,D1335,Appointments!$F$6:$F$2005,"Booked",Appointments!$B$6:$B$2005,"&gt;="&amp;TODAY(),Appointments!$M$6:$M$2005,"&lt;"&amp;M1335)=0,1,0),0)</f>
        <v/>
      </c>
    </row>
    <row r="1336">
      <c r="A1336" s="1" t="n"/>
      <c r="B1336" s="30" t="n"/>
      <c r="C1336" s="31" t="n"/>
      <c r="D1336" s="32" t="n"/>
      <c r="E1336" s="32" t="n"/>
      <c r="F1336" s="33" t="n"/>
      <c r="G1336" s="27">
        <f>IF(E1336="","",MAX(0,IFERROR(INDEX(Services!$C$6:$C$35,MATCH(E1336,Services!$B$6:$B$35,0)),0)-N(H1336)))</f>
        <v/>
      </c>
      <c r="H1336" s="34" t="n"/>
      <c r="I1336" s="34" t="n"/>
      <c r="J1336" s="33" t="n"/>
      <c r="K1336" s="28">
        <f>IF(OR(B1336="",F1336&lt;&gt;"Done",J1336="Package"),"",IF(N(G1336)-N(I1336)&gt;0,N(G1336)-N(I1336),""))</f>
        <v/>
      </c>
      <c r="L1336" s="32" t="n"/>
      <c r="M1336" s="1">
        <f>IF(OR(B1336="",D1336="",F1336="Cancelled"),"",B1336+N(C1336)+ROW()/10000000)</f>
        <v/>
      </c>
      <c r="N1336">
        <f>IF(AND(F1336="Done",M1336&lt;&gt;""),IF(COUNTIFS(Appointments!$D$6:$D$2005,D1336,Appointments!$F$6:$F$2005,"Done",Appointments!$M$6:$M$2005,"&gt;"&amp;M1336)=0,1,0),0)</f>
        <v/>
      </c>
      <c r="O1336">
        <f>IF(AND(F1336="Booked",M1336&lt;&gt;"",N(B1336)&gt;=TODAY()),IF(COUNTIFS(Appointments!$D$6:$D$2005,D1336,Appointments!$F$6:$F$2005,"Booked",Appointments!$B$6:$B$2005,"&gt;="&amp;TODAY(),Appointments!$M$6:$M$2005,"&lt;"&amp;M1336)=0,1,0),0)</f>
        <v/>
      </c>
    </row>
    <row r="1337">
      <c r="A1337" s="1" t="n"/>
      <c r="B1337" s="30" t="n"/>
      <c r="C1337" s="31" t="n"/>
      <c r="D1337" s="32" t="n"/>
      <c r="E1337" s="32" t="n"/>
      <c r="F1337" s="33" t="n"/>
      <c r="G1337" s="27">
        <f>IF(E1337="","",MAX(0,IFERROR(INDEX(Services!$C$6:$C$35,MATCH(E1337,Services!$B$6:$B$35,0)),0)-N(H1337)))</f>
        <v/>
      </c>
      <c r="H1337" s="34" t="n"/>
      <c r="I1337" s="34" t="n"/>
      <c r="J1337" s="33" t="n"/>
      <c r="K1337" s="28">
        <f>IF(OR(B1337="",F1337&lt;&gt;"Done",J1337="Package"),"",IF(N(G1337)-N(I1337)&gt;0,N(G1337)-N(I1337),""))</f>
        <v/>
      </c>
      <c r="L1337" s="32" t="n"/>
      <c r="M1337" s="1">
        <f>IF(OR(B1337="",D1337="",F1337="Cancelled"),"",B1337+N(C1337)+ROW()/10000000)</f>
        <v/>
      </c>
      <c r="N1337">
        <f>IF(AND(F1337="Done",M1337&lt;&gt;""),IF(COUNTIFS(Appointments!$D$6:$D$2005,D1337,Appointments!$F$6:$F$2005,"Done",Appointments!$M$6:$M$2005,"&gt;"&amp;M1337)=0,1,0),0)</f>
        <v/>
      </c>
      <c r="O1337">
        <f>IF(AND(F1337="Booked",M1337&lt;&gt;"",N(B1337)&gt;=TODAY()),IF(COUNTIFS(Appointments!$D$6:$D$2005,D1337,Appointments!$F$6:$F$2005,"Booked",Appointments!$B$6:$B$2005,"&gt;="&amp;TODAY(),Appointments!$M$6:$M$2005,"&lt;"&amp;M1337)=0,1,0),0)</f>
        <v/>
      </c>
    </row>
    <row r="1338">
      <c r="A1338" s="1" t="n"/>
      <c r="B1338" s="30" t="n"/>
      <c r="C1338" s="31" t="n"/>
      <c r="D1338" s="32" t="n"/>
      <c r="E1338" s="32" t="n"/>
      <c r="F1338" s="33" t="n"/>
      <c r="G1338" s="27">
        <f>IF(E1338="","",MAX(0,IFERROR(INDEX(Services!$C$6:$C$35,MATCH(E1338,Services!$B$6:$B$35,0)),0)-N(H1338)))</f>
        <v/>
      </c>
      <c r="H1338" s="34" t="n"/>
      <c r="I1338" s="34" t="n"/>
      <c r="J1338" s="33" t="n"/>
      <c r="K1338" s="28">
        <f>IF(OR(B1338="",F1338&lt;&gt;"Done",J1338="Package"),"",IF(N(G1338)-N(I1338)&gt;0,N(G1338)-N(I1338),""))</f>
        <v/>
      </c>
      <c r="L1338" s="32" t="n"/>
      <c r="M1338" s="1">
        <f>IF(OR(B1338="",D1338="",F1338="Cancelled"),"",B1338+N(C1338)+ROW()/10000000)</f>
        <v/>
      </c>
      <c r="N1338">
        <f>IF(AND(F1338="Done",M1338&lt;&gt;""),IF(COUNTIFS(Appointments!$D$6:$D$2005,D1338,Appointments!$F$6:$F$2005,"Done",Appointments!$M$6:$M$2005,"&gt;"&amp;M1338)=0,1,0),0)</f>
        <v/>
      </c>
      <c r="O1338">
        <f>IF(AND(F1338="Booked",M1338&lt;&gt;"",N(B1338)&gt;=TODAY()),IF(COUNTIFS(Appointments!$D$6:$D$2005,D1338,Appointments!$F$6:$F$2005,"Booked",Appointments!$B$6:$B$2005,"&gt;="&amp;TODAY(),Appointments!$M$6:$M$2005,"&lt;"&amp;M1338)=0,1,0),0)</f>
        <v/>
      </c>
    </row>
    <row r="1339">
      <c r="A1339" s="1" t="n"/>
      <c r="B1339" s="30" t="n"/>
      <c r="C1339" s="31" t="n"/>
      <c r="D1339" s="32" t="n"/>
      <c r="E1339" s="32" t="n"/>
      <c r="F1339" s="33" t="n"/>
      <c r="G1339" s="27">
        <f>IF(E1339="","",MAX(0,IFERROR(INDEX(Services!$C$6:$C$35,MATCH(E1339,Services!$B$6:$B$35,0)),0)-N(H1339)))</f>
        <v/>
      </c>
      <c r="H1339" s="34" t="n"/>
      <c r="I1339" s="34" t="n"/>
      <c r="J1339" s="33" t="n"/>
      <c r="K1339" s="28">
        <f>IF(OR(B1339="",F1339&lt;&gt;"Done",J1339="Package"),"",IF(N(G1339)-N(I1339)&gt;0,N(G1339)-N(I1339),""))</f>
        <v/>
      </c>
      <c r="L1339" s="32" t="n"/>
      <c r="M1339" s="1">
        <f>IF(OR(B1339="",D1339="",F1339="Cancelled"),"",B1339+N(C1339)+ROW()/10000000)</f>
        <v/>
      </c>
      <c r="N1339">
        <f>IF(AND(F1339="Done",M1339&lt;&gt;""),IF(COUNTIFS(Appointments!$D$6:$D$2005,D1339,Appointments!$F$6:$F$2005,"Done",Appointments!$M$6:$M$2005,"&gt;"&amp;M1339)=0,1,0),0)</f>
        <v/>
      </c>
      <c r="O1339">
        <f>IF(AND(F1339="Booked",M1339&lt;&gt;"",N(B1339)&gt;=TODAY()),IF(COUNTIFS(Appointments!$D$6:$D$2005,D1339,Appointments!$F$6:$F$2005,"Booked",Appointments!$B$6:$B$2005,"&gt;="&amp;TODAY(),Appointments!$M$6:$M$2005,"&lt;"&amp;M1339)=0,1,0),0)</f>
        <v/>
      </c>
    </row>
    <row r="1340">
      <c r="A1340" s="1" t="n"/>
      <c r="B1340" s="30" t="n"/>
      <c r="C1340" s="31" t="n"/>
      <c r="D1340" s="32" t="n"/>
      <c r="E1340" s="32" t="n"/>
      <c r="F1340" s="33" t="n"/>
      <c r="G1340" s="27">
        <f>IF(E1340="","",MAX(0,IFERROR(INDEX(Services!$C$6:$C$35,MATCH(E1340,Services!$B$6:$B$35,0)),0)-N(H1340)))</f>
        <v/>
      </c>
      <c r="H1340" s="34" t="n"/>
      <c r="I1340" s="34" t="n"/>
      <c r="J1340" s="33" t="n"/>
      <c r="K1340" s="28">
        <f>IF(OR(B1340="",F1340&lt;&gt;"Done",J1340="Package"),"",IF(N(G1340)-N(I1340)&gt;0,N(G1340)-N(I1340),""))</f>
        <v/>
      </c>
      <c r="L1340" s="32" t="n"/>
      <c r="M1340" s="1">
        <f>IF(OR(B1340="",D1340="",F1340="Cancelled"),"",B1340+N(C1340)+ROW()/10000000)</f>
        <v/>
      </c>
      <c r="N1340">
        <f>IF(AND(F1340="Done",M1340&lt;&gt;""),IF(COUNTIFS(Appointments!$D$6:$D$2005,D1340,Appointments!$F$6:$F$2005,"Done",Appointments!$M$6:$M$2005,"&gt;"&amp;M1340)=0,1,0),0)</f>
        <v/>
      </c>
      <c r="O1340">
        <f>IF(AND(F1340="Booked",M1340&lt;&gt;"",N(B1340)&gt;=TODAY()),IF(COUNTIFS(Appointments!$D$6:$D$2005,D1340,Appointments!$F$6:$F$2005,"Booked",Appointments!$B$6:$B$2005,"&gt;="&amp;TODAY(),Appointments!$M$6:$M$2005,"&lt;"&amp;M1340)=0,1,0),0)</f>
        <v/>
      </c>
    </row>
    <row r="1341">
      <c r="A1341" s="1" t="n"/>
      <c r="B1341" s="30" t="n"/>
      <c r="C1341" s="31" t="n"/>
      <c r="D1341" s="32" t="n"/>
      <c r="E1341" s="32" t="n"/>
      <c r="F1341" s="33" t="n"/>
      <c r="G1341" s="27">
        <f>IF(E1341="","",MAX(0,IFERROR(INDEX(Services!$C$6:$C$35,MATCH(E1341,Services!$B$6:$B$35,0)),0)-N(H1341)))</f>
        <v/>
      </c>
      <c r="H1341" s="34" t="n"/>
      <c r="I1341" s="34" t="n"/>
      <c r="J1341" s="33" t="n"/>
      <c r="K1341" s="28">
        <f>IF(OR(B1341="",F1341&lt;&gt;"Done",J1341="Package"),"",IF(N(G1341)-N(I1341)&gt;0,N(G1341)-N(I1341),""))</f>
        <v/>
      </c>
      <c r="L1341" s="32" t="n"/>
      <c r="M1341" s="1">
        <f>IF(OR(B1341="",D1341="",F1341="Cancelled"),"",B1341+N(C1341)+ROW()/10000000)</f>
        <v/>
      </c>
      <c r="N1341">
        <f>IF(AND(F1341="Done",M1341&lt;&gt;""),IF(COUNTIFS(Appointments!$D$6:$D$2005,D1341,Appointments!$F$6:$F$2005,"Done",Appointments!$M$6:$M$2005,"&gt;"&amp;M1341)=0,1,0),0)</f>
        <v/>
      </c>
      <c r="O1341">
        <f>IF(AND(F1341="Booked",M1341&lt;&gt;"",N(B1341)&gt;=TODAY()),IF(COUNTIFS(Appointments!$D$6:$D$2005,D1341,Appointments!$F$6:$F$2005,"Booked",Appointments!$B$6:$B$2005,"&gt;="&amp;TODAY(),Appointments!$M$6:$M$2005,"&lt;"&amp;M1341)=0,1,0),0)</f>
        <v/>
      </c>
    </row>
    <row r="1342">
      <c r="A1342" s="1" t="n"/>
      <c r="B1342" s="30" t="n"/>
      <c r="C1342" s="31" t="n"/>
      <c r="D1342" s="32" t="n"/>
      <c r="E1342" s="32" t="n"/>
      <c r="F1342" s="33" t="n"/>
      <c r="G1342" s="27">
        <f>IF(E1342="","",MAX(0,IFERROR(INDEX(Services!$C$6:$C$35,MATCH(E1342,Services!$B$6:$B$35,0)),0)-N(H1342)))</f>
        <v/>
      </c>
      <c r="H1342" s="34" t="n"/>
      <c r="I1342" s="34" t="n"/>
      <c r="J1342" s="33" t="n"/>
      <c r="K1342" s="28">
        <f>IF(OR(B1342="",F1342&lt;&gt;"Done",J1342="Package"),"",IF(N(G1342)-N(I1342)&gt;0,N(G1342)-N(I1342),""))</f>
        <v/>
      </c>
      <c r="L1342" s="32" t="n"/>
      <c r="M1342" s="1">
        <f>IF(OR(B1342="",D1342="",F1342="Cancelled"),"",B1342+N(C1342)+ROW()/10000000)</f>
        <v/>
      </c>
      <c r="N1342">
        <f>IF(AND(F1342="Done",M1342&lt;&gt;""),IF(COUNTIFS(Appointments!$D$6:$D$2005,D1342,Appointments!$F$6:$F$2005,"Done",Appointments!$M$6:$M$2005,"&gt;"&amp;M1342)=0,1,0),0)</f>
        <v/>
      </c>
      <c r="O1342">
        <f>IF(AND(F1342="Booked",M1342&lt;&gt;"",N(B1342)&gt;=TODAY()),IF(COUNTIFS(Appointments!$D$6:$D$2005,D1342,Appointments!$F$6:$F$2005,"Booked",Appointments!$B$6:$B$2005,"&gt;="&amp;TODAY(),Appointments!$M$6:$M$2005,"&lt;"&amp;M1342)=0,1,0),0)</f>
        <v/>
      </c>
    </row>
    <row r="1343">
      <c r="A1343" s="1" t="n"/>
      <c r="B1343" s="30" t="n"/>
      <c r="C1343" s="31" t="n"/>
      <c r="D1343" s="32" t="n"/>
      <c r="E1343" s="32" t="n"/>
      <c r="F1343" s="33" t="n"/>
      <c r="G1343" s="27">
        <f>IF(E1343="","",MAX(0,IFERROR(INDEX(Services!$C$6:$C$35,MATCH(E1343,Services!$B$6:$B$35,0)),0)-N(H1343)))</f>
        <v/>
      </c>
      <c r="H1343" s="34" t="n"/>
      <c r="I1343" s="34" t="n"/>
      <c r="J1343" s="33" t="n"/>
      <c r="K1343" s="28">
        <f>IF(OR(B1343="",F1343&lt;&gt;"Done",J1343="Package"),"",IF(N(G1343)-N(I1343)&gt;0,N(G1343)-N(I1343),""))</f>
        <v/>
      </c>
      <c r="L1343" s="32" t="n"/>
      <c r="M1343" s="1">
        <f>IF(OR(B1343="",D1343="",F1343="Cancelled"),"",B1343+N(C1343)+ROW()/10000000)</f>
        <v/>
      </c>
      <c r="N1343">
        <f>IF(AND(F1343="Done",M1343&lt;&gt;""),IF(COUNTIFS(Appointments!$D$6:$D$2005,D1343,Appointments!$F$6:$F$2005,"Done",Appointments!$M$6:$M$2005,"&gt;"&amp;M1343)=0,1,0),0)</f>
        <v/>
      </c>
      <c r="O1343">
        <f>IF(AND(F1343="Booked",M1343&lt;&gt;"",N(B1343)&gt;=TODAY()),IF(COUNTIFS(Appointments!$D$6:$D$2005,D1343,Appointments!$F$6:$F$2005,"Booked",Appointments!$B$6:$B$2005,"&gt;="&amp;TODAY(),Appointments!$M$6:$M$2005,"&lt;"&amp;M1343)=0,1,0),0)</f>
        <v/>
      </c>
    </row>
    <row r="1344">
      <c r="A1344" s="1" t="n"/>
      <c r="B1344" s="30" t="n"/>
      <c r="C1344" s="31" t="n"/>
      <c r="D1344" s="32" t="n"/>
      <c r="E1344" s="32" t="n"/>
      <c r="F1344" s="33" t="n"/>
      <c r="G1344" s="27">
        <f>IF(E1344="","",MAX(0,IFERROR(INDEX(Services!$C$6:$C$35,MATCH(E1344,Services!$B$6:$B$35,0)),0)-N(H1344)))</f>
        <v/>
      </c>
      <c r="H1344" s="34" t="n"/>
      <c r="I1344" s="34" t="n"/>
      <c r="J1344" s="33" t="n"/>
      <c r="K1344" s="28">
        <f>IF(OR(B1344="",F1344&lt;&gt;"Done",J1344="Package"),"",IF(N(G1344)-N(I1344)&gt;0,N(G1344)-N(I1344),""))</f>
        <v/>
      </c>
      <c r="L1344" s="32" t="n"/>
      <c r="M1344" s="1">
        <f>IF(OR(B1344="",D1344="",F1344="Cancelled"),"",B1344+N(C1344)+ROW()/10000000)</f>
        <v/>
      </c>
      <c r="N1344">
        <f>IF(AND(F1344="Done",M1344&lt;&gt;""),IF(COUNTIFS(Appointments!$D$6:$D$2005,D1344,Appointments!$F$6:$F$2005,"Done",Appointments!$M$6:$M$2005,"&gt;"&amp;M1344)=0,1,0),0)</f>
        <v/>
      </c>
      <c r="O1344">
        <f>IF(AND(F1344="Booked",M1344&lt;&gt;"",N(B1344)&gt;=TODAY()),IF(COUNTIFS(Appointments!$D$6:$D$2005,D1344,Appointments!$F$6:$F$2005,"Booked",Appointments!$B$6:$B$2005,"&gt;="&amp;TODAY(),Appointments!$M$6:$M$2005,"&lt;"&amp;M1344)=0,1,0),0)</f>
        <v/>
      </c>
    </row>
    <row r="1345">
      <c r="A1345" s="1" t="n"/>
      <c r="B1345" s="30" t="n"/>
      <c r="C1345" s="31" t="n"/>
      <c r="D1345" s="32" t="n"/>
      <c r="E1345" s="32" t="n"/>
      <c r="F1345" s="33" t="n"/>
      <c r="G1345" s="27">
        <f>IF(E1345="","",MAX(0,IFERROR(INDEX(Services!$C$6:$C$35,MATCH(E1345,Services!$B$6:$B$35,0)),0)-N(H1345)))</f>
        <v/>
      </c>
      <c r="H1345" s="34" t="n"/>
      <c r="I1345" s="34" t="n"/>
      <c r="J1345" s="33" t="n"/>
      <c r="K1345" s="28">
        <f>IF(OR(B1345="",F1345&lt;&gt;"Done",J1345="Package"),"",IF(N(G1345)-N(I1345)&gt;0,N(G1345)-N(I1345),""))</f>
        <v/>
      </c>
      <c r="L1345" s="32" t="n"/>
      <c r="M1345" s="1">
        <f>IF(OR(B1345="",D1345="",F1345="Cancelled"),"",B1345+N(C1345)+ROW()/10000000)</f>
        <v/>
      </c>
      <c r="N1345">
        <f>IF(AND(F1345="Done",M1345&lt;&gt;""),IF(COUNTIFS(Appointments!$D$6:$D$2005,D1345,Appointments!$F$6:$F$2005,"Done",Appointments!$M$6:$M$2005,"&gt;"&amp;M1345)=0,1,0),0)</f>
        <v/>
      </c>
      <c r="O1345">
        <f>IF(AND(F1345="Booked",M1345&lt;&gt;"",N(B1345)&gt;=TODAY()),IF(COUNTIFS(Appointments!$D$6:$D$2005,D1345,Appointments!$F$6:$F$2005,"Booked",Appointments!$B$6:$B$2005,"&gt;="&amp;TODAY(),Appointments!$M$6:$M$2005,"&lt;"&amp;M1345)=0,1,0),0)</f>
        <v/>
      </c>
    </row>
    <row r="1346">
      <c r="A1346" s="1" t="n"/>
      <c r="B1346" s="30" t="n"/>
      <c r="C1346" s="31" t="n"/>
      <c r="D1346" s="32" t="n"/>
      <c r="E1346" s="32" t="n"/>
      <c r="F1346" s="33" t="n"/>
      <c r="G1346" s="27">
        <f>IF(E1346="","",MAX(0,IFERROR(INDEX(Services!$C$6:$C$35,MATCH(E1346,Services!$B$6:$B$35,0)),0)-N(H1346)))</f>
        <v/>
      </c>
      <c r="H1346" s="34" t="n"/>
      <c r="I1346" s="34" t="n"/>
      <c r="J1346" s="33" t="n"/>
      <c r="K1346" s="28">
        <f>IF(OR(B1346="",F1346&lt;&gt;"Done",J1346="Package"),"",IF(N(G1346)-N(I1346)&gt;0,N(G1346)-N(I1346),""))</f>
        <v/>
      </c>
      <c r="L1346" s="32" t="n"/>
      <c r="M1346" s="1">
        <f>IF(OR(B1346="",D1346="",F1346="Cancelled"),"",B1346+N(C1346)+ROW()/10000000)</f>
        <v/>
      </c>
      <c r="N1346">
        <f>IF(AND(F1346="Done",M1346&lt;&gt;""),IF(COUNTIFS(Appointments!$D$6:$D$2005,D1346,Appointments!$F$6:$F$2005,"Done",Appointments!$M$6:$M$2005,"&gt;"&amp;M1346)=0,1,0),0)</f>
        <v/>
      </c>
      <c r="O1346">
        <f>IF(AND(F1346="Booked",M1346&lt;&gt;"",N(B1346)&gt;=TODAY()),IF(COUNTIFS(Appointments!$D$6:$D$2005,D1346,Appointments!$F$6:$F$2005,"Booked",Appointments!$B$6:$B$2005,"&gt;="&amp;TODAY(),Appointments!$M$6:$M$2005,"&lt;"&amp;M1346)=0,1,0),0)</f>
        <v/>
      </c>
    </row>
    <row r="1347">
      <c r="A1347" s="1" t="n"/>
      <c r="B1347" s="30" t="n"/>
      <c r="C1347" s="31" t="n"/>
      <c r="D1347" s="32" t="n"/>
      <c r="E1347" s="32" t="n"/>
      <c r="F1347" s="33" t="n"/>
      <c r="G1347" s="27">
        <f>IF(E1347="","",MAX(0,IFERROR(INDEX(Services!$C$6:$C$35,MATCH(E1347,Services!$B$6:$B$35,0)),0)-N(H1347)))</f>
        <v/>
      </c>
      <c r="H1347" s="34" t="n"/>
      <c r="I1347" s="34" t="n"/>
      <c r="J1347" s="33" t="n"/>
      <c r="K1347" s="28">
        <f>IF(OR(B1347="",F1347&lt;&gt;"Done",J1347="Package"),"",IF(N(G1347)-N(I1347)&gt;0,N(G1347)-N(I1347),""))</f>
        <v/>
      </c>
      <c r="L1347" s="32" t="n"/>
      <c r="M1347" s="1">
        <f>IF(OR(B1347="",D1347="",F1347="Cancelled"),"",B1347+N(C1347)+ROW()/10000000)</f>
        <v/>
      </c>
      <c r="N1347">
        <f>IF(AND(F1347="Done",M1347&lt;&gt;""),IF(COUNTIFS(Appointments!$D$6:$D$2005,D1347,Appointments!$F$6:$F$2005,"Done",Appointments!$M$6:$M$2005,"&gt;"&amp;M1347)=0,1,0),0)</f>
        <v/>
      </c>
      <c r="O1347">
        <f>IF(AND(F1347="Booked",M1347&lt;&gt;"",N(B1347)&gt;=TODAY()),IF(COUNTIFS(Appointments!$D$6:$D$2005,D1347,Appointments!$F$6:$F$2005,"Booked",Appointments!$B$6:$B$2005,"&gt;="&amp;TODAY(),Appointments!$M$6:$M$2005,"&lt;"&amp;M1347)=0,1,0),0)</f>
        <v/>
      </c>
    </row>
    <row r="1348">
      <c r="A1348" s="1" t="n"/>
      <c r="B1348" s="30" t="n"/>
      <c r="C1348" s="31" t="n"/>
      <c r="D1348" s="32" t="n"/>
      <c r="E1348" s="32" t="n"/>
      <c r="F1348" s="33" t="n"/>
      <c r="G1348" s="27">
        <f>IF(E1348="","",MAX(0,IFERROR(INDEX(Services!$C$6:$C$35,MATCH(E1348,Services!$B$6:$B$35,0)),0)-N(H1348)))</f>
        <v/>
      </c>
      <c r="H1348" s="34" t="n"/>
      <c r="I1348" s="34" t="n"/>
      <c r="J1348" s="33" t="n"/>
      <c r="K1348" s="28">
        <f>IF(OR(B1348="",F1348&lt;&gt;"Done",J1348="Package"),"",IF(N(G1348)-N(I1348)&gt;0,N(G1348)-N(I1348),""))</f>
        <v/>
      </c>
      <c r="L1348" s="32" t="n"/>
      <c r="M1348" s="1">
        <f>IF(OR(B1348="",D1348="",F1348="Cancelled"),"",B1348+N(C1348)+ROW()/10000000)</f>
        <v/>
      </c>
      <c r="N1348">
        <f>IF(AND(F1348="Done",M1348&lt;&gt;""),IF(COUNTIFS(Appointments!$D$6:$D$2005,D1348,Appointments!$F$6:$F$2005,"Done",Appointments!$M$6:$M$2005,"&gt;"&amp;M1348)=0,1,0),0)</f>
        <v/>
      </c>
      <c r="O1348">
        <f>IF(AND(F1348="Booked",M1348&lt;&gt;"",N(B1348)&gt;=TODAY()),IF(COUNTIFS(Appointments!$D$6:$D$2005,D1348,Appointments!$F$6:$F$2005,"Booked",Appointments!$B$6:$B$2005,"&gt;="&amp;TODAY(),Appointments!$M$6:$M$2005,"&lt;"&amp;M1348)=0,1,0),0)</f>
        <v/>
      </c>
    </row>
    <row r="1349">
      <c r="A1349" s="1" t="n"/>
      <c r="B1349" s="30" t="n"/>
      <c r="C1349" s="31" t="n"/>
      <c r="D1349" s="32" t="n"/>
      <c r="E1349" s="32" t="n"/>
      <c r="F1349" s="33" t="n"/>
      <c r="G1349" s="27">
        <f>IF(E1349="","",MAX(0,IFERROR(INDEX(Services!$C$6:$C$35,MATCH(E1349,Services!$B$6:$B$35,0)),0)-N(H1349)))</f>
        <v/>
      </c>
      <c r="H1349" s="34" t="n"/>
      <c r="I1349" s="34" t="n"/>
      <c r="J1349" s="33" t="n"/>
      <c r="K1349" s="28">
        <f>IF(OR(B1349="",F1349&lt;&gt;"Done",J1349="Package"),"",IF(N(G1349)-N(I1349)&gt;0,N(G1349)-N(I1349),""))</f>
        <v/>
      </c>
      <c r="L1349" s="32" t="n"/>
      <c r="M1349" s="1">
        <f>IF(OR(B1349="",D1349="",F1349="Cancelled"),"",B1349+N(C1349)+ROW()/10000000)</f>
        <v/>
      </c>
      <c r="N1349">
        <f>IF(AND(F1349="Done",M1349&lt;&gt;""),IF(COUNTIFS(Appointments!$D$6:$D$2005,D1349,Appointments!$F$6:$F$2005,"Done",Appointments!$M$6:$M$2005,"&gt;"&amp;M1349)=0,1,0),0)</f>
        <v/>
      </c>
      <c r="O1349">
        <f>IF(AND(F1349="Booked",M1349&lt;&gt;"",N(B1349)&gt;=TODAY()),IF(COUNTIFS(Appointments!$D$6:$D$2005,D1349,Appointments!$F$6:$F$2005,"Booked",Appointments!$B$6:$B$2005,"&gt;="&amp;TODAY(),Appointments!$M$6:$M$2005,"&lt;"&amp;M1349)=0,1,0),0)</f>
        <v/>
      </c>
    </row>
    <row r="1350">
      <c r="A1350" s="1" t="n"/>
      <c r="B1350" s="30" t="n"/>
      <c r="C1350" s="31" t="n"/>
      <c r="D1350" s="32" t="n"/>
      <c r="E1350" s="32" t="n"/>
      <c r="F1350" s="33" t="n"/>
      <c r="G1350" s="27">
        <f>IF(E1350="","",MAX(0,IFERROR(INDEX(Services!$C$6:$C$35,MATCH(E1350,Services!$B$6:$B$35,0)),0)-N(H1350)))</f>
        <v/>
      </c>
      <c r="H1350" s="34" t="n"/>
      <c r="I1350" s="34" t="n"/>
      <c r="J1350" s="33" t="n"/>
      <c r="K1350" s="28">
        <f>IF(OR(B1350="",F1350&lt;&gt;"Done",J1350="Package"),"",IF(N(G1350)-N(I1350)&gt;0,N(G1350)-N(I1350),""))</f>
        <v/>
      </c>
      <c r="L1350" s="32" t="n"/>
      <c r="M1350" s="1">
        <f>IF(OR(B1350="",D1350="",F1350="Cancelled"),"",B1350+N(C1350)+ROW()/10000000)</f>
        <v/>
      </c>
      <c r="N1350">
        <f>IF(AND(F1350="Done",M1350&lt;&gt;""),IF(COUNTIFS(Appointments!$D$6:$D$2005,D1350,Appointments!$F$6:$F$2005,"Done",Appointments!$M$6:$M$2005,"&gt;"&amp;M1350)=0,1,0),0)</f>
        <v/>
      </c>
      <c r="O1350">
        <f>IF(AND(F1350="Booked",M1350&lt;&gt;"",N(B1350)&gt;=TODAY()),IF(COUNTIFS(Appointments!$D$6:$D$2005,D1350,Appointments!$F$6:$F$2005,"Booked",Appointments!$B$6:$B$2005,"&gt;="&amp;TODAY(),Appointments!$M$6:$M$2005,"&lt;"&amp;M1350)=0,1,0),0)</f>
        <v/>
      </c>
    </row>
    <row r="1351">
      <c r="A1351" s="1" t="n"/>
      <c r="B1351" s="30" t="n"/>
      <c r="C1351" s="31" t="n"/>
      <c r="D1351" s="32" t="n"/>
      <c r="E1351" s="32" t="n"/>
      <c r="F1351" s="33" t="n"/>
      <c r="G1351" s="27">
        <f>IF(E1351="","",MAX(0,IFERROR(INDEX(Services!$C$6:$C$35,MATCH(E1351,Services!$B$6:$B$35,0)),0)-N(H1351)))</f>
        <v/>
      </c>
      <c r="H1351" s="34" t="n"/>
      <c r="I1351" s="34" t="n"/>
      <c r="J1351" s="33" t="n"/>
      <c r="K1351" s="28">
        <f>IF(OR(B1351="",F1351&lt;&gt;"Done",J1351="Package"),"",IF(N(G1351)-N(I1351)&gt;0,N(G1351)-N(I1351),""))</f>
        <v/>
      </c>
      <c r="L1351" s="32" t="n"/>
      <c r="M1351" s="1">
        <f>IF(OR(B1351="",D1351="",F1351="Cancelled"),"",B1351+N(C1351)+ROW()/10000000)</f>
        <v/>
      </c>
      <c r="N1351">
        <f>IF(AND(F1351="Done",M1351&lt;&gt;""),IF(COUNTIFS(Appointments!$D$6:$D$2005,D1351,Appointments!$F$6:$F$2005,"Done",Appointments!$M$6:$M$2005,"&gt;"&amp;M1351)=0,1,0),0)</f>
        <v/>
      </c>
      <c r="O1351">
        <f>IF(AND(F1351="Booked",M1351&lt;&gt;"",N(B1351)&gt;=TODAY()),IF(COUNTIFS(Appointments!$D$6:$D$2005,D1351,Appointments!$F$6:$F$2005,"Booked",Appointments!$B$6:$B$2005,"&gt;="&amp;TODAY(),Appointments!$M$6:$M$2005,"&lt;"&amp;M1351)=0,1,0),0)</f>
        <v/>
      </c>
    </row>
    <row r="1352">
      <c r="A1352" s="1" t="n"/>
      <c r="B1352" s="30" t="n"/>
      <c r="C1352" s="31" t="n"/>
      <c r="D1352" s="32" t="n"/>
      <c r="E1352" s="32" t="n"/>
      <c r="F1352" s="33" t="n"/>
      <c r="G1352" s="27">
        <f>IF(E1352="","",MAX(0,IFERROR(INDEX(Services!$C$6:$C$35,MATCH(E1352,Services!$B$6:$B$35,0)),0)-N(H1352)))</f>
        <v/>
      </c>
      <c r="H1352" s="34" t="n"/>
      <c r="I1352" s="34" t="n"/>
      <c r="J1352" s="33" t="n"/>
      <c r="K1352" s="28">
        <f>IF(OR(B1352="",F1352&lt;&gt;"Done",J1352="Package"),"",IF(N(G1352)-N(I1352)&gt;0,N(G1352)-N(I1352),""))</f>
        <v/>
      </c>
      <c r="L1352" s="32" t="n"/>
      <c r="M1352" s="1">
        <f>IF(OR(B1352="",D1352="",F1352="Cancelled"),"",B1352+N(C1352)+ROW()/10000000)</f>
        <v/>
      </c>
      <c r="N1352">
        <f>IF(AND(F1352="Done",M1352&lt;&gt;""),IF(COUNTIFS(Appointments!$D$6:$D$2005,D1352,Appointments!$F$6:$F$2005,"Done",Appointments!$M$6:$M$2005,"&gt;"&amp;M1352)=0,1,0),0)</f>
        <v/>
      </c>
      <c r="O1352">
        <f>IF(AND(F1352="Booked",M1352&lt;&gt;"",N(B1352)&gt;=TODAY()),IF(COUNTIFS(Appointments!$D$6:$D$2005,D1352,Appointments!$F$6:$F$2005,"Booked",Appointments!$B$6:$B$2005,"&gt;="&amp;TODAY(),Appointments!$M$6:$M$2005,"&lt;"&amp;M1352)=0,1,0),0)</f>
        <v/>
      </c>
    </row>
    <row r="1353">
      <c r="A1353" s="1" t="n"/>
      <c r="B1353" s="30" t="n"/>
      <c r="C1353" s="31" t="n"/>
      <c r="D1353" s="32" t="n"/>
      <c r="E1353" s="32" t="n"/>
      <c r="F1353" s="33" t="n"/>
      <c r="G1353" s="27">
        <f>IF(E1353="","",MAX(0,IFERROR(INDEX(Services!$C$6:$C$35,MATCH(E1353,Services!$B$6:$B$35,0)),0)-N(H1353)))</f>
        <v/>
      </c>
      <c r="H1353" s="34" t="n"/>
      <c r="I1353" s="34" t="n"/>
      <c r="J1353" s="33" t="n"/>
      <c r="K1353" s="28">
        <f>IF(OR(B1353="",F1353&lt;&gt;"Done",J1353="Package"),"",IF(N(G1353)-N(I1353)&gt;0,N(G1353)-N(I1353),""))</f>
        <v/>
      </c>
      <c r="L1353" s="32" t="n"/>
      <c r="M1353" s="1">
        <f>IF(OR(B1353="",D1353="",F1353="Cancelled"),"",B1353+N(C1353)+ROW()/10000000)</f>
        <v/>
      </c>
      <c r="N1353">
        <f>IF(AND(F1353="Done",M1353&lt;&gt;""),IF(COUNTIFS(Appointments!$D$6:$D$2005,D1353,Appointments!$F$6:$F$2005,"Done",Appointments!$M$6:$M$2005,"&gt;"&amp;M1353)=0,1,0),0)</f>
        <v/>
      </c>
      <c r="O1353">
        <f>IF(AND(F1353="Booked",M1353&lt;&gt;"",N(B1353)&gt;=TODAY()),IF(COUNTIFS(Appointments!$D$6:$D$2005,D1353,Appointments!$F$6:$F$2005,"Booked",Appointments!$B$6:$B$2005,"&gt;="&amp;TODAY(),Appointments!$M$6:$M$2005,"&lt;"&amp;M1353)=0,1,0),0)</f>
        <v/>
      </c>
    </row>
    <row r="1354">
      <c r="A1354" s="1" t="n"/>
      <c r="B1354" s="30" t="n"/>
      <c r="C1354" s="31" t="n"/>
      <c r="D1354" s="32" t="n"/>
      <c r="E1354" s="32" t="n"/>
      <c r="F1354" s="33" t="n"/>
      <c r="G1354" s="27">
        <f>IF(E1354="","",MAX(0,IFERROR(INDEX(Services!$C$6:$C$35,MATCH(E1354,Services!$B$6:$B$35,0)),0)-N(H1354)))</f>
        <v/>
      </c>
      <c r="H1354" s="34" t="n"/>
      <c r="I1354" s="34" t="n"/>
      <c r="J1354" s="33" t="n"/>
      <c r="K1354" s="28">
        <f>IF(OR(B1354="",F1354&lt;&gt;"Done",J1354="Package"),"",IF(N(G1354)-N(I1354)&gt;0,N(G1354)-N(I1354),""))</f>
        <v/>
      </c>
      <c r="L1354" s="32" t="n"/>
      <c r="M1354" s="1">
        <f>IF(OR(B1354="",D1354="",F1354="Cancelled"),"",B1354+N(C1354)+ROW()/10000000)</f>
        <v/>
      </c>
      <c r="N1354">
        <f>IF(AND(F1354="Done",M1354&lt;&gt;""),IF(COUNTIFS(Appointments!$D$6:$D$2005,D1354,Appointments!$F$6:$F$2005,"Done",Appointments!$M$6:$M$2005,"&gt;"&amp;M1354)=0,1,0),0)</f>
        <v/>
      </c>
      <c r="O1354">
        <f>IF(AND(F1354="Booked",M1354&lt;&gt;"",N(B1354)&gt;=TODAY()),IF(COUNTIFS(Appointments!$D$6:$D$2005,D1354,Appointments!$F$6:$F$2005,"Booked",Appointments!$B$6:$B$2005,"&gt;="&amp;TODAY(),Appointments!$M$6:$M$2005,"&lt;"&amp;M1354)=0,1,0),0)</f>
        <v/>
      </c>
    </row>
    <row r="1355">
      <c r="A1355" s="1" t="n"/>
      <c r="B1355" s="30" t="n"/>
      <c r="C1355" s="31" t="n"/>
      <c r="D1355" s="32" t="n"/>
      <c r="E1355" s="32" t="n"/>
      <c r="F1355" s="33" t="n"/>
      <c r="G1355" s="27">
        <f>IF(E1355="","",MAX(0,IFERROR(INDEX(Services!$C$6:$C$35,MATCH(E1355,Services!$B$6:$B$35,0)),0)-N(H1355)))</f>
        <v/>
      </c>
      <c r="H1355" s="34" t="n"/>
      <c r="I1355" s="34" t="n"/>
      <c r="J1355" s="33" t="n"/>
      <c r="K1355" s="28">
        <f>IF(OR(B1355="",F1355&lt;&gt;"Done",J1355="Package"),"",IF(N(G1355)-N(I1355)&gt;0,N(G1355)-N(I1355),""))</f>
        <v/>
      </c>
      <c r="L1355" s="32" t="n"/>
      <c r="M1355" s="1">
        <f>IF(OR(B1355="",D1355="",F1355="Cancelled"),"",B1355+N(C1355)+ROW()/10000000)</f>
        <v/>
      </c>
      <c r="N1355">
        <f>IF(AND(F1355="Done",M1355&lt;&gt;""),IF(COUNTIFS(Appointments!$D$6:$D$2005,D1355,Appointments!$F$6:$F$2005,"Done",Appointments!$M$6:$M$2005,"&gt;"&amp;M1355)=0,1,0),0)</f>
        <v/>
      </c>
      <c r="O1355">
        <f>IF(AND(F1355="Booked",M1355&lt;&gt;"",N(B1355)&gt;=TODAY()),IF(COUNTIFS(Appointments!$D$6:$D$2005,D1355,Appointments!$F$6:$F$2005,"Booked",Appointments!$B$6:$B$2005,"&gt;="&amp;TODAY(),Appointments!$M$6:$M$2005,"&lt;"&amp;M1355)=0,1,0),0)</f>
        <v/>
      </c>
    </row>
    <row r="1356">
      <c r="A1356" s="1" t="n"/>
      <c r="B1356" s="30" t="n"/>
      <c r="C1356" s="31" t="n"/>
      <c r="D1356" s="32" t="n"/>
      <c r="E1356" s="32" t="n"/>
      <c r="F1356" s="33" t="n"/>
      <c r="G1356" s="27">
        <f>IF(E1356="","",MAX(0,IFERROR(INDEX(Services!$C$6:$C$35,MATCH(E1356,Services!$B$6:$B$35,0)),0)-N(H1356)))</f>
        <v/>
      </c>
      <c r="H1356" s="34" t="n"/>
      <c r="I1356" s="34" t="n"/>
      <c r="J1356" s="33" t="n"/>
      <c r="K1356" s="28">
        <f>IF(OR(B1356="",F1356&lt;&gt;"Done",J1356="Package"),"",IF(N(G1356)-N(I1356)&gt;0,N(G1356)-N(I1356),""))</f>
        <v/>
      </c>
      <c r="L1356" s="32" t="n"/>
      <c r="M1356" s="1">
        <f>IF(OR(B1356="",D1356="",F1356="Cancelled"),"",B1356+N(C1356)+ROW()/10000000)</f>
        <v/>
      </c>
      <c r="N1356">
        <f>IF(AND(F1356="Done",M1356&lt;&gt;""),IF(COUNTIFS(Appointments!$D$6:$D$2005,D1356,Appointments!$F$6:$F$2005,"Done",Appointments!$M$6:$M$2005,"&gt;"&amp;M1356)=0,1,0),0)</f>
        <v/>
      </c>
      <c r="O1356">
        <f>IF(AND(F1356="Booked",M1356&lt;&gt;"",N(B1356)&gt;=TODAY()),IF(COUNTIFS(Appointments!$D$6:$D$2005,D1356,Appointments!$F$6:$F$2005,"Booked",Appointments!$B$6:$B$2005,"&gt;="&amp;TODAY(),Appointments!$M$6:$M$2005,"&lt;"&amp;M1356)=0,1,0),0)</f>
        <v/>
      </c>
    </row>
    <row r="1357">
      <c r="A1357" s="1" t="n"/>
      <c r="B1357" s="30" t="n"/>
      <c r="C1357" s="31" t="n"/>
      <c r="D1357" s="32" t="n"/>
      <c r="E1357" s="32" t="n"/>
      <c r="F1357" s="33" t="n"/>
      <c r="G1357" s="27">
        <f>IF(E1357="","",MAX(0,IFERROR(INDEX(Services!$C$6:$C$35,MATCH(E1357,Services!$B$6:$B$35,0)),0)-N(H1357)))</f>
        <v/>
      </c>
      <c r="H1357" s="34" t="n"/>
      <c r="I1357" s="34" t="n"/>
      <c r="J1357" s="33" t="n"/>
      <c r="K1357" s="28">
        <f>IF(OR(B1357="",F1357&lt;&gt;"Done",J1357="Package"),"",IF(N(G1357)-N(I1357)&gt;0,N(G1357)-N(I1357),""))</f>
        <v/>
      </c>
      <c r="L1357" s="32" t="n"/>
      <c r="M1357" s="1">
        <f>IF(OR(B1357="",D1357="",F1357="Cancelled"),"",B1357+N(C1357)+ROW()/10000000)</f>
        <v/>
      </c>
      <c r="N1357">
        <f>IF(AND(F1357="Done",M1357&lt;&gt;""),IF(COUNTIFS(Appointments!$D$6:$D$2005,D1357,Appointments!$F$6:$F$2005,"Done",Appointments!$M$6:$M$2005,"&gt;"&amp;M1357)=0,1,0),0)</f>
        <v/>
      </c>
      <c r="O1357">
        <f>IF(AND(F1357="Booked",M1357&lt;&gt;"",N(B1357)&gt;=TODAY()),IF(COUNTIFS(Appointments!$D$6:$D$2005,D1357,Appointments!$F$6:$F$2005,"Booked",Appointments!$B$6:$B$2005,"&gt;="&amp;TODAY(),Appointments!$M$6:$M$2005,"&lt;"&amp;M1357)=0,1,0),0)</f>
        <v/>
      </c>
    </row>
    <row r="1358">
      <c r="A1358" s="1" t="n"/>
      <c r="B1358" s="30" t="n"/>
      <c r="C1358" s="31" t="n"/>
      <c r="D1358" s="32" t="n"/>
      <c r="E1358" s="32" t="n"/>
      <c r="F1358" s="33" t="n"/>
      <c r="G1358" s="27">
        <f>IF(E1358="","",MAX(0,IFERROR(INDEX(Services!$C$6:$C$35,MATCH(E1358,Services!$B$6:$B$35,0)),0)-N(H1358)))</f>
        <v/>
      </c>
      <c r="H1358" s="34" t="n"/>
      <c r="I1358" s="34" t="n"/>
      <c r="J1358" s="33" t="n"/>
      <c r="K1358" s="28">
        <f>IF(OR(B1358="",F1358&lt;&gt;"Done",J1358="Package"),"",IF(N(G1358)-N(I1358)&gt;0,N(G1358)-N(I1358),""))</f>
        <v/>
      </c>
      <c r="L1358" s="32" t="n"/>
      <c r="M1358" s="1">
        <f>IF(OR(B1358="",D1358="",F1358="Cancelled"),"",B1358+N(C1358)+ROW()/10000000)</f>
        <v/>
      </c>
      <c r="N1358">
        <f>IF(AND(F1358="Done",M1358&lt;&gt;""),IF(COUNTIFS(Appointments!$D$6:$D$2005,D1358,Appointments!$F$6:$F$2005,"Done",Appointments!$M$6:$M$2005,"&gt;"&amp;M1358)=0,1,0),0)</f>
        <v/>
      </c>
      <c r="O1358">
        <f>IF(AND(F1358="Booked",M1358&lt;&gt;"",N(B1358)&gt;=TODAY()),IF(COUNTIFS(Appointments!$D$6:$D$2005,D1358,Appointments!$F$6:$F$2005,"Booked",Appointments!$B$6:$B$2005,"&gt;="&amp;TODAY(),Appointments!$M$6:$M$2005,"&lt;"&amp;M1358)=0,1,0),0)</f>
        <v/>
      </c>
    </row>
    <row r="1359">
      <c r="A1359" s="1" t="n"/>
      <c r="B1359" s="30" t="n"/>
      <c r="C1359" s="31" t="n"/>
      <c r="D1359" s="32" t="n"/>
      <c r="E1359" s="32" t="n"/>
      <c r="F1359" s="33" t="n"/>
      <c r="G1359" s="27">
        <f>IF(E1359="","",MAX(0,IFERROR(INDEX(Services!$C$6:$C$35,MATCH(E1359,Services!$B$6:$B$35,0)),0)-N(H1359)))</f>
        <v/>
      </c>
      <c r="H1359" s="34" t="n"/>
      <c r="I1359" s="34" t="n"/>
      <c r="J1359" s="33" t="n"/>
      <c r="K1359" s="28">
        <f>IF(OR(B1359="",F1359&lt;&gt;"Done",J1359="Package"),"",IF(N(G1359)-N(I1359)&gt;0,N(G1359)-N(I1359),""))</f>
        <v/>
      </c>
      <c r="L1359" s="32" t="n"/>
      <c r="M1359" s="1">
        <f>IF(OR(B1359="",D1359="",F1359="Cancelled"),"",B1359+N(C1359)+ROW()/10000000)</f>
        <v/>
      </c>
      <c r="N1359">
        <f>IF(AND(F1359="Done",M1359&lt;&gt;""),IF(COUNTIFS(Appointments!$D$6:$D$2005,D1359,Appointments!$F$6:$F$2005,"Done",Appointments!$M$6:$M$2005,"&gt;"&amp;M1359)=0,1,0),0)</f>
        <v/>
      </c>
      <c r="O1359">
        <f>IF(AND(F1359="Booked",M1359&lt;&gt;"",N(B1359)&gt;=TODAY()),IF(COUNTIFS(Appointments!$D$6:$D$2005,D1359,Appointments!$F$6:$F$2005,"Booked",Appointments!$B$6:$B$2005,"&gt;="&amp;TODAY(),Appointments!$M$6:$M$2005,"&lt;"&amp;M1359)=0,1,0),0)</f>
        <v/>
      </c>
    </row>
    <row r="1360">
      <c r="A1360" s="1" t="n"/>
      <c r="B1360" s="30" t="n"/>
      <c r="C1360" s="31" t="n"/>
      <c r="D1360" s="32" t="n"/>
      <c r="E1360" s="32" t="n"/>
      <c r="F1360" s="33" t="n"/>
      <c r="G1360" s="27">
        <f>IF(E1360="","",MAX(0,IFERROR(INDEX(Services!$C$6:$C$35,MATCH(E1360,Services!$B$6:$B$35,0)),0)-N(H1360)))</f>
        <v/>
      </c>
      <c r="H1360" s="34" t="n"/>
      <c r="I1360" s="34" t="n"/>
      <c r="J1360" s="33" t="n"/>
      <c r="K1360" s="28">
        <f>IF(OR(B1360="",F1360&lt;&gt;"Done",J1360="Package"),"",IF(N(G1360)-N(I1360)&gt;0,N(G1360)-N(I1360),""))</f>
        <v/>
      </c>
      <c r="L1360" s="32" t="n"/>
      <c r="M1360" s="1">
        <f>IF(OR(B1360="",D1360="",F1360="Cancelled"),"",B1360+N(C1360)+ROW()/10000000)</f>
        <v/>
      </c>
      <c r="N1360">
        <f>IF(AND(F1360="Done",M1360&lt;&gt;""),IF(COUNTIFS(Appointments!$D$6:$D$2005,D1360,Appointments!$F$6:$F$2005,"Done",Appointments!$M$6:$M$2005,"&gt;"&amp;M1360)=0,1,0),0)</f>
        <v/>
      </c>
      <c r="O1360">
        <f>IF(AND(F1360="Booked",M1360&lt;&gt;"",N(B1360)&gt;=TODAY()),IF(COUNTIFS(Appointments!$D$6:$D$2005,D1360,Appointments!$F$6:$F$2005,"Booked",Appointments!$B$6:$B$2005,"&gt;="&amp;TODAY(),Appointments!$M$6:$M$2005,"&lt;"&amp;M1360)=0,1,0),0)</f>
        <v/>
      </c>
    </row>
    <row r="1361">
      <c r="A1361" s="1" t="n"/>
      <c r="B1361" s="30" t="n"/>
      <c r="C1361" s="31" t="n"/>
      <c r="D1361" s="32" t="n"/>
      <c r="E1361" s="32" t="n"/>
      <c r="F1361" s="33" t="n"/>
      <c r="G1361" s="27">
        <f>IF(E1361="","",MAX(0,IFERROR(INDEX(Services!$C$6:$C$35,MATCH(E1361,Services!$B$6:$B$35,0)),0)-N(H1361)))</f>
        <v/>
      </c>
      <c r="H1361" s="34" t="n"/>
      <c r="I1361" s="34" t="n"/>
      <c r="J1361" s="33" t="n"/>
      <c r="K1361" s="28">
        <f>IF(OR(B1361="",F1361&lt;&gt;"Done",J1361="Package"),"",IF(N(G1361)-N(I1361)&gt;0,N(G1361)-N(I1361),""))</f>
        <v/>
      </c>
      <c r="L1361" s="32" t="n"/>
      <c r="M1361" s="1">
        <f>IF(OR(B1361="",D1361="",F1361="Cancelled"),"",B1361+N(C1361)+ROW()/10000000)</f>
        <v/>
      </c>
      <c r="N1361">
        <f>IF(AND(F1361="Done",M1361&lt;&gt;""),IF(COUNTIFS(Appointments!$D$6:$D$2005,D1361,Appointments!$F$6:$F$2005,"Done",Appointments!$M$6:$M$2005,"&gt;"&amp;M1361)=0,1,0),0)</f>
        <v/>
      </c>
      <c r="O1361">
        <f>IF(AND(F1361="Booked",M1361&lt;&gt;"",N(B1361)&gt;=TODAY()),IF(COUNTIFS(Appointments!$D$6:$D$2005,D1361,Appointments!$F$6:$F$2005,"Booked",Appointments!$B$6:$B$2005,"&gt;="&amp;TODAY(),Appointments!$M$6:$M$2005,"&lt;"&amp;M1361)=0,1,0),0)</f>
        <v/>
      </c>
    </row>
    <row r="1362">
      <c r="A1362" s="1" t="n"/>
      <c r="B1362" s="30" t="n"/>
      <c r="C1362" s="31" t="n"/>
      <c r="D1362" s="32" t="n"/>
      <c r="E1362" s="32" t="n"/>
      <c r="F1362" s="33" t="n"/>
      <c r="G1362" s="27">
        <f>IF(E1362="","",MAX(0,IFERROR(INDEX(Services!$C$6:$C$35,MATCH(E1362,Services!$B$6:$B$35,0)),0)-N(H1362)))</f>
        <v/>
      </c>
      <c r="H1362" s="34" t="n"/>
      <c r="I1362" s="34" t="n"/>
      <c r="J1362" s="33" t="n"/>
      <c r="K1362" s="28">
        <f>IF(OR(B1362="",F1362&lt;&gt;"Done",J1362="Package"),"",IF(N(G1362)-N(I1362)&gt;0,N(G1362)-N(I1362),""))</f>
        <v/>
      </c>
      <c r="L1362" s="32" t="n"/>
      <c r="M1362" s="1">
        <f>IF(OR(B1362="",D1362="",F1362="Cancelled"),"",B1362+N(C1362)+ROW()/10000000)</f>
        <v/>
      </c>
      <c r="N1362">
        <f>IF(AND(F1362="Done",M1362&lt;&gt;""),IF(COUNTIFS(Appointments!$D$6:$D$2005,D1362,Appointments!$F$6:$F$2005,"Done",Appointments!$M$6:$M$2005,"&gt;"&amp;M1362)=0,1,0),0)</f>
        <v/>
      </c>
      <c r="O1362">
        <f>IF(AND(F1362="Booked",M1362&lt;&gt;"",N(B1362)&gt;=TODAY()),IF(COUNTIFS(Appointments!$D$6:$D$2005,D1362,Appointments!$F$6:$F$2005,"Booked",Appointments!$B$6:$B$2005,"&gt;="&amp;TODAY(),Appointments!$M$6:$M$2005,"&lt;"&amp;M1362)=0,1,0),0)</f>
        <v/>
      </c>
    </row>
    <row r="1363">
      <c r="A1363" s="1" t="n"/>
      <c r="B1363" s="30" t="n"/>
      <c r="C1363" s="31" t="n"/>
      <c r="D1363" s="32" t="n"/>
      <c r="E1363" s="32" t="n"/>
      <c r="F1363" s="33" t="n"/>
      <c r="G1363" s="27">
        <f>IF(E1363="","",MAX(0,IFERROR(INDEX(Services!$C$6:$C$35,MATCH(E1363,Services!$B$6:$B$35,0)),0)-N(H1363)))</f>
        <v/>
      </c>
      <c r="H1363" s="34" t="n"/>
      <c r="I1363" s="34" t="n"/>
      <c r="J1363" s="33" t="n"/>
      <c r="K1363" s="28">
        <f>IF(OR(B1363="",F1363&lt;&gt;"Done",J1363="Package"),"",IF(N(G1363)-N(I1363)&gt;0,N(G1363)-N(I1363),""))</f>
        <v/>
      </c>
      <c r="L1363" s="32" t="n"/>
      <c r="M1363" s="1">
        <f>IF(OR(B1363="",D1363="",F1363="Cancelled"),"",B1363+N(C1363)+ROW()/10000000)</f>
        <v/>
      </c>
      <c r="N1363">
        <f>IF(AND(F1363="Done",M1363&lt;&gt;""),IF(COUNTIFS(Appointments!$D$6:$D$2005,D1363,Appointments!$F$6:$F$2005,"Done",Appointments!$M$6:$M$2005,"&gt;"&amp;M1363)=0,1,0),0)</f>
        <v/>
      </c>
      <c r="O1363">
        <f>IF(AND(F1363="Booked",M1363&lt;&gt;"",N(B1363)&gt;=TODAY()),IF(COUNTIFS(Appointments!$D$6:$D$2005,D1363,Appointments!$F$6:$F$2005,"Booked",Appointments!$B$6:$B$2005,"&gt;="&amp;TODAY(),Appointments!$M$6:$M$2005,"&lt;"&amp;M1363)=0,1,0),0)</f>
        <v/>
      </c>
    </row>
    <row r="1364">
      <c r="A1364" s="1" t="n"/>
      <c r="B1364" s="30" t="n"/>
      <c r="C1364" s="31" t="n"/>
      <c r="D1364" s="32" t="n"/>
      <c r="E1364" s="32" t="n"/>
      <c r="F1364" s="33" t="n"/>
      <c r="G1364" s="27">
        <f>IF(E1364="","",MAX(0,IFERROR(INDEX(Services!$C$6:$C$35,MATCH(E1364,Services!$B$6:$B$35,0)),0)-N(H1364)))</f>
        <v/>
      </c>
      <c r="H1364" s="34" t="n"/>
      <c r="I1364" s="34" t="n"/>
      <c r="J1364" s="33" t="n"/>
      <c r="K1364" s="28">
        <f>IF(OR(B1364="",F1364&lt;&gt;"Done",J1364="Package"),"",IF(N(G1364)-N(I1364)&gt;0,N(G1364)-N(I1364),""))</f>
        <v/>
      </c>
      <c r="L1364" s="32" t="n"/>
      <c r="M1364" s="1">
        <f>IF(OR(B1364="",D1364="",F1364="Cancelled"),"",B1364+N(C1364)+ROW()/10000000)</f>
        <v/>
      </c>
      <c r="N1364">
        <f>IF(AND(F1364="Done",M1364&lt;&gt;""),IF(COUNTIFS(Appointments!$D$6:$D$2005,D1364,Appointments!$F$6:$F$2005,"Done",Appointments!$M$6:$M$2005,"&gt;"&amp;M1364)=0,1,0),0)</f>
        <v/>
      </c>
      <c r="O1364">
        <f>IF(AND(F1364="Booked",M1364&lt;&gt;"",N(B1364)&gt;=TODAY()),IF(COUNTIFS(Appointments!$D$6:$D$2005,D1364,Appointments!$F$6:$F$2005,"Booked",Appointments!$B$6:$B$2005,"&gt;="&amp;TODAY(),Appointments!$M$6:$M$2005,"&lt;"&amp;M1364)=0,1,0),0)</f>
        <v/>
      </c>
    </row>
    <row r="1365">
      <c r="A1365" s="1" t="n"/>
      <c r="B1365" s="30" t="n"/>
      <c r="C1365" s="31" t="n"/>
      <c r="D1365" s="32" t="n"/>
      <c r="E1365" s="32" t="n"/>
      <c r="F1365" s="33" t="n"/>
      <c r="G1365" s="27">
        <f>IF(E1365="","",MAX(0,IFERROR(INDEX(Services!$C$6:$C$35,MATCH(E1365,Services!$B$6:$B$35,0)),0)-N(H1365)))</f>
        <v/>
      </c>
      <c r="H1365" s="34" t="n"/>
      <c r="I1365" s="34" t="n"/>
      <c r="J1365" s="33" t="n"/>
      <c r="K1365" s="28">
        <f>IF(OR(B1365="",F1365&lt;&gt;"Done",J1365="Package"),"",IF(N(G1365)-N(I1365)&gt;0,N(G1365)-N(I1365),""))</f>
        <v/>
      </c>
      <c r="L1365" s="32" t="n"/>
      <c r="M1365" s="1">
        <f>IF(OR(B1365="",D1365="",F1365="Cancelled"),"",B1365+N(C1365)+ROW()/10000000)</f>
        <v/>
      </c>
      <c r="N1365">
        <f>IF(AND(F1365="Done",M1365&lt;&gt;""),IF(COUNTIFS(Appointments!$D$6:$D$2005,D1365,Appointments!$F$6:$F$2005,"Done",Appointments!$M$6:$M$2005,"&gt;"&amp;M1365)=0,1,0),0)</f>
        <v/>
      </c>
      <c r="O1365">
        <f>IF(AND(F1365="Booked",M1365&lt;&gt;"",N(B1365)&gt;=TODAY()),IF(COUNTIFS(Appointments!$D$6:$D$2005,D1365,Appointments!$F$6:$F$2005,"Booked",Appointments!$B$6:$B$2005,"&gt;="&amp;TODAY(),Appointments!$M$6:$M$2005,"&lt;"&amp;M1365)=0,1,0),0)</f>
        <v/>
      </c>
    </row>
    <row r="1366">
      <c r="A1366" s="1" t="n"/>
      <c r="B1366" s="30" t="n"/>
      <c r="C1366" s="31" t="n"/>
      <c r="D1366" s="32" t="n"/>
      <c r="E1366" s="32" t="n"/>
      <c r="F1366" s="33" t="n"/>
      <c r="G1366" s="27">
        <f>IF(E1366="","",MAX(0,IFERROR(INDEX(Services!$C$6:$C$35,MATCH(E1366,Services!$B$6:$B$35,0)),0)-N(H1366)))</f>
        <v/>
      </c>
      <c r="H1366" s="34" t="n"/>
      <c r="I1366" s="34" t="n"/>
      <c r="J1366" s="33" t="n"/>
      <c r="K1366" s="28">
        <f>IF(OR(B1366="",F1366&lt;&gt;"Done",J1366="Package"),"",IF(N(G1366)-N(I1366)&gt;0,N(G1366)-N(I1366),""))</f>
        <v/>
      </c>
      <c r="L1366" s="32" t="n"/>
      <c r="M1366" s="1">
        <f>IF(OR(B1366="",D1366="",F1366="Cancelled"),"",B1366+N(C1366)+ROW()/10000000)</f>
        <v/>
      </c>
      <c r="N1366">
        <f>IF(AND(F1366="Done",M1366&lt;&gt;""),IF(COUNTIFS(Appointments!$D$6:$D$2005,D1366,Appointments!$F$6:$F$2005,"Done",Appointments!$M$6:$M$2005,"&gt;"&amp;M1366)=0,1,0),0)</f>
        <v/>
      </c>
      <c r="O1366">
        <f>IF(AND(F1366="Booked",M1366&lt;&gt;"",N(B1366)&gt;=TODAY()),IF(COUNTIFS(Appointments!$D$6:$D$2005,D1366,Appointments!$F$6:$F$2005,"Booked",Appointments!$B$6:$B$2005,"&gt;="&amp;TODAY(),Appointments!$M$6:$M$2005,"&lt;"&amp;M1366)=0,1,0),0)</f>
        <v/>
      </c>
    </row>
    <row r="1367">
      <c r="A1367" s="1" t="n"/>
      <c r="B1367" s="30" t="n"/>
      <c r="C1367" s="31" t="n"/>
      <c r="D1367" s="32" t="n"/>
      <c r="E1367" s="32" t="n"/>
      <c r="F1367" s="33" t="n"/>
      <c r="G1367" s="27">
        <f>IF(E1367="","",MAX(0,IFERROR(INDEX(Services!$C$6:$C$35,MATCH(E1367,Services!$B$6:$B$35,0)),0)-N(H1367)))</f>
        <v/>
      </c>
      <c r="H1367" s="34" t="n"/>
      <c r="I1367" s="34" t="n"/>
      <c r="J1367" s="33" t="n"/>
      <c r="K1367" s="28">
        <f>IF(OR(B1367="",F1367&lt;&gt;"Done",J1367="Package"),"",IF(N(G1367)-N(I1367)&gt;0,N(G1367)-N(I1367),""))</f>
        <v/>
      </c>
      <c r="L1367" s="32" t="n"/>
      <c r="M1367" s="1">
        <f>IF(OR(B1367="",D1367="",F1367="Cancelled"),"",B1367+N(C1367)+ROW()/10000000)</f>
        <v/>
      </c>
      <c r="N1367">
        <f>IF(AND(F1367="Done",M1367&lt;&gt;""),IF(COUNTIFS(Appointments!$D$6:$D$2005,D1367,Appointments!$F$6:$F$2005,"Done",Appointments!$M$6:$M$2005,"&gt;"&amp;M1367)=0,1,0),0)</f>
        <v/>
      </c>
      <c r="O1367">
        <f>IF(AND(F1367="Booked",M1367&lt;&gt;"",N(B1367)&gt;=TODAY()),IF(COUNTIFS(Appointments!$D$6:$D$2005,D1367,Appointments!$F$6:$F$2005,"Booked",Appointments!$B$6:$B$2005,"&gt;="&amp;TODAY(),Appointments!$M$6:$M$2005,"&lt;"&amp;M1367)=0,1,0),0)</f>
        <v/>
      </c>
    </row>
    <row r="1368">
      <c r="A1368" s="1" t="n"/>
      <c r="B1368" s="30" t="n"/>
      <c r="C1368" s="31" t="n"/>
      <c r="D1368" s="32" t="n"/>
      <c r="E1368" s="32" t="n"/>
      <c r="F1368" s="33" t="n"/>
      <c r="G1368" s="27">
        <f>IF(E1368="","",MAX(0,IFERROR(INDEX(Services!$C$6:$C$35,MATCH(E1368,Services!$B$6:$B$35,0)),0)-N(H1368)))</f>
        <v/>
      </c>
      <c r="H1368" s="34" t="n"/>
      <c r="I1368" s="34" t="n"/>
      <c r="J1368" s="33" t="n"/>
      <c r="K1368" s="28">
        <f>IF(OR(B1368="",F1368&lt;&gt;"Done",J1368="Package"),"",IF(N(G1368)-N(I1368)&gt;0,N(G1368)-N(I1368),""))</f>
        <v/>
      </c>
      <c r="L1368" s="32" t="n"/>
      <c r="M1368" s="1">
        <f>IF(OR(B1368="",D1368="",F1368="Cancelled"),"",B1368+N(C1368)+ROW()/10000000)</f>
        <v/>
      </c>
      <c r="N1368">
        <f>IF(AND(F1368="Done",M1368&lt;&gt;""),IF(COUNTIFS(Appointments!$D$6:$D$2005,D1368,Appointments!$F$6:$F$2005,"Done",Appointments!$M$6:$M$2005,"&gt;"&amp;M1368)=0,1,0),0)</f>
        <v/>
      </c>
      <c r="O1368">
        <f>IF(AND(F1368="Booked",M1368&lt;&gt;"",N(B1368)&gt;=TODAY()),IF(COUNTIFS(Appointments!$D$6:$D$2005,D1368,Appointments!$F$6:$F$2005,"Booked",Appointments!$B$6:$B$2005,"&gt;="&amp;TODAY(),Appointments!$M$6:$M$2005,"&lt;"&amp;M1368)=0,1,0),0)</f>
        <v/>
      </c>
    </row>
    <row r="1369">
      <c r="A1369" s="1" t="n"/>
      <c r="B1369" s="30" t="n"/>
      <c r="C1369" s="31" t="n"/>
      <c r="D1369" s="32" t="n"/>
      <c r="E1369" s="32" t="n"/>
      <c r="F1369" s="33" t="n"/>
      <c r="G1369" s="27">
        <f>IF(E1369="","",MAX(0,IFERROR(INDEX(Services!$C$6:$C$35,MATCH(E1369,Services!$B$6:$B$35,0)),0)-N(H1369)))</f>
        <v/>
      </c>
      <c r="H1369" s="34" t="n"/>
      <c r="I1369" s="34" t="n"/>
      <c r="J1369" s="33" t="n"/>
      <c r="K1369" s="28">
        <f>IF(OR(B1369="",F1369&lt;&gt;"Done",J1369="Package"),"",IF(N(G1369)-N(I1369)&gt;0,N(G1369)-N(I1369),""))</f>
        <v/>
      </c>
      <c r="L1369" s="32" t="n"/>
      <c r="M1369" s="1">
        <f>IF(OR(B1369="",D1369="",F1369="Cancelled"),"",B1369+N(C1369)+ROW()/10000000)</f>
        <v/>
      </c>
      <c r="N1369">
        <f>IF(AND(F1369="Done",M1369&lt;&gt;""),IF(COUNTIFS(Appointments!$D$6:$D$2005,D1369,Appointments!$F$6:$F$2005,"Done",Appointments!$M$6:$M$2005,"&gt;"&amp;M1369)=0,1,0),0)</f>
        <v/>
      </c>
      <c r="O1369">
        <f>IF(AND(F1369="Booked",M1369&lt;&gt;"",N(B1369)&gt;=TODAY()),IF(COUNTIFS(Appointments!$D$6:$D$2005,D1369,Appointments!$F$6:$F$2005,"Booked",Appointments!$B$6:$B$2005,"&gt;="&amp;TODAY(),Appointments!$M$6:$M$2005,"&lt;"&amp;M1369)=0,1,0),0)</f>
        <v/>
      </c>
    </row>
    <row r="1370">
      <c r="A1370" s="1" t="n"/>
      <c r="B1370" s="30" t="n"/>
      <c r="C1370" s="31" t="n"/>
      <c r="D1370" s="32" t="n"/>
      <c r="E1370" s="32" t="n"/>
      <c r="F1370" s="33" t="n"/>
      <c r="G1370" s="27">
        <f>IF(E1370="","",MAX(0,IFERROR(INDEX(Services!$C$6:$C$35,MATCH(E1370,Services!$B$6:$B$35,0)),0)-N(H1370)))</f>
        <v/>
      </c>
      <c r="H1370" s="34" t="n"/>
      <c r="I1370" s="34" t="n"/>
      <c r="J1370" s="33" t="n"/>
      <c r="K1370" s="28">
        <f>IF(OR(B1370="",F1370&lt;&gt;"Done",J1370="Package"),"",IF(N(G1370)-N(I1370)&gt;0,N(G1370)-N(I1370),""))</f>
        <v/>
      </c>
      <c r="L1370" s="32" t="n"/>
      <c r="M1370" s="1">
        <f>IF(OR(B1370="",D1370="",F1370="Cancelled"),"",B1370+N(C1370)+ROW()/10000000)</f>
        <v/>
      </c>
      <c r="N1370">
        <f>IF(AND(F1370="Done",M1370&lt;&gt;""),IF(COUNTIFS(Appointments!$D$6:$D$2005,D1370,Appointments!$F$6:$F$2005,"Done",Appointments!$M$6:$M$2005,"&gt;"&amp;M1370)=0,1,0),0)</f>
        <v/>
      </c>
      <c r="O1370">
        <f>IF(AND(F1370="Booked",M1370&lt;&gt;"",N(B1370)&gt;=TODAY()),IF(COUNTIFS(Appointments!$D$6:$D$2005,D1370,Appointments!$F$6:$F$2005,"Booked",Appointments!$B$6:$B$2005,"&gt;="&amp;TODAY(),Appointments!$M$6:$M$2005,"&lt;"&amp;M1370)=0,1,0),0)</f>
        <v/>
      </c>
    </row>
    <row r="1371">
      <c r="A1371" s="1" t="n"/>
      <c r="B1371" s="30" t="n"/>
      <c r="C1371" s="31" t="n"/>
      <c r="D1371" s="32" t="n"/>
      <c r="E1371" s="32" t="n"/>
      <c r="F1371" s="33" t="n"/>
      <c r="G1371" s="27">
        <f>IF(E1371="","",MAX(0,IFERROR(INDEX(Services!$C$6:$C$35,MATCH(E1371,Services!$B$6:$B$35,0)),0)-N(H1371)))</f>
        <v/>
      </c>
      <c r="H1371" s="34" t="n"/>
      <c r="I1371" s="34" t="n"/>
      <c r="J1371" s="33" t="n"/>
      <c r="K1371" s="28">
        <f>IF(OR(B1371="",F1371&lt;&gt;"Done",J1371="Package"),"",IF(N(G1371)-N(I1371)&gt;0,N(G1371)-N(I1371),""))</f>
        <v/>
      </c>
      <c r="L1371" s="32" t="n"/>
      <c r="M1371" s="1">
        <f>IF(OR(B1371="",D1371="",F1371="Cancelled"),"",B1371+N(C1371)+ROW()/10000000)</f>
        <v/>
      </c>
      <c r="N1371">
        <f>IF(AND(F1371="Done",M1371&lt;&gt;""),IF(COUNTIFS(Appointments!$D$6:$D$2005,D1371,Appointments!$F$6:$F$2005,"Done",Appointments!$M$6:$M$2005,"&gt;"&amp;M1371)=0,1,0),0)</f>
        <v/>
      </c>
      <c r="O1371">
        <f>IF(AND(F1371="Booked",M1371&lt;&gt;"",N(B1371)&gt;=TODAY()),IF(COUNTIFS(Appointments!$D$6:$D$2005,D1371,Appointments!$F$6:$F$2005,"Booked",Appointments!$B$6:$B$2005,"&gt;="&amp;TODAY(),Appointments!$M$6:$M$2005,"&lt;"&amp;M1371)=0,1,0),0)</f>
        <v/>
      </c>
    </row>
    <row r="1372">
      <c r="A1372" s="1" t="n"/>
      <c r="B1372" s="30" t="n"/>
      <c r="C1372" s="31" t="n"/>
      <c r="D1372" s="32" t="n"/>
      <c r="E1372" s="32" t="n"/>
      <c r="F1372" s="33" t="n"/>
      <c r="G1372" s="27">
        <f>IF(E1372="","",MAX(0,IFERROR(INDEX(Services!$C$6:$C$35,MATCH(E1372,Services!$B$6:$B$35,0)),0)-N(H1372)))</f>
        <v/>
      </c>
      <c r="H1372" s="34" t="n"/>
      <c r="I1372" s="34" t="n"/>
      <c r="J1372" s="33" t="n"/>
      <c r="K1372" s="28">
        <f>IF(OR(B1372="",F1372&lt;&gt;"Done",J1372="Package"),"",IF(N(G1372)-N(I1372)&gt;0,N(G1372)-N(I1372),""))</f>
        <v/>
      </c>
      <c r="L1372" s="32" t="n"/>
      <c r="M1372" s="1">
        <f>IF(OR(B1372="",D1372="",F1372="Cancelled"),"",B1372+N(C1372)+ROW()/10000000)</f>
        <v/>
      </c>
      <c r="N1372">
        <f>IF(AND(F1372="Done",M1372&lt;&gt;""),IF(COUNTIFS(Appointments!$D$6:$D$2005,D1372,Appointments!$F$6:$F$2005,"Done",Appointments!$M$6:$M$2005,"&gt;"&amp;M1372)=0,1,0),0)</f>
        <v/>
      </c>
      <c r="O1372">
        <f>IF(AND(F1372="Booked",M1372&lt;&gt;"",N(B1372)&gt;=TODAY()),IF(COUNTIFS(Appointments!$D$6:$D$2005,D1372,Appointments!$F$6:$F$2005,"Booked",Appointments!$B$6:$B$2005,"&gt;="&amp;TODAY(),Appointments!$M$6:$M$2005,"&lt;"&amp;M1372)=0,1,0),0)</f>
        <v/>
      </c>
    </row>
    <row r="1373">
      <c r="A1373" s="1" t="n"/>
      <c r="B1373" s="30" t="n"/>
      <c r="C1373" s="31" t="n"/>
      <c r="D1373" s="32" t="n"/>
      <c r="E1373" s="32" t="n"/>
      <c r="F1373" s="33" t="n"/>
      <c r="G1373" s="27">
        <f>IF(E1373="","",MAX(0,IFERROR(INDEX(Services!$C$6:$C$35,MATCH(E1373,Services!$B$6:$B$35,0)),0)-N(H1373)))</f>
        <v/>
      </c>
      <c r="H1373" s="34" t="n"/>
      <c r="I1373" s="34" t="n"/>
      <c r="J1373" s="33" t="n"/>
      <c r="K1373" s="28">
        <f>IF(OR(B1373="",F1373&lt;&gt;"Done",J1373="Package"),"",IF(N(G1373)-N(I1373)&gt;0,N(G1373)-N(I1373),""))</f>
        <v/>
      </c>
      <c r="L1373" s="32" t="n"/>
      <c r="M1373" s="1">
        <f>IF(OR(B1373="",D1373="",F1373="Cancelled"),"",B1373+N(C1373)+ROW()/10000000)</f>
        <v/>
      </c>
      <c r="N1373">
        <f>IF(AND(F1373="Done",M1373&lt;&gt;""),IF(COUNTIFS(Appointments!$D$6:$D$2005,D1373,Appointments!$F$6:$F$2005,"Done",Appointments!$M$6:$M$2005,"&gt;"&amp;M1373)=0,1,0),0)</f>
        <v/>
      </c>
      <c r="O1373">
        <f>IF(AND(F1373="Booked",M1373&lt;&gt;"",N(B1373)&gt;=TODAY()),IF(COUNTIFS(Appointments!$D$6:$D$2005,D1373,Appointments!$F$6:$F$2005,"Booked",Appointments!$B$6:$B$2005,"&gt;="&amp;TODAY(),Appointments!$M$6:$M$2005,"&lt;"&amp;M1373)=0,1,0),0)</f>
        <v/>
      </c>
    </row>
    <row r="1374">
      <c r="A1374" s="1" t="n"/>
      <c r="B1374" s="30" t="n"/>
      <c r="C1374" s="31" t="n"/>
      <c r="D1374" s="32" t="n"/>
      <c r="E1374" s="32" t="n"/>
      <c r="F1374" s="33" t="n"/>
      <c r="G1374" s="27">
        <f>IF(E1374="","",MAX(0,IFERROR(INDEX(Services!$C$6:$C$35,MATCH(E1374,Services!$B$6:$B$35,0)),0)-N(H1374)))</f>
        <v/>
      </c>
      <c r="H1374" s="34" t="n"/>
      <c r="I1374" s="34" t="n"/>
      <c r="J1374" s="33" t="n"/>
      <c r="K1374" s="28">
        <f>IF(OR(B1374="",F1374&lt;&gt;"Done",J1374="Package"),"",IF(N(G1374)-N(I1374)&gt;0,N(G1374)-N(I1374),""))</f>
        <v/>
      </c>
      <c r="L1374" s="32" t="n"/>
      <c r="M1374" s="1">
        <f>IF(OR(B1374="",D1374="",F1374="Cancelled"),"",B1374+N(C1374)+ROW()/10000000)</f>
        <v/>
      </c>
      <c r="N1374">
        <f>IF(AND(F1374="Done",M1374&lt;&gt;""),IF(COUNTIFS(Appointments!$D$6:$D$2005,D1374,Appointments!$F$6:$F$2005,"Done",Appointments!$M$6:$M$2005,"&gt;"&amp;M1374)=0,1,0),0)</f>
        <v/>
      </c>
      <c r="O1374">
        <f>IF(AND(F1374="Booked",M1374&lt;&gt;"",N(B1374)&gt;=TODAY()),IF(COUNTIFS(Appointments!$D$6:$D$2005,D1374,Appointments!$F$6:$F$2005,"Booked",Appointments!$B$6:$B$2005,"&gt;="&amp;TODAY(),Appointments!$M$6:$M$2005,"&lt;"&amp;M1374)=0,1,0),0)</f>
        <v/>
      </c>
    </row>
    <row r="1375">
      <c r="A1375" s="1" t="n"/>
      <c r="B1375" s="30" t="n"/>
      <c r="C1375" s="31" t="n"/>
      <c r="D1375" s="32" t="n"/>
      <c r="E1375" s="32" t="n"/>
      <c r="F1375" s="33" t="n"/>
      <c r="G1375" s="27">
        <f>IF(E1375="","",MAX(0,IFERROR(INDEX(Services!$C$6:$C$35,MATCH(E1375,Services!$B$6:$B$35,0)),0)-N(H1375)))</f>
        <v/>
      </c>
      <c r="H1375" s="34" t="n"/>
      <c r="I1375" s="34" t="n"/>
      <c r="J1375" s="33" t="n"/>
      <c r="K1375" s="28">
        <f>IF(OR(B1375="",F1375&lt;&gt;"Done",J1375="Package"),"",IF(N(G1375)-N(I1375)&gt;0,N(G1375)-N(I1375),""))</f>
        <v/>
      </c>
      <c r="L1375" s="32" t="n"/>
      <c r="M1375" s="1">
        <f>IF(OR(B1375="",D1375="",F1375="Cancelled"),"",B1375+N(C1375)+ROW()/10000000)</f>
        <v/>
      </c>
      <c r="N1375">
        <f>IF(AND(F1375="Done",M1375&lt;&gt;""),IF(COUNTIFS(Appointments!$D$6:$D$2005,D1375,Appointments!$F$6:$F$2005,"Done",Appointments!$M$6:$M$2005,"&gt;"&amp;M1375)=0,1,0),0)</f>
        <v/>
      </c>
      <c r="O1375">
        <f>IF(AND(F1375="Booked",M1375&lt;&gt;"",N(B1375)&gt;=TODAY()),IF(COUNTIFS(Appointments!$D$6:$D$2005,D1375,Appointments!$F$6:$F$2005,"Booked",Appointments!$B$6:$B$2005,"&gt;="&amp;TODAY(),Appointments!$M$6:$M$2005,"&lt;"&amp;M1375)=0,1,0),0)</f>
        <v/>
      </c>
    </row>
    <row r="1376">
      <c r="A1376" s="1" t="n"/>
      <c r="B1376" s="30" t="n"/>
      <c r="C1376" s="31" t="n"/>
      <c r="D1376" s="32" t="n"/>
      <c r="E1376" s="32" t="n"/>
      <c r="F1376" s="33" t="n"/>
      <c r="G1376" s="27">
        <f>IF(E1376="","",MAX(0,IFERROR(INDEX(Services!$C$6:$C$35,MATCH(E1376,Services!$B$6:$B$35,0)),0)-N(H1376)))</f>
        <v/>
      </c>
      <c r="H1376" s="34" t="n"/>
      <c r="I1376" s="34" t="n"/>
      <c r="J1376" s="33" t="n"/>
      <c r="K1376" s="28">
        <f>IF(OR(B1376="",F1376&lt;&gt;"Done",J1376="Package"),"",IF(N(G1376)-N(I1376)&gt;0,N(G1376)-N(I1376),""))</f>
        <v/>
      </c>
      <c r="L1376" s="32" t="n"/>
      <c r="M1376" s="1">
        <f>IF(OR(B1376="",D1376="",F1376="Cancelled"),"",B1376+N(C1376)+ROW()/10000000)</f>
        <v/>
      </c>
      <c r="N1376">
        <f>IF(AND(F1376="Done",M1376&lt;&gt;""),IF(COUNTIFS(Appointments!$D$6:$D$2005,D1376,Appointments!$F$6:$F$2005,"Done",Appointments!$M$6:$M$2005,"&gt;"&amp;M1376)=0,1,0),0)</f>
        <v/>
      </c>
      <c r="O1376">
        <f>IF(AND(F1376="Booked",M1376&lt;&gt;"",N(B1376)&gt;=TODAY()),IF(COUNTIFS(Appointments!$D$6:$D$2005,D1376,Appointments!$F$6:$F$2005,"Booked",Appointments!$B$6:$B$2005,"&gt;="&amp;TODAY(),Appointments!$M$6:$M$2005,"&lt;"&amp;M1376)=0,1,0),0)</f>
        <v/>
      </c>
    </row>
    <row r="1377">
      <c r="A1377" s="1" t="n"/>
      <c r="B1377" s="30" t="n"/>
      <c r="C1377" s="31" t="n"/>
      <c r="D1377" s="32" t="n"/>
      <c r="E1377" s="32" t="n"/>
      <c r="F1377" s="33" t="n"/>
      <c r="G1377" s="27">
        <f>IF(E1377="","",MAX(0,IFERROR(INDEX(Services!$C$6:$C$35,MATCH(E1377,Services!$B$6:$B$35,0)),0)-N(H1377)))</f>
        <v/>
      </c>
      <c r="H1377" s="34" t="n"/>
      <c r="I1377" s="34" t="n"/>
      <c r="J1377" s="33" t="n"/>
      <c r="K1377" s="28">
        <f>IF(OR(B1377="",F1377&lt;&gt;"Done",J1377="Package"),"",IF(N(G1377)-N(I1377)&gt;0,N(G1377)-N(I1377),""))</f>
        <v/>
      </c>
      <c r="L1377" s="32" t="n"/>
      <c r="M1377" s="1">
        <f>IF(OR(B1377="",D1377="",F1377="Cancelled"),"",B1377+N(C1377)+ROW()/10000000)</f>
        <v/>
      </c>
      <c r="N1377">
        <f>IF(AND(F1377="Done",M1377&lt;&gt;""),IF(COUNTIFS(Appointments!$D$6:$D$2005,D1377,Appointments!$F$6:$F$2005,"Done",Appointments!$M$6:$M$2005,"&gt;"&amp;M1377)=0,1,0),0)</f>
        <v/>
      </c>
      <c r="O1377">
        <f>IF(AND(F1377="Booked",M1377&lt;&gt;"",N(B1377)&gt;=TODAY()),IF(COUNTIFS(Appointments!$D$6:$D$2005,D1377,Appointments!$F$6:$F$2005,"Booked",Appointments!$B$6:$B$2005,"&gt;="&amp;TODAY(),Appointments!$M$6:$M$2005,"&lt;"&amp;M1377)=0,1,0),0)</f>
        <v/>
      </c>
    </row>
    <row r="1378">
      <c r="A1378" s="1" t="n"/>
      <c r="B1378" s="30" t="n"/>
      <c r="C1378" s="31" t="n"/>
      <c r="D1378" s="32" t="n"/>
      <c r="E1378" s="32" t="n"/>
      <c r="F1378" s="33" t="n"/>
      <c r="G1378" s="27">
        <f>IF(E1378="","",MAX(0,IFERROR(INDEX(Services!$C$6:$C$35,MATCH(E1378,Services!$B$6:$B$35,0)),0)-N(H1378)))</f>
        <v/>
      </c>
      <c r="H1378" s="34" t="n"/>
      <c r="I1378" s="34" t="n"/>
      <c r="J1378" s="33" t="n"/>
      <c r="K1378" s="28">
        <f>IF(OR(B1378="",F1378&lt;&gt;"Done",J1378="Package"),"",IF(N(G1378)-N(I1378)&gt;0,N(G1378)-N(I1378),""))</f>
        <v/>
      </c>
      <c r="L1378" s="32" t="n"/>
      <c r="M1378" s="1">
        <f>IF(OR(B1378="",D1378="",F1378="Cancelled"),"",B1378+N(C1378)+ROW()/10000000)</f>
        <v/>
      </c>
      <c r="N1378">
        <f>IF(AND(F1378="Done",M1378&lt;&gt;""),IF(COUNTIFS(Appointments!$D$6:$D$2005,D1378,Appointments!$F$6:$F$2005,"Done",Appointments!$M$6:$M$2005,"&gt;"&amp;M1378)=0,1,0),0)</f>
        <v/>
      </c>
      <c r="O1378">
        <f>IF(AND(F1378="Booked",M1378&lt;&gt;"",N(B1378)&gt;=TODAY()),IF(COUNTIFS(Appointments!$D$6:$D$2005,D1378,Appointments!$F$6:$F$2005,"Booked",Appointments!$B$6:$B$2005,"&gt;="&amp;TODAY(),Appointments!$M$6:$M$2005,"&lt;"&amp;M1378)=0,1,0),0)</f>
        <v/>
      </c>
    </row>
    <row r="1379">
      <c r="A1379" s="1" t="n"/>
      <c r="B1379" s="30" t="n"/>
      <c r="C1379" s="31" t="n"/>
      <c r="D1379" s="32" t="n"/>
      <c r="E1379" s="32" t="n"/>
      <c r="F1379" s="33" t="n"/>
      <c r="G1379" s="27">
        <f>IF(E1379="","",MAX(0,IFERROR(INDEX(Services!$C$6:$C$35,MATCH(E1379,Services!$B$6:$B$35,0)),0)-N(H1379)))</f>
        <v/>
      </c>
      <c r="H1379" s="34" t="n"/>
      <c r="I1379" s="34" t="n"/>
      <c r="J1379" s="33" t="n"/>
      <c r="K1379" s="28">
        <f>IF(OR(B1379="",F1379&lt;&gt;"Done",J1379="Package"),"",IF(N(G1379)-N(I1379)&gt;0,N(G1379)-N(I1379),""))</f>
        <v/>
      </c>
      <c r="L1379" s="32" t="n"/>
      <c r="M1379" s="1">
        <f>IF(OR(B1379="",D1379="",F1379="Cancelled"),"",B1379+N(C1379)+ROW()/10000000)</f>
        <v/>
      </c>
      <c r="N1379">
        <f>IF(AND(F1379="Done",M1379&lt;&gt;""),IF(COUNTIFS(Appointments!$D$6:$D$2005,D1379,Appointments!$F$6:$F$2005,"Done",Appointments!$M$6:$M$2005,"&gt;"&amp;M1379)=0,1,0),0)</f>
        <v/>
      </c>
      <c r="O1379">
        <f>IF(AND(F1379="Booked",M1379&lt;&gt;"",N(B1379)&gt;=TODAY()),IF(COUNTIFS(Appointments!$D$6:$D$2005,D1379,Appointments!$F$6:$F$2005,"Booked",Appointments!$B$6:$B$2005,"&gt;="&amp;TODAY(),Appointments!$M$6:$M$2005,"&lt;"&amp;M1379)=0,1,0),0)</f>
        <v/>
      </c>
    </row>
    <row r="1380">
      <c r="A1380" s="1" t="n"/>
      <c r="B1380" s="30" t="n"/>
      <c r="C1380" s="31" t="n"/>
      <c r="D1380" s="32" t="n"/>
      <c r="E1380" s="32" t="n"/>
      <c r="F1380" s="33" t="n"/>
      <c r="G1380" s="27">
        <f>IF(E1380="","",MAX(0,IFERROR(INDEX(Services!$C$6:$C$35,MATCH(E1380,Services!$B$6:$B$35,0)),0)-N(H1380)))</f>
        <v/>
      </c>
      <c r="H1380" s="34" t="n"/>
      <c r="I1380" s="34" t="n"/>
      <c r="J1380" s="33" t="n"/>
      <c r="K1380" s="28">
        <f>IF(OR(B1380="",F1380&lt;&gt;"Done",J1380="Package"),"",IF(N(G1380)-N(I1380)&gt;0,N(G1380)-N(I1380),""))</f>
        <v/>
      </c>
      <c r="L1380" s="32" t="n"/>
      <c r="M1380" s="1">
        <f>IF(OR(B1380="",D1380="",F1380="Cancelled"),"",B1380+N(C1380)+ROW()/10000000)</f>
        <v/>
      </c>
      <c r="N1380">
        <f>IF(AND(F1380="Done",M1380&lt;&gt;""),IF(COUNTIFS(Appointments!$D$6:$D$2005,D1380,Appointments!$F$6:$F$2005,"Done",Appointments!$M$6:$M$2005,"&gt;"&amp;M1380)=0,1,0),0)</f>
        <v/>
      </c>
      <c r="O1380">
        <f>IF(AND(F1380="Booked",M1380&lt;&gt;"",N(B1380)&gt;=TODAY()),IF(COUNTIFS(Appointments!$D$6:$D$2005,D1380,Appointments!$F$6:$F$2005,"Booked",Appointments!$B$6:$B$2005,"&gt;="&amp;TODAY(),Appointments!$M$6:$M$2005,"&lt;"&amp;M1380)=0,1,0),0)</f>
        <v/>
      </c>
    </row>
    <row r="1381">
      <c r="A1381" s="1" t="n"/>
      <c r="B1381" s="30" t="n"/>
      <c r="C1381" s="31" t="n"/>
      <c r="D1381" s="32" t="n"/>
      <c r="E1381" s="32" t="n"/>
      <c r="F1381" s="33" t="n"/>
      <c r="G1381" s="27">
        <f>IF(E1381="","",MAX(0,IFERROR(INDEX(Services!$C$6:$C$35,MATCH(E1381,Services!$B$6:$B$35,0)),0)-N(H1381)))</f>
        <v/>
      </c>
      <c r="H1381" s="34" t="n"/>
      <c r="I1381" s="34" t="n"/>
      <c r="J1381" s="33" t="n"/>
      <c r="K1381" s="28">
        <f>IF(OR(B1381="",F1381&lt;&gt;"Done",J1381="Package"),"",IF(N(G1381)-N(I1381)&gt;0,N(G1381)-N(I1381),""))</f>
        <v/>
      </c>
      <c r="L1381" s="32" t="n"/>
      <c r="M1381" s="1">
        <f>IF(OR(B1381="",D1381="",F1381="Cancelled"),"",B1381+N(C1381)+ROW()/10000000)</f>
        <v/>
      </c>
      <c r="N1381">
        <f>IF(AND(F1381="Done",M1381&lt;&gt;""),IF(COUNTIFS(Appointments!$D$6:$D$2005,D1381,Appointments!$F$6:$F$2005,"Done",Appointments!$M$6:$M$2005,"&gt;"&amp;M1381)=0,1,0),0)</f>
        <v/>
      </c>
      <c r="O1381">
        <f>IF(AND(F1381="Booked",M1381&lt;&gt;"",N(B1381)&gt;=TODAY()),IF(COUNTIFS(Appointments!$D$6:$D$2005,D1381,Appointments!$F$6:$F$2005,"Booked",Appointments!$B$6:$B$2005,"&gt;="&amp;TODAY(),Appointments!$M$6:$M$2005,"&lt;"&amp;M1381)=0,1,0),0)</f>
        <v/>
      </c>
    </row>
    <row r="1382">
      <c r="A1382" s="1" t="n"/>
      <c r="B1382" s="30" t="n"/>
      <c r="C1382" s="31" t="n"/>
      <c r="D1382" s="32" t="n"/>
      <c r="E1382" s="32" t="n"/>
      <c r="F1382" s="33" t="n"/>
      <c r="G1382" s="27">
        <f>IF(E1382="","",MAX(0,IFERROR(INDEX(Services!$C$6:$C$35,MATCH(E1382,Services!$B$6:$B$35,0)),0)-N(H1382)))</f>
        <v/>
      </c>
      <c r="H1382" s="34" t="n"/>
      <c r="I1382" s="34" t="n"/>
      <c r="J1382" s="33" t="n"/>
      <c r="K1382" s="28">
        <f>IF(OR(B1382="",F1382&lt;&gt;"Done",J1382="Package"),"",IF(N(G1382)-N(I1382)&gt;0,N(G1382)-N(I1382),""))</f>
        <v/>
      </c>
      <c r="L1382" s="32" t="n"/>
      <c r="M1382" s="1">
        <f>IF(OR(B1382="",D1382="",F1382="Cancelled"),"",B1382+N(C1382)+ROW()/10000000)</f>
        <v/>
      </c>
      <c r="N1382">
        <f>IF(AND(F1382="Done",M1382&lt;&gt;""),IF(COUNTIFS(Appointments!$D$6:$D$2005,D1382,Appointments!$F$6:$F$2005,"Done",Appointments!$M$6:$M$2005,"&gt;"&amp;M1382)=0,1,0),0)</f>
        <v/>
      </c>
      <c r="O1382">
        <f>IF(AND(F1382="Booked",M1382&lt;&gt;"",N(B1382)&gt;=TODAY()),IF(COUNTIFS(Appointments!$D$6:$D$2005,D1382,Appointments!$F$6:$F$2005,"Booked",Appointments!$B$6:$B$2005,"&gt;="&amp;TODAY(),Appointments!$M$6:$M$2005,"&lt;"&amp;M1382)=0,1,0),0)</f>
        <v/>
      </c>
    </row>
    <row r="1383">
      <c r="A1383" s="1" t="n"/>
      <c r="B1383" s="30" t="n"/>
      <c r="C1383" s="31" t="n"/>
      <c r="D1383" s="32" t="n"/>
      <c r="E1383" s="32" t="n"/>
      <c r="F1383" s="33" t="n"/>
      <c r="G1383" s="27">
        <f>IF(E1383="","",MAX(0,IFERROR(INDEX(Services!$C$6:$C$35,MATCH(E1383,Services!$B$6:$B$35,0)),0)-N(H1383)))</f>
        <v/>
      </c>
      <c r="H1383" s="34" t="n"/>
      <c r="I1383" s="34" t="n"/>
      <c r="J1383" s="33" t="n"/>
      <c r="K1383" s="28">
        <f>IF(OR(B1383="",F1383&lt;&gt;"Done",J1383="Package"),"",IF(N(G1383)-N(I1383)&gt;0,N(G1383)-N(I1383),""))</f>
        <v/>
      </c>
      <c r="L1383" s="32" t="n"/>
      <c r="M1383" s="1">
        <f>IF(OR(B1383="",D1383="",F1383="Cancelled"),"",B1383+N(C1383)+ROW()/10000000)</f>
        <v/>
      </c>
      <c r="N1383">
        <f>IF(AND(F1383="Done",M1383&lt;&gt;""),IF(COUNTIFS(Appointments!$D$6:$D$2005,D1383,Appointments!$F$6:$F$2005,"Done",Appointments!$M$6:$M$2005,"&gt;"&amp;M1383)=0,1,0),0)</f>
        <v/>
      </c>
      <c r="O1383">
        <f>IF(AND(F1383="Booked",M1383&lt;&gt;"",N(B1383)&gt;=TODAY()),IF(COUNTIFS(Appointments!$D$6:$D$2005,D1383,Appointments!$F$6:$F$2005,"Booked",Appointments!$B$6:$B$2005,"&gt;="&amp;TODAY(),Appointments!$M$6:$M$2005,"&lt;"&amp;M1383)=0,1,0),0)</f>
        <v/>
      </c>
    </row>
    <row r="1384">
      <c r="A1384" s="1" t="n"/>
      <c r="B1384" s="30" t="n"/>
      <c r="C1384" s="31" t="n"/>
      <c r="D1384" s="32" t="n"/>
      <c r="E1384" s="32" t="n"/>
      <c r="F1384" s="33" t="n"/>
      <c r="G1384" s="27">
        <f>IF(E1384="","",MAX(0,IFERROR(INDEX(Services!$C$6:$C$35,MATCH(E1384,Services!$B$6:$B$35,0)),0)-N(H1384)))</f>
        <v/>
      </c>
      <c r="H1384" s="34" t="n"/>
      <c r="I1384" s="34" t="n"/>
      <c r="J1384" s="33" t="n"/>
      <c r="K1384" s="28">
        <f>IF(OR(B1384="",F1384&lt;&gt;"Done",J1384="Package"),"",IF(N(G1384)-N(I1384)&gt;0,N(G1384)-N(I1384),""))</f>
        <v/>
      </c>
      <c r="L1384" s="32" t="n"/>
      <c r="M1384" s="1">
        <f>IF(OR(B1384="",D1384="",F1384="Cancelled"),"",B1384+N(C1384)+ROW()/10000000)</f>
        <v/>
      </c>
      <c r="N1384">
        <f>IF(AND(F1384="Done",M1384&lt;&gt;""),IF(COUNTIFS(Appointments!$D$6:$D$2005,D1384,Appointments!$F$6:$F$2005,"Done",Appointments!$M$6:$M$2005,"&gt;"&amp;M1384)=0,1,0),0)</f>
        <v/>
      </c>
      <c r="O1384">
        <f>IF(AND(F1384="Booked",M1384&lt;&gt;"",N(B1384)&gt;=TODAY()),IF(COUNTIFS(Appointments!$D$6:$D$2005,D1384,Appointments!$F$6:$F$2005,"Booked",Appointments!$B$6:$B$2005,"&gt;="&amp;TODAY(),Appointments!$M$6:$M$2005,"&lt;"&amp;M1384)=0,1,0),0)</f>
        <v/>
      </c>
    </row>
    <row r="1385">
      <c r="A1385" s="1" t="n"/>
      <c r="B1385" s="30" t="n"/>
      <c r="C1385" s="31" t="n"/>
      <c r="D1385" s="32" t="n"/>
      <c r="E1385" s="32" t="n"/>
      <c r="F1385" s="33" t="n"/>
      <c r="G1385" s="27">
        <f>IF(E1385="","",MAX(0,IFERROR(INDEX(Services!$C$6:$C$35,MATCH(E1385,Services!$B$6:$B$35,0)),0)-N(H1385)))</f>
        <v/>
      </c>
      <c r="H1385" s="34" t="n"/>
      <c r="I1385" s="34" t="n"/>
      <c r="J1385" s="33" t="n"/>
      <c r="K1385" s="28">
        <f>IF(OR(B1385="",F1385&lt;&gt;"Done",J1385="Package"),"",IF(N(G1385)-N(I1385)&gt;0,N(G1385)-N(I1385),""))</f>
        <v/>
      </c>
      <c r="L1385" s="32" t="n"/>
      <c r="M1385" s="1">
        <f>IF(OR(B1385="",D1385="",F1385="Cancelled"),"",B1385+N(C1385)+ROW()/10000000)</f>
        <v/>
      </c>
      <c r="N1385">
        <f>IF(AND(F1385="Done",M1385&lt;&gt;""),IF(COUNTIFS(Appointments!$D$6:$D$2005,D1385,Appointments!$F$6:$F$2005,"Done",Appointments!$M$6:$M$2005,"&gt;"&amp;M1385)=0,1,0),0)</f>
        <v/>
      </c>
      <c r="O1385">
        <f>IF(AND(F1385="Booked",M1385&lt;&gt;"",N(B1385)&gt;=TODAY()),IF(COUNTIFS(Appointments!$D$6:$D$2005,D1385,Appointments!$F$6:$F$2005,"Booked",Appointments!$B$6:$B$2005,"&gt;="&amp;TODAY(),Appointments!$M$6:$M$2005,"&lt;"&amp;M1385)=0,1,0),0)</f>
        <v/>
      </c>
    </row>
    <row r="1386">
      <c r="A1386" s="1" t="n"/>
      <c r="B1386" s="30" t="n"/>
      <c r="C1386" s="31" t="n"/>
      <c r="D1386" s="32" t="n"/>
      <c r="E1386" s="32" t="n"/>
      <c r="F1386" s="33" t="n"/>
      <c r="G1386" s="27">
        <f>IF(E1386="","",MAX(0,IFERROR(INDEX(Services!$C$6:$C$35,MATCH(E1386,Services!$B$6:$B$35,0)),0)-N(H1386)))</f>
        <v/>
      </c>
      <c r="H1386" s="34" t="n"/>
      <c r="I1386" s="34" t="n"/>
      <c r="J1386" s="33" t="n"/>
      <c r="K1386" s="28">
        <f>IF(OR(B1386="",F1386&lt;&gt;"Done",J1386="Package"),"",IF(N(G1386)-N(I1386)&gt;0,N(G1386)-N(I1386),""))</f>
        <v/>
      </c>
      <c r="L1386" s="32" t="n"/>
      <c r="M1386" s="1">
        <f>IF(OR(B1386="",D1386="",F1386="Cancelled"),"",B1386+N(C1386)+ROW()/10000000)</f>
        <v/>
      </c>
      <c r="N1386">
        <f>IF(AND(F1386="Done",M1386&lt;&gt;""),IF(COUNTIFS(Appointments!$D$6:$D$2005,D1386,Appointments!$F$6:$F$2005,"Done",Appointments!$M$6:$M$2005,"&gt;"&amp;M1386)=0,1,0),0)</f>
        <v/>
      </c>
      <c r="O1386">
        <f>IF(AND(F1386="Booked",M1386&lt;&gt;"",N(B1386)&gt;=TODAY()),IF(COUNTIFS(Appointments!$D$6:$D$2005,D1386,Appointments!$F$6:$F$2005,"Booked",Appointments!$B$6:$B$2005,"&gt;="&amp;TODAY(),Appointments!$M$6:$M$2005,"&lt;"&amp;M1386)=0,1,0),0)</f>
        <v/>
      </c>
    </row>
    <row r="1387">
      <c r="A1387" s="1" t="n"/>
      <c r="B1387" s="30" t="n"/>
      <c r="C1387" s="31" t="n"/>
      <c r="D1387" s="32" t="n"/>
      <c r="E1387" s="32" t="n"/>
      <c r="F1387" s="33" t="n"/>
      <c r="G1387" s="27">
        <f>IF(E1387="","",MAX(0,IFERROR(INDEX(Services!$C$6:$C$35,MATCH(E1387,Services!$B$6:$B$35,0)),0)-N(H1387)))</f>
        <v/>
      </c>
      <c r="H1387" s="34" t="n"/>
      <c r="I1387" s="34" t="n"/>
      <c r="J1387" s="33" t="n"/>
      <c r="K1387" s="28">
        <f>IF(OR(B1387="",F1387&lt;&gt;"Done",J1387="Package"),"",IF(N(G1387)-N(I1387)&gt;0,N(G1387)-N(I1387),""))</f>
        <v/>
      </c>
      <c r="L1387" s="32" t="n"/>
      <c r="M1387" s="1">
        <f>IF(OR(B1387="",D1387="",F1387="Cancelled"),"",B1387+N(C1387)+ROW()/10000000)</f>
        <v/>
      </c>
      <c r="N1387">
        <f>IF(AND(F1387="Done",M1387&lt;&gt;""),IF(COUNTIFS(Appointments!$D$6:$D$2005,D1387,Appointments!$F$6:$F$2005,"Done",Appointments!$M$6:$M$2005,"&gt;"&amp;M1387)=0,1,0),0)</f>
        <v/>
      </c>
      <c r="O1387">
        <f>IF(AND(F1387="Booked",M1387&lt;&gt;"",N(B1387)&gt;=TODAY()),IF(COUNTIFS(Appointments!$D$6:$D$2005,D1387,Appointments!$F$6:$F$2005,"Booked",Appointments!$B$6:$B$2005,"&gt;="&amp;TODAY(),Appointments!$M$6:$M$2005,"&lt;"&amp;M1387)=0,1,0),0)</f>
        <v/>
      </c>
    </row>
    <row r="1388">
      <c r="A1388" s="1" t="n"/>
      <c r="B1388" s="30" t="n"/>
      <c r="C1388" s="31" t="n"/>
      <c r="D1388" s="32" t="n"/>
      <c r="E1388" s="32" t="n"/>
      <c r="F1388" s="33" t="n"/>
      <c r="G1388" s="27">
        <f>IF(E1388="","",MAX(0,IFERROR(INDEX(Services!$C$6:$C$35,MATCH(E1388,Services!$B$6:$B$35,0)),0)-N(H1388)))</f>
        <v/>
      </c>
      <c r="H1388" s="34" t="n"/>
      <c r="I1388" s="34" t="n"/>
      <c r="J1388" s="33" t="n"/>
      <c r="K1388" s="28">
        <f>IF(OR(B1388="",F1388&lt;&gt;"Done",J1388="Package"),"",IF(N(G1388)-N(I1388)&gt;0,N(G1388)-N(I1388),""))</f>
        <v/>
      </c>
      <c r="L1388" s="32" t="n"/>
      <c r="M1388" s="1">
        <f>IF(OR(B1388="",D1388="",F1388="Cancelled"),"",B1388+N(C1388)+ROW()/10000000)</f>
        <v/>
      </c>
      <c r="N1388">
        <f>IF(AND(F1388="Done",M1388&lt;&gt;""),IF(COUNTIFS(Appointments!$D$6:$D$2005,D1388,Appointments!$F$6:$F$2005,"Done",Appointments!$M$6:$M$2005,"&gt;"&amp;M1388)=0,1,0),0)</f>
        <v/>
      </c>
      <c r="O1388">
        <f>IF(AND(F1388="Booked",M1388&lt;&gt;"",N(B1388)&gt;=TODAY()),IF(COUNTIFS(Appointments!$D$6:$D$2005,D1388,Appointments!$F$6:$F$2005,"Booked",Appointments!$B$6:$B$2005,"&gt;="&amp;TODAY(),Appointments!$M$6:$M$2005,"&lt;"&amp;M1388)=0,1,0),0)</f>
        <v/>
      </c>
    </row>
    <row r="1389">
      <c r="A1389" s="1" t="n"/>
      <c r="B1389" s="30" t="n"/>
      <c r="C1389" s="31" t="n"/>
      <c r="D1389" s="32" t="n"/>
      <c r="E1389" s="32" t="n"/>
      <c r="F1389" s="33" t="n"/>
      <c r="G1389" s="27">
        <f>IF(E1389="","",MAX(0,IFERROR(INDEX(Services!$C$6:$C$35,MATCH(E1389,Services!$B$6:$B$35,0)),0)-N(H1389)))</f>
        <v/>
      </c>
      <c r="H1389" s="34" t="n"/>
      <c r="I1389" s="34" t="n"/>
      <c r="J1389" s="33" t="n"/>
      <c r="K1389" s="28">
        <f>IF(OR(B1389="",F1389&lt;&gt;"Done",J1389="Package"),"",IF(N(G1389)-N(I1389)&gt;0,N(G1389)-N(I1389),""))</f>
        <v/>
      </c>
      <c r="L1389" s="32" t="n"/>
      <c r="M1389" s="1">
        <f>IF(OR(B1389="",D1389="",F1389="Cancelled"),"",B1389+N(C1389)+ROW()/10000000)</f>
        <v/>
      </c>
      <c r="N1389">
        <f>IF(AND(F1389="Done",M1389&lt;&gt;""),IF(COUNTIFS(Appointments!$D$6:$D$2005,D1389,Appointments!$F$6:$F$2005,"Done",Appointments!$M$6:$M$2005,"&gt;"&amp;M1389)=0,1,0),0)</f>
        <v/>
      </c>
      <c r="O1389">
        <f>IF(AND(F1389="Booked",M1389&lt;&gt;"",N(B1389)&gt;=TODAY()),IF(COUNTIFS(Appointments!$D$6:$D$2005,D1389,Appointments!$F$6:$F$2005,"Booked",Appointments!$B$6:$B$2005,"&gt;="&amp;TODAY(),Appointments!$M$6:$M$2005,"&lt;"&amp;M1389)=0,1,0),0)</f>
        <v/>
      </c>
    </row>
    <row r="1390">
      <c r="A1390" s="1" t="n"/>
      <c r="B1390" s="30" t="n"/>
      <c r="C1390" s="31" t="n"/>
      <c r="D1390" s="32" t="n"/>
      <c r="E1390" s="32" t="n"/>
      <c r="F1390" s="33" t="n"/>
      <c r="G1390" s="27">
        <f>IF(E1390="","",MAX(0,IFERROR(INDEX(Services!$C$6:$C$35,MATCH(E1390,Services!$B$6:$B$35,0)),0)-N(H1390)))</f>
        <v/>
      </c>
      <c r="H1390" s="34" t="n"/>
      <c r="I1390" s="34" t="n"/>
      <c r="J1390" s="33" t="n"/>
      <c r="K1390" s="28">
        <f>IF(OR(B1390="",F1390&lt;&gt;"Done",J1390="Package"),"",IF(N(G1390)-N(I1390)&gt;0,N(G1390)-N(I1390),""))</f>
        <v/>
      </c>
      <c r="L1390" s="32" t="n"/>
      <c r="M1390" s="1">
        <f>IF(OR(B1390="",D1390="",F1390="Cancelled"),"",B1390+N(C1390)+ROW()/10000000)</f>
        <v/>
      </c>
      <c r="N1390">
        <f>IF(AND(F1390="Done",M1390&lt;&gt;""),IF(COUNTIFS(Appointments!$D$6:$D$2005,D1390,Appointments!$F$6:$F$2005,"Done",Appointments!$M$6:$M$2005,"&gt;"&amp;M1390)=0,1,0),0)</f>
        <v/>
      </c>
      <c r="O1390">
        <f>IF(AND(F1390="Booked",M1390&lt;&gt;"",N(B1390)&gt;=TODAY()),IF(COUNTIFS(Appointments!$D$6:$D$2005,D1390,Appointments!$F$6:$F$2005,"Booked",Appointments!$B$6:$B$2005,"&gt;="&amp;TODAY(),Appointments!$M$6:$M$2005,"&lt;"&amp;M1390)=0,1,0),0)</f>
        <v/>
      </c>
    </row>
    <row r="1391">
      <c r="A1391" s="1" t="n"/>
      <c r="B1391" s="30" t="n"/>
      <c r="C1391" s="31" t="n"/>
      <c r="D1391" s="32" t="n"/>
      <c r="E1391" s="32" t="n"/>
      <c r="F1391" s="33" t="n"/>
      <c r="G1391" s="27">
        <f>IF(E1391="","",MAX(0,IFERROR(INDEX(Services!$C$6:$C$35,MATCH(E1391,Services!$B$6:$B$35,0)),0)-N(H1391)))</f>
        <v/>
      </c>
      <c r="H1391" s="34" t="n"/>
      <c r="I1391" s="34" t="n"/>
      <c r="J1391" s="33" t="n"/>
      <c r="K1391" s="28">
        <f>IF(OR(B1391="",F1391&lt;&gt;"Done",J1391="Package"),"",IF(N(G1391)-N(I1391)&gt;0,N(G1391)-N(I1391),""))</f>
        <v/>
      </c>
      <c r="L1391" s="32" t="n"/>
      <c r="M1391" s="1">
        <f>IF(OR(B1391="",D1391="",F1391="Cancelled"),"",B1391+N(C1391)+ROW()/10000000)</f>
        <v/>
      </c>
      <c r="N1391">
        <f>IF(AND(F1391="Done",M1391&lt;&gt;""),IF(COUNTIFS(Appointments!$D$6:$D$2005,D1391,Appointments!$F$6:$F$2005,"Done",Appointments!$M$6:$M$2005,"&gt;"&amp;M1391)=0,1,0),0)</f>
        <v/>
      </c>
      <c r="O1391">
        <f>IF(AND(F1391="Booked",M1391&lt;&gt;"",N(B1391)&gt;=TODAY()),IF(COUNTIFS(Appointments!$D$6:$D$2005,D1391,Appointments!$F$6:$F$2005,"Booked",Appointments!$B$6:$B$2005,"&gt;="&amp;TODAY(),Appointments!$M$6:$M$2005,"&lt;"&amp;M1391)=0,1,0),0)</f>
        <v/>
      </c>
    </row>
    <row r="1392">
      <c r="A1392" s="1" t="n"/>
      <c r="B1392" s="30" t="n"/>
      <c r="C1392" s="31" t="n"/>
      <c r="D1392" s="32" t="n"/>
      <c r="E1392" s="32" t="n"/>
      <c r="F1392" s="33" t="n"/>
      <c r="G1392" s="27">
        <f>IF(E1392="","",MAX(0,IFERROR(INDEX(Services!$C$6:$C$35,MATCH(E1392,Services!$B$6:$B$35,0)),0)-N(H1392)))</f>
        <v/>
      </c>
      <c r="H1392" s="34" t="n"/>
      <c r="I1392" s="34" t="n"/>
      <c r="J1392" s="33" t="n"/>
      <c r="K1392" s="28">
        <f>IF(OR(B1392="",F1392&lt;&gt;"Done",J1392="Package"),"",IF(N(G1392)-N(I1392)&gt;0,N(G1392)-N(I1392),""))</f>
        <v/>
      </c>
      <c r="L1392" s="32" t="n"/>
      <c r="M1392" s="1">
        <f>IF(OR(B1392="",D1392="",F1392="Cancelled"),"",B1392+N(C1392)+ROW()/10000000)</f>
        <v/>
      </c>
      <c r="N1392">
        <f>IF(AND(F1392="Done",M1392&lt;&gt;""),IF(COUNTIFS(Appointments!$D$6:$D$2005,D1392,Appointments!$F$6:$F$2005,"Done",Appointments!$M$6:$M$2005,"&gt;"&amp;M1392)=0,1,0),0)</f>
        <v/>
      </c>
      <c r="O1392">
        <f>IF(AND(F1392="Booked",M1392&lt;&gt;"",N(B1392)&gt;=TODAY()),IF(COUNTIFS(Appointments!$D$6:$D$2005,D1392,Appointments!$F$6:$F$2005,"Booked",Appointments!$B$6:$B$2005,"&gt;="&amp;TODAY(),Appointments!$M$6:$M$2005,"&lt;"&amp;M1392)=0,1,0),0)</f>
        <v/>
      </c>
    </row>
    <row r="1393">
      <c r="A1393" s="1" t="n"/>
      <c r="B1393" s="30" t="n"/>
      <c r="C1393" s="31" t="n"/>
      <c r="D1393" s="32" t="n"/>
      <c r="E1393" s="32" t="n"/>
      <c r="F1393" s="33" t="n"/>
      <c r="G1393" s="27">
        <f>IF(E1393="","",MAX(0,IFERROR(INDEX(Services!$C$6:$C$35,MATCH(E1393,Services!$B$6:$B$35,0)),0)-N(H1393)))</f>
        <v/>
      </c>
      <c r="H1393" s="34" t="n"/>
      <c r="I1393" s="34" t="n"/>
      <c r="J1393" s="33" t="n"/>
      <c r="K1393" s="28">
        <f>IF(OR(B1393="",F1393&lt;&gt;"Done",J1393="Package"),"",IF(N(G1393)-N(I1393)&gt;0,N(G1393)-N(I1393),""))</f>
        <v/>
      </c>
      <c r="L1393" s="32" t="n"/>
      <c r="M1393" s="1">
        <f>IF(OR(B1393="",D1393="",F1393="Cancelled"),"",B1393+N(C1393)+ROW()/10000000)</f>
        <v/>
      </c>
      <c r="N1393">
        <f>IF(AND(F1393="Done",M1393&lt;&gt;""),IF(COUNTIFS(Appointments!$D$6:$D$2005,D1393,Appointments!$F$6:$F$2005,"Done",Appointments!$M$6:$M$2005,"&gt;"&amp;M1393)=0,1,0),0)</f>
        <v/>
      </c>
      <c r="O1393">
        <f>IF(AND(F1393="Booked",M1393&lt;&gt;"",N(B1393)&gt;=TODAY()),IF(COUNTIFS(Appointments!$D$6:$D$2005,D1393,Appointments!$F$6:$F$2005,"Booked",Appointments!$B$6:$B$2005,"&gt;="&amp;TODAY(),Appointments!$M$6:$M$2005,"&lt;"&amp;M1393)=0,1,0),0)</f>
        <v/>
      </c>
    </row>
    <row r="1394">
      <c r="A1394" s="1" t="n"/>
      <c r="B1394" s="30" t="n"/>
      <c r="C1394" s="31" t="n"/>
      <c r="D1394" s="32" t="n"/>
      <c r="E1394" s="32" t="n"/>
      <c r="F1394" s="33" t="n"/>
      <c r="G1394" s="27">
        <f>IF(E1394="","",MAX(0,IFERROR(INDEX(Services!$C$6:$C$35,MATCH(E1394,Services!$B$6:$B$35,0)),0)-N(H1394)))</f>
        <v/>
      </c>
      <c r="H1394" s="34" t="n"/>
      <c r="I1394" s="34" t="n"/>
      <c r="J1394" s="33" t="n"/>
      <c r="K1394" s="28">
        <f>IF(OR(B1394="",F1394&lt;&gt;"Done",J1394="Package"),"",IF(N(G1394)-N(I1394)&gt;0,N(G1394)-N(I1394),""))</f>
        <v/>
      </c>
      <c r="L1394" s="32" t="n"/>
      <c r="M1394" s="1">
        <f>IF(OR(B1394="",D1394="",F1394="Cancelled"),"",B1394+N(C1394)+ROW()/10000000)</f>
        <v/>
      </c>
      <c r="N1394">
        <f>IF(AND(F1394="Done",M1394&lt;&gt;""),IF(COUNTIFS(Appointments!$D$6:$D$2005,D1394,Appointments!$F$6:$F$2005,"Done",Appointments!$M$6:$M$2005,"&gt;"&amp;M1394)=0,1,0),0)</f>
        <v/>
      </c>
      <c r="O1394">
        <f>IF(AND(F1394="Booked",M1394&lt;&gt;"",N(B1394)&gt;=TODAY()),IF(COUNTIFS(Appointments!$D$6:$D$2005,D1394,Appointments!$F$6:$F$2005,"Booked",Appointments!$B$6:$B$2005,"&gt;="&amp;TODAY(),Appointments!$M$6:$M$2005,"&lt;"&amp;M1394)=0,1,0),0)</f>
        <v/>
      </c>
    </row>
    <row r="1395">
      <c r="A1395" s="1" t="n"/>
      <c r="B1395" s="30" t="n"/>
      <c r="C1395" s="31" t="n"/>
      <c r="D1395" s="32" t="n"/>
      <c r="E1395" s="32" t="n"/>
      <c r="F1395" s="33" t="n"/>
      <c r="G1395" s="27">
        <f>IF(E1395="","",MAX(0,IFERROR(INDEX(Services!$C$6:$C$35,MATCH(E1395,Services!$B$6:$B$35,0)),0)-N(H1395)))</f>
        <v/>
      </c>
      <c r="H1395" s="34" t="n"/>
      <c r="I1395" s="34" t="n"/>
      <c r="J1395" s="33" t="n"/>
      <c r="K1395" s="28">
        <f>IF(OR(B1395="",F1395&lt;&gt;"Done",J1395="Package"),"",IF(N(G1395)-N(I1395)&gt;0,N(G1395)-N(I1395),""))</f>
        <v/>
      </c>
      <c r="L1395" s="32" t="n"/>
      <c r="M1395" s="1">
        <f>IF(OR(B1395="",D1395="",F1395="Cancelled"),"",B1395+N(C1395)+ROW()/10000000)</f>
        <v/>
      </c>
      <c r="N1395">
        <f>IF(AND(F1395="Done",M1395&lt;&gt;""),IF(COUNTIFS(Appointments!$D$6:$D$2005,D1395,Appointments!$F$6:$F$2005,"Done",Appointments!$M$6:$M$2005,"&gt;"&amp;M1395)=0,1,0),0)</f>
        <v/>
      </c>
      <c r="O1395">
        <f>IF(AND(F1395="Booked",M1395&lt;&gt;"",N(B1395)&gt;=TODAY()),IF(COUNTIFS(Appointments!$D$6:$D$2005,D1395,Appointments!$F$6:$F$2005,"Booked",Appointments!$B$6:$B$2005,"&gt;="&amp;TODAY(),Appointments!$M$6:$M$2005,"&lt;"&amp;M1395)=0,1,0),0)</f>
        <v/>
      </c>
    </row>
    <row r="1396">
      <c r="A1396" s="1" t="n"/>
      <c r="B1396" s="30" t="n"/>
      <c r="C1396" s="31" t="n"/>
      <c r="D1396" s="32" t="n"/>
      <c r="E1396" s="32" t="n"/>
      <c r="F1396" s="33" t="n"/>
      <c r="G1396" s="27">
        <f>IF(E1396="","",MAX(0,IFERROR(INDEX(Services!$C$6:$C$35,MATCH(E1396,Services!$B$6:$B$35,0)),0)-N(H1396)))</f>
        <v/>
      </c>
      <c r="H1396" s="34" t="n"/>
      <c r="I1396" s="34" t="n"/>
      <c r="J1396" s="33" t="n"/>
      <c r="K1396" s="28">
        <f>IF(OR(B1396="",F1396&lt;&gt;"Done",J1396="Package"),"",IF(N(G1396)-N(I1396)&gt;0,N(G1396)-N(I1396),""))</f>
        <v/>
      </c>
      <c r="L1396" s="32" t="n"/>
      <c r="M1396" s="1">
        <f>IF(OR(B1396="",D1396="",F1396="Cancelled"),"",B1396+N(C1396)+ROW()/10000000)</f>
        <v/>
      </c>
      <c r="N1396">
        <f>IF(AND(F1396="Done",M1396&lt;&gt;""),IF(COUNTIFS(Appointments!$D$6:$D$2005,D1396,Appointments!$F$6:$F$2005,"Done",Appointments!$M$6:$M$2005,"&gt;"&amp;M1396)=0,1,0),0)</f>
        <v/>
      </c>
      <c r="O1396">
        <f>IF(AND(F1396="Booked",M1396&lt;&gt;"",N(B1396)&gt;=TODAY()),IF(COUNTIFS(Appointments!$D$6:$D$2005,D1396,Appointments!$F$6:$F$2005,"Booked",Appointments!$B$6:$B$2005,"&gt;="&amp;TODAY(),Appointments!$M$6:$M$2005,"&lt;"&amp;M1396)=0,1,0),0)</f>
        <v/>
      </c>
    </row>
    <row r="1397">
      <c r="A1397" s="1" t="n"/>
      <c r="B1397" s="30" t="n"/>
      <c r="C1397" s="31" t="n"/>
      <c r="D1397" s="32" t="n"/>
      <c r="E1397" s="32" t="n"/>
      <c r="F1397" s="33" t="n"/>
      <c r="G1397" s="27">
        <f>IF(E1397="","",MAX(0,IFERROR(INDEX(Services!$C$6:$C$35,MATCH(E1397,Services!$B$6:$B$35,0)),0)-N(H1397)))</f>
        <v/>
      </c>
      <c r="H1397" s="34" t="n"/>
      <c r="I1397" s="34" t="n"/>
      <c r="J1397" s="33" t="n"/>
      <c r="K1397" s="28">
        <f>IF(OR(B1397="",F1397&lt;&gt;"Done",J1397="Package"),"",IF(N(G1397)-N(I1397)&gt;0,N(G1397)-N(I1397),""))</f>
        <v/>
      </c>
      <c r="L1397" s="32" t="n"/>
      <c r="M1397" s="1">
        <f>IF(OR(B1397="",D1397="",F1397="Cancelled"),"",B1397+N(C1397)+ROW()/10000000)</f>
        <v/>
      </c>
      <c r="N1397">
        <f>IF(AND(F1397="Done",M1397&lt;&gt;""),IF(COUNTIFS(Appointments!$D$6:$D$2005,D1397,Appointments!$F$6:$F$2005,"Done",Appointments!$M$6:$M$2005,"&gt;"&amp;M1397)=0,1,0),0)</f>
        <v/>
      </c>
      <c r="O1397">
        <f>IF(AND(F1397="Booked",M1397&lt;&gt;"",N(B1397)&gt;=TODAY()),IF(COUNTIFS(Appointments!$D$6:$D$2005,D1397,Appointments!$F$6:$F$2005,"Booked",Appointments!$B$6:$B$2005,"&gt;="&amp;TODAY(),Appointments!$M$6:$M$2005,"&lt;"&amp;M1397)=0,1,0),0)</f>
        <v/>
      </c>
    </row>
    <row r="1398">
      <c r="A1398" s="1" t="n"/>
      <c r="B1398" s="30" t="n"/>
      <c r="C1398" s="31" t="n"/>
      <c r="D1398" s="32" t="n"/>
      <c r="E1398" s="32" t="n"/>
      <c r="F1398" s="33" t="n"/>
      <c r="G1398" s="27">
        <f>IF(E1398="","",MAX(0,IFERROR(INDEX(Services!$C$6:$C$35,MATCH(E1398,Services!$B$6:$B$35,0)),0)-N(H1398)))</f>
        <v/>
      </c>
      <c r="H1398" s="34" t="n"/>
      <c r="I1398" s="34" t="n"/>
      <c r="J1398" s="33" t="n"/>
      <c r="K1398" s="28">
        <f>IF(OR(B1398="",F1398&lt;&gt;"Done",J1398="Package"),"",IF(N(G1398)-N(I1398)&gt;0,N(G1398)-N(I1398),""))</f>
        <v/>
      </c>
      <c r="L1398" s="32" t="n"/>
      <c r="M1398" s="1">
        <f>IF(OR(B1398="",D1398="",F1398="Cancelled"),"",B1398+N(C1398)+ROW()/10000000)</f>
        <v/>
      </c>
      <c r="N1398">
        <f>IF(AND(F1398="Done",M1398&lt;&gt;""),IF(COUNTIFS(Appointments!$D$6:$D$2005,D1398,Appointments!$F$6:$F$2005,"Done",Appointments!$M$6:$M$2005,"&gt;"&amp;M1398)=0,1,0),0)</f>
        <v/>
      </c>
      <c r="O1398">
        <f>IF(AND(F1398="Booked",M1398&lt;&gt;"",N(B1398)&gt;=TODAY()),IF(COUNTIFS(Appointments!$D$6:$D$2005,D1398,Appointments!$F$6:$F$2005,"Booked",Appointments!$B$6:$B$2005,"&gt;="&amp;TODAY(),Appointments!$M$6:$M$2005,"&lt;"&amp;M1398)=0,1,0),0)</f>
        <v/>
      </c>
    </row>
    <row r="1399">
      <c r="A1399" s="1" t="n"/>
      <c r="B1399" s="30" t="n"/>
      <c r="C1399" s="31" t="n"/>
      <c r="D1399" s="32" t="n"/>
      <c r="E1399" s="32" t="n"/>
      <c r="F1399" s="33" t="n"/>
      <c r="G1399" s="27">
        <f>IF(E1399="","",MAX(0,IFERROR(INDEX(Services!$C$6:$C$35,MATCH(E1399,Services!$B$6:$B$35,0)),0)-N(H1399)))</f>
        <v/>
      </c>
      <c r="H1399" s="34" t="n"/>
      <c r="I1399" s="34" t="n"/>
      <c r="J1399" s="33" t="n"/>
      <c r="K1399" s="28">
        <f>IF(OR(B1399="",F1399&lt;&gt;"Done",J1399="Package"),"",IF(N(G1399)-N(I1399)&gt;0,N(G1399)-N(I1399),""))</f>
        <v/>
      </c>
      <c r="L1399" s="32" t="n"/>
      <c r="M1399" s="1">
        <f>IF(OR(B1399="",D1399="",F1399="Cancelled"),"",B1399+N(C1399)+ROW()/10000000)</f>
        <v/>
      </c>
      <c r="N1399">
        <f>IF(AND(F1399="Done",M1399&lt;&gt;""),IF(COUNTIFS(Appointments!$D$6:$D$2005,D1399,Appointments!$F$6:$F$2005,"Done",Appointments!$M$6:$M$2005,"&gt;"&amp;M1399)=0,1,0),0)</f>
        <v/>
      </c>
      <c r="O1399">
        <f>IF(AND(F1399="Booked",M1399&lt;&gt;"",N(B1399)&gt;=TODAY()),IF(COUNTIFS(Appointments!$D$6:$D$2005,D1399,Appointments!$F$6:$F$2005,"Booked",Appointments!$B$6:$B$2005,"&gt;="&amp;TODAY(),Appointments!$M$6:$M$2005,"&lt;"&amp;M1399)=0,1,0),0)</f>
        <v/>
      </c>
    </row>
    <row r="1400">
      <c r="A1400" s="1" t="n"/>
      <c r="B1400" s="30" t="n"/>
      <c r="C1400" s="31" t="n"/>
      <c r="D1400" s="32" t="n"/>
      <c r="E1400" s="32" t="n"/>
      <c r="F1400" s="33" t="n"/>
      <c r="G1400" s="27">
        <f>IF(E1400="","",MAX(0,IFERROR(INDEX(Services!$C$6:$C$35,MATCH(E1400,Services!$B$6:$B$35,0)),0)-N(H1400)))</f>
        <v/>
      </c>
      <c r="H1400" s="34" t="n"/>
      <c r="I1400" s="34" t="n"/>
      <c r="J1400" s="33" t="n"/>
      <c r="K1400" s="28">
        <f>IF(OR(B1400="",F1400&lt;&gt;"Done",J1400="Package"),"",IF(N(G1400)-N(I1400)&gt;0,N(G1400)-N(I1400),""))</f>
        <v/>
      </c>
      <c r="L1400" s="32" t="n"/>
      <c r="M1400" s="1">
        <f>IF(OR(B1400="",D1400="",F1400="Cancelled"),"",B1400+N(C1400)+ROW()/10000000)</f>
        <v/>
      </c>
      <c r="N1400">
        <f>IF(AND(F1400="Done",M1400&lt;&gt;""),IF(COUNTIFS(Appointments!$D$6:$D$2005,D1400,Appointments!$F$6:$F$2005,"Done",Appointments!$M$6:$M$2005,"&gt;"&amp;M1400)=0,1,0),0)</f>
        <v/>
      </c>
      <c r="O1400">
        <f>IF(AND(F1400="Booked",M1400&lt;&gt;"",N(B1400)&gt;=TODAY()),IF(COUNTIFS(Appointments!$D$6:$D$2005,D1400,Appointments!$F$6:$F$2005,"Booked",Appointments!$B$6:$B$2005,"&gt;="&amp;TODAY(),Appointments!$M$6:$M$2005,"&lt;"&amp;M1400)=0,1,0),0)</f>
        <v/>
      </c>
    </row>
    <row r="1401">
      <c r="A1401" s="1" t="n"/>
      <c r="B1401" s="30" t="n"/>
      <c r="C1401" s="31" t="n"/>
      <c r="D1401" s="32" t="n"/>
      <c r="E1401" s="32" t="n"/>
      <c r="F1401" s="33" t="n"/>
      <c r="G1401" s="27">
        <f>IF(E1401="","",MAX(0,IFERROR(INDEX(Services!$C$6:$C$35,MATCH(E1401,Services!$B$6:$B$35,0)),0)-N(H1401)))</f>
        <v/>
      </c>
      <c r="H1401" s="34" t="n"/>
      <c r="I1401" s="34" t="n"/>
      <c r="J1401" s="33" t="n"/>
      <c r="K1401" s="28">
        <f>IF(OR(B1401="",F1401&lt;&gt;"Done",J1401="Package"),"",IF(N(G1401)-N(I1401)&gt;0,N(G1401)-N(I1401),""))</f>
        <v/>
      </c>
      <c r="L1401" s="32" t="n"/>
      <c r="M1401" s="1">
        <f>IF(OR(B1401="",D1401="",F1401="Cancelled"),"",B1401+N(C1401)+ROW()/10000000)</f>
        <v/>
      </c>
      <c r="N1401">
        <f>IF(AND(F1401="Done",M1401&lt;&gt;""),IF(COUNTIFS(Appointments!$D$6:$D$2005,D1401,Appointments!$F$6:$F$2005,"Done",Appointments!$M$6:$M$2005,"&gt;"&amp;M1401)=0,1,0),0)</f>
        <v/>
      </c>
      <c r="O1401">
        <f>IF(AND(F1401="Booked",M1401&lt;&gt;"",N(B1401)&gt;=TODAY()),IF(COUNTIFS(Appointments!$D$6:$D$2005,D1401,Appointments!$F$6:$F$2005,"Booked",Appointments!$B$6:$B$2005,"&gt;="&amp;TODAY(),Appointments!$M$6:$M$2005,"&lt;"&amp;M1401)=0,1,0),0)</f>
        <v/>
      </c>
    </row>
    <row r="1402">
      <c r="A1402" s="1" t="n"/>
      <c r="B1402" s="30" t="n"/>
      <c r="C1402" s="31" t="n"/>
      <c r="D1402" s="32" t="n"/>
      <c r="E1402" s="32" t="n"/>
      <c r="F1402" s="33" t="n"/>
      <c r="G1402" s="27">
        <f>IF(E1402="","",MAX(0,IFERROR(INDEX(Services!$C$6:$C$35,MATCH(E1402,Services!$B$6:$B$35,0)),0)-N(H1402)))</f>
        <v/>
      </c>
      <c r="H1402" s="34" t="n"/>
      <c r="I1402" s="34" t="n"/>
      <c r="J1402" s="33" t="n"/>
      <c r="K1402" s="28">
        <f>IF(OR(B1402="",F1402&lt;&gt;"Done",J1402="Package"),"",IF(N(G1402)-N(I1402)&gt;0,N(G1402)-N(I1402),""))</f>
        <v/>
      </c>
      <c r="L1402" s="32" t="n"/>
      <c r="M1402" s="1">
        <f>IF(OR(B1402="",D1402="",F1402="Cancelled"),"",B1402+N(C1402)+ROW()/10000000)</f>
        <v/>
      </c>
      <c r="N1402">
        <f>IF(AND(F1402="Done",M1402&lt;&gt;""),IF(COUNTIFS(Appointments!$D$6:$D$2005,D1402,Appointments!$F$6:$F$2005,"Done",Appointments!$M$6:$M$2005,"&gt;"&amp;M1402)=0,1,0),0)</f>
        <v/>
      </c>
      <c r="O1402">
        <f>IF(AND(F1402="Booked",M1402&lt;&gt;"",N(B1402)&gt;=TODAY()),IF(COUNTIFS(Appointments!$D$6:$D$2005,D1402,Appointments!$F$6:$F$2005,"Booked",Appointments!$B$6:$B$2005,"&gt;="&amp;TODAY(),Appointments!$M$6:$M$2005,"&lt;"&amp;M1402)=0,1,0),0)</f>
        <v/>
      </c>
    </row>
    <row r="1403">
      <c r="A1403" s="1" t="n"/>
      <c r="B1403" s="30" t="n"/>
      <c r="C1403" s="31" t="n"/>
      <c r="D1403" s="32" t="n"/>
      <c r="E1403" s="32" t="n"/>
      <c r="F1403" s="33" t="n"/>
      <c r="G1403" s="27">
        <f>IF(E1403="","",MAX(0,IFERROR(INDEX(Services!$C$6:$C$35,MATCH(E1403,Services!$B$6:$B$35,0)),0)-N(H1403)))</f>
        <v/>
      </c>
      <c r="H1403" s="34" t="n"/>
      <c r="I1403" s="34" t="n"/>
      <c r="J1403" s="33" t="n"/>
      <c r="K1403" s="28">
        <f>IF(OR(B1403="",F1403&lt;&gt;"Done",J1403="Package"),"",IF(N(G1403)-N(I1403)&gt;0,N(G1403)-N(I1403),""))</f>
        <v/>
      </c>
      <c r="L1403" s="32" t="n"/>
      <c r="M1403" s="1">
        <f>IF(OR(B1403="",D1403="",F1403="Cancelled"),"",B1403+N(C1403)+ROW()/10000000)</f>
        <v/>
      </c>
      <c r="N1403">
        <f>IF(AND(F1403="Done",M1403&lt;&gt;""),IF(COUNTIFS(Appointments!$D$6:$D$2005,D1403,Appointments!$F$6:$F$2005,"Done",Appointments!$M$6:$M$2005,"&gt;"&amp;M1403)=0,1,0),0)</f>
        <v/>
      </c>
      <c r="O1403">
        <f>IF(AND(F1403="Booked",M1403&lt;&gt;"",N(B1403)&gt;=TODAY()),IF(COUNTIFS(Appointments!$D$6:$D$2005,D1403,Appointments!$F$6:$F$2005,"Booked",Appointments!$B$6:$B$2005,"&gt;="&amp;TODAY(),Appointments!$M$6:$M$2005,"&lt;"&amp;M1403)=0,1,0),0)</f>
        <v/>
      </c>
    </row>
    <row r="1404">
      <c r="A1404" s="1" t="n"/>
      <c r="B1404" s="30" t="n"/>
      <c r="C1404" s="31" t="n"/>
      <c r="D1404" s="32" t="n"/>
      <c r="E1404" s="32" t="n"/>
      <c r="F1404" s="33" t="n"/>
      <c r="G1404" s="27">
        <f>IF(E1404="","",MAX(0,IFERROR(INDEX(Services!$C$6:$C$35,MATCH(E1404,Services!$B$6:$B$35,0)),0)-N(H1404)))</f>
        <v/>
      </c>
      <c r="H1404" s="34" t="n"/>
      <c r="I1404" s="34" t="n"/>
      <c r="J1404" s="33" t="n"/>
      <c r="K1404" s="28">
        <f>IF(OR(B1404="",F1404&lt;&gt;"Done",J1404="Package"),"",IF(N(G1404)-N(I1404)&gt;0,N(G1404)-N(I1404),""))</f>
        <v/>
      </c>
      <c r="L1404" s="32" t="n"/>
      <c r="M1404" s="1">
        <f>IF(OR(B1404="",D1404="",F1404="Cancelled"),"",B1404+N(C1404)+ROW()/10000000)</f>
        <v/>
      </c>
      <c r="N1404">
        <f>IF(AND(F1404="Done",M1404&lt;&gt;""),IF(COUNTIFS(Appointments!$D$6:$D$2005,D1404,Appointments!$F$6:$F$2005,"Done",Appointments!$M$6:$M$2005,"&gt;"&amp;M1404)=0,1,0),0)</f>
        <v/>
      </c>
      <c r="O1404">
        <f>IF(AND(F1404="Booked",M1404&lt;&gt;"",N(B1404)&gt;=TODAY()),IF(COUNTIFS(Appointments!$D$6:$D$2005,D1404,Appointments!$F$6:$F$2005,"Booked",Appointments!$B$6:$B$2005,"&gt;="&amp;TODAY(),Appointments!$M$6:$M$2005,"&lt;"&amp;M1404)=0,1,0),0)</f>
        <v/>
      </c>
    </row>
    <row r="1405">
      <c r="A1405" s="1" t="n"/>
      <c r="B1405" s="30" t="n"/>
      <c r="C1405" s="31" t="n"/>
      <c r="D1405" s="32" t="n"/>
      <c r="E1405" s="32" t="n"/>
      <c r="F1405" s="33" t="n"/>
      <c r="G1405" s="27">
        <f>IF(E1405="","",MAX(0,IFERROR(INDEX(Services!$C$6:$C$35,MATCH(E1405,Services!$B$6:$B$35,0)),0)-N(H1405)))</f>
        <v/>
      </c>
      <c r="H1405" s="34" t="n"/>
      <c r="I1405" s="34" t="n"/>
      <c r="J1405" s="33" t="n"/>
      <c r="K1405" s="28">
        <f>IF(OR(B1405="",F1405&lt;&gt;"Done",J1405="Package"),"",IF(N(G1405)-N(I1405)&gt;0,N(G1405)-N(I1405),""))</f>
        <v/>
      </c>
      <c r="L1405" s="32" t="n"/>
      <c r="M1405" s="1">
        <f>IF(OR(B1405="",D1405="",F1405="Cancelled"),"",B1405+N(C1405)+ROW()/10000000)</f>
        <v/>
      </c>
      <c r="N1405">
        <f>IF(AND(F1405="Done",M1405&lt;&gt;""),IF(COUNTIFS(Appointments!$D$6:$D$2005,D1405,Appointments!$F$6:$F$2005,"Done",Appointments!$M$6:$M$2005,"&gt;"&amp;M1405)=0,1,0),0)</f>
        <v/>
      </c>
      <c r="O1405">
        <f>IF(AND(F1405="Booked",M1405&lt;&gt;"",N(B1405)&gt;=TODAY()),IF(COUNTIFS(Appointments!$D$6:$D$2005,D1405,Appointments!$F$6:$F$2005,"Booked",Appointments!$B$6:$B$2005,"&gt;="&amp;TODAY(),Appointments!$M$6:$M$2005,"&lt;"&amp;M1405)=0,1,0),0)</f>
        <v/>
      </c>
    </row>
    <row r="1406">
      <c r="A1406" s="1" t="n"/>
      <c r="B1406" s="30" t="n"/>
      <c r="C1406" s="31" t="n"/>
      <c r="D1406" s="32" t="n"/>
      <c r="E1406" s="32" t="n"/>
      <c r="F1406" s="33" t="n"/>
      <c r="G1406" s="27">
        <f>IF(E1406="","",MAX(0,IFERROR(INDEX(Services!$C$6:$C$35,MATCH(E1406,Services!$B$6:$B$35,0)),0)-N(H1406)))</f>
        <v/>
      </c>
      <c r="H1406" s="34" t="n"/>
      <c r="I1406" s="34" t="n"/>
      <c r="J1406" s="33" t="n"/>
      <c r="K1406" s="28">
        <f>IF(OR(B1406="",F1406&lt;&gt;"Done",J1406="Package"),"",IF(N(G1406)-N(I1406)&gt;0,N(G1406)-N(I1406),""))</f>
        <v/>
      </c>
      <c r="L1406" s="32" t="n"/>
      <c r="M1406" s="1">
        <f>IF(OR(B1406="",D1406="",F1406="Cancelled"),"",B1406+N(C1406)+ROW()/10000000)</f>
        <v/>
      </c>
      <c r="N1406">
        <f>IF(AND(F1406="Done",M1406&lt;&gt;""),IF(COUNTIFS(Appointments!$D$6:$D$2005,D1406,Appointments!$F$6:$F$2005,"Done",Appointments!$M$6:$M$2005,"&gt;"&amp;M1406)=0,1,0),0)</f>
        <v/>
      </c>
      <c r="O1406">
        <f>IF(AND(F1406="Booked",M1406&lt;&gt;"",N(B1406)&gt;=TODAY()),IF(COUNTIFS(Appointments!$D$6:$D$2005,D1406,Appointments!$F$6:$F$2005,"Booked",Appointments!$B$6:$B$2005,"&gt;="&amp;TODAY(),Appointments!$M$6:$M$2005,"&lt;"&amp;M1406)=0,1,0),0)</f>
        <v/>
      </c>
    </row>
    <row r="1407">
      <c r="A1407" s="1" t="n"/>
      <c r="B1407" s="30" t="n"/>
      <c r="C1407" s="31" t="n"/>
      <c r="D1407" s="32" t="n"/>
      <c r="E1407" s="32" t="n"/>
      <c r="F1407" s="33" t="n"/>
      <c r="G1407" s="27">
        <f>IF(E1407="","",MAX(0,IFERROR(INDEX(Services!$C$6:$C$35,MATCH(E1407,Services!$B$6:$B$35,0)),0)-N(H1407)))</f>
        <v/>
      </c>
      <c r="H1407" s="34" t="n"/>
      <c r="I1407" s="34" t="n"/>
      <c r="J1407" s="33" t="n"/>
      <c r="K1407" s="28">
        <f>IF(OR(B1407="",F1407&lt;&gt;"Done",J1407="Package"),"",IF(N(G1407)-N(I1407)&gt;0,N(G1407)-N(I1407),""))</f>
        <v/>
      </c>
      <c r="L1407" s="32" t="n"/>
      <c r="M1407" s="1">
        <f>IF(OR(B1407="",D1407="",F1407="Cancelled"),"",B1407+N(C1407)+ROW()/10000000)</f>
        <v/>
      </c>
      <c r="N1407">
        <f>IF(AND(F1407="Done",M1407&lt;&gt;""),IF(COUNTIFS(Appointments!$D$6:$D$2005,D1407,Appointments!$F$6:$F$2005,"Done",Appointments!$M$6:$M$2005,"&gt;"&amp;M1407)=0,1,0),0)</f>
        <v/>
      </c>
      <c r="O1407">
        <f>IF(AND(F1407="Booked",M1407&lt;&gt;"",N(B1407)&gt;=TODAY()),IF(COUNTIFS(Appointments!$D$6:$D$2005,D1407,Appointments!$F$6:$F$2005,"Booked",Appointments!$B$6:$B$2005,"&gt;="&amp;TODAY(),Appointments!$M$6:$M$2005,"&lt;"&amp;M1407)=0,1,0),0)</f>
        <v/>
      </c>
    </row>
    <row r="1408">
      <c r="A1408" s="1" t="n"/>
      <c r="B1408" s="30" t="n"/>
      <c r="C1408" s="31" t="n"/>
      <c r="D1408" s="32" t="n"/>
      <c r="E1408" s="32" t="n"/>
      <c r="F1408" s="33" t="n"/>
      <c r="G1408" s="27">
        <f>IF(E1408="","",MAX(0,IFERROR(INDEX(Services!$C$6:$C$35,MATCH(E1408,Services!$B$6:$B$35,0)),0)-N(H1408)))</f>
        <v/>
      </c>
      <c r="H1408" s="34" t="n"/>
      <c r="I1408" s="34" t="n"/>
      <c r="J1408" s="33" t="n"/>
      <c r="K1408" s="28">
        <f>IF(OR(B1408="",F1408&lt;&gt;"Done",J1408="Package"),"",IF(N(G1408)-N(I1408)&gt;0,N(G1408)-N(I1408),""))</f>
        <v/>
      </c>
      <c r="L1408" s="32" t="n"/>
      <c r="M1408" s="1">
        <f>IF(OR(B1408="",D1408="",F1408="Cancelled"),"",B1408+N(C1408)+ROW()/10000000)</f>
        <v/>
      </c>
      <c r="N1408">
        <f>IF(AND(F1408="Done",M1408&lt;&gt;""),IF(COUNTIFS(Appointments!$D$6:$D$2005,D1408,Appointments!$F$6:$F$2005,"Done",Appointments!$M$6:$M$2005,"&gt;"&amp;M1408)=0,1,0),0)</f>
        <v/>
      </c>
      <c r="O1408">
        <f>IF(AND(F1408="Booked",M1408&lt;&gt;"",N(B1408)&gt;=TODAY()),IF(COUNTIFS(Appointments!$D$6:$D$2005,D1408,Appointments!$F$6:$F$2005,"Booked",Appointments!$B$6:$B$2005,"&gt;="&amp;TODAY(),Appointments!$M$6:$M$2005,"&lt;"&amp;M1408)=0,1,0),0)</f>
        <v/>
      </c>
    </row>
    <row r="1409">
      <c r="A1409" s="1" t="n"/>
      <c r="B1409" s="30" t="n"/>
      <c r="C1409" s="31" t="n"/>
      <c r="D1409" s="32" t="n"/>
      <c r="E1409" s="32" t="n"/>
      <c r="F1409" s="33" t="n"/>
      <c r="G1409" s="27">
        <f>IF(E1409="","",MAX(0,IFERROR(INDEX(Services!$C$6:$C$35,MATCH(E1409,Services!$B$6:$B$35,0)),0)-N(H1409)))</f>
        <v/>
      </c>
      <c r="H1409" s="34" t="n"/>
      <c r="I1409" s="34" t="n"/>
      <c r="J1409" s="33" t="n"/>
      <c r="K1409" s="28">
        <f>IF(OR(B1409="",F1409&lt;&gt;"Done",J1409="Package"),"",IF(N(G1409)-N(I1409)&gt;0,N(G1409)-N(I1409),""))</f>
        <v/>
      </c>
      <c r="L1409" s="32" t="n"/>
      <c r="M1409" s="1">
        <f>IF(OR(B1409="",D1409="",F1409="Cancelled"),"",B1409+N(C1409)+ROW()/10000000)</f>
        <v/>
      </c>
      <c r="N1409">
        <f>IF(AND(F1409="Done",M1409&lt;&gt;""),IF(COUNTIFS(Appointments!$D$6:$D$2005,D1409,Appointments!$F$6:$F$2005,"Done",Appointments!$M$6:$M$2005,"&gt;"&amp;M1409)=0,1,0),0)</f>
        <v/>
      </c>
      <c r="O1409">
        <f>IF(AND(F1409="Booked",M1409&lt;&gt;"",N(B1409)&gt;=TODAY()),IF(COUNTIFS(Appointments!$D$6:$D$2005,D1409,Appointments!$F$6:$F$2005,"Booked",Appointments!$B$6:$B$2005,"&gt;="&amp;TODAY(),Appointments!$M$6:$M$2005,"&lt;"&amp;M1409)=0,1,0),0)</f>
        <v/>
      </c>
    </row>
    <row r="1410">
      <c r="A1410" s="1" t="n"/>
      <c r="B1410" s="30" t="n"/>
      <c r="C1410" s="31" t="n"/>
      <c r="D1410" s="32" t="n"/>
      <c r="E1410" s="32" t="n"/>
      <c r="F1410" s="33" t="n"/>
      <c r="G1410" s="27">
        <f>IF(E1410="","",MAX(0,IFERROR(INDEX(Services!$C$6:$C$35,MATCH(E1410,Services!$B$6:$B$35,0)),0)-N(H1410)))</f>
        <v/>
      </c>
      <c r="H1410" s="34" t="n"/>
      <c r="I1410" s="34" t="n"/>
      <c r="J1410" s="33" t="n"/>
      <c r="K1410" s="28">
        <f>IF(OR(B1410="",F1410&lt;&gt;"Done",J1410="Package"),"",IF(N(G1410)-N(I1410)&gt;0,N(G1410)-N(I1410),""))</f>
        <v/>
      </c>
      <c r="L1410" s="32" t="n"/>
      <c r="M1410" s="1">
        <f>IF(OR(B1410="",D1410="",F1410="Cancelled"),"",B1410+N(C1410)+ROW()/10000000)</f>
        <v/>
      </c>
      <c r="N1410">
        <f>IF(AND(F1410="Done",M1410&lt;&gt;""),IF(COUNTIFS(Appointments!$D$6:$D$2005,D1410,Appointments!$F$6:$F$2005,"Done",Appointments!$M$6:$M$2005,"&gt;"&amp;M1410)=0,1,0),0)</f>
        <v/>
      </c>
      <c r="O1410">
        <f>IF(AND(F1410="Booked",M1410&lt;&gt;"",N(B1410)&gt;=TODAY()),IF(COUNTIFS(Appointments!$D$6:$D$2005,D1410,Appointments!$F$6:$F$2005,"Booked",Appointments!$B$6:$B$2005,"&gt;="&amp;TODAY(),Appointments!$M$6:$M$2005,"&lt;"&amp;M1410)=0,1,0),0)</f>
        <v/>
      </c>
    </row>
    <row r="1411">
      <c r="A1411" s="1" t="n"/>
      <c r="B1411" s="30" t="n"/>
      <c r="C1411" s="31" t="n"/>
      <c r="D1411" s="32" t="n"/>
      <c r="E1411" s="32" t="n"/>
      <c r="F1411" s="33" t="n"/>
      <c r="G1411" s="27">
        <f>IF(E1411="","",MAX(0,IFERROR(INDEX(Services!$C$6:$C$35,MATCH(E1411,Services!$B$6:$B$35,0)),0)-N(H1411)))</f>
        <v/>
      </c>
      <c r="H1411" s="34" t="n"/>
      <c r="I1411" s="34" t="n"/>
      <c r="J1411" s="33" t="n"/>
      <c r="K1411" s="28">
        <f>IF(OR(B1411="",F1411&lt;&gt;"Done",J1411="Package"),"",IF(N(G1411)-N(I1411)&gt;0,N(G1411)-N(I1411),""))</f>
        <v/>
      </c>
      <c r="L1411" s="32" t="n"/>
      <c r="M1411" s="1">
        <f>IF(OR(B1411="",D1411="",F1411="Cancelled"),"",B1411+N(C1411)+ROW()/10000000)</f>
        <v/>
      </c>
      <c r="N1411">
        <f>IF(AND(F1411="Done",M1411&lt;&gt;""),IF(COUNTIFS(Appointments!$D$6:$D$2005,D1411,Appointments!$F$6:$F$2005,"Done",Appointments!$M$6:$M$2005,"&gt;"&amp;M1411)=0,1,0),0)</f>
        <v/>
      </c>
      <c r="O1411">
        <f>IF(AND(F1411="Booked",M1411&lt;&gt;"",N(B1411)&gt;=TODAY()),IF(COUNTIFS(Appointments!$D$6:$D$2005,D1411,Appointments!$F$6:$F$2005,"Booked",Appointments!$B$6:$B$2005,"&gt;="&amp;TODAY(),Appointments!$M$6:$M$2005,"&lt;"&amp;M1411)=0,1,0),0)</f>
        <v/>
      </c>
    </row>
    <row r="1412">
      <c r="A1412" s="1" t="n"/>
      <c r="B1412" s="30" t="n"/>
      <c r="C1412" s="31" t="n"/>
      <c r="D1412" s="32" t="n"/>
      <c r="E1412" s="32" t="n"/>
      <c r="F1412" s="33" t="n"/>
      <c r="G1412" s="27">
        <f>IF(E1412="","",MAX(0,IFERROR(INDEX(Services!$C$6:$C$35,MATCH(E1412,Services!$B$6:$B$35,0)),0)-N(H1412)))</f>
        <v/>
      </c>
      <c r="H1412" s="34" t="n"/>
      <c r="I1412" s="34" t="n"/>
      <c r="J1412" s="33" t="n"/>
      <c r="K1412" s="28">
        <f>IF(OR(B1412="",F1412&lt;&gt;"Done",J1412="Package"),"",IF(N(G1412)-N(I1412)&gt;0,N(G1412)-N(I1412),""))</f>
        <v/>
      </c>
      <c r="L1412" s="32" t="n"/>
      <c r="M1412" s="1">
        <f>IF(OR(B1412="",D1412="",F1412="Cancelled"),"",B1412+N(C1412)+ROW()/10000000)</f>
        <v/>
      </c>
      <c r="N1412">
        <f>IF(AND(F1412="Done",M1412&lt;&gt;""),IF(COUNTIFS(Appointments!$D$6:$D$2005,D1412,Appointments!$F$6:$F$2005,"Done",Appointments!$M$6:$M$2005,"&gt;"&amp;M1412)=0,1,0),0)</f>
        <v/>
      </c>
      <c r="O1412">
        <f>IF(AND(F1412="Booked",M1412&lt;&gt;"",N(B1412)&gt;=TODAY()),IF(COUNTIFS(Appointments!$D$6:$D$2005,D1412,Appointments!$F$6:$F$2005,"Booked",Appointments!$B$6:$B$2005,"&gt;="&amp;TODAY(),Appointments!$M$6:$M$2005,"&lt;"&amp;M1412)=0,1,0),0)</f>
        <v/>
      </c>
    </row>
    <row r="1413">
      <c r="A1413" s="1" t="n"/>
      <c r="B1413" s="30" t="n"/>
      <c r="C1413" s="31" t="n"/>
      <c r="D1413" s="32" t="n"/>
      <c r="E1413" s="32" t="n"/>
      <c r="F1413" s="33" t="n"/>
      <c r="G1413" s="27">
        <f>IF(E1413="","",MAX(0,IFERROR(INDEX(Services!$C$6:$C$35,MATCH(E1413,Services!$B$6:$B$35,0)),0)-N(H1413)))</f>
        <v/>
      </c>
      <c r="H1413" s="34" t="n"/>
      <c r="I1413" s="34" t="n"/>
      <c r="J1413" s="33" t="n"/>
      <c r="K1413" s="28">
        <f>IF(OR(B1413="",F1413&lt;&gt;"Done",J1413="Package"),"",IF(N(G1413)-N(I1413)&gt;0,N(G1413)-N(I1413),""))</f>
        <v/>
      </c>
      <c r="L1413" s="32" t="n"/>
      <c r="M1413" s="1">
        <f>IF(OR(B1413="",D1413="",F1413="Cancelled"),"",B1413+N(C1413)+ROW()/10000000)</f>
        <v/>
      </c>
      <c r="N1413">
        <f>IF(AND(F1413="Done",M1413&lt;&gt;""),IF(COUNTIFS(Appointments!$D$6:$D$2005,D1413,Appointments!$F$6:$F$2005,"Done",Appointments!$M$6:$M$2005,"&gt;"&amp;M1413)=0,1,0),0)</f>
        <v/>
      </c>
      <c r="O1413">
        <f>IF(AND(F1413="Booked",M1413&lt;&gt;"",N(B1413)&gt;=TODAY()),IF(COUNTIFS(Appointments!$D$6:$D$2005,D1413,Appointments!$F$6:$F$2005,"Booked",Appointments!$B$6:$B$2005,"&gt;="&amp;TODAY(),Appointments!$M$6:$M$2005,"&lt;"&amp;M1413)=0,1,0),0)</f>
        <v/>
      </c>
    </row>
    <row r="1414">
      <c r="A1414" s="1" t="n"/>
      <c r="B1414" s="30" t="n"/>
      <c r="C1414" s="31" t="n"/>
      <c r="D1414" s="32" t="n"/>
      <c r="E1414" s="32" t="n"/>
      <c r="F1414" s="33" t="n"/>
      <c r="G1414" s="27">
        <f>IF(E1414="","",MAX(0,IFERROR(INDEX(Services!$C$6:$C$35,MATCH(E1414,Services!$B$6:$B$35,0)),0)-N(H1414)))</f>
        <v/>
      </c>
      <c r="H1414" s="34" t="n"/>
      <c r="I1414" s="34" t="n"/>
      <c r="J1414" s="33" t="n"/>
      <c r="K1414" s="28">
        <f>IF(OR(B1414="",F1414&lt;&gt;"Done",J1414="Package"),"",IF(N(G1414)-N(I1414)&gt;0,N(G1414)-N(I1414),""))</f>
        <v/>
      </c>
      <c r="L1414" s="32" t="n"/>
      <c r="M1414" s="1">
        <f>IF(OR(B1414="",D1414="",F1414="Cancelled"),"",B1414+N(C1414)+ROW()/10000000)</f>
        <v/>
      </c>
      <c r="N1414">
        <f>IF(AND(F1414="Done",M1414&lt;&gt;""),IF(COUNTIFS(Appointments!$D$6:$D$2005,D1414,Appointments!$F$6:$F$2005,"Done",Appointments!$M$6:$M$2005,"&gt;"&amp;M1414)=0,1,0),0)</f>
        <v/>
      </c>
      <c r="O1414">
        <f>IF(AND(F1414="Booked",M1414&lt;&gt;"",N(B1414)&gt;=TODAY()),IF(COUNTIFS(Appointments!$D$6:$D$2005,D1414,Appointments!$F$6:$F$2005,"Booked",Appointments!$B$6:$B$2005,"&gt;="&amp;TODAY(),Appointments!$M$6:$M$2005,"&lt;"&amp;M1414)=0,1,0),0)</f>
        <v/>
      </c>
    </row>
    <row r="1415">
      <c r="A1415" s="1" t="n"/>
      <c r="B1415" s="30" t="n"/>
      <c r="C1415" s="31" t="n"/>
      <c r="D1415" s="32" t="n"/>
      <c r="E1415" s="32" t="n"/>
      <c r="F1415" s="33" t="n"/>
      <c r="G1415" s="27">
        <f>IF(E1415="","",MAX(0,IFERROR(INDEX(Services!$C$6:$C$35,MATCH(E1415,Services!$B$6:$B$35,0)),0)-N(H1415)))</f>
        <v/>
      </c>
      <c r="H1415" s="34" t="n"/>
      <c r="I1415" s="34" t="n"/>
      <c r="J1415" s="33" t="n"/>
      <c r="K1415" s="28">
        <f>IF(OR(B1415="",F1415&lt;&gt;"Done",J1415="Package"),"",IF(N(G1415)-N(I1415)&gt;0,N(G1415)-N(I1415),""))</f>
        <v/>
      </c>
      <c r="L1415" s="32" t="n"/>
      <c r="M1415" s="1">
        <f>IF(OR(B1415="",D1415="",F1415="Cancelled"),"",B1415+N(C1415)+ROW()/10000000)</f>
        <v/>
      </c>
      <c r="N1415">
        <f>IF(AND(F1415="Done",M1415&lt;&gt;""),IF(COUNTIFS(Appointments!$D$6:$D$2005,D1415,Appointments!$F$6:$F$2005,"Done",Appointments!$M$6:$M$2005,"&gt;"&amp;M1415)=0,1,0),0)</f>
        <v/>
      </c>
      <c r="O1415">
        <f>IF(AND(F1415="Booked",M1415&lt;&gt;"",N(B1415)&gt;=TODAY()),IF(COUNTIFS(Appointments!$D$6:$D$2005,D1415,Appointments!$F$6:$F$2005,"Booked",Appointments!$B$6:$B$2005,"&gt;="&amp;TODAY(),Appointments!$M$6:$M$2005,"&lt;"&amp;M1415)=0,1,0),0)</f>
        <v/>
      </c>
    </row>
    <row r="1416">
      <c r="A1416" s="1" t="n"/>
      <c r="B1416" s="30" t="n"/>
      <c r="C1416" s="31" t="n"/>
      <c r="D1416" s="32" t="n"/>
      <c r="E1416" s="32" t="n"/>
      <c r="F1416" s="33" t="n"/>
      <c r="G1416" s="27">
        <f>IF(E1416="","",MAX(0,IFERROR(INDEX(Services!$C$6:$C$35,MATCH(E1416,Services!$B$6:$B$35,0)),0)-N(H1416)))</f>
        <v/>
      </c>
      <c r="H1416" s="34" t="n"/>
      <c r="I1416" s="34" t="n"/>
      <c r="J1416" s="33" t="n"/>
      <c r="K1416" s="28">
        <f>IF(OR(B1416="",F1416&lt;&gt;"Done",J1416="Package"),"",IF(N(G1416)-N(I1416)&gt;0,N(G1416)-N(I1416),""))</f>
        <v/>
      </c>
      <c r="L1416" s="32" t="n"/>
      <c r="M1416" s="1">
        <f>IF(OR(B1416="",D1416="",F1416="Cancelled"),"",B1416+N(C1416)+ROW()/10000000)</f>
        <v/>
      </c>
      <c r="N1416">
        <f>IF(AND(F1416="Done",M1416&lt;&gt;""),IF(COUNTIFS(Appointments!$D$6:$D$2005,D1416,Appointments!$F$6:$F$2005,"Done",Appointments!$M$6:$M$2005,"&gt;"&amp;M1416)=0,1,0),0)</f>
        <v/>
      </c>
      <c r="O1416">
        <f>IF(AND(F1416="Booked",M1416&lt;&gt;"",N(B1416)&gt;=TODAY()),IF(COUNTIFS(Appointments!$D$6:$D$2005,D1416,Appointments!$F$6:$F$2005,"Booked",Appointments!$B$6:$B$2005,"&gt;="&amp;TODAY(),Appointments!$M$6:$M$2005,"&lt;"&amp;M1416)=0,1,0),0)</f>
        <v/>
      </c>
    </row>
    <row r="1417">
      <c r="A1417" s="1" t="n"/>
      <c r="B1417" s="30" t="n"/>
      <c r="C1417" s="31" t="n"/>
      <c r="D1417" s="32" t="n"/>
      <c r="E1417" s="32" t="n"/>
      <c r="F1417" s="33" t="n"/>
      <c r="G1417" s="27">
        <f>IF(E1417="","",MAX(0,IFERROR(INDEX(Services!$C$6:$C$35,MATCH(E1417,Services!$B$6:$B$35,0)),0)-N(H1417)))</f>
        <v/>
      </c>
      <c r="H1417" s="34" t="n"/>
      <c r="I1417" s="34" t="n"/>
      <c r="J1417" s="33" t="n"/>
      <c r="K1417" s="28">
        <f>IF(OR(B1417="",F1417&lt;&gt;"Done",J1417="Package"),"",IF(N(G1417)-N(I1417)&gt;0,N(G1417)-N(I1417),""))</f>
        <v/>
      </c>
      <c r="L1417" s="32" t="n"/>
      <c r="M1417" s="1">
        <f>IF(OR(B1417="",D1417="",F1417="Cancelled"),"",B1417+N(C1417)+ROW()/10000000)</f>
        <v/>
      </c>
      <c r="N1417">
        <f>IF(AND(F1417="Done",M1417&lt;&gt;""),IF(COUNTIFS(Appointments!$D$6:$D$2005,D1417,Appointments!$F$6:$F$2005,"Done",Appointments!$M$6:$M$2005,"&gt;"&amp;M1417)=0,1,0),0)</f>
        <v/>
      </c>
      <c r="O1417">
        <f>IF(AND(F1417="Booked",M1417&lt;&gt;"",N(B1417)&gt;=TODAY()),IF(COUNTIFS(Appointments!$D$6:$D$2005,D1417,Appointments!$F$6:$F$2005,"Booked",Appointments!$B$6:$B$2005,"&gt;="&amp;TODAY(),Appointments!$M$6:$M$2005,"&lt;"&amp;M1417)=0,1,0),0)</f>
        <v/>
      </c>
    </row>
    <row r="1418">
      <c r="A1418" s="1" t="n"/>
      <c r="B1418" s="30" t="n"/>
      <c r="C1418" s="31" t="n"/>
      <c r="D1418" s="32" t="n"/>
      <c r="E1418" s="32" t="n"/>
      <c r="F1418" s="33" t="n"/>
      <c r="G1418" s="27">
        <f>IF(E1418="","",MAX(0,IFERROR(INDEX(Services!$C$6:$C$35,MATCH(E1418,Services!$B$6:$B$35,0)),0)-N(H1418)))</f>
        <v/>
      </c>
      <c r="H1418" s="34" t="n"/>
      <c r="I1418" s="34" t="n"/>
      <c r="J1418" s="33" t="n"/>
      <c r="K1418" s="28">
        <f>IF(OR(B1418="",F1418&lt;&gt;"Done",J1418="Package"),"",IF(N(G1418)-N(I1418)&gt;0,N(G1418)-N(I1418),""))</f>
        <v/>
      </c>
      <c r="L1418" s="32" t="n"/>
      <c r="M1418" s="1">
        <f>IF(OR(B1418="",D1418="",F1418="Cancelled"),"",B1418+N(C1418)+ROW()/10000000)</f>
        <v/>
      </c>
      <c r="N1418">
        <f>IF(AND(F1418="Done",M1418&lt;&gt;""),IF(COUNTIFS(Appointments!$D$6:$D$2005,D1418,Appointments!$F$6:$F$2005,"Done",Appointments!$M$6:$M$2005,"&gt;"&amp;M1418)=0,1,0),0)</f>
        <v/>
      </c>
      <c r="O1418">
        <f>IF(AND(F1418="Booked",M1418&lt;&gt;"",N(B1418)&gt;=TODAY()),IF(COUNTIFS(Appointments!$D$6:$D$2005,D1418,Appointments!$F$6:$F$2005,"Booked",Appointments!$B$6:$B$2005,"&gt;="&amp;TODAY(),Appointments!$M$6:$M$2005,"&lt;"&amp;M1418)=0,1,0),0)</f>
        <v/>
      </c>
    </row>
    <row r="1419">
      <c r="A1419" s="1" t="n"/>
      <c r="B1419" s="30" t="n"/>
      <c r="C1419" s="31" t="n"/>
      <c r="D1419" s="32" t="n"/>
      <c r="E1419" s="32" t="n"/>
      <c r="F1419" s="33" t="n"/>
      <c r="G1419" s="27">
        <f>IF(E1419="","",MAX(0,IFERROR(INDEX(Services!$C$6:$C$35,MATCH(E1419,Services!$B$6:$B$35,0)),0)-N(H1419)))</f>
        <v/>
      </c>
      <c r="H1419" s="34" t="n"/>
      <c r="I1419" s="34" t="n"/>
      <c r="J1419" s="33" t="n"/>
      <c r="K1419" s="28">
        <f>IF(OR(B1419="",F1419&lt;&gt;"Done",J1419="Package"),"",IF(N(G1419)-N(I1419)&gt;0,N(G1419)-N(I1419),""))</f>
        <v/>
      </c>
      <c r="L1419" s="32" t="n"/>
      <c r="M1419" s="1">
        <f>IF(OR(B1419="",D1419="",F1419="Cancelled"),"",B1419+N(C1419)+ROW()/10000000)</f>
        <v/>
      </c>
      <c r="N1419">
        <f>IF(AND(F1419="Done",M1419&lt;&gt;""),IF(COUNTIFS(Appointments!$D$6:$D$2005,D1419,Appointments!$F$6:$F$2005,"Done",Appointments!$M$6:$M$2005,"&gt;"&amp;M1419)=0,1,0),0)</f>
        <v/>
      </c>
      <c r="O1419">
        <f>IF(AND(F1419="Booked",M1419&lt;&gt;"",N(B1419)&gt;=TODAY()),IF(COUNTIFS(Appointments!$D$6:$D$2005,D1419,Appointments!$F$6:$F$2005,"Booked",Appointments!$B$6:$B$2005,"&gt;="&amp;TODAY(),Appointments!$M$6:$M$2005,"&lt;"&amp;M1419)=0,1,0),0)</f>
        <v/>
      </c>
    </row>
    <row r="1420">
      <c r="A1420" s="1" t="n"/>
      <c r="B1420" s="30" t="n"/>
      <c r="C1420" s="31" t="n"/>
      <c r="D1420" s="32" t="n"/>
      <c r="E1420" s="32" t="n"/>
      <c r="F1420" s="33" t="n"/>
      <c r="G1420" s="27">
        <f>IF(E1420="","",MAX(0,IFERROR(INDEX(Services!$C$6:$C$35,MATCH(E1420,Services!$B$6:$B$35,0)),0)-N(H1420)))</f>
        <v/>
      </c>
      <c r="H1420" s="34" t="n"/>
      <c r="I1420" s="34" t="n"/>
      <c r="J1420" s="33" t="n"/>
      <c r="K1420" s="28">
        <f>IF(OR(B1420="",F1420&lt;&gt;"Done",J1420="Package"),"",IF(N(G1420)-N(I1420)&gt;0,N(G1420)-N(I1420),""))</f>
        <v/>
      </c>
      <c r="L1420" s="32" t="n"/>
      <c r="M1420" s="1">
        <f>IF(OR(B1420="",D1420="",F1420="Cancelled"),"",B1420+N(C1420)+ROW()/10000000)</f>
        <v/>
      </c>
      <c r="N1420">
        <f>IF(AND(F1420="Done",M1420&lt;&gt;""),IF(COUNTIFS(Appointments!$D$6:$D$2005,D1420,Appointments!$F$6:$F$2005,"Done",Appointments!$M$6:$M$2005,"&gt;"&amp;M1420)=0,1,0),0)</f>
        <v/>
      </c>
      <c r="O1420">
        <f>IF(AND(F1420="Booked",M1420&lt;&gt;"",N(B1420)&gt;=TODAY()),IF(COUNTIFS(Appointments!$D$6:$D$2005,D1420,Appointments!$F$6:$F$2005,"Booked",Appointments!$B$6:$B$2005,"&gt;="&amp;TODAY(),Appointments!$M$6:$M$2005,"&lt;"&amp;M1420)=0,1,0),0)</f>
        <v/>
      </c>
    </row>
    <row r="1421">
      <c r="A1421" s="1" t="n"/>
      <c r="B1421" s="30" t="n"/>
      <c r="C1421" s="31" t="n"/>
      <c r="D1421" s="32" t="n"/>
      <c r="E1421" s="32" t="n"/>
      <c r="F1421" s="33" t="n"/>
      <c r="G1421" s="27">
        <f>IF(E1421="","",MAX(0,IFERROR(INDEX(Services!$C$6:$C$35,MATCH(E1421,Services!$B$6:$B$35,0)),0)-N(H1421)))</f>
        <v/>
      </c>
      <c r="H1421" s="34" t="n"/>
      <c r="I1421" s="34" t="n"/>
      <c r="J1421" s="33" t="n"/>
      <c r="K1421" s="28">
        <f>IF(OR(B1421="",F1421&lt;&gt;"Done",J1421="Package"),"",IF(N(G1421)-N(I1421)&gt;0,N(G1421)-N(I1421),""))</f>
        <v/>
      </c>
      <c r="L1421" s="32" t="n"/>
      <c r="M1421" s="1">
        <f>IF(OR(B1421="",D1421="",F1421="Cancelled"),"",B1421+N(C1421)+ROW()/10000000)</f>
        <v/>
      </c>
      <c r="N1421">
        <f>IF(AND(F1421="Done",M1421&lt;&gt;""),IF(COUNTIFS(Appointments!$D$6:$D$2005,D1421,Appointments!$F$6:$F$2005,"Done",Appointments!$M$6:$M$2005,"&gt;"&amp;M1421)=0,1,0),0)</f>
        <v/>
      </c>
      <c r="O1421">
        <f>IF(AND(F1421="Booked",M1421&lt;&gt;"",N(B1421)&gt;=TODAY()),IF(COUNTIFS(Appointments!$D$6:$D$2005,D1421,Appointments!$F$6:$F$2005,"Booked",Appointments!$B$6:$B$2005,"&gt;="&amp;TODAY(),Appointments!$M$6:$M$2005,"&lt;"&amp;M1421)=0,1,0),0)</f>
        <v/>
      </c>
    </row>
    <row r="1422">
      <c r="A1422" s="1" t="n"/>
      <c r="B1422" s="30" t="n"/>
      <c r="C1422" s="31" t="n"/>
      <c r="D1422" s="32" t="n"/>
      <c r="E1422" s="32" t="n"/>
      <c r="F1422" s="33" t="n"/>
      <c r="G1422" s="27">
        <f>IF(E1422="","",MAX(0,IFERROR(INDEX(Services!$C$6:$C$35,MATCH(E1422,Services!$B$6:$B$35,0)),0)-N(H1422)))</f>
        <v/>
      </c>
      <c r="H1422" s="34" t="n"/>
      <c r="I1422" s="34" t="n"/>
      <c r="J1422" s="33" t="n"/>
      <c r="K1422" s="28">
        <f>IF(OR(B1422="",F1422&lt;&gt;"Done",J1422="Package"),"",IF(N(G1422)-N(I1422)&gt;0,N(G1422)-N(I1422),""))</f>
        <v/>
      </c>
      <c r="L1422" s="32" t="n"/>
      <c r="M1422" s="1">
        <f>IF(OR(B1422="",D1422="",F1422="Cancelled"),"",B1422+N(C1422)+ROW()/10000000)</f>
        <v/>
      </c>
      <c r="N1422">
        <f>IF(AND(F1422="Done",M1422&lt;&gt;""),IF(COUNTIFS(Appointments!$D$6:$D$2005,D1422,Appointments!$F$6:$F$2005,"Done",Appointments!$M$6:$M$2005,"&gt;"&amp;M1422)=0,1,0),0)</f>
        <v/>
      </c>
      <c r="O1422">
        <f>IF(AND(F1422="Booked",M1422&lt;&gt;"",N(B1422)&gt;=TODAY()),IF(COUNTIFS(Appointments!$D$6:$D$2005,D1422,Appointments!$F$6:$F$2005,"Booked",Appointments!$B$6:$B$2005,"&gt;="&amp;TODAY(),Appointments!$M$6:$M$2005,"&lt;"&amp;M1422)=0,1,0),0)</f>
        <v/>
      </c>
    </row>
    <row r="1423">
      <c r="A1423" s="1" t="n"/>
      <c r="B1423" s="30" t="n"/>
      <c r="C1423" s="31" t="n"/>
      <c r="D1423" s="32" t="n"/>
      <c r="E1423" s="32" t="n"/>
      <c r="F1423" s="33" t="n"/>
      <c r="G1423" s="27">
        <f>IF(E1423="","",MAX(0,IFERROR(INDEX(Services!$C$6:$C$35,MATCH(E1423,Services!$B$6:$B$35,0)),0)-N(H1423)))</f>
        <v/>
      </c>
      <c r="H1423" s="34" t="n"/>
      <c r="I1423" s="34" t="n"/>
      <c r="J1423" s="33" t="n"/>
      <c r="K1423" s="28">
        <f>IF(OR(B1423="",F1423&lt;&gt;"Done",J1423="Package"),"",IF(N(G1423)-N(I1423)&gt;0,N(G1423)-N(I1423),""))</f>
        <v/>
      </c>
      <c r="L1423" s="32" t="n"/>
      <c r="M1423" s="1">
        <f>IF(OR(B1423="",D1423="",F1423="Cancelled"),"",B1423+N(C1423)+ROW()/10000000)</f>
        <v/>
      </c>
      <c r="N1423">
        <f>IF(AND(F1423="Done",M1423&lt;&gt;""),IF(COUNTIFS(Appointments!$D$6:$D$2005,D1423,Appointments!$F$6:$F$2005,"Done",Appointments!$M$6:$M$2005,"&gt;"&amp;M1423)=0,1,0),0)</f>
        <v/>
      </c>
      <c r="O1423">
        <f>IF(AND(F1423="Booked",M1423&lt;&gt;"",N(B1423)&gt;=TODAY()),IF(COUNTIFS(Appointments!$D$6:$D$2005,D1423,Appointments!$F$6:$F$2005,"Booked",Appointments!$B$6:$B$2005,"&gt;="&amp;TODAY(),Appointments!$M$6:$M$2005,"&lt;"&amp;M1423)=0,1,0),0)</f>
        <v/>
      </c>
    </row>
    <row r="1424">
      <c r="A1424" s="1" t="n"/>
      <c r="B1424" s="30" t="n"/>
      <c r="C1424" s="31" t="n"/>
      <c r="D1424" s="32" t="n"/>
      <c r="E1424" s="32" t="n"/>
      <c r="F1424" s="33" t="n"/>
      <c r="G1424" s="27">
        <f>IF(E1424="","",MAX(0,IFERROR(INDEX(Services!$C$6:$C$35,MATCH(E1424,Services!$B$6:$B$35,0)),0)-N(H1424)))</f>
        <v/>
      </c>
      <c r="H1424" s="34" t="n"/>
      <c r="I1424" s="34" t="n"/>
      <c r="J1424" s="33" t="n"/>
      <c r="K1424" s="28">
        <f>IF(OR(B1424="",F1424&lt;&gt;"Done",J1424="Package"),"",IF(N(G1424)-N(I1424)&gt;0,N(G1424)-N(I1424),""))</f>
        <v/>
      </c>
      <c r="L1424" s="32" t="n"/>
      <c r="M1424" s="1">
        <f>IF(OR(B1424="",D1424="",F1424="Cancelled"),"",B1424+N(C1424)+ROW()/10000000)</f>
        <v/>
      </c>
      <c r="N1424">
        <f>IF(AND(F1424="Done",M1424&lt;&gt;""),IF(COUNTIFS(Appointments!$D$6:$D$2005,D1424,Appointments!$F$6:$F$2005,"Done",Appointments!$M$6:$M$2005,"&gt;"&amp;M1424)=0,1,0),0)</f>
        <v/>
      </c>
      <c r="O1424">
        <f>IF(AND(F1424="Booked",M1424&lt;&gt;"",N(B1424)&gt;=TODAY()),IF(COUNTIFS(Appointments!$D$6:$D$2005,D1424,Appointments!$F$6:$F$2005,"Booked",Appointments!$B$6:$B$2005,"&gt;="&amp;TODAY(),Appointments!$M$6:$M$2005,"&lt;"&amp;M1424)=0,1,0),0)</f>
        <v/>
      </c>
    </row>
    <row r="1425">
      <c r="A1425" s="1" t="n"/>
      <c r="B1425" s="30" t="n"/>
      <c r="C1425" s="31" t="n"/>
      <c r="D1425" s="32" t="n"/>
      <c r="E1425" s="32" t="n"/>
      <c r="F1425" s="33" t="n"/>
      <c r="G1425" s="27">
        <f>IF(E1425="","",MAX(0,IFERROR(INDEX(Services!$C$6:$C$35,MATCH(E1425,Services!$B$6:$B$35,0)),0)-N(H1425)))</f>
        <v/>
      </c>
      <c r="H1425" s="34" t="n"/>
      <c r="I1425" s="34" t="n"/>
      <c r="J1425" s="33" t="n"/>
      <c r="K1425" s="28">
        <f>IF(OR(B1425="",F1425&lt;&gt;"Done",J1425="Package"),"",IF(N(G1425)-N(I1425)&gt;0,N(G1425)-N(I1425),""))</f>
        <v/>
      </c>
      <c r="L1425" s="32" t="n"/>
      <c r="M1425" s="1">
        <f>IF(OR(B1425="",D1425="",F1425="Cancelled"),"",B1425+N(C1425)+ROW()/10000000)</f>
        <v/>
      </c>
      <c r="N1425">
        <f>IF(AND(F1425="Done",M1425&lt;&gt;""),IF(COUNTIFS(Appointments!$D$6:$D$2005,D1425,Appointments!$F$6:$F$2005,"Done",Appointments!$M$6:$M$2005,"&gt;"&amp;M1425)=0,1,0),0)</f>
        <v/>
      </c>
      <c r="O1425">
        <f>IF(AND(F1425="Booked",M1425&lt;&gt;"",N(B1425)&gt;=TODAY()),IF(COUNTIFS(Appointments!$D$6:$D$2005,D1425,Appointments!$F$6:$F$2005,"Booked",Appointments!$B$6:$B$2005,"&gt;="&amp;TODAY(),Appointments!$M$6:$M$2005,"&lt;"&amp;M1425)=0,1,0),0)</f>
        <v/>
      </c>
    </row>
    <row r="1426">
      <c r="A1426" s="1" t="n"/>
      <c r="B1426" s="30" t="n"/>
      <c r="C1426" s="31" t="n"/>
      <c r="D1426" s="32" t="n"/>
      <c r="E1426" s="32" t="n"/>
      <c r="F1426" s="33" t="n"/>
      <c r="G1426" s="27">
        <f>IF(E1426="","",MAX(0,IFERROR(INDEX(Services!$C$6:$C$35,MATCH(E1426,Services!$B$6:$B$35,0)),0)-N(H1426)))</f>
        <v/>
      </c>
      <c r="H1426" s="34" t="n"/>
      <c r="I1426" s="34" t="n"/>
      <c r="J1426" s="33" t="n"/>
      <c r="K1426" s="28">
        <f>IF(OR(B1426="",F1426&lt;&gt;"Done",J1426="Package"),"",IF(N(G1426)-N(I1426)&gt;0,N(G1426)-N(I1426),""))</f>
        <v/>
      </c>
      <c r="L1426" s="32" t="n"/>
      <c r="M1426" s="1">
        <f>IF(OR(B1426="",D1426="",F1426="Cancelled"),"",B1426+N(C1426)+ROW()/10000000)</f>
        <v/>
      </c>
      <c r="N1426">
        <f>IF(AND(F1426="Done",M1426&lt;&gt;""),IF(COUNTIFS(Appointments!$D$6:$D$2005,D1426,Appointments!$F$6:$F$2005,"Done",Appointments!$M$6:$M$2005,"&gt;"&amp;M1426)=0,1,0),0)</f>
        <v/>
      </c>
      <c r="O1426">
        <f>IF(AND(F1426="Booked",M1426&lt;&gt;"",N(B1426)&gt;=TODAY()),IF(COUNTIFS(Appointments!$D$6:$D$2005,D1426,Appointments!$F$6:$F$2005,"Booked",Appointments!$B$6:$B$2005,"&gt;="&amp;TODAY(),Appointments!$M$6:$M$2005,"&lt;"&amp;M1426)=0,1,0),0)</f>
        <v/>
      </c>
    </row>
    <row r="1427">
      <c r="A1427" s="1" t="n"/>
      <c r="B1427" s="30" t="n"/>
      <c r="C1427" s="31" t="n"/>
      <c r="D1427" s="32" t="n"/>
      <c r="E1427" s="32" t="n"/>
      <c r="F1427" s="33" t="n"/>
      <c r="G1427" s="27">
        <f>IF(E1427="","",MAX(0,IFERROR(INDEX(Services!$C$6:$C$35,MATCH(E1427,Services!$B$6:$B$35,0)),0)-N(H1427)))</f>
        <v/>
      </c>
      <c r="H1427" s="34" t="n"/>
      <c r="I1427" s="34" t="n"/>
      <c r="J1427" s="33" t="n"/>
      <c r="K1427" s="28">
        <f>IF(OR(B1427="",F1427&lt;&gt;"Done",J1427="Package"),"",IF(N(G1427)-N(I1427)&gt;0,N(G1427)-N(I1427),""))</f>
        <v/>
      </c>
      <c r="L1427" s="32" t="n"/>
      <c r="M1427" s="1">
        <f>IF(OR(B1427="",D1427="",F1427="Cancelled"),"",B1427+N(C1427)+ROW()/10000000)</f>
        <v/>
      </c>
      <c r="N1427">
        <f>IF(AND(F1427="Done",M1427&lt;&gt;""),IF(COUNTIFS(Appointments!$D$6:$D$2005,D1427,Appointments!$F$6:$F$2005,"Done",Appointments!$M$6:$M$2005,"&gt;"&amp;M1427)=0,1,0),0)</f>
        <v/>
      </c>
      <c r="O1427">
        <f>IF(AND(F1427="Booked",M1427&lt;&gt;"",N(B1427)&gt;=TODAY()),IF(COUNTIFS(Appointments!$D$6:$D$2005,D1427,Appointments!$F$6:$F$2005,"Booked",Appointments!$B$6:$B$2005,"&gt;="&amp;TODAY(),Appointments!$M$6:$M$2005,"&lt;"&amp;M1427)=0,1,0),0)</f>
        <v/>
      </c>
    </row>
    <row r="1428">
      <c r="A1428" s="1" t="n"/>
      <c r="B1428" s="30" t="n"/>
      <c r="C1428" s="31" t="n"/>
      <c r="D1428" s="32" t="n"/>
      <c r="E1428" s="32" t="n"/>
      <c r="F1428" s="33" t="n"/>
      <c r="G1428" s="27">
        <f>IF(E1428="","",MAX(0,IFERROR(INDEX(Services!$C$6:$C$35,MATCH(E1428,Services!$B$6:$B$35,0)),0)-N(H1428)))</f>
        <v/>
      </c>
      <c r="H1428" s="34" t="n"/>
      <c r="I1428" s="34" t="n"/>
      <c r="J1428" s="33" t="n"/>
      <c r="K1428" s="28">
        <f>IF(OR(B1428="",F1428&lt;&gt;"Done",J1428="Package"),"",IF(N(G1428)-N(I1428)&gt;0,N(G1428)-N(I1428),""))</f>
        <v/>
      </c>
      <c r="L1428" s="32" t="n"/>
      <c r="M1428" s="1">
        <f>IF(OR(B1428="",D1428="",F1428="Cancelled"),"",B1428+N(C1428)+ROW()/10000000)</f>
        <v/>
      </c>
      <c r="N1428">
        <f>IF(AND(F1428="Done",M1428&lt;&gt;""),IF(COUNTIFS(Appointments!$D$6:$D$2005,D1428,Appointments!$F$6:$F$2005,"Done",Appointments!$M$6:$M$2005,"&gt;"&amp;M1428)=0,1,0),0)</f>
        <v/>
      </c>
      <c r="O1428">
        <f>IF(AND(F1428="Booked",M1428&lt;&gt;"",N(B1428)&gt;=TODAY()),IF(COUNTIFS(Appointments!$D$6:$D$2005,D1428,Appointments!$F$6:$F$2005,"Booked",Appointments!$B$6:$B$2005,"&gt;="&amp;TODAY(),Appointments!$M$6:$M$2005,"&lt;"&amp;M1428)=0,1,0),0)</f>
        <v/>
      </c>
    </row>
    <row r="1429">
      <c r="A1429" s="1" t="n"/>
      <c r="B1429" s="30" t="n"/>
      <c r="C1429" s="31" t="n"/>
      <c r="D1429" s="32" t="n"/>
      <c r="E1429" s="32" t="n"/>
      <c r="F1429" s="33" t="n"/>
      <c r="G1429" s="27">
        <f>IF(E1429="","",MAX(0,IFERROR(INDEX(Services!$C$6:$C$35,MATCH(E1429,Services!$B$6:$B$35,0)),0)-N(H1429)))</f>
        <v/>
      </c>
      <c r="H1429" s="34" t="n"/>
      <c r="I1429" s="34" t="n"/>
      <c r="J1429" s="33" t="n"/>
      <c r="K1429" s="28">
        <f>IF(OR(B1429="",F1429&lt;&gt;"Done",J1429="Package"),"",IF(N(G1429)-N(I1429)&gt;0,N(G1429)-N(I1429),""))</f>
        <v/>
      </c>
      <c r="L1429" s="32" t="n"/>
      <c r="M1429" s="1">
        <f>IF(OR(B1429="",D1429="",F1429="Cancelled"),"",B1429+N(C1429)+ROW()/10000000)</f>
        <v/>
      </c>
      <c r="N1429">
        <f>IF(AND(F1429="Done",M1429&lt;&gt;""),IF(COUNTIFS(Appointments!$D$6:$D$2005,D1429,Appointments!$F$6:$F$2005,"Done",Appointments!$M$6:$M$2005,"&gt;"&amp;M1429)=0,1,0),0)</f>
        <v/>
      </c>
      <c r="O1429">
        <f>IF(AND(F1429="Booked",M1429&lt;&gt;"",N(B1429)&gt;=TODAY()),IF(COUNTIFS(Appointments!$D$6:$D$2005,D1429,Appointments!$F$6:$F$2005,"Booked",Appointments!$B$6:$B$2005,"&gt;="&amp;TODAY(),Appointments!$M$6:$M$2005,"&lt;"&amp;M1429)=0,1,0),0)</f>
        <v/>
      </c>
    </row>
    <row r="1430">
      <c r="A1430" s="1" t="n"/>
      <c r="B1430" s="30" t="n"/>
      <c r="C1430" s="31" t="n"/>
      <c r="D1430" s="32" t="n"/>
      <c r="E1430" s="32" t="n"/>
      <c r="F1430" s="33" t="n"/>
      <c r="G1430" s="27">
        <f>IF(E1430="","",MAX(0,IFERROR(INDEX(Services!$C$6:$C$35,MATCH(E1430,Services!$B$6:$B$35,0)),0)-N(H1430)))</f>
        <v/>
      </c>
      <c r="H1430" s="34" t="n"/>
      <c r="I1430" s="34" t="n"/>
      <c r="J1430" s="33" t="n"/>
      <c r="K1430" s="28">
        <f>IF(OR(B1430="",F1430&lt;&gt;"Done",J1430="Package"),"",IF(N(G1430)-N(I1430)&gt;0,N(G1430)-N(I1430),""))</f>
        <v/>
      </c>
      <c r="L1430" s="32" t="n"/>
      <c r="M1430" s="1">
        <f>IF(OR(B1430="",D1430="",F1430="Cancelled"),"",B1430+N(C1430)+ROW()/10000000)</f>
        <v/>
      </c>
      <c r="N1430">
        <f>IF(AND(F1430="Done",M1430&lt;&gt;""),IF(COUNTIFS(Appointments!$D$6:$D$2005,D1430,Appointments!$F$6:$F$2005,"Done",Appointments!$M$6:$M$2005,"&gt;"&amp;M1430)=0,1,0),0)</f>
        <v/>
      </c>
      <c r="O1430">
        <f>IF(AND(F1430="Booked",M1430&lt;&gt;"",N(B1430)&gt;=TODAY()),IF(COUNTIFS(Appointments!$D$6:$D$2005,D1430,Appointments!$F$6:$F$2005,"Booked",Appointments!$B$6:$B$2005,"&gt;="&amp;TODAY(),Appointments!$M$6:$M$2005,"&lt;"&amp;M1430)=0,1,0),0)</f>
        <v/>
      </c>
    </row>
    <row r="1431">
      <c r="A1431" s="1" t="n"/>
      <c r="B1431" s="30" t="n"/>
      <c r="C1431" s="31" t="n"/>
      <c r="D1431" s="32" t="n"/>
      <c r="E1431" s="32" t="n"/>
      <c r="F1431" s="33" t="n"/>
      <c r="G1431" s="27">
        <f>IF(E1431="","",MAX(0,IFERROR(INDEX(Services!$C$6:$C$35,MATCH(E1431,Services!$B$6:$B$35,0)),0)-N(H1431)))</f>
        <v/>
      </c>
      <c r="H1431" s="34" t="n"/>
      <c r="I1431" s="34" t="n"/>
      <c r="J1431" s="33" t="n"/>
      <c r="K1431" s="28">
        <f>IF(OR(B1431="",F1431&lt;&gt;"Done",J1431="Package"),"",IF(N(G1431)-N(I1431)&gt;0,N(G1431)-N(I1431),""))</f>
        <v/>
      </c>
      <c r="L1431" s="32" t="n"/>
      <c r="M1431" s="1">
        <f>IF(OR(B1431="",D1431="",F1431="Cancelled"),"",B1431+N(C1431)+ROW()/10000000)</f>
        <v/>
      </c>
      <c r="N1431">
        <f>IF(AND(F1431="Done",M1431&lt;&gt;""),IF(COUNTIFS(Appointments!$D$6:$D$2005,D1431,Appointments!$F$6:$F$2005,"Done",Appointments!$M$6:$M$2005,"&gt;"&amp;M1431)=0,1,0),0)</f>
        <v/>
      </c>
      <c r="O1431">
        <f>IF(AND(F1431="Booked",M1431&lt;&gt;"",N(B1431)&gt;=TODAY()),IF(COUNTIFS(Appointments!$D$6:$D$2005,D1431,Appointments!$F$6:$F$2005,"Booked",Appointments!$B$6:$B$2005,"&gt;="&amp;TODAY(),Appointments!$M$6:$M$2005,"&lt;"&amp;M1431)=0,1,0),0)</f>
        <v/>
      </c>
    </row>
    <row r="1432">
      <c r="A1432" s="1" t="n"/>
      <c r="B1432" s="30" t="n"/>
      <c r="C1432" s="31" t="n"/>
      <c r="D1432" s="32" t="n"/>
      <c r="E1432" s="32" t="n"/>
      <c r="F1432" s="33" t="n"/>
      <c r="G1432" s="27">
        <f>IF(E1432="","",MAX(0,IFERROR(INDEX(Services!$C$6:$C$35,MATCH(E1432,Services!$B$6:$B$35,0)),0)-N(H1432)))</f>
        <v/>
      </c>
      <c r="H1432" s="34" t="n"/>
      <c r="I1432" s="34" t="n"/>
      <c r="J1432" s="33" t="n"/>
      <c r="K1432" s="28">
        <f>IF(OR(B1432="",F1432&lt;&gt;"Done",J1432="Package"),"",IF(N(G1432)-N(I1432)&gt;0,N(G1432)-N(I1432),""))</f>
        <v/>
      </c>
      <c r="L1432" s="32" t="n"/>
      <c r="M1432" s="1">
        <f>IF(OR(B1432="",D1432="",F1432="Cancelled"),"",B1432+N(C1432)+ROW()/10000000)</f>
        <v/>
      </c>
      <c r="N1432">
        <f>IF(AND(F1432="Done",M1432&lt;&gt;""),IF(COUNTIFS(Appointments!$D$6:$D$2005,D1432,Appointments!$F$6:$F$2005,"Done",Appointments!$M$6:$M$2005,"&gt;"&amp;M1432)=0,1,0),0)</f>
        <v/>
      </c>
      <c r="O1432">
        <f>IF(AND(F1432="Booked",M1432&lt;&gt;"",N(B1432)&gt;=TODAY()),IF(COUNTIFS(Appointments!$D$6:$D$2005,D1432,Appointments!$F$6:$F$2005,"Booked",Appointments!$B$6:$B$2005,"&gt;="&amp;TODAY(),Appointments!$M$6:$M$2005,"&lt;"&amp;M1432)=0,1,0),0)</f>
        <v/>
      </c>
    </row>
    <row r="1433">
      <c r="A1433" s="1" t="n"/>
      <c r="B1433" s="30" t="n"/>
      <c r="C1433" s="31" t="n"/>
      <c r="D1433" s="32" t="n"/>
      <c r="E1433" s="32" t="n"/>
      <c r="F1433" s="33" t="n"/>
      <c r="G1433" s="27">
        <f>IF(E1433="","",MAX(0,IFERROR(INDEX(Services!$C$6:$C$35,MATCH(E1433,Services!$B$6:$B$35,0)),0)-N(H1433)))</f>
        <v/>
      </c>
      <c r="H1433" s="34" t="n"/>
      <c r="I1433" s="34" t="n"/>
      <c r="J1433" s="33" t="n"/>
      <c r="K1433" s="28">
        <f>IF(OR(B1433="",F1433&lt;&gt;"Done",J1433="Package"),"",IF(N(G1433)-N(I1433)&gt;0,N(G1433)-N(I1433),""))</f>
        <v/>
      </c>
      <c r="L1433" s="32" t="n"/>
      <c r="M1433" s="1">
        <f>IF(OR(B1433="",D1433="",F1433="Cancelled"),"",B1433+N(C1433)+ROW()/10000000)</f>
        <v/>
      </c>
      <c r="N1433">
        <f>IF(AND(F1433="Done",M1433&lt;&gt;""),IF(COUNTIFS(Appointments!$D$6:$D$2005,D1433,Appointments!$F$6:$F$2005,"Done",Appointments!$M$6:$M$2005,"&gt;"&amp;M1433)=0,1,0),0)</f>
        <v/>
      </c>
      <c r="O1433">
        <f>IF(AND(F1433="Booked",M1433&lt;&gt;"",N(B1433)&gt;=TODAY()),IF(COUNTIFS(Appointments!$D$6:$D$2005,D1433,Appointments!$F$6:$F$2005,"Booked",Appointments!$B$6:$B$2005,"&gt;="&amp;TODAY(),Appointments!$M$6:$M$2005,"&lt;"&amp;M1433)=0,1,0),0)</f>
        <v/>
      </c>
    </row>
    <row r="1434">
      <c r="A1434" s="1" t="n"/>
      <c r="B1434" s="30" t="n"/>
      <c r="C1434" s="31" t="n"/>
      <c r="D1434" s="32" t="n"/>
      <c r="E1434" s="32" t="n"/>
      <c r="F1434" s="33" t="n"/>
      <c r="G1434" s="27">
        <f>IF(E1434="","",MAX(0,IFERROR(INDEX(Services!$C$6:$C$35,MATCH(E1434,Services!$B$6:$B$35,0)),0)-N(H1434)))</f>
        <v/>
      </c>
      <c r="H1434" s="34" t="n"/>
      <c r="I1434" s="34" t="n"/>
      <c r="J1434" s="33" t="n"/>
      <c r="K1434" s="28">
        <f>IF(OR(B1434="",F1434&lt;&gt;"Done",J1434="Package"),"",IF(N(G1434)-N(I1434)&gt;0,N(G1434)-N(I1434),""))</f>
        <v/>
      </c>
      <c r="L1434" s="32" t="n"/>
      <c r="M1434" s="1">
        <f>IF(OR(B1434="",D1434="",F1434="Cancelled"),"",B1434+N(C1434)+ROW()/10000000)</f>
        <v/>
      </c>
      <c r="N1434">
        <f>IF(AND(F1434="Done",M1434&lt;&gt;""),IF(COUNTIFS(Appointments!$D$6:$D$2005,D1434,Appointments!$F$6:$F$2005,"Done",Appointments!$M$6:$M$2005,"&gt;"&amp;M1434)=0,1,0),0)</f>
        <v/>
      </c>
      <c r="O1434">
        <f>IF(AND(F1434="Booked",M1434&lt;&gt;"",N(B1434)&gt;=TODAY()),IF(COUNTIFS(Appointments!$D$6:$D$2005,D1434,Appointments!$F$6:$F$2005,"Booked",Appointments!$B$6:$B$2005,"&gt;="&amp;TODAY(),Appointments!$M$6:$M$2005,"&lt;"&amp;M1434)=0,1,0),0)</f>
        <v/>
      </c>
    </row>
    <row r="1435">
      <c r="A1435" s="1" t="n"/>
      <c r="B1435" s="30" t="n"/>
      <c r="C1435" s="31" t="n"/>
      <c r="D1435" s="32" t="n"/>
      <c r="E1435" s="32" t="n"/>
      <c r="F1435" s="33" t="n"/>
      <c r="G1435" s="27">
        <f>IF(E1435="","",MAX(0,IFERROR(INDEX(Services!$C$6:$C$35,MATCH(E1435,Services!$B$6:$B$35,0)),0)-N(H1435)))</f>
        <v/>
      </c>
      <c r="H1435" s="34" t="n"/>
      <c r="I1435" s="34" t="n"/>
      <c r="J1435" s="33" t="n"/>
      <c r="K1435" s="28">
        <f>IF(OR(B1435="",F1435&lt;&gt;"Done",J1435="Package"),"",IF(N(G1435)-N(I1435)&gt;0,N(G1435)-N(I1435),""))</f>
        <v/>
      </c>
      <c r="L1435" s="32" t="n"/>
      <c r="M1435" s="1">
        <f>IF(OR(B1435="",D1435="",F1435="Cancelled"),"",B1435+N(C1435)+ROW()/10000000)</f>
        <v/>
      </c>
      <c r="N1435">
        <f>IF(AND(F1435="Done",M1435&lt;&gt;""),IF(COUNTIFS(Appointments!$D$6:$D$2005,D1435,Appointments!$F$6:$F$2005,"Done",Appointments!$M$6:$M$2005,"&gt;"&amp;M1435)=0,1,0),0)</f>
        <v/>
      </c>
      <c r="O1435">
        <f>IF(AND(F1435="Booked",M1435&lt;&gt;"",N(B1435)&gt;=TODAY()),IF(COUNTIFS(Appointments!$D$6:$D$2005,D1435,Appointments!$F$6:$F$2005,"Booked",Appointments!$B$6:$B$2005,"&gt;="&amp;TODAY(),Appointments!$M$6:$M$2005,"&lt;"&amp;M1435)=0,1,0),0)</f>
        <v/>
      </c>
    </row>
    <row r="1436">
      <c r="A1436" s="1" t="n"/>
      <c r="B1436" s="30" t="n"/>
      <c r="C1436" s="31" t="n"/>
      <c r="D1436" s="32" t="n"/>
      <c r="E1436" s="32" t="n"/>
      <c r="F1436" s="33" t="n"/>
      <c r="G1436" s="27">
        <f>IF(E1436="","",MAX(0,IFERROR(INDEX(Services!$C$6:$C$35,MATCH(E1436,Services!$B$6:$B$35,0)),0)-N(H1436)))</f>
        <v/>
      </c>
      <c r="H1436" s="34" t="n"/>
      <c r="I1436" s="34" t="n"/>
      <c r="J1436" s="33" t="n"/>
      <c r="K1436" s="28">
        <f>IF(OR(B1436="",F1436&lt;&gt;"Done",J1436="Package"),"",IF(N(G1436)-N(I1436)&gt;0,N(G1436)-N(I1436),""))</f>
        <v/>
      </c>
      <c r="L1436" s="32" t="n"/>
      <c r="M1436" s="1">
        <f>IF(OR(B1436="",D1436="",F1436="Cancelled"),"",B1436+N(C1436)+ROW()/10000000)</f>
        <v/>
      </c>
      <c r="N1436">
        <f>IF(AND(F1436="Done",M1436&lt;&gt;""),IF(COUNTIFS(Appointments!$D$6:$D$2005,D1436,Appointments!$F$6:$F$2005,"Done",Appointments!$M$6:$M$2005,"&gt;"&amp;M1436)=0,1,0),0)</f>
        <v/>
      </c>
      <c r="O1436">
        <f>IF(AND(F1436="Booked",M1436&lt;&gt;"",N(B1436)&gt;=TODAY()),IF(COUNTIFS(Appointments!$D$6:$D$2005,D1436,Appointments!$F$6:$F$2005,"Booked",Appointments!$B$6:$B$2005,"&gt;="&amp;TODAY(),Appointments!$M$6:$M$2005,"&lt;"&amp;M1436)=0,1,0),0)</f>
        <v/>
      </c>
    </row>
    <row r="1437">
      <c r="A1437" s="1" t="n"/>
      <c r="B1437" s="30" t="n"/>
      <c r="C1437" s="31" t="n"/>
      <c r="D1437" s="32" t="n"/>
      <c r="E1437" s="32" t="n"/>
      <c r="F1437" s="33" t="n"/>
      <c r="G1437" s="27">
        <f>IF(E1437="","",MAX(0,IFERROR(INDEX(Services!$C$6:$C$35,MATCH(E1437,Services!$B$6:$B$35,0)),0)-N(H1437)))</f>
        <v/>
      </c>
      <c r="H1437" s="34" t="n"/>
      <c r="I1437" s="34" t="n"/>
      <c r="J1437" s="33" t="n"/>
      <c r="K1437" s="28">
        <f>IF(OR(B1437="",F1437&lt;&gt;"Done",J1437="Package"),"",IF(N(G1437)-N(I1437)&gt;0,N(G1437)-N(I1437),""))</f>
        <v/>
      </c>
      <c r="L1437" s="32" t="n"/>
      <c r="M1437" s="1">
        <f>IF(OR(B1437="",D1437="",F1437="Cancelled"),"",B1437+N(C1437)+ROW()/10000000)</f>
        <v/>
      </c>
      <c r="N1437">
        <f>IF(AND(F1437="Done",M1437&lt;&gt;""),IF(COUNTIFS(Appointments!$D$6:$D$2005,D1437,Appointments!$F$6:$F$2005,"Done",Appointments!$M$6:$M$2005,"&gt;"&amp;M1437)=0,1,0),0)</f>
        <v/>
      </c>
      <c r="O1437">
        <f>IF(AND(F1437="Booked",M1437&lt;&gt;"",N(B1437)&gt;=TODAY()),IF(COUNTIFS(Appointments!$D$6:$D$2005,D1437,Appointments!$F$6:$F$2005,"Booked",Appointments!$B$6:$B$2005,"&gt;="&amp;TODAY(),Appointments!$M$6:$M$2005,"&lt;"&amp;M1437)=0,1,0),0)</f>
        <v/>
      </c>
    </row>
    <row r="1438">
      <c r="A1438" s="1" t="n"/>
      <c r="B1438" s="30" t="n"/>
      <c r="C1438" s="31" t="n"/>
      <c r="D1438" s="32" t="n"/>
      <c r="E1438" s="32" t="n"/>
      <c r="F1438" s="33" t="n"/>
      <c r="G1438" s="27">
        <f>IF(E1438="","",MAX(0,IFERROR(INDEX(Services!$C$6:$C$35,MATCH(E1438,Services!$B$6:$B$35,0)),0)-N(H1438)))</f>
        <v/>
      </c>
      <c r="H1438" s="34" t="n"/>
      <c r="I1438" s="34" t="n"/>
      <c r="J1438" s="33" t="n"/>
      <c r="K1438" s="28">
        <f>IF(OR(B1438="",F1438&lt;&gt;"Done",J1438="Package"),"",IF(N(G1438)-N(I1438)&gt;0,N(G1438)-N(I1438),""))</f>
        <v/>
      </c>
      <c r="L1438" s="32" t="n"/>
      <c r="M1438" s="1">
        <f>IF(OR(B1438="",D1438="",F1438="Cancelled"),"",B1438+N(C1438)+ROW()/10000000)</f>
        <v/>
      </c>
      <c r="N1438">
        <f>IF(AND(F1438="Done",M1438&lt;&gt;""),IF(COUNTIFS(Appointments!$D$6:$D$2005,D1438,Appointments!$F$6:$F$2005,"Done",Appointments!$M$6:$M$2005,"&gt;"&amp;M1438)=0,1,0),0)</f>
        <v/>
      </c>
      <c r="O1438">
        <f>IF(AND(F1438="Booked",M1438&lt;&gt;"",N(B1438)&gt;=TODAY()),IF(COUNTIFS(Appointments!$D$6:$D$2005,D1438,Appointments!$F$6:$F$2005,"Booked",Appointments!$B$6:$B$2005,"&gt;="&amp;TODAY(),Appointments!$M$6:$M$2005,"&lt;"&amp;M1438)=0,1,0),0)</f>
        <v/>
      </c>
    </row>
    <row r="1439">
      <c r="A1439" s="1" t="n"/>
      <c r="B1439" s="30" t="n"/>
      <c r="C1439" s="31" t="n"/>
      <c r="D1439" s="32" t="n"/>
      <c r="E1439" s="32" t="n"/>
      <c r="F1439" s="33" t="n"/>
      <c r="G1439" s="27">
        <f>IF(E1439="","",MAX(0,IFERROR(INDEX(Services!$C$6:$C$35,MATCH(E1439,Services!$B$6:$B$35,0)),0)-N(H1439)))</f>
        <v/>
      </c>
      <c r="H1439" s="34" t="n"/>
      <c r="I1439" s="34" t="n"/>
      <c r="J1439" s="33" t="n"/>
      <c r="K1439" s="28">
        <f>IF(OR(B1439="",F1439&lt;&gt;"Done",J1439="Package"),"",IF(N(G1439)-N(I1439)&gt;0,N(G1439)-N(I1439),""))</f>
        <v/>
      </c>
      <c r="L1439" s="32" t="n"/>
      <c r="M1439" s="1">
        <f>IF(OR(B1439="",D1439="",F1439="Cancelled"),"",B1439+N(C1439)+ROW()/10000000)</f>
        <v/>
      </c>
      <c r="N1439">
        <f>IF(AND(F1439="Done",M1439&lt;&gt;""),IF(COUNTIFS(Appointments!$D$6:$D$2005,D1439,Appointments!$F$6:$F$2005,"Done",Appointments!$M$6:$M$2005,"&gt;"&amp;M1439)=0,1,0),0)</f>
        <v/>
      </c>
      <c r="O1439">
        <f>IF(AND(F1439="Booked",M1439&lt;&gt;"",N(B1439)&gt;=TODAY()),IF(COUNTIFS(Appointments!$D$6:$D$2005,D1439,Appointments!$F$6:$F$2005,"Booked",Appointments!$B$6:$B$2005,"&gt;="&amp;TODAY(),Appointments!$M$6:$M$2005,"&lt;"&amp;M1439)=0,1,0),0)</f>
        <v/>
      </c>
    </row>
    <row r="1440">
      <c r="A1440" s="1" t="n"/>
      <c r="B1440" s="30" t="n"/>
      <c r="C1440" s="31" t="n"/>
      <c r="D1440" s="32" t="n"/>
      <c r="E1440" s="32" t="n"/>
      <c r="F1440" s="33" t="n"/>
      <c r="G1440" s="27">
        <f>IF(E1440="","",MAX(0,IFERROR(INDEX(Services!$C$6:$C$35,MATCH(E1440,Services!$B$6:$B$35,0)),0)-N(H1440)))</f>
        <v/>
      </c>
      <c r="H1440" s="34" t="n"/>
      <c r="I1440" s="34" t="n"/>
      <c r="J1440" s="33" t="n"/>
      <c r="K1440" s="28">
        <f>IF(OR(B1440="",F1440&lt;&gt;"Done",J1440="Package"),"",IF(N(G1440)-N(I1440)&gt;0,N(G1440)-N(I1440),""))</f>
        <v/>
      </c>
      <c r="L1440" s="32" t="n"/>
      <c r="M1440" s="1">
        <f>IF(OR(B1440="",D1440="",F1440="Cancelled"),"",B1440+N(C1440)+ROW()/10000000)</f>
        <v/>
      </c>
      <c r="N1440">
        <f>IF(AND(F1440="Done",M1440&lt;&gt;""),IF(COUNTIFS(Appointments!$D$6:$D$2005,D1440,Appointments!$F$6:$F$2005,"Done",Appointments!$M$6:$M$2005,"&gt;"&amp;M1440)=0,1,0),0)</f>
        <v/>
      </c>
      <c r="O1440">
        <f>IF(AND(F1440="Booked",M1440&lt;&gt;"",N(B1440)&gt;=TODAY()),IF(COUNTIFS(Appointments!$D$6:$D$2005,D1440,Appointments!$F$6:$F$2005,"Booked",Appointments!$B$6:$B$2005,"&gt;="&amp;TODAY(),Appointments!$M$6:$M$2005,"&lt;"&amp;M1440)=0,1,0),0)</f>
        <v/>
      </c>
    </row>
    <row r="1441">
      <c r="A1441" s="1" t="n"/>
      <c r="B1441" s="30" t="n"/>
      <c r="C1441" s="31" t="n"/>
      <c r="D1441" s="32" t="n"/>
      <c r="E1441" s="32" t="n"/>
      <c r="F1441" s="33" t="n"/>
      <c r="G1441" s="27">
        <f>IF(E1441="","",MAX(0,IFERROR(INDEX(Services!$C$6:$C$35,MATCH(E1441,Services!$B$6:$B$35,0)),0)-N(H1441)))</f>
        <v/>
      </c>
      <c r="H1441" s="34" t="n"/>
      <c r="I1441" s="34" t="n"/>
      <c r="J1441" s="33" t="n"/>
      <c r="K1441" s="28">
        <f>IF(OR(B1441="",F1441&lt;&gt;"Done",J1441="Package"),"",IF(N(G1441)-N(I1441)&gt;0,N(G1441)-N(I1441),""))</f>
        <v/>
      </c>
      <c r="L1441" s="32" t="n"/>
      <c r="M1441" s="1">
        <f>IF(OR(B1441="",D1441="",F1441="Cancelled"),"",B1441+N(C1441)+ROW()/10000000)</f>
        <v/>
      </c>
      <c r="N1441">
        <f>IF(AND(F1441="Done",M1441&lt;&gt;""),IF(COUNTIFS(Appointments!$D$6:$D$2005,D1441,Appointments!$F$6:$F$2005,"Done",Appointments!$M$6:$M$2005,"&gt;"&amp;M1441)=0,1,0),0)</f>
        <v/>
      </c>
      <c r="O1441">
        <f>IF(AND(F1441="Booked",M1441&lt;&gt;"",N(B1441)&gt;=TODAY()),IF(COUNTIFS(Appointments!$D$6:$D$2005,D1441,Appointments!$F$6:$F$2005,"Booked",Appointments!$B$6:$B$2005,"&gt;="&amp;TODAY(),Appointments!$M$6:$M$2005,"&lt;"&amp;M1441)=0,1,0),0)</f>
        <v/>
      </c>
    </row>
    <row r="1442">
      <c r="A1442" s="1" t="n"/>
      <c r="B1442" s="30" t="n"/>
      <c r="C1442" s="31" t="n"/>
      <c r="D1442" s="32" t="n"/>
      <c r="E1442" s="32" t="n"/>
      <c r="F1442" s="33" t="n"/>
      <c r="G1442" s="27">
        <f>IF(E1442="","",MAX(0,IFERROR(INDEX(Services!$C$6:$C$35,MATCH(E1442,Services!$B$6:$B$35,0)),0)-N(H1442)))</f>
        <v/>
      </c>
      <c r="H1442" s="34" t="n"/>
      <c r="I1442" s="34" t="n"/>
      <c r="J1442" s="33" t="n"/>
      <c r="K1442" s="28">
        <f>IF(OR(B1442="",F1442&lt;&gt;"Done",J1442="Package"),"",IF(N(G1442)-N(I1442)&gt;0,N(G1442)-N(I1442),""))</f>
        <v/>
      </c>
      <c r="L1442" s="32" t="n"/>
      <c r="M1442" s="1">
        <f>IF(OR(B1442="",D1442="",F1442="Cancelled"),"",B1442+N(C1442)+ROW()/10000000)</f>
        <v/>
      </c>
      <c r="N1442">
        <f>IF(AND(F1442="Done",M1442&lt;&gt;""),IF(COUNTIFS(Appointments!$D$6:$D$2005,D1442,Appointments!$F$6:$F$2005,"Done",Appointments!$M$6:$M$2005,"&gt;"&amp;M1442)=0,1,0),0)</f>
        <v/>
      </c>
      <c r="O1442">
        <f>IF(AND(F1442="Booked",M1442&lt;&gt;"",N(B1442)&gt;=TODAY()),IF(COUNTIFS(Appointments!$D$6:$D$2005,D1442,Appointments!$F$6:$F$2005,"Booked",Appointments!$B$6:$B$2005,"&gt;="&amp;TODAY(),Appointments!$M$6:$M$2005,"&lt;"&amp;M1442)=0,1,0),0)</f>
        <v/>
      </c>
    </row>
    <row r="1443">
      <c r="A1443" s="1" t="n"/>
      <c r="B1443" s="30" t="n"/>
      <c r="C1443" s="31" t="n"/>
      <c r="D1443" s="32" t="n"/>
      <c r="E1443" s="32" t="n"/>
      <c r="F1443" s="33" t="n"/>
      <c r="G1443" s="27">
        <f>IF(E1443="","",MAX(0,IFERROR(INDEX(Services!$C$6:$C$35,MATCH(E1443,Services!$B$6:$B$35,0)),0)-N(H1443)))</f>
        <v/>
      </c>
      <c r="H1443" s="34" t="n"/>
      <c r="I1443" s="34" t="n"/>
      <c r="J1443" s="33" t="n"/>
      <c r="K1443" s="28">
        <f>IF(OR(B1443="",F1443&lt;&gt;"Done",J1443="Package"),"",IF(N(G1443)-N(I1443)&gt;0,N(G1443)-N(I1443),""))</f>
        <v/>
      </c>
      <c r="L1443" s="32" t="n"/>
      <c r="M1443" s="1">
        <f>IF(OR(B1443="",D1443="",F1443="Cancelled"),"",B1443+N(C1443)+ROW()/10000000)</f>
        <v/>
      </c>
      <c r="N1443">
        <f>IF(AND(F1443="Done",M1443&lt;&gt;""),IF(COUNTIFS(Appointments!$D$6:$D$2005,D1443,Appointments!$F$6:$F$2005,"Done",Appointments!$M$6:$M$2005,"&gt;"&amp;M1443)=0,1,0),0)</f>
        <v/>
      </c>
      <c r="O1443">
        <f>IF(AND(F1443="Booked",M1443&lt;&gt;"",N(B1443)&gt;=TODAY()),IF(COUNTIFS(Appointments!$D$6:$D$2005,D1443,Appointments!$F$6:$F$2005,"Booked",Appointments!$B$6:$B$2005,"&gt;="&amp;TODAY(),Appointments!$M$6:$M$2005,"&lt;"&amp;M1443)=0,1,0),0)</f>
        <v/>
      </c>
    </row>
    <row r="1444">
      <c r="A1444" s="1" t="n"/>
      <c r="B1444" s="30" t="n"/>
      <c r="C1444" s="31" t="n"/>
      <c r="D1444" s="32" t="n"/>
      <c r="E1444" s="32" t="n"/>
      <c r="F1444" s="33" t="n"/>
      <c r="G1444" s="27">
        <f>IF(E1444="","",MAX(0,IFERROR(INDEX(Services!$C$6:$C$35,MATCH(E1444,Services!$B$6:$B$35,0)),0)-N(H1444)))</f>
        <v/>
      </c>
      <c r="H1444" s="34" t="n"/>
      <c r="I1444" s="34" t="n"/>
      <c r="J1444" s="33" t="n"/>
      <c r="K1444" s="28">
        <f>IF(OR(B1444="",F1444&lt;&gt;"Done",J1444="Package"),"",IF(N(G1444)-N(I1444)&gt;0,N(G1444)-N(I1444),""))</f>
        <v/>
      </c>
      <c r="L1444" s="32" t="n"/>
      <c r="M1444" s="1">
        <f>IF(OR(B1444="",D1444="",F1444="Cancelled"),"",B1444+N(C1444)+ROW()/10000000)</f>
        <v/>
      </c>
      <c r="N1444">
        <f>IF(AND(F1444="Done",M1444&lt;&gt;""),IF(COUNTIFS(Appointments!$D$6:$D$2005,D1444,Appointments!$F$6:$F$2005,"Done",Appointments!$M$6:$M$2005,"&gt;"&amp;M1444)=0,1,0),0)</f>
        <v/>
      </c>
      <c r="O1444">
        <f>IF(AND(F1444="Booked",M1444&lt;&gt;"",N(B1444)&gt;=TODAY()),IF(COUNTIFS(Appointments!$D$6:$D$2005,D1444,Appointments!$F$6:$F$2005,"Booked",Appointments!$B$6:$B$2005,"&gt;="&amp;TODAY(),Appointments!$M$6:$M$2005,"&lt;"&amp;M1444)=0,1,0),0)</f>
        <v/>
      </c>
    </row>
    <row r="1445">
      <c r="A1445" s="1" t="n"/>
      <c r="B1445" s="30" t="n"/>
      <c r="C1445" s="31" t="n"/>
      <c r="D1445" s="32" t="n"/>
      <c r="E1445" s="32" t="n"/>
      <c r="F1445" s="33" t="n"/>
      <c r="G1445" s="27">
        <f>IF(E1445="","",MAX(0,IFERROR(INDEX(Services!$C$6:$C$35,MATCH(E1445,Services!$B$6:$B$35,0)),0)-N(H1445)))</f>
        <v/>
      </c>
      <c r="H1445" s="34" t="n"/>
      <c r="I1445" s="34" t="n"/>
      <c r="J1445" s="33" t="n"/>
      <c r="K1445" s="28">
        <f>IF(OR(B1445="",F1445&lt;&gt;"Done",J1445="Package"),"",IF(N(G1445)-N(I1445)&gt;0,N(G1445)-N(I1445),""))</f>
        <v/>
      </c>
      <c r="L1445" s="32" t="n"/>
      <c r="M1445" s="1">
        <f>IF(OR(B1445="",D1445="",F1445="Cancelled"),"",B1445+N(C1445)+ROW()/10000000)</f>
        <v/>
      </c>
      <c r="N1445">
        <f>IF(AND(F1445="Done",M1445&lt;&gt;""),IF(COUNTIFS(Appointments!$D$6:$D$2005,D1445,Appointments!$F$6:$F$2005,"Done",Appointments!$M$6:$M$2005,"&gt;"&amp;M1445)=0,1,0),0)</f>
        <v/>
      </c>
      <c r="O1445">
        <f>IF(AND(F1445="Booked",M1445&lt;&gt;"",N(B1445)&gt;=TODAY()),IF(COUNTIFS(Appointments!$D$6:$D$2005,D1445,Appointments!$F$6:$F$2005,"Booked",Appointments!$B$6:$B$2005,"&gt;="&amp;TODAY(),Appointments!$M$6:$M$2005,"&lt;"&amp;M1445)=0,1,0),0)</f>
        <v/>
      </c>
    </row>
    <row r="1446">
      <c r="A1446" s="1" t="n"/>
      <c r="B1446" s="30" t="n"/>
      <c r="C1446" s="31" t="n"/>
      <c r="D1446" s="32" t="n"/>
      <c r="E1446" s="32" t="n"/>
      <c r="F1446" s="33" t="n"/>
      <c r="G1446" s="27">
        <f>IF(E1446="","",MAX(0,IFERROR(INDEX(Services!$C$6:$C$35,MATCH(E1446,Services!$B$6:$B$35,0)),0)-N(H1446)))</f>
        <v/>
      </c>
      <c r="H1446" s="34" t="n"/>
      <c r="I1446" s="34" t="n"/>
      <c r="J1446" s="33" t="n"/>
      <c r="K1446" s="28">
        <f>IF(OR(B1446="",F1446&lt;&gt;"Done",J1446="Package"),"",IF(N(G1446)-N(I1446)&gt;0,N(G1446)-N(I1446),""))</f>
        <v/>
      </c>
      <c r="L1446" s="32" t="n"/>
      <c r="M1446" s="1">
        <f>IF(OR(B1446="",D1446="",F1446="Cancelled"),"",B1446+N(C1446)+ROW()/10000000)</f>
        <v/>
      </c>
      <c r="N1446">
        <f>IF(AND(F1446="Done",M1446&lt;&gt;""),IF(COUNTIFS(Appointments!$D$6:$D$2005,D1446,Appointments!$F$6:$F$2005,"Done",Appointments!$M$6:$M$2005,"&gt;"&amp;M1446)=0,1,0),0)</f>
        <v/>
      </c>
      <c r="O1446">
        <f>IF(AND(F1446="Booked",M1446&lt;&gt;"",N(B1446)&gt;=TODAY()),IF(COUNTIFS(Appointments!$D$6:$D$2005,D1446,Appointments!$F$6:$F$2005,"Booked",Appointments!$B$6:$B$2005,"&gt;="&amp;TODAY(),Appointments!$M$6:$M$2005,"&lt;"&amp;M1446)=0,1,0),0)</f>
        <v/>
      </c>
    </row>
    <row r="1447">
      <c r="A1447" s="1" t="n"/>
      <c r="B1447" s="30" t="n"/>
      <c r="C1447" s="31" t="n"/>
      <c r="D1447" s="32" t="n"/>
      <c r="E1447" s="32" t="n"/>
      <c r="F1447" s="33" t="n"/>
      <c r="G1447" s="27">
        <f>IF(E1447="","",MAX(0,IFERROR(INDEX(Services!$C$6:$C$35,MATCH(E1447,Services!$B$6:$B$35,0)),0)-N(H1447)))</f>
        <v/>
      </c>
      <c r="H1447" s="34" t="n"/>
      <c r="I1447" s="34" t="n"/>
      <c r="J1447" s="33" t="n"/>
      <c r="K1447" s="28">
        <f>IF(OR(B1447="",F1447&lt;&gt;"Done",J1447="Package"),"",IF(N(G1447)-N(I1447)&gt;0,N(G1447)-N(I1447),""))</f>
        <v/>
      </c>
      <c r="L1447" s="32" t="n"/>
      <c r="M1447" s="1">
        <f>IF(OR(B1447="",D1447="",F1447="Cancelled"),"",B1447+N(C1447)+ROW()/10000000)</f>
        <v/>
      </c>
      <c r="N1447">
        <f>IF(AND(F1447="Done",M1447&lt;&gt;""),IF(COUNTIFS(Appointments!$D$6:$D$2005,D1447,Appointments!$F$6:$F$2005,"Done",Appointments!$M$6:$M$2005,"&gt;"&amp;M1447)=0,1,0),0)</f>
        <v/>
      </c>
      <c r="O1447">
        <f>IF(AND(F1447="Booked",M1447&lt;&gt;"",N(B1447)&gt;=TODAY()),IF(COUNTIFS(Appointments!$D$6:$D$2005,D1447,Appointments!$F$6:$F$2005,"Booked",Appointments!$B$6:$B$2005,"&gt;="&amp;TODAY(),Appointments!$M$6:$M$2005,"&lt;"&amp;M1447)=0,1,0),0)</f>
        <v/>
      </c>
    </row>
    <row r="1448">
      <c r="A1448" s="1" t="n"/>
      <c r="B1448" s="30" t="n"/>
      <c r="C1448" s="31" t="n"/>
      <c r="D1448" s="32" t="n"/>
      <c r="E1448" s="32" t="n"/>
      <c r="F1448" s="33" t="n"/>
      <c r="G1448" s="27">
        <f>IF(E1448="","",MAX(0,IFERROR(INDEX(Services!$C$6:$C$35,MATCH(E1448,Services!$B$6:$B$35,0)),0)-N(H1448)))</f>
        <v/>
      </c>
      <c r="H1448" s="34" t="n"/>
      <c r="I1448" s="34" t="n"/>
      <c r="J1448" s="33" t="n"/>
      <c r="K1448" s="28">
        <f>IF(OR(B1448="",F1448&lt;&gt;"Done",J1448="Package"),"",IF(N(G1448)-N(I1448)&gt;0,N(G1448)-N(I1448),""))</f>
        <v/>
      </c>
      <c r="L1448" s="32" t="n"/>
      <c r="M1448" s="1">
        <f>IF(OR(B1448="",D1448="",F1448="Cancelled"),"",B1448+N(C1448)+ROW()/10000000)</f>
        <v/>
      </c>
      <c r="N1448">
        <f>IF(AND(F1448="Done",M1448&lt;&gt;""),IF(COUNTIFS(Appointments!$D$6:$D$2005,D1448,Appointments!$F$6:$F$2005,"Done",Appointments!$M$6:$M$2005,"&gt;"&amp;M1448)=0,1,0),0)</f>
        <v/>
      </c>
      <c r="O1448">
        <f>IF(AND(F1448="Booked",M1448&lt;&gt;"",N(B1448)&gt;=TODAY()),IF(COUNTIFS(Appointments!$D$6:$D$2005,D1448,Appointments!$F$6:$F$2005,"Booked",Appointments!$B$6:$B$2005,"&gt;="&amp;TODAY(),Appointments!$M$6:$M$2005,"&lt;"&amp;M1448)=0,1,0),0)</f>
        <v/>
      </c>
    </row>
    <row r="1449">
      <c r="A1449" s="1" t="n"/>
      <c r="B1449" s="30" t="n"/>
      <c r="C1449" s="31" t="n"/>
      <c r="D1449" s="32" t="n"/>
      <c r="E1449" s="32" t="n"/>
      <c r="F1449" s="33" t="n"/>
      <c r="G1449" s="27">
        <f>IF(E1449="","",MAX(0,IFERROR(INDEX(Services!$C$6:$C$35,MATCH(E1449,Services!$B$6:$B$35,0)),0)-N(H1449)))</f>
        <v/>
      </c>
      <c r="H1449" s="34" t="n"/>
      <c r="I1449" s="34" t="n"/>
      <c r="J1449" s="33" t="n"/>
      <c r="K1449" s="28">
        <f>IF(OR(B1449="",F1449&lt;&gt;"Done",J1449="Package"),"",IF(N(G1449)-N(I1449)&gt;0,N(G1449)-N(I1449),""))</f>
        <v/>
      </c>
      <c r="L1449" s="32" t="n"/>
      <c r="M1449" s="1">
        <f>IF(OR(B1449="",D1449="",F1449="Cancelled"),"",B1449+N(C1449)+ROW()/10000000)</f>
        <v/>
      </c>
      <c r="N1449">
        <f>IF(AND(F1449="Done",M1449&lt;&gt;""),IF(COUNTIFS(Appointments!$D$6:$D$2005,D1449,Appointments!$F$6:$F$2005,"Done",Appointments!$M$6:$M$2005,"&gt;"&amp;M1449)=0,1,0),0)</f>
        <v/>
      </c>
      <c r="O1449">
        <f>IF(AND(F1449="Booked",M1449&lt;&gt;"",N(B1449)&gt;=TODAY()),IF(COUNTIFS(Appointments!$D$6:$D$2005,D1449,Appointments!$F$6:$F$2005,"Booked",Appointments!$B$6:$B$2005,"&gt;="&amp;TODAY(),Appointments!$M$6:$M$2005,"&lt;"&amp;M1449)=0,1,0),0)</f>
        <v/>
      </c>
    </row>
    <row r="1450">
      <c r="A1450" s="1" t="n"/>
      <c r="B1450" s="30" t="n"/>
      <c r="C1450" s="31" t="n"/>
      <c r="D1450" s="32" t="n"/>
      <c r="E1450" s="32" t="n"/>
      <c r="F1450" s="33" t="n"/>
      <c r="G1450" s="27">
        <f>IF(E1450="","",MAX(0,IFERROR(INDEX(Services!$C$6:$C$35,MATCH(E1450,Services!$B$6:$B$35,0)),0)-N(H1450)))</f>
        <v/>
      </c>
      <c r="H1450" s="34" t="n"/>
      <c r="I1450" s="34" t="n"/>
      <c r="J1450" s="33" t="n"/>
      <c r="K1450" s="28">
        <f>IF(OR(B1450="",F1450&lt;&gt;"Done",J1450="Package"),"",IF(N(G1450)-N(I1450)&gt;0,N(G1450)-N(I1450),""))</f>
        <v/>
      </c>
      <c r="L1450" s="32" t="n"/>
      <c r="M1450" s="1">
        <f>IF(OR(B1450="",D1450="",F1450="Cancelled"),"",B1450+N(C1450)+ROW()/10000000)</f>
        <v/>
      </c>
      <c r="N1450">
        <f>IF(AND(F1450="Done",M1450&lt;&gt;""),IF(COUNTIFS(Appointments!$D$6:$D$2005,D1450,Appointments!$F$6:$F$2005,"Done",Appointments!$M$6:$M$2005,"&gt;"&amp;M1450)=0,1,0),0)</f>
        <v/>
      </c>
      <c r="O1450">
        <f>IF(AND(F1450="Booked",M1450&lt;&gt;"",N(B1450)&gt;=TODAY()),IF(COUNTIFS(Appointments!$D$6:$D$2005,D1450,Appointments!$F$6:$F$2005,"Booked",Appointments!$B$6:$B$2005,"&gt;="&amp;TODAY(),Appointments!$M$6:$M$2005,"&lt;"&amp;M1450)=0,1,0),0)</f>
        <v/>
      </c>
    </row>
    <row r="1451">
      <c r="A1451" s="1" t="n"/>
      <c r="B1451" s="30" t="n"/>
      <c r="C1451" s="31" t="n"/>
      <c r="D1451" s="32" t="n"/>
      <c r="E1451" s="32" t="n"/>
      <c r="F1451" s="33" t="n"/>
      <c r="G1451" s="27">
        <f>IF(E1451="","",MAX(0,IFERROR(INDEX(Services!$C$6:$C$35,MATCH(E1451,Services!$B$6:$B$35,0)),0)-N(H1451)))</f>
        <v/>
      </c>
      <c r="H1451" s="34" t="n"/>
      <c r="I1451" s="34" t="n"/>
      <c r="J1451" s="33" t="n"/>
      <c r="K1451" s="28">
        <f>IF(OR(B1451="",F1451&lt;&gt;"Done",J1451="Package"),"",IF(N(G1451)-N(I1451)&gt;0,N(G1451)-N(I1451),""))</f>
        <v/>
      </c>
      <c r="L1451" s="32" t="n"/>
      <c r="M1451" s="1">
        <f>IF(OR(B1451="",D1451="",F1451="Cancelled"),"",B1451+N(C1451)+ROW()/10000000)</f>
        <v/>
      </c>
      <c r="N1451">
        <f>IF(AND(F1451="Done",M1451&lt;&gt;""),IF(COUNTIFS(Appointments!$D$6:$D$2005,D1451,Appointments!$F$6:$F$2005,"Done",Appointments!$M$6:$M$2005,"&gt;"&amp;M1451)=0,1,0),0)</f>
        <v/>
      </c>
      <c r="O1451">
        <f>IF(AND(F1451="Booked",M1451&lt;&gt;"",N(B1451)&gt;=TODAY()),IF(COUNTIFS(Appointments!$D$6:$D$2005,D1451,Appointments!$F$6:$F$2005,"Booked",Appointments!$B$6:$B$2005,"&gt;="&amp;TODAY(),Appointments!$M$6:$M$2005,"&lt;"&amp;M1451)=0,1,0),0)</f>
        <v/>
      </c>
    </row>
    <row r="1452">
      <c r="A1452" s="1" t="n"/>
      <c r="B1452" s="30" t="n"/>
      <c r="C1452" s="31" t="n"/>
      <c r="D1452" s="32" t="n"/>
      <c r="E1452" s="32" t="n"/>
      <c r="F1452" s="33" t="n"/>
      <c r="G1452" s="27">
        <f>IF(E1452="","",MAX(0,IFERROR(INDEX(Services!$C$6:$C$35,MATCH(E1452,Services!$B$6:$B$35,0)),0)-N(H1452)))</f>
        <v/>
      </c>
      <c r="H1452" s="34" t="n"/>
      <c r="I1452" s="34" t="n"/>
      <c r="J1452" s="33" t="n"/>
      <c r="K1452" s="28">
        <f>IF(OR(B1452="",F1452&lt;&gt;"Done",J1452="Package"),"",IF(N(G1452)-N(I1452)&gt;0,N(G1452)-N(I1452),""))</f>
        <v/>
      </c>
      <c r="L1452" s="32" t="n"/>
      <c r="M1452" s="1">
        <f>IF(OR(B1452="",D1452="",F1452="Cancelled"),"",B1452+N(C1452)+ROW()/10000000)</f>
        <v/>
      </c>
      <c r="N1452">
        <f>IF(AND(F1452="Done",M1452&lt;&gt;""),IF(COUNTIFS(Appointments!$D$6:$D$2005,D1452,Appointments!$F$6:$F$2005,"Done",Appointments!$M$6:$M$2005,"&gt;"&amp;M1452)=0,1,0),0)</f>
        <v/>
      </c>
      <c r="O1452">
        <f>IF(AND(F1452="Booked",M1452&lt;&gt;"",N(B1452)&gt;=TODAY()),IF(COUNTIFS(Appointments!$D$6:$D$2005,D1452,Appointments!$F$6:$F$2005,"Booked",Appointments!$B$6:$B$2005,"&gt;="&amp;TODAY(),Appointments!$M$6:$M$2005,"&lt;"&amp;M1452)=0,1,0),0)</f>
        <v/>
      </c>
    </row>
    <row r="1453">
      <c r="A1453" s="1" t="n"/>
      <c r="B1453" s="30" t="n"/>
      <c r="C1453" s="31" t="n"/>
      <c r="D1453" s="32" t="n"/>
      <c r="E1453" s="32" t="n"/>
      <c r="F1453" s="33" t="n"/>
      <c r="G1453" s="27">
        <f>IF(E1453="","",MAX(0,IFERROR(INDEX(Services!$C$6:$C$35,MATCH(E1453,Services!$B$6:$B$35,0)),0)-N(H1453)))</f>
        <v/>
      </c>
      <c r="H1453" s="34" t="n"/>
      <c r="I1453" s="34" t="n"/>
      <c r="J1453" s="33" t="n"/>
      <c r="K1453" s="28">
        <f>IF(OR(B1453="",F1453&lt;&gt;"Done",J1453="Package"),"",IF(N(G1453)-N(I1453)&gt;0,N(G1453)-N(I1453),""))</f>
        <v/>
      </c>
      <c r="L1453" s="32" t="n"/>
      <c r="M1453" s="1">
        <f>IF(OR(B1453="",D1453="",F1453="Cancelled"),"",B1453+N(C1453)+ROW()/10000000)</f>
        <v/>
      </c>
      <c r="N1453">
        <f>IF(AND(F1453="Done",M1453&lt;&gt;""),IF(COUNTIFS(Appointments!$D$6:$D$2005,D1453,Appointments!$F$6:$F$2005,"Done",Appointments!$M$6:$M$2005,"&gt;"&amp;M1453)=0,1,0),0)</f>
        <v/>
      </c>
      <c r="O1453">
        <f>IF(AND(F1453="Booked",M1453&lt;&gt;"",N(B1453)&gt;=TODAY()),IF(COUNTIFS(Appointments!$D$6:$D$2005,D1453,Appointments!$F$6:$F$2005,"Booked",Appointments!$B$6:$B$2005,"&gt;="&amp;TODAY(),Appointments!$M$6:$M$2005,"&lt;"&amp;M1453)=0,1,0),0)</f>
        <v/>
      </c>
    </row>
    <row r="1454">
      <c r="A1454" s="1" t="n"/>
      <c r="B1454" s="30" t="n"/>
      <c r="C1454" s="31" t="n"/>
      <c r="D1454" s="32" t="n"/>
      <c r="E1454" s="32" t="n"/>
      <c r="F1454" s="33" t="n"/>
      <c r="G1454" s="27">
        <f>IF(E1454="","",MAX(0,IFERROR(INDEX(Services!$C$6:$C$35,MATCH(E1454,Services!$B$6:$B$35,0)),0)-N(H1454)))</f>
        <v/>
      </c>
      <c r="H1454" s="34" t="n"/>
      <c r="I1454" s="34" t="n"/>
      <c r="J1454" s="33" t="n"/>
      <c r="K1454" s="28">
        <f>IF(OR(B1454="",F1454&lt;&gt;"Done",J1454="Package"),"",IF(N(G1454)-N(I1454)&gt;0,N(G1454)-N(I1454),""))</f>
        <v/>
      </c>
      <c r="L1454" s="32" t="n"/>
      <c r="M1454" s="1">
        <f>IF(OR(B1454="",D1454="",F1454="Cancelled"),"",B1454+N(C1454)+ROW()/10000000)</f>
        <v/>
      </c>
      <c r="N1454">
        <f>IF(AND(F1454="Done",M1454&lt;&gt;""),IF(COUNTIFS(Appointments!$D$6:$D$2005,D1454,Appointments!$F$6:$F$2005,"Done",Appointments!$M$6:$M$2005,"&gt;"&amp;M1454)=0,1,0),0)</f>
        <v/>
      </c>
      <c r="O1454">
        <f>IF(AND(F1454="Booked",M1454&lt;&gt;"",N(B1454)&gt;=TODAY()),IF(COUNTIFS(Appointments!$D$6:$D$2005,D1454,Appointments!$F$6:$F$2005,"Booked",Appointments!$B$6:$B$2005,"&gt;="&amp;TODAY(),Appointments!$M$6:$M$2005,"&lt;"&amp;M1454)=0,1,0),0)</f>
        <v/>
      </c>
    </row>
    <row r="1455">
      <c r="A1455" s="1" t="n"/>
      <c r="B1455" s="30" t="n"/>
      <c r="C1455" s="31" t="n"/>
      <c r="D1455" s="32" t="n"/>
      <c r="E1455" s="32" t="n"/>
      <c r="F1455" s="33" t="n"/>
      <c r="G1455" s="27">
        <f>IF(E1455="","",MAX(0,IFERROR(INDEX(Services!$C$6:$C$35,MATCH(E1455,Services!$B$6:$B$35,0)),0)-N(H1455)))</f>
        <v/>
      </c>
      <c r="H1455" s="34" t="n"/>
      <c r="I1455" s="34" t="n"/>
      <c r="J1455" s="33" t="n"/>
      <c r="K1455" s="28">
        <f>IF(OR(B1455="",F1455&lt;&gt;"Done",J1455="Package"),"",IF(N(G1455)-N(I1455)&gt;0,N(G1455)-N(I1455),""))</f>
        <v/>
      </c>
      <c r="L1455" s="32" t="n"/>
      <c r="M1455" s="1">
        <f>IF(OR(B1455="",D1455="",F1455="Cancelled"),"",B1455+N(C1455)+ROW()/10000000)</f>
        <v/>
      </c>
      <c r="N1455">
        <f>IF(AND(F1455="Done",M1455&lt;&gt;""),IF(COUNTIFS(Appointments!$D$6:$D$2005,D1455,Appointments!$F$6:$F$2005,"Done",Appointments!$M$6:$M$2005,"&gt;"&amp;M1455)=0,1,0),0)</f>
        <v/>
      </c>
      <c r="O1455">
        <f>IF(AND(F1455="Booked",M1455&lt;&gt;"",N(B1455)&gt;=TODAY()),IF(COUNTIFS(Appointments!$D$6:$D$2005,D1455,Appointments!$F$6:$F$2005,"Booked",Appointments!$B$6:$B$2005,"&gt;="&amp;TODAY(),Appointments!$M$6:$M$2005,"&lt;"&amp;M1455)=0,1,0),0)</f>
        <v/>
      </c>
    </row>
    <row r="1456">
      <c r="A1456" s="1" t="n"/>
      <c r="B1456" s="30" t="n"/>
      <c r="C1456" s="31" t="n"/>
      <c r="D1456" s="32" t="n"/>
      <c r="E1456" s="32" t="n"/>
      <c r="F1456" s="33" t="n"/>
      <c r="G1456" s="27">
        <f>IF(E1456="","",MAX(0,IFERROR(INDEX(Services!$C$6:$C$35,MATCH(E1456,Services!$B$6:$B$35,0)),0)-N(H1456)))</f>
        <v/>
      </c>
      <c r="H1456" s="34" t="n"/>
      <c r="I1456" s="34" t="n"/>
      <c r="J1456" s="33" t="n"/>
      <c r="K1456" s="28">
        <f>IF(OR(B1456="",F1456&lt;&gt;"Done",J1456="Package"),"",IF(N(G1456)-N(I1456)&gt;0,N(G1456)-N(I1456),""))</f>
        <v/>
      </c>
      <c r="L1456" s="32" t="n"/>
      <c r="M1456" s="1">
        <f>IF(OR(B1456="",D1456="",F1456="Cancelled"),"",B1456+N(C1456)+ROW()/10000000)</f>
        <v/>
      </c>
      <c r="N1456">
        <f>IF(AND(F1456="Done",M1456&lt;&gt;""),IF(COUNTIFS(Appointments!$D$6:$D$2005,D1456,Appointments!$F$6:$F$2005,"Done",Appointments!$M$6:$M$2005,"&gt;"&amp;M1456)=0,1,0),0)</f>
        <v/>
      </c>
      <c r="O1456">
        <f>IF(AND(F1456="Booked",M1456&lt;&gt;"",N(B1456)&gt;=TODAY()),IF(COUNTIFS(Appointments!$D$6:$D$2005,D1456,Appointments!$F$6:$F$2005,"Booked",Appointments!$B$6:$B$2005,"&gt;="&amp;TODAY(),Appointments!$M$6:$M$2005,"&lt;"&amp;M1456)=0,1,0),0)</f>
        <v/>
      </c>
    </row>
    <row r="1457">
      <c r="A1457" s="1" t="n"/>
      <c r="B1457" s="30" t="n"/>
      <c r="C1457" s="31" t="n"/>
      <c r="D1457" s="32" t="n"/>
      <c r="E1457" s="32" t="n"/>
      <c r="F1457" s="33" t="n"/>
      <c r="G1457" s="27">
        <f>IF(E1457="","",MAX(0,IFERROR(INDEX(Services!$C$6:$C$35,MATCH(E1457,Services!$B$6:$B$35,0)),0)-N(H1457)))</f>
        <v/>
      </c>
      <c r="H1457" s="34" t="n"/>
      <c r="I1457" s="34" t="n"/>
      <c r="J1457" s="33" t="n"/>
      <c r="K1457" s="28">
        <f>IF(OR(B1457="",F1457&lt;&gt;"Done",J1457="Package"),"",IF(N(G1457)-N(I1457)&gt;0,N(G1457)-N(I1457),""))</f>
        <v/>
      </c>
      <c r="L1457" s="32" t="n"/>
      <c r="M1457" s="1">
        <f>IF(OR(B1457="",D1457="",F1457="Cancelled"),"",B1457+N(C1457)+ROW()/10000000)</f>
        <v/>
      </c>
      <c r="N1457">
        <f>IF(AND(F1457="Done",M1457&lt;&gt;""),IF(COUNTIFS(Appointments!$D$6:$D$2005,D1457,Appointments!$F$6:$F$2005,"Done",Appointments!$M$6:$M$2005,"&gt;"&amp;M1457)=0,1,0),0)</f>
        <v/>
      </c>
      <c r="O1457">
        <f>IF(AND(F1457="Booked",M1457&lt;&gt;"",N(B1457)&gt;=TODAY()),IF(COUNTIFS(Appointments!$D$6:$D$2005,D1457,Appointments!$F$6:$F$2005,"Booked",Appointments!$B$6:$B$2005,"&gt;="&amp;TODAY(),Appointments!$M$6:$M$2005,"&lt;"&amp;M1457)=0,1,0),0)</f>
        <v/>
      </c>
    </row>
    <row r="1458">
      <c r="A1458" s="1" t="n"/>
      <c r="B1458" s="30" t="n"/>
      <c r="C1458" s="31" t="n"/>
      <c r="D1458" s="32" t="n"/>
      <c r="E1458" s="32" t="n"/>
      <c r="F1458" s="33" t="n"/>
      <c r="G1458" s="27">
        <f>IF(E1458="","",MAX(0,IFERROR(INDEX(Services!$C$6:$C$35,MATCH(E1458,Services!$B$6:$B$35,0)),0)-N(H1458)))</f>
        <v/>
      </c>
      <c r="H1458" s="34" t="n"/>
      <c r="I1458" s="34" t="n"/>
      <c r="J1458" s="33" t="n"/>
      <c r="K1458" s="28">
        <f>IF(OR(B1458="",F1458&lt;&gt;"Done",J1458="Package"),"",IF(N(G1458)-N(I1458)&gt;0,N(G1458)-N(I1458),""))</f>
        <v/>
      </c>
      <c r="L1458" s="32" t="n"/>
      <c r="M1458" s="1">
        <f>IF(OR(B1458="",D1458="",F1458="Cancelled"),"",B1458+N(C1458)+ROW()/10000000)</f>
        <v/>
      </c>
      <c r="N1458">
        <f>IF(AND(F1458="Done",M1458&lt;&gt;""),IF(COUNTIFS(Appointments!$D$6:$D$2005,D1458,Appointments!$F$6:$F$2005,"Done",Appointments!$M$6:$M$2005,"&gt;"&amp;M1458)=0,1,0),0)</f>
        <v/>
      </c>
      <c r="O1458">
        <f>IF(AND(F1458="Booked",M1458&lt;&gt;"",N(B1458)&gt;=TODAY()),IF(COUNTIFS(Appointments!$D$6:$D$2005,D1458,Appointments!$F$6:$F$2005,"Booked",Appointments!$B$6:$B$2005,"&gt;="&amp;TODAY(),Appointments!$M$6:$M$2005,"&lt;"&amp;M1458)=0,1,0),0)</f>
        <v/>
      </c>
    </row>
    <row r="1459">
      <c r="A1459" s="1" t="n"/>
      <c r="B1459" s="30" t="n"/>
      <c r="C1459" s="31" t="n"/>
      <c r="D1459" s="32" t="n"/>
      <c r="E1459" s="32" t="n"/>
      <c r="F1459" s="33" t="n"/>
      <c r="G1459" s="27">
        <f>IF(E1459="","",MAX(0,IFERROR(INDEX(Services!$C$6:$C$35,MATCH(E1459,Services!$B$6:$B$35,0)),0)-N(H1459)))</f>
        <v/>
      </c>
      <c r="H1459" s="34" t="n"/>
      <c r="I1459" s="34" t="n"/>
      <c r="J1459" s="33" t="n"/>
      <c r="K1459" s="28">
        <f>IF(OR(B1459="",F1459&lt;&gt;"Done",J1459="Package"),"",IF(N(G1459)-N(I1459)&gt;0,N(G1459)-N(I1459),""))</f>
        <v/>
      </c>
      <c r="L1459" s="32" t="n"/>
      <c r="M1459" s="1">
        <f>IF(OR(B1459="",D1459="",F1459="Cancelled"),"",B1459+N(C1459)+ROW()/10000000)</f>
        <v/>
      </c>
      <c r="N1459">
        <f>IF(AND(F1459="Done",M1459&lt;&gt;""),IF(COUNTIFS(Appointments!$D$6:$D$2005,D1459,Appointments!$F$6:$F$2005,"Done",Appointments!$M$6:$M$2005,"&gt;"&amp;M1459)=0,1,0),0)</f>
        <v/>
      </c>
      <c r="O1459">
        <f>IF(AND(F1459="Booked",M1459&lt;&gt;"",N(B1459)&gt;=TODAY()),IF(COUNTIFS(Appointments!$D$6:$D$2005,D1459,Appointments!$F$6:$F$2005,"Booked",Appointments!$B$6:$B$2005,"&gt;="&amp;TODAY(),Appointments!$M$6:$M$2005,"&lt;"&amp;M1459)=0,1,0),0)</f>
        <v/>
      </c>
    </row>
    <row r="1460">
      <c r="A1460" s="1" t="n"/>
      <c r="B1460" s="30" t="n"/>
      <c r="C1460" s="31" t="n"/>
      <c r="D1460" s="32" t="n"/>
      <c r="E1460" s="32" t="n"/>
      <c r="F1460" s="33" t="n"/>
      <c r="G1460" s="27">
        <f>IF(E1460="","",MAX(0,IFERROR(INDEX(Services!$C$6:$C$35,MATCH(E1460,Services!$B$6:$B$35,0)),0)-N(H1460)))</f>
        <v/>
      </c>
      <c r="H1460" s="34" t="n"/>
      <c r="I1460" s="34" t="n"/>
      <c r="J1460" s="33" t="n"/>
      <c r="K1460" s="28">
        <f>IF(OR(B1460="",F1460&lt;&gt;"Done",J1460="Package"),"",IF(N(G1460)-N(I1460)&gt;0,N(G1460)-N(I1460),""))</f>
        <v/>
      </c>
      <c r="L1460" s="32" t="n"/>
      <c r="M1460" s="1">
        <f>IF(OR(B1460="",D1460="",F1460="Cancelled"),"",B1460+N(C1460)+ROW()/10000000)</f>
        <v/>
      </c>
      <c r="N1460">
        <f>IF(AND(F1460="Done",M1460&lt;&gt;""),IF(COUNTIFS(Appointments!$D$6:$D$2005,D1460,Appointments!$F$6:$F$2005,"Done",Appointments!$M$6:$M$2005,"&gt;"&amp;M1460)=0,1,0),0)</f>
        <v/>
      </c>
      <c r="O1460">
        <f>IF(AND(F1460="Booked",M1460&lt;&gt;"",N(B1460)&gt;=TODAY()),IF(COUNTIFS(Appointments!$D$6:$D$2005,D1460,Appointments!$F$6:$F$2005,"Booked",Appointments!$B$6:$B$2005,"&gt;="&amp;TODAY(),Appointments!$M$6:$M$2005,"&lt;"&amp;M1460)=0,1,0),0)</f>
        <v/>
      </c>
    </row>
    <row r="1461">
      <c r="A1461" s="1" t="n"/>
      <c r="B1461" s="30" t="n"/>
      <c r="C1461" s="31" t="n"/>
      <c r="D1461" s="32" t="n"/>
      <c r="E1461" s="32" t="n"/>
      <c r="F1461" s="33" t="n"/>
      <c r="G1461" s="27">
        <f>IF(E1461="","",MAX(0,IFERROR(INDEX(Services!$C$6:$C$35,MATCH(E1461,Services!$B$6:$B$35,0)),0)-N(H1461)))</f>
        <v/>
      </c>
      <c r="H1461" s="34" t="n"/>
      <c r="I1461" s="34" t="n"/>
      <c r="J1461" s="33" t="n"/>
      <c r="K1461" s="28">
        <f>IF(OR(B1461="",F1461&lt;&gt;"Done",J1461="Package"),"",IF(N(G1461)-N(I1461)&gt;0,N(G1461)-N(I1461),""))</f>
        <v/>
      </c>
      <c r="L1461" s="32" t="n"/>
      <c r="M1461" s="1">
        <f>IF(OR(B1461="",D1461="",F1461="Cancelled"),"",B1461+N(C1461)+ROW()/10000000)</f>
        <v/>
      </c>
      <c r="N1461">
        <f>IF(AND(F1461="Done",M1461&lt;&gt;""),IF(COUNTIFS(Appointments!$D$6:$D$2005,D1461,Appointments!$F$6:$F$2005,"Done",Appointments!$M$6:$M$2005,"&gt;"&amp;M1461)=0,1,0),0)</f>
        <v/>
      </c>
      <c r="O1461">
        <f>IF(AND(F1461="Booked",M1461&lt;&gt;"",N(B1461)&gt;=TODAY()),IF(COUNTIFS(Appointments!$D$6:$D$2005,D1461,Appointments!$F$6:$F$2005,"Booked",Appointments!$B$6:$B$2005,"&gt;="&amp;TODAY(),Appointments!$M$6:$M$2005,"&lt;"&amp;M1461)=0,1,0),0)</f>
        <v/>
      </c>
    </row>
    <row r="1462">
      <c r="A1462" s="1" t="n"/>
      <c r="B1462" s="30" t="n"/>
      <c r="C1462" s="31" t="n"/>
      <c r="D1462" s="32" t="n"/>
      <c r="E1462" s="32" t="n"/>
      <c r="F1462" s="33" t="n"/>
      <c r="G1462" s="27">
        <f>IF(E1462="","",MAX(0,IFERROR(INDEX(Services!$C$6:$C$35,MATCH(E1462,Services!$B$6:$B$35,0)),0)-N(H1462)))</f>
        <v/>
      </c>
      <c r="H1462" s="34" t="n"/>
      <c r="I1462" s="34" t="n"/>
      <c r="J1462" s="33" t="n"/>
      <c r="K1462" s="28">
        <f>IF(OR(B1462="",F1462&lt;&gt;"Done",J1462="Package"),"",IF(N(G1462)-N(I1462)&gt;0,N(G1462)-N(I1462),""))</f>
        <v/>
      </c>
      <c r="L1462" s="32" t="n"/>
      <c r="M1462" s="1">
        <f>IF(OR(B1462="",D1462="",F1462="Cancelled"),"",B1462+N(C1462)+ROW()/10000000)</f>
        <v/>
      </c>
      <c r="N1462">
        <f>IF(AND(F1462="Done",M1462&lt;&gt;""),IF(COUNTIFS(Appointments!$D$6:$D$2005,D1462,Appointments!$F$6:$F$2005,"Done",Appointments!$M$6:$M$2005,"&gt;"&amp;M1462)=0,1,0),0)</f>
        <v/>
      </c>
      <c r="O1462">
        <f>IF(AND(F1462="Booked",M1462&lt;&gt;"",N(B1462)&gt;=TODAY()),IF(COUNTIFS(Appointments!$D$6:$D$2005,D1462,Appointments!$F$6:$F$2005,"Booked",Appointments!$B$6:$B$2005,"&gt;="&amp;TODAY(),Appointments!$M$6:$M$2005,"&lt;"&amp;M1462)=0,1,0),0)</f>
        <v/>
      </c>
    </row>
    <row r="1463">
      <c r="A1463" s="1" t="n"/>
      <c r="B1463" s="30" t="n"/>
      <c r="C1463" s="31" t="n"/>
      <c r="D1463" s="32" t="n"/>
      <c r="E1463" s="32" t="n"/>
      <c r="F1463" s="33" t="n"/>
      <c r="G1463" s="27">
        <f>IF(E1463="","",MAX(0,IFERROR(INDEX(Services!$C$6:$C$35,MATCH(E1463,Services!$B$6:$B$35,0)),0)-N(H1463)))</f>
        <v/>
      </c>
      <c r="H1463" s="34" t="n"/>
      <c r="I1463" s="34" t="n"/>
      <c r="J1463" s="33" t="n"/>
      <c r="K1463" s="28">
        <f>IF(OR(B1463="",F1463&lt;&gt;"Done",J1463="Package"),"",IF(N(G1463)-N(I1463)&gt;0,N(G1463)-N(I1463),""))</f>
        <v/>
      </c>
      <c r="L1463" s="32" t="n"/>
      <c r="M1463" s="1">
        <f>IF(OR(B1463="",D1463="",F1463="Cancelled"),"",B1463+N(C1463)+ROW()/10000000)</f>
        <v/>
      </c>
      <c r="N1463">
        <f>IF(AND(F1463="Done",M1463&lt;&gt;""),IF(COUNTIFS(Appointments!$D$6:$D$2005,D1463,Appointments!$F$6:$F$2005,"Done",Appointments!$M$6:$M$2005,"&gt;"&amp;M1463)=0,1,0),0)</f>
        <v/>
      </c>
      <c r="O1463">
        <f>IF(AND(F1463="Booked",M1463&lt;&gt;"",N(B1463)&gt;=TODAY()),IF(COUNTIFS(Appointments!$D$6:$D$2005,D1463,Appointments!$F$6:$F$2005,"Booked",Appointments!$B$6:$B$2005,"&gt;="&amp;TODAY(),Appointments!$M$6:$M$2005,"&lt;"&amp;M1463)=0,1,0),0)</f>
        <v/>
      </c>
    </row>
    <row r="1464">
      <c r="A1464" s="1" t="n"/>
      <c r="B1464" s="30" t="n"/>
      <c r="C1464" s="31" t="n"/>
      <c r="D1464" s="32" t="n"/>
      <c r="E1464" s="32" t="n"/>
      <c r="F1464" s="33" t="n"/>
      <c r="G1464" s="27">
        <f>IF(E1464="","",MAX(0,IFERROR(INDEX(Services!$C$6:$C$35,MATCH(E1464,Services!$B$6:$B$35,0)),0)-N(H1464)))</f>
        <v/>
      </c>
      <c r="H1464" s="34" t="n"/>
      <c r="I1464" s="34" t="n"/>
      <c r="J1464" s="33" t="n"/>
      <c r="K1464" s="28">
        <f>IF(OR(B1464="",F1464&lt;&gt;"Done",J1464="Package"),"",IF(N(G1464)-N(I1464)&gt;0,N(G1464)-N(I1464),""))</f>
        <v/>
      </c>
      <c r="L1464" s="32" t="n"/>
      <c r="M1464" s="1">
        <f>IF(OR(B1464="",D1464="",F1464="Cancelled"),"",B1464+N(C1464)+ROW()/10000000)</f>
        <v/>
      </c>
      <c r="N1464">
        <f>IF(AND(F1464="Done",M1464&lt;&gt;""),IF(COUNTIFS(Appointments!$D$6:$D$2005,D1464,Appointments!$F$6:$F$2005,"Done",Appointments!$M$6:$M$2005,"&gt;"&amp;M1464)=0,1,0),0)</f>
        <v/>
      </c>
      <c r="O1464">
        <f>IF(AND(F1464="Booked",M1464&lt;&gt;"",N(B1464)&gt;=TODAY()),IF(COUNTIFS(Appointments!$D$6:$D$2005,D1464,Appointments!$F$6:$F$2005,"Booked",Appointments!$B$6:$B$2005,"&gt;="&amp;TODAY(),Appointments!$M$6:$M$2005,"&lt;"&amp;M1464)=0,1,0),0)</f>
        <v/>
      </c>
    </row>
    <row r="1465">
      <c r="A1465" s="1" t="n"/>
      <c r="B1465" s="30" t="n"/>
      <c r="C1465" s="31" t="n"/>
      <c r="D1465" s="32" t="n"/>
      <c r="E1465" s="32" t="n"/>
      <c r="F1465" s="33" t="n"/>
      <c r="G1465" s="27">
        <f>IF(E1465="","",MAX(0,IFERROR(INDEX(Services!$C$6:$C$35,MATCH(E1465,Services!$B$6:$B$35,0)),0)-N(H1465)))</f>
        <v/>
      </c>
      <c r="H1465" s="34" t="n"/>
      <c r="I1465" s="34" t="n"/>
      <c r="J1465" s="33" t="n"/>
      <c r="K1465" s="28">
        <f>IF(OR(B1465="",F1465&lt;&gt;"Done",J1465="Package"),"",IF(N(G1465)-N(I1465)&gt;0,N(G1465)-N(I1465),""))</f>
        <v/>
      </c>
      <c r="L1465" s="32" t="n"/>
      <c r="M1465" s="1">
        <f>IF(OR(B1465="",D1465="",F1465="Cancelled"),"",B1465+N(C1465)+ROW()/10000000)</f>
        <v/>
      </c>
      <c r="N1465">
        <f>IF(AND(F1465="Done",M1465&lt;&gt;""),IF(COUNTIFS(Appointments!$D$6:$D$2005,D1465,Appointments!$F$6:$F$2005,"Done",Appointments!$M$6:$M$2005,"&gt;"&amp;M1465)=0,1,0),0)</f>
        <v/>
      </c>
      <c r="O1465">
        <f>IF(AND(F1465="Booked",M1465&lt;&gt;"",N(B1465)&gt;=TODAY()),IF(COUNTIFS(Appointments!$D$6:$D$2005,D1465,Appointments!$F$6:$F$2005,"Booked",Appointments!$B$6:$B$2005,"&gt;="&amp;TODAY(),Appointments!$M$6:$M$2005,"&lt;"&amp;M1465)=0,1,0),0)</f>
        <v/>
      </c>
    </row>
    <row r="1466">
      <c r="A1466" s="1" t="n"/>
      <c r="B1466" s="30" t="n"/>
      <c r="C1466" s="31" t="n"/>
      <c r="D1466" s="32" t="n"/>
      <c r="E1466" s="32" t="n"/>
      <c r="F1466" s="33" t="n"/>
      <c r="G1466" s="27">
        <f>IF(E1466="","",MAX(0,IFERROR(INDEX(Services!$C$6:$C$35,MATCH(E1466,Services!$B$6:$B$35,0)),0)-N(H1466)))</f>
        <v/>
      </c>
      <c r="H1466" s="34" t="n"/>
      <c r="I1466" s="34" t="n"/>
      <c r="J1466" s="33" t="n"/>
      <c r="K1466" s="28">
        <f>IF(OR(B1466="",F1466&lt;&gt;"Done",J1466="Package"),"",IF(N(G1466)-N(I1466)&gt;0,N(G1466)-N(I1466),""))</f>
        <v/>
      </c>
      <c r="L1466" s="32" t="n"/>
      <c r="M1466" s="1">
        <f>IF(OR(B1466="",D1466="",F1466="Cancelled"),"",B1466+N(C1466)+ROW()/10000000)</f>
        <v/>
      </c>
      <c r="N1466">
        <f>IF(AND(F1466="Done",M1466&lt;&gt;""),IF(COUNTIFS(Appointments!$D$6:$D$2005,D1466,Appointments!$F$6:$F$2005,"Done",Appointments!$M$6:$M$2005,"&gt;"&amp;M1466)=0,1,0),0)</f>
        <v/>
      </c>
      <c r="O1466">
        <f>IF(AND(F1466="Booked",M1466&lt;&gt;"",N(B1466)&gt;=TODAY()),IF(COUNTIFS(Appointments!$D$6:$D$2005,D1466,Appointments!$F$6:$F$2005,"Booked",Appointments!$B$6:$B$2005,"&gt;="&amp;TODAY(),Appointments!$M$6:$M$2005,"&lt;"&amp;M1466)=0,1,0),0)</f>
        <v/>
      </c>
    </row>
    <row r="1467">
      <c r="A1467" s="1" t="n"/>
      <c r="B1467" s="30" t="n"/>
      <c r="C1467" s="31" t="n"/>
      <c r="D1467" s="32" t="n"/>
      <c r="E1467" s="32" t="n"/>
      <c r="F1467" s="33" t="n"/>
      <c r="G1467" s="27">
        <f>IF(E1467="","",MAX(0,IFERROR(INDEX(Services!$C$6:$C$35,MATCH(E1467,Services!$B$6:$B$35,0)),0)-N(H1467)))</f>
        <v/>
      </c>
      <c r="H1467" s="34" t="n"/>
      <c r="I1467" s="34" t="n"/>
      <c r="J1467" s="33" t="n"/>
      <c r="K1467" s="28">
        <f>IF(OR(B1467="",F1467&lt;&gt;"Done",J1467="Package"),"",IF(N(G1467)-N(I1467)&gt;0,N(G1467)-N(I1467),""))</f>
        <v/>
      </c>
      <c r="L1467" s="32" t="n"/>
      <c r="M1467" s="1">
        <f>IF(OR(B1467="",D1467="",F1467="Cancelled"),"",B1467+N(C1467)+ROW()/10000000)</f>
        <v/>
      </c>
      <c r="N1467">
        <f>IF(AND(F1467="Done",M1467&lt;&gt;""),IF(COUNTIFS(Appointments!$D$6:$D$2005,D1467,Appointments!$F$6:$F$2005,"Done",Appointments!$M$6:$M$2005,"&gt;"&amp;M1467)=0,1,0),0)</f>
        <v/>
      </c>
      <c r="O1467">
        <f>IF(AND(F1467="Booked",M1467&lt;&gt;"",N(B1467)&gt;=TODAY()),IF(COUNTIFS(Appointments!$D$6:$D$2005,D1467,Appointments!$F$6:$F$2005,"Booked",Appointments!$B$6:$B$2005,"&gt;="&amp;TODAY(),Appointments!$M$6:$M$2005,"&lt;"&amp;M1467)=0,1,0),0)</f>
        <v/>
      </c>
    </row>
    <row r="1468">
      <c r="A1468" s="1" t="n"/>
      <c r="B1468" s="30" t="n"/>
      <c r="C1468" s="31" t="n"/>
      <c r="D1468" s="32" t="n"/>
      <c r="E1468" s="32" t="n"/>
      <c r="F1468" s="33" t="n"/>
      <c r="G1468" s="27">
        <f>IF(E1468="","",MAX(0,IFERROR(INDEX(Services!$C$6:$C$35,MATCH(E1468,Services!$B$6:$B$35,0)),0)-N(H1468)))</f>
        <v/>
      </c>
      <c r="H1468" s="34" t="n"/>
      <c r="I1468" s="34" t="n"/>
      <c r="J1468" s="33" t="n"/>
      <c r="K1468" s="28">
        <f>IF(OR(B1468="",F1468&lt;&gt;"Done",J1468="Package"),"",IF(N(G1468)-N(I1468)&gt;0,N(G1468)-N(I1468),""))</f>
        <v/>
      </c>
      <c r="L1468" s="32" t="n"/>
      <c r="M1468" s="1">
        <f>IF(OR(B1468="",D1468="",F1468="Cancelled"),"",B1468+N(C1468)+ROW()/10000000)</f>
        <v/>
      </c>
      <c r="N1468">
        <f>IF(AND(F1468="Done",M1468&lt;&gt;""),IF(COUNTIFS(Appointments!$D$6:$D$2005,D1468,Appointments!$F$6:$F$2005,"Done",Appointments!$M$6:$M$2005,"&gt;"&amp;M1468)=0,1,0),0)</f>
        <v/>
      </c>
      <c r="O1468">
        <f>IF(AND(F1468="Booked",M1468&lt;&gt;"",N(B1468)&gt;=TODAY()),IF(COUNTIFS(Appointments!$D$6:$D$2005,D1468,Appointments!$F$6:$F$2005,"Booked",Appointments!$B$6:$B$2005,"&gt;="&amp;TODAY(),Appointments!$M$6:$M$2005,"&lt;"&amp;M1468)=0,1,0),0)</f>
        <v/>
      </c>
    </row>
    <row r="1469">
      <c r="A1469" s="1" t="n"/>
      <c r="B1469" s="30" t="n"/>
      <c r="C1469" s="31" t="n"/>
      <c r="D1469" s="32" t="n"/>
      <c r="E1469" s="32" t="n"/>
      <c r="F1469" s="33" t="n"/>
      <c r="G1469" s="27">
        <f>IF(E1469="","",MAX(0,IFERROR(INDEX(Services!$C$6:$C$35,MATCH(E1469,Services!$B$6:$B$35,0)),0)-N(H1469)))</f>
        <v/>
      </c>
      <c r="H1469" s="34" t="n"/>
      <c r="I1469" s="34" t="n"/>
      <c r="J1469" s="33" t="n"/>
      <c r="K1469" s="28">
        <f>IF(OR(B1469="",F1469&lt;&gt;"Done",J1469="Package"),"",IF(N(G1469)-N(I1469)&gt;0,N(G1469)-N(I1469),""))</f>
        <v/>
      </c>
      <c r="L1469" s="32" t="n"/>
      <c r="M1469" s="1">
        <f>IF(OR(B1469="",D1469="",F1469="Cancelled"),"",B1469+N(C1469)+ROW()/10000000)</f>
        <v/>
      </c>
      <c r="N1469">
        <f>IF(AND(F1469="Done",M1469&lt;&gt;""),IF(COUNTIFS(Appointments!$D$6:$D$2005,D1469,Appointments!$F$6:$F$2005,"Done",Appointments!$M$6:$M$2005,"&gt;"&amp;M1469)=0,1,0),0)</f>
        <v/>
      </c>
      <c r="O1469">
        <f>IF(AND(F1469="Booked",M1469&lt;&gt;"",N(B1469)&gt;=TODAY()),IF(COUNTIFS(Appointments!$D$6:$D$2005,D1469,Appointments!$F$6:$F$2005,"Booked",Appointments!$B$6:$B$2005,"&gt;="&amp;TODAY(),Appointments!$M$6:$M$2005,"&lt;"&amp;M1469)=0,1,0),0)</f>
        <v/>
      </c>
    </row>
    <row r="1470">
      <c r="A1470" s="1" t="n"/>
      <c r="B1470" s="30" t="n"/>
      <c r="C1470" s="31" t="n"/>
      <c r="D1470" s="32" t="n"/>
      <c r="E1470" s="32" t="n"/>
      <c r="F1470" s="33" t="n"/>
      <c r="G1470" s="27">
        <f>IF(E1470="","",MAX(0,IFERROR(INDEX(Services!$C$6:$C$35,MATCH(E1470,Services!$B$6:$B$35,0)),0)-N(H1470)))</f>
        <v/>
      </c>
      <c r="H1470" s="34" t="n"/>
      <c r="I1470" s="34" t="n"/>
      <c r="J1470" s="33" t="n"/>
      <c r="K1470" s="28">
        <f>IF(OR(B1470="",F1470&lt;&gt;"Done",J1470="Package"),"",IF(N(G1470)-N(I1470)&gt;0,N(G1470)-N(I1470),""))</f>
        <v/>
      </c>
      <c r="L1470" s="32" t="n"/>
      <c r="M1470" s="1">
        <f>IF(OR(B1470="",D1470="",F1470="Cancelled"),"",B1470+N(C1470)+ROW()/10000000)</f>
        <v/>
      </c>
      <c r="N1470">
        <f>IF(AND(F1470="Done",M1470&lt;&gt;""),IF(COUNTIFS(Appointments!$D$6:$D$2005,D1470,Appointments!$F$6:$F$2005,"Done",Appointments!$M$6:$M$2005,"&gt;"&amp;M1470)=0,1,0),0)</f>
        <v/>
      </c>
      <c r="O1470">
        <f>IF(AND(F1470="Booked",M1470&lt;&gt;"",N(B1470)&gt;=TODAY()),IF(COUNTIFS(Appointments!$D$6:$D$2005,D1470,Appointments!$F$6:$F$2005,"Booked",Appointments!$B$6:$B$2005,"&gt;="&amp;TODAY(),Appointments!$M$6:$M$2005,"&lt;"&amp;M1470)=0,1,0),0)</f>
        <v/>
      </c>
    </row>
    <row r="1471">
      <c r="A1471" s="1" t="n"/>
      <c r="B1471" s="30" t="n"/>
      <c r="C1471" s="31" t="n"/>
      <c r="D1471" s="32" t="n"/>
      <c r="E1471" s="32" t="n"/>
      <c r="F1471" s="33" t="n"/>
      <c r="G1471" s="27">
        <f>IF(E1471="","",MAX(0,IFERROR(INDEX(Services!$C$6:$C$35,MATCH(E1471,Services!$B$6:$B$35,0)),0)-N(H1471)))</f>
        <v/>
      </c>
      <c r="H1471" s="34" t="n"/>
      <c r="I1471" s="34" t="n"/>
      <c r="J1471" s="33" t="n"/>
      <c r="K1471" s="28">
        <f>IF(OR(B1471="",F1471&lt;&gt;"Done",J1471="Package"),"",IF(N(G1471)-N(I1471)&gt;0,N(G1471)-N(I1471),""))</f>
        <v/>
      </c>
      <c r="L1471" s="32" t="n"/>
      <c r="M1471" s="1">
        <f>IF(OR(B1471="",D1471="",F1471="Cancelled"),"",B1471+N(C1471)+ROW()/10000000)</f>
        <v/>
      </c>
      <c r="N1471">
        <f>IF(AND(F1471="Done",M1471&lt;&gt;""),IF(COUNTIFS(Appointments!$D$6:$D$2005,D1471,Appointments!$F$6:$F$2005,"Done",Appointments!$M$6:$M$2005,"&gt;"&amp;M1471)=0,1,0),0)</f>
        <v/>
      </c>
      <c r="O1471">
        <f>IF(AND(F1471="Booked",M1471&lt;&gt;"",N(B1471)&gt;=TODAY()),IF(COUNTIFS(Appointments!$D$6:$D$2005,D1471,Appointments!$F$6:$F$2005,"Booked",Appointments!$B$6:$B$2005,"&gt;="&amp;TODAY(),Appointments!$M$6:$M$2005,"&lt;"&amp;M1471)=0,1,0),0)</f>
        <v/>
      </c>
    </row>
    <row r="1472">
      <c r="A1472" s="1" t="n"/>
      <c r="B1472" s="30" t="n"/>
      <c r="C1472" s="31" t="n"/>
      <c r="D1472" s="32" t="n"/>
      <c r="E1472" s="32" t="n"/>
      <c r="F1472" s="33" t="n"/>
      <c r="G1472" s="27">
        <f>IF(E1472="","",MAX(0,IFERROR(INDEX(Services!$C$6:$C$35,MATCH(E1472,Services!$B$6:$B$35,0)),0)-N(H1472)))</f>
        <v/>
      </c>
      <c r="H1472" s="34" t="n"/>
      <c r="I1472" s="34" t="n"/>
      <c r="J1472" s="33" t="n"/>
      <c r="K1472" s="28">
        <f>IF(OR(B1472="",F1472&lt;&gt;"Done",J1472="Package"),"",IF(N(G1472)-N(I1472)&gt;0,N(G1472)-N(I1472),""))</f>
        <v/>
      </c>
      <c r="L1472" s="32" t="n"/>
      <c r="M1472" s="1">
        <f>IF(OR(B1472="",D1472="",F1472="Cancelled"),"",B1472+N(C1472)+ROW()/10000000)</f>
        <v/>
      </c>
      <c r="N1472">
        <f>IF(AND(F1472="Done",M1472&lt;&gt;""),IF(COUNTIFS(Appointments!$D$6:$D$2005,D1472,Appointments!$F$6:$F$2005,"Done",Appointments!$M$6:$M$2005,"&gt;"&amp;M1472)=0,1,0),0)</f>
        <v/>
      </c>
      <c r="O1472">
        <f>IF(AND(F1472="Booked",M1472&lt;&gt;"",N(B1472)&gt;=TODAY()),IF(COUNTIFS(Appointments!$D$6:$D$2005,D1472,Appointments!$F$6:$F$2005,"Booked",Appointments!$B$6:$B$2005,"&gt;="&amp;TODAY(),Appointments!$M$6:$M$2005,"&lt;"&amp;M1472)=0,1,0),0)</f>
        <v/>
      </c>
    </row>
    <row r="1473">
      <c r="A1473" s="1" t="n"/>
      <c r="B1473" s="30" t="n"/>
      <c r="C1473" s="31" t="n"/>
      <c r="D1473" s="32" t="n"/>
      <c r="E1473" s="32" t="n"/>
      <c r="F1473" s="33" t="n"/>
      <c r="G1473" s="27">
        <f>IF(E1473="","",MAX(0,IFERROR(INDEX(Services!$C$6:$C$35,MATCH(E1473,Services!$B$6:$B$35,0)),0)-N(H1473)))</f>
        <v/>
      </c>
      <c r="H1473" s="34" t="n"/>
      <c r="I1473" s="34" t="n"/>
      <c r="J1473" s="33" t="n"/>
      <c r="K1473" s="28">
        <f>IF(OR(B1473="",F1473&lt;&gt;"Done",J1473="Package"),"",IF(N(G1473)-N(I1473)&gt;0,N(G1473)-N(I1473),""))</f>
        <v/>
      </c>
      <c r="L1473" s="32" t="n"/>
      <c r="M1473" s="1">
        <f>IF(OR(B1473="",D1473="",F1473="Cancelled"),"",B1473+N(C1473)+ROW()/10000000)</f>
        <v/>
      </c>
      <c r="N1473">
        <f>IF(AND(F1473="Done",M1473&lt;&gt;""),IF(COUNTIFS(Appointments!$D$6:$D$2005,D1473,Appointments!$F$6:$F$2005,"Done",Appointments!$M$6:$M$2005,"&gt;"&amp;M1473)=0,1,0),0)</f>
        <v/>
      </c>
      <c r="O1473">
        <f>IF(AND(F1473="Booked",M1473&lt;&gt;"",N(B1473)&gt;=TODAY()),IF(COUNTIFS(Appointments!$D$6:$D$2005,D1473,Appointments!$F$6:$F$2005,"Booked",Appointments!$B$6:$B$2005,"&gt;="&amp;TODAY(),Appointments!$M$6:$M$2005,"&lt;"&amp;M1473)=0,1,0),0)</f>
        <v/>
      </c>
    </row>
    <row r="1474">
      <c r="A1474" s="1" t="n"/>
      <c r="B1474" s="30" t="n"/>
      <c r="C1474" s="31" t="n"/>
      <c r="D1474" s="32" t="n"/>
      <c r="E1474" s="32" t="n"/>
      <c r="F1474" s="33" t="n"/>
      <c r="G1474" s="27">
        <f>IF(E1474="","",MAX(0,IFERROR(INDEX(Services!$C$6:$C$35,MATCH(E1474,Services!$B$6:$B$35,0)),0)-N(H1474)))</f>
        <v/>
      </c>
      <c r="H1474" s="34" t="n"/>
      <c r="I1474" s="34" t="n"/>
      <c r="J1474" s="33" t="n"/>
      <c r="K1474" s="28">
        <f>IF(OR(B1474="",F1474&lt;&gt;"Done",J1474="Package"),"",IF(N(G1474)-N(I1474)&gt;0,N(G1474)-N(I1474),""))</f>
        <v/>
      </c>
      <c r="L1474" s="32" t="n"/>
      <c r="M1474" s="1">
        <f>IF(OR(B1474="",D1474="",F1474="Cancelled"),"",B1474+N(C1474)+ROW()/10000000)</f>
        <v/>
      </c>
      <c r="N1474">
        <f>IF(AND(F1474="Done",M1474&lt;&gt;""),IF(COUNTIFS(Appointments!$D$6:$D$2005,D1474,Appointments!$F$6:$F$2005,"Done",Appointments!$M$6:$M$2005,"&gt;"&amp;M1474)=0,1,0),0)</f>
        <v/>
      </c>
      <c r="O1474">
        <f>IF(AND(F1474="Booked",M1474&lt;&gt;"",N(B1474)&gt;=TODAY()),IF(COUNTIFS(Appointments!$D$6:$D$2005,D1474,Appointments!$F$6:$F$2005,"Booked",Appointments!$B$6:$B$2005,"&gt;="&amp;TODAY(),Appointments!$M$6:$M$2005,"&lt;"&amp;M1474)=0,1,0),0)</f>
        <v/>
      </c>
    </row>
    <row r="1475">
      <c r="A1475" s="1" t="n"/>
      <c r="B1475" s="30" t="n"/>
      <c r="C1475" s="31" t="n"/>
      <c r="D1475" s="32" t="n"/>
      <c r="E1475" s="32" t="n"/>
      <c r="F1475" s="33" t="n"/>
      <c r="G1475" s="27">
        <f>IF(E1475="","",MAX(0,IFERROR(INDEX(Services!$C$6:$C$35,MATCH(E1475,Services!$B$6:$B$35,0)),0)-N(H1475)))</f>
        <v/>
      </c>
      <c r="H1475" s="34" t="n"/>
      <c r="I1475" s="34" t="n"/>
      <c r="J1475" s="33" t="n"/>
      <c r="K1475" s="28">
        <f>IF(OR(B1475="",F1475&lt;&gt;"Done",J1475="Package"),"",IF(N(G1475)-N(I1475)&gt;0,N(G1475)-N(I1475),""))</f>
        <v/>
      </c>
      <c r="L1475" s="32" t="n"/>
      <c r="M1475" s="1">
        <f>IF(OR(B1475="",D1475="",F1475="Cancelled"),"",B1475+N(C1475)+ROW()/10000000)</f>
        <v/>
      </c>
      <c r="N1475">
        <f>IF(AND(F1475="Done",M1475&lt;&gt;""),IF(COUNTIFS(Appointments!$D$6:$D$2005,D1475,Appointments!$F$6:$F$2005,"Done",Appointments!$M$6:$M$2005,"&gt;"&amp;M1475)=0,1,0),0)</f>
        <v/>
      </c>
      <c r="O1475">
        <f>IF(AND(F1475="Booked",M1475&lt;&gt;"",N(B1475)&gt;=TODAY()),IF(COUNTIFS(Appointments!$D$6:$D$2005,D1475,Appointments!$F$6:$F$2005,"Booked",Appointments!$B$6:$B$2005,"&gt;="&amp;TODAY(),Appointments!$M$6:$M$2005,"&lt;"&amp;M1475)=0,1,0),0)</f>
        <v/>
      </c>
    </row>
    <row r="1476">
      <c r="A1476" s="1" t="n"/>
      <c r="B1476" s="30" t="n"/>
      <c r="C1476" s="31" t="n"/>
      <c r="D1476" s="32" t="n"/>
      <c r="E1476" s="32" t="n"/>
      <c r="F1476" s="33" t="n"/>
      <c r="G1476" s="27">
        <f>IF(E1476="","",MAX(0,IFERROR(INDEX(Services!$C$6:$C$35,MATCH(E1476,Services!$B$6:$B$35,0)),0)-N(H1476)))</f>
        <v/>
      </c>
      <c r="H1476" s="34" t="n"/>
      <c r="I1476" s="34" t="n"/>
      <c r="J1476" s="33" t="n"/>
      <c r="K1476" s="28">
        <f>IF(OR(B1476="",F1476&lt;&gt;"Done",J1476="Package"),"",IF(N(G1476)-N(I1476)&gt;0,N(G1476)-N(I1476),""))</f>
        <v/>
      </c>
      <c r="L1476" s="32" t="n"/>
      <c r="M1476" s="1">
        <f>IF(OR(B1476="",D1476="",F1476="Cancelled"),"",B1476+N(C1476)+ROW()/10000000)</f>
        <v/>
      </c>
      <c r="N1476">
        <f>IF(AND(F1476="Done",M1476&lt;&gt;""),IF(COUNTIFS(Appointments!$D$6:$D$2005,D1476,Appointments!$F$6:$F$2005,"Done",Appointments!$M$6:$M$2005,"&gt;"&amp;M1476)=0,1,0),0)</f>
        <v/>
      </c>
      <c r="O1476">
        <f>IF(AND(F1476="Booked",M1476&lt;&gt;"",N(B1476)&gt;=TODAY()),IF(COUNTIFS(Appointments!$D$6:$D$2005,D1476,Appointments!$F$6:$F$2005,"Booked",Appointments!$B$6:$B$2005,"&gt;="&amp;TODAY(),Appointments!$M$6:$M$2005,"&lt;"&amp;M1476)=0,1,0),0)</f>
        <v/>
      </c>
    </row>
    <row r="1477">
      <c r="A1477" s="1" t="n"/>
      <c r="B1477" s="30" t="n"/>
      <c r="C1477" s="31" t="n"/>
      <c r="D1477" s="32" t="n"/>
      <c r="E1477" s="32" t="n"/>
      <c r="F1477" s="33" t="n"/>
      <c r="G1477" s="27">
        <f>IF(E1477="","",MAX(0,IFERROR(INDEX(Services!$C$6:$C$35,MATCH(E1477,Services!$B$6:$B$35,0)),0)-N(H1477)))</f>
        <v/>
      </c>
      <c r="H1477" s="34" t="n"/>
      <c r="I1477" s="34" t="n"/>
      <c r="J1477" s="33" t="n"/>
      <c r="K1477" s="28">
        <f>IF(OR(B1477="",F1477&lt;&gt;"Done",J1477="Package"),"",IF(N(G1477)-N(I1477)&gt;0,N(G1477)-N(I1477),""))</f>
        <v/>
      </c>
      <c r="L1477" s="32" t="n"/>
      <c r="M1477" s="1">
        <f>IF(OR(B1477="",D1477="",F1477="Cancelled"),"",B1477+N(C1477)+ROW()/10000000)</f>
        <v/>
      </c>
      <c r="N1477">
        <f>IF(AND(F1477="Done",M1477&lt;&gt;""),IF(COUNTIFS(Appointments!$D$6:$D$2005,D1477,Appointments!$F$6:$F$2005,"Done",Appointments!$M$6:$M$2005,"&gt;"&amp;M1477)=0,1,0),0)</f>
        <v/>
      </c>
      <c r="O1477">
        <f>IF(AND(F1477="Booked",M1477&lt;&gt;"",N(B1477)&gt;=TODAY()),IF(COUNTIFS(Appointments!$D$6:$D$2005,D1477,Appointments!$F$6:$F$2005,"Booked",Appointments!$B$6:$B$2005,"&gt;="&amp;TODAY(),Appointments!$M$6:$M$2005,"&lt;"&amp;M1477)=0,1,0),0)</f>
        <v/>
      </c>
    </row>
    <row r="1478">
      <c r="A1478" s="1" t="n"/>
      <c r="B1478" s="30" t="n"/>
      <c r="C1478" s="31" t="n"/>
      <c r="D1478" s="32" t="n"/>
      <c r="E1478" s="32" t="n"/>
      <c r="F1478" s="33" t="n"/>
      <c r="G1478" s="27">
        <f>IF(E1478="","",MAX(0,IFERROR(INDEX(Services!$C$6:$C$35,MATCH(E1478,Services!$B$6:$B$35,0)),0)-N(H1478)))</f>
        <v/>
      </c>
      <c r="H1478" s="34" t="n"/>
      <c r="I1478" s="34" t="n"/>
      <c r="J1478" s="33" t="n"/>
      <c r="K1478" s="28">
        <f>IF(OR(B1478="",F1478&lt;&gt;"Done",J1478="Package"),"",IF(N(G1478)-N(I1478)&gt;0,N(G1478)-N(I1478),""))</f>
        <v/>
      </c>
      <c r="L1478" s="32" t="n"/>
      <c r="M1478" s="1">
        <f>IF(OR(B1478="",D1478="",F1478="Cancelled"),"",B1478+N(C1478)+ROW()/10000000)</f>
        <v/>
      </c>
      <c r="N1478">
        <f>IF(AND(F1478="Done",M1478&lt;&gt;""),IF(COUNTIFS(Appointments!$D$6:$D$2005,D1478,Appointments!$F$6:$F$2005,"Done",Appointments!$M$6:$M$2005,"&gt;"&amp;M1478)=0,1,0),0)</f>
        <v/>
      </c>
      <c r="O1478">
        <f>IF(AND(F1478="Booked",M1478&lt;&gt;"",N(B1478)&gt;=TODAY()),IF(COUNTIFS(Appointments!$D$6:$D$2005,D1478,Appointments!$F$6:$F$2005,"Booked",Appointments!$B$6:$B$2005,"&gt;="&amp;TODAY(),Appointments!$M$6:$M$2005,"&lt;"&amp;M1478)=0,1,0),0)</f>
        <v/>
      </c>
    </row>
    <row r="1479">
      <c r="A1479" s="1" t="n"/>
      <c r="B1479" s="30" t="n"/>
      <c r="C1479" s="31" t="n"/>
      <c r="D1479" s="32" t="n"/>
      <c r="E1479" s="32" t="n"/>
      <c r="F1479" s="33" t="n"/>
      <c r="G1479" s="27">
        <f>IF(E1479="","",MAX(0,IFERROR(INDEX(Services!$C$6:$C$35,MATCH(E1479,Services!$B$6:$B$35,0)),0)-N(H1479)))</f>
        <v/>
      </c>
      <c r="H1479" s="34" t="n"/>
      <c r="I1479" s="34" t="n"/>
      <c r="J1479" s="33" t="n"/>
      <c r="K1479" s="28">
        <f>IF(OR(B1479="",F1479&lt;&gt;"Done",J1479="Package"),"",IF(N(G1479)-N(I1479)&gt;0,N(G1479)-N(I1479),""))</f>
        <v/>
      </c>
      <c r="L1479" s="32" t="n"/>
      <c r="M1479" s="1">
        <f>IF(OR(B1479="",D1479="",F1479="Cancelled"),"",B1479+N(C1479)+ROW()/10000000)</f>
        <v/>
      </c>
      <c r="N1479">
        <f>IF(AND(F1479="Done",M1479&lt;&gt;""),IF(COUNTIFS(Appointments!$D$6:$D$2005,D1479,Appointments!$F$6:$F$2005,"Done",Appointments!$M$6:$M$2005,"&gt;"&amp;M1479)=0,1,0),0)</f>
        <v/>
      </c>
      <c r="O1479">
        <f>IF(AND(F1479="Booked",M1479&lt;&gt;"",N(B1479)&gt;=TODAY()),IF(COUNTIFS(Appointments!$D$6:$D$2005,D1479,Appointments!$F$6:$F$2005,"Booked",Appointments!$B$6:$B$2005,"&gt;="&amp;TODAY(),Appointments!$M$6:$M$2005,"&lt;"&amp;M1479)=0,1,0),0)</f>
        <v/>
      </c>
    </row>
    <row r="1480">
      <c r="A1480" s="1" t="n"/>
      <c r="B1480" s="30" t="n"/>
      <c r="C1480" s="31" t="n"/>
      <c r="D1480" s="32" t="n"/>
      <c r="E1480" s="32" t="n"/>
      <c r="F1480" s="33" t="n"/>
      <c r="G1480" s="27">
        <f>IF(E1480="","",MAX(0,IFERROR(INDEX(Services!$C$6:$C$35,MATCH(E1480,Services!$B$6:$B$35,0)),0)-N(H1480)))</f>
        <v/>
      </c>
      <c r="H1480" s="34" t="n"/>
      <c r="I1480" s="34" t="n"/>
      <c r="J1480" s="33" t="n"/>
      <c r="K1480" s="28">
        <f>IF(OR(B1480="",F1480&lt;&gt;"Done",J1480="Package"),"",IF(N(G1480)-N(I1480)&gt;0,N(G1480)-N(I1480),""))</f>
        <v/>
      </c>
      <c r="L1480" s="32" t="n"/>
      <c r="M1480" s="1">
        <f>IF(OR(B1480="",D1480="",F1480="Cancelled"),"",B1480+N(C1480)+ROW()/10000000)</f>
        <v/>
      </c>
      <c r="N1480">
        <f>IF(AND(F1480="Done",M1480&lt;&gt;""),IF(COUNTIFS(Appointments!$D$6:$D$2005,D1480,Appointments!$F$6:$F$2005,"Done",Appointments!$M$6:$M$2005,"&gt;"&amp;M1480)=0,1,0),0)</f>
        <v/>
      </c>
      <c r="O1480">
        <f>IF(AND(F1480="Booked",M1480&lt;&gt;"",N(B1480)&gt;=TODAY()),IF(COUNTIFS(Appointments!$D$6:$D$2005,D1480,Appointments!$F$6:$F$2005,"Booked",Appointments!$B$6:$B$2005,"&gt;="&amp;TODAY(),Appointments!$M$6:$M$2005,"&lt;"&amp;M1480)=0,1,0),0)</f>
        <v/>
      </c>
    </row>
    <row r="1481">
      <c r="A1481" s="1" t="n"/>
      <c r="B1481" s="30" t="n"/>
      <c r="C1481" s="31" t="n"/>
      <c r="D1481" s="32" t="n"/>
      <c r="E1481" s="32" t="n"/>
      <c r="F1481" s="33" t="n"/>
      <c r="G1481" s="27">
        <f>IF(E1481="","",MAX(0,IFERROR(INDEX(Services!$C$6:$C$35,MATCH(E1481,Services!$B$6:$B$35,0)),0)-N(H1481)))</f>
        <v/>
      </c>
      <c r="H1481" s="34" t="n"/>
      <c r="I1481" s="34" t="n"/>
      <c r="J1481" s="33" t="n"/>
      <c r="K1481" s="28">
        <f>IF(OR(B1481="",F1481&lt;&gt;"Done",J1481="Package"),"",IF(N(G1481)-N(I1481)&gt;0,N(G1481)-N(I1481),""))</f>
        <v/>
      </c>
      <c r="L1481" s="32" t="n"/>
      <c r="M1481" s="1">
        <f>IF(OR(B1481="",D1481="",F1481="Cancelled"),"",B1481+N(C1481)+ROW()/10000000)</f>
        <v/>
      </c>
      <c r="N1481">
        <f>IF(AND(F1481="Done",M1481&lt;&gt;""),IF(COUNTIFS(Appointments!$D$6:$D$2005,D1481,Appointments!$F$6:$F$2005,"Done",Appointments!$M$6:$M$2005,"&gt;"&amp;M1481)=0,1,0),0)</f>
        <v/>
      </c>
      <c r="O1481">
        <f>IF(AND(F1481="Booked",M1481&lt;&gt;"",N(B1481)&gt;=TODAY()),IF(COUNTIFS(Appointments!$D$6:$D$2005,D1481,Appointments!$F$6:$F$2005,"Booked",Appointments!$B$6:$B$2005,"&gt;="&amp;TODAY(),Appointments!$M$6:$M$2005,"&lt;"&amp;M1481)=0,1,0),0)</f>
        <v/>
      </c>
    </row>
    <row r="1482">
      <c r="A1482" s="1" t="n"/>
      <c r="B1482" s="30" t="n"/>
      <c r="C1482" s="31" t="n"/>
      <c r="D1482" s="32" t="n"/>
      <c r="E1482" s="32" t="n"/>
      <c r="F1482" s="33" t="n"/>
      <c r="G1482" s="27">
        <f>IF(E1482="","",MAX(0,IFERROR(INDEX(Services!$C$6:$C$35,MATCH(E1482,Services!$B$6:$B$35,0)),0)-N(H1482)))</f>
        <v/>
      </c>
      <c r="H1482" s="34" t="n"/>
      <c r="I1482" s="34" t="n"/>
      <c r="J1482" s="33" t="n"/>
      <c r="K1482" s="28">
        <f>IF(OR(B1482="",F1482&lt;&gt;"Done",J1482="Package"),"",IF(N(G1482)-N(I1482)&gt;0,N(G1482)-N(I1482),""))</f>
        <v/>
      </c>
      <c r="L1482" s="32" t="n"/>
      <c r="M1482" s="1">
        <f>IF(OR(B1482="",D1482="",F1482="Cancelled"),"",B1482+N(C1482)+ROW()/10000000)</f>
        <v/>
      </c>
      <c r="N1482">
        <f>IF(AND(F1482="Done",M1482&lt;&gt;""),IF(COUNTIFS(Appointments!$D$6:$D$2005,D1482,Appointments!$F$6:$F$2005,"Done",Appointments!$M$6:$M$2005,"&gt;"&amp;M1482)=0,1,0),0)</f>
        <v/>
      </c>
      <c r="O1482">
        <f>IF(AND(F1482="Booked",M1482&lt;&gt;"",N(B1482)&gt;=TODAY()),IF(COUNTIFS(Appointments!$D$6:$D$2005,D1482,Appointments!$F$6:$F$2005,"Booked",Appointments!$B$6:$B$2005,"&gt;="&amp;TODAY(),Appointments!$M$6:$M$2005,"&lt;"&amp;M1482)=0,1,0),0)</f>
        <v/>
      </c>
    </row>
    <row r="1483">
      <c r="A1483" s="1" t="n"/>
      <c r="B1483" s="30" t="n"/>
      <c r="C1483" s="31" t="n"/>
      <c r="D1483" s="32" t="n"/>
      <c r="E1483" s="32" t="n"/>
      <c r="F1483" s="33" t="n"/>
      <c r="G1483" s="27">
        <f>IF(E1483="","",MAX(0,IFERROR(INDEX(Services!$C$6:$C$35,MATCH(E1483,Services!$B$6:$B$35,0)),0)-N(H1483)))</f>
        <v/>
      </c>
      <c r="H1483" s="34" t="n"/>
      <c r="I1483" s="34" t="n"/>
      <c r="J1483" s="33" t="n"/>
      <c r="K1483" s="28">
        <f>IF(OR(B1483="",F1483&lt;&gt;"Done",J1483="Package"),"",IF(N(G1483)-N(I1483)&gt;0,N(G1483)-N(I1483),""))</f>
        <v/>
      </c>
      <c r="L1483" s="32" t="n"/>
      <c r="M1483" s="1">
        <f>IF(OR(B1483="",D1483="",F1483="Cancelled"),"",B1483+N(C1483)+ROW()/10000000)</f>
        <v/>
      </c>
      <c r="N1483">
        <f>IF(AND(F1483="Done",M1483&lt;&gt;""),IF(COUNTIFS(Appointments!$D$6:$D$2005,D1483,Appointments!$F$6:$F$2005,"Done",Appointments!$M$6:$M$2005,"&gt;"&amp;M1483)=0,1,0),0)</f>
        <v/>
      </c>
      <c r="O1483">
        <f>IF(AND(F1483="Booked",M1483&lt;&gt;"",N(B1483)&gt;=TODAY()),IF(COUNTIFS(Appointments!$D$6:$D$2005,D1483,Appointments!$F$6:$F$2005,"Booked",Appointments!$B$6:$B$2005,"&gt;="&amp;TODAY(),Appointments!$M$6:$M$2005,"&lt;"&amp;M1483)=0,1,0),0)</f>
        <v/>
      </c>
    </row>
    <row r="1484">
      <c r="A1484" s="1" t="n"/>
      <c r="B1484" s="30" t="n"/>
      <c r="C1484" s="31" t="n"/>
      <c r="D1484" s="32" t="n"/>
      <c r="E1484" s="32" t="n"/>
      <c r="F1484" s="33" t="n"/>
      <c r="G1484" s="27">
        <f>IF(E1484="","",MAX(0,IFERROR(INDEX(Services!$C$6:$C$35,MATCH(E1484,Services!$B$6:$B$35,0)),0)-N(H1484)))</f>
        <v/>
      </c>
      <c r="H1484" s="34" t="n"/>
      <c r="I1484" s="34" t="n"/>
      <c r="J1484" s="33" t="n"/>
      <c r="K1484" s="28">
        <f>IF(OR(B1484="",F1484&lt;&gt;"Done",J1484="Package"),"",IF(N(G1484)-N(I1484)&gt;0,N(G1484)-N(I1484),""))</f>
        <v/>
      </c>
      <c r="L1484" s="32" t="n"/>
      <c r="M1484" s="1">
        <f>IF(OR(B1484="",D1484="",F1484="Cancelled"),"",B1484+N(C1484)+ROW()/10000000)</f>
        <v/>
      </c>
      <c r="N1484">
        <f>IF(AND(F1484="Done",M1484&lt;&gt;""),IF(COUNTIFS(Appointments!$D$6:$D$2005,D1484,Appointments!$F$6:$F$2005,"Done",Appointments!$M$6:$M$2005,"&gt;"&amp;M1484)=0,1,0),0)</f>
        <v/>
      </c>
      <c r="O1484">
        <f>IF(AND(F1484="Booked",M1484&lt;&gt;"",N(B1484)&gt;=TODAY()),IF(COUNTIFS(Appointments!$D$6:$D$2005,D1484,Appointments!$F$6:$F$2005,"Booked",Appointments!$B$6:$B$2005,"&gt;="&amp;TODAY(),Appointments!$M$6:$M$2005,"&lt;"&amp;M1484)=0,1,0),0)</f>
        <v/>
      </c>
    </row>
    <row r="1485">
      <c r="A1485" s="1" t="n"/>
      <c r="B1485" s="30" t="n"/>
      <c r="C1485" s="31" t="n"/>
      <c r="D1485" s="32" t="n"/>
      <c r="E1485" s="32" t="n"/>
      <c r="F1485" s="33" t="n"/>
      <c r="G1485" s="27">
        <f>IF(E1485="","",MAX(0,IFERROR(INDEX(Services!$C$6:$C$35,MATCH(E1485,Services!$B$6:$B$35,0)),0)-N(H1485)))</f>
        <v/>
      </c>
      <c r="H1485" s="34" t="n"/>
      <c r="I1485" s="34" t="n"/>
      <c r="J1485" s="33" t="n"/>
      <c r="K1485" s="28">
        <f>IF(OR(B1485="",F1485&lt;&gt;"Done",J1485="Package"),"",IF(N(G1485)-N(I1485)&gt;0,N(G1485)-N(I1485),""))</f>
        <v/>
      </c>
      <c r="L1485" s="32" t="n"/>
      <c r="M1485" s="1">
        <f>IF(OR(B1485="",D1485="",F1485="Cancelled"),"",B1485+N(C1485)+ROW()/10000000)</f>
        <v/>
      </c>
      <c r="N1485">
        <f>IF(AND(F1485="Done",M1485&lt;&gt;""),IF(COUNTIFS(Appointments!$D$6:$D$2005,D1485,Appointments!$F$6:$F$2005,"Done",Appointments!$M$6:$M$2005,"&gt;"&amp;M1485)=0,1,0),0)</f>
        <v/>
      </c>
      <c r="O1485">
        <f>IF(AND(F1485="Booked",M1485&lt;&gt;"",N(B1485)&gt;=TODAY()),IF(COUNTIFS(Appointments!$D$6:$D$2005,D1485,Appointments!$F$6:$F$2005,"Booked",Appointments!$B$6:$B$2005,"&gt;="&amp;TODAY(),Appointments!$M$6:$M$2005,"&lt;"&amp;M1485)=0,1,0),0)</f>
        <v/>
      </c>
    </row>
    <row r="1486">
      <c r="A1486" s="1" t="n"/>
      <c r="B1486" s="30" t="n"/>
      <c r="C1486" s="31" t="n"/>
      <c r="D1486" s="32" t="n"/>
      <c r="E1486" s="32" t="n"/>
      <c r="F1486" s="33" t="n"/>
      <c r="G1486" s="27">
        <f>IF(E1486="","",MAX(0,IFERROR(INDEX(Services!$C$6:$C$35,MATCH(E1486,Services!$B$6:$B$35,0)),0)-N(H1486)))</f>
        <v/>
      </c>
      <c r="H1486" s="34" t="n"/>
      <c r="I1486" s="34" t="n"/>
      <c r="J1486" s="33" t="n"/>
      <c r="K1486" s="28">
        <f>IF(OR(B1486="",F1486&lt;&gt;"Done",J1486="Package"),"",IF(N(G1486)-N(I1486)&gt;0,N(G1486)-N(I1486),""))</f>
        <v/>
      </c>
      <c r="L1486" s="32" t="n"/>
      <c r="M1486" s="1">
        <f>IF(OR(B1486="",D1486="",F1486="Cancelled"),"",B1486+N(C1486)+ROW()/10000000)</f>
        <v/>
      </c>
      <c r="N1486">
        <f>IF(AND(F1486="Done",M1486&lt;&gt;""),IF(COUNTIFS(Appointments!$D$6:$D$2005,D1486,Appointments!$F$6:$F$2005,"Done",Appointments!$M$6:$M$2005,"&gt;"&amp;M1486)=0,1,0),0)</f>
        <v/>
      </c>
      <c r="O1486">
        <f>IF(AND(F1486="Booked",M1486&lt;&gt;"",N(B1486)&gt;=TODAY()),IF(COUNTIFS(Appointments!$D$6:$D$2005,D1486,Appointments!$F$6:$F$2005,"Booked",Appointments!$B$6:$B$2005,"&gt;="&amp;TODAY(),Appointments!$M$6:$M$2005,"&lt;"&amp;M1486)=0,1,0),0)</f>
        <v/>
      </c>
    </row>
    <row r="1487">
      <c r="A1487" s="1" t="n"/>
      <c r="B1487" s="30" t="n"/>
      <c r="C1487" s="31" t="n"/>
      <c r="D1487" s="32" t="n"/>
      <c r="E1487" s="32" t="n"/>
      <c r="F1487" s="33" t="n"/>
      <c r="G1487" s="27">
        <f>IF(E1487="","",MAX(0,IFERROR(INDEX(Services!$C$6:$C$35,MATCH(E1487,Services!$B$6:$B$35,0)),0)-N(H1487)))</f>
        <v/>
      </c>
      <c r="H1487" s="34" t="n"/>
      <c r="I1487" s="34" t="n"/>
      <c r="J1487" s="33" t="n"/>
      <c r="K1487" s="28">
        <f>IF(OR(B1487="",F1487&lt;&gt;"Done",J1487="Package"),"",IF(N(G1487)-N(I1487)&gt;0,N(G1487)-N(I1487),""))</f>
        <v/>
      </c>
      <c r="L1487" s="32" t="n"/>
      <c r="M1487" s="1">
        <f>IF(OR(B1487="",D1487="",F1487="Cancelled"),"",B1487+N(C1487)+ROW()/10000000)</f>
        <v/>
      </c>
      <c r="N1487">
        <f>IF(AND(F1487="Done",M1487&lt;&gt;""),IF(COUNTIFS(Appointments!$D$6:$D$2005,D1487,Appointments!$F$6:$F$2005,"Done",Appointments!$M$6:$M$2005,"&gt;"&amp;M1487)=0,1,0),0)</f>
        <v/>
      </c>
      <c r="O1487">
        <f>IF(AND(F1487="Booked",M1487&lt;&gt;"",N(B1487)&gt;=TODAY()),IF(COUNTIFS(Appointments!$D$6:$D$2005,D1487,Appointments!$F$6:$F$2005,"Booked",Appointments!$B$6:$B$2005,"&gt;="&amp;TODAY(),Appointments!$M$6:$M$2005,"&lt;"&amp;M1487)=0,1,0),0)</f>
        <v/>
      </c>
    </row>
    <row r="1488">
      <c r="A1488" s="1" t="n"/>
      <c r="B1488" s="30" t="n"/>
      <c r="C1488" s="31" t="n"/>
      <c r="D1488" s="32" t="n"/>
      <c r="E1488" s="32" t="n"/>
      <c r="F1488" s="33" t="n"/>
      <c r="G1488" s="27">
        <f>IF(E1488="","",MAX(0,IFERROR(INDEX(Services!$C$6:$C$35,MATCH(E1488,Services!$B$6:$B$35,0)),0)-N(H1488)))</f>
        <v/>
      </c>
      <c r="H1488" s="34" t="n"/>
      <c r="I1488" s="34" t="n"/>
      <c r="J1488" s="33" t="n"/>
      <c r="K1488" s="28">
        <f>IF(OR(B1488="",F1488&lt;&gt;"Done",J1488="Package"),"",IF(N(G1488)-N(I1488)&gt;0,N(G1488)-N(I1488),""))</f>
        <v/>
      </c>
      <c r="L1488" s="32" t="n"/>
      <c r="M1488" s="1">
        <f>IF(OR(B1488="",D1488="",F1488="Cancelled"),"",B1488+N(C1488)+ROW()/10000000)</f>
        <v/>
      </c>
      <c r="N1488">
        <f>IF(AND(F1488="Done",M1488&lt;&gt;""),IF(COUNTIFS(Appointments!$D$6:$D$2005,D1488,Appointments!$F$6:$F$2005,"Done",Appointments!$M$6:$M$2005,"&gt;"&amp;M1488)=0,1,0),0)</f>
        <v/>
      </c>
      <c r="O1488">
        <f>IF(AND(F1488="Booked",M1488&lt;&gt;"",N(B1488)&gt;=TODAY()),IF(COUNTIFS(Appointments!$D$6:$D$2005,D1488,Appointments!$F$6:$F$2005,"Booked",Appointments!$B$6:$B$2005,"&gt;="&amp;TODAY(),Appointments!$M$6:$M$2005,"&lt;"&amp;M1488)=0,1,0),0)</f>
        <v/>
      </c>
    </row>
    <row r="1489">
      <c r="A1489" s="1" t="n"/>
      <c r="B1489" s="30" t="n"/>
      <c r="C1489" s="31" t="n"/>
      <c r="D1489" s="32" t="n"/>
      <c r="E1489" s="32" t="n"/>
      <c r="F1489" s="33" t="n"/>
      <c r="G1489" s="27">
        <f>IF(E1489="","",MAX(0,IFERROR(INDEX(Services!$C$6:$C$35,MATCH(E1489,Services!$B$6:$B$35,0)),0)-N(H1489)))</f>
        <v/>
      </c>
      <c r="H1489" s="34" t="n"/>
      <c r="I1489" s="34" t="n"/>
      <c r="J1489" s="33" t="n"/>
      <c r="K1489" s="28">
        <f>IF(OR(B1489="",F1489&lt;&gt;"Done",J1489="Package"),"",IF(N(G1489)-N(I1489)&gt;0,N(G1489)-N(I1489),""))</f>
        <v/>
      </c>
      <c r="L1489" s="32" t="n"/>
      <c r="M1489" s="1">
        <f>IF(OR(B1489="",D1489="",F1489="Cancelled"),"",B1489+N(C1489)+ROW()/10000000)</f>
        <v/>
      </c>
      <c r="N1489">
        <f>IF(AND(F1489="Done",M1489&lt;&gt;""),IF(COUNTIFS(Appointments!$D$6:$D$2005,D1489,Appointments!$F$6:$F$2005,"Done",Appointments!$M$6:$M$2005,"&gt;"&amp;M1489)=0,1,0),0)</f>
        <v/>
      </c>
      <c r="O1489">
        <f>IF(AND(F1489="Booked",M1489&lt;&gt;"",N(B1489)&gt;=TODAY()),IF(COUNTIFS(Appointments!$D$6:$D$2005,D1489,Appointments!$F$6:$F$2005,"Booked",Appointments!$B$6:$B$2005,"&gt;="&amp;TODAY(),Appointments!$M$6:$M$2005,"&lt;"&amp;M1489)=0,1,0),0)</f>
        <v/>
      </c>
    </row>
    <row r="1490">
      <c r="A1490" s="1" t="n"/>
      <c r="B1490" s="30" t="n"/>
      <c r="C1490" s="31" t="n"/>
      <c r="D1490" s="32" t="n"/>
      <c r="E1490" s="32" t="n"/>
      <c r="F1490" s="33" t="n"/>
      <c r="G1490" s="27">
        <f>IF(E1490="","",MAX(0,IFERROR(INDEX(Services!$C$6:$C$35,MATCH(E1490,Services!$B$6:$B$35,0)),0)-N(H1490)))</f>
        <v/>
      </c>
      <c r="H1490" s="34" t="n"/>
      <c r="I1490" s="34" t="n"/>
      <c r="J1490" s="33" t="n"/>
      <c r="K1490" s="28">
        <f>IF(OR(B1490="",F1490&lt;&gt;"Done",J1490="Package"),"",IF(N(G1490)-N(I1490)&gt;0,N(G1490)-N(I1490),""))</f>
        <v/>
      </c>
      <c r="L1490" s="32" t="n"/>
      <c r="M1490" s="1">
        <f>IF(OR(B1490="",D1490="",F1490="Cancelled"),"",B1490+N(C1490)+ROW()/10000000)</f>
        <v/>
      </c>
      <c r="N1490">
        <f>IF(AND(F1490="Done",M1490&lt;&gt;""),IF(COUNTIFS(Appointments!$D$6:$D$2005,D1490,Appointments!$F$6:$F$2005,"Done",Appointments!$M$6:$M$2005,"&gt;"&amp;M1490)=0,1,0),0)</f>
        <v/>
      </c>
      <c r="O1490">
        <f>IF(AND(F1490="Booked",M1490&lt;&gt;"",N(B1490)&gt;=TODAY()),IF(COUNTIFS(Appointments!$D$6:$D$2005,D1490,Appointments!$F$6:$F$2005,"Booked",Appointments!$B$6:$B$2005,"&gt;="&amp;TODAY(),Appointments!$M$6:$M$2005,"&lt;"&amp;M1490)=0,1,0),0)</f>
        <v/>
      </c>
    </row>
    <row r="1491">
      <c r="A1491" s="1" t="n"/>
      <c r="B1491" s="30" t="n"/>
      <c r="C1491" s="31" t="n"/>
      <c r="D1491" s="32" t="n"/>
      <c r="E1491" s="32" t="n"/>
      <c r="F1491" s="33" t="n"/>
      <c r="G1491" s="27">
        <f>IF(E1491="","",MAX(0,IFERROR(INDEX(Services!$C$6:$C$35,MATCH(E1491,Services!$B$6:$B$35,0)),0)-N(H1491)))</f>
        <v/>
      </c>
      <c r="H1491" s="34" t="n"/>
      <c r="I1491" s="34" t="n"/>
      <c r="J1491" s="33" t="n"/>
      <c r="K1491" s="28">
        <f>IF(OR(B1491="",F1491&lt;&gt;"Done",J1491="Package"),"",IF(N(G1491)-N(I1491)&gt;0,N(G1491)-N(I1491),""))</f>
        <v/>
      </c>
      <c r="L1491" s="32" t="n"/>
      <c r="M1491" s="1">
        <f>IF(OR(B1491="",D1491="",F1491="Cancelled"),"",B1491+N(C1491)+ROW()/10000000)</f>
        <v/>
      </c>
      <c r="N1491">
        <f>IF(AND(F1491="Done",M1491&lt;&gt;""),IF(COUNTIFS(Appointments!$D$6:$D$2005,D1491,Appointments!$F$6:$F$2005,"Done",Appointments!$M$6:$M$2005,"&gt;"&amp;M1491)=0,1,0),0)</f>
        <v/>
      </c>
      <c r="O1491">
        <f>IF(AND(F1491="Booked",M1491&lt;&gt;"",N(B1491)&gt;=TODAY()),IF(COUNTIFS(Appointments!$D$6:$D$2005,D1491,Appointments!$F$6:$F$2005,"Booked",Appointments!$B$6:$B$2005,"&gt;="&amp;TODAY(),Appointments!$M$6:$M$2005,"&lt;"&amp;M1491)=0,1,0),0)</f>
        <v/>
      </c>
    </row>
    <row r="1492">
      <c r="A1492" s="1" t="n"/>
      <c r="B1492" s="30" t="n"/>
      <c r="C1492" s="31" t="n"/>
      <c r="D1492" s="32" t="n"/>
      <c r="E1492" s="32" t="n"/>
      <c r="F1492" s="33" t="n"/>
      <c r="G1492" s="27">
        <f>IF(E1492="","",MAX(0,IFERROR(INDEX(Services!$C$6:$C$35,MATCH(E1492,Services!$B$6:$B$35,0)),0)-N(H1492)))</f>
        <v/>
      </c>
      <c r="H1492" s="34" t="n"/>
      <c r="I1492" s="34" t="n"/>
      <c r="J1492" s="33" t="n"/>
      <c r="K1492" s="28">
        <f>IF(OR(B1492="",F1492&lt;&gt;"Done",J1492="Package"),"",IF(N(G1492)-N(I1492)&gt;0,N(G1492)-N(I1492),""))</f>
        <v/>
      </c>
      <c r="L1492" s="32" t="n"/>
      <c r="M1492" s="1">
        <f>IF(OR(B1492="",D1492="",F1492="Cancelled"),"",B1492+N(C1492)+ROW()/10000000)</f>
        <v/>
      </c>
      <c r="N1492">
        <f>IF(AND(F1492="Done",M1492&lt;&gt;""),IF(COUNTIFS(Appointments!$D$6:$D$2005,D1492,Appointments!$F$6:$F$2005,"Done",Appointments!$M$6:$M$2005,"&gt;"&amp;M1492)=0,1,0),0)</f>
        <v/>
      </c>
      <c r="O1492">
        <f>IF(AND(F1492="Booked",M1492&lt;&gt;"",N(B1492)&gt;=TODAY()),IF(COUNTIFS(Appointments!$D$6:$D$2005,D1492,Appointments!$F$6:$F$2005,"Booked",Appointments!$B$6:$B$2005,"&gt;="&amp;TODAY(),Appointments!$M$6:$M$2005,"&lt;"&amp;M1492)=0,1,0),0)</f>
        <v/>
      </c>
    </row>
    <row r="1493">
      <c r="A1493" s="1" t="n"/>
      <c r="B1493" s="30" t="n"/>
      <c r="C1493" s="31" t="n"/>
      <c r="D1493" s="32" t="n"/>
      <c r="E1493" s="32" t="n"/>
      <c r="F1493" s="33" t="n"/>
      <c r="G1493" s="27">
        <f>IF(E1493="","",MAX(0,IFERROR(INDEX(Services!$C$6:$C$35,MATCH(E1493,Services!$B$6:$B$35,0)),0)-N(H1493)))</f>
        <v/>
      </c>
      <c r="H1493" s="34" t="n"/>
      <c r="I1493" s="34" t="n"/>
      <c r="J1493" s="33" t="n"/>
      <c r="K1493" s="28">
        <f>IF(OR(B1493="",F1493&lt;&gt;"Done",J1493="Package"),"",IF(N(G1493)-N(I1493)&gt;0,N(G1493)-N(I1493),""))</f>
        <v/>
      </c>
      <c r="L1493" s="32" t="n"/>
      <c r="M1493" s="1">
        <f>IF(OR(B1493="",D1493="",F1493="Cancelled"),"",B1493+N(C1493)+ROW()/10000000)</f>
        <v/>
      </c>
      <c r="N1493">
        <f>IF(AND(F1493="Done",M1493&lt;&gt;""),IF(COUNTIFS(Appointments!$D$6:$D$2005,D1493,Appointments!$F$6:$F$2005,"Done",Appointments!$M$6:$M$2005,"&gt;"&amp;M1493)=0,1,0),0)</f>
        <v/>
      </c>
      <c r="O1493">
        <f>IF(AND(F1493="Booked",M1493&lt;&gt;"",N(B1493)&gt;=TODAY()),IF(COUNTIFS(Appointments!$D$6:$D$2005,D1493,Appointments!$F$6:$F$2005,"Booked",Appointments!$B$6:$B$2005,"&gt;="&amp;TODAY(),Appointments!$M$6:$M$2005,"&lt;"&amp;M1493)=0,1,0),0)</f>
        <v/>
      </c>
    </row>
    <row r="1494">
      <c r="A1494" s="1" t="n"/>
      <c r="B1494" s="30" t="n"/>
      <c r="C1494" s="31" t="n"/>
      <c r="D1494" s="32" t="n"/>
      <c r="E1494" s="32" t="n"/>
      <c r="F1494" s="33" t="n"/>
      <c r="G1494" s="27">
        <f>IF(E1494="","",MAX(0,IFERROR(INDEX(Services!$C$6:$C$35,MATCH(E1494,Services!$B$6:$B$35,0)),0)-N(H1494)))</f>
        <v/>
      </c>
      <c r="H1494" s="34" t="n"/>
      <c r="I1494" s="34" t="n"/>
      <c r="J1494" s="33" t="n"/>
      <c r="K1494" s="28">
        <f>IF(OR(B1494="",F1494&lt;&gt;"Done",J1494="Package"),"",IF(N(G1494)-N(I1494)&gt;0,N(G1494)-N(I1494),""))</f>
        <v/>
      </c>
      <c r="L1494" s="32" t="n"/>
      <c r="M1494" s="1">
        <f>IF(OR(B1494="",D1494="",F1494="Cancelled"),"",B1494+N(C1494)+ROW()/10000000)</f>
        <v/>
      </c>
      <c r="N1494">
        <f>IF(AND(F1494="Done",M1494&lt;&gt;""),IF(COUNTIFS(Appointments!$D$6:$D$2005,D1494,Appointments!$F$6:$F$2005,"Done",Appointments!$M$6:$M$2005,"&gt;"&amp;M1494)=0,1,0),0)</f>
        <v/>
      </c>
      <c r="O1494">
        <f>IF(AND(F1494="Booked",M1494&lt;&gt;"",N(B1494)&gt;=TODAY()),IF(COUNTIFS(Appointments!$D$6:$D$2005,D1494,Appointments!$F$6:$F$2005,"Booked",Appointments!$B$6:$B$2005,"&gt;="&amp;TODAY(),Appointments!$M$6:$M$2005,"&lt;"&amp;M1494)=0,1,0),0)</f>
        <v/>
      </c>
    </row>
    <row r="1495">
      <c r="A1495" s="1" t="n"/>
      <c r="B1495" s="30" t="n"/>
      <c r="C1495" s="31" t="n"/>
      <c r="D1495" s="32" t="n"/>
      <c r="E1495" s="32" t="n"/>
      <c r="F1495" s="33" t="n"/>
      <c r="G1495" s="27">
        <f>IF(E1495="","",MAX(0,IFERROR(INDEX(Services!$C$6:$C$35,MATCH(E1495,Services!$B$6:$B$35,0)),0)-N(H1495)))</f>
        <v/>
      </c>
      <c r="H1495" s="34" t="n"/>
      <c r="I1495" s="34" t="n"/>
      <c r="J1495" s="33" t="n"/>
      <c r="K1495" s="28">
        <f>IF(OR(B1495="",F1495&lt;&gt;"Done",J1495="Package"),"",IF(N(G1495)-N(I1495)&gt;0,N(G1495)-N(I1495),""))</f>
        <v/>
      </c>
      <c r="L1495" s="32" t="n"/>
      <c r="M1495" s="1">
        <f>IF(OR(B1495="",D1495="",F1495="Cancelled"),"",B1495+N(C1495)+ROW()/10000000)</f>
        <v/>
      </c>
      <c r="N1495">
        <f>IF(AND(F1495="Done",M1495&lt;&gt;""),IF(COUNTIFS(Appointments!$D$6:$D$2005,D1495,Appointments!$F$6:$F$2005,"Done",Appointments!$M$6:$M$2005,"&gt;"&amp;M1495)=0,1,0),0)</f>
        <v/>
      </c>
      <c r="O1495">
        <f>IF(AND(F1495="Booked",M1495&lt;&gt;"",N(B1495)&gt;=TODAY()),IF(COUNTIFS(Appointments!$D$6:$D$2005,D1495,Appointments!$F$6:$F$2005,"Booked",Appointments!$B$6:$B$2005,"&gt;="&amp;TODAY(),Appointments!$M$6:$M$2005,"&lt;"&amp;M1495)=0,1,0),0)</f>
        <v/>
      </c>
    </row>
    <row r="1496">
      <c r="A1496" s="1" t="n"/>
      <c r="B1496" s="30" t="n"/>
      <c r="C1496" s="31" t="n"/>
      <c r="D1496" s="32" t="n"/>
      <c r="E1496" s="32" t="n"/>
      <c r="F1496" s="33" t="n"/>
      <c r="G1496" s="27">
        <f>IF(E1496="","",MAX(0,IFERROR(INDEX(Services!$C$6:$C$35,MATCH(E1496,Services!$B$6:$B$35,0)),0)-N(H1496)))</f>
        <v/>
      </c>
      <c r="H1496" s="34" t="n"/>
      <c r="I1496" s="34" t="n"/>
      <c r="J1496" s="33" t="n"/>
      <c r="K1496" s="28">
        <f>IF(OR(B1496="",F1496&lt;&gt;"Done",J1496="Package"),"",IF(N(G1496)-N(I1496)&gt;0,N(G1496)-N(I1496),""))</f>
        <v/>
      </c>
      <c r="L1496" s="32" t="n"/>
      <c r="M1496" s="1">
        <f>IF(OR(B1496="",D1496="",F1496="Cancelled"),"",B1496+N(C1496)+ROW()/10000000)</f>
        <v/>
      </c>
      <c r="N1496">
        <f>IF(AND(F1496="Done",M1496&lt;&gt;""),IF(COUNTIFS(Appointments!$D$6:$D$2005,D1496,Appointments!$F$6:$F$2005,"Done",Appointments!$M$6:$M$2005,"&gt;"&amp;M1496)=0,1,0),0)</f>
        <v/>
      </c>
      <c r="O1496">
        <f>IF(AND(F1496="Booked",M1496&lt;&gt;"",N(B1496)&gt;=TODAY()),IF(COUNTIFS(Appointments!$D$6:$D$2005,D1496,Appointments!$F$6:$F$2005,"Booked",Appointments!$B$6:$B$2005,"&gt;="&amp;TODAY(),Appointments!$M$6:$M$2005,"&lt;"&amp;M1496)=0,1,0),0)</f>
        <v/>
      </c>
    </row>
    <row r="1497">
      <c r="A1497" s="1" t="n"/>
      <c r="B1497" s="30" t="n"/>
      <c r="C1497" s="31" t="n"/>
      <c r="D1497" s="32" t="n"/>
      <c r="E1497" s="32" t="n"/>
      <c r="F1497" s="33" t="n"/>
      <c r="G1497" s="27">
        <f>IF(E1497="","",MAX(0,IFERROR(INDEX(Services!$C$6:$C$35,MATCH(E1497,Services!$B$6:$B$35,0)),0)-N(H1497)))</f>
        <v/>
      </c>
      <c r="H1497" s="34" t="n"/>
      <c r="I1497" s="34" t="n"/>
      <c r="J1497" s="33" t="n"/>
      <c r="K1497" s="28">
        <f>IF(OR(B1497="",F1497&lt;&gt;"Done",J1497="Package"),"",IF(N(G1497)-N(I1497)&gt;0,N(G1497)-N(I1497),""))</f>
        <v/>
      </c>
      <c r="L1497" s="32" t="n"/>
      <c r="M1497" s="1">
        <f>IF(OR(B1497="",D1497="",F1497="Cancelled"),"",B1497+N(C1497)+ROW()/10000000)</f>
        <v/>
      </c>
      <c r="N1497">
        <f>IF(AND(F1497="Done",M1497&lt;&gt;""),IF(COUNTIFS(Appointments!$D$6:$D$2005,D1497,Appointments!$F$6:$F$2005,"Done",Appointments!$M$6:$M$2005,"&gt;"&amp;M1497)=0,1,0),0)</f>
        <v/>
      </c>
      <c r="O1497">
        <f>IF(AND(F1497="Booked",M1497&lt;&gt;"",N(B1497)&gt;=TODAY()),IF(COUNTIFS(Appointments!$D$6:$D$2005,D1497,Appointments!$F$6:$F$2005,"Booked",Appointments!$B$6:$B$2005,"&gt;="&amp;TODAY(),Appointments!$M$6:$M$2005,"&lt;"&amp;M1497)=0,1,0),0)</f>
        <v/>
      </c>
    </row>
    <row r="1498">
      <c r="A1498" s="1" t="n"/>
      <c r="B1498" s="30" t="n"/>
      <c r="C1498" s="31" t="n"/>
      <c r="D1498" s="32" t="n"/>
      <c r="E1498" s="32" t="n"/>
      <c r="F1498" s="33" t="n"/>
      <c r="G1498" s="27">
        <f>IF(E1498="","",MAX(0,IFERROR(INDEX(Services!$C$6:$C$35,MATCH(E1498,Services!$B$6:$B$35,0)),0)-N(H1498)))</f>
        <v/>
      </c>
      <c r="H1498" s="34" t="n"/>
      <c r="I1498" s="34" t="n"/>
      <c r="J1498" s="33" t="n"/>
      <c r="K1498" s="28">
        <f>IF(OR(B1498="",F1498&lt;&gt;"Done",J1498="Package"),"",IF(N(G1498)-N(I1498)&gt;0,N(G1498)-N(I1498),""))</f>
        <v/>
      </c>
      <c r="L1498" s="32" t="n"/>
      <c r="M1498" s="1">
        <f>IF(OR(B1498="",D1498="",F1498="Cancelled"),"",B1498+N(C1498)+ROW()/10000000)</f>
        <v/>
      </c>
      <c r="N1498">
        <f>IF(AND(F1498="Done",M1498&lt;&gt;""),IF(COUNTIFS(Appointments!$D$6:$D$2005,D1498,Appointments!$F$6:$F$2005,"Done",Appointments!$M$6:$M$2005,"&gt;"&amp;M1498)=0,1,0),0)</f>
        <v/>
      </c>
      <c r="O1498">
        <f>IF(AND(F1498="Booked",M1498&lt;&gt;"",N(B1498)&gt;=TODAY()),IF(COUNTIFS(Appointments!$D$6:$D$2005,D1498,Appointments!$F$6:$F$2005,"Booked",Appointments!$B$6:$B$2005,"&gt;="&amp;TODAY(),Appointments!$M$6:$M$2005,"&lt;"&amp;M1498)=0,1,0),0)</f>
        <v/>
      </c>
    </row>
    <row r="1499">
      <c r="A1499" s="1" t="n"/>
      <c r="B1499" s="30" t="n"/>
      <c r="C1499" s="31" t="n"/>
      <c r="D1499" s="32" t="n"/>
      <c r="E1499" s="32" t="n"/>
      <c r="F1499" s="33" t="n"/>
      <c r="G1499" s="27">
        <f>IF(E1499="","",MAX(0,IFERROR(INDEX(Services!$C$6:$C$35,MATCH(E1499,Services!$B$6:$B$35,0)),0)-N(H1499)))</f>
        <v/>
      </c>
      <c r="H1499" s="34" t="n"/>
      <c r="I1499" s="34" t="n"/>
      <c r="J1499" s="33" t="n"/>
      <c r="K1499" s="28">
        <f>IF(OR(B1499="",F1499&lt;&gt;"Done",J1499="Package"),"",IF(N(G1499)-N(I1499)&gt;0,N(G1499)-N(I1499),""))</f>
        <v/>
      </c>
      <c r="L1499" s="32" t="n"/>
      <c r="M1499" s="1">
        <f>IF(OR(B1499="",D1499="",F1499="Cancelled"),"",B1499+N(C1499)+ROW()/10000000)</f>
        <v/>
      </c>
      <c r="N1499">
        <f>IF(AND(F1499="Done",M1499&lt;&gt;""),IF(COUNTIFS(Appointments!$D$6:$D$2005,D1499,Appointments!$F$6:$F$2005,"Done",Appointments!$M$6:$M$2005,"&gt;"&amp;M1499)=0,1,0),0)</f>
        <v/>
      </c>
      <c r="O1499">
        <f>IF(AND(F1499="Booked",M1499&lt;&gt;"",N(B1499)&gt;=TODAY()),IF(COUNTIFS(Appointments!$D$6:$D$2005,D1499,Appointments!$F$6:$F$2005,"Booked",Appointments!$B$6:$B$2005,"&gt;="&amp;TODAY(),Appointments!$M$6:$M$2005,"&lt;"&amp;M1499)=0,1,0),0)</f>
        <v/>
      </c>
    </row>
    <row r="1500">
      <c r="A1500" s="1" t="n"/>
      <c r="B1500" s="30" t="n"/>
      <c r="C1500" s="31" t="n"/>
      <c r="D1500" s="32" t="n"/>
      <c r="E1500" s="32" t="n"/>
      <c r="F1500" s="33" t="n"/>
      <c r="G1500" s="27">
        <f>IF(E1500="","",MAX(0,IFERROR(INDEX(Services!$C$6:$C$35,MATCH(E1500,Services!$B$6:$B$35,0)),0)-N(H1500)))</f>
        <v/>
      </c>
      <c r="H1500" s="34" t="n"/>
      <c r="I1500" s="34" t="n"/>
      <c r="J1500" s="33" t="n"/>
      <c r="K1500" s="28">
        <f>IF(OR(B1500="",F1500&lt;&gt;"Done",J1500="Package"),"",IF(N(G1500)-N(I1500)&gt;0,N(G1500)-N(I1500),""))</f>
        <v/>
      </c>
      <c r="L1500" s="32" t="n"/>
      <c r="M1500" s="1">
        <f>IF(OR(B1500="",D1500="",F1500="Cancelled"),"",B1500+N(C1500)+ROW()/10000000)</f>
        <v/>
      </c>
      <c r="N1500">
        <f>IF(AND(F1500="Done",M1500&lt;&gt;""),IF(COUNTIFS(Appointments!$D$6:$D$2005,D1500,Appointments!$F$6:$F$2005,"Done",Appointments!$M$6:$M$2005,"&gt;"&amp;M1500)=0,1,0),0)</f>
        <v/>
      </c>
      <c r="O1500">
        <f>IF(AND(F1500="Booked",M1500&lt;&gt;"",N(B1500)&gt;=TODAY()),IF(COUNTIFS(Appointments!$D$6:$D$2005,D1500,Appointments!$F$6:$F$2005,"Booked",Appointments!$B$6:$B$2005,"&gt;="&amp;TODAY(),Appointments!$M$6:$M$2005,"&lt;"&amp;M1500)=0,1,0),0)</f>
        <v/>
      </c>
    </row>
    <row r="1501">
      <c r="A1501" s="1" t="n"/>
      <c r="B1501" s="30" t="n"/>
      <c r="C1501" s="31" t="n"/>
      <c r="D1501" s="32" t="n"/>
      <c r="E1501" s="32" t="n"/>
      <c r="F1501" s="33" t="n"/>
      <c r="G1501" s="27">
        <f>IF(E1501="","",MAX(0,IFERROR(INDEX(Services!$C$6:$C$35,MATCH(E1501,Services!$B$6:$B$35,0)),0)-N(H1501)))</f>
        <v/>
      </c>
      <c r="H1501" s="34" t="n"/>
      <c r="I1501" s="34" t="n"/>
      <c r="J1501" s="33" t="n"/>
      <c r="K1501" s="28">
        <f>IF(OR(B1501="",F1501&lt;&gt;"Done",J1501="Package"),"",IF(N(G1501)-N(I1501)&gt;0,N(G1501)-N(I1501),""))</f>
        <v/>
      </c>
      <c r="L1501" s="32" t="n"/>
      <c r="M1501" s="1">
        <f>IF(OR(B1501="",D1501="",F1501="Cancelled"),"",B1501+N(C1501)+ROW()/10000000)</f>
        <v/>
      </c>
      <c r="N1501">
        <f>IF(AND(F1501="Done",M1501&lt;&gt;""),IF(COUNTIFS(Appointments!$D$6:$D$2005,D1501,Appointments!$F$6:$F$2005,"Done",Appointments!$M$6:$M$2005,"&gt;"&amp;M1501)=0,1,0),0)</f>
        <v/>
      </c>
      <c r="O1501">
        <f>IF(AND(F1501="Booked",M1501&lt;&gt;"",N(B1501)&gt;=TODAY()),IF(COUNTIFS(Appointments!$D$6:$D$2005,D1501,Appointments!$F$6:$F$2005,"Booked",Appointments!$B$6:$B$2005,"&gt;="&amp;TODAY(),Appointments!$M$6:$M$2005,"&lt;"&amp;M1501)=0,1,0),0)</f>
        <v/>
      </c>
    </row>
    <row r="1502">
      <c r="A1502" s="1" t="n"/>
      <c r="B1502" s="30" t="n"/>
      <c r="C1502" s="31" t="n"/>
      <c r="D1502" s="32" t="n"/>
      <c r="E1502" s="32" t="n"/>
      <c r="F1502" s="33" t="n"/>
      <c r="G1502" s="27">
        <f>IF(E1502="","",MAX(0,IFERROR(INDEX(Services!$C$6:$C$35,MATCH(E1502,Services!$B$6:$B$35,0)),0)-N(H1502)))</f>
        <v/>
      </c>
      <c r="H1502" s="34" t="n"/>
      <c r="I1502" s="34" t="n"/>
      <c r="J1502" s="33" t="n"/>
      <c r="K1502" s="28">
        <f>IF(OR(B1502="",F1502&lt;&gt;"Done",J1502="Package"),"",IF(N(G1502)-N(I1502)&gt;0,N(G1502)-N(I1502),""))</f>
        <v/>
      </c>
      <c r="L1502" s="32" t="n"/>
      <c r="M1502" s="1">
        <f>IF(OR(B1502="",D1502="",F1502="Cancelled"),"",B1502+N(C1502)+ROW()/10000000)</f>
        <v/>
      </c>
      <c r="N1502">
        <f>IF(AND(F1502="Done",M1502&lt;&gt;""),IF(COUNTIFS(Appointments!$D$6:$D$2005,D1502,Appointments!$F$6:$F$2005,"Done",Appointments!$M$6:$M$2005,"&gt;"&amp;M1502)=0,1,0),0)</f>
        <v/>
      </c>
      <c r="O1502">
        <f>IF(AND(F1502="Booked",M1502&lt;&gt;"",N(B1502)&gt;=TODAY()),IF(COUNTIFS(Appointments!$D$6:$D$2005,D1502,Appointments!$F$6:$F$2005,"Booked",Appointments!$B$6:$B$2005,"&gt;="&amp;TODAY(),Appointments!$M$6:$M$2005,"&lt;"&amp;M1502)=0,1,0),0)</f>
        <v/>
      </c>
    </row>
    <row r="1503">
      <c r="A1503" s="1" t="n"/>
      <c r="B1503" s="30" t="n"/>
      <c r="C1503" s="31" t="n"/>
      <c r="D1503" s="32" t="n"/>
      <c r="E1503" s="32" t="n"/>
      <c r="F1503" s="33" t="n"/>
      <c r="G1503" s="27">
        <f>IF(E1503="","",MAX(0,IFERROR(INDEX(Services!$C$6:$C$35,MATCH(E1503,Services!$B$6:$B$35,0)),0)-N(H1503)))</f>
        <v/>
      </c>
      <c r="H1503" s="34" t="n"/>
      <c r="I1503" s="34" t="n"/>
      <c r="J1503" s="33" t="n"/>
      <c r="K1503" s="28">
        <f>IF(OR(B1503="",F1503&lt;&gt;"Done",J1503="Package"),"",IF(N(G1503)-N(I1503)&gt;0,N(G1503)-N(I1503),""))</f>
        <v/>
      </c>
      <c r="L1503" s="32" t="n"/>
      <c r="M1503" s="1">
        <f>IF(OR(B1503="",D1503="",F1503="Cancelled"),"",B1503+N(C1503)+ROW()/10000000)</f>
        <v/>
      </c>
      <c r="N1503">
        <f>IF(AND(F1503="Done",M1503&lt;&gt;""),IF(COUNTIFS(Appointments!$D$6:$D$2005,D1503,Appointments!$F$6:$F$2005,"Done",Appointments!$M$6:$M$2005,"&gt;"&amp;M1503)=0,1,0),0)</f>
        <v/>
      </c>
      <c r="O1503">
        <f>IF(AND(F1503="Booked",M1503&lt;&gt;"",N(B1503)&gt;=TODAY()),IF(COUNTIFS(Appointments!$D$6:$D$2005,D1503,Appointments!$F$6:$F$2005,"Booked",Appointments!$B$6:$B$2005,"&gt;="&amp;TODAY(),Appointments!$M$6:$M$2005,"&lt;"&amp;M1503)=0,1,0),0)</f>
        <v/>
      </c>
    </row>
    <row r="1504">
      <c r="A1504" s="1" t="n"/>
      <c r="B1504" s="30" t="n"/>
      <c r="C1504" s="31" t="n"/>
      <c r="D1504" s="32" t="n"/>
      <c r="E1504" s="32" t="n"/>
      <c r="F1504" s="33" t="n"/>
      <c r="G1504" s="27">
        <f>IF(E1504="","",MAX(0,IFERROR(INDEX(Services!$C$6:$C$35,MATCH(E1504,Services!$B$6:$B$35,0)),0)-N(H1504)))</f>
        <v/>
      </c>
      <c r="H1504" s="34" t="n"/>
      <c r="I1504" s="34" t="n"/>
      <c r="J1504" s="33" t="n"/>
      <c r="K1504" s="28">
        <f>IF(OR(B1504="",F1504&lt;&gt;"Done",J1504="Package"),"",IF(N(G1504)-N(I1504)&gt;0,N(G1504)-N(I1504),""))</f>
        <v/>
      </c>
      <c r="L1504" s="32" t="n"/>
      <c r="M1504" s="1">
        <f>IF(OR(B1504="",D1504="",F1504="Cancelled"),"",B1504+N(C1504)+ROW()/10000000)</f>
        <v/>
      </c>
      <c r="N1504">
        <f>IF(AND(F1504="Done",M1504&lt;&gt;""),IF(COUNTIFS(Appointments!$D$6:$D$2005,D1504,Appointments!$F$6:$F$2005,"Done",Appointments!$M$6:$M$2005,"&gt;"&amp;M1504)=0,1,0),0)</f>
        <v/>
      </c>
      <c r="O1504">
        <f>IF(AND(F1504="Booked",M1504&lt;&gt;"",N(B1504)&gt;=TODAY()),IF(COUNTIFS(Appointments!$D$6:$D$2005,D1504,Appointments!$F$6:$F$2005,"Booked",Appointments!$B$6:$B$2005,"&gt;="&amp;TODAY(),Appointments!$M$6:$M$2005,"&lt;"&amp;M1504)=0,1,0),0)</f>
        <v/>
      </c>
    </row>
    <row r="1505">
      <c r="A1505" s="1" t="n"/>
      <c r="B1505" s="30" t="n"/>
      <c r="C1505" s="31" t="n"/>
      <c r="D1505" s="32" t="n"/>
      <c r="E1505" s="32" t="n"/>
      <c r="F1505" s="33" t="n"/>
      <c r="G1505" s="27">
        <f>IF(E1505="","",MAX(0,IFERROR(INDEX(Services!$C$6:$C$35,MATCH(E1505,Services!$B$6:$B$35,0)),0)-N(H1505)))</f>
        <v/>
      </c>
      <c r="H1505" s="34" t="n"/>
      <c r="I1505" s="34" t="n"/>
      <c r="J1505" s="33" t="n"/>
      <c r="K1505" s="28">
        <f>IF(OR(B1505="",F1505&lt;&gt;"Done",J1505="Package"),"",IF(N(G1505)-N(I1505)&gt;0,N(G1505)-N(I1505),""))</f>
        <v/>
      </c>
      <c r="L1505" s="32" t="n"/>
      <c r="M1505" s="1">
        <f>IF(OR(B1505="",D1505="",F1505="Cancelled"),"",B1505+N(C1505)+ROW()/10000000)</f>
        <v/>
      </c>
      <c r="N1505">
        <f>IF(AND(F1505="Done",M1505&lt;&gt;""),IF(COUNTIFS(Appointments!$D$6:$D$2005,D1505,Appointments!$F$6:$F$2005,"Done",Appointments!$M$6:$M$2005,"&gt;"&amp;M1505)=0,1,0),0)</f>
        <v/>
      </c>
      <c r="O1505">
        <f>IF(AND(F1505="Booked",M1505&lt;&gt;"",N(B1505)&gt;=TODAY()),IF(COUNTIFS(Appointments!$D$6:$D$2005,D1505,Appointments!$F$6:$F$2005,"Booked",Appointments!$B$6:$B$2005,"&gt;="&amp;TODAY(),Appointments!$M$6:$M$2005,"&lt;"&amp;M1505)=0,1,0),0)</f>
        <v/>
      </c>
    </row>
    <row r="1506">
      <c r="A1506" s="1" t="n"/>
      <c r="B1506" s="30" t="n"/>
      <c r="C1506" s="31" t="n"/>
      <c r="D1506" s="32" t="n"/>
      <c r="E1506" s="32" t="n"/>
      <c r="F1506" s="33" t="n"/>
      <c r="G1506" s="27">
        <f>IF(E1506="","",MAX(0,IFERROR(INDEX(Services!$C$6:$C$35,MATCH(E1506,Services!$B$6:$B$35,0)),0)-N(H1506)))</f>
        <v/>
      </c>
      <c r="H1506" s="34" t="n"/>
      <c r="I1506" s="34" t="n"/>
      <c r="J1506" s="33" t="n"/>
      <c r="K1506" s="28">
        <f>IF(OR(B1506="",F1506&lt;&gt;"Done",J1506="Package"),"",IF(N(G1506)-N(I1506)&gt;0,N(G1506)-N(I1506),""))</f>
        <v/>
      </c>
      <c r="L1506" s="32" t="n"/>
      <c r="M1506" s="1">
        <f>IF(OR(B1506="",D1506="",F1506="Cancelled"),"",B1506+N(C1506)+ROW()/10000000)</f>
        <v/>
      </c>
      <c r="N1506">
        <f>IF(AND(F1506="Done",M1506&lt;&gt;""),IF(COUNTIFS(Appointments!$D$6:$D$2005,D1506,Appointments!$F$6:$F$2005,"Done",Appointments!$M$6:$M$2005,"&gt;"&amp;M1506)=0,1,0),0)</f>
        <v/>
      </c>
      <c r="O1506">
        <f>IF(AND(F1506="Booked",M1506&lt;&gt;"",N(B1506)&gt;=TODAY()),IF(COUNTIFS(Appointments!$D$6:$D$2005,D1506,Appointments!$F$6:$F$2005,"Booked",Appointments!$B$6:$B$2005,"&gt;="&amp;TODAY(),Appointments!$M$6:$M$2005,"&lt;"&amp;M1506)=0,1,0),0)</f>
        <v/>
      </c>
    </row>
    <row r="1507">
      <c r="A1507" s="1" t="n"/>
      <c r="B1507" s="30" t="n"/>
      <c r="C1507" s="31" t="n"/>
      <c r="D1507" s="32" t="n"/>
      <c r="E1507" s="32" t="n"/>
      <c r="F1507" s="33" t="n"/>
      <c r="G1507" s="27">
        <f>IF(E1507="","",MAX(0,IFERROR(INDEX(Services!$C$6:$C$35,MATCH(E1507,Services!$B$6:$B$35,0)),0)-N(H1507)))</f>
        <v/>
      </c>
      <c r="H1507" s="34" t="n"/>
      <c r="I1507" s="34" t="n"/>
      <c r="J1507" s="33" t="n"/>
      <c r="K1507" s="28">
        <f>IF(OR(B1507="",F1507&lt;&gt;"Done",J1507="Package"),"",IF(N(G1507)-N(I1507)&gt;0,N(G1507)-N(I1507),""))</f>
        <v/>
      </c>
      <c r="L1507" s="32" t="n"/>
      <c r="M1507" s="1">
        <f>IF(OR(B1507="",D1507="",F1507="Cancelled"),"",B1507+N(C1507)+ROW()/10000000)</f>
        <v/>
      </c>
      <c r="N1507">
        <f>IF(AND(F1507="Done",M1507&lt;&gt;""),IF(COUNTIFS(Appointments!$D$6:$D$2005,D1507,Appointments!$F$6:$F$2005,"Done",Appointments!$M$6:$M$2005,"&gt;"&amp;M1507)=0,1,0),0)</f>
        <v/>
      </c>
      <c r="O1507">
        <f>IF(AND(F1507="Booked",M1507&lt;&gt;"",N(B1507)&gt;=TODAY()),IF(COUNTIFS(Appointments!$D$6:$D$2005,D1507,Appointments!$F$6:$F$2005,"Booked",Appointments!$B$6:$B$2005,"&gt;="&amp;TODAY(),Appointments!$M$6:$M$2005,"&lt;"&amp;M1507)=0,1,0),0)</f>
        <v/>
      </c>
    </row>
    <row r="1508">
      <c r="A1508" s="1" t="n"/>
      <c r="B1508" s="30" t="n"/>
      <c r="C1508" s="31" t="n"/>
      <c r="D1508" s="32" t="n"/>
      <c r="E1508" s="32" t="n"/>
      <c r="F1508" s="33" t="n"/>
      <c r="G1508" s="27">
        <f>IF(E1508="","",MAX(0,IFERROR(INDEX(Services!$C$6:$C$35,MATCH(E1508,Services!$B$6:$B$35,0)),0)-N(H1508)))</f>
        <v/>
      </c>
      <c r="H1508" s="34" t="n"/>
      <c r="I1508" s="34" t="n"/>
      <c r="J1508" s="33" t="n"/>
      <c r="K1508" s="28">
        <f>IF(OR(B1508="",F1508&lt;&gt;"Done",J1508="Package"),"",IF(N(G1508)-N(I1508)&gt;0,N(G1508)-N(I1508),""))</f>
        <v/>
      </c>
      <c r="L1508" s="32" t="n"/>
      <c r="M1508" s="1">
        <f>IF(OR(B1508="",D1508="",F1508="Cancelled"),"",B1508+N(C1508)+ROW()/10000000)</f>
        <v/>
      </c>
      <c r="N1508">
        <f>IF(AND(F1508="Done",M1508&lt;&gt;""),IF(COUNTIFS(Appointments!$D$6:$D$2005,D1508,Appointments!$F$6:$F$2005,"Done",Appointments!$M$6:$M$2005,"&gt;"&amp;M1508)=0,1,0),0)</f>
        <v/>
      </c>
      <c r="O1508">
        <f>IF(AND(F1508="Booked",M1508&lt;&gt;"",N(B1508)&gt;=TODAY()),IF(COUNTIFS(Appointments!$D$6:$D$2005,D1508,Appointments!$F$6:$F$2005,"Booked",Appointments!$B$6:$B$2005,"&gt;="&amp;TODAY(),Appointments!$M$6:$M$2005,"&lt;"&amp;M1508)=0,1,0),0)</f>
        <v/>
      </c>
    </row>
    <row r="1509">
      <c r="A1509" s="1" t="n"/>
      <c r="B1509" s="30" t="n"/>
      <c r="C1509" s="31" t="n"/>
      <c r="D1509" s="32" t="n"/>
      <c r="E1509" s="32" t="n"/>
      <c r="F1509" s="33" t="n"/>
      <c r="G1509" s="27">
        <f>IF(E1509="","",MAX(0,IFERROR(INDEX(Services!$C$6:$C$35,MATCH(E1509,Services!$B$6:$B$35,0)),0)-N(H1509)))</f>
        <v/>
      </c>
      <c r="H1509" s="34" t="n"/>
      <c r="I1509" s="34" t="n"/>
      <c r="J1509" s="33" t="n"/>
      <c r="K1509" s="28">
        <f>IF(OR(B1509="",F1509&lt;&gt;"Done",J1509="Package"),"",IF(N(G1509)-N(I1509)&gt;0,N(G1509)-N(I1509),""))</f>
        <v/>
      </c>
      <c r="L1509" s="32" t="n"/>
      <c r="M1509" s="1">
        <f>IF(OR(B1509="",D1509="",F1509="Cancelled"),"",B1509+N(C1509)+ROW()/10000000)</f>
        <v/>
      </c>
      <c r="N1509">
        <f>IF(AND(F1509="Done",M1509&lt;&gt;""),IF(COUNTIFS(Appointments!$D$6:$D$2005,D1509,Appointments!$F$6:$F$2005,"Done",Appointments!$M$6:$M$2005,"&gt;"&amp;M1509)=0,1,0),0)</f>
        <v/>
      </c>
      <c r="O1509">
        <f>IF(AND(F1509="Booked",M1509&lt;&gt;"",N(B1509)&gt;=TODAY()),IF(COUNTIFS(Appointments!$D$6:$D$2005,D1509,Appointments!$F$6:$F$2005,"Booked",Appointments!$B$6:$B$2005,"&gt;="&amp;TODAY(),Appointments!$M$6:$M$2005,"&lt;"&amp;M1509)=0,1,0),0)</f>
        <v/>
      </c>
    </row>
    <row r="1510">
      <c r="A1510" s="1" t="n"/>
      <c r="B1510" s="30" t="n"/>
      <c r="C1510" s="31" t="n"/>
      <c r="D1510" s="32" t="n"/>
      <c r="E1510" s="32" t="n"/>
      <c r="F1510" s="33" t="n"/>
      <c r="G1510" s="27">
        <f>IF(E1510="","",MAX(0,IFERROR(INDEX(Services!$C$6:$C$35,MATCH(E1510,Services!$B$6:$B$35,0)),0)-N(H1510)))</f>
        <v/>
      </c>
      <c r="H1510" s="34" t="n"/>
      <c r="I1510" s="34" t="n"/>
      <c r="J1510" s="33" t="n"/>
      <c r="K1510" s="28">
        <f>IF(OR(B1510="",F1510&lt;&gt;"Done",J1510="Package"),"",IF(N(G1510)-N(I1510)&gt;0,N(G1510)-N(I1510),""))</f>
        <v/>
      </c>
      <c r="L1510" s="32" t="n"/>
      <c r="M1510" s="1">
        <f>IF(OR(B1510="",D1510="",F1510="Cancelled"),"",B1510+N(C1510)+ROW()/10000000)</f>
        <v/>
      </c>
      <c r="N1510">
        <f>IF(AND(F1510="Done",M1510&lt;&gt;""),IF(COUNTIFS(Appointments!$D$6:$D$2005,D1510,Appointments!$F$6:$F$2005,"Done",Appointments!$M$6:$M$2005,"&gt;"&amp;M1510)=0,1,0),0)</f>
        <v/>
      </c>
      <c r="O1510">
        <f>IF(AND(F1510="Booked",M1510&lt;&gt;"",N(B1510)&gt;=TODAY()),IF(COUNTIFS(Appointments!$D$6:$D$2005,D1510,Appointments!$F$6:$F$2005,"Booked",Appointments!$B$6:$B$2005,"&gt;="&amp;TODAY(),Appointments!$M$6:$M$2005,"&lt;"&amp;M1510)=0,1,0),0)</f>
        <v/>
      </c>
    </row>
    <row r="1511">
      <c r="A1511" s="1" t="n"/>
      <c r="B1511" s="30" t="n"/>
      <c r="C1511" s="31" t="n"/>
      <c r="D1511" s="32" t="n"/>
      <c r="E1511" s="32" t="n"/>
      <c r="F1511" s="33" t="n"/>
      <c r="G1511" s="27">
        <f>IF(E1511="","",MAX(0,IFERROR(INDEX(Services!$C$6:$C$35,MATCH(E1511,Services!$B$6:$B$35,0)),0)-N(H1511)))</f>
        <v/>
      </c>
      <c r="H1511" s="34" t="n"/>
      <c r="I1511" s="34" t="n"/>
      <c r="J1511" s="33" t="n"/>
      <c r="K1511" s="28">
        <f>IF(OR(B1511="",F1511&lt;&gt;"Done",J1511="Package"),"",IF(N(G1511)-N(I1511)&gt;0,N(G1511)-N(I1511),""))</f>
        <v/>
      </c>
      <c r="L1511" s="32" t="n"/>
      <c r="M1511" s="1">
        <f>IF(OR(B1511="",D1511="",F1511="Cancelled"),"",B1511+N(C1511)+ROW()/10000000)</f>
        <v/>
      </c>
      <c r="N1511">
        <f>IF(AND(F1511="Done",M1511&lt;&gt;""),IF(COUNTIFS(Appointments!$D$6:$D$2005,D1511,Appointments!$F$6:$F$2005,"Done",Appointments!$M$6:$M$2005,"&gt;"&amp;M1511)=0,1,0),0)</f>
        <v/>
      </c>
      <c r="O1511">
        <f>IF(AND(F1511="Booked",M1511&lt;&gt;"",N(B1511)&gt;=TODAY()),IF(COUNTIFS(Appointments!$D$6:$D$2005,D1511,Appointments!$F$6:$F$2005,"Booked",Appointments!$B$6:$B$2005,"&gt;="&amp;TODAY(),Appointments!$M$6:$M$2005,"&lt;"&amp;M1511)=0,1,0),0)</f>
        <v/>
      </c>
    </row>
    <row r="1512">
      <c r="A1512" s="1" t="n"/>
      <c r="B1512" s="30" t="n"/>
      <c r="C1512" s="31" t="n"/>
      <c r="D1512" s="32" t="n"/>
      <c r="E1512" s="32" t="n"/>
      <c r="F1512" s="33" t="n"/>
      <c r="G1512" s="27">
        <f>IF(E1512="","",MAX(0,IFERROR(INDEX(Services!$C$6:$C$35,MATCH(E1512,Services!$B$6:$B$35,0)),0)-N(H1512)))</f>
        <v/>
      </c>
      <c r="H1512" s="34" t="n"/>
      <c r="I1512" s="34" t="n"/>
      <c r="J1512" s="33" t="n"/>
      <c r="K1512" s="28">
        <f>IF(OR(B1512="",F1512&lt;&gt;"Done",J1512="Package"),"",IF(N(G1512)-N(I1512)&gt;0,N(G1512)-N(I1512),""))</f>
        <v/>
      </c>
      <c r="L1512" s="32" t="n"/>
      <c r="M1512" s="1">
        <f>IF(OR(B1512="",D1512="",F1512="Cancelled"),"",B1512+N(C1512)+ROW()/10000000)</f>
        <v/>
      </c>
      <c r="N1512">
        <f>IF(AND(F1512="Done",M1512&lt;&gt;""),IF(COUNTIFS(Appointments!$D$6:$D$2005,D1512,Appointments!$F$6:$F$2005,"Done",Appointments!$M$6:$M$2005,"&gt;"&amp;M1512)=0,1,0),0)</f>
        <v/>
      </c>
      <c r="O1512">
        <f>IF(AND(F1512="Booked",M1512&lt;&gt;"",N(B1512)&gt;=TODAY()),IF(COUNTIFS(Appointments!$D$6:$D$2005,D1512,Appointments!$F$6:$F$2005,"Booked",Appointments!$B$6:$B$2005,"&gt;="&amp;TODAY(),Appointments!$M$6:$M$2005,"&lt;"&amp;M1512)=0,1,0),0)</f>
        <v/>
      </c>
    </row>
    <row r="1513">
      <c r="A1513" s="1" t="n"/>
      <c r="B1513" s="30" t="n"/>
      <c r="C1513" s="31" t="n"/>
      <c r="D1513" s="32" t="n"/>
      <c r="E1513" s="32" t="n"/>
      <c r="F1513" s="33" t="n"/>
      <c r="G1513" s="27">
        <f>IF(E1513="","",MAX(0,IFERROR(INDEX(Services!$C$6:$C$35,MATCH(E1513,Services!$B$6:$B$35,0)),0)-N(H1513)))</f>
        <v/>
      </c>
      <c r="H1513" s="34" t="n"/>
      <c r="I1513" s="34" t="n"/>
      <c r="J1513" s="33" t="n"/>
      <c r="K1513" s="28">
        <f>IF(OR(B1513="",F1513&lt;&gt;"Done",J1513="Package"),"",IF(N(G1513)-N(I1513)&gt;0,N(G1513)-N(I1513),""))</f>
        <v/>
      </c>
      <c r="L1513" s="32" t="n"/>
      <c r="M1513" s="1">
        <f>IF(OR(B1513="",D1513="",F1513="Cancelled"),"",B1513+N(C1513)+ROW()/10000000)</f>
        <v/>
      </c>
      <c r="N1513">
        <f>IF(AND(F1513="Done",M1513&lt;&gt;""),IF(COUNTIFS(Appointments!$D$6:$D$2005,D1513,Appointments!$F$6:$F$2005,"Done",Appointments!$M$6:$M$2005,"&gt;"&amp;M1513)=0,1,0),0)</f>
        <v/>
      </c>
      <c r="O1513">
        <f>IF(AND(F1513="Booked",M1513&lt;&gt;"",N(B1513)&gt;=TODAY()),IF(COUNTIFS(Appointments!$D$6:$D$2005,D1513,Appointments!$F$6:$F$2005,"Booked",Appointments!$B$6:$B$2005,"&gt;="&amp;TODAY(),Appointments!$M$6:$M$2005,"&lt;"&amp;M1513)=0,1,0),0)</f>
        <v/>
      </c>
    </row>
    <row r="1514">
      <c r="A1514" s="1" t="n"/>
      <c r="B1514" s="30" t="n"/>
      <c r="C1514" s="31" t="n"/>
      <c r="D1514" s="32" t="n"/>
      <c r="E1514" s="32" t="n"/>
      <c r="F1514" s="33" t="n"/>
      <c r="G1514" s="27">
        <f>IF(E1514="","",MAX(0,IFERROR(INDEX(Services!$C$6:$C$35,MATCH(E1514,Services!$B$6:$B$35,0)),0)-N(H1514)))</f>
        <v/>
      </c>
      <c r="H1514" s="34" t="n"/>
      <c r="I1514" s="34" t="n"/>
      <c r="J1514" s="33" t="n"/>
      <c r="K1514" s="28">
        <f>IF(OR(B1514="",F1514&lt;&gt;"Done",J1514="Package"),"",IF(N(G1514)-N(I1514)&gt;0,N(G1514)-N(I1514),""))</f>
        <v/>
      </c>
      <c r="L1514" s="32" t="n"/>
      <c r="M1514" s="1">
        <f>IF(OR(B1514="",D1514="",F1514="Cancelled"),"",B1514+N(C1514)+ROW()/10000000)</f>
        <v/>
      </c>
      <c r="N1514">
        <f>IF(AND(F1514="Done",M1514&lt;&gt;""),IF(COUNTIFS(Appointments!$D$6:$D$2005,D1514,Appointments!$F$6:$F$2005,"Done",Appointments!$M$6:$M$2005,"&gt;"&amp;M1514)=0,1,0),0)</f>
        <v/>
      </c>
      <c r="O1514">
        <f>IF(AND(F1514="Booked",M1514&lt;&gt;"",N(B1514)&gt;=TODAY()),IF(COUNTIFS(Appointments!$D$6:$D$2005,D1514,Appointments!$F$6:$F$2005,"Booked",Appointments!$B$6:$B$2005,"&gt;="&amp;TODAY(),Appointments!$M$6:$M$2005,"&lt;"&amp;M1514)=0,1,0),0)</f>
        <v/>
      </c>
    </row>
    <row r="1515">
      <c r="A1515" s="1" t="n"/>
      <c r="B1515" s="30" t="n"/>
      <c r="C1515" s="31" t="n"/>
      <c r="D1515" s="32" t="n"/>
      <c r="E1515" s="32" t="n"/>
      <c r="F1515" s="33" t="n"/>
      <c r="G1515" s="27">
        <f>IF(E1515="","",MAX(0,IFERROR(INDEX(Services!$C$6:$C$35,MATCH(E1515,Services!$B$6:$B$35,0)),0)-N(H1515)))</f>
        <v/>
      </c>
      <c r="H1515" s="34" t="n"/>
      <c r="I1515" s="34" t="n"/>
      <c r="J1515" s="33" t="n"/>
      <c r="K1515" s="28">
        <f>IF(OR(B1515="",F1515&lt;&gt;"Done",J1515="Package"),"",IF(N(G1515)-N(I1515)&gt;0,N(G1515)-N(I1515),""))</f>
        <v/>
      </c>
      <c r="L1515" s="32" t="n"/>
      <c r="M1515" s="1">
        <f>IF(OR(B1515="",D1515="",F1515="Cancelled"),"",B1515+N(C1515)+ROW()/10000000)</f>
        <v/>
      </c>
      <c r="N1515">
        <f>IF(AND(F1515="Done",M1515&lt;&gt;""),IF(COUNTIFS(Appointments!$D$6:$D$2005,D1515,Appointments!$F$6:$F$2005,"Done",Appointments!$M$6:$M$2005,"&gt;"&amp;M1515)=0,1,0),0)</f>
        <v/>
      </c>
      <c r="O1515">
        <f>IF(AND(F1515="Booked",M1515&lt;&gt;"",N(B1515)&gt;=TODAY()),IF(COUNTIFS(Appointments!$D$6:$D$2005,D1515,Appointments!$F$6:$F$2005,"Booked",Appointments!$B$6:$B$2005,"&gt;="&amp;TODAY(),Appointments!$M$6:$M$2005,"&lt;"&amp;M1515)=0,1,0),0)</f>
        <v/>
      </c>
    </row>
    <row r="1516">
      <c r="A1516" s="1" t="n"/>
      <c r="B1516" s="30" t="n"/>
      <c r="C1516" s="31" t="n"/>
      <c r="D1516" s="32" t="n"/>
      <c r="E1516" s="32" t="n"/>
      <c r="F1516" s="33" t="n"/>
      <c r="G1516" s="27">
        <f>IF(E1516="","",MAX(0,IFERROR(INDEX(Services!$C$6:$C$35,MATCH(E1516,Services!$B$6:$B$35,0)),0)-N(H1516)))</f>
        <v/>
      </c>
      <c r="H1516" s="34" t="n"/>
      <c r="I1516" s="34" t="n"/>
      <c r="J1516" s="33" t="n"/>
      <c r="K1516" s="28">
        <f>IF(OR(B1516="",F1516&lt;&gt;"Done",J1516="Package"),"",IF(N(G1516)-N(I1516)&gt;0,N(G1516)-N(I1516),""))</f>
        <v/>
      </c>
      <c r="L1516" s="32" t="n"/>
      <c r="M1516" s="1">
        <f>IF(OR(B1516="",D1516="",F1516="Cancelled"),"",B1516+N(C1516)+ROW()/10000000)</f>
        <v/>
      </c>
      <c r="N1516">
        <f>IF(AND(F1516="Done",M1516&lt;&gt;""),IF(COUNTIFS(Appointments!$D$6:$D$2005,D1516,Appointments!$F$6:$F$2005,"Done",Appointments!$M$6:$M$2005,"&gt;"&amp;M1516)=0,1,0),0)</f>
        <v/>
      </c>
      <c r="O1516">
        <f>IF(AND(F1516="Booked",M1516&lt;&gt;"",N(B1516)&gt;=TODAY()),IF(COUNTIFS(Appointments!$D$6:$D$2005,D1516,Appointments!$F$6:$F$2005,"Booked",Appointments!$B$6:$B$2005,"&gt;="&amp;TODAY(),Appointments!$M$6:$M$2005,"&lt;"&amp;M1516)=0,1,0),0)</f>
        <v/>
      </c>
    </row>
    <row r="1517">
      <c r="A1517" s="1" t="n"/>
      <c r="B1517" s="30" t="n"/>
      <c r="C1517" s="31" t="n"/>
      <c r="D1517" s="32" t="n"/>
      <c r="E1517" s="32" t="n"/>
      <c r="F1517" s="33" t="n"/>
      <c r="G1517" s="27">
        <f>IF(E1517="","",MAX(0,IFERROR(INDEX(Services!$C$6:$C$35,MATCH(E1517,Services!$B$6:$B$35,0)),0)-N(H1517)))</f>
        <v/>
      </c>
      <c r="H1517" s="34" t="n"/>
      <c r="I1517" s="34" t="n"/>
      <c r="J1517" s="33" t="n"/>
      <c r="K1517" s="28">
        <f>IF(OR(B1517="",F1517&lt;&gt;"Done",J1517="Package"),"",IF(N(G1517)-N(I1517)&gt;0,N(G1517)-N(I1517),""))</f>
        <v/>
      </c>
      <c r="L1517" s="32" t="n"/>
      <c r="M1517" s="1">
        <f>IF(OR(B1517="",D1517="",F1517="Cancelled"),"",B1517+N(C1517)+ROW()/10000000)</f>
        <v/>
      </c>
      <c r="N1517">
        <f>IF(AND(F1517="Done",M1517&lt;&gt;""),IF(COUNTIFS(Appointments!$D$6:$D$2005,D1517,Appointments!$F$6:$F$2005,"Done",Appointments!$M$6:$M$2005,"&gt;"&amp;M1517)=0,1,0),0)</f>
        <v/>
      </c>
      <c r="O1517">
        <f>IF(AND(F1517="Booked",M1517&lt;&gt;"",N(B1517)&gt;=TODAY()),IF(COUNTIFS(Appointments!$D$6:$D$2005,D1517,Appointments!$F$6:$F$2005,"Booked",Appointments!$B$6:$B$2005,"&gt;="&amp;TODAY(),Appointments!$M$6:$M$2005,"&lt;"&amp;M1517)=0,1,0),0)</f>
        <v/>
      </c>
    </row>
    <row r="1518">
      <c r="A1518" s="1" t="n"/>
      <c r="B1518" s="30" t="n"/>
      <c r="C1518" s="31" t="n"/>
      <c r="D1518" s="32" t="n"/>
      <c r="E1518" s="32" t="n"/>
      <c r="F1518" s="33" t="n"/>
      <c r="G1518" s="27">
        <f>IF(E1518="","",MAX(0,IFERROR(INDEX(Services!$C$6:$C$35,MATCH(E1518,Services!$B$6:$B$35,0)),0)-N(H1518)))</f>
        <v/>
      </c>
      <c r="H1518" s="34" t="n"/>
      <c r="I1518" s="34" t="n"/>
      <c r="J1518" s="33" t="n"/>
      <c r="K1518" s="28">
        <f>IF(OR(B1518="",F1518&lt;&gt;"Done",J1518="Package"),"",IF(N(G1518)-N(I1518)&gt;0,N(G1518)-N(I1518),""))</f>
        <v/>
      </c>
      <c r="L1518" s="32" t="n"/>
      <c r="M1518" s="1">
        <f>IF(OR(B1518="",D1518="",F1518="Cancelled"),"",B1518+N(C1518)+ROW()/10000000)</f>
        <v/>
      </c>
      <c r="N1518">
        <f>IF(AND(F1518="Done",M1518&lt;&gt;""),IF(COUNTIFS(Appointments!$D$6:$D$2005,D1518,Appointments!$F$6:$F$2005,"Done",Appointments!$M$6:$M$2005,"&gt;"&amp;M1518)=0,1,0),0)</f>
        <v/>
      </c>
      <c r="O1518">
        <f>IF(AND(F1518="Booked",M1518&lt;&gt;"",N(B1518)&gt;=TODAY()),IF(COUNTIFS(Appointments!$D$6:$D$2005,D1518,Appointments!$F$6:$F$2005,"Booked",Appointments!$B$6:$B$2005,"&gt;="&amp;TODAY(),Appointments!$M$6:$M$2005,"&lt;"&amp;M1518)=0,1,0),0)</f>
        <v/>
      </c>
    </row>
    <row r="1519">
      <c r="A1519" s="1" t="n"/>
      <c r="B1519" s="30" t="n"/>
      <c r="C1519" s="31" t="n"/>
      <c r="D1519" s="32" t="n"/>
      <c r="E1519" s="32" t="n"/>
      <c r="F1519" s="33" t="n"/>
      <c r="G1519" s="27">
        <f>IF(E1519="","",MAX(0,IFERROR(INDEX(Services!$C$6:$C$35,MATCH(E1519,Services!$B$6:$B$35,0)),0)-N(H1519)))</f>
        <v/>
      </c>
      <c r="H1519" s="34" t="n"/>
      <c r="I1519" s="34" t="n"/>
      <c r="J1519" s="33" t="n"/>
      <c r="K1519" s="28">
        <f>IF(OR(B1519="",F1519&lt;&gt;"Done",J1519="Package"),"",IF(N(G1519)-N(I1519)&gt;0,N(G1519)-N(I1519),""))</f>
        <v/>
      </c>
      <c r="L1519" s="32" t="n"/>
      <c r="M1519" s="1">
        <f>IF(OR(B1519="",D1519="",F1519="Cancelled"),"",B1519+N(C1519)+ROW()/10000000)</f>
        <v/>
      </c>
      <c r="N1519">
        <f>IF(AND(F1519="Done",M1519&lt;&gt;""),IF(COUNTIFS(Appointments!$D$6:$D$2005,D1519,Appointments!$F$6:$F$2005,"Done",Appointments!$M$6:$M$2005,"&gt;"&amp;M1519)=0,1,0),0)</f>
        <v/>
      </c>
      <c r="O1519">
        <f>IF(AND(F1519="Booked",M1519&lt;&gt;"",N(B1519)&gt;=TODAY()),IF(COUNTIFS(Appointments!$D$6:$D$2005,D1519,Appointments!$F$6:$F$2005,"Booked",Appointments!$B$6:$B$2005,"&gt;="&amp;TODAY(),Appointments!$M$6:$M$2005,"&lt;"&amp;M1519)=0,1,0),0)</f>
        <v/>
      </c>
    </row>
    <row r="1520">
      <c r="A1520" s="1" t="n"/>
      <c r="B1520" s="30" t="n"/>
      <c r="C1520" s="31" t="n"/>
      <c r="D1520" s="32" t="n"/>
      <c r="E1520" s="32" t="n"/>
      <c r="F1520" s="33" t="n"/>
      <c r="G1520" s="27">
        <f>IF(E1520="","",MAX(0,IFERROR(INDEX(Services!$C$6:$C$35,MATCH(E1520,Services!$B$6:$B$35,0)),0)-N(H1520)))</f>
        <v/>
      </c>
      <c r="H1520" s="34" t="n"/>
      <c r="I1520" s="34" t="n"/>
      <c r="J1520" s="33" t="n"/>
      <c r="K1520" s="28">
        <f>IF(OR(B1520="",F1520&lt;&gt;"Done",J1520="Package"),"",IF(N(G1520)-N(I1520)&gt;0,N(G1520)-N(I1520),""))</f>
        <v/>
      </c>
      <c r="L1520" s="32" t="n"/>
      <c r="M1520" s="1">
        <f>IF(OR(B1520="",D1520="",F1520="Cancelled"),"",B1520+N(C1520)+ROW()/10000000)</f>
        <v/>
      </c>
      <c r="N1520">
        <f>IF(AND(F1520="Done",M1520&lt;&gt;""),IF(COUNTIFS(Appointments!$D$6:$D$2005,D1520,Appointments!$F$6:$F$2005,"Done",Appointments!$M$6:$M$2005,"&gt;"&amp;M1520)=0,1,0),0)</f>
        <v/>
      </c>
      <c r="O1520">
        <f>IF(AND(F1520="Booked",M1520&lt;&gt;"",N(B1520)&gt;=TODAY()),IF(COUNTIFS(Appointments!$D$6:$D$2005,D1520,Appointments!$F$6:$F$2005,"Booked",Appointments!$B$6:$B$2005,"&gt;="&amp;TODAY(),Appointments!$M$6:$M$2005,"&lt;"&amp;M1520)=0,1,0),0)</f>
        <v/>
      </c>
    </row>
    <row r="1521">
      <c r="A1521" s="1" t="n"/>
      <c r="B1521" s="30" t="n"/>
      <c r="C1521" s="31" t="n"/>
      <c r="D1521" s="32" t="n"/>
      <c r="E1521" s="32" t="n"/>
      <c r="F1521" s="33" t="n"/>
      <c r="G1521" s="27">
        <f>IF(E1521="","",MAX(0,IFERROR(INDEX(Services!$C$6:$C$35,MATCH(E1521,Services!$B$6:$B$35,0)),0)-N(H1521)))</f>
        <v/>
      </c>
      <c r="H1521" s="34" t="n"/>
      <c r="I1521" s="34" t="n"/>
      <c r="J1521" s="33" t="n"/>
      <c r="K1521" s="28">
        <f>IF(OR(B1521="",F1521&lt;&gt;"Done",J1521="Package"),"",IF(N(G1521)-N(I1521)&gt;0,N(G1521)-N(I1521),""))</f>
        <v/>
      </c>
      <c r="L1521" s="32" t="n"/>
      <c r="M1521" s="1">
        <f>IF(OR(B1521="",D1521="",F1521="Cancelled"),"",B1521+N(C1521)+ROW()/10000000)</f>
        <v/>
      </c>
      <c r="N1521">
        <f>IF(AND(F1521="Done",M1521&lt;&gt;""),IF(COUNTIFS(Appointments!$D$6:$D$2005,D1521,Appointments!$F$6:$F$2005,"Done",Appointments!$M$6:$M$2005,"&gt;"&amp;M1521)=0,1,0),0)</f>
        <v/>
      </c>
      <c r="O1521">
        <f>IF(AND(F1521="Booked",M1521&lt;&gt;"",N(B1521)&gt;=TODAY()),IF(COUNTIFS(Appointments!$D$6:$D$2005,D1521,Appointments!$F$6:$F$2005,"Booked",Appointments!$B$6:$B$2005,"&gt;="&amp;TODAY(),Appointments!$M$6:$M$2005,"&lt;"&amp;M1521)=0,1,0),0)</f>
        <v/>
      </c>
    </row>
    <row r="1522">
      <c r="A1522" s="1" t="n"/>
      <c r="B1522" s="30" t="n"/>
      <c r="C1522" s="31" t="n"/>
      <c r="D1522" s="32" t="n"/>
      <c r="E1522" s="32" t="n"/>
      <c r="F1522" s="33" t="n"/>
      <c r="G1522" s="27">
        <f>IF(E1522="","",MAX(0,IFERROR(INDEX(Services!$C$6:$C$35,MATCH(E1522,Services!$B$6:$B$35,0)),0)-N(H1522)))</f>
        <v/>
      </c>
      <c r="H1522" s="34" t="n"/>
      <c r="I1522" s="34" t="n"/>
      <c r="J1522" s="33" t="n"/>
      <c r="K1522" s="28">
        <f>IF(OR(B1522="",F1522&lt;&gt;"Done",J1522="Package"),"",IF(N(G1522)-N(I1522)&gt;0,N(G1522)-N(I1522),""))</f>
        <v/>
      </c>
      <c r="L1522" s="32" t="n"/>
      <c r="M1522" s="1">
        <f>IF(OR(B1522="",D1522="",F1522="Cancelled"),"",B1522+N(C1522)+ROW()/10000000)</f>
        <v/>
      </c>
      <c r="N1522">
        <f>IF(AND(F1522="Done",M1522&lt;&gt;""),IF(COUNTIFS(Appointments!$D$6:$D$2005,D1522,Appointments!$F$6:$F$2005,"Done",Appointments!$M$6:$M$2005,"&gt;"&amp;M1522)=0,1,0),0)</f>
        <v/>
      </c>
      <c r="O1522">
        <f>IF(AND(F1522="Booked",M1522&lt;&gt;"",N(B1522)&gt;=TODAY()),IF(COUNTIFS(Appointments!$D$6:$D$2005,D1522,Appointments!$F$6:$F$2005,"Booked",Appointments!$B$6:$B$2005,"&gt;="&amp;TODAY(),Appointments!$M$6:$M$2005,"&lt;"&amp;M1522)=0,1,0),0)</f>
        <v/>
      </c>
    </row>
    <row r="1523">
      <c r="A1523" s="1" t="n"/>
      <c r="B1523" s="30" t="n"/>
      <c r="C1523" s="31" t="n"/>
      <c r="D1523" s="32" t="n"/>
      <c r="E1523" s="32" t="n"/>
      <c r="F1523" s="33" t="n"/>
      <c r="G1523" s="27">
        <f>IF(E1523="","",MAX(0,IFERROR(INDEX(Services!$C$6:$C$35,MATCH(E1523,Services!$B$6:$B$35,0)),0)-N(H1523)))</f>
        <v/>
      </c>
      <c r="H1523" s="34" t="n"/>
      <c r="I1523" s="34" t="n"/>
      <c r="J1523" s="33" t="n"/>
      <c r="K1523" s="28">
        <f>IF(OR(B1523="",F1523&lt;&gt;"Done",J1523="Package"),"",IF(N(G1523)-N(I1523)&gt;0,N(G1523)-N(I1523),""))</f>
        <v/>
      </c>
      <c r="L1523" s="32" t="n"/>
      <c r="M1523" s="1">
        <f>IF(OR(B1523="",D1523="",F1523="Cancelled"),"",B1523+N(C1523)+ROW()/10000000)</f>
        <v/>
      </c>
      <c r="N1523">
        <f>IF(AND(F1523="Done",M1523&lt;&gt;""),IF(COUNTIFS(Appointments!$D$6:$D$2005,D1523,Appointments!$F$6:$F$2005,"Done",Appointments!$M$6:$M$2005,"&gt;"&amp;M1523)=0,1,0),0)</f>
        <v/>
      </c>
      <c r="O1523">
        <f>IF(AND(F1523="Booked",M1523&lt;&gt;"",N(B1523)&gt;=TODAY()),IF(COUNTIFS(Appointments!$D$6:$D$2005,D1523,Appointments!$F$6:$F$2005,"Booked",Appointments!$B$6:$B$2005,"&gt;="&amp;TODAY(),Appointments!$M$6:$M$2005,"&lt;"&amp;M1523)=0,1,0),0)</f>
        <v/>
      </c>
    </row>
    <row r="1524">
      <c r="A1524" s="1" t="n"/>
      <c r="B1524" s="30" t="n"/>
      <c r="C1524" s="31" t="n"/>
      <c r="D1524" s="32" t="n"/>
      <c r="E1524" s="32" t="n"/>
      <c r="F1524" s="33" t="n"/>
      <c r="G1524" s="27">
        <f>IF(E1524="","",MAX(0,IFERROR(INDEX(Services!$C$6:$C$35,MATCH(E1524,Services!$B$6:$B$35,0)),0)-N(H1524)))</f>
        <v/>
      </c>
      <c r="H1524" s="34" t="n"/>
      <c r="I1524" s="34" t="n"/>
      <c r="J1524" s="33" t="n"/>
      <c r="K1524" s="28">
        <f>IF(OR(B1524="",F1524&lt;&gt;"Done",J1524="Package"),"",IF(N(G1524)-N(I1524)&gt;0,N(G1524)-N(I1524),""))</f>
        <v/>
      </c>
      <c r="L1524" s="32" t="n"/>
      <c r="M1524" s="1">
        <f>IF(OR(B1524="",D1524="",F1524="Cancelled"),"",B1524+N(C1524)+ROW()/10000000)</f>
        <v/>
      </c>
      <c r="N1524">
        <f>IF(AND(F1524="Done",M1524&lt;&gt;""),IF(COUNTIFS(Appointments!$D$6:$D$2005,D1524,Appointments!$F$6:$F$2005,"Done",Appointments!$M$6:$M$2005,"&gt;"&amp;M1524)=0,1,0),0)</f>
        <v/>
      </c>
      <c r="O1524">
        <f>IF(AND(F1524="Booked",M1524&lt;&gt;"",N(B1524)&gt;=TODAY()),IF(COUNTIFS(Appointments!$D$6:$D$2005,D1524,Appointments!$F$6:$F$2005,"Booked",Appointments!$B$6:$B$2005,"&gt;="&amp;TODAY(),Appointments!$M$6:$M$2005,"&lt;"&amp;M1524)=0,1,0),0)</f>
        <v/>
      </c>
    </row>
    <row r="1525">
      <c r="A1525" s="1" t="n"/>
      <c r="B1525" s="30" t="n"/>
      <c r="C1525" s="31" t="n"/>
      <c r="D1525" s="32" t="n"/>
      <c r="E1525" s="32" t="n"/>
      <c r="F1525" s="33" t="n"/>
      <c r="G1525" s="27">
        <f>IF(E1525="","",MAX(0,IFERROR(INDEX(Services!$C$6:$C$35,MATCH(E1525,Services!$B$6:$B$35,0)),0)-N(H1525)))</f>
        <v/>
      </c>
      <c r="H1525" s="34" t="n"/>
      <c r="I1525" s="34" t="n"/>
      <c r="J1525" s="33" t="n"/>
      <c r="K1525" s="28">
        <f>IF(OR(B1525="",F1525&lt;&gt;"Done",J1525="Package"),"",IF(N(G1525)-N(I1525)&gt;0,N(G1525)-N(I1525),""))</f>
        <v/>
      </c>
      <c r="L1525" s="32" t="n"/>
      <c r="M1525" s="1">
        <f>IF(OR(B1525="",D1525="",F1525="Cancelled"),"",B1525+N(C1525)+ROW()/10000000)</f>
        <v/>
      </c>
      <c r="N1525">
        <f>IF(AND(F1525="Done",M1525&lt;&gt;""),IF(COUNTIFS(Appointments!$D$6:$D$2005,D1525,Appointments!$F$6:$F$2005,"Done",Appointments!$M$6:$M$2005,"&gt;"&amp;M1525)=0,1,0),0)</f>
        <v/>
      </c>
      <c r="O1525">
        <f>IF(AND(F1525="Booked",M1525&lt;&gt;"",N(B1525)&gt;=TODAY()),IF(COUNTIFS(Appointments!$D$6:$D$2005,D1525,Appointments!$F$6:$F$2005,"Booked",Appointments!$B$6:$B$2005,"&gt;="&amp;TODAY(),Appointments!$M$6:$M$2005,"&lt;"&amp;M1525)=0,1,0),0)</f>
        <v/>
      </c>
    </row>
    <row r="1526">
      <c r="A1526" s="1" t="n"/>
      <c r="B1526" s="30" t="n"/>
      <c r="C1526" s="31" t="n"/>
      <c r="D1526" s="32" t="n"/>
      <c r="E1526" s="32" t="n"/>
      <c r="F1526" s="33" t="n"/>
      <c r="G1526" s="27">
        <f>IF(E1526="","",MAX(0,IFERROR(INDEX(Services!$C$6:$C$35,MATCH(E1526,Services!$B$6:$B$35,0)),0)-N(H1526)))</f>
        <v/>
      </c>
      <c r="H1526" s="34" t="n"/>
      <c r="I1526" s="34" t="n"/>
      <c r="J1526" s="33" t="n"/>
      <c r="K1526" s="28">
        <f>IF(OR(B1526="",F1526&lt;&gt;"Done",J1526="Package"),"",IF(N(G1526)-N(I1526)&gt;0,N(G1526)-N(I1526),""))</f>
        <v/>
      </c>
      <c r="L1526" s="32" t="n"/>
      <c r="M1526" s="1">
        <f>IF(OR(B1526="",D1526="",F1526="Cancelled"),"",B1526+N(C1526)+ROW()/10000000)</f>
        <v/>
      </c>
      <c r="N1526">
        <f>IF(AND(F1526="Done",M1526&lt;&gt;""),IF(COUNTIFS(Appointments!$D$6:$D$2005,D1526,Appointments!$F$6:$F$2005,"Done",Appointments!$M$6:$M$2005,"&gt;"&amp;M1526)=0,1,0),0)</f>
        <v/>
      </c>
      <c r="O1526">
        <f>IF(AND(F1526="Booked",M1526&lt;&gt;"",N(B1526)&gt;=TODAY()),IF(COUNTIFS(Appointments!$D$6:$D$2005,D1526,Appointments!$F$6:$F$2005,"Booked",Appointments!$B$6:$B$2005,"&gt;="&amp;TODAY(),Appointments!$M$6:$M$2005,"&lt;"&amp;M1526)=0,1,0),0)</f>
        <v/>
      </c>
    </row>
    <row r="1527">
      <c r="A1527" s="1" t="n"/>
      <c r="B1527" s="30" t="n"/>
      <c r="C1527" s="31" t="n"/>
      <c r="D1527" s="32" t="n"/>
      <c r="E1527" s="32" t="n"/>
      <c r="F1527" s="33" t="n"/>
      <c r="G1527" s="27">
        <f>IF(E1527="","",MAX(0,IFERROR(INDEX(Services!$C$6:$C$35,MATCH(E1527,Services!$B$6:$B$35,0)),0)-N(H1527)))</f>
        <v/>
      </c>
      <c r="H1527" s="34" t="n"/>
      <c r="I1527" s="34" t="n"/>
      <c r="J1527" s="33" t="n"/>
      <c r="K1527" s="28">
        <f>IF(OR(B1527="",F1527&lt;&gt;"Done",J1527="Package"),"",IF(N(G1527)-N(I1527)&gt;0,N(G1527)-N(I1527),""))</f>
        <v/>
      </c>
      <c r="L1527" s="32" t="n"/>
      <c r="M1527" s="1">
        <f>IF(OR(B1527="",D1527="",F1527="Cancelled"),"",B1527+N(C1527)+ROW()/10000000)</f>
        <v/>
      </c>
      <c r="N1527">
        <f>IF(AND(F1527="Done",M1527&lt;&gt;""),IF(COUNTIFS(Appointments!$D$6:$D$2005,D1527,Appointments!$F$6:$F$2005,"Done",Appointments!$M$6:$M$2005,"&gt;"&amp;M1527)=0,1,0),0)</f>
        <v/>
      </c>
      <c r="O1527">
        <f>IF(AND(F1527="Booked",M1527&lt;&gt;"",N(B1527)&gt;=TODAY()),IF(COUNTIFS(Appointments!$D$6:$D$2005,D1527,Appointments!$F$6:$F$2005,"Booked",Appointments!$B$6:$B$2005,"&gt;="&amp;TODAY(),Appointments!$M$6:$M$2005,"&lt;"&amp;M1527)=0,1,0),0)</f>
        <v/>
      </c>
    </row>
    <row r="1528">
      <c r="A1528" s="1" t="n"/>
      <c r="B1528" s="30" t="n"/>
      <c r="C1528" s="31" t="n"/>
      <c r="D1528" s="32" t="n"/>
      <c r="E1528" s="32" t="n"/>
      <c r="F1528" s="33" t="n"/>
      <c r="G1528" s="27">
        <f>IF(E1528="","",MAX(0,IFERROR(INDEX(Services!$C$6:$C$35,MATCH(E1528,Services!$B$6:$B$35,0)),0)-N(H1528)))</f>
        <v/>
      </c>
      <c r="H1528" s="34" t="n"/>
      <c r="I1528" s="34" t="n"/>
      <c r="J1528" s="33" t="n"/>
      <c r="K1528" s="28">
        <f>IF(OR(B1528="",F1528&lt;&gt;"Done",J1528="Package"),"",IF(N(G1528)-N(I1528)&gt;0,N(G1528)-N(I1528),""))</f>
        <v/>
      </c>
      <c r="L1528" s="32" t="n"/>
      <c r="M1528" s="1">
        <f>IF(OR(B1528="",D1528="",F1528="Cancelled"),"",B1528+N(C1528)+ROW()/10000000)</f>
        <v/>
      </c>
      <c r="N1528">
        <f>IF(AND(F1528="Done",M1528&lt;&gt;""),IF(COUNTIFS(Appointments!$D$6:$D$2005,D1528,Appointments!$F$6:$F$2005,"Done",Appointments!$M$6:$M$2005,"&gt;"&amp;M1528)=0,1,0),0)</f>
        <v/>
      </c>
      <c r="O1528">
        <f>IF(AND(F1528="Booked",M1528&lt;&gt;"",N(B1528)&gt;=TODAY()),IF(COUNTIFS(Appointments!$D$6:$D$2005,D1528,Appointments!$F$6:$F$2005,"Booked",Appointments!$B$6:$B$2005,"&gt;="&amp;TODAY(),Appointments!$M$6:$M$2005,"&lt;"&amp;M1528)=0,1,0),0)</f>
        <v/>
      </c>
    </row>
    <row r="1529">
      <c r="A1529" s="1" t="n"/>
      <c r="B1529" s="30" t="n"/>
      <c r="C1529" s="31" t="n"/>
      <c r="D1529" s="32" t="n"/>
      <c r="E1529" s="32" t="n"/>
      <c r="F1529" s="33" t="n"/>
      <c r="G1529" s="27">
        <f>IF(E1529="","",MAX(0,IFERROR(INDEX(Services!$C$6:$C$35,MATCH(E1529,Services!$B$6:$B$35,0)),0)-N(H1529)))</f>
        <v/>
      </c>
      <c r="H1529" s="34" t="n"/>
      <c r="I1529" s="34" t="n"/>
      <c r="J1529" s="33" t="n"/>
      <c r="K1529" s="28">
        <f>IF(OR(B1529="",F1529&lt;&gt;"Done",J1529="Package"),"",IF(N(G1529)-N(I1529)&gt;0,N(G1529)-N(I1529),""))</f>
        <v/>
      </c>
      <c r="L1529" s="32" t="n"/>
      <c r="M1529" s="1">
        <f>IF(OR(B1529="",D1529="",F1529="Cancelled"),"",B1529+N(C1529)+ROW()/10000000)</f>
        <v/>
      </c>
      <c r="N1529">
        <f>IF(AND(F1529="Done",M1529&lt;&gt;""),IF(COUNTIFS(Appointments!$D$6:$D$2005,D1529,Appointments!$F$6:$F$2005,"Done",Appointments!$M$6:$M$2005,"&gt;"&amp;M1529)=0,1,0),0)</f>
        <v/>
      </c>
      <c r="O1529">
        <f>IF(AND(F1529="Booked",M1529&lt;&gt;"",N(B1529)&gt;=TODAY()),IF(COUNTIFS(Appointments!$D$6:$D$2005,D1529,Appointments!$F$6:$F$2005,"Booked",Appointments!$B$6:$B$2005,"&gt;="&amp;TODAY(),Appointments!$M$6:$M$2005,"&lt;"&amp;M1529)=0,1,0),0)</f>
        <v/>
      </c>
    </row>
    <row r="1530">
      <c r="A1530" s="1" t="n"/>
      <c r="B1530" s="30" t="n"/>
      <c r="C1530" s="31" t="n"/>
      <c r="D1530" s="32" t="n"/>
      <c r="E1530" s="32" t="n"/>
      <c r="F1530" s="33" t="n"/>
      <c r="G1530" s="27">
        <f>IF(E1530="","",MAX(0,IFERROR(INDEX(Services!$C$6:$C$35,MATCH(E1530,Services!$B$6:$B$35,0)),0)-N(H1530)))</f>
        <v/>
      </c>
      <c r="H1530" s="34" t="n"/>
      <c r="I1530" s="34" t="n"/>
      <c r="J1530" s="33" t="n"/>
      <c r="K1530" s="28">
        <f>IF(OR(B1530="",F1530&lt;&gt;"Done",J1530="Package"),"",IF(N(G1530)-N(I1530)&gt;0,N(G1530)-N(I1530),""))</f>
        <v/>
      </c>
      <c r="L1530" s="32" t="n"/>
      <c r="M1530" s="1">
        <f>IF(OR(B1530="",D1530="",F1530="Cancelled"),"",B1530+N(C1530)+ROW()/10000000)</f>
        <v/>
      </c>
      <c r="N1530">
        <f>IF(AND(F1530="Done",M1530&lt;&gt;""),IF(COUNTIFS(Appointments!$D$6:$D$2005,D1530,Appointments!$F$6:$F$2005,"Done",Appointments!$M$6:$M$2005,"&gt;"&amp;M1530)=0,1,0),0)</f>
        <v/>
      </c>
      <c r="O1530">
        <f>IF(AND(F1530="Booked",M1530&lt;&gt;"",N(B1530)&gt;=TODAY()),IF(COUNTIFS(Appointments!$D$6:$D$2005,D1530,Appointments!$F$6:$F$2005,"Booked",Appointments!$B$6:$B$2005,"&gt;="&amp;TODAY(),Appointments!$M$6:$M$2005,"&lt;"&amp;M1530)=0,1,0),0)</f>
        <v/>
      </c>
    </row>
    <row r="1531">
      <c r="A1531" s="1" t="n"/>
      <c r="B1531" s="30" t="n"/>
      <c r="C1531" s="31" t="n"/>
      <c r="D1531" s="32" t="n"/>
      <c r="E1531" s="32" t="n"/>
      <c r="F1531" s="33" t="n"/>
      <c r="G1531" s="27">
        <f>IF(E1531="","",MAX(0,IFERROR(INDEX(Services!$C$6:$C$35,MATCH(E1531,Services!$B$6:$B$35,0)),0)-N(H1531)))</f>
        <v/>
      </c>
      <c r="H1531" s="34" t="n"/>
      <c r="I1531" s="34" t="n"/>
      <c r="J1531" s="33" t="n"/>
      <c r="K1531" s="28">
        <f>IF(OR(B1531="",F1531&lt;&gt;"Done",J1531="Package"),"",IF(N(G1531)-N(I1531)&gt;0,N(G1531)-N(I1531),""))</f>
        <v/>
      </c>
      <c r="L1531" s="32" t="n"/>
      <c r="M1531" s="1">
        <f>IF(OR(B1531="",D1531="",F1531="Cancelled"),"",B1531+N(C1531)+ROW()/10000000)</f>
        <v/>
      </c>
      <c r="N1531">
        <f>IF(AND(F1531="Done",M1531&lt;&gt;""),IF(COUNTIFS(Appointments!$D$6:$D$2005,D1531,Appointments!$F$6:$F$2005,"Done",Appointments!$M$6:$M$2005,"&gt;"&amp;M1531)=0,1,0),0)</f>
        <v/>
      </c>
      <c r="O1531">
        <f>IF(AND(F1531="Booked",M1531&lt;&gt;"",N(B1531)&gt;=TODAY()),IF(COUNTIFS(Appointments!$D$6:$D$2005,D1531,Appointments!$F$6:$F$2005,"Booked",Appointments!$B$6:$B$2005,"&gt;="&amp;TODAY(),Appointments!$M$6:$M$2005,"&lt;"&amp;M1531)=0,1,0),0)</f>
        <v/>
      </c>
    </row>
    <row r="1532">
      <c r="A1532" s="1" t="n"/>
      <c r="B1532" s="30" t="n"/>
      <c r="C1532" s="31" t="n"/>
      <c r="D1532" s="32" t="n"/>
      <c r="E1532" s="32" t="n"/>
      <c r="F1532" s="33" t="n"/>
      <c r="G1532" s="27">
        <f>IF(E1532="","",MAX(0,IFERROR(INDEX(Services!$C$6:$C$35,MATCH(E1532,Services!$B$6:$B$35,0)),0)-N(H1532)))</f>
        <v/>
      </c>
      <c r="H1532" s="34" t="n"/>
      <c r="I1532" s="34" t="n"/>
      <c r="J1532" s="33" t="n"/>
      <c r="K1532" s="28">
        <f>IF(OR(B1532="",F1532&lt;&gt;"Done",J1532="Package"),"",IF(N(G1532)-N(I1532)&gt;0,N(G1532)-N(I1532),""))</f>
        <v/>
      </c>
      <c r="L1532" s="32" t="n"/>
      <c r="M1532" s="1">
        <f>IF(OR(B1532="",D1532="",F1532="Cancelled"),"",B1532+N(C1532)+ROW()/10000000)</f>
        <v/>
      </c>
      <c r="N1532">
        <f>IF(AND(F1532="Done",M1532&lt;&gt;""),IF(COUNTIFS(Appointments!$D$6:$D$2005,D1532,Appointments!$F$6:$F$2005,"Done",Appointments!$M$6:$M$2005,"&gt;"&amp;M1532)=0,1,0),0)</f>
        <v/>
      </c>
      <c r="O1532">
        <f>IF(AND(F1532="Booked",M1532&lt;&gt;"",N(B1532)&gt;=TODAY()),IF(COUNTIFS(Appointments!$D$6:$D$2005,D1532,Appointments!$F$6:$F$2005,"Booked",Appointments!$B$6:$B$2005,"&gt;="&amp;TODAY(),Appointments!$M$6:$M$2005,"&lt;"&amp;M1532)=0,1,0),0)</f>
        <v/>
      </c>
    </row>
    <row r="1533">
      <c r="A1533" s="1" t="n"/>
      <c r="B1533" s="30" t="n"/>
      <c r="C1533" s="31" t="n"/>
      <c r="D1533" s="32" t="n"/>
      <c r="E1533" s="32" t="n"/>
      <c r="F1533" s="33" t="n"/>
      <c r="G1533" s="27">
        <f>IF(E1533="","",MAX(0,IFERROR(INDEX(Services!$C$6:$C$35,MATCH(E1533,Services!$B$6:$B$35,0)),0)-N(H1533)))</f>
        <v/>
      </c>
      <c r="H1533" s="34" t="n"/>
      <c r="I1533" s="34" t="n"/>
      <c r="J1533" s="33" t="n"/>
      <c r="K1533" s="28">
        <f>IF(OR(B1533="",F1533&lt;&gt;"Done",J1533="Package"),"",IF(N(G1533)-N(I1533)&gt;0,N(G1533)-N(I1533),""))</f>
        <v/>
      </c>
      <c r="L1533" s="32" t="n"/>
      <c r="M1533" s="1">
        <f>IF(OR(B1533="",D1533="",F1533="Cancelled"),"",B1533+N(C1533)+ROW()/10000000)</f>
        <v/>
      </c>
      <c r="N1533">
        <f>IF(AND(F1533="Done",M1533&lt;&gt;""),IF(COUNTIFS(Appointments!$D$6:$D$2005,D1533,Appointments!$F$6:$F$2005,"Done",Appointments!$M$6:$M$2005,"&gt;"&amp;M1533)=0,1,0),0)</f>
        <v/>
      </c>
      <c r="O1533">
        <f>IF(AND(F1533="Booked",M1533&lt;&gt;"",N(B1533)&gt;=TODAY()),IF(COUNTIFS(Appointments!$D$6:$D$2005,D1533,Appointments!$F$6:$F$2005,"Booked",Appointments!$B$6:$B$2005,"&gt;="&amp;TODAY(),Appointments!$M$6:$M$2005,"&lt;"&amp;M1533)=0,1,0),0)</f>
        <v/>
      </c>
    </row>
    <row r="1534">
      <c r="A1534" s="1" t="n"/>
      <c r="B1534" s="30" t="n"/>
      <c r="C1534" s="31" t="n"/>
      <c r="D1534" s="32" t="n"/>
      <c r="E1534" s="32" t="n"/>
      <c r="F1534" s="33" t="n"/>
      <c r="G1534" s="27">
        <f>IF(E1534="","",MAX(0,IFERROR(INDEX(Services!$C$6:$C$35,MATCH(E1534,Services!$B$6:$B$35,0)),0)-N(H1534)))</f>
        <v/>
      </c>
      <c r="H1534" s="34" t="n"/>
      <c r="I1534" s="34" t="n"/>
      <c r="J1534" s="33" t="n"/>
      <c r="K1534" s="28">
        <f>IF(OR(B1534="",F1534&lt;&gt;"Done",J1534="Package"),"",IF(N(G1534)-N(I1534)&gt;0,N(G1534)-N(I1534),""))</f>
        <v/>
      </c>
      <c r="L1534" s="32" t="n"/>
      <c r="M1534" s="1">
        <f>IF(OR(B1534="",D1534="",F1534="Cancelled"),"",B1534+N(C1534)+ROW()/10000000)</f>
        <v/>
      </c>
      <c r="N1534">
        <f>IF(AND(F1534="Done",M1534&lt;&gt;""),IF(COUNTIFS(Appointments!$D$6:$D$2005,D1534,Appointments!$F$6:$F$2005,"Done",Appointments!$M$6:$M$2005,"&gt;"&amp;M1534)=0,1,0),0)</f>
        <v/>
      </c>
      <c r="O1534">
        <f>IF(AND(F1534="Booked",M1534&lt;&gt;"",N(B1534)&gt;=TODAY()),IF(COUNTIFS(Appointments!$D$6:$D$2005,D1534,Appointments!$F$6:$F$2005,"Booked",Appointments!$B$6:$B$2005,"&gt;="&amp;TODAY(),Appointments!$M$6:$M$2005,"&lt;"&amp;M1534)=0,1,0),0)</f>
        <v/>
      </c>
    </row>
    <row r="1535">
      <c r="A1535" s="1" t="n"/>
      <c r="B1535" s="30" t="n"/>
      <c r="C1535" s="31" t="n"/>
      <c r="D1535" s="32" t="n"/>
      <c r="E1535" s="32" t="n"/>
      <c r="F1535" s="33" t="n"/>
      <c r="G1535" s="27">
        <f>IF(E1535="","",MAX(0,IFERROR(INDEX(Services!$C$6:$C$35,MATCH(E1535,Services!$B$6:$B$35,0)),0)-N(H1535)))</f>
        <v/>
      </c>
      <c r="H1535" s="34" t="n"/>
      <c r="I1535" s="34" t="n"/>
      <c r="J1535" s="33" t="n"/>
      <c r="K1535" s="28">
        <f>IF(OR(B1535="",F1535&lt;&gt;"Done",J1535="Package"),"",IF(N(G1535)-N(I1535)&gt;0,N(G1535)-N(I1535),""))</f>
        <v/>
      </c>
      <c r="L1535" s="32" t="n"/>
      <c r="M1535" s="1">
        <f>IF(OR(B1535="",D1535="",F1535="Cancelled"),"",B1535+N(C1535)+ROW()/10000000)</f>
        <v/>
      </c>
      <c r="N1535">
        <f>IF(AND(F1535="Done",M1535&lt;&gt;""),IF(COUNTIFS(Appointments!$D$6:$D$2005,D1535,Appointments!$F$6:$F$2005,"Done",Appointments!$M$6:$M$2005,"&gt;"&amp;M1535)=0,1,0),0)</f>
        <v/>
      </c>
      <c r="O1535">
        <f>IF(AND(F1535="Booked",M1535&lt;&gt;"",N(B1535)&gt;=TODAY()),IF(COUNTIFS(Appointments!$D$6:$D$2005,D1535,Appointments!$F$6:$F$2005,"Booked",Appointments!$B$6:$B$2005,"&gt;="&amp;TODAY(),Appointments!$M$6:$M$2005,"&lt;"&amp;M1535)=0,1,0),0)</f>
        <v/>
      </c>
    </row>
    <row r="1536">
      <c r="A1536" s="1" t="n"/>
      <c r="B1536" s="30" t="n"/>
      <c r="C1536" s="31" t="n"/>
      <c r="D1536" s="32" t="n"/>
      <c r="E1536" s="32" t="n"/>
      <c r="F1536" s="33" t="n"/>
      <c r="G1536" s="27">
        <f>IF(E1536="","",MAX(0,IFERROR(INDEX(Services!$C$6:$C$35,MATCH(E1536,Services!$B$6:$B$35,0)),0)-N(H1536)))</f>
        <v/>
      </c>
      <c r="H1536" s="34" t="n"/>
      <c r="I1536" s="34" t="n"/>
      <c r="J1536" s="33" t="n"/>
      <c r="K1536" s="28">
        <f>IF(OR(B1536="",F1536&lt;&gt;"Done",J1536="Package"),"",IF(N(G1536)-N(I1536)&gt;0,N(G1536)-N(I1536),""))</f>
        <v/>
      </c>
      <c r="L1536" s="32" t="n"/>
      <c r="M1536" s="1">
        <f>IF(OR(B1536="",D1536="",F1536="Cancelled"),"",B1536+N(C1536)+ROW()/10000000)</f>
        <v/>
      </c>
      <c r="N1536">
        <f>IF(AND(F1536="Done",M1536&lt;&gt;""),IF(COUNTIFS(Appointments!$D$6:$D$2005,D1536,Appointments!$F$6:$F$2005,"Done",Appointments!$M$6:$M$2005,"&gt;"&amp;M1536)=0,1,0),0)</f>
        <v/>
      </c>
      <c r="O1536">
        <f>IF(AND(F1536="Booked",M1536&lt;&gt;"",N(B1536)&gt;=TODAY()),IF(COUNTIFS(Appointments!$D$6:$D$2005,D1536,Appointments!$F$6:$F$2005,"Booked",Appointments!$B$6:$B$2005,"&gt;="&amp;TODAY(),Appointments!$M$6:$M$2005,"&lt;"&amp;M1536)=0,1,0),0)</f>
        <v/>
      </c>
    </row>
    <row r="1537">
      <c r="A1537" s="1" t="n"/>
      <c r="B1537" s="30" t="n"/>
      <c r="C1537" s="31" t="n"/>
      <c r="D1537" s="32" t="n"/>
      <c r="E1537" s="32" t="n"/>
      <c r="F1537" s="33" t="n"/>
      <c r="G1537" s="27">
        <f>IF(E1537="","",MAX(0,IFERROR(INDEX(Services!$C$6:$C$35,MATCH(E1537,Services!$B$6:$B$35,0)),0)-N(H1537)))</f>
        <v/>
      </c>
      <c r="H1537" s="34" t="n"/>
      <c r="I1537" s="34" t="n"/>
      <c r="J1537" s="33" t="n"/>
      <c r="K1537" s="28">
        <f>IF(OR(B1537="",F1537&lt;&gt;"Done",J1537="Package"),"",IF(N(G1537)-N(I1537)&gt;0,N(G1537)-N(I1537),""))</f>
        <v/>
      </c>
      <c r="L1537" s="32" t="n"/>
      <c r="M1537" s="1">
        <f>IF(OR(B1537="",D1537="",F1537="Cancelled"),"",B1537+N(C1537)+ROW()/10000000)</f>
        <v/>
      </c>
      <c r="N1537">
        <f>IF(AND(F1537="Done",M1537&lt;&gt;""),IF(COUNTIFS(Appointments!$D$6:$D$2005,D1537,Appointments!$F$6:$F$2005,"Done",Appointments!$M$6:$M$2005,"&gt;"&amp;M1537)=0,1,0),0)</f>
        <v/>
      </c>
      <c r="O1537">
        <f>IF(AND(F1537="Booked",M1537&lt;&gt;"",N(B1537)&gt;=TODAY()),IF(COUNTIFS(Appointments!$D$6:$D$2005,D1537,Appointments!$F$6:$F$2005,"Booked",Appointments!$B$6:$B$2005,"&gt;="&amp;TODAY(),Appointments!$M$6:$M$2005,"&lt;"&amp;M1537)=0,1,0),0)</f>
        <v/>
      </c>
    </row>
    <row r="1538">
      <c r="A1538" s="1" t="n"/>
      <c r="B1538" s="30" t="n"/>
      <c r="C1538" s="31" t="n"/>
      <c r="D1538" s="32" t="n"/>
      <c r="E1538" s="32" t="n"/>
      <c r="F1538" s="33" t="n"/>
      <c r="G1538" s="27">
        <f>IF(E1538="","",MAX(0,IFERROR(INDEX(Services!$C$6:$C$35,MATCH(E1538,Services!$B$6:$B$35,0)),0)-N(H1538)))</f>
        <v/>
      </c>
      <c r="H1538" s="34" t="n"/>
      <c r="I1538" s="34" t="n"/>
      <c r="J1538" s="33" t="n"/>
      <c r="K1538" s="28">
        <f>IF(OR(B1538="",F1538&lt;&gt;"Done",J1538="Package"),"",IF(N(G1538)-N(I1538)&gt;0,N(G1538)-N(I1538),""))</f>
        <v/>
      </c>
      <c r="L1538" s="32" t="n"/>
      <c r="M1538" s="1">
        <f>IF(OR(B1538="",D1538="",F1538="Cancelled"),"",B1538+N(C1538)+ROW()/10000000)</f>
        <v/>
      </c>
      <c r="N1538">
        <f>IF(AND(F1538="Done",M1538&lt;&gt;""),IF(COUNTIFS(Appointments!$D$6:$D$2005,D1538,Appointments!$F$6:$F$2005,"Done",Appointments!$M$6:$M$2005,"&gt;"&amp;M1538)=0,1,0),0)</f>
        <v/>
      </c>
      <c r="O1538">
        <f>IF(AND(F1538="Booked",M1538&lt;&gt;"",N(B1538)&gt;=TODAY()),IF(COUNTIFS(Appointments!$D$6:$D$2005,D1538,Appointments!$F$6:$F$2005,"Booked",Appointments!$B$6:$B$2005,"&gt;="&amp;TODAY(),Appointments!$M$6:$M$2005,"&lt;"&amp;M1538)=0,1,0),0)</f>
        <v/>
      </c>
    </row>
    <row r="1539">
      <c r="A1539" s="1" t="n"/>
      <c r="B1539" s="30" t="n"/>
      <c r="C1539" s="31" t="n"/>
      <c r="D1539" s="32" t="n"/>
      <c r="E1539" s="32" t="n"/>
      <c r="F1539" s="33" t="n"/>
      <c r="G1539" s="27">
        <f>IF(E1539="","",MAX(0,IFERROR(INDEX(Services!$C$6:$C$35,MATCH(E1539,Services!$B$6:$B$35,0)),0)-N(H1539)))</f>
        <v/>
      </c>
      <c r="H1539" s="34" t="n"/>
      <c r="I1539" s="34" t="n"/>
      <c r="J1539" s="33" t="n"/>
      <c r="K1539" s="28">
        <f>IF(OR(B1539="",F1539&lt;&gt;"Done",J1539="Package"),"",IF(N(G1539)-N(I1539)&gt;0,N(G1539)-N(I1539),""))</f>
        <v/>
      </c>
      <c r="L1539" s="32" t="n"/>
      <c r="M1539" s="1">
        <f>IF(OR(B1539="",D1539="",F1539="Cancelled"),"",B1539+N(C1539)+ROW()/10000000)</f>
        <v/>
      </c>
      <c r="N1539">
        <f>IF(AND(F1539="Done",M1539&lt;&gt;""),IF(COUNTIFS(Appointments!$D$6:$D$2005,D1539,Appointments!$F$6:$F$2005,"Done",Appointments!$M$6:$M$2005,"&gt;"&amp;M1539)=0,1,0),0)</f>
        <v/>
      </c>
      <c r="O1539">
        <f>IF(AND(F1539="Booked",M1539&lt;&gt;"",N(B1539)&gt;=TODAY()),IF(COUNTIFS(Appointments!$D$6:$D$2005,D1539,Appointments!$F$6:$F$2005,"Booked",Appointments!$B$6:$B$2005,"&gt;="&amp;TODAY(),Appointments!$M$6:$M$2005,"&lt;"&amp;M1539)=0,1,0),0)</f>
        <v/>
      </c>
    </row>
    <row r="1540">
      <c r="A1540" s="1" t="n"/>
      <c r="B1540" s="30" t="n"/>
      <c r="C1540" s="31" t="n"/>
      <c r="D1540" s="32" t="n"/>
      <c r="E1540" s="32" t="n"/>
      <c r="F1540" s="33" t="n"/>
      <c r="G1540" s="27">
        <f>IF(E1540="","",MAX(0,IFERROR(INDEX(Services!$C$6:$C$35,MATCH(E1540,Services!$B$6:$B$35,0)),0)-N(H1540)))</f>
        <v/>
      </c>
      <c r="H1540" s="34" t="n"/>
      <c r="I1540" s="34" t="n"/>
      <c r="J1540" s="33" t="n"/>
      <c r="K1540" s="28">
        <f>IF(OR(B1540="",F1540&lt;&gt;"Done",J1540="Package"),"",IF(N(G1540)-N(I1540)&gt;0,N(G1540)-N(I1540),""))</f>
        <v/>
      </c>
      <c r="L1540" s="32" t="n"/>
      <c r="M1540" s="1">
        <f>IF(OR(B1540="",D1540="",F1540="Cancelled"),"",B1540+N(C1540)+ROW()/10000000)</f>
        <v/>
      </c>
      <c r="N1540">
        <f>IF(AND(F1540="Done",M1540&lt;&gt;""),IF(COUNTIFS(Appointments!$D$6:$D$2005,D1540,Appointments!$F$6:$F$2005,"Done",Appointments!$M$6:$M$2005,"&gt;"&amp;M1540)=0,1,0),0)</f>
        <v/>
      </c>
      <c r="O1540">
        <f>IF(AND(F1540="Booked",M1540&lt;&gt;"",N(B1540)&gt;=TODAY()),IF(COUNTIFS(Appointments!$D$6:$D$2005,D1540,Appointments!$F$6:$F$2005,"Booked",Appointments!$B$6:$B$2005,"&gt;="&amp;TODAY(),Appointments!$M$6:$M$2005,"&lt;"&amp;M1540)=0,1,0),0)</f>
        <v/>
      </c>
    </row>
    <row r="1541">
      <c r="A1541" s="1" t="n"/>
      <c r="B1541" s="30" t="n"/>
      <c r="C1541" s="31" t="n"/>
      <c r="D1541" s="32" t="n"/>
      <c r="E1541" s="32" t="n"/>
      <c r="F1541" s="33" t="n"/>
      <c r="G1541" s="27">
        <f>IF(E1541="","",MAX(0,IFERROR(INDEX(Services!$C$6:$C$35,MATCH(E1541,Services!$B$6:$B$35,0)),0)-N(H1541)))</f>
        <v/>
      </c>
      <c r="H1541" s="34" t="n"/>
      <c r="I1541" s="34" t="n"/>
      <c r="J1541" s="33" t="n"/>
      <c r="K1541" s="28">
        <f>IF(OR(B1541="",F1541&lt;&gt;"Done",J1541="Package"),"",IF(N(G1541)-N(I1541)&gt;0,N(G1541)-N(I1541),""))</f>
        <v/>
      </c>
      <c r="L1541" s="32" t="n"/>
      <c r="M1541" s="1">
        <f>IF(OR(B1541="",D1541="",F1541="Cancelled"),"",B1541+N(C1541)+ROW()/10000000)</f>
        <v/>
      </c>
      <c r="N1541">
        <f>IF(AND(F1541="Done",M1541&lt;&gt;""),IF(COUNTIFS(Appointments!$D$6:$D$2005,D1541,Appointments!$F$6:$F$2005,"Done",Appointments!$M$6:$M$2005,"&gt;"&amp;M1541)=0,1,0),0)</f>
        <v/>
      </c>
      <c r="O1541">
        <f>IF(AND(F1541="Booked",M1541&lt;&gt;"",N(B1541)&gt;=TODAY()),IF(COUNTIFS(Appointments!$D$6:$D$2005,D1541,Appointments!$F$6:$F$2005,"Booked",Appointments!$B$6:$B$2005,"&gt;="&amp;TODAY(),Appointments!$M$6:$M$2005,"&lt;"&amp;M1541)=0,1,0),0)</f>
        <v/>
      </c>
    </row>
    <row r="1542">
      <c r="A1542" s="1" t="n"/>
      <c r="B1542" s="30" t="n"/>
      <c r="C1542" s="31" t="n"/>
      <c r="D1542" s="32" t="n"/>
      <c r="E1542" s="32" t="n"/>
      <c r="F1542" s="33" t="n"/>
      <c r="G1542" s="27">
        <f>IF(E1542="","",MAX(0,IFERROR(INDEX(Services!$C$6:$C$35,MATCH(E1542,Services!$B$6:$B$35,0)),0)-N(H1542)))</f>
        <v/>
      </c>
      <c r="H1542" s="34" t="n"/>
      <c r="I1542" s="34" t="n"/>
      <c r="J1542" s="33" t="n"/>
      <c r="K1542" s="28">
        <f>IF(OR(B1542="",F1542&lt;&gt;"Done",J1542="Package"),"",IF(N(G1542)-N(I1542)&gt;0,N(G1542)-N(I1542),""))</f>
        <v/>
      </c>
      <c r="L1542" s="32" t="n"/>
      <c r="M1542" s="1">
        <f>IF(OR(B1542="",D1542="",F1542="Cancelled"),"",B1542+N(C1542)+ROW()/10000000)</f>
        <v/>
      </c>
      <c r="N1542">
        <f>IF(AND(F1542="Done",M1542&lt;&gt;""),IF(COUNTIFS(Appointments!$D$6:$D$2005,D1542,Appointments!$F$6:$F$2005,"Done",Appointments!$M$6:$M$2005,"&gt;"&amp;M1542)=0,1,0),0)</f>
        <v/>
      </c>
      <c r="O1542">
        <f>IF(AND(F1542="Booked",M1542&lt;&gt;"",N(B1542)&gt;=TODAY()),IF(COUNTIFS(Appointments!$D$6:$D$2005,D1542,Appointments!$F$6:$F$2005,"Booked",Appointments!$B$6:$B$2005,"&gt;="&amp;TODAY(),Appointments!$M$6:$M$2005,"&lt;"&amp;M1542)=0,1,0),0)</f>
        <v/>
      </c>
    </row>
    <row r="1543">
      <c r="A1543" s="1" t="n"/>
      <c r="B1543" s="30" t="n"/>
      <c r="C1543" s="31" t="n"/>
      <c r="D1543" s="32" t="n"/>
      <c r="E1543" s="32" t="n"/>
      <c r="F1543" s="33" t="n"/>
      <c r="G1543" s="27">
        <f>IF(E1543="","",MAX(0,IFERROR(INDEX(Services!$C$6:$C$35,MATCH(E1543,Services!$B$6:$B$35,0)),0)-N(H1543)))</f>
        <v/>
      </c>
      <c r="H1543" s="34" t="n"/>
      <c r="I1543" s="34" t="n"/>
      <c r="J1543" s="33" t="n"/>
      <c r="K1543" s="28">
        <f>IF(OR(B1543="",F1543&lt;&gt;"Done",J1543="Package"),"",IF(N(G1543)-N(I1543)&gt;0,N(G1543)-N(I1543),""))</f>
        <v/>
      </c>
      <c r="L1543" s="32" t="n"/>
      <c r="M1543" s="1">
        <f>IF(OR(B1543="",D1543="",F1543="Cancelled"),"",B1543+N(C1543)+ROW()/10000000)</f>
        <v/>
      </c>
      <c r="N1543">
        <f>IF(AND(F1543="Done",M1543&lt;&gt;""),IF(COUNTIFS(Appointments!$D$6:$D$2005,D1543,Appointments!$F$6:$F$2005,"Done",Appointments!$M$6:$M$2005,"&gt;"&amp;M1543)=0,1,0),0)</f>
        <v/>
      </c>
      <c r="O1543">
        <f>IF(AND(F1543="Booked",M1543&lt;&gt;"",N(B1543)&gt;=TODAY()),IF(COUNTIFS(Appointments!$D$6:$D$2005,D1543,Appointments!$F$6:$F$2005,"Booked",Appointments!$B$6:$B$2005,"&gt;="&amp;TODAY(),Appointments!$M$6:$M$2005,"&lt;"&amp;M1543)=0,1,0),0)</f>
        <v/>
      </c>
    </row>
    <row r="1544">
      <c r="A1544" s="1" t="n"/>
      <c r="B1544" s="30" t="n"/>
      <c r="C1544" s="31" t="n"/>
      <c r="D1544" s="32" t="n"/>
      <c r="E1544" s="32" t="n"/>
      <c r="F1544" s="33" t="n"/>
      <c r="G1544" s="27">
        <f>IF(E1544="","",MAX(0,IFERROR(INDEX(Services!$C$6:$C$35,MATCH(E1544,Services!$B$6:$B$35,0)),0)-N(H1544)))</f>
        <v/>
      </c>
      <c r="H1544" s="34" t="n"/>
      <c r="I1544" s="34" t="n"/>
      <c r="J1544" s="33" t="n"/>
      <c r="K1544" s="28">
        <f>IF(OR(B1544="",F1544&lt;&gt;"Done",J1544="Package"),"",IF(N(G1544)-N(I1544)&gt;0,N(G1544)-N(I1544),""))</f>
        <v/>
      </c>
      <c r="L1544" s="32" t="n"/>
      <c r="M1544" s="1">
        <f>IF(OR(B1544="",D1544="",F1544="Cancelled"),"",B1544+N(C1544)+ROW()/10000000)</f>
        <v/>
      </c>
      <c r="N1544">
        <f>IF(AND(F1544="Done",M1544&lt;&gt;""),IF(COUNTIFS(Appointments!$D$6:$D$2005,D1544,Appointments!$F$6:$F$2005,"Done",Appointments!$M$6:$M$2005,"&gt;"&amp;M1544)=0,1,0),0)</f>
        <v/>
      </c>
      <c r="O1544">
        <f>IF(AND(F1544="Booked",M1544&lt;&gt;"",N(B1544)&gt;=TODAY()),IF(COUNTIFS(Appointments!$D$6:$D$2005,D1544,Appointments!$F$6:$F$2005,"Booked",Appointments!$B$6:$B$2005,"&gt;="&amp;TODAY(),Appointments!$M$6:$M$2005,"&lt;"&amp;M1544)=0,1,0),0)</f>
        <v/>
      </c>
    </row>
    <row r="1545">
      <c r="A1545" s="1" t="n"/>
      <c r="B1545" s="30" t="n"/>
      <c r="C1545" s="31" t="n"/>
      <c r="D1545" s="32" t="n"/>
      <c r="E1545" s="32" t="n"/>
      <c r="F1545" s="33" t="n"/>
      <c r="G1545" s="27">
        <f>IF(E1545="","",MAX(0,IFERROR(INDEX(Services!$C$6:$C$35,MATCH(E1545,Services!$B$6:$B$35,0)),0)-N(H1545)))</f>
        <v/>
      </c>
      <c r="H1545" s="34" t="n"/>
      <c r="I1545" s="34" t="n"/>
      <c r="J1545" s="33" t="n"/>
      <c r="K1545" s="28">
        <f>IF(OR(B1545="",F1545&lt;&gt;"Done",J1545="Package"),"",IF(N(G1545)-N(I1545)&gt;0,N(G1545)-N(I1545),""))</f>
        <v/>
      </c>
      <c r="L1545" s="32" t="n"/>
      <c r="M1545" s="1">
        <f>IF(OR(B1545="",D1545="",F1545="Cancelled"),"",B1545+N(C1545)+ROW()/10000000)</f>
        <v/>
      </c>
      <c r="N1545">
        <f>IF(AND(F1545="Done",M1545&lt;&gt;""),IF(COUNTIFS(Appointments!$D$6:$D$2005,D1545,Appointments!$F$6:$F$2005,"Done",Appointments!$M$6:$M$2005,"&gt;"&amp;M1545)=0,1,0),0)</f>
        <v/>
      </c>
      <c r="O1545">
        <f>IF(AND(F1545="Booked",M1545&lt;&gt;"",N(B1545)&gt;=TODAY()),IF(COUNTIFS(Appointments!$D$6:$D$2005,D1545,Appointments!$F$6:$F$2005,"Booked",Appointments!$B$6:$B$2005,"&gt;="&amp;TODAY(),Appointments!$M$6:$M$2005,"&lt;"&amp;M1545)=0,1,0),0)</f>
        <v/>
      </c>
    </row>
    <row r="1546">
      <c r="A1546" s="1" t="n"/>
      <c r="B1546" s="30" t="n"/>
      <c r="C1546" s="31" t="n"/>
      <c r="D1546" s="32" t="n"/>
      <c r="E1546" s="32" t="n"/>
      <c r="F1546" s="33" t="n"/>
      <c r="G1546" s="27">
        <f>IF(E1546="","",MAX(0,IFERROR(INDEX(Services!$C$6:$C$35,MATCH(E1546,Services!$B$6:$B$35,0)),0)-N(H1546)))</f>
        <v/>
      </c>
      <c r="H1546" s="34" t="n"/>
      <c r="I1546" s="34" t="n"/>
      <c r="J1546" s="33" t="n"/>
      <c r="K1546" s="28">
        <f>IF(OR(B1546="",F1546&lt;&gt;"Done",J1546="Package"),"",IF(N(G1546)-N(I1546)&gt;0,N(G1546)-N(I1546),""))</f>
        <v/>
      </c>
      <c r="L1546" s="32" t="n"/>
      <c r="M1546" s="1">
        <f>IF(OR(B1546="",D1546="",F1546="Cancelled"),"",B1546+N(C1546)+ROW()/10000000)</f>
        <v/>
      </c>
      <c r="N1546">
        <f>IF(AND(F1546="Done",M1546&lt;&gt;""),IF(COUNTIFS(Appointments!$D$6:$D$2005,D1546,Appointments!$F$6:$F$2005,"Done",Appointments!$M$6:$M$2005,"&gt;"&amp;M1546)=0,1,0),0)</f>
        <v/>
      </c>
      <c r="O1546">
        <f>IF(AND(F1546="Booked",M1546&lt;&gt;"",N(B1546)&gt;=TODAY()),IF(COUNTIFS(Appointments!$D$6:$D$2005,D1546,Appointments!$F$6:$F$2005,"Booked",Appointments!$B$6:$B$2005,"&gt;="&amp;TODAY(),Appointments!$M$6:$M$2005,"&lt;"&amp;M1546)=0,1,0),0)</f>
        <v/>
      </c>
    </row>
    <row r="1547">
      <c r="A1547" s="1" t="n"/>
      <c r="B1547" s="30" t="n"/>
      <c r="C1547" s="31" t="n"/>
      <c r="D1547" s="32" t="n"/>
      <c r="E1547" s="32" t="n"/>
      <c r="F1547" s="33" t="n"/>
      <c r="G1547" s="27">
        <f>IF(E1547="","",MAX(0,IFERROR(INDEX(Services!$C$6:$C$35,MATCH(E1547,Services!$B$6:$B$35,0)),0)-N(H1547)))</f>
        <v/>
      </c>
      <c r="H1547" s="34" t="n"/>
      <c r="I1547" s="34" t="n"/>
      <c r="J1547" s="33" t="n"/>
      <c r="K1547" s="28">
        <f>IF(OR(B1547="",F1547&lt;&gt;"Done",J1547="Package"),"",IF(N(G1547)-N(I1547)&gt;0,N(G1547)-N(I1547),""))</f>
        <v/>
      </c>
      <c r="L1547" s="32" t="n"/>
      <c r="M1547" s="1">
        <f>IF(OR(B1547="",D1547="",F1547="Cancelled"),"",B1547+N(C1547)+ROW()/10000000)</f>
        <v/>
      </c>
      <c r="N1547">
        <f>IF(AND(F1547="Done",M1547&lt;&gt;""),IF(COUNTIFS(Appointments!$D$6:$D$2005,D1547,Appointments!$F$6:$F$2005,"Done",Appointments!$M$6:$M$2005,"&gt;"&amp;M1547)=0,1,0),0)</f>
        <v/>
      </c>
      <c r="O1547">
        <f>IF(AND(F1547="Booked",M1547&lt;&gt;"",N(B1547)&gt;=TODAY()),IF(COUNTIFS(Appointments!$D$6:$D$2005,D1547,Appointments!$F$6:$F$2005,"Booked",Appointments!$B$6:$B$2005,"&gt;="&amp;TODAY(),Appointments!$M$6:$M$2005,"&lt;"&amp;M1547)=0,1,0),0)</f>
        <v/>
      </c>
    </row>
    <row r="1548">
      <c r="A1548" s="1" t="n"/>
      <c r="B1548" s="30" t="n"/>
      <c r="C1548" s="31" t="n"/>
      <c r="D1548" s="32" t="n"/>
      <c r="E1548" s="32" t="n"/>
      <c r="F1548" s="33" t="n"/>
      <c r="G1548" s="27">
        <f>IF(E1548="","",MAX(0,IFERROR(INDEX(Services!$C$6:$C$35,MATCH(E1548,Services!$B$6:$B$35,0)),0)-N(H1548)))</f>
        <v/>
      </c>
      <c r="H1548" s="34" t="n"/>
      <c r="I1548" s="34" t="n"/>
      <c r="J1548" s="33" t="n"/>
      <c r="K1548" s="28">
        <f>IF(OR(B1548="",F1548&lt;&gt;"Done",J1548="Package"),"",IF(N(G1548)-N(I1548)&gt;0,N(G1548)-N(I1548),""))</f>
        <v/>
      </c>
      <c r="L1548" s="32" t="n"/>
      <c r="M1548" s="1">
        <f>IF(OR(B1548="",D1548="",F1548="Cancelled"),"",B1548+N(C1548)+ROW()/10000000)</f>
        <v/>
      </c>
      <c r="N1548">
        <f>IF(AND(F1548="Done",M1548&lt;&gt;""),IF(COUNTIFS(Appointments!$D$6:$D$2005,D1548,Appointments!$F$6:$F$2005,"Done",Appointments!$M$6:$M$2005,"&gt;"&amp;M1548)=0,1,0),0)</f>
        <v/>
      </c>
      <c r="O1548">
        <f>IF(AND(F1548="Booked",M1548&lt;&gt;"",N(B1548)&gt;=TODAY()),IF(COUNTIFS(Appointments!$D$6:$D$2005,D1548,Appointments!$F$6:$F$2005,"Booked",Appointments!$B$6:$B$2005,"&gt;="&amp;TODAY(),Appointments!$M$6:$M$2005,"&lt;"&amp;M1548)=0,1,0),0)</f>
        <v/>
      </c>
    </row>
    <row r="1549">
      <c r="A1549" s="1" t="n"/>
      <c r="B1549" s="30" t="n"/>
      <c r="C1549" s="31" t="n"/>
      <c r="D1549" s="32" t="n"/>
      <c r="E1549" s="32" t="n"/>
      <c r="F1549" s="33" t="n"/>
      <c r="G1549" s="27">
        <f>IF(E1549="","",MAX(0,IFERROR(INDEX(Services!$C$6:$C$35,MATCH(E1549,Services!$B$6:$B$35,0)),0)-N(H1549)))</f>
        <v/>
      </c>
      <c r="H1549" s="34" t="n"/>
      <c r="I1549" s="34" t="n"/>
      <c r="J1549" s="33" t="n"/>
      <c r="K1549" s="28">
        <f>IF(OR(B1549="",F1549&lt;&gt;"Done",J1549="Package"),"",IF(N(G1549)-N(I1549)&gt;0,N(G1549)-N(I1549),""))</f>
        <v/>
      </c>
      <c r="L1549" s="32" t="n"/>
      <c r="M1549" s="1">
        <f>IF(OR(B1549="",D1549="",F1549="Cancelled"),"",B1549+N(C1549)+ROW()/10000000)</f>
        <v/>
      </c>
      <c r="N1549">
        <f>IF(AND(F1549="Done",M1549&lt;&gt;""),IF(COUNTIFS(Appointments!$D$6:$D$2005,D1549,Appointments!$F$6:$F$2005,"Done",Appointments!$M$6:$M$2005,"&gt;"&amp;M1549)=0,1,0),0)</f>
        <v/>
      </c>
      <c r="O1549">
        <f>IF(AND(F1549="Booked",M1549&lt;&gt;"",N(B1549)&gt;=TODAY()),IF(COUNTIFS(Appointments!$D$6:$D$2005,D1549,Appointments!$F$6:$F$2005,"Booked",Appointments!$B$6:$B$2005,"&gt;="&amp;TODAY(),Appointments!$M$6:$M$2005,"&lt;"&amp;M1549)=0,1,0),0)</f>
        <v/>
      </c>
    </row>
    <row r="1550">
      <c r="A1550" s="1" t="n"/>
      <c r="B1550" s="30" t="n"/>
      <c r="C1550" s="31" t="n"/>
      <c r="D1550" s="32" t="n"/>
      <c r="E1550" s="32" t="n"/>
      <c r="F1550" s="33" t="n"/>
      <c r="G1550" s="27">
        <f>IF(E1550="","",MAX(0,IFERROR(INDEX(Services!$C$6:$C$35,MATCH(E1550,Services!$B$6:$B$35,0)),0)-N(H1550)))</f>
        <v/>
      </c>
      <c r="H1550" s="34" t="n"/>
      <c r="I1550" s="34" t="n"/>
      <c r="J1550" s="33" t="n"/>
      <c r="K1550" s="28">
        <f>IF(OR(B1550="",F1550&lt;&gt;"Done",J1550="Package"),"",IF(N(G1550)-N(I1550)&gt;0,N(G1550)-N(I1550),""))</f>
        <v/>
      </c>
      <c r="L1550" s="32" t="n"/>
      <c r="M1550" s="1">
        <f>IF(OR(B1550="",D1550="",F1550="Cancelled"),"",B1550+N(C1550)+ROW()/10000000)</f>
        <v/>
      </c>
      <c r="N1550">
        <f>IF(AND(F1550="Done",M1550&lt;&gt;""),IF(COUNTIFS(Appointments!$D$6:$D$2005,D1550,Appointments!$F$6:$F$2005,"Done",Appointments!$M$6:$M$2005,"&gt;"&amp;M1550)=0,1,0),0)</f>
        <v/>
      </c>
      <c r="O1550">
        <f>IF(AND(F1550="Booked",M1550&lt;&gt;"",N(B1550)&gt;=TODAY()),IF(COUNTIFS(Appointments!$D$6:$D$2005,D1550,Appointments!$F$6:$F$2005,"Booked",Appointments!$B$6:$B$2005,"&gt;="&amp;TODAY(),Appointments!$M$6:$M$2005,"&lt;"&amp;M1550)=0,1,0),0)</f>
        <v/>
      </c>
    </row>
    <row r="1551">
      <c r="A1551" s="1" t="n"/>
      <c r="B1551" s="30" t="n"/>
      <c r="C1551" s="31" t="n"/>
      <c r="D1551" s="32" t="n"/>
      <c r="E1551" s="32" t="n"/>
      <c r="F1551" s="33" t="n"/>
      <c r="G1551" s="27">
        <f>IF(E1551="","",MAX(0,IFERROR(INDEX(Services!$C$6:$C$35,MATCH(E1551,Services!$B$6:$B$35,0)),0)-N(H1551)))</f>
        <v/>
      </c>
      <c r="H1551" s="34" t="n"/>
      <c r="I1551" s="34" t="n"/>
      <c r="J1551" s="33" t="n"/>
      <c r="K1551" s="28">
        <f>IF(OR(B1551="",F1551&lt;&gt;"Done",J1551="Package"),"",IF(N(G1551)-N(I1551)&gt;0,N(G1551)-N(I1551),""))</f>
        <v/>
      </c>
      <c r="L1551" s="32" t="n"/>
      <c r="M1551" s="1">
        <f>IF(OR(B1551="",D1551="",F1551="Cancelled"),"",B1551+N(C1551)+ROW()/10000000)</f>
        <v/>
      </c>
      <c r="N1551">
        <f>IF(AND(F1551="Done",M1551&lt;&gt;""),IF(COUNTIFS(Appointments!$D$6:$D$2005,D1551,Appointments!$F$6:$F$2005,"Done",Appointments!$M$6:$M$2005,"&gt;"&amp;M1551)=0,1,0),0)</f>
        <v/>
      </c>
      <c r="O1551">
        <f>IF(AND(F1551="Booked",M1551&lt;&gt;"",N(B1551)&gt;=TODAY()),IF(COUNTIFS(Appointments!$D$6:$D$2005,D1551,Appointments!$F$6:$F$2005,"Booked",Appointments!$B$6:$B$2005,"&gt;="&amp;TODAY(),Appointments!$M$6:$M$2005,"&lt;"&amp;M1551)=0,1,0),0)</f>
        <v/>
      </c>
    </row>
    <row r="1552">
      <c r="A1552" s="1" t="n"/>
      <c r="B1552" s="30" t="n"/>
      <c r="C1552" s="31" t="n"/>
      <c r="D1552" s="32" t="n"/>
      <c r="E1552" s="32" t="n"/>
      <c r="F1552" s="33" t="n"/>
      <c r="G1552" s="27">
        <f>IF(E1552="","",MAX(0,IFERROR(INDEX(Services!$C$6:$C$35,MATCH(E1552,Services!$B$6:$B$35,0)),0)-N(H1552)))</f>
        <v/>
      </c>
      <c r="H1552" s="34" t="n"/>
      <c r="I1552" s="34" t="n"/>
      <c r="J1552" s="33" t="n"/>
      <c r="K1552" s="28">
        <f>IF(OR(B1552="",F1552&lt;&gt;"Done",J1552="Package"),"",IF(N(G1552)-N(I1552)&gt;0,N(G1552)-N(I1552),""))</f>
        <v/>
      </c>
      <c r="L1552" s="32" t="n"/>
      <c r="M1552" s="1">
        <f>IF(OR(B1552="",D1552="",F1552="Cancelled"),"",B1552+N(C1552)+ROW()/10000000)</f>
        <v/>
      </c>
      <c r="N1552">
        <f>IF(AND(F1552="Done",M1552&lt;&gt;""),IF(COUNTIFS(Appointments!$D$6:$D$2005,D1552,Appointments!$F$6:$F$2005,"Done",Appointments!$M$6:$M$2005,"&gt;"&amp;M1552)=0,1,0),0)</f>
        <v/>
      </c>
      <c r="O1552">
        <f>IF(AND(F1552="Booked",M1552&lt;&gt;"",N(B1552)&gt;=TODAY()),IF(COUNTIFS(Appointments!$D$6:$D$2005,D1552,Appointments!$F$6:$F$2005,"Booked",Appointments!$B$6:$B$2005,"&gt;="&amp;TODAY(),Appointments!$M$6:$M$2005,"&lt;"&amp;M1552)=0,1,0),0)</f>
        <v/>
      </c>
    </row>
    <row r="1553">
      <c r="A1553" s="1" t="n"/>
      <c r="B1553" s="30" t="n"/>
      <c r="C1553" s="31" t="n"/>
      <c r="D1553" s="32" t="n"/>
      <c r="E1553" s="32" t="n"/>
      <c r="F1553" s="33" t="n"/>
      <c r="G1553" s="27">
        <f>IF(E1553="","",MAX(0,IFERROR(INDEX(Services!$C$6:$C$35,MATCH(E1553,Services!$B$6:$B$35,0)),0)-N(H1553)))</f>
        <v/>
      </c>
      <c r="H1553" s="34" t="n"/>
      <c r="I1553" s="34" t="n"/>
      <c r="J1553" s="33" t="n"/>
      <c r="K1553" s="28">
        <f>IF(OR(B1553="",F1553&lt;&gt;"Done",J1553="Package"),"",IF(N(G1553)-N(I1553)&gt;0,N(G1553)-N(I1553),""))</f>
        <v/>
      </c>
      <c r="L1553" s="32" t="n"/>
      <c r="M1553" s="1">
        <f>IF(OR(B1553="",D1553="",F1553="Cancelled"),"",B1553+N(C1553)+ROW()/10000000)</f>
        <v/>
      </c>
      <c r="N1553">
        <f>IF(AND(F1553="Done",M1553&lt;&gt;""),IF(COUNTIFS(Appointments!$D$6:$D$2005,D1553,Appointments!$F$6:$F$2005,"Done",Appointments!$M$6:$M$2005,"&gt;"&amp;M1553)=0,1,0),0)</f>
        <v/>
      </c>
      <c r="O1553">
        <f>IF(AND(F1553="Booked",M1553&lt;&gt;"",N(B1553)&gt;=TODAY()),IF(COUNTIFS(Appointments!$D$6:$D$2005,D1553,Appointments!$F$6:$F$2005,"Booked",Appointments!$B$6:$B$2005,"&gt;="&amp;TODAY(),Appointments!$M$6:$M$2005,"&lt;"&amp;M1553)=0,1,0),0)</f>
        <v/>
      </c>
    </row>
    <row r="1554">
      <c r="A1554" s="1" t="n"/>
      <c r="B1554" s="30" t="n"/>
      <c r="C1554" s="31" t="n"/>
      <c r="D1554" s="32" t="n"/>
      <c r="E1554" s="32" t="n"/>
      <c r="F1554" s="33" t="n"/>
      <c r="G1554" s="27">
        <f>IF(E1554="","",MAX(0,IFERROR(INDEX(Services!$C$6:$C$35,MATCH(E1554,Services!$B$6:$B$35,0)),0)-N(H1554)))</f>
        <v/>
      </c>
      <c r="H1554" s="34" t="n"/>
      <c r="I1554" s="34" t="n"/>
      <c r="J1554" s="33" t="n"/>
      <c r="K1554" s="28">
        <f>IF(OR(B1554="",F1554&lt;&gt;"Done",J1554="Package"),"",IF(N(G1554)-N(I1554)&gt;0,N(G1554)-N(I1554),""))</f>
        <v/>
      </c>
      <c r="L1554" s="32" t="n"/>
      <c r="M1554" s="1">
        <f>IF(OR(B1554="",D1554="",F1554="Cancelled"),"",B1554+N(C1554)+ROW()/10000000)</f>
        <v/>
      </c>
      <c r="N1554">
        <f>IF(AND(F1554="Done",M1554&lt;&gt;""),IF(COUNTIFS(Appointments!$D$6:$D$2005,D1554,Appointments!$F$6:$F$2005,"Done",Appointments!$M$6:$M$2005,"&gt;"&amp;M1554)=0,1,0),0)</f>
        <v/>
      </c>
      <c r="O1554">
        <f>IF(AND(F1554="Booked",M1554&lt;&gt;"",N(B1554)&gt;=TODAY()),IF(COUNTIFS(Appointments!$D$6:$D$2005,D1554,Appointments!$F$6:$F$2005,"Booked",Appointments!$B$6:$B$2005,"&gt;="&amp;TODAY(),Appointments!$M$6:$M$2005,"&lt;"&amp;M1554)=0,1,0),0)</f>
        <v/>
      </c>
    </row>
    <row r="1555">
      <c r="A1555" s="1" t="n"/>
      <c r="B1555" s="30" t="n"/>
      <c r="C1555" s="31" t="n"/>
      <c r="D1555" s="32" t="n"/>
      <c r="E1555" s="32" t="n"/>
      <c r="F1555" s="33" t="n"/>
      <c r="G1555" s="27">
        <f>IF(E1555="","",MAX(0,IFERROR(INDEX(Services!$C$6:$C$35,MATCH(E1555,Services!$B$6:$B$35,0)),0)-N(H1555)))</f>
        <v/>
      </c>
      <c r="H1555" s="34" t="n"/>
      <c r="I1555" s="34" t="n"/>
      <c r="J1555" s="33" t="n"/>
      <c r="K1555" s="28">
        <f>IF(OR(B1555="",F1555&lt;&gt;"Done",J1555="Package"),"",IF(N(G1555)-N(I1555)&gt;0,N(G1555)-N(I1555),""))</f>
        <v/>
      </c>
      <c r="L1555" s="32" t="n"/>
      <c r="M1555" s="1">
        <f>IF(OR(B1555="",D1555="",F1555="Cancelled"),"",B1555+N(C1555)+ROW()/10000000)</f>
        <v/>
      </c>
      <c r="N1555">
        <f>IF(AND(F1555="Done",M1555&lt;&gt;""),IF(COUNTIFS(Appointments!$D$6:$D$2005,D1555,Appointments!$F$6:$F$2005,"Done",Appointments!$M$6:$M$2005,"&gt;"&amp;M1555)=0,1,0),0)</f>
        <v/>
      </c>
      <c r="O1555">
        <f>IF(AND(F1555="Booked",M1555&lt;&gt;"",N(B1555)&gt;=TODAY()),IF(COUNTIFS(Appointments!$D$6:$D$2005,D1555,Appointments!$F$6:$F$2005,"Booked",Appointments!$B$6:$B$2005,"&gt;="&amp;TODAY(),Appointments!$M$6:$M$2005,"&lt;"&amp;M1555)=0,1,0),0)</f>
        <v/>
      </c>
    </row>
    <row r="1556">
      <c r="A1556" s="1" t="n"/>
      <c r="B1556" s="30" t="n"/>
      <c r="C1556" s="31" t="n"/>
      <c r="D1556" s="32" t="n"/>
      <c r="E1556" s="32" t="n"/>
      <c r="F1556" s="33" t="n"/>
      <c r="G1556" s="27">
        <f>IF(E1556="","",MAX(0,IFERROR(INDEX(Services!$C$6:$C$35,MATCH(E1556,Services!$B$6:$B$35,0)),0)-N(H1556)))</f>
        <v/>
      </c>
      <c r="H1556" s="34" t="n"/>
      <c r="I1556" s="34" t="n"/>
      <c r="J1556" s="33" t="n"/>
      <c r="K1556" s="28">
        <f>IF(OR(B1556="",F1556&lt;&gt;"Done",J1556="Package"),"",IF(N(G1556)-N(I1556)&gt;0,N(G1556)-N(I1556),""))</f>
        <v/>
      </c>
      <c r="L1556" s="32" t="n"/>
      <c r="M1556" s="1">
        <f>IF(OR(B1556="",D1556="",F1556="Cancelled"),"",B1556+N(C1556)+ROW()/10000000)</f>
        <v/>
      </c>
      <c r="N1556">
        <f>IF(AND(F1556="Done",M1556&lt;&gt;""),IF(COUNTIFS(Appointments!$D$6:$D$2005,D1556,Appointments!$F$6:$F$2005,"Done",Appointments!$M$6:$M$2005,"&gt;"&amp;M1556)=0,1,0),0)</f>
        <v/>
      </c>
      <c r="O1556">
        <f>IF(AND(F1556="Booked",M1556&lt;&gt;"",N(B1556)&gt;=TODAY()),IF(COUNTIFS(Appointments!$D$6:$D$2005,D1556,Appointments!$F$6:$F$2005,"Booked",Appointments!$B$6:$B$2005,"&gt;="&amp;TODAY(),Appointments!$M$6:$M$2005,"&lt;"&amp;M1556)=0,1,0),0)</f>
        <v/>
      </c>
    </row>
    <row r="1557">
      <c r="A1557" s="1" t="n"/>
      <c r="B1557" s="30" t="n"/>
      <c r="C1557" s="31" t="n"/>
      <c r="D1557" s="32" t="n"/>
      <c r="E1557" s="32" t="n"/>
      <c r="F1557" s="33" t="n"/>
      <c r="G1557" s="27">
        <f>IF(E1557="","",MAX(0,IFERROR(INDEX(Services!$C$6:$C$35,MATCH(E1557,Services!$B$6:$B$35,0)),0)-N(H1557)))</f>
        <v/>
      </c>
      <c r="H1557" s="34" t="n"/>
      <c r="I1557" s="34" t="n"/>
      <c r="J1557" s="33" t="n"/>
      <c r="K1557" s="28">
        <f>IF(OR(B1557="",F1557&lt;&gt;"Done",J1557="Package"),"",IF(N(G1557)-N(I1557)&gt;0,N(G1557)-N(I1557),""))</f>
        <v/>
      </c>
      <c r="L1557" s="32" t="n"/>
      <c r="M1557" s="1">
        <f>IF(OR(B1557="",D1557="",F1557="Cancelled"),"",B1557+N(C1557)+ROW()/10000000)</f>
        <v/>
      </c>
      <c r="N1557">
        <f>IF(AND(F1557="Done",M1557&lt;&gt;""),IF(COUNTIFS(Appointments!$D$6:$D$2005,D1557,Appointments!$F$6:$F$2005,"Done",Appointments!$M$6:$M$2005,"&gt;"&amp;M1557)=0,1,0),0)</f>
        <v/>
      </c>
      <c r="O1557">
        <f>IF(AND(F1557="Booked",M1557&lt;&gt;"",N(B1557)&gt;=TODAY()),IF(COUNTIFS(Appointments!$D$6:$D$2005,D1557,Appointments!$F$6:$F$2005,"Booked",Appointments!$B$6:$B$2005,"&gt;="&amp;TODAY(),Appointments!$M$6:$M$2005,"&lt;"&amp;M1557)=0,1,0),0)</f>
        <v/>
      </c>
    </row>
    <row r="1558">
      <c r="A1558" s="1" t="n"/>
      <c r="B1558" s="30" t="n"/>
      <c r="C1558" s="31" t="n"/>
      <c r="D1558" s="32" t="n"/>
      <c r="E1558" s="32" t="n"/>
      <c r="F1558" s="33" t="n"/>
      <c r="G1558" s="27">
        <f>IF(E1558="","",MAX(0,IFERROR(INDEX(Services!$C$6:$C$35,MATCH(E1558,Services!$B$6:$B$35,0)),0)-N(H1558)))</f>
        <v/>
      </c>
      <c r="H1558" s="34" t="n"/>
      <c r="I1558" s="34" t="n"/>
      <c r="J1558" s="33" t="n"/>
      <c r="K1558" s="28">
        <f>IF(OR(B1558="",F1558&lt;&gt;"Done",J1558="Package"),"",IF(N(G1558)-N(I1558)&gt;0,N(G1558)-N(I1558),""))</f>
        <v/>
      </c>
      <c r="L1558" s="32" t="n"/>
      <c r="M1558" s="1">
        <f>IF(OR(B1558="",D1558="",F1558="Cancelled"),"",B1558+N(C1558)+ROW()/10000000)</f>
        <v/>
      </c>
      <c r="N1558">
        <f>IF(AND(F1558="Done",M1558&lt;&gt;""),IF(COUNTIFS(Appointments!$D$6:$D$2005,D1558,Appointments!$F$6:$F$2005,"Done",Appointments!$M$6:$M$2005,"&gt;"&amp;M1558)=0,1,0),0)</f>
        <v/>
      </c>
      <c r="O1558">
        <f>IF(AND(F1558="Booked",M1558&lt;&gt;"",N(B1558)&gt;=TODAY()),IF(COUNTIFS(Appointments!$D$6:$D$2005,D1558,Appointments!$F$6:$F$2005,"Booked",Appointments!$B$6:$B$2005,"&gt;="&amp;TODAY(),Appointments!$M$6:$M$2005,"&lt;"&amp;M1558)=0,1,0),0)</f>
        <v/>
      </c>
    </row>
    <row r="1559">
      <c r="A1559" s="1" t="n"/>
      <c r="B1559" s="30" t="n"/>
      <c r="C1559" s="31" t="n"/>
      <c r="D1559" s="32" t="n"/>
      <c r="E1559" s="32" t="n"/>
      <c r="F1559" s="33" t="n"/>
      <c r="G1559" s="27">
        <f>IF(E1559="","",MAX(0,IFERROR(INDEX(Services!$C$6:$C$35,MATCH(E1559,Services!$B$6:$B$35,0)),0)-N(H1559)))</f>
        <v/>
      </c>
      <c r="H1559" s="34" t="n"/>
      <c r="I1559" s="34" t="n"/>
      <c r="J1559" s="33" t="n"/>
      <c r="K1559" s="28">
        <f>IF(OR(B1559="",F1559&lt;&gt;"Done",J1559="Package"),"",IF(N(G1559)-N(I1559)&gt;0,N(G1559)-N(I1559),""))</f>
        <v/>
      </c>
      <c r="L1559" s="32" t="n"/>
      <c r="M1559" s="1">
        <f>IF(OR(B1559="",D1559="",F1559="Cancelled"),"",B1559+N(C1559)+ROW()/10000000)</f>
        <v/>
      </c>
      <c r="N1559">
        <f>IF(AND(F1559="Done",M1559&lt;&gt;""),IF(COUNTIFS(Appointments!$D$6:$D$2005,D1559,Appointments!$F$6:$F$2005,"Done",Appointments!$M$6:$M$2005,"&gt;"&amp;M1559)=0,1,0),0)</f>
        <v/>
      </c>
      <c r="O1559">
        <f>IF(AND(F1559="Booked",M1559&lt;&gt;"",N(B1559)&gt;=TODAY()),IF(COUNTIFS(Appointments!$D$6:$D$2005,D1559,Appointments!$F$6:$F$2005,"Booked",Appointments!$B$6:$B$2005,"&gt;="&amp;TODAY(),Appointments!$M$6:$M$2005,"&lt;"&amp;M1559)=0,1,0),0)</f>
        <v/>
      </c>
    </row>
    <row r="1560">
      <c r="A1560" s="1" t="n"/>
      <c r="B1560" s="30" t="n"/>
      <c r="C1560" s="31" t="n"/>
      <c r="D1560" s="32" t="n"/>
      <c r="E1560" s="32" t="n"/>
      <c r="F1560" s="33" t="n"/>
      <c r="G1560" s="27">
        <f>IF(E1560="","",MAX(0,IFERROR(INDEX(Services!$C$6:$C$35,MATCH(E1560,Services!$B$6:$B$35,0)),0)-N(H1560)))</f>
        <v/>
      </c>
      <c r="H1560" s="34" t="n"/>
      <c r="I1560" s="34" t="n"/>
      <c r="J1560" s="33" t="n"/>
      <c r="K1560" s="28">
        <f>IF(OR(B1560="",F1560&lt;&gt;"Done",J1560="Package"),"",IF(N(G1560)-N(I1560)&gt;0,N(G1560)-N(I1560),""))</f>
        <v/>
      </c>
      <c r="L1560" s="32" t="n"/>
      <c r="M1560" s="1">
        <f>IF(OR(B1560="",D1560="",F1560="Cancelled"),"",B1560+N(C1560)+ROW()/10000000)</f>
        <v/>
      </c>
      <c r="N1560">
        <f>IF(AND(F1560="Done",M1560&lt;&gt;""),IF(COUNTIFS(Appointments!$D$6:$D$2005,D1560,Appointments!$F$6:$F$2005,"Done",Appointments!$M$6:$M$2005,"&gt;"&amp;M1560)=0,1,0),0)</f>
        <v/>
      </c>
      <c r="O1560">
        <f>IF(AND(F1560="Booked",M1560&lt;&gt;"",N(B1560)&gt;=TODAY()),IF(COUNTIFS(Appointments!$D$6:$D$2005,D1560,Appointments!$F$6:$F$2005,"Booked",Appointments!$B$6:$B$2005,"&gt;="&amp;TODAY(),Appointments!$M$6:$M$2005,"&lt;"&amp;M1560)=0,1,0),0)</f>
        <v/>
      </c>
    </row>
    <row r="1561">
      <c r="A1561" s="1" t="n"/>
      <c r="B1561" s="30" t="n"/>
      <c r="C1561" s="31" t="n"/>
      <c r="D1561" s="32" t="n"/>
      <c r="E1561" s="32" t="n"/>
      <c r="F1561" s="33" t="n"/>
      <c r="G1561" s="27">
        <f>IF(E1561="","",MAX(0,IFERROR(INDEX(Services!$C$6:$C$35,MATCH(E1561,Services!$B$6:$B$35,0)),0)-N(H1561)))</f>
        <v/>
      </c>
      <c r="H1561" s="34" t="n"/>
      <c r="I1561" s="34" t="n"/>
      <c r="J1561" s="33" t="n"/>
      <c r="K1561" s="28">
        <f>IF(OR(B1561="",F1561&lt;&gt;"Done",J1561="Package"),"",IF(N(G1561)-N(I1561)&gt;0,N(G1561)-N(I1561),""))</f>
        <v/>
      </c>
      <c r="L1561" s="32" t="n"/>
      <c r="M1561" s="1">
        <f>IF(OR(B1561="",D1561="",F1561="Cancelled"),"",B1561+N(C1561)+ROW()/10000000)</f>
        <v/>
      </c>
      <c r="N1561">
        <f>IF(AND(F1561="Done",M1561&lt;&gt;""),IF(COUNTIFS(Appointments!$D$6:$D$2005,D1561,Appointments!$F$6:$F$2005,"Done",Appointments!$M$6:$M$2005,"&gt;"&amp;M1561)=0,1,0),0)</f>
        <v/>
      </c>
      <c r="O1561">
        <f>IF(AND(F1561="Booked",M1561&lt;&gt;"",N(B1561)&gt;=TODAY()),IF(COUNTIFS(Appointments!$D$6:$D$2005,D1561,Appointments!$F$6:$F$2005,"Booked",Appointments!$B$6:$B$2005,"&gt;="&amp;TODAY(),Appointments!$M$6:$M$2005,"&lt;"&amp;M1561)=0,1,0),0)</f>
        <v/>
      </c>
    </row>
    <row r="1562">
      <c r="A1562" s="1" t="n"/>
      <c r="B1562" s="30" t="n"/>
      <c r="C1562" s="31" t="n"/>
      <c r="D1562" s="32" t="n"/>
      <c r="E1562" s="32" t="n"/>
      <c r="F1562" s="33" t="n"/>
      <c r="G1562" s="27">
        <f>IF(E1562="","",MAX(0,IFERROR(INDEX(Services!$C$6:$C$35,MATCH(E1562,Services!$B$6:$B$35,0)),0)-N(H1562)))</f>
        <v/>
      </c>
      <c r="H1562" s="34" t="n"/>
      <c r="I1562" s="34" t="n"/>
      <c r="J1562" s="33" t="n"/>
      <c r="K1562" s="28">
        <f>IF(OR(B1562="",F1562&lt;&gt;"Done",J1562="Package"),"",IF(N(G1562)-N(I1562)&gt;0,N(G1562)-N(I1562),""))</f>
        <v/>
      </c>
      <c r="L1562" s="32" t="n"/>
      <c r="M1562" s="1">
        <f>IF(OR(B1562="",D1562="",F1562="Cancelled"),"",B1562+N(C1562)+ROW()/10000000)</f>
        <v/>
      </c>
      <c r="N1562">
        <f>IF(AND(F1562="Done",M1562&lt;&gt;""),IF(COUNTIFS(Appointments!$D$6:$D$2005,D1562,Appointments!$F$6:$F$2005,"Done",Appointments!$M$6:$M$2005,"&gt;"&amp;M1562)=0,1,0),0)</f>
        <v/>
      </c>
      <c r="O1562">
        <f>IF(AND(F1562="Booked",M1562&lt;&gt;"",N(B1562)&gt;=TODAY()),IF(COUNTIFS(Appointments!$D$6:$D$2005,D1562,Appointments!$F$6:$F$2005,"Booked",Appointments!$B$6:$B$2005,"&gt;="&amp;TODAY(),Appointments!$M$6:$M$2005,"&lt;"&amp;M1562)=0,1,0),0)</f>
        <v/>
      </c>
    </row>
    <row r="1563">
      <c r="A1563" s="1" t="n"/>
      <c r="B1563" s="30" t="n"/>
      <c r="C1563" s="31" t="n"/>
      <c r="D1563" s="32" t="n"/>
      <c r="E1563" s="32" t="n"/>
      <c r="F1563" s="33" t="n"/>
      <c r="G1563" s="27">
        <f>IF(E1563="","",MAX(0,IFERROR(INDEX(Services!$C$6:$C$35,MATCH(E1563,Services!$B$6:$B$35,0)),0)-N(H1563)))</f>
        <v/>
      </c>
      <c r="H1563" s="34" t="n"/>
      <c r="I1563" s="34" t="n"/>
      <c r="J1563" s="33" t="n"/>
      <c r="K1563" s="28">
        <f>IF(OR(B1563="",F1563&lt;&gt;"Done",J1563="Package"),"",IF(N(G1563)-N(I1563)&gt;0,N(G1563)-N(I1563),""))</f>
        <v/>
      </c>
      <c r="L1563" s="32" t="n"/>
      <c r="M1563" s="1">
        <f>IF(OR(B1563="",D1563="",F1563="Cancelled"),"",B1563+N(C1563)+ROW()/10000000)</f>
        <v/>
      </c>
      <c r="N1563">
        <f>IF(AND(F1563="Done",M1563&lt;&gt;""),IF(COUNTIFS(Appointments!$D$6:$D$2005,D1563,Appointments!$F$6:$F$2005,"Done",Appointments!$M$6:$M$2005,"&gt;"&amp;M1563)=0,1,0),0)</f>
        <v/>
      </c>
      <c r="O1563">
        <f>IF(AND(F1563="Booked",M1563&lt;&gt;"",N(B1563)&gt;=TODAY()),IF(COUNTIFS(Appointments!$D$6:$D$2005,D1563,Appointments!$F$6:$F$2005,"Booked",Appointments!$B$6:$B$2005,"&gt;="&amp;TODAY(),Appointments!$M$6:$M$2005,"&lt;"&amp;M1563)=0,1,0),0)</f>
        <v/>
      </c>
    </row>
    <row r="1564">
      <c r="A1564" s="1" t="n"/>
      <c r="B1564" s="30" t="n"/>
      <c r="C1564" s="31" t="n"/>
      <c r="D1564" s="32" t="n"/>
      <c r="E1564" s="32" t="n"/>
      <c r="F1564" s="33" t="n"/>
      <c r="G1564" s="27">
        <f>IF(E1564="","",MAX(0,IFERROR(INDEX(Services!$C$6:$C$35,MATCH(E1564,Services!$B$6:$B$35,0)),0)-N(H1564)))</f>
        <v/>
      </c>
      <c r="H1564" s="34" t="n"/>
      <c r="I1564" s="34" t="n"/>
      <c r="J1564" s="33" t="n"/>
      <c r="K1564" s="28">
        <f>IF(OR(B1564="",F1564&lt;&gt;"Done",J1564="Package"),"",IF(N(G1564)-N(I1564)&gt;0,N(G1564)-N(I1564),""))</f>
        <v/>
      </c>
      <c r="L1564" s="32" t="n"/>
      <c r="M1564" s="1">
        <f>IF(OR(B1564="",D1564="",F1564="Cancelled"),"",B1564+N(C1564)+ROW()/10000000)</f>
        <v/>
      </c>
      <c r="N1564">
        <f>IF(AND(F1564="Done",M1564&lt;&gt;""),IF(COUNTIFS(Appointments!$D$6:$D$2005,D1564,Appointments!$F$6:$F$2005,"Done",Appointments!$M$6:$M$2005,"&gt;"&amp;M1564)=0,1,0),0)</f>
        <v/>
      </c>
      <c r="O1564">
        <f>IF(AND(F1564="Booked",M1564&lt;&gt;"",N(B1564)&gt;=TODAY()),IF(COUNTIFS(Appointments!$D$6:$D$2005,D1564,Appointments!$F$6:$F$2005,"Booked",Appointments!$B$6:$B$2005,"&gt;="&amp;TODAY(),Appointments!$M$6:$M$2005,"&lt;"&amp;M1564)=0,1,0),0)</f>
        <v/>
      </c>
    </row>
    <row r="1565">
      <c r="A1565" s="1" t="n"/>
      <c r="B1565" s="30" t="n"/>
      <c r="C1565" s="31" t="n"/>
      <c r="D1565" s="32" t="n"/>
      <c r="E1565" s="32" t="n"/>
      <c r="F1565" s="33" t="n"/>
      <c r="G1565" s="27">
        <f>IF(E1565="","",MAX(0,IFERROR(INDEX(Services!$C$6:$C$35,MATCH(E1565,Services!$B$6:$B$35,0)),0)-N(H1565)))</f>
        <v/>
      </c>
      <c r="H1565" s="34" t="n"/>
      <c r="I1565" s="34" t="n"/>
      <c r="J1565" s="33" t="n"/>
      <c r="K1565" s="28">
        <f>IF(OR(B1565="",F1565&lt;&gt;"Done",J1565="Package"),"",IF(N(G1565)-N(I1565)&gt;0,N(G1565)-N(I1565),""))</f>
        <v/>
      </c>
      <c r="L1565" s="32" t="n"/>
      <c r="M1565" s="1">
        <f>IF(OR(B1565="",D1565="",F1565="Cancelled"),"",B1565+N(C1565)+ROW()/10000000)</f>
        <v/>
      </c>
      <c r="N1565">
        <f>IF(AND(F1565="Done",M1565&lt;&gt;""),IF(COUNTIFS(Appointments!$D$6:$D$2005,D1565,Appointments!$F$6:$F$2005,"Done",Appointments!$M$6:$M$2005,"&gt;"&amp;M1565)=0,1,0),0)</f>
        <v/>
      </c>
      <c r="O1565">
        <f>IF(AND(F1565="Booked",M1565&lt;&gt;"",N(B1565)&gt;=TODAY()),IF(COUNTIFS(Appointments!$D$6:$D$2005,D1565,Appointments!$F$6:$F$2005,"Booked",Appointments!$B$6:$B$2005,"&gt;="&amp;TODAY(),Appointments!$M$6:$M$2005,"&lt;"&amp;M1565)=0,1,0),0)</f>
        <v/>
      </c>
    </row>
    <row r="1566">
      <c r="A1566" s="1" t="n"/>
      <c r="B1566" s="30" t="n"/>
      <c r="C1566" s="31" t="n"/>
      <c r="D1566" s="32" t="n"/>
      <c r="E1566" s="32" t="n"/>
      <c r="F1566" s="33" t="n"/>
      <c r="G1566" s="27">
        <f>IF(E1566="","",MAX(0,IFERROR(INDEX(Services!$C$6:$C$35,MATCH(E1566,Services!$B$6:$B$35,0)),0)-N(H1566)))</f>
        <v/>
      </c>
      <c r="H1566" s="34" t="n"/>
      <c r="I1566" s="34" t="n"/>
      <c r="J1566" s="33" t="n"/>
      <c r="K1566" s="28">
        <f>IF(OR(B1566="",F1566&lt;&gt;"Done",J1566="Package"),"",IF(N(G1566)-N(I1566)&gt;0,N(G1566)-N(I1566),""))</f>
        <v/>
      </c>
      <c r="L1566" s="32" t="n"/>
      <c r="M1566" s="1">
        <f>IF(OR(B1566="",D1566="",F1566="Cancelled"),"",B1566+N(C1566)+ROW()/10000000)</f>
        <v/>
      </c>
      <c r="N1566">
        <f>IF(AND(F1566="Done",M1566&lt;&gt;""),IF(COUNTIFS(Appointments!$D$6:$D$2005,D1566,Appointments!$F$6:$F$2005,"Done",Appointments!$M$6:$M$2005,"&gt;"&amp;M1566)=0,1,0),0)</f>
        <v/>
      </c>
      <c r="O1566">
        <f>IF(AND(F1566="Booked",M1566&lt;&gt;"",N(B1566)&gt;=TODAY()),IF(COUNTIFS(Appointments!$D$6:$D$2005,D1566,Appointments!$F$6:$F$2005,"Booked",Appointments!$B$6:$B$2005,"&gt;="&amp;TODAY(),Appointments!$M$6:$M$2005,"&lt;"&amp;M1566)=0,1,0),0)</f>
        <v/>
      </c>
    </row>
    <row r="1567">
      <c r="A1567" s="1" t="n"/>
      <c r="B1567" s="30" t="n"/>
      <c r="C1567" s="31" t="n"/>
      <c r="D1567" s="32" t="n"/>
      <c r="E1567" s="32" t="n"/>
      <c r="F1567" s="33" t="n"/>
      <c r="G1567" s="27">
        <f>IF(E1567="","",MAX(0,IFERROR(INDEX(Services!$C$6:$C$35,MATCH(E1567,Services!$B$6:$B$35,0)),0)-N(H1567)))</f>
        <v/>
      </c>
      <c r="H1567" s="34" t="n"/>
      <c r="I1567" s="34" t="n"/>
      <c r="J1567" s="33" t="n"/>
      <c r="K1567" s="28">
        <f>IF(OR(B1567="",F1567&lt;&gt;"Done",J1567="Package"),"",IF(N(G1567)-N(I1567)&gt;0,N(G1567)-N(I1567),""))</f>
        <v/>
      </c>
      <c r="L1567" s="32" t="n"/>
      <c r="M1567" s="1">
        <f>IF(OR(B1567="",D1567="",F1567="Cancelled"),"",B1567+N(C1567)+ROW()/10000000)</f>
        <v/>
      </c>
      <c r="N1567">
        <f>IF(AND(F1567="Done",M1567&lt;&gt;""),IF(COUNTIFS(Appointments!$D$6:$D$2005,D1567,Appointments!$F$6:$F$2005,"Done",Appointments!$M$6:$M$2005,"&gt;"&amp;M1567)=0,1,0),0)</f>
        <v/>
      </c>
      <c r="O1567">
        <f>IF(AND(F1567="Booked",M1567&lt;&gt;"",N(B1567)&gt;=TODAY()),IF(COUNTIFS(Appointments!$D$6:$D$2005,D1567,Appointments!$F$6:$F$2005,"Booked",Appointments!$B$6:$B$2005,"&gt;="&amp;TODAY(),Appointments!$M$6:$M$2005,"&lt;"&amp;M1567)=0,1,0),0)</f>
        <v/>
      </c>
    </row>
    <row r="1568">
      <c r="A1568" s="1" t="n"/>
      <c r="B1568" s="30" t="n"/>
      <c r="C1568" s="31" t="n"/>
      <c r="D1568" s="32" t="n"/>
      <c r="E1568" s="32" t="n"/>
      <c r="F1568" s="33" t="n"/>
      <c r="G1568" s="27">
        <f>IF(E1568="","",MAX(0,IFERROR(INDEX(Services!$C$6:$C$35,MATCH(E1568,Services!$B$6:$B$35,0)),0)-N(H1568)))</f>
        <v/>
      </c>
      <c r="H1568" s="34" t="n"/>
      <c r="I1568" s="34" t="n"/>
      <c r="J1568" s="33" t="n"/>
      <c r="K1568" s="28">
        <f>IF(OR(B1568="",F1568&lt;&gt;"Done",J1568="Package"),"",IF(N(G1568)-N(I1568)&gt;0,N(G1568)-N(I1568),""))</f>
        <v/>
      </c>
      <c r="L1568" s="32" t="n"/>
      <c r="M1568" s="1">
        <f>IF(OR(B1568="",D1568="",F1568="Cancelled"),"",B1568+N(C1568)+ROW()/10000000)</f>
        <v/>
      </c>
      <c r="N1568">
        <f>IF(AND(F1568="Done",M1568&lt;&gt;""),IF(COUNTIFS(Appointments!$D$6:$D$2005,D1568,Appointments!$F$6:$F$2005,"Done",Appointments!$M$6:$M$2005,"&gt;"&amp;M1568)=0,1,0),0)</f>
        <v/>
      </c>
      <c r="O1568">
        <f>IF(AND(F1568="Booked",M1568&lt;&gt;"",N(B1568)&gt;=TODAY()),IF(COUNTIFS(Appointments!$D$6:$D$2005,D1568,Appointments!$F$6:$F$2005,"Booked",Appointments!$B$6:$B$2005,"&gt;="&amp;TODAY(),Appointments!$M$6:$M$2005,"&lt;"&amp;M1568)=0,1,0),0)</f>
        <v/>
      </c>
    </row>
    <row r="1569">
      <c r="A1569" s="1" t="n"/>
      <c r="B1569" s="30" t="n"/>
      <c r="C1569" s="31" t="n"/>
      <c r="D1569" s="32" t="n"/>
      <c r="E1569" s="32" t="n"/>
      <c r="F1569" s="33" t="n"/>
      <c r="G1569" s="27">
        <f>IF(E1569="","",MAX(0,IFERROR(INDEX(Services!$C$6:$C$35,MATCH(E1569,Services!$B$6:$B$35,0)),0)-N(H1569)))</f>
        <v/>
      </c>
      <c r="H1569" s="34" t="n"/>
      <c r="I1569" s="34" t="n"/>
      <c r="J1569" s="33" t="n"/>
      <c r="K1569" s="28">
        <f>IF(OR(B1569="",F1569&lt;&gt;"Done",J1569="Package"),"",IF(N(G1569)-N(I1569)&gt;0,N(G1569)-N(I1569),""))</f>
        <v/>
      </c>
      <c r="L1569" s="32" t="n"/>
      <c r="M1569" s="1">
        <f>IF(OR(B1569="",D1569="",F1569="Cancelled"),"",B1569+N(C1569)+ROW()/10000000)</f>
        <v/>
      </c>
      <c r="N1569">
        <f>IF(AND(F1569="Done",M1569&lt;&gt;""),IF(COUNTIFS(Appointments!$D$6:$D$2005,D1569,Appointments!$F$6:$F$2005,"Done",Appointments!$M$6:$M$2005,"&gt;"&amp;M1569)=0,1,0),0)</f>
        <v/>
      </c>
      <c r="O1569">
        <f>IF(AND(F1569="Booked",M1569&lt;&gt;"",N(B1569)&gt;=TODAY()),IF(COUNTIFS(Appointments!$D$6:$D$2005,D1569,Appointments!$F$6:$F$2005,"Booked",Appointments!$B$6:$B$2005,"&gt;="&amp;TODAY(),Appointments!$M$6:$M$2005,"&lt;"&amp;M1569)=0,1,0),0)</f>
        <v/>
      </c>
    </row>
    <row r="1570">
      <c r="A1570" s="1" t="n"/>
      <c r="B1570" s="30" t="n"/>
      <c r="C1570" s="31" t="n"/>
      <c r="D1570" s="32" t="n"/>
      <c r="E1570" s="32" t="n"/>
      <c r="F1570" s="33" t="n"/>
      <c r="G1570" s="27">
        <f>IF(E1570="","",MAX(0,IFERROR(INDEX(Services!$C$6:$C$35,MATCH(E1570,Services!$B$6:$B$35,0)),0)-N(H1570)))</f>
        <v/>
      </c>
      <c r="H1570" s="34" t="n"/>
      <c r="I1570" s="34" t="n"/>
      <c r="J1570" s="33" t="n"/>
      <c r="K1570" s="28">
        <f>IF(OR(B1570="",F1570&lt;&gt;"Done",J1570="Package"),"",IF(N(G1570)-N(I1570)&gt;0,N(G1570)-N(I1570),""))</f>
        <v/>
      </c>
      <c r="L1570" s="32" t="n"/>
      <c r="M1570" s="1">
        <f>IF(OR(B1570="",D1570="",F1570="Cancelled"),"",B1570+N(C1570)+ROW()/10000000)</f>
        <v/>
      </c>
      <c r="N1570">
        <f>IF(AND(F1570="Done",M1570&lt;&gt;""),IF(COUNTIFS(Appointments!$D$6:$D$2005,D1570,Appointments!$F$6:$F$2005,"Done",Appointments!$M$6:$M$2005,"&gt;"&amp;M1570)=0,1,0),0)</f>
        <v/>
      </c>
      <c r="O1570">
        <f>IF(AND(F1570="Booked",M1570&lt;&gt;"",N(B1570)&gt;=TODAY()),IF(COUNTIFS(Appointments!$D$6:$D$2005,D1570,Appointments!$F$6:$F$2005,"Booked",Appointments!$B$6:$B$2005,"&gt;="&amp;TODAY(),Appointments!$M$6:$M$2005,"&lt;"&amp;M1570)=0,1,0),0)</f>
        <v/>
      </c>
    </row>
    <row r="1571">
      <c r="A1571" s="1" t="n"/>
      <c r="B1571" s="30" t="n"/>
      <c r="C1571" s="31" t="n"/>
      <c r="D1571" s="32" t="n"/>
      <c r="E1571" s="32" t="n"/>
      <c r="F1571" s="33" t="n"/>
      <c r="G1571" s="27">
        <f>IF(E1571="","",MAX(0,IFERROR(INDEX(Services!$C$6:$C$35,MATCH(E1571,Services!$B$6:$B$35,0)),0)-N(H1571)))</f>
        <v/>
      </c>
      <c r="H1571" s="34" t="n"/>
      <c r="I1571" s="34" t="n"/>
      <c r="J1571" s="33" t="n"/>
      <c r="K1571" s="28">
        <f>IF(OR(B1571="",F1571&lt;&gt;"Done",J1571="Package"),"",IF(N(G1571)-N(I1571)&gt;0,N(G1571)-N(I1571),""))</f>
        <v/>
      </c>
      <c r="L1571" s="32" t="n"/>
      <c r="M1571" s="1">
        <f>IF(OR(B1571="",D1571="",F1571="Cancelled"),"",B1571+N(C1571)+ROW()/10000000)</f>
        <v/>
      </c>
      <c r="N1571">
        <f>IF(AND(F1571="Done",M1571&lt;&gt;""),IF(COUNTIFS(Appointments!$D$6:$D$2005,D1571,Appointments!$F$6:$F$2005,"Done",Appointments!$M$6:$M$2005,"&gt;"&amp;M1571)=0,1,0),0)</f>
        <v/>
      </c>
      <c r="O1571">
        <f>IF(AND(F1571="Booked",M1571&lt;&gt;"",N(B1571)&gt;=TODAY()),IF(COUNTIFS(Appointments!$D$6:$D$2005,D1571,Appointments!$F$6:$F$2005,"Booked",Appointments!$B$6:$B$2005,"&gt;="&amp;TODAY(),Appointments!$M$6:$M$2005,"&lt;"&amp;M1571)=0,1,0),0)</f>
        <v/>
      </c>
    </row>
    <row r="1572">
      <c r="A1572" s="1" t="n"/>
      <c r="B1572" s="30" t="n"/>
      <c r="C1572" s="31" t="n"/>
      <c r="D1572" s="32" t="n"/>
      <c r="E1572" s="32" t="n"/>
      <c r="F1572" s="33" t="n"/>
      <c r="G1572" s="27">
        <f>IF(E1572="","",MAX(0,IFERROR(INDEX(Services!$C$6:$C$35,MATCH(E1572,Services!$B$6:$B$35,0)),0)-N(H1572)))</f>
        <v/>
      </c>
      <c r="H1572" s="34" t="n"/>
      <c r="I1572" s="34" t="n"/>
      <c r="J1572" s="33" t="n"/>
      <c r="K1572" s="28">
        <f>IF(OR(B1572="",F1572&lt;&gt;"Done",J1572="Package"),"",IF(N(G1572)-N(I1572)&gt;0,N(G1572)-N(I1572),""))</f>
        <v/>
      </c>
      <c r="L1572" s="32" t="n"/>
      <c r="M1572" s="1">
        <f>IF(OR(B1572="",D1572="",F1572="Cancelled"),"",B1572+N(C1572)+ROW()/10000000)</f>
        <v/>
      </c>
      <c r="N1572">
        <f>IF(AND(F1572="Done",M1572&lt;&gt;""),IF(COUNTIFS(Appointments!$D$6:$D$2005,D1572,Appointments!$F$6:$F$2005,"Done",Appointments!$M$6:$M$2005,"&gt;"&amp;M1572)=0,1,0),0)</f>
        <v/>
      </c>
      <c r="O1572">
        <f>IF(AND(F1572="Booked",M1572&lt;&gt;"",N(B1572)&gt;=TODAY()),IF(COUNTIFS(Appointments!$D$6:$D$2005,D1572,Appointments!$F$6:$F$2005,"Booked",Appointments!$B$6:$B$2005,"&gt;="&amp;TODAY(),Appointments!$M$6:$M$2005,"&lt;"&amp;M1572)=0,1,0),0)</f>
        <v/>
      </c>
    </row>
    <row r="1573">
      <c r="A1573" s="1" t="n"/>
      <c r="B1573" s="30" t="n"/>
      <c r="C1573" s="31" t="n"/>
      <c r="D1573" s="32" t="n"/>
      <c r="E1573" s="32" t="n"/>
      <c r="F1573" s="33" t="n"/>
      <c r="G1573" s="27">
        <f>IF(E1573="","",MAX(0,IFERROR(INDEX(Services!$C$6:$C$35,MATCH(E1573,Services!$B$6:$B$35,0)),0)-N(H1573)))</f>
        <v/>
      </c>
      <c r="H1573" s="34" t="n"/>
      <c r="I1573" s="34" t="n"/>
      <c r="J1573" s="33" t="n"/>
      <c r="K1573" s="28">
        <f>IF(OR(B1573="",F1573&lt;&gt;"Done",J1573="Package"),"",IF(N(G1573)-N(I1573)&gt;0,N(G1573)-N(I1573),""))</f>
        <v/>
      </c>
      <c r="L1573" s="32" t="n"/>
      <c r="M1573" s="1">
        <f>IF(OR(B1573="",D1573="",F1573="Cancelled"),"",B1573+N(C1573)+ROW()/10000000)</f>
        <v/>
      </c>
      <c r="N1573">
        <f>IF(AND(F1573="Done",M1573&lt;&gt;""),IF(COUNTIFS(Appointments!$D$6:$D$2005,D1573,Appointments!$F$6:$F$2005,"Done",Appointments!$M$6:$M$2005,"&gt;"&amp;M1573)=0,1,0),0)</f>
        <v/>
      </c>
      <c r="O1573">
        <f>IF(AND(F1573="Booked",M1573&lt;&gt;"",N(B1573)&gt;=TODAY()),IF(COUNTIFS(Appointments!$D$6:$D$2005,D1573,Appointments!$F$6:$F$2005,"Booked",Appointments!$B$6:$B$2005,"&gt;="&amp;TODAY(),Appointments!$M$6:$M$2005,"&lt;"&amp;M1573)=0,1,0),0)</f>
        <v/>
      </c>
    </row>
    <row r="1574">
      <c r="A1574" s="1" t="n"/>
      <c r="B1574" s="30" t="n"/>
      <c r="C1574" s="31" t="n"/>
      <c r="D1574" s="32" t="n"/>
      <c r="E1574" s="32" t="n"/>
      <c r="F1574" s="33" t="n"/>
      <c r="G1574" s="27">
        <f>IF(E1574="","",MAX(0,IFERROR(INDEX(Services!$C$6:$C$35,MATCH(E1574,Services!$B$6:$B$35,0)),0)-N(H1574)))</f>
        <v/>
      </c>
      <c r="H1574" s="34" t="n"/>
      <c r="I1574" s="34" t="n"/>
      <c r="J1574" s="33" t="n"/>
      <c r="K1574" s="28">
        <f>IF(OR(B1574="",F1574&lt;&gt;"Done",J1574="Package"),"",IF(N(G1574)-N(I1574)&gt;0,N(G1574)-N(I1574),""))</f>
        <v/>
      </c>
      <c r="L1574" s="32" t="n"/>
      <c r="M1574" s="1">
        <f>IF(OR(B1574="",D1574="",F1574="Cancelled"),"",B1574+N(C1574)+ROW()/10000000)</f>
        <v/>
      </c>
      <c r="N1574">
        <f>IF(AND(F1574="Done",M1574&lt;&gt;""),IF(COUNTIFS(Appointments!$D$6:$D$2005,D1574,Appointments!$F$6:$F$2005,"Done",Appointments!$M$6:$M$2005,"&gt;"&amp;M1574)=0,1,0),0)</f>
        <v/>
      </c>
      <c r="O1574">
        <f>IF(AND(F1574="Booked",M1574&lt;&gt;"",N(B1574)&gt;=TODAY()),IF(COUNTIFS(Appointments!$D$6:$D$2005,D1574,Appointments!$F$6:$F$2005,"Booked",Appointments!$B$6:$B$2005,"&gt;="&amp;TODAY(),Appointments!$M$6:$M$2005,"&lt;"&amp;M1574)=0,1,0),0)</f>
        <v/>
      </c>
    </row>
    <row r="1575">
      <c r="A1575" s="1" t="n"/>
      <c r="B1575" s="30" t="n"/>
      <c r="C1575" s="31" t="n"/>
      <c r="D1575" s="32" t="n"/>
      <c r="E1575" s="32" t="n"/>
      <c r="F1575" s="33" t="n"/>
      <c r="G1575" s="27">
        <f>IF(E1575="","",MAX(0,IFERROR(INDEX(Services!$C$6:$C$35,MATCH(E1575,Services!$B$6:$B$35,0)),0)-N(H1575)))</f>
        <v/>
      </c>
      <c r="H1575" s="34" t="n"/>
      <c r="I1575" s="34" t="n"/>
      <c r="J1575" s="33" t="n"/>
      <c r="K1575" s="28">
        <f>IF(OR(B1575="",F1575&lt;&gt;"Done",J1575="Package"),"",IF(N(G1575)-N(I1575)&gt;0,N(G1575)-N(I1575),""))</f>
        <v/>
      </c>
      <c r="L1575" s="32" t="n"/>
      <c r="M1575" s="1">
        <f>IF(OR(B1575="",D1575="",F1575="Cancelled"),"",B1575+N(C1575)+ROW()/10000000)</f>
        <v/>
      </c>
      <c r="N1575">
        <f>IF(AND(F1575="Done",M1575&lt;&gt;""),IF(COUNTIFS(Appointments!$D$6:$D$2005,D1575,Appointments!$F$6:$F$2005,"Done",Appointments!$M$6:$M$2005,"&gt;"&amp;M1575)=0,1,0),0)</f>
        <v/>
      </c>
      <c r="O1575">
        <f>IF(AND(F1575="Booked",M1575&lt;&gt;"",N(B1575)&gt;=TODAY()),IF(COUNTIFS(Appointments!$D$6:$D$2005,D1575,Appointments!$F$6:$F$2005,"Booked",Appointments!$B$6:$B$2005,"&gt;="&amp;TODAY(),Appointments!$M$6:$M$2005,"&lt;"&amp;M1575)=0,1,0),0)</f>
        <v/>
      </c>
    </row>
    <row r="1576">
      <c r="A1576" s="1" t="n"/>
      <c r="B1576" s="30" t="n"/>
      <c r="C1576" s="31" t="n"/>
      <c r="D1576" s="32" t="n"/>
      <c r="E1576" s="32" t="n"/>
      <c r="F1576" s="33" t="n"/>
      <c r="G1576" s="27">
        <f>IF(E1576="","",MAX(0,IFERROR(INDEX(Services!$C$6:$C$35,MATCH(E1576,Services!$B$6:$B$35,0)),0)-N(H1576)))</f>
        <v/>
      </c>
      <c r="H1576" s="34" t="n"/>
      <c r="I1576" s="34" t="n"/>
      <c r="J1576" s="33" t="n"/>
      <c r="K1576" s="28">
        <f>IF(OR(B1576="",F1576&lt;&gt;"Done",J1576="Package"),"",IF(N(G1576)-N(I1576)&gt;0,N(G1576)-N(I1576),""))</f>
        <v/>
      </c>
      <c r="L1576" s="32" t="n"/>
      <c r="M1576" s="1">
        <f>IF(OR(B1576="",D1576="",F1576="Cancelled"),"",B1576+N(C1576)+ROW()/10000000)</f>
        <v/>
      </c>
      <c r="N1576">
        <f>IF(AND(F1576="Done",M1576&lt;&gt;""),IF(COUNTIFS(Appointments!$D$6:$D$2005,D1576,Appointments!$F$6:$F$2005,"Done",Appointments!$M$6:$M$2005,"&gt;"&amp;M1576)=0,1,0),0)</f>
        <v/>
      </c>
      <c r="O1576">
        <f>IF(AND(F1576="Booked",M1576&lt;&gt;"",N(B1576)&gt;=TODAY()),IF(COUNTIFS(Appointments!$D$6:$D$2005,D1576,Appointments!$F$6:$F$2005,"Booked",Appointments!$B$6:$B$2005,"&gt;="&amp;TODAY(),Appointments!$M$6:$M$2005,"&lt;"&amp;M1576)=0,1,0),0)</f>
        <v/>
      </c>
    </row>
    <row r="1577">
      <c r="A1577" s="1" t="n"/>
      <c r="B1577" s="30" t="n"/>
      <c r="C1577" s="31" t="n"/>
      <c r="D1577" s="32" t="n"/>
      <c r="E1577" s="32" t="n"/>
      <c r="F1577" s="33" t="n"/>
      <c r="G1577" s="27">
        <f>IF(E1577="","",MAX(0,IFERROR(INDEX(Services!$C$6:$C$35,MATCH(E1577,Services!$B$6:$B$35,0)),0)-N(H1577)))</f>
        <v/>
      </c>
      <c r="H1577" s="34" t="n"/>
      <c r="I1577" s="34" t="n"/>
      <c r="J1577" s="33" t="n"/>
      <c r="K1577" s="28">
        <f>IF(OR(B1577="",F1577&lt;&gt;"Done",J1577="Package"),"",IF(N(G1577)-N(I1577)&gt;0,N(G1577)-N(I1577),""))</f>
        <v/>
      </c>
      <c r="L1577" s="32" t="n"/>
      <c r="M1577" s="1">
        <f>IF(OR(B1577="",D1577="",F1577="Cancelled"),"",B1577+N(C1577)+ROW()/10000000)</f>
        <v/>
      </c>
      <c r="N1577">
        <f>IF(AND(F1577="Done",M1577&lt;&gt;""),IF(COUNTIFS(Appointments!$D$6:$D$2005,D1577,Appointments!$F$6:$F$2005,"Done",Appointments!$M$6:$M$2005,"&gt;"&amp;M1577)=0,1,0),0)</f>
        <v/>
      </c>
      <c r="O1577">
        <f>IF(AND(F1577="Booked",M1577&lt;&gt;"",N(B1577)&gt;=TODAY()),IF(COUNTIFS(Appointments!$D$6:$D$2005,D1577,Appointments!$F$6:$F$2005,"Booked",Appointments!$B$6:$B$2005,"&gt;="&amp;TODAY(),Appointments!$M$6:$M$2005,"&lt;"&amp;M1577)=0,1,0),0)</f>
        <v/>
      </c>
    </row>
    <row r="1578">
      <c r="A1578" s="1" t="n"/>
      <c r="B1578" s="30" t="n"/>
      <c r="C1578" s="31" t="n"/>
      <c r="D1578" s="32" t="n"/>
      <c r="E1578" s="32" t="n"/>
      <c r="F1578" s="33" t="n"/>
      <c r="G1578" s="27">
        <f>IF(E1578="","",MAX(0,IFERROR(INDEX(Services!$C$6:$C$35,MATCH(E1578,Services!$B$6:$B$35,0)),0)-N(H1578)))</f>
        <v/>
      </c>
      <c r="H1578" s="34" t="n"/>
      <c r="I1578" s="34" t="n"/>
      <c r="J1578" s="33" t="n"/>
      <c r="K1578" s="28">
        <f>IF(OR(B1578="",F1578&lt;&gt;"Done",J1578="Package"),"",IF(N(G1578)-N(I1578)&gt;0,N(G1578)-N(I1578),""))</f>
        <v/>
      </c>
      <c r="L1578" s="32" t="n"/>
      <c r="M1578" s="1">
        <f>IF(OR(B1578="",D1578="",F1578="Cancelled"),"",B1578+N(C1578)+ROW()/10000000)</f>
        <v/>
      </c>
      <c r="N1578">
        <f>IF(AND(F1578="Done",M1578&lt;&gt;""),IF(COUNTIFS(Appointments!$D$6:$D$2005,D1578,Appointments!$F$6:$F$2005,"Done",Appointments!$M$6:$M$2005,"&gt;"&amp;M1578)=0,1,0),0)</f>
        <v/>
      </c>
      <c r="O1578">
        <f>IF(AND(F1578="Booked",M1578&lt;&gt;"",N(B1578)&gt;=TODAY()),IF(COUNTIFS(Appointments!$D$6:$D$2005,D1578,Appointments!$F$6:$F$2005,"Booked",Appointments!$B$6:$B$2005,"&gt;="&amp;TODAY(),Appointments!$M$6:$M$2005,"&lt;"&amp;M1578)=0,1,0),0)</f>
        <v/>
      </c>
    </row>
    <row r="1579">
      <c r="A1579" s="1" t="n"/>
      <c r="B1579" s="30" t="n"/>
      <c r="C1579" s="31" t="n"/>
      <c r="D1579" s="32" t="n"/>
      <c r="E1579" s="32" t="n"/>
      <c r="F1579" s="33" t="n"/>
      <c r="G1579" s="27">
        <f>IF(E1579="","",MAX(0,IFERROR(INDEX(Services!$C$6:$C$35,MATCH(E1579,Services!$B$6:$B$35,0)),0)-N(H1579)))</f>
        <v/>
      </c>
      <c r="H1579" s="34" t="n"/>
      <c r="I1579" s="34" t="n"/>
      <c r="J1579" s="33" t="n"/>
      <c r="K1579" s="28">
        <f>IF(OR(B1579="",F1579&lt;&gt;"Done",J1579="Package"),"",IF(N(G1579)-N(I1579)&gt;0,N(G1579)-N(I1579),""))</f>
        <v/>
      </c>
      <c r="L1579" s="32" t="n"/>
      <c r="M1579" s="1">
        <f>IF(OR(B1579="",D1579="",F1579="Cancelled"),"",B1579+N(C1579)+ROW()/10000000)</f>
        <v/>
      </c>
      <c r="N1579">
        <f>IF(AND(F1579="Done",M1579&lt;&gt;""),IF(COUNTIFS(Appointments!$D$6:$D$2005,D1579,Appointments!$F$6:$F$2005,"Done",Appointments!$M$6:$M$2005,"&gt;"&amp;M1579)=0,1,0),0)</f>
        <v/>
      </c>
      <c r="O1579">
        <f>IF(AND(F1579="Booked",M1579&lt;&gt;"",N(B1579)&gt;=TODAY()),IF(COUNTIFS(Appointments!$D$6:$D$2005,D1579,Appointments!$F$6:$F$2005,"Booked",Appointments!$B$6:$B$2005,"&gt;="&amp;TODAY(),Appointments!$M$6:$M$2005,"&lt;"&amp;M1579)=0,1,0),0)</f>
        <v/>
      </c>
    </row>
    <row r="1580">
      <c r="A1580" s="1" t="n"/>
      <c r="B1580" s="30" t="n"/>
      <c r="C1580" s="31" t="n"/>
      <c r="D1580" s="32" t="n"/>
      <c r="E1580" s="32" t="n"/>
      <c r="F1580" s="33" t="n"/>
      <c r="G1580" s="27">
        <f>IF(E1580="","",MAX(0,IFERROR(INDEX(Services!$C$6:$C$35,MATCH(E1580,Services!$B$6:$B$35,0)),0)-N(H1580)))</f>
        <v/>
      </c>
      <c r="H1580" s="34" t="n"/>
      <c r="I1580" s="34" t="n"/>
      <c r="J1580" s="33" t="n"/>
      <c r="K1580" s="28">
        <f>IF(OR(B1580="",F1580&lt;&gt;"Done",J1580="Package"),"",IF(N(G1580)-N(I1580)&gt;0,N(G1580)-N(I1580),""))</f>
        <v/>
      </c>
      <c r="L1580" s="32" t="n"/>
      <c r="M1580" s="1">
        <f>IF(OR(B1580="",D1580="",F1580="Cancelled"),"",B1580+N(C1580)+ROW()/10000000)</f>
        <v/>
      </c>
      <c r="N1580">
        <f>IF(AND(F1580="Done",M1580&lt;&gt;""),IF(COUNTIFS(Appointments!$D$6:$D$2005,D1580,Appointments!$F$6:$F$2005,"Done",Appointments!$M$6:$M$2005,"&gt;"&amp;M1580)=0,1,0),0)</f>
        <v/>
      </c>
      <c r="O1580">
        <f>IF(AND(F1580="Booked",M1580&lt;&gt;"",N(B1580)&gt;=TODAY()),IF(COUNTIFS(Appointments!$D$6:$D$2005,D1580,Appointments!$F$6:$F$2005,"Booked",Appointments!$B$6:$B$2005,"&gt;="&amp;TODAY(),Appointments!$M$6:$M$2005,"&lt;"&amp;M1580)=0,1,0),0)</f>
        <v/>
      </c>
    </row>
    <row r="1581">
      <c r="A1581" s="1" t="n"/>
      <c r="B1581" s="30" t="n"/>
      <c r="C1581" s="31" t="n"/>
      <c r="D1581" s="32" t="n"/>
      <c r="E1581" s="32" t="n"/>
      <c r="F1581" s="33" t="n"/>
      <c r="G1581" s="27">
        <f>IF(E1581="","",MAX(0,IFERROR(INDEX(Services!$C$6:$C$35,MATCH(E1581,Services!$B$6:$B$35,0)),0)-N(H1581)))</f>
        <v/>
      </c>
      <c r="H1581" s="34" t="n"/>
      <c r="I1581" s="34" t="n"/>
      <c r="J1581" s="33" t="n"/>
      <c r="K1581" s="28">
        <f>IF(OR(B1581="",F1581&lt;&gt;"Done",J1581="Package"),"",IF(N(G1581)-N(I1581)&gt;0,N(G1581)-N(I1581),""))</f>
        <v/>
      </c>
      <c r="L1581" s="32" t="n"/>
      <c r="M1581" s="1">
        <f>IF(OR(B1581="",D1581="",F1581="Cancelled"),"",B1581+N(C1581)+ROW()/10000000)</f>
        <v/>
      </c>
      <c r="N1581">
        <f>IF(AND(F1581="Done",M1581&lt;&gt;""),IF(COUNTIFS(Appointments!$D$6:$D$2005,D1581,Appointments!$F$6:$F$2005,"Done",Appointments!$M$6:$M$2005,"&gt;"&amp;M1581)=0,1,0),0)</f>
        <v/>
      </c>
      <c r="O1581">
        <f>IF(AND(F1581="Booked",M1581&lt;&gt;"",N(B1581)&gt;=TODAY()),IF(COUNTIFS(Appointments!$D$6:$D$2005,D1581,Appointments!$F$6:$F$2005,"Booked",Appointments!$B$6:$B$2005,"&gt;="&amp;TODAY(),Appointments!$M$6:$M$2005,"&lt;"&amp;M1581)=0,1,0),0)</f>
        <v/>
      </c>
    </row>
    <row r="1582">
      <c r="A1582" s="1" t="n"/>
      <c r="B1582" s="30" t="n"/>
      <c r="C1582" s="31" t="n"/>
      <c r="D1582" s="32" t="n"/>
      <c r="E1582" s="32" t="n"/>
      <c r="F1582" s="33" t="n"/>
      <c r="G1582" s="27">
        <f>IF(E1582="","",MAX(0,IFERROR(INDEX(Services!$C$6:$C$35,MATCH(E1582,Services!$B$6:$B$35,0)),0)-N(H1582)))</f>
        <v/>
      </c>
      <c r="H1582" s="34" t="n"/>
      <c r="I1582" s="34" t="n"/>
      <c r="J1582" s="33" t="n"/>
      <c r="K1582" s="28">
        <f>IF(OR(B1582="",F1582&lt;&gt;"Done",J1582="Package"),"",IF(N(G1582)-N(I1582)&gt;0,N(G1582)-N(I1582),""))</f>
        <v/>
      </c>
      <c r="L1582" s="32" t="n"/>
      <c r="M1582" s="1">
        <f>IF(OR(B1582="",D1582="",F1582="Cancelled"),"",B1582+N(C1582)+ROW()/10000000)</f>
        <v/>
      </c>
      <c r="N1582">
        <f>IF(AND(F1582="Done",M1582&lt;&gt;""),IF(COUNTIFS(Appointments!$D$6:$D$2005,D1582,Appointments!$F$6:$F$2005,"Done",Appointments!$M$6:$M$2005,"&gt;"&amp;M1582)=0,1,0),0)</f>
        <v/>
      </c>
      <c r="O1582">
        <f>IF(AND(F1582="Booked",M1582&lt;&gt;"",N(B1582)&gt;=TODAY()),IF(COUNTIFS(Appointments!$D$6:$D$2005,D1582,Appointments!$F$6:$F$2005,"Booked",Appointments!$B$6:$B$2005,"&gt;="&amp;TODAY(),Appointments!$M$6:$M$2005,"&lt;"&amp;M1582)=0,1,0),0)</f>
        <v/>
      </c>
    </row>
    <row r="1583">
      <c r="A1583" s="1" t="n"/>
      <c r="B1583" s="30" t="n"/>
      <c r="C1583" s="31" t="n"/>
      <c r="D1583" s="32" t="n"/>
      <c r="E1583" s="32" t="n"/>
      <c r="F1583" s="33" t="n"/>
      <c r="G1583" s="27">
        <f>IF(E1583="","",MAX(0,IFERROR(INDEX(Services!$C$6:$C$35,MATCH(E1583,Services!$B$6:$B$35,0)),0)-N(H1583)))</f>
        <v/>
      </c>
      <c r="H1583" s="34" t="n"/>
      <c r="I1583" s="34" t="n"/>
      <c r="J1583" s="33" t="n"/>
      <c r="K1583" s="28">
        <f>IF(OR(B1583="",F1583&lt;&gt;"Done",J1583="Package"),"",IF(N(G1583)-N(I1583)&gt;0,N(G1583)-N(I1583),""))</f>
        <v/>
      </c>
      <c r="L1583" s="32" t="n"/>
      <c r="M1583" s="1">
        <f>IF(OR(B1583="",D1583="",F1583="Cancelled"),"",B1583+N(C1583)+ROW()/10000000)</f>
        <v/>
      </c>
      <c r="N1583">
        <f>IF(AND(F1583="Done",M1583&lt;&gt;""),IF(COUNTIFS(Appointments!$D$6:$D$2005,D1583,Appointments!$F$6:$F$2005,"Done",Appointments!$M$6:$M$2005,"&gt;"&amp;M1583)=0,1,0),0)</f>
        <v/>
      </c>
      <c r="O1583">
        <f>IF(AND(F1583="Booked",M1583&lt;&gt;"",N(B1583)&gt;=TODAY()),IF(COUNTIFS(Appointments!$D$6:$D$2005,D1583,Appointments!$F$6:$F$2005,"Booked",Appointments!$B$6:$B$2005,"&gt;="&amp;TODAY(),Appointments!$M$6:$M$2005,"&lt;"&amp;M1583)=0,1,0),0)</f>
        <v/>
      </c>
    </row>
    <row r="1584">
      <c r="A1584" s="1" t="n"/>
      <c r="B1584" s="30" t="n"/>
      <c r="C1584" s="31" t="n"/>
      <c r="D1584" s="32" t="n"/>
      <c r="E1584" s="32" t="n"/>
      <c r="F1584" s="33" t="n"/>
      <c r="G1584" s="27">
        <f>IF(E1584="","",MAX(0,IFERROR(INDEX(Services!$C$6:$C$35,MATCH(E1584,Services!$B$6:$B$35,0)),0)-N(H1584)))</f>
        <v/>
      </c>
      <c r="H1584" s="34" t="n"/>
      <c r="I1584" s="34" t="n"/>
      <c r="J1584" s="33" t="n"/>
      <c r="K1584" s="28">
        <f>IF(OR(B1584="",F1584&lt;&gt;"Done",J1584="Package"),"",IF(N(G1584)-N(I1584)&gt;0,N(G1584)-N(I1584),""))</f>
        <v/>
      </c>
      <c r="L1584" s="32" t="n"/>
      <c r="M1584" s="1">
        <f>IF(OR(B1584="",D1584="",F1584="Cancelled"),"",B1584+N(C1584)+ROW()/10000000)</f>
        <v/>
      </c>
      <c r="N1584">
        <f>IF(AND(F1584="Done",M1584&lt;&gt;""),IF(COUNTIFS(Appointments!$D$6:$D$2005,D1584,Appointments!$F$6:$F$2005,"Done",Appointments!$M$6:$M$2005,"&gt;"&amp;M1584)=0,1,0),0)</f>
        <v/>
      </c>
      <c r="O1584">
        <f>IF(AND(F1584="Booked",M1584&lt;&gt;"",N(B1584)&gt;=TODAY()),IF(COUNTIFS(Appointments!$D$6:$D$2005,D1584,Appointments!$F$6:$F$2005,"Booked",Appointments!$B$6:$B$2005,"&gt;="&amp;TODAY(),Appointments!$M$6:$M$2005,"&lt;"&amp;M1584)=0,1,0),0)</f>
        <v/>
      </c>
    </row>
    <row r="1585">
      <c r="A1585" s="1" t="n"/>
      <c r="B1585" s="30" t="n"/>
      <c r="C1585" s="31" t="n"/>
      <c r="D1585" s="32" t="n"/>
      <c r="E1585" s="32" t="n"/>
      <c r="F1585" s="33" t="n"/>
      <c r="G1585" s="27">
        <f>IF(E1585="","",MAX(0,IFERROR(INDEX(Services!$C$6:$C$35,MATCH(E1585,Services!$B$6:$B$35,0)),0)-N(H1585)))</f>
        <v/>
      </c>
      <c r="H1585" s="34" t="n"/>
      <c r="I1585" s="34" t="n"/>
      <c r="J1585" s="33" t="n"/>
      <c r="K1585" s="28">
        <f>IF(OR(B1585="",F1585&lt;&gt;"Done",J1585="Package"),"",IF(N(G1585)-N(I1585)&gt;0,N(G1585)-N(I1585),""))</f>
        <v/>
      </c>
      <c r="L1585" s="32" t="n"/>
      <c r="M1585" s="1">
        <f>IF(OR(B1585="",D1585="",F1585="Cancelled"),"",B1585+N(C1585)+ROW()/10000000)</f>
        <v/>
      </c>
      <c r="N1585">
        <f>IF(AND(F1585="Done",M1585&lt;&gt;""),IF(COUNTIFS(Appointments!$D$6:$D$2005,D1585,Appointments!$F$6:$F$2005,"Done",Appointments!$M$6:$M$2005,"&gt;"&amp;M1585)=0,1,0),0)</f>
        <v/>
      </c>
      <c r="O1585">
        <f>IF(AND(F1585="Booked",M1585&lt;&gt;"",N(B1585)&gt;=TODAY()),IF(COUNTIFS(Appointments!$D$6:$D$2005,D1585,Appointments!$F$6:$F$2005,"Booked",Appointments!$B$6:$B$2005,"&gt;="&amp;TODAY(),Appointments!$M$6:$M$2005,"&lt;"&amp;M1585)=0,1,0),0)</f>
        <v/>
      </c>
    </row>
    <row r="1586">
      <c r="A1586" s="1" t="n"/>
      <c r="B1586" s="30" t="n"/>
      <c r="C1586" s="31" t="n"/>
      <c r="D1586" s="32" t="n"/>
      <c r="E1586" s="32" t="n"/>
      <c r="F1586" s="33" t="n"/>
      <c r="G1586" s="27">
        <f>IF(E1586="","",MAX(0,IFERROR(INDEX(Services!$C$6:$C$35,MATCH(E1586,Services!$B$6:$B$35,0)),0)-N(H1586)))</f>
        <v/>
      </c>
      <c r="H1586" s="34" t="n"/>
      <c r="I1586" s="34" t="n"/>
      <c r="J1586" s="33" t="n"/>
      <c r="K1586" s="28">
        <f>IF(OR(B1586="",F1586&lt;&gt;"Done",J1586="Package"),"",IF(N(G1586)-N(I1586)&gt;0,N(G1586)-N(I1586),""))</f>
        <v/>
      </c>
      <c r="L1586" s="32" t="n"/>
      <c r="M1586" s="1">
        <f>IF(OR(B1586="",D1586="",F1586="Cancelled"),"",B1586+N(C1586)+ROW()/10000000)</f>
        <v/>
      </c>
      <c r="N1586">
        <f>IF(AND(F1586="Done",M1586&lt;&gt;""),IF(COUNTIFS(Appointments!$D$6:$D$2005,D1586,Appointments!$F$6:$F$2005,"Done",Appointments!$M$6:$M$2005,"&gt;"&amp;M1586)=0,1,0),0)</f>
        <v/>
      </c>
      <c r="O1586">
        <f>IF(AND(F1586="Booked",M1586&lt;&gt;"",N(B1586)&gt;=TODAY()),IF(COUNTIFS(Appointments!$D$6:$D$2005,D1586,Appointments!$F$6:$F$2005,"Booked",Appointments!$B$6:$B$2005,"&gt;="&amp;TODAY(),Appointments!$M$6:$M$2005,"&lt;"&amp;M1586)=0,1,0),0)</f>
        <v/>
      </c>
    </row>
    <row r="1587">
      <c r="A1587" s="1" t="n"/>
      <c r="B1587" s="30" t="n"/>
      <c r="C1587" s="31" t="n"/>
      <c r="D1587" s="32" t="n"/>
      <c r="E1587" s="32" t="n"/>
      <c r="F1587" s="33" t="n"/>
      <c r="G1587" s="27">
        <f>IF(E1587="","",MAX(0,IFERROR(INDEX(Services!$C$6:$C$35,MATCH(E1587,Services!$B$6:$B$35,0)),0)-N(H1587)))</f>
        <v/>
      </c>
      <c r="H1587" s="34" t="n"/>
      <c r="I1587" s="34" t="n"/>
      <c r="J1587" s="33" t="n"/>
      <c r="K1587" s="28">
        <f>IF(OR(B1587="",F1587&lt;&gt;"Done",J1587="Package"),"",IF(N(G1587)-N(I1587)&gt;0,N(G1587)-N(I1587),""))</f>
        <v/>
      </c>
      <c r="L1587" s="32" t="n"/>
      <c r="M1587" s="1">
        <f>IF(OR(B1587="",D1587="",F1587="Cancelled"),"",B1587+N(C1587)+ROW()/10000000)</f>
        <v/>
      </c>
      <c r="N1587">
        <f>IF(AND(F1587="Done",M1587&lt;&gt;""),IF(COUNTIFS(Appointments!$D$6:$D$2005,D1587,Appointments!$F$6:$F$2005,"Done",Appointments!$M$6:$M$2005,"&gt;"&amp;M1587)=0,1,0),0)</f>
        <v/>
      </c>
      <c r="O1587">
        <f>IF(AND(F1587="Booked",M1587&lt;&gt;"",N(B1587)&gt;=TODAY()),IF(COUNTIFS(Appointments!$D$6:$D$2005,D1587,Appointments!$F$6:$F$2005,"Booked",Appointments!$B$6:$B$2005,"&gt;="&amp;TODAY(),Appointments!$M$6:$M$2005,"&lt;"&amp;M1587)=0,1,0),0)</f>
        <v/>
      </c>
    </row>
    <row r="1588">
      <c r="A1588" s="1" t="n"/>
      <c r="B1588" s="30" t="n"/>
      <c r="C1588" s="31" t="n"/>
      <c r="D1588" s="32" t="n"/>
      <c r="E1588" s="32" t="n"/>
      <c r="F1588" s="33" t="n"/>
      <c r="G1588" s="27">
        <f>IF(E1588="","",MAX(0,IFERROR(INDEX(Services!$C$6:$C$35,MATCH(E1588,Services!$B$6:$B$35,0)),0)-N(H1588)))</f>
        <v/>
      </c>
      <c r="H1588" s="34" t="n"/>
      <c r="I1588" s="34" t="n"/>
      <c r="J1588" s="33" t="n"/>
      <c r="K1588" s="28">
        <f>IF(OR(B1588="",F1588&lt;&gt;"Done",J1588="Package"),"",IF(N(G1588)-N(I1588)&gt;0,N(G1588)-N(I1588),""))</f>
        <v/>
      </c>
      <c r="L1588" s="32" t="n"/>
      <c r="M1588" s="1">
        <f>IF(OR(B1588="",D1588="",F1588="Cancelled"),"",B1588+N(C1588)+ROW()/10000000)</f>
        <v/>
      </c>
      <c r="N1588">
        <f>IF(AND(F1588="Done",M1588&lt;&gt;""),IF(COUNTIFS(Appointments!$D$6:$D$2005,D1588,Appointments!$F$6:$F$2005,"Done",Appointments!$M$6:$M$2005,"&gt;"&amp;M1588)=0,1,0),0)</f>
        <v/>
      </c>
      <c r="O1588">
        <f>IF(AND(F1588="Booked",M1588&lt;&gt;"",N(B1588)&gt;=TODAY()),IF(COUNTIFS(Appointments!$D$6:$D$2005,D1588,Appointments!$F$6:$F$2005,"Booked",Appointments!$B$6:$B$2005,"&gt;="&amp;TODAY(),Appointments!$M$6:$M$2005,"&lt;"&amp;M1588)=0,1,0),0)</f>
        <v/>
      </c>
    </row>
    <row r="1589">
      <c r="A1589" s="1" t="n"/>
      <c r="B1589" s="30" t="n"/>
      <c r="C1589" s="31" t="n"/>
      <c r="D1589" s="32" t="n"/>
      <c r="E1589" s="32" t="n"/>
      <c r="F1589" s="33" t="n"/>
      <c r="G1589" s="27">
        <f>IF(E1589="","",MAX(0,IFERROR(INDEX(Services!$C$6:$C$35,MATCH(E1589,Services!$B$6:$B$35,0)),0)-N(H1589)))</f>
        <v/>
      </c>
      <c r="H1589" s="34" t="n"/>
      <c r="I1589" s="34" t="n"/>
      <c r="J1589" s="33" t="n"/>
      <c r="K1589" s="28">
        <f>IF(OR(B1589="",F1589&lt;&gt;"Done",J1589="Package"),"",IF(N(G1589)-N(I1589)&gt;0,N(G1589)-N(I1589),""))</f>
        <v/>
      </c>
      <c r="L1589" s="32" t="n"/>
      <c r="M1589" s="1">
        <f>IF(OR(B1589="",D1589="",F1589="Cancelled"),"",B1589+N(C1589)+ROW()/10000000)</f>
        <v/>
      </c>
      <c r="N1589">
        <f>IF(AND(F1589="Done",M1589&lt;&gt;""),IF(COUNTIFS(Appointments!$D$6:$D$2005,D1589,Appointments!$F$6:$F$2005,"Done",Appointments!$M$6:$M$2005,"&gt;"&amp;M1589)=0,1,0),0)</f>
        <v/>
      </c>
      <c r="O1589">
        <f>IF(AND(F1589="Booked",M1589&lt;&gt;"",N(B1589)&gt;=TODAY()),IF(COUNTIFS(Appointments!$D$6:$D$2005,D1589,Appointments!$F$6:$F$2005,"Booked",Appointments!$B$6:$B$2005,"&gt;="&amp;TODAY(),Appointments!$M$6:$M$2005,"&lt;"&amp;M1589)=0,1,0),0)</f>
        <v/>
      </c>
    </row>
    <row r="1590">
      <c r="A1590" s="1" t="n"/>
      <c r="B1590" s="30" t="n"/>
      <c r="C1590" s="31" t="n"/>
      <c r="D1590" s="32" t="n"/>
      <c r="E1590" s="32" t="n"/>
      <c r="F1590" s="33" t="n"/>
      <c r="G1590" s="27">
        <f>IF(E1590="","",MAX(0,IFERROR(INDEX(Services!$C$6:$C$35,MATCH(E1590,Services!$B$6:$B$35,0)),0)-N(H1590)))</f>
        <v/>
      </c>
      <c r="H1590" s="34" t="n"/>
      <c r="I1590" s="34" t="n"/>
      <c r="J1590" s="33" t="n"/>
      <c r="K1590" s="28">
        <f>IF(OR(B1590="",F1590&lt;&gt;"Done",J1590="Package"),"",IF(N(G1590)-N(I1590)&gt;0,N(G1590)-N(I1590),""))</f>
        <v/>
      </c>
      <c r="L1590" s="32" t="n"/>
      <c r="M1590" s="1">
        <f>IF(OR(B1590="",D1590="",F1590="Cancelled"),"",B1590+N(C1590)+ROW()/10000000)</f>
        <v/>
      </c>
      <c r="N1590">
        <f>IF(AND(F1590="Done",M1590&lt;&gt;""),IF(COUNTIFS(Appointments!$D$6:$D$2005,D1590,Appointments!$F$6:$F$2005,"Done",Appointments!$M$6:$M$2005,"&gt;"&amp;M1590)=0,1,0),0)</f>
        <v/>
      </c>
      <c r="O1590">
        <f>IF(AND(F1590="Booked",M1590&lt;&gt;"",N(B1590)&gt;=TODAY()),IF(COUNTIFS(Appointments!$D$6:$D$2005,D1590,Appointments!$F$6:$F$2005,"Booked",Appointments!$B$6:$B$2005,"&gt;="&amp;TODAY(),Appointments!$M$6:$M$2005,"&lt;"&amp;M1590)=0,1,0),0)</f>
        <v/>
      </c>
    </row>
    <row r="1591">
      <c r="A1591" s="1" t="n"/>
      <c r="B1591" s="30" t="n"/>
      <c r="C1591" s="31" t="n"/>
      <c r="D1591" s="32" t="n"/>
      <c r="E1591" s="32" t="n"/>
      <c r="F1591" s="33" t="n"/>
      <c r="G1591" s="27">
        <f>IF(E1591="","",MAX(0,IFERROR(INDEX(Services!$C$6:$C$35,MATCH(E1591,Services!$B$6:$B$35,0)),0)-N(H1591)))</f>
        <v/>
      </c>
      <c r="H1591" s="34" t="n"/>
      <c r="I1591" s="34" t="n"/>
      <c r="J1591" s="33" t="n"/>
      <c r="K1591" s="28">
        <f>IF(OR(B1591="",F1591&lt;&gt;"Done",J1591="Package"),"",IF(N(G1591)-N(I1591)&gt;0,N(G1591)-N(I1591),""))</f>
        <v/>
      </c>
      <c r="L1591" s="32" t="n"/>
      <c r="M1591" s="1">
        <f>IF(OR(B1591="",D1591="",F1591="Cancelled"),"",B1591+N(C1591)+ROW()/10000000)</f>
        <v/>
      </c>
      <c r="N1591">
        <f>IF(AND(F1591="Done",M1591&lt;&gt;""),IF(COUNTIFS(Appointments!$D$6:$D$2005,D1591,Appointments!$F$6:$F$2005,"Done",Appointments!$M$6:$M$2005,"&gt;"&amp;M1591)=0,1,0),0)</f>
        <v/>
      </c>
      <c r="O1591">
        <f>IF(AND(F1591="Booked",M1591&lt;&gt;"",N(B1591)&gt;=TODAY()),IF(COUNTIFS(Appointments!$D$6:$D$2005,D1591,Appointments!$F$6:$F$2005,"Booked",Appointments!$B$6:$B$2005,"&gt;="&amp;TODAY(),Appointments!$M$6:$M$2005,"&lt;"&amp;M1591)=0,1,0),0)</f>
        <v/>
      </c>
    </row>
    <row r="1592">
      <c r="A1592" s="1" t="n"/>
      <c r="B1592" s="30" t="n"/>
      <c r="C1592" s="31" t="n"/>
      <c r="D1592" s="32" t="n"/>
      <c r="E1592" s="32" t="n"/>
      <c r="F1592" s="33" t="n"/>
      <c r="G1592" s="27">
        <f>IF(E1592="","",MAX(0,IFERROR(INDEX(Services!$C$6:$C$35,MATCH(E1592,Services!$B$6:$B$35,0)),0)-N(H1592)))</f>
        <v/>
      </c>
      <c r="H1592" s="34" t="n"/>
      <c r="I1592" s="34" t="n"/>
      <c r="J1592" s="33" t="n"/>
      <c r="K1592" s="28">
        <f>IF(OR(B1592="",F1592&lt;&gt;"Done",J1592="Package"),"",IF(N(G1592)-N(I1592)&gt;0,N(G1592)-N(I1592),""))</f>
        <v/>
      </c>
      <c r="L1592" s="32" t="n"/>
      <c r="M1592" s="1">
        <f>IF(OR(B1592="",D1592="",F1592="Cancelled"),"",B1592+N(C1592)+ROW()/10000000)</f>
        <v/>
      </c>
      <c r="N1592">
        <f>IF(AND(F1592="Done",M1592&lt;&gt;""),IF(COUNTIFS(Appointments!$D$6:$D$2005,D1592,Appointments!$F$6:$F$2005,"Done",Appointments!$M$6:$M$2005,"&gt;"&amp;M1592)=0,1,0),0)</f>
        <v/>
      </c>
      <c r="O1592">
        <f>IF(AND(F1592="Booked",M1592&lt;&gt;"",N(B1592)&gt;=TODAY()),IF(COUNTIFS(Appointments!$D$6:$D$2005,D1592,Appointments!$F$6:$F$2005,"Booked",Appointments!$B$6:$B$2005,"&gt;="&amp;TODAY(),Appointments!$M$6:$M$2005,"&lt;"&amp;M1592)=0,1,0),0)</f>
        <v/>
      </c>
    </row>
    <row r="1593">
      <c r="A1593" s="1" t="n"/>
      <c r="B1593" s="30" t="n"/>
      <c r="C1593" s="31" t="n"/>
      <c r="D1593" s="32" t="n"/>
      <c r="E1593" s="32" t="n"/>
      <c r="F1593" s="33" t="n"/>
      <c r="G1593" s="27">
        <f>IF(E1593="","",MAX(0,IFERROR(INDEX(Services!$C$6:$C$35,MATCH(E1593,Services!$B$6:$B$35,0)),0)-N(H1593)))</f>
        <v/>
      </c>
      <c r="H1593" s="34" t="n"/>
      <c r="I1593" s="34" t="n"/>
      <c r="J1593" s="33" t="n"/>
      <c r="K1593" s="28">
        <f>IF(OR(B1593="",F1593&lt;&gt;"Done",J1593="Package"),"",IF(N(G1593)-N(I1593)&gt;0,N(G1593)-N(I1593),""))</f>
        <v/>
      </c>
      <c r="L1593" s="32" t="n"/>
      <c r="M1593" s="1">
        <f>IF(OR(B1593="",D1593="",F1593="Cancelled"),"",B1593+N(C1593)+ROW()/10000000)</f>
        <v/>
      </c>
      <c r="N1593">
        <f>IF(AND(F1593="Done",M1593&lt;&gt;""),IF(COUNTIFS(Appointments!$D$6:$D$2005,D1593,Appointments!$F$6:$F$2005,"Done",Appointments!$M$6:$M$2005,"&gt;"&amp;M1593)=0,1,0),0)</f>
        <v/>
      </c>
      <c r="O1593">
        <f>IF(AND(F1593="Booked",M1593&lt;&gt;"",N(B1593)&gt;=TODAY()),IF(COUNTIFS(Appointments!$D$6:$D$2005,D1593,Appointments!$F$6:$F$2005,"Booked",Appointments!$B$6:$B$2005,"&gt;="&amp;TODAY(),Appointments!$M$6:$M$2005,"&lt;"&amp;M1593)=0,1,0),0)</f>
        <v/>
      </c>
    </row>
    <row r="1594">
      <c r="A1594" s="1" t="n"/>
      <c r="B1594" s="30" t="n"/>
      <c r="C1594" s="31" t="n"/>
      <c r="D1594" s="32" t="n"/>
      <c r="E1594" s="32" t="n"/>
      <c r="F1594" s="33" t="n"/>
      <c r="G1594" s="27">
        <f>IF(E1594="","",MAX(0,IFERROR(INDEX(Services!$C$6:$C$35,MATCH(E1594,Services!$B$6:$B$35,0)),0)-N(H1594)))</f>
        <v/>
      </c>
      <c r="H1594" s="34" t="n"/>
      <c r="I1594" s="34" t="n"/>
      <c r="J1594" s="33" t="n"/>
      <c r="K1594" s="28">
        <f>IF(OR(B1594="",F1594&lt;&gt;"Done",J1594="Package"),"",IF(N(G1594)-N(I1594)&gt;0,N(G1594)-N(I1594),""))</f>
        <v/>
      </c>
      <c r="L1594" s="32" t="n"/>
      <c r="M1594" s="1">
        <f>IF(OR(B1594="",D1594="",F1594="Cancelled"),"",B1594+N(C1594)+ROW()/10000000)</f>
        <v/>
      </c>
      <c r="N1594">
        <f>IF(AND(F1594="Done",M1594&lt;&gt;""),IF(COUNTIFS(Appointments!$D$6:$D$2005,D1594,Appointments!$F$6:$F$2005,"Done",Appointments!$M$6:$M$2005,"&gt;"&amp;M1594)=0,1,0),0)</f>
        <v/>
      </c>
      <c r="O1594">
        <f>IF(AND(F1594="Booked",M1594&lt;&gt;"",N(B1594)&gt;=TODAY()),IF(COUNTIFS(Appointments!$D$6:$D$2005,D1594,Appointments!$F$6:$F$2005,"Booked",Appointments!$B$6:$B$2005,"&gt;="&amp;TODAY(),Appointments!$M$6:$M$2005,"&lt;"&amp;M1594)=0,1,0),0)</f>
        <v/>
      </c>
    </row>
    <row r="1595">
      <c r="A1595" s="1" t="n"/>
      <c r="B1595" s="30" t="n"/>
      <c r="C1595" s="31" t="n"/>
      <c r="D1595" s="32" t="n"/>
      <c r="E1595" s="32" t="n"/>
      <c r="F1595" s="33" t="n"/>
      <c r="G1595" s="27">
        <f>IF(E1595="","",MAX(0,IFERROR(INDEX(Services!$C$6:$C$35,MATCH(E1595,Services!$B$6:$B$35,0)),0)-N(H1595)))</f>
        <v/>
      </c>
      <c r="H1595" s="34" t="n"/>
      <c r="I1595" s="34" t="n"/>
      <c r="J1595" s="33" t="n"/>
      <c r="K1595" s="28">
        <f>IF(OR(B1595="",F1595&lt;&gt;"Done",J1595="Package"),"",IF(N(G1595)-N(I1595)&gt;0,N(G1595)-N(I1595),""))</f>
        <v/>
      </c>
      <c r="L1595" s="32" t="n"/>
      <c r="M1595" s="1">
        <f>IF(OR(B1595="",D1595="",F1595="Cancelled"),"",B1595+N(C1595)+ROW()/10000000)</f>
        <v/>
      </c>
      <c r="N1595">
        <f>IF(AND(F1595="Done",M1595&lt;&gt;""),IF(COUNTIFS(Appointments!$D$6:$D$2005,D1595,Appointments!$F$6:$F$2005,"Done",Appointments!$M$6:$M$2005,"&gt;"&amp;M1595)=0,1,0),0)</f>
        <v/>
      </c>
      <c r="O1595">
        <f>IF(AND(F1595="Booked",M1595&lt;&gt;"",N(B1595)&gt;=TODAY()),IF(COUNTIFS(Appointments!$D$6:$D$2005,D1595,Appointments!$F$6:$F$2005,"Booked",Appointments!$B$6:$B$2005,"&gt;="&amp;TODAY(),Appointments!$M$6:$M$2005,"&lt;"&amp;M1595)=0,1,0),0)</f>
        <v/>
      </c>
    </row>
    <row r="1596">
      <c r="A1596" s="1" t="n"/>
      <c r="B1596" s="30" t="n"/>
      <c r="C1596" s="31" t="n"/>
      <c r="D1596" s="32" t="n"/>
      <c r="E1596" s="32" t="n"/>
      <c r="F1596" s="33" t="n"/>
      <c r="G1596" s="27">
        <f>IF(E1596="","",MAX(0,IFERROR(INDEX(Services!$C$6:$C$35,MATCH(E1596,Services!$B$6:$B$35,0)),0)-N(H1596)))</f>
        <v/>
      </c>
      <c r="H1596" s="34" t="n"/>
      <c r="I1596" s="34" t="n"/>
      <c r="J1596" s="33" t="n"/>
      <c r="K1596" s="28">
        <f>IF(OR(B1596="",F1596&lt;&gt;"Done",J1596="Package"),"",IF(N(G1596)-N(I1596)&gt;0,N(G1596)-N(I1596),""))</f>
        <v/>
      </c>
      <c r="L1596" s="32" t="n"/>
      <c r="M1596" s="1">
        <f>IF(OR(B1596="",D1596="",F1596="Cancelled"),"",B1596+N(C1596)+ROW()/10000000)</f>
        <v/>
      </c>
      <c r="N1596">
        <f>IF(AND(F1596="Done",M1596&lt;&gt;""),IF(COUNTIFS(Appointments!$D$6:$D$2005,D1596,Appointments!$F$6:$F$2005,"Done",Appointments!$M$6:$M$2005,"&gt;"&amp;M1596)=0,1,0),0)</f>
        <v/>
      </c>
      <c r="O1596">
        <f>IF(AND(F1596="Booked",M1596&lt;&gt;"",N(B1596)&gt;=TODAY()),IF(COUNTIFS(Appointments!$D$6:$D$2005,D1596,Appointments!$F$6:$F$2005,"Booked",Appointments!$B$6:$B$2005,"&gt;="&amp;TODAY(),Appointments!$M$6:$M$2005,"&lt;"&amp;M1596)=0,1,0),0)</f>
        <v/>
      </c>
    </row>
    <row r="1597">
      <c r="A1597" s="1" t="n"/>
      <c r="B1597" s="30" t="n"/>
      <c r="C1597" s="31" t="n"/>
      <c r="D1597" s="32" t="n"/>
      <c r="E1597" s="32" t="n"/>
      <c r="F1597" s="33" t="n"/>
      <c r="G1597" s="27">
        <f>IF(E1597="","",MAX(0,IFERROR(INDEX(Services!$C$6:$C$35,MATCH(E1597,Services!$B$6:$B$35,0)),0)-N(H1597)))</f>
        <v/>
      </c>
      <c r="H1597" s="34" t="n"/>
      <c r="I1597" s="34" t="n"/>
      <c r="J1597" s="33" t="n"/>
      <c r="K1597" s="28">
        <f>IF(OR(B1597="",F1597&lt;&gt;"Done",J1597="Package"),"",IF(N(G1597)-N(I1597)&gt;0,N(G1597)-N(I1597),""))</f>
        <v/>
      </c>
      <c r="L1597" s="32" t="n"/>
      <c r="M1597" s="1">
        <f>IF(OR(B1597="",D1597="",F1597="Cancelled"),"",B1597+N(C1597)+ROW()/10000000)</f>
        <v/>
      </c>
      <c r="N1597">
        <f>IF(AND(F1597="Done",M1597&lt;&gt;""),IF(COUNTIFS(Appointments!$D$6:$D$2005,D1597,Appointments!$F$6:$F$2005,"Done",Appointments!$M$6:$M$2005,"&gt;"&amp;M1597)=0,1,0),0)</f>
        <v/>
      </c>
      <c r="O1597">
        <f>IF(AND(F1597="Booked",M1597&lt;&gt;"",N(B1597)&gt;=TODAY()),IF(COUNTIFS(Appointments!$D$6:$D$2005,D1597,Appointments!$F$6:$F$2005,"Booked",Appointments!$B$6:$B$2005,"&gt;="&amp;TODAY(),Appointments!$M$6:$M$2005,"&lt;"&amp;M1597)=0,1,0),0)</f>
        <v/>
      </c>
    </row>
    <row r="1598">
      <c r="A1598" s="1" t="n"/>
      <c r="B1598" s="30" t="n"/>
      <c r="C1598" s="31" t="n"/>
      <c r="D1598" s="32" t="n"/>
      <c r="E1598" s="32" t="n"/>
      <c r="F1598" s="33" t="n"/>
      <c r="G1598" s="27">
        <f>IF(E1598="","",MAX(0,IFERROR(INDEX(Services!$C$6:$C$35,MATCH(E1598,Services!$B$6:$B$35,0)),0)-N(H1598)))</f>
        <v/>
      </c>
      <c r="H1598" s="34" t="n"/>
      <c r="I1598" s="34" t="n"/>
      <c r="J1598" s="33" t="n"/>
      <c r="K1598" s="28">
        <f>IF(OR(B1598="",F1598&lt;&gt;"Done",J1598="Package"),"",IF(N(G1598)-N(I1598)&gt;0,N(G1598)-N(I1598),""))</f>
        <v/>
      </c>
      <c r="L1598" s="32" t="n"/>
      <c r="M1598" s="1">
        <f>IF(OR(B1598="",D1598="",F1598="Cancelled"),"",B1598+N(C1598)+ROW()/10000000)</f>
        <v/>
      </c>
      <c r="N1598">
        <f>IF(AND(F1598="Done",M1598&lt;&gt;""),IF(COUNTIFS(Appointments!$D$6:$D$2005,D1598,Appointments!$F$6:$F$2005,"Done",Appointments!$M$6:$M$2005,"&gt;"&amp;M1598)=0,1,0),0)</f>
        <v/>
      </c>
      <c r="O1598">
        <f>IF(AND(F1598="Booked",M1598&lt;&gt;"",N(B1598)&gt;=TODAY()),IF(COUNTIFS(Appointments!$D$6:$D$2005,D1598,Appointments!$F$6:$F$2005,"Booked",Appointments!$B$6:$B$2005,"&gt;="&amp;TODAY(),Appointments!$M$6:$M$2005,"&lt;"&amp;M1598)=0,1,0),0)</f>
        <v/>
      </c>
    </row>
    <row r="1599">
      <c r="A1599" s="1" t="n"/>
      <c r="B1599" s="30" t="n"/>
      <c r="C1599" s="31" t="n"/>
      <c r="D1599" s="32" t="n"/>
      <c r="E1599" s="32" t="n"/>
      <c r="F1599" s="33" t="n"/>
      <c r="G1599" s="27">
        <f>IF(E1599="","",MAX(0,IFERROR(INDEX(Services!$C$6:$C$35,MATCH(E1599,Services!$B$6:$B$35,0)),0)-N(H1599)))</f>
        <v/>
      </c>
      <c r="H1599" s="34" t="n"/>
      <c r="I1599" s="34" t="n"/>
      <c r="J1599" s="33" t="n"/>
      <c r="K1599" s="28">
        <f>IF(OR(B1599="",F1599&lt;&gt;"Done",J1599="Package"),"",IF(N(G1599)-N(I1599)&gt;0,N(G1599)-N(I1599),""))</f>
        <v/>
      </c>
      <c r="L1599" s="32" t="n"/>
      <c r="M1599" s="1">
        <f>IF(OR(B1599="",D1599="",F1599="Cancelled"),"",B1599+N(C1599)+ROW()/10000000)</f>
        <v/>
      </c>
      <c r="N1599">
        <f>IF(AND(F1599="Done",M1599&lt;&gt;""),IF(COUNTIFS(Appointments!$D$6:$D$2005,D1599,Appointments!$F$6:$F$2005,"Done",Appointments!$M$6:$M$2005,"&gt;"&amp;M1599)=0,1,0),0)</f>
        <v/>
      </c>
      <c r="O1599">
        <f>IF(AND(F1599="Booked",M1599&lt;&gt;"",N(B1599)&gt;=TODAY()),IF(COUNTIFS(Appointments!$D$6:$D$2005,D1599,Appointments!$F$6:$F$2005,"Booked",Appointments!$B$6:$B$2005,"&gt;="&amp;TODAY(),Appointments!$M$6:$M$2005,"&lt;"&amp;M1599)=0,1,0),0)</f>
        <v/>
      </c>
    </row>
    <row r="1600">
      <c r="A1600" s="1" t="n"/>
      <c r="B1600" s="30" t="n"/>
      <c r="C1600" s="31" t="n"/>
      <c r="D1600" s="32" t="n"/>
      <c r="E1600" s="32" t="n"/>
      <c r="F1600" s="33" t="n"/>
      <c r="G1600" s="27">
        <f>IF(E1600="","",MAX(0,IFERROR(INDEX(Services!$C$6:$C$35,MATCH(E1600,Services!$B$6:$B$35,0)),0)-N(H1600)))</f>
        <v/>
      </c>
      <c r="H1600" s="34" t="n"/>
      <c r="I1600" s="34" t="n"/>
      <c r="J1600" s="33" t="n"/>
      <c r="K1600" s="28">
        <f>IF(OR(B1600="",F1600&lt;&gt;"Done",J1600="Package"),"",IF(N(G1600)-N(I1600)&gt;0,N(G1600)-N(I1600),""))</f>
        <v/>
      </c>
      <c r="L1600" s="32" t="n"/>
      <c r="M1600" s="1">
        <f>IF(OR(B1600="",D1600="",F1600="Cancelled"),"",B1600+N(C1600)+ROW()/10000000)</f>
        <v/>
      </c>
      <c r="N1600">
        <f>IF(AND(F1600="Done",M1600&lt;&gt;""),IF(COUNTIFS(Appointments!$D$6:$D$2005,D1600,Appointments!$F$6:$F$2005,"Done",Appointments!$M$6:$M$2005,"&gt;"&amp;M1600)=0,1,0),0)</f>
        <v/>
      </c>
      <c r="O1600">
        <f>IF(AND(F1600="Booked",M1600&lt;&gt;"",N(B1600)&gt;=TODAY()),IF(COUNTIFS(Appointments!$D$6:$D$2005,D1600,Appointments!$F$6:$F$2005,"Booked",Appointments!$B$6:$B$2005,"&gt;="&amp;TODAY(),Appointments!$M$6:$M$2005,"&lt;"&amp;M1600)=0,1,0),0)</f>
        <v/>
      </c>
    </row>
    <row r="1601">
      <c r="A1601" s="1" t="n"/>
      <c r="B1601" s="30" t="n"/>
      <c r="C1601" s="31" t="n"/>
      <c r="D1601" s="32" t="n"/>
      <c r="E1601" s="32" t="n"/>
      <c r="F1601" s="33" t="n"/>
      <c r="G1601" s="27">
        <f>IF(E1601="","",MAX(0,IFERROR(INDEX(Services!$C$6:$C$35,MATCH(E1601,Services!$B$6:$B$35,0)),0)-N(H1601)))</f>
        <v/>
      </c>
      <c r="H1601" s="34" t="n"/>
      <c r="I1601" s="34" t="n"/>
      <c r="J1601" s="33" t="n"/>
      <c r="K1601" s="28">
        <f>IF(OR(B1601="",F1601&lt;&gt;"Done",J1601="Package"),"",IF(N(G1601)-N(I1601)&gt;0,N(G1601)-N(I1601),""))</f>
        <v/>
      </c>
      <c r="L1601" s="32" t="n"/>
      <c r="M1601" s="1">
        <f>IF(OR(B1601="",D1601="",F1601="Cancelled"),"",B1601+N(C1601)+ROW()/10000000)</f>
        <v/>
      </c>
      <c r="N1601">
        <f>IF(AND(F1601="Done",M1601&lt;&gt;""),IF(COUNTIFS(Appointments!$D$6:$D$2005,D1601,Appointments!$F$6:$F$2005,"Done",Appointments!$M$6:$M$2005,"&gt;"&amp;M1601)=0,1,0),0)</f>
        <v/>
      </c>
      <c r="O1601">
        <f>IF(AND(F1601="Booked",M1601&lt;&gt;"",N(B1601)&gt;=TODAY()),IF(COUNTIFS(Appointments!$D$6:$D$2005,D1601,Appointments!$F$6:$F$2005,"Booked",Appointments!$B$6:$B$2005,"&gt;="&amp;TODAY(),Appointments!$M$6:$M$2005,"&lt;"&amp;M1601)=0,1,0),0)</f>
        <v/>
      </c>
    </row>
    <row r="1602">
      <c r="A1602" s="1" t="n"/>
      <c r="B1602" s="30" t="n"/>
      <c r="C1602" s="31" t="n"/>
      <c r="D1602" s="32" t="n"/>
      <c r="E1602" s="32" t="n"/>
      <c r="F1602" s="33" t="n"/>
      <c r="G1602" s="27">
        <f>IF(E1602="","",MAX(0,IFERROR(INDEX(Services!$C$6:$C$35,MATCH(E1602,Services!$B$6:$B$35,0)),0)-N(H1602)))</f>
        <v/>
      </c>
      <c r="H1602" s="34" t="n"/>
      <c r="I1602" s="34" t="n"/>
      <c r="J1602" s="33" t="n"/>
      <c r="K1602" s="28">
        <f>IF(OR(B1602="",F1602&lt;&gt;"Done",J1602="Package"),"",IF(N(G1602)-N(I1602)&gt;0,N(G1602)-N(I1602),""))</f>
        <v/>
      </c>
      <c r="L1602" s="32" t="n"/>
      <c r="M1602" s="1">
        <f>IF(OR(B1602="",D1602="",F1602="Cancelled"),"",B1602+N(C1602)+ROW()/10000000)</f>
        <v/>
      </c>
      <c r="N1602">
        <f>IF(AND(F1602="Done",M1602&lt;&gt;""),IF(COUNTIFS(Appointments!$D$6:$D$2005,D1602,Appointments!$F$6:$F$2005,"Done",Appointments!$M$6:$M$2005,"&gt;"&amp;M1602)=0,1,0),0)</f>
        <v/>
      </c>
      <c r="O1602">
        <f>IF(AND(F1602="Booked",M1602&lt;&gt;"",N(B1602)&gt;=TODAY()),IF(COUNTIFS(Appointments!$D$6:$D$2005,D1602,Appointments!$F$6:$F$2005,"Booked",Appointments!$B$6:$B$2005,"&gt;="&amp;TODAY(),Appointments!$M$6:$M$2005,"&lt;"&amp;M1602)=0,1,0),0)</f>
        <v/>
      </c>
    </row>
    <row r="1603">
      <c r="A1603" s="1" t="n"/>
      <c r="B1603" s="30" t="n"/>
      <c r="C1603" s="31" t="n"/>
      <c r="D1603" s="32" t="n"/>
      <c r="E1603" s="32" t="n"/>
      <c r="F1603" s="33" t="n"/>
      <c r="G1603" s="27">
        <f>IF(E1603="","",MAX(0,IFERROR(INDEX(Services!$C$6:$C$35,MATCH(E1603,Services!$B$6:$B$35,0)),0)-N(H1603)))</f>
        <v/>
      </c>
      <c r="H1603" s="34" t="n"/>
      <c r="I1603" s="34" t="n"/>
      <c r="J1603" s="33" t="n"/>
      <c r="K1603" s="28">
        <f>IF(OR(B1603="",F1603&lt;&gt;"Done",J1603="Package"),"",IF(N(G1603)-N(I1603)&gt;0,N(G1603)-N(I1603),""))</f>
        <v/>
      </c>
      <c r="L1603" s="32" t="n"/>
      <c r="M1603" s="1">
        <f>IF(OR(B1603="",D1603="",F1603="Cancelled"),"",B1603+N(C1603)+ROW()/10000000)</f>
        <v/>
      </c>
      <c r="N1603">
        <f>IF(AND(F1603="Done",M1603&lt;&gt;""),IF(COUNTIFS(Appointments!$D$6:$D$2005,D1603,Appointments!$F$6:$F$2005,"Done",Appointments!$M$6:$M$2005,"&gt;"&amp;M1603)=0,1,0),0)</f>
        <v/>
      </c>
      <c r="O1603">
        <f>IF(AND(F1603="Booked",M1603&lt;&gt;"",N(B1603)&gt;=TODAY()),IF(COUNTIFS(Appointments!$D$6:$D$2005,D1603,Appointments!$F$6:$F$2005,"Booked",Appointments!$B$6:$B$2005,"&gt;="&amp;TODAY(),Appointments!$M$6:$M$2005,"&lt;"&amp;M1603)=0,1,0),0)</f>
        <v/>
      </c>
    </row>
    <row r="1604">
      <c r="A1604" s="1" t="n"/>
      <c r="B1604" s="30" t="n"/>
      <c r="C1604" s="31" t="n"/>
      <c r="D1604" s="32" t="n"/>
      <c r="E1604" s="32" t="n"/>
      <c r="F1604" s="33" t="n"/>
      <c r="G1604" s="27">
        <f>IF(E1604="","",MAX(0,IFERROR(INDEX(Services!$C$6:$C$35,MATCH(E1604,Services!$B$6:$B$35,0)),0)-N(H1604)))</f>
        <v/>
      </c>
      <c r="H1604" s="34" t="n"/>
      <c r="I1604" s="34" t="n"/>
      <c r="J1604" s="33" t="n"/>
      <c r="K1604" s="28">
        <f>IF(OR(B1604="",F1604&lt;&gt;"Done",J1604="Package"),"",IF(N(G1604)-N(I1604)&gt;0,N(G1604)-N(I1604),""))</f>
        <v/>
      </c>
      <c r="L1604" s="32" t="n"/>
      <c r="M1604" s="1">
        <f>IF(OR(B1604="",D1604="",F1604="Cancelled"),"",B1604+N(C1604)+ROW()/10000000)</f>
        <v/>
      </c>
      <c r="N1604">
        <f>IF(AND(F1604="Done",M1604&lt;&gt;""),IF(COUNTIFS(Appointments!$D$6:$D$2005,D1604,Appointments!$F$6:$F$2005,"Done",Appointments!$M$6:$M$2005,"&gt;"&amp;M1604)=0,1,0),0)</f>
        <v/>
      </c>
      <c r="O1604">
        <f>IF(AND(F1604="Booked",M1604&lt;&gt;"",N(B1604)&gt;=TODAY()),IF(COUNTIFS(Appointments!$D$6:$D$2005,D1604,Appointments!$F$6:$F$2005,"Booked",Appointments!$B$6:$B$2005,"&gt;="&amp;TODAY(),Appointments!$M$6:$M$2005,"&lt;"&amp;M1604)=0,1,0),0)</f>
        <v/>
      </c>
    </row>
    <row r="1605">
      <c r="A1605" s="1" t="n"/>
      <c r="B1605" s="30" t="n"/>
      <c r="C1605" s="31" t="n"/>
      <c r="D1605" s="32" t="n"/>
      <c r="E1605" s="32" t="n"/>
      <c r="F1605" s="33" t="n"/>
      <c r="G1605" s="27">
        <f>IF(E1605="","",MAX(0,IFERROR(INDEX(Services!$C$6:$C$35,MATCH(E1605,Services!$B$6:$B$35,0)),0)-N(H1605)))</f>
        <v/>
      </c>
      <c r="H1605" s="34" t="n"/>
      <c r="I1605" s="34" t="n"/>
      <c r="J1605" s="33" t="n"/>
      <c r="K1605" s="28">
        <f>IF(OR(B1605="",F1605&lt;&gt;"Done",J1605="Package"),"",IF(N(G1605)-N(I1605)&gt;0,N(G1605)-N(I1605),""))</f>
        <v/>
      </c>
      <c r="L1605" s="32" t="n"/>
      <c r="M1605" s="1">
        <f>IF(OR(B1605="",D1605="",F1605="Cancelled"),"",B1605+N(C1605)+ROW()/10000000)</f>
        <v/>
      </c>
      <c r="N1605">
        <f>IF(AND(F1605="Done",M1605&lt;&gt;""),IF(COUNTIFS(Appointments!$D$6:$D$2005,D1605,Appointments!$F$6:$F$2005,"Done",Appointments!$M$6:$M$2005,"&gt;"&amp;M1605)=0,1,0),0)</f>
        <v/>
      </c>
      <c r="O1605">
        <f>IF(AND(F1605="Booked",M1605&lt;&gt;"",N(B1605)&gt;=TODAY()),IF(COUNTIFS(Appointments!$D$6:$D$2005,D1605,Appointments!$F$6:$F$2005,"Booked",Appointments!$B$6:$B$2005,"&gt;="&amp;TODAY(),Appointments!$M$6:$M$2005,"&lt;"&amp;M1605)=0,1,0),0)</f>
        <v/>
      </c>
    </row>
    <row r="1606">
      <c r="A1606" s="1" t="n"/>
      <c r="B1606" s="30" t="n"/>
      <c r="C1606" s="31" t="n"/>
      <c r="D1606" s="32" t="n"/>
      <c r="E1606" s="32" t="n"/>
      <c r="F1606" s="33" t="n"/>
      <c r="G1606" s="27">
        <f>IF(E1606="","",MAX(0,IFERROR(INDEX(Services!$C$6:$C$35,MATCH(E1606,Services!$B$6:$B$35,0)),0)-N(H1606)))</f>
        <v/>
      </c>
      <c r="H1606" s="34" t="n"/>
      <c r="I1606" s="34" t="n"/>
      <c r="J1606" s="33" t="n"/>
      <c r="K1606" s="28">
        <f>IF(OR(B1606="",F1606&lt;&gt;"Done",J1606="Package"),"",IF(N(G1606)-N(I1606)&gt;0,N(G1606)-N(I1606),""))</f>
        <v/>
      </c>
      <c r="L1606" s="32" t="n"/>
      <c r="M1606" s="1">
        <f>IF(OR(B1606="",D1606="",F1606="Cancelled"),"",B1606+N(C1606)+ROW()/10000000)</f>
        <v/>
      </c>
      <c r="N1606">
        <f>IF(AND(F1606="Done",M1606&lt;&gt;""),IF(COUNTIFS(Appointments!$D$6:$D$2005,D1606,Appointments!$F$6:$F$2005,"Done",Appointments!$M$6:$M$2005,"&gt;"&amp;M1606)=0,1,0),0)</f>
        <v/>
      </c>
      <c r="O1606">
        <f>IF(AND(F1606="Booked",M1606&lt;&gt;"",N(B1606)&gt;=TODAY()),IF(COUNTIFS(Appointments!$D$6:$D$2005,D1606,Appointments!$F$6:$F$2005,"Booked",Appointments!$B$6:$B$2005,"&gt;="&amp;TODAY(),Appointments!$M$6:$M$2005,"&lt;"&amp;M1606)=0,1,0),0)</f>
        <v/>
      </c>
    </row>
    <row r="1607">
      <c r="A1607" s="1" t="n"/>
      <c r="B1607" s="30" t="n"/>
      <c r="C1607" s="31" t="n"/>
      <c r="D1607" s="32" t="n"/>
      <c r="E1607" s="32" t="n"/>
      <c r="F1607" s="33" t="n"/>
      <c r="G1607" s="27">
        <f>IF(E1607="","",MAX(0,IFERROR(INDEX(Services!$C$6:$C$35,MATCH(E1607,Services!$B$6:$B$35,0)),0)-N(H1607)))</f>
        <v/>
      </c>
      <c r="H1607" s="34" t="n"/>
      <c r="I1607" s="34" t="n"/>
      <c r="J1607" s="33" t="n"/>
      <c r="K1607" s="28">
        <f>IF(OR(B1607="",F1607&lt;&gt;"Done",J1607="Package"),"",IF(N(G1607)-N(I1607)&gt;0,N(G1607)-N(I1607),""))</f>
        <v/>
      </c>
      <c r="L1607" s="32" t="n"/>
      <c r="M1607" s="1">
        <f>IF(OR(B1607="",D1607="",F1607="Cancelled"),"",B1607+N(C1607)+ROW()/10000000)</f>
        <v/>
      </c>
      <c r="N1607">
        <f>IF(AND(F1607="Done",M1607&lt;&gt;""),IF(COUNTIFS(Appointments!$D$6:$D$2005,D1607,Appointments!$F$6:$F$2005,"Done",Appointments!$M$6:$M$2005,"&gt;"&amp;M1607)=0,1,0),0)</f>
        <v/>
      </c>
      <c r="O1607">
        <f>IF(AND(F1607="Booked",M1607&lt;&gt;"",N(B1607)&gt;=TODAY()),IF(COUNTIFS(Appointments!$D$6:$D$2005,D1607,Appointments!$F$6:$F$2005,"Booked",Appointments!$B$6:$B$2005,"&gt;="&amp;TODAY(),Appointments!$M$6:$M$2005,"&lt;"&amp;M1607)=0,1,0),0)</f>
        <v/>
      </c>
    </row>
    <row r="1608">
      <c r="A1608" s="1" t="n"/>
      <c r="B1608" s="30" t="n"/>
      <c r="C1608" s="31" t="n"/>
      <c r="D1608" s="32" t="n"/>
      <c r="E1608" s="32" t="n"/>
      <c r="F1608" s="33" t="n"/>
      <c r="G1608" s="27">
        <f>IF(E1608="","",MAX(0,IFERROR(INDEX(Services!$C$6:$C$35,MATCH(E1608,Services!$B$6:$B$35,0)),0)-N(H1608)))</f>
        <v/>
      </c>
      <c r="H1608" s="34" t="n"/>
      <c r="I1608" s="34" t="n"/>
      <c r="J1608" s="33" t="n"/>
      <c r="K1608" s="28">
        <f>IF(OR(B1608="",F1608&lt;&gt;"Done",J1608="Package"),"",IF(N(G1608)-N(I1608)&gt;0,N(G1608)-N(I1608),""))</f>
        <v/>
      </c>
      <c r="L1608" s="32" t="n"/>
      <c r="M1608" s="1">
        <f>IF(OR(B1608="",D1608="",F1608="Cancelled"),"",B1608+N(C1608)+ROW()/10000000)</f>
        <v/>
      </c>
      <c r="N1608">
        <f>IF(AND(F1608="Done",M1608&lt;&gt;""),IF(COUNTIFS(Appointments!$D$6:$D$2005,D1608,Appointments!$F$6:$F$2005,"Done",Appointments!$M$6:$M$2005,"&gt;"&amp;M1608)=0,1,0),0)</f>
        <v/>
      </c>
      <c r="O1608">
        <f>IF(AND(F1608="Booked",M1608&lt;&gt;"",N(B1608)&gt;=TODAY()),IF(COUNTIFS(Appointments!$D$6:$D$2005,D1608,Appointments!$F$6:$F$2005,"Booked",Appointments!$B$6:$B$2005,"&gt;="&amp;TODAY(),Appointments!$M$6:$M$2005,"&lt;"&amp;M1608)=0,1,0),0)</f>
        <v/>
      </c>
    </row>
    <row r="1609">
      <c r="A1609" s="1" t="n"/>
      <c r="B1609" s="30" t="n"/>
      <c r="C1609" s="31" t="n"/>
      <c r="D1609" s="32" t="n"/>
      <c r="E1609" s="32" t="n"/>
      <c r="F1609" s="33" t="n"/>
      <c r="G1609" s="27">
        <f>IF(E1609="","",MAX(0,IFERROR(INDEX(Services!$C$6:$C$35,MATCH(E1609,Services!$B$6:$B$35,0)),0)-N(H1609)))</f>
        <v/>
      </c>
      <c r="H1609" s="34" t="n"/>
      <c r="I1609" s="34" t="n"/>
      <c r="J1609" s="33" t="n"/>
      <c r="K1609" s="28">
        <f>IF(OR(B1609="",F1609&lt;&gt;"Done",J1609="Package"),"",IF(N(G1609)-N(I1609)&gt;0,N(G1609)-N(I1609),""))</f>
        <v/>
      </c>
      <c r="L1609" s="32" t="n"/>
      <c r="M1609" s="1">
        <f>IF(OR(B1609="",D1609="",F1609="Cancelled"),"",B1609+N(C1609)+ROW()/10000000)</f>
        <v/>
      </c>
      <c r="N1609">
        <f>IF(AND(F1609="Done",M1609&lt;&gt;""),IF(COUNTIFS(Appointments!$D$6:$D$2005,D1609,Appointments!$F$6:$F$2005,"Done",Appointments!$M$6:$M$2005,"&gt;"&amp;M1609)=0,1,0),0)</f>
        <v/>
      </c>
      <c r="O1609">
        <f>IF(AND(F1609="Booked",M1609&lt;&gt;"",N(B1609)&gt;=TODAY()),IF(COUNTIFS(Appointments!$D$6:$D$2005,D1609,Appointments!$F$6:$F$2005,"Booked",Appointments!$B$6:$B$2005,"&gt;="&amp;TODAY(),Appointments!$M$6:$M$2005,"&lt;"&amp;M1609)=0,1,0),0)</f>
        <v/>
      </c>
    </row>
    <row r="1610">
      <c r="A1610" s="1" t="n"/>
      <c r="B1610" s="30" t="n"/>
      <c r="C1610" s="31" t="n"/>
      <c r="D1610" s="32" t="n"/>
      <c r="E1610" s="32" t="n"/>
      <c r="F1610" s="33" t="n"/>
      <c r="G1610" s="27">
        <f>IF(E1610="","",MAX(0,IFERROR(INDEX(Services!$C$6:$C$35,MATCH(E1610,Services!$B$6:$B$35,0)),0)-N(H1610)))</f>
        <v/>
      </c>
      <c r="H1610" s="34" t="n"/>
      <c r="I1610" s="34" t="n"/>
      <c r="J1610" s="33" t="n"/>
      <c r="K1610" s="28">
        <f>IF(OR(B1610="",F1610&lt;&gt;"Done",J1610="Package"),"",IF(N(G1610)-N(I1610)&gt;0,N(G1610)-N(I1610),""))</f>
        <v/>
      </c>
      <c r="L1610" s="32" t="n"/>
      <c r="M1610" s="1">
        <f>IF(OR(B1610="",D1610="",F1610="Cancelled"),"",B1610+N(C1610)+ROW()/10000000)</f>
        <v/>
      </c>
      <c r="N1610">
        <f>IF(AND(F1610="Done",M1610&lt;&gt;""),IF(COUNTIFS(Appointments!$D$6:$D$2005,D1610,Appointments!$F$6:$F$2005,"Done",Appointments!$M$6:$M$2005,"&gt;"&amp;M1610)=0,1,0),0)</f>
        <v/>
      </c>
      <c r="O1610">
        <f>IF(AND(F1610="Booked",M1610&lt;&gt;"",N(B1610)&gt;=TODAY()),IF(COUNTIFS(Appointments!$D$6:$D$2005,D1610,Appointments!$F$6:$F$2005,"Booked",Appointments!$B$6:$B$2005,"&gt;="&amp;TODAY(),Appointments!$M$6:$M$2005,"&lt;"&amp;M1610)=0,1,0),0)</f>
        <v/>
      </c>
    </row>
    <row r="1611">
      <c r="A1611" s="1" t="n"/>
      <c r="B1611" s="30" t="n"/>
      <c r="C1611" s="31" t="n"/>
      <c r="D1611" s="32" t="n"/>
      <c r="E1611" s="32" t="n"/>
      <c r="F1611" s="33" t="n"/>
      <c r="G1611" s="27">
        <f>IF(E1611="","",MAX(0,IFERROR(INDEX(Services!$C$6:$C$35,MATCH(E1611,Services!$B$6:$B$35,0)),0)-N(H1611)))</f>
        <v/>
      </c>
      <c r="H1611" s="34" t="n"/>
      <c r="I1611" s="34" t="n"/>
      <c r="J1611" s="33" t="n"/>
      <c r="K1611" s="28">
        <f>IF(OR(B1611="",F1611&lt;&gt;"Done",J1611="Package"),"",IF(N(G1611)-N(I1611)&gt;0,N(G1611)-N(I1611),""))</f>
        <v/>
      </c>
      <c r="L1611" s="32" t="n"/>
      <c r="M1611" s="1">
        <f>IF(OR(B1611="",D1611="",F1611="Cancelled"),"",B1611+N(C1611)+ROW()/10000000)</f>
        <v/>
      </c>
      <c r="N1611">
        <f>IF(AND(F1611="Done",M1611&lt;&gt;""),IF(COUNTIFS(Appointments!$D$6:$D$2005,D1611,Appointments!$F$6:$F$2005,"Done",Appointments!$M$6:$M$2005,"&gt;"&amp;M1611)=0,1,0),0)</f>
        <v/>
      </c>
      <c r="O1611">
        <f>IF(AND(F1611="Booked",M1611&lt;&gt;"",N(B1611)&gt;=TODAY()),IF(COUNTIFS(Appointments!$D$6:$D$2005,D1611,Appointments!$F$6:$F$2005,"Booked",Appointments!$B$6:$B$2005,"&gt;="&amp;TODAY(),Appointments!$M$6:$M$2005,"&lt;"&amp;M1611)=0,1,0),0)</f>
        <v/>
      </c>
    </row>
    <row r="1612">
      <c r="A1612" s="1" t="n"/>
      <c r="B1612" s="30" t="n"/>
      <c r="C1612" s="31" t="n"/>
      <c r="D1612" s="32" t="n"/>
      <c r="E1612" s="32" t="n"/>
      <c r="F1612" s="33" t="n"/>
      <c r="G1612" s="27">
        <f>IF(E1612="","",MAX(0,IFERROR(INDEX(Services!$C$6:$C$35,MATCH(E1612,Services!$B$6:$B$35,0)),0)-N(H1612)))</f>
        <v/>
      </c>
      <c r="H1612" s="34" t="n"/>
      <c r="I1612" s="34" t="n"/>
      <c r="J1612" s="33" t="n"/>
      <c r="K1612" s="28">
        <f>IF(OR(B1612="",F1612&lt;&gt;"Done",J1612="Package"),"",IF(N(G1612)-N(I1612)&gt;0,N(G1612)-N(I1612),""))</f>
        <v/>
      </c>
      <c r="L1612" s="32" t="n"/>
      <c r="M1612" s="1">
        <f>IF(OR(B1612="",D1612="",F1612="Cancelled"),"",B1612+N(C1612)+ROW()/10000000)</f>
        <v/>
      </c>
      <c r="N1612">
        <f>IF(AND(F1612="Done",M1612&lt;&gt;""),IF(COUNTIFS(Appointments!$D$6:$D$2005,D1612,Appointments!$F$6:$F$2005,"Done",Appointments!$M$6:$M$2005,"&gt;"&amp;M1612)=0,1,0),0)</f>
        <v/>
      </c>
      <c r="O1612">
        <f>IF(AND(F1612="Booked",M1612&lt;&gt;"",N(B1612)&gt;=TODAY()),IF(COUNTIFS(Appointments!$D$6:$D$2005,D1612,Appointments!$F$6:$F$2005,"Booked",Appointments!$B$6:$B$2005,"&gt;="&amp;TODAY(),Appointments!$M$6:$M$2005,"&lt;"&amp;M1612)=0,1,0),0)</f>
        <v/>
      </c>
    </row>
    <row r="1613">
      <c r="A1613" s="1" t="n"/>
      <c r="B1613" s="30" t="n"/>
      <c r="C1613" s="31" t="n"/>
      <c r="D1613" s="32" t="n"/>
      <c r="E1613" s="32" t="n"/>
      <c r="F1613" s="33" t="n"/>
      <c r="G1613" s="27">
        <f>IF(E1613="","",MAX(0,IFERROR(INDEX(Services!$C$6:$C$35,MATCH(E1613,Services!$B$6:$B$35,0)),0)-N(H1613)))</f>
        <v/>
      </c>
      <c r="H1613" s="34" t="n"/>
      <c r="I1613" s="34" t="n"/>
      <c r="J1613" s="33" t="n"/>
      <c r="K1613" s="28">
        <f>IF(OR(B1613="",F1613&lt;&gt;"Done",J1613="Package"),"",IF(N(G1613)-N(I1613)&gt;0,N(G1613)-N(I1613),""))</f>
        <v/>
      </c>
      <c r="L1613" s="32" t="n"/>
      <c r="M1613" s="1">
        <f>IF(OR(B1613="",D1613="",F1613="Cancelled"),"",B1613+N(C1613)+ROW()/10000000)</f>
        <v/>
      </c>
      <c r="N1613">
        <f>IF(AND(F1613="Done",M1613&lt;&gt;""),IF(COUNTIFS(Appointments!$D$6:$D$2005,D1613,Appointments!$F$6:$F$2005,"Done",Appointments!$M$6:$M$2005,"&gt;"&amp;M1613)=0,1,0),0)</f>
        <v/>
      </c>
      <c r="O1613">
        <f>IF(AND(F1613="Booked",M1613&lt;&gt;"",N(B1613)&gt;=TODAY()),IF(COUNTIFS(Appointments!$D$6:$D$2005,D1613,Appointments!$F$6:$F$2005,"Booked",Appointments!$B$6:$B$2005,"&gt;="&amp;TODAY(),Appointments!$M$6:$M$2005,"&lt;"&amp;M1613)=0,1,0),0)</f>
        <v/>
      </c>
    </row>
    <row r="1614">
      <c r="A1614" s="1" t="n"/>
      <c r="B1614" s="30" t="n"/>
      <c r="C1614" s="31" t="n"/>
      <c r="D1614" s="32" t="n"/>
      <c r="E1614" s="32" t="n"/>
      <c r="F1614" s="33" t="n"/>
      <c r="G1614" s="27">
        <f>IF(E1614="","",MAX(0,IFERROR(INDEX(Services!$C$6:$C$35,MATCH(E1614,Services!$B$6:$B$35,0)),0)-N(H1614)))</f>
        <v/>
      </c>
      <c r="H1614" s="34" t="n"/>
      <c r="I1614" s="34" t="n"/>
      <c r="J1614" s="33" t="n"/>
      <c r="K1614" s="28">
        <f>IF(OR(B1614="",F1614&lt;&gt;"Done",J1614="Package"),"",IF(N(G1614)-N(I1614)&gt;0,N(G1614)-N(I1614),""))</f>
        <v/>
      </c>
      <c r="L1614" s="32" t="n"/>
      <c r="M1614" s="1">
        <f>IF(OR(B1614="",D1614="",F1614="Cancelled"),"",B1614+N(C1614)+ROW()/10000000)</f>
        <v/>
      </c>
      <c r="N1614">
        <f>IF(AND(F1614="Done",M1614&lt;&gt;""),IF(COUNTIFS(Appointments!$D$6:$D$2005,D1614,Appointments!$F$6:$F$2005,"Done",Appointments!$M$6:$M$2005,"&gt;"&amp;M1614)=0,1,0),0)</f>
        <v/>
      </c>
      <c r="O1614">
        <f>IF(AND(F1614="Booked",M1614&lt;&gt;"",N(B1614)&gt;=TODAY()),IF(COUNTIFS(Appointments!$D$6:$D$2005,D1614,Appointments!$F$6:$F$2005,"Booked",Appointments!$B$6:$B$2005,"&gt;="&amp;TODAY(),Appointments!$M$6:$M$2005,"&lt;"&amp;M1614)=0,1,0),0)</f>
        <v/>
      </c>
    </row>
    <row r="1615">
      <c r="A1615" s="1" t="n"/>
      <c r="B1615" s="30" t="n"/>
      <c r="C1615" s="31" t="n"/>
      <c r="D1615" s="32" t="n"/>
      <c r="E1615" s="32" t="n"/>
      <c r="F1615" s="33" t="n"/>
      <c r="G1615" s="27">
        <f>IF(E1615="","",MAX(0,IFERROR(INDEX(Services!$C$6:$C$35,MATCH(E1615,Services!$B$6:$B$35,0)),0)-N(H1615)))</f>
        <v/>
      </c>
      <c r="H1615" s="34" t="n"/>
      <c r="I1615" s="34" t="n"/>
      <c r="J1615" s="33" t="n"/>
      <c r="K1615" s="28">
        <f>IF(OR(B1615="",F1615&lt;&gt;"Done",J1615="Package"),"",IF(N(G1615)-N(I1615)&gt;0,N(G1615)-N(I1615),""))</f>
        <v/>
      </c>
      <c r="L1615" s="32" t="n"/>
      <c r="M1615" s="1">
        <f>IF(OR(B1615="",D1615="",F1615="Cancelled"),"",B1615+N(C1615)+ROW()/10000000)</f>
        <v/>
      </c>
      <c r="N1615">
        <f>IF(AND(F1615="Done",M1615&lt;&gt;""),IF(COUNTIFS(Appointments!$D$6:$D$2005,D1615,Appointments!$F$6:$F$2005,"Done",Appointments!$M$6:$M$2005,"&gt;"&amp;M1615)=0,1,0),0)</f>
        <v/>
      </c>
      <c r="O1615">
        <f>IF(AND(F1615="Booked",M1615&lt;&gt;"",N(B1615)&gt;=TODAY()),IF(COUNTIFS(Appointments!$D$6:$D$2005,D1615,Appointments!$F$6:$F$2005,"Booked",Appointments!$B$6:$B$2005,"&gt;="&amp;TODAY(),Appointments!$M$6:$M$2005,"&lt;"&amp;M1615)=0,1,0),0)</f>
        <v/>
      </c>
    </row>
    <row r="1616">
      <c r="A1616" s="1" t="n"/>
      <c r="B1616" s="30" t="n"/>
      <c r="C1616" s="31" t="n"/>
      <c r="D1616" s="32" t="n"/>
      <c r="E1616" s="32" t="n"/>
      <c r="F1616" s="33" t="n"/>
      <c r="G1616" s="27">
        <f>IF(E1616="","",MAX(0,IFERROR(INDEX(Services!$C$6:$C$35,MATCH(E1616,Services!$B$6:$B$35,0)),0)-N(H1616)))</f>
        <v/>
      </c>
      <c r="H1616" s="34" t="n"/>
      <c r="I1616" s="34" t="n"/>
      <c r="J1616" s="33" t="n"/>
      <c r="K1616" s="28">
        <f>IF(OR(B1616="",F1616&lt;&gt;"Done",J1616="Package"),"",IF(N(G1616)-N(I1616)&gt;0,N(G1616)-N(I1616),""))</f>
        <v/>
      </c>
      <c r="L1616" s="32" t="n"/>
      <c r="M1616" s="1">
        <f>IF(OR(B1616="",D1616="",F1616="Cancelled"),"",B1616+N(C1616)+ROW()/10000000)</f>
        <v/>
      </c>
      <c r="N1616">
        <f>IF(AND(F1616="Done",M1616&lt;&gt;""),IF(COUNTIFS(Appointments!$D$6:$D$2005,D1616,Appointments!$F$6:$F$2005,"Done",Appointments!$M$6:$M$2005,"&gt;"&amp;M1616)=0,1,0),0)</f>
        <v/>
      </c>
      <c r="O1616">
        <f>IF(AND(F1616="Booked",M1616&lt;&gt;"",N(B1616)&gt;=TODAY()),IF(COUNTIFS(Appointments!$D$6:$D$2005,D1616,Appointments!$F$6:$F$2005,"Booked",Appointments!$B$6:$B$2005,"&gt;="&amp;TODAY(),Appointments!$M$6:$M$2005,"&lt;"&amp;M1616)=0,1,0),0)</f>
        <v/>
      </c>
    </row>
    <row r="1617">
      <c r="A1617" s="1" t="n"/>
      <c r="B1617" s="30" t="n"/>
      <c r="C1617" s="31" t="n"/>
      <c r="D1617" s="32" t="n"/>
      <c r="E1617" s="32" t="n"/>
      <c r="F1617" s="33" t="n"/>
      <c r="G1617" s="27">
        <f>IF(E1617="","",MAX(0,IFERROR(INDEX(Services!$C$6:$C$35,MATCH(E1617,Services!$B$6:$B$35,0)),0)-N(H1617)))</f>
        <v/>
      </c>
      <c r="H1617" s="34" t="n"/>
      <c r="I1617" s="34" t="n"/>
      <c r="J1617" s="33" t="n"/>
      <c r="K1617" s="28">
        <f>IF(OR(B1617="",F1617&lt;&gt;"Done",J1617="Package"),"",IF(N(G1617)-N(I1617)&gt;0,N(G1617)-N(I1617),""))</f>
        <v/>
      </c>
      <c r="L1617" s="32" t="n"/>
      <c r="M1617" s="1">
        <f>IF(OR(B1617="",D1617="",F1617="Cancelled"),"",B1617+N(C1617)+ROW()/10000000)</f>
        <v/>
      </c>
      <c r="N1617">
        <f>IF(AND(F1617="Done",M1617&lt;&gt;""),IF(COUNTIFS(Appointments!$D$6:$D$2005,D1617,Appointments!$F$6:$F$2005,"Done",Appointments!$M$6:$M$2005,"&gt;"&amp;M1617)=0,1,0),0)</f>
        <v/>
      </c>
      <c r="O1617">
        <f>IF(AND(F1617="Booked",M1617&lt;&gt;"",N(B1617)&gt;=TODAY()),IF(COUNTIFS(Appointments!$D$6:$D$2005,D1617,Appointments!$F$6:$F$2005,"Booked",Appointments!$B$6:$B$2005,"&gt;="&amp;TODAY(),Appointments!$M$6:$M$2005,"&lt;"&amp;M1617)=0,1,0),0)</f>
        <v/>
      </c>
    </row>
    <row r="1618">
      <c r="A1618" s="1" t="n"/>
      <c r="B1618" s="30" t="n"/>
      <c r="C1618" s="31" t="n"/>
      <c r="D1618" s="32" t="n"/>
      <c r="E1618" s="32" t="n"/>
      <c r="F1618" s="33" t="n"/>
      <c r="G1618" s="27">
        <f>IF(E1618="","",MAX(0,IFERROR(INDEX(Services!$C$6:$C$35,MATCH(E1618,Services!$B$6:$B$35,0)),0)-N(H1618)))</f>
        <v/>
      </c>
      <c r="H1618" s="34" t="n"/>
      <c r="I1618" s="34" t="n"/>
      <c r="J1618" s="33" t="n"/>
      <c r="K1618" s="28">
        <f>IF(OR(B1618="",F1618&lt;&gt;"Done",J1618="Package"),"",IF(N(G1618)-N(I1618)&gt;0,N(G1618)-N(I1618),""))</f>
        <v/>
      </c>
      <c r="L1618" s="32" t="n"/>
      <c r="M1618" s="1">
        <f>IF(OR(B1618="",D1618="",F1618="Cancelled"),"",B1618+N(C1618)+ROW()/10000000)</f>
        <v/>
      </c>
      <c r="N1618">
        <f>IF(AND(F1618="Done",M1618&lt;&gt;""),IF(COUNTIFS(Appointments!$D$6:$D$2005,D1618,Appointments!$F$6:$F$2005,"Done",Appointments!$M$6:$M$2005,"&gt;"&amp;M1618)=0,1,0),0)</f>
        <v/>
      </c>
      <c r="O1618">
        <f>IF(AND(F1618="Booked",M1618&lt;&gt;"",N(B1618)&gt;=TODAY()),IF(COUNTIFS(Appointments!$D$6:$D$2005,D1618,Appointments!$F$6:$F$2005,"Booked",Appointments!$B$6:$B$2005,"&gt;="&amp;TODAY(),Appointments!$M$6:$M$2005,"&lt;"&amp;M1618)=0,1,0),0)</f>
        <v/>
      </c>
    </row>
    <row r="1619">
      <c r="A1619" s="1" t="n"/>
      <c r="B1619" s="30" t="n"/>
      <c r="C1619" s="31" t="n"/>
      <c r="D1619" s="32" t="n"/>
      <c r="E1619" s="32" t="n"/>
      <c r="F1619" s="33" t="n"/>
      <c r="G1619" s="27">
        <f>IF(E1619="","",MAX(0,IFERROR(INDEX(Services!$C$6:$C$35,MATCH(E1619,Services!$B$6:$B$35,0)),0)-N(H1619)))</f>
        <v/>
      </c>
      <c r="H1619" s="34" t="n"/>
      <c r="I1619" s="34" t="n"/>
      <c r="J1619" s="33" t="n"/>
      <c r="K1619" s="28">
        <f>IF(OR(B1619="",F1619&lt;&gt;"Done",J1619="Package"),"",IF(N(G1619)-N(I1619)&gt;0,N(G1619)-N(I1619),""))</f>
        <v/>
      </c>
      <c r="L1619" s="32" t="n"/>
      <c r="M1619" s="1">
        <f>IF(OR(B1619="",D1619="",F1619="Cancelled"),"",B1619+N(C1619)+ROW()/10000000)</f>
        <v/>
      </c>
      <c r="N1619">
        <f>IF(AND(F1619="Done",M1619&lt;&gt;""),IF(COUNTIFS(Appointments!$D$6:$D$2005,D1619,Appointments!$F$6:$F$2005,"Done",Appointments!$M$6:$M$2005,"&gt;"&amp;M1619)=0,1,0),0)</f>
        <v/>
      </c>
      <c r="O1619">
        <f>IF(AND(F1619="Booked",M1619&lt;&gt;"",N(B1619)&gt;=TODAY()),IF(COUNTIFS(Appointments!$D$6:$D$2005,D1619,Appointments!$F$6:$F$2005,"Booked",Appointments!$B$6:$B$2005,"&gt;="&amp;TODAY(),Appointments!$M$6:$M$2005,"&lt;"&amp;M1619)=0,1,0),0)</f>
        <v/>
      </c>
    </row>
    <row r="1620">
      <c r="A1620" s="1" t="n"/>
      <c r="B1620" s="30" t="n"/>
      <c r="C1620" s="31" t="n"/>
      <c r="D1620" s="32" t="n"/>
      <c r="E1620" s="32" t="n"/>
      <c r="F1620" s="33" t="n"/>
      <c r="G1620" s="27">
        <f>IF(E1620="","",MAX(0,IFERROR(INDEX(Services!$C$6:$C$35,MATCH(E1620,Services!$B$6:$B$35,0)),0)-N(H1620)))</f>
        <v/>
      </c>
      <c r="H1620" s="34" t="n"/>
      <c r="I1620" s="34" t="n"/>
      <c r="J1620" s="33" t="n"/>
      <c r="K1620" s="28">
        <f>IF(OR(B1620="",F1620&lt;&gt;"Done",J1620="Package"),"",IF(N(G1620)-N(I1620)&gt;0,N(G1620)-N(I1620),""))</f>
        <v/>
      </c>
      <c r="L1620" s="32" t="n"/>
      <c r="M1620" s="1">
        <f>IF(OR(B1620="",D1620="",F1620="Cancelled"),"",B1620+N(C1620)+ROW()/10000000)</f>
        <v/>
      </c>
      <c r="N1620">
        <f>IF(AND(F1620="Done",M1620&lt;&gt;""),IF(COUNTIFS(Appointments!$D$6:$D$2005,D1620,Appointments!$F$6:$F$2005,"Done",Appointments!$M$6:$M$2005,"&gt;"&amp;M1620)=0,1,0),0)</f>
        <v/>
      </c>
      <c r="O1620">
        <f>IF(AND(F1620="Booked",M1620&lt;&gt;"",N(B1620)&gt;=TODAY()),IF(COUNTIFS(Appointments!$D$6:$D$2005,D1620,Appointments!$F$6:$F$2005,"Booked",Appointments!$B$6:$B$2005,"&gt;="&amp;TODAY(),Appointments!$M$6:$M$2005,"&lt;"&amp;M1620)=0,1,0),0)</f>
        <v/>
      </c>
    </row>
    <row r="1621">
      <c r="A1621" s="1" t="n"/>
      <c r="B1621" s="30" t="n"/>
      <c r="C1621" s="31" t="n"/>
      <c r="D1621" s="32" t="n"/>
      <c r="E1621" s="32" t="n"/>
      <c r="F1621" s="33" t="n"/>
      <c r="G1621" s="27">
        <f>IF(E1621="","",MAX(0,IFERROR(INDEX(Services!$C$6:$C$35,MATCH(E1621,Services!$B$6:$B$35,0)),0)-N(H1621)))</f>
        <v/>
      </c>
      <c r="H1621" s="34" t="n"/>
      <c r="I1621" s="34" t="n"/>
      <c r="J1621" s="33" t="n"/>
      <c r="K1621" s="28">
        <f>IF(OR(B1621="",F1621&lt;&gt;"Done",J1621="Package"),"",IF(N(G1621)-N(I1621)&gt;0,N(G1621)-N(I1621),""))</f>
        <v/>
      </c>
      <c r="L1621" s="32" t="n"/>
      <c r="M1621" s="1">
        <f>IF(OR(B1621="",D1621="",F1621="Cancelled"),"",B1621+N(C1621)+ROW()/10000000)</f>
        <v/>
      </c>
      <c r="N1621">
        <f>IF(AND(F1621="Done",M1621&lt;&gt;""),IF(COUNTIFS(Appointments!$D$6:$D$2005,D1621,Appointments!$F$6:$F$2005,"Done",Appointments!$M$6:$M$2005,"&gt;"&amp;M1621)=0,1,0),0)</f>
        <v/>
      </c>
      <c r="O1621">
        <f>IF(AND(F1621="Booked",M1621&lt;&gt;"",N(B1621)&gt;=TODAY()),IF(COUNTIFS(Appointments!$D$6:$D$2005,D1621,Appointments!$F$6:$F$2005,"Booked",Appointments!$B$6:$B$2005,"&gt;="&amp;TODAY(),Appointments!$M$6:$M$2005,"&lt;"&amp;M1621)=0,1,0),0)</f>
        <v/>
      </c>
    </row>
    <row r="1622">
      <c r="A1622" s="1" t="n"/>
      <c r="B1622" s="30" t="n"/>
      <c r="C1622" s="31" t="n"/>
      <c r="D1622" s="32" t="n"/>
      <c r="E1622" s="32" t="n"/>
      <c r="F1622" s="33" t="n"/>
      <c r="G1622" s="27">
        <f>IF(E1622="","",MAX(0,IFERROR(INDEX(Services!$C$6:$C$35,MATCH(E1622,Services!$B$6:$B$35,0)),0)-N(H1622)))</f>
        <v/>
      </c>
      <c r="H1622" s="34" t="n"/>
      <c r="I1622" s="34" t="n"/>
      <c r="J1622" s="33" t="n"/>
      <c r="K1622" s="28">
        <f>IF(OR(B1622="",F1622&lt;&gt;"Done",J1622="Package"),"",IF(N(G1622)-N(I1622)&gt;0,N(G1622)-N(I1622),""))</f>
        <v/>
      </c>
      <c r="L1622" s="32" t="n"/>
      <c r="M1622" s="1">
        <f>IF(OR(B1622="",D1622="",F1622="Cancelled"),"",B1622+N(C1622)+ROW()/10000000)</f>
        <v/>
      </c>
      <c r="N1622">
        <f>IF(AND(F1622="Done",M1622&lt;&gt;""),IF(COUNTIFS(Appointments!$D$6:$D$2005,D1622,Appointments!$F$6:$F$2005,"Done",Appointments!$M$6:$M$2005,"&gt;"&amp;M1622)=0,1,0),0)</f>
        <v/>
      </c>
      <c r="O1622">
        <f>IF(AND(F1622="Booked",M1622&lt;&gt;"",N(B1622)&gt;=TODAY()),IF(COUNTIFS(Appointments!$D$6:$D$2005,D1622,Appointments!$F$6:$F$2005,"Booked",Appointments!$B$6:$B$2005,"&gt;="&amp;TODAY(),Appointments!$M$6:$M$2005,"&lt;"&amp;M1622)=0,1,0),0)</f>
        <v/>
      </c>
    </row>
    <row r="1623">
      <c r="A1623" s="1" t="n"/>
      <c r="B1623" s="30" t="n"/>
      <c r="C1623" s="31" t="n"/>
      <c r="D1623" s="32" t="n"/>
      <c r="E1623" s="32" t="n"/>
      <c r="F1623" s="33" t="n"/>
      <c r="G1623" s="27">
        <f>IF(E1623="","",MAX(0,IFERROR(INDEX(Services!$C$6:$C$35,MATCH(E1623,Services!$B$6:$B$35,0)),0)-N(H1623)))</f>
        <v/>
      </c>
      <c r="H1623" s="34" t="n"/>
      <c r="I1623" s="34" t="n"/>
      <c r="J1623" s="33" t="n"/>
      <c r="K1623" s="28">
        <f>IF(OR(B1623="",F1623&lt;&gt;"Done",J1623="Package"),"",IF(N(G1623)-N(I1623)&gt;0,N(G1623)-N(I1623),""))</f>
        <v/>
      </c>
      <c r="L1623" s="32" t="n"/>
      <c r="M1623" s="1">
        <f>IF(OR(B1623="",D1623="",F1623="Cancelled"),"",B1623+N(C1623)+ROW()/10000000)</f>
        <v/>
      </c>
      <c r="N1623">
        <f>IF(AND(F1623="Done",M1623&lt;&gt;""),IF(COUNTIFS(Appointments!$D$6:$D$2005,D1623,Appointments!$F$6:$F$2005,"Done",Appointments!$M$6:$M$2005,"&gt;"&amp;M1623)=0,1,0),0)</f>
        <v/>
      </c>
      <c r="O1623">
        <f>IF(AND(F1623="Booked",M1623&lt;&gt;"",N(B1623)&gt;=TODAY()),IF(COUNTIFS(Appointments!$D$6:$D$2005,D1623,Appointments!$F$6:$F$2005,"Booked",Appointments!$B$6:$B$2005,"&gt;="&amp;TODAY(),Appointments!$M$6:$M$2005,"&lt;"&amp;M1623)=0,1,0),0)</f>
        <v/>
      </c>
    </row>
    <row r="1624">
      <c r="A1624" s="1" t="n"/>
      <c r="B1624" s="30" t="n"/>
      <c r="C1624" s="31" t="n"/>
      <c r="D1624" s="32" t="n"/>
      <c r="E1624" s="32" t="n"/>
      <c r="F1624" s="33" t="n"/>
      <c r="G1624" s="27">
        <f>IF(E1624="","",MAX(0,IFERROR(INDEX(Services!$C$6:$C$35,MATCH(E1624,Services!$B$6:$B$35,0)),0)-N(H1624)))</f>
        <v/>
      </c>
      <c r="H1624" s="34" t="n"/>
      <c r="I1624" s="34" t="n"/>
      <c r="J1624" s="33" t="n"/>
      <c r="K1624" s="28">
        <f>IF(OR(B1624="",F1624&lt;&gt;"Done",J1624="Package"),"",IF(N(G1624)-N(I1624)&gt;0,N(G1624)-N(I1624),""))</f>
        <v/>
      </c>
      <c r="L1624" s="32" t="n"/>
      <c r="M1624" s="1">
        <f>IF(OR(B1624="",D1624="",F1624="Cancelled"),"",B1624+N(C1624)+ROW()/10000000)</f>
        <v/>
      </c>
      <c r="N1624">
        <f>IF(AND(F1624="Done",M1624&lt;&gt;""),IF(COUNTIFS(Appointments!$D$6:$D$2005,D1624,Appointments!$F$6:$F$2005,"Done",Appointments!$M$6:$M$2005,"&gt;"&amp;M1624)=0,1,0),0)</f>
        <v/>
      </c>
      <c r="O1624">
        <f>IF(AND(F1624="Booked",M1624&lt;&gt;"",N(B1624)&gt;=TODAY()),IF(COUNTIFS(Appointments!$D$6:$D$2005,D1624,Appointments!$F$6:$F$2005,"Booked",Appointments!$B$6:$B$2005,"&gt;="&amp;TODAY(),Appointments!$M$6:$M$2005,"&lt;"&amp;M1624)=0,1,0),0)</f>
        <v/>
      </c>
    </row>
    <row r="1625">
      <c r="A1625" s="1" t="n"/>
      <c r="B1625" s="30" t="n"/>
      <c r="C1625" s="31" t="n"/>
      <c r="D1625" s="32" t="n"/>
      <c r="E1625" s="32" t="n"/>
      <c r="F1625" s="33" t="n"/>
      <c r="G1625" s="27">
        <f>IF(E1625="","",MAX(0,IFERROR(INDEX(Services!$C$6:$C$35,MATCH(E1625,Services!$B$6:$B$35,0)),0)-N(H1625)))</f>
        <v/>
      </c>
      <c r="H1625" s="34" t="n"/>
      <c r="I1625" s="34" t="n"/>
      <c r="J1625" s="33" t="n"/>
      <c r="K1625" s="28">
        <f>IF(OR(B1625="",F1625&lt;&gt;"Done",J1625="Package"),"",IF(N(G1625)-N(I1625)&gt;0,N(G1625)-N(I1625),""))</f>
        <v/>
      </c>
      <c r="L1625" s="32" t="n"/>
      <c r="M1625" s="1">
        <f>IF(OR(B1625="",D1625="",F1625="Cancelled"),"",B1625+N(C1625)+ROW()/10000000)</f>
        <v/>
      </c>
      <c r="N1625">
        <f>IF(AND(F1625="Done",M1625&lt;&gt;""),IF(COUNTIFS(Appointments!$D$6:$D$2005,D1625,Appointments!$F$6:$F$2005,"Done",Appointments!$M$6:$M$2005,"&gt;"&amp;M1625)=0,1,0),0)</f>
        <v/>
      </c>
      <c r="O1625">
        <f>IF(AND(F1625="Booked",M1625&lt;&gt;"",N(B1625)&gt;=TODAY()),IF(COUNTIFS(Appointments!$D$6:$D$2005,D1625,Appointments!$F$6:$F$2005,"Booked",Appointments!$B$6:$B$2005,"&gt;="&amp;TODAY(),Appointments!$M$6:$M$2005,"&lt;"&amp;M1625)=0,1,0),0)</f>
        <v/>
      </c>
    </row>
    <row r="1626">
      <c r="A1626" s="1" t="n"/>
      <c r="B1626" s="30" t="n"/>
      <c r="C1626" s="31" t="n"/>
      <c r="D1626" s="32" t="n"/>
      <c r="E1626" s="32" t="n"/>
      <c r="F1626" s="33" t="n"/>
      <c r="G1626" s="27">
        <f>IF(E1626="","",MAX(0,IFERROR(INDEX(Services!$C$6:$C$35,MATCH(E1626,Services!$B$6:$B$35,0)),0)-N(H1626)))</f>
        <v/>
      </c>
      <c r="H1626" s="34" t="n"/>
      <c r="I1626" s="34" t="n"/>
      <c r="J1626" s="33" t="n"/>
      <c r="K1626" s="28">
        <f>IF(OR(B1626="",F1626&lt;&gt;"Done",J1626="Package"),"",IF(N(G1626)-N(I1626)&gt;0,N(G1626)-N(I1626),""))</f>
        <v/>
      </c>
      <c r="L1626" s="32" t="n"/>
      <c r="M1626" s="1">
        <f>IF(OR(B1626="",D1626="",F1626="Cancelled"),"",B1626+N(C1626)+ROW()/10000000)</f>
        <v/>
      </c>
      <c r="N1626">
        <f>IF(AND(F1626="Done",M1626&lt;&gt;""),IF(COUNTIFS(Appointments!$D$6:$D$2005,D1626,Appointments!$F$6:$F$2005,"Done",Appointments!$M$6:$M$2005,"&gt;"&amp;M1626)=0,1,0),0)</f>
        <v/>
      </c>
      <c r="O1626">
        <f>IF(AND(F1626="Booked",M1626&lt;&gt;"",N(B1626)&gt;=TODAY()),IF(COUNTIFS(Appointments!$D$6:$D$2005,D1626,Appointments!$F$6:$F$2005,"Booked",Appointments!$B$6:$B$2005,"&gt;="&amp;TODAY(),Appointments!$M$6:$M$2005,"&lt;"&amp;M1626)=0,1,0),0)</f>
        <v/>
      </c>
    </row>
    <row r="1627">
      <c r="A1627" s="1" t="n"/>
      <c r="B1627" s="30" t="n"/>
      <c r="C1627" s="31" t="n"/>
      <c r="D1627" s="32" t="n"/>
      <c r="E1627" s="32" t="n"/>
      <c r="F1627" s="33" t="n"/>
      <c r="G1627" s="27">
        <f>IF(E1627="","",MAX(0,IFERROR(INDEX(Services!$C$6:$C$35,MATCH(E1627,Services!$B$6:$B$35,0)),0)-N(H1627)))</f>
        <v/>
      </c>
      <c r="H1627" s="34" t="n"/>
      <c r="I1627" s="34" t="n"/>
      <c r="J1627" s="33" t="n"/>
      <c r="K1627" s="28">
        <f>IF(OR(B1627="",F1627&lt;&gt;"Done",J1627="Package"),"",IF(N(G1627)-N(I1627)&gt;0,N(G1627)-N(I1627),""))</f>
        <v/>
      </c>
      <c r="L1627" s="32" t="n"/>
      <c r="M1627" s="1">
        <f>IF(OR(B1627="",D1627="",F1627="Cancelled"),"",B1627+N(C1627)+ROW()/10000000)</f>
        <v/>
      </c>
      <c r="N1627">
        <f>IF(AND(F1627="Done",M1627&lt;&gt;""),IF(COUNTIFS(Appointments!$D$6:$D$2005,D1627,Appointments!$F$6:$F$2005,"Done",Appointments!$M$6:$M$2005,"&gt;"&amp;M1627)=0,1,0),0)</f>
        <v/>
      </c>
      <c r="O1627">
        <f>IF(AND(F1627="Booked",M1627&lt;&gt;"",N(B1627)&gt;=TODAY()),IF(COUNTIFS(Appointments!$D$6:$D$2005,D1627,Appointments!$F$6:$F$2005,"Booked",Appointments!$B$6:$B$2005,"&gt;="&amp;TODAY(),Appointments!$M$6:$M$2005,"&lt;"&amp;M1627)=0,1,0),0)</f>
        <v/>
      </c>
    </row>
    <row r="1628">
      <c r="A1628" s="1" t="n"/>
      <c r="B1628" s="30" t="n"/>
      <c r="C1628" s="31" t="n"/>
      <c r="D1628" s="32" t="n"/>
      <c r="E1628" s="32" t="n"/>
      <c r="F1628" s="33" t="n"/>
      <c r="G1628" s="27">
        <f>IF(E1628="","",MAX(0,IFERROR(INDEX(Services!$C$6:$C$35,MATCH(E1628,Services!$B$6:$B$35,0)),0)-N(H1628)))</f>
        <v/>
      </c>
      <c r="H1628" s="34" t="n"/>
      <c r="I1628" s="34" t="n"/>
      <c r="J1628" s="33" t="n"/>
      <c r="K1628" s="28">
        <f>IF(OR(B1628="",F1628&lt;&gt;"Done",J1628="Package"),"",IF(N(G1628)-N(I1628)&gt;0,N(G1628)-N(I1628),""))</f>
        <v/>
      </c>
      <c r="L1628" s="32" t="n"/>
      <c r="M1628" s="1">
        <f>IF(OR(B1628="",D1628="",F1628="Cancelled"),"",B1628+N(C1628)+ROW()/10000000)</f>
        <v/>
      </c>
      <c r="N1628">
        <f>IF(AND(F1628="Done",M1628&lt;&gt;""),IF(COUNTIFS(Appointments!$D$6:$D$2005,D1628,Appointments!$F$6:$F$2005,"Done",Appointments!$M$6:$M$2005,"&gt;"&amp;M1628)=0,1,0),0)</f>
        <v/>
      </c>
      <c r="O1628">
        <f>IF(AND(F1628="Booked",M1628&lt;&gt;"",N(B1628)&gt;=TODAY()),IF(COUNTIFS(Appointments!$D$6:$D$2005,D1628,Appointments!$F$6:$F$2005,"Booked",Appointments!$B$6:$B$2005,"&gt;="&amp;TODAY(),Appointments!$M$6:$M$2005,"&lt;"&amp;M1628)=0,1,0),0)</f>
        <v/>
      </c>
    </row>
    <row r="1629">
      <c r="A1629" s="1" t="n"/>
      <c r="B1629" s="30" t="n"/>
      <c r="C1629" s="31" t="n"/>
      <c r="D1629" s="32" t="n"/>
      <c r="E1629" s="32" t="n"/>
      <c r="F1629" s="33" t="n"/>
      <c r="G1629" s="27">
        <f>IF(E1629="","",MAX(0,IFERROR(INDEX(Services!$C$6:$C$35,MATCH(E1629,Services!$B$6:$B$35,0)),0)-N(H1629)))</f>
        <v/>
      </c>
      <c r="H1629" s="34" t="n"/>
      <c r="I1629" s="34" t="n"/>
      <c r="J1629" s="33" t="n"/>
      <c r="K1629" s="28">
        <f>IF(OR(B1629="",F1629&lt;&gt;"Done",J1629="Package"),"",IF(N(G1629)-N(I1629)&gt;0,N(G1629)-N(I1629),""))</f>
        <v/>
      </c>
      <c r="L1629" s="32" t="n"/>
      <c r="M1629" s="1">
        <f>IF(OR(B1629="",D1629="",F1629="Cancelled"),"",B1629+N(C1629)+ROW()/10000000)</f>
        <v/>
      </c>
      <c r="N1629">
        <f>IF(AND(F1629="Done",M1629&lt;&gt;""),IF(COUNTIFS(Appointments!$D$6:$D$2005,D1629,Appointments!$F$6:$F$2005,"Done",Appointments!$M$6:$M$2005,"&gt;"&amp;M1629)=0,1,0),0)</f>
        <v/>
      </c>
      <c r="O1629">
        <f>IF(AND(F1629="Booked",M1629&lt;&gt;"",N(B1629)&gt;=TODAY()),IF(COUNTIFS(Appointments!$D$6:$D$2005,D1629,Appointments!$F$6:$F$2005,"Booked",Appointments!$B$6:$B$2005,"&gt;="&amp;TODAY(),Appointments!$M$6:$M$2005,"&lt;"&amp;M1629)=0,1,0),0)</f>
        <v/>
      </c>
    </row>
    <row r="1630">
      <c r="A1630" s="1" t="n"/>
      <c r="B1630" s="30" t="n"/>
      <c r="C1630" s="31" t="n"/>
      <c r="D1630" s="32" t="n"/>
      <c r="E1630" s="32" t="n"/>
      <c r="F1630" s="33" t="n"/>
      <c r="G1630" s="27">
        <f>IF(E1630="","",MAX(0,IFERROR(INDEX(Services!$C$6:$C$35,MATCH(E1630,Services!$B$6:$B$35,0)),0)-N(H1630)))</f>
        <v/>
      </c>
      <c r="H1630" s="34" t="n"/>
      <c r="I1630" s="34" t="n"/>
      <c r="J1630" s="33" t="n"/>
      <c r="K1630" s="28">
        <f>IF(OR(B1630="",F1630&lt;&gt;"Done",J1630="Package"),"",IF(N(G1630)-N(I1630)&gt;0,N(G1630)-N(I1630),""))</f>
        <v/>
      </c>
      <c r="L1630" s="32" t="n"/>
      <c r="M1630" s="1">
        <f>IF(OR(B1630="",D1630="",F1630="Cancelled"),"",B1630+N(C1630)+ROW()/10000000)</f>
        <v/>
      </c>
      <c r="N1630">
        <f>IF(AND(F1630="Done",M1630&lt;&gt;""),IF(COUNTIFS(Appointments!$D$6:$D$2005,D1630,Appointments!$F$6:$F$2005,"Done",Appointments!$M$6:$M$2005,"&gt;"&amp;M1630)=0,1,0),0)</f>
        <v/>
      </c>
      <c r="O1630">
        <f>IF(AND(F1630="Booked",M1630&lt;&gt;"",N(B1630)&gt;=TODAY()),IF(COUNTIFS(Appointments!$D$6:$D$2005,D1630,Appointments!$F$6:$F$2005,"Booked",Appointments!$B$6:$B$2005,"&gt;="&amp;TODAY(),Appointments!$M$6:$M$2005,"&lt;"&amp;M1630)=0,1,0),0)</f>
        <v/>
      </c>
    </row>
    <row r="1631">
      <c r="A1631" s="1" t="n"/>
      <c r="B1631" s="30" t="n"/>
      <c r="C1631" s="31" t="n"/>
      <c r="D1631" s="32" t="n"/>
      <c r="E1631" s="32" t="n"/>
      <c r="F1631" s="33" t="n"/>
      <c r="G1631" s="27">
        <f>IF(E1631="","",MAX(0,IFERROR(INDEX(Services!$C$6:$C$35,MATCH(E1631,Services!$B$6:$B$35,0)),0)-N(H1631)))</f>
        <v/>
      </c>
      <c r="H1631" s="34" t="n"/>
      <c r="I1631" s="34" t="n"/>
      <c r="J1631" s="33" t="n"/>
      <c r="K1631" s="28">
        <f>IF(OR(B1631="",F1631&lt;&gt;"Done",J1631="Package"),"",IF(N(G1631)-N(I1631)&gt;0,N(G1631)-N(I1631),""))</f>
        <v/>
      </c>
      <c r="L1631" s="32" t="n"/>
      <c r="M1631" s="1">
        <f>IF(OR(B1631="",D1631="",F1631="Cancelled"),"",B1631+N(C1631)+ROW()/10000000)</f>
        <v/>
      </c>
      <c r="N1631">
        <f>IF(AND(F1631="Done",M1631&lt;&gt;""),IF(COUNTIFS(Appointments!$D$6:$D$2005,D1631,Appointments!$F$6:$F$2005,"Done",Appointments!$M$6:$M$2005,"&gt;"&amp;M1631)=0,1,0),0)</f>
        <v/>
      </c>
      <c r="O1631">
        <f>IF(AND(F1631="Booked",M1631&lt;&gt;"",N(B1631)&gt;=TODAY()),IF(COUNTIFS(Appointments!$D$6:$D$2005,D1631,Appointments!$F$6:$F$2005,"Booked",Appointments!$B$6:$B$2005,"&gt;="&amp;TODAY(),Appointments!$M$6:$M$2005,"&lt;"&amp;M1631)=0,1,0),0)</f>
        <v/>
      </c>
    </row>
    <row r="1632">
      <c r="A1632" s="1" t="n"/>
      <c r="B1632" s="30" t="n"/>
      <c r="C1632" s="31" t="n"/>
      <c r="D1632" s="32" t="n"/>
      <c r="E1632" s="32" t="n"/>
      <c r="F1632" s="33" t="n"/>
      <c r="G1632" s="27">
        <f>IF(E1632="","",MAX(0,IFERROR(INDEX(Services!$C$6:$C$35,MATCH(E1632,Services!$B$6:$B$35,0)),0)-N(H1632)))</f>
        <v/>
      </c>
      <c r="H1632" s="34" t="n"/>
      <c r="I1632" s="34" t="n"/>
      <c r="J1632" s="33" t="n"/>
      <c r="K1632" s="28">
        <f>IF(OR(B1632="",F1632&lt;&gt;"Done",J1632="Package"),"",IF(N(G1632)-N(I1632)&gt;0,N(G1632)-N(I1632),""))</f>
        <v/>
      </c>
      <c r="L1632" s="32" t="n"/>
      <c r="M1632" s="1">
        <f>IF(OR(B1632="",D1632="",F1632="Cancelled"),"",B1632+N(C1632)+ROW()/10000000)</f>
        <v/>
      </c>
      <c r="N1632">
        <f>IF(AND(F1632="Done",M1632&lt;&gt;""),IF(COUNTIFS(Appointments!$D$6:$D$2005,D1632,Appointments!$F$6:$F$2005,"Done",Appointments!$M$6:$M$2005,"&gt;"&amp;M1632)=0,1,0),0)</f>
        <v/>
      </c>
      <c r="O1632">
        <f>IF(AND(F1632="Booked",M1632&lt;&gt;"",N(B1632)&gt;=TODAY()),IF(COUNTIFS(Appointments!$D$6:$D$2005,D1632,Appointments!$F$6:$F$2005,"Booked",Appointments!$B$6:$B$2005,"&gt;="&amp;TODAY(),Appointments!$M$6:$M$2005,"&lt;"&amp;M1632)=0,1,0),0)</f>
        <v/>
      </c>
    </row>
    <row r="1633">
      <c r="A1633" s="1" t="n"/>
      <c r="B1633" s="30" t="n"/>
      <c r="C1633" s="31" t="n"/>
      <c r="D1633" s="32" t="n"/>
      <c r="E1633" s="32" t="n"/>
      <c r="F1633" s="33" t="n"/>
      <c r="G1633" s="27">
        <f>IF(E1633="","",MAX(0,IFERROR(INDEX(Services!$C$6:$C$35,MATCH(E1633,Services!$B$6:$B$35,0)),0)-N(H1633)))</f>
        <v/>
      </c>
      <c r="H1633" s="34" t="n"/>
      <c r="I1633" s="34" t="n"/>
      <c r="J1633" s="33" t="n"/>
      <c r="K1633" s="28">
        <f>IF(OR(B1633="",F1633&lt;&gt;"Done",J1633="Package"),"",IF(N(G1633)-N(I1633)&gt;0,N(G1633)-N(I1633),""))</f>
        <v/>
      </c>
      <c r="L1633" s="32" t="n"/>
      <c r="M1633" s="1">
        <f>IF(OR(B1633="",D1633="",F1633="Cancelled"),"",B1633+N(C1633)+ROW()/10000000)</f>
        <v/>
      </c>
      <c r="N1633">
        <f>IF(AND(F1633="Done",M1633&lt;&gt;""),IF(COUNTIFS(Appointments!$D$6:$D$2005,D1633,Appointments!$F$6:$F$2005,"Done",Appointments!$M$6:$M$2005,"&gt;"&amp;M1633)=0,1,0),0)</f>
        <v/>
      </c>
      <c r="O1633">
        <f>IF(AND(F1633="Booked",M1633&lt;&gt;"",N(B1633)&gt;=TODAY()),IF(COUNTIFS(Appointments!$D$6:$D$2005,D1633,Appointments!$F$6:$F$2005,"Booked",Appointments!$B$6:$B$2005,"&gt;="&amp;TODAY(),Appointments!$M$6:$M$2005,"&lt;"&amp;M1633)=0,1,0),0)</f>
        <v/>
      </c>
    </row>
    <row r="1634">
      <c r="A1634" s="1" t="n"/>
      <c r="B1634" s="30" t="n"/>
      <c r="C1634" s="31" t="n"/>
      <c r="D1634" s="32" t="n"/>
      <c r="E1634" s="32" t="n"/>
      <c r="F1634" s="33" t="n"/>
      <c r="G1634" s="27">
        <f>IF(E1634="","",MAX(0,IFERROR(INDEX(Services!$C$6:$C$35,MATCH(E1634,Services!$B$6:$B$35,0)),0)-N(H1634)))</f>
        <v/>
      </c>
      <c r="H1634" s="34" t="n"/>
      <c r="I1634" s="34" t="n"/>
      <c r="J1634" s="33" t="n"/>
      <c r="K1634" s="28">
        <f>IF(OR(B1634="",F1634&lt;&gt;"Done",J1634="Package"),"",IF(N(G1634)-N(I1634)&gt;0,N(G1634)-N(I1634),""))</f>
        <v/>
      </c>
      <c r="L1634" s="32" t="n"/>
      <c r="M1634" s="1">
        <f>IF(OR(B1634="",D1634="",F1634="Cancelled"),"",B1634+N(C1634)+ROW()/10000000)</f>
        <v/>
      </c>
      <c r="N1634">
        <f>IF(AND(F1634="Done",M1634&lt;&gt;""),IF(COUNTIFS(Appointments!$D$6:$D$2005,D1634,Appointments!$F$6:$F$2005,"Done",Appointments!$M$6:$M$2005,"&gt;"&amp;M1634)=0,1,0),0)</f>
        <v/>
      </c>
      <c r="O1634">
        <f>IF(AND(F1634="Booked",M1634&lt;&gt;"",N(B1634)&gt;=TODAY()),IF(COUNTIFS(Appointments!$D$6:$D$2005,D1634,Appointments!$F$6:$F$2005,"Booked",Appointments!$B$6:$B$2005,"&gt;="&amp;TODAY(),Appointments!$M$6:$M$2005,"&lt;"&amp;M1634)=0,1,0),0)</f>
        <v/>
      </c>
    </row>
    <row r="1635">
      <c r="A1635" s="1" t="n"/>
      <c r="B1635" s="30" t="n"/>
      <c r="C1635" s="31" t="n"/>
      <c r="D1635" s="32" t="n"/>
      <c r="E1635" s="32" t="n"/>
      <c r="F1635" s="33" t="n"/>
      <c r="G1635" s="27">
        <f>IF(E1635="","",MAX(0,IFERROR(INDEX(Services!$C$6:$C$35,MATCH(E1635,Services!$B$6:$B$35,0)),0)-N(H1635)))</f>
        <v/>
      </c>
      <c r="H1635" s="34" t="n"/>
      <c r="I1635" s="34" t="n"/>
      <c r="J1635" s="33" t="n"/>
      <c r="K1635" s="28">
        <f>IF(OR(B1635="",F1635&lt;&gt;"Done",J1635="Package"),"",IF(N(G1635)-N(I1635)&gt;0,N(G1635)-N(I1635),""))</f>
        <v/>
      </c>
      <c r="L1635" s="32" t="n"/>
      <c r="M1635" s="1">
        <f>IF(OR(B1635="",D1635="",F1635="Cancelled"),"",B1635+N(C1635)+ROW()/10000000)</f>
        <v/>
      </c>
      <c r="N1635">
        <f>IF(AND(F1635="Done",M1635&lt;&gt;""),IF(COUNTIFS(Appointments!$D$6:$D$2005,D1635,Appointments!$F$6:$F$2005,"Done",Appointments!$M$6:$M$2005,"&gt;"&amp;M1635)=0,1,0),0)</f>
        <v/>
      </c>
      <c r="O1635">
        <f>IF(AND(F1635="Booked",M1635&lt;&gt;"",N(B1635)&gt;=TODAY()),IF(COUNTIFS(Appointments!$D$6:$D$2005,D1635,Appointments!$F$6:$F$2005,"Booked",Appointments!$B$6:$B$2005,"&gt;="&amp;TODAY(),Appointments!$M$6:$M$2005,"&lt;"&amp;M1635)=0,1,0),0)</f>
        <v/>
      </c>
    </row>
    <row r="1636">
      <c r="A1636" s="1" t="n"/>
      <c r="B1636" s="30" t="n"/>
      <c r="C1636" s="31" t="n"/>
      <c r="D1636" s="32" t="n"/>
      <c r="E1636" s="32" t="n"/>
      <c r="F1636" s="33" t="n"/>
      <c r="G1636" s="27">
        <f>IF(E1636="","",MAX(0,IFERROR(INDEX(Services!$C$6:$C$35,MATCH(E1636,Services!$B$6:$B$35,0)),0)-N(H1636)))</f>
        <v/>
      </c>
      <c r="H1636" s="34" t="n"/>
      <c r="I1636" s="34" t="n"/>
      <c r="J1636" s="33" t="n"/>
      <c r="K1636" s="28">
        <f>IF(OR(B1636="",F1636&lt;&gt;"Done",J1636="Package"),"",IF(N(G1636)-N(I1636)&gt;0,N(G1636)-N(I1636),""))</f>
        <v/>
      </c>
      <c r="L1636" s="32" t="n"/>
      <c r="M1636" s="1">
        <f>IF(OR(B1636="",D1636="",F1636="Cancelled"),"",B1636+N(C1636)+ROW()/10000000)</f>
        <v/>
      </c>
      <c r="N1636">
        <f>IF(AND(F1636="Done",M1636&lt;&gt;""),IF(COUNTIFS(Appointments!$D$6:$D$2005,D1636,Appointments!$F$6:$F$2005,"Done",Appointments!$M$6:$M$2005,"&gt;"&amp;M1636)=0,1,0),0)</f>
        <v/>
      </c>
      <c r="O1636">
        <f>IF(AND(F1636="Booked",M1636&lt;&gt;"",N(B1636)&gt;=TODAY()),IF(COUNTIFS(Appointments!$D$6:$D$2005,D1636,Appointments!$F$6:$F$2005,"Booked",Appointments!$B$6:$B$2005,"&gt;="&amp;TODAY(),Appointments!$M$6:$M$2005,"&lt;"&amp;M1636)=0,1,0),0)</f>
        <v/>
      </c>
    </row>
    <row r="1637">
      <c r="A1637" s="1" t="n"/>
      <c r="B1637" s="30" t="n"/>
      <c r="C1637" s="31" t="n"/>
      <c r="D1637" s="32" t="n"/>
      <c r="E1637" s="32" t="n"/>
      <c r="F1637" s="33" t="n"/>
      <c r="G1637" s="27">
        <f>IF(E1637="","",MAX(0,IFERROR(INDEX(Services!$C$6:$C$35,MATCH(E1637,Services!$B$6:$B$35,0)),0)-N(H1637)))</f>
        <v/>
      </c>
      <c r="H1637" s="34" t="n"/>
      <c r="I1637" s="34" t="n"/>
      <c r="J1637" s="33" t="n"/>
      <c r="K1637" s="28">
        <f>IF(OR(B1637="",F1637&lt;&gt;"Done",J1637="Package"),"",IF(N(G1637)-N(I1637)&gt;0,N(G1637)-N(I1637),""))</f>
        <v/>
      </c>
      <c r="L1637" s="32" t="n"/>
      <c r="M1637" s="1">
        <f>IF(OR(B1637="",D1637="",F1637="Cancelled"),"",B1637+N(C1637)+ROW()/10000000)</f>
        <v/>
      </c>
      <c r="N1637">
        <f>IF(AND(F1637="Done",M1637&lt;&gt;""),IF(COUNTIFS(Appointments!$D$6:$D$2005,D1637,Appointments!$F$6:$F$2005,"Done",Appointments!$M$6:$M$2005,"&gt;"&amp;M1637)=0,1,0),0)</f>
        <v/>
      </c>
      <c r="O1637">
        <f>IF(AND(F1637="Booked",M1637&lt;&gt;"",N(B1637)&gt;=TODAY()),IF(COUNTIFS(Appointments!$D$6:$D$2005,D1637,Appointments!$F$6:$F$2005,"Booked",Appointments!$B$6:$B$2005,"&gt;="&amp;TODAY(),Appointments!$M$6:$M$2005,"&lt;"&amp;M1637)=0,1,0),0)</f>
        <v/>
      </c>
    </row>
    <row r="1638">
      <c r="A1638" s="1" t="n"/>
      <c r="B1638" s="30" t="n"/>
      <c r="C1638" s="31" t="n"/>
      <c r="D1638" s="32" t="n"/>
      <c r="E1638" s="32" t="n"/>
      <c r="F1638" s="33" t="n"/>
      <c r="G1638" s="27">
        <f>IF(E1638="","",MAX(0,IFERROR(INDEX(Services!$C$6:$C$35,MATCH(E1638,Services!$B$6:$B$35,0)),0)-N(H1638)))</f>
        <v/>
      </c>
      <c r="H1638" s="34" t="n"/>
      <c r="I1638" s="34" t="n"/>
      <c r="J1638" s="33" t="n"/>
      <c r="K1638" s="28">
        <f>IF(OR(B1638="",F1638&lt;&gt;"Done",J1638="Package"),"",IF(N(G1638)-N(I1638)&gt;0,N(G1638)-N(I1638),""))</f>
        <v/>
      </c>
      <c r="L1638" s="32" t="n"/>
      <c r="M1638" s="1">
        <f>IF(OR(B1638="",D1638="",F1638="Cancelled"),"",B1638+N(C1638)+ROW()/10000000)</f>
        <v/>
      </c>
      <c r="N1638">
        <f>IF(AND(F1638="Done",M1638&lt;&gt;""),IF(COUNTIFS(Appointments!$D$6:$D$2005,D1638,Appointments!$F$6:$F$2005,"Done",Appointments!$M$6:$M$2005,"&gt;"&amp;M1638)=0,1,0),0)</f>
        <v/>
      </c>
      <c r="O1638">
        <f>IF(AND(F1638="Booked",M1638&lt;&gt;"",N(B1638)&gt;=TODAY()),IF(COUNTIFS(Appointments!$D$6:$D$2005,D1638,Appointments!$F$6:$F$2005,"Booked",Appointments!$B$6:$B$2005,"&gt;="&amp;TODAY(),Appointments!$M$6:$M$2005,"&lt;"&amp;M1638)=0,1,0),0)</f>
        <v/>
      </c>
    </row>
    <row r="1639">
      <c r="A1639" s="1" t="n"/>
      <c r="B1639" s="30" t="n"/>
      <c r="C1639" s="31" t="n"/>
      <c r="D1639" s="32" t="n"/>
      <c r="E1639" s="32" t="n"/>
      <c r="F1639" s="33" t="n"/>
      <c r="G1639" s="27">
        <f>IF(E1639="","",MAX(0,IFERROR(INDEX(Services!$C$6:$C$35,MATCH(E1639,Services!$B$6:$B$35,0)),0)-N(H1639)))</f>
        <v/>
      </c>
      <c r="H1639" s="34" t="n"/>
      <c r="I1639" s="34" t="n"/>
      <c r="J1639" s="33" t="n"/>
      <c r="K1639" s="28">
        <f>IF(OR(B1639="",F1639&lt;&gt;"Done",J1639="Package"),"",IF(N(G1639)-N(I1639)&gt;0,N(G1639)-N(I1639),""))</f>
        <v/>
      </c>
      <c r="L1639" s="32" t="n"/>
      <c r="M1639" s="1">
        <f>IF(OR(B1639="",D1639="",F1639="Cancelled"),"",B1639+N(C1639)+ROW()/10000000)</f>
        <v/>
      </c>
      <c r="N1639">
        <f>IF(AND(F1639="Done",M1639&lt;&gt;""),IF(COUNTIFS(Appointments!$D$6:$D$2005,D1639,Appointments!$F$6:$F$2005,"Done",Appointments!$M$6:$M$2005,"&gt;"&amp;M1639)=0,1,0),0)</f>
        <v/>
      </c>
      <c r="O1639">
        <f>IF(AND(F1639="Booked",M1639&lt;&gt;"",N(B1639)&gt;=TODAY()),IF(COUNTIFS(Appointments!$D$6:$D$2005,D1639,Appointments!$F$6:$F$2005,"Booked",Appointments!$B$6:$B$2005,"&gt;="&amp;TODAY(),Appointments!$M$6:$M$2005,"&lt;"&amp;M1639)=0,1,0),0)</f>
        <v/>
      </c>
    </row>
    <row r="1640">
      <c r="A1640" s="1" t="n"/>
      <c r="B1640" s="30" t="n"/>
      <c r="C1640" s="31" t="n"/>
      <c r="D1640" s="32" t="n"/>
      <c r="E1640" s="32" t="n"/>
      <c r="F1640" s="33" t="n"/>
      <c r="G1640" s="27">
        <f>IF(E1640="","",MAX(0,IFERROR(INDEX(Services!$C$6:$C$35,MATCH(E1640,Services!$B$6:$B$35,0)),0)-N(H1640)))</f>
        <v/>
      </c>
      <c r="H1640" s="34" t="n"/>
      <c r="I1640" s="34" t="n"/>
      <c r="J1640" s="33" t="n"/>
      <c r="K1640" s="28">
        <f>IF(OR(B1640="",F1640&lt;&gt;"Done",J1640="Package"),"",IF(N(G1640)-N(I1640)&gt;0,N(G1640)-N(I1640),""))</f>
        <v/>
      </c>
      <c r="L1640" s="32" t="n"/>
      <c r="M1640" s="1">
        <f>IF(OR(B1640="",D1640="",F1640="Cancelled"),"",B1640+N(C1640)+ROW()/10000000)</f>
        <v/>
      </c>
      <c r="N1640">
        <f>IF(AND(F1640="Done",M1640&lt;&gt;""),IF(COUNTIFS(Appointments!$D$6:$D$2005,D1640,Appointments!$F$6:$F$2005,"Done",Appointments!$M$6:$M$2005,"&gt;"&amp;M1640)=0,1,0),0)</f>
        <v/>
      </c>
      <c r="O1640">
        <f>IF(AND(F1640="Booked",M1640&lt;&gt;"",N(B1640)&gt;=TODAY()),IF(COUNTIFS(Appointments!$D$6:$D$2005,D1640,Appointments!$F$6:$F$2005,"Booked",Appointments!$B$6:$B$2005,"&gt;="&amp;TODAY(),Appointments!$M$6:$M$2005,"&lt;"&amp;M1640)=0,1,0),0)</f>
        <v/>
      </c>
    </row>
    <row r="1641">
      <c r="A1641" s="1" t="n"/>
      <c r="B1641" s="30" t="n"/>
      <c r="C1641" s="31" t="n"/>
      <c r="D1641" s="32" t="n"/>
      <c r="E1641" s="32" t="n"/>
      <c r="F1641" s="33" t="n"/>
      <c r="G1641" s="27">
        <f>IF(E1641="","",MAX(0,IFERROR(INDEX(Services!$C$6:$C$35,MATCH(E1641,Services!$B$6:$B$35,0)),0)-N(H1641)))</f>
        <v/>
      </c>
      <c r="H1641" s="34" t="n"/>
      <c r="I1641" s="34" t="n"/>
      <c r="J1641" s="33" t="n"/>
      <c r="K1641" s="28">
        <f>IF(OR(B1641="",F1641&lt;&gt;"Done",J1641="Package"),"",IF(N(G1641)-N(I1641)&gt;0,N(G1641)-N(I1641),""))</f>
        <v/>
      </c>
      <c r="L1641" s="32" t="n"/>
      <c r="M1641" s="1">
        <f>IF(OR(B1641="",D1641="",F1641="Cancelled"),"",B1641+N(C1641)+ROW()/10000000)</f>
        <v/>
      </c>
      <c r="N1641">
        <f>IF(AND(F1641="Done",M1641&lt;&gt;""),IF(COUNTIFS(Appointments!$D$6:$D$2005,D1641,Appointments!$F$6:$F$2005,"Done",Appointments!$M$6:$M$2005,"&gt;"&amp;M1641)=0,1,0),0)</f>
        <v/>
      </c>
      <c r="O1641">
        <f>IF(AND(F1641="Booked",M1641&lt;&gt;"",N(B1641)&gt;=TODAY()),IF(COUNTIFS(Appointments!$D$6:$D$2005,D1641,Appointments!$F$6:$F$2005,"Booked",Appointments!$B$6:$B$2005,"&gt;="&amp;TODAY(),Appointments!$M$6:$M$2005,"&lt;"&amp;M1641)=0,1,0),0)</f>
        <v/>
      </c>
    </row>
    <row r="1642">
      <c r="A1642" s="1" t="n"/>
      <c r="B1642" s="30" t="n"/>
      <c r="C1642" s="31" t="n"/>
      <c r="D1642" s="32" t="n"/>
      <c r="E1642" s="32" t="n"/>
      <c r="F1642" s="33" t="n"/>
      <c r="G1642" s="27">
        <f>IF(E1642="","",MAX(0,IFERROR(INDEX(Services!$C$6:$C$35,MATCH(E1642,Services!$B$6:$B$35,0)),0)-N(H1642)))</f>
        <v/>
      </c>
      <c r="H1642" s="34" t="n"/>
      <c r="I1642" s="34" t="n"/>
      <c r="J1642" s="33" t="n"/>
      <c r="K1642" s="28">
        <f>IF(OR(B1642="",F1642&lt;&gt;"Done",J1642="Package"),"",IF(N(G1642)-N(I1642)&gt;0,N(G1642)-N(I1642),""))</f>
        <v/>
      </c>
      <c r="L1642" s="32" t="n"/>
      <c r="M1642" s="1">
        <f>IF(OR(B1642="",D1642="",F1642="Cancelled"),"",B1642+N(C1642)+ROW()/10000000)</f>
        <v/>
      </c>
      <c r="N1642">
        <f>IF(AND(F1642="Done",M1642&lt;&gt;""),IF(COUNTIFS(Appointments!$D$6:$D$2005,D1642,Appointments!$F$6:$F$2005,"Done",Appointments!$M$6:$M$2005,"&gt;"&amp;M1642)=0,1,0),0)</f>
        <v/>
      </c>
      <c r="O1642">
        <f>IF(AND(F1642="Booked",M1642&lt;&gt;"",N(B1642)&gt;=TODAY()),IF(COUNTIFS(Appointments!$D$6:$D$2005,D1642,Appointments!$F$6:$F$2005,"Booked",Appointments!$B$6:$B$2005,"&gt;="&amp;TODAY(),Appointments!$M$6:$M$2005,"&lt;"&amp;M1642)=0,1,0),0)</f>
        <v/>
      </c>
    </row>
    <row r="1643">
      <c r="A1643" s="1" t="n"/>
      <c r="B1643" s="30" t="n"/>
      <c r="C1643" s="31" t="n"/>
      <c r="D1643" s="32" t="n"/>
      <c r="E1643" s="32" t="n"/>
      <c r="F1643" s="33" t="n"/>
      <c r="G1643" s="27">
        <f>IF(E1643="","",MAX(0,IFERROR(INDEX(Services!$C$6:$C$35,MATCH(E1643,Services!$B$6:$B$35,0)),0)-N(H1643)))</f>
        <v/>
      </c>
      <c r="H1643" s="34" t="n"/>
      <c r="I1643" s="34" t="n"/>
      <c r="J1643" s="33" t="n"/>
      <c r="K1643" s="28">
        <f>IF(OR(B1643="",F1643&lt;&gt;"Done",J1643="Package"),"",IF(N(G1643)-N(I1643)&gt;0,N(G1643)-N(I1643),""))</f>
        <v/>
      </c>
      <c r="L1643" s="32" t="n"/>
      <c r="M1643" s="1">
        <f>IF(OR(B1643="",D1643="",F1643="Cancelled"),"",B1643+N(C1643)+ROW()/10000000)</f>
        <v/>
      </c>
      <c r="N1643">
        <f>IF(AND(F1643="Done",M1643&lt;&gt;""),IF(COUNTIFS(Appointments!$D$6:$D$2005,D1643,Appointments!$F$6:$F$2005,"Done",Appointments!$M$6:$M$2005,"&gt;"&amp;M1643)=0,1,0),0)</f>
        <v/>
      </c>
      <c r="O1643">
        <f>IF(AND(F1643="Booked",M1643&lt;&gt;"",N(B1643)&gt;=TODAY()),IF(COUNTIFS(Appointments!$D$6:$D$2005,D1643,Appointments!$F$6:$F$2005,"Booked",Appointments!$B$6:$B$2005,"&gt;="&amp;TODAY(),Appointments!$M$6:$M$2005,"&lt;"&amp;M1643)=0,1,0),0)</f>
        <v/>
      </c>
    </row>
    <row r="1644">
      <c r="A1644" s="1" t="n"/>
      <c r="B1644" s="30" t="n"/>
      <c r="C1644" s="31" t="n"/>
      <c r="D1644" s="32" t="n"/>
      <c r="E1644" s="32" t="n"/>
      <c r="F1644" s="33" t="n"/>
      <c r="G1644" s="27">
        <f>IF(E1644="","",MAX(0,IFERROR(INDEX(Services!$C$6:$C$35,MATCH(E1644,Services!$B$6:$B$35,0)),0)-N(H1644)))</f>
        <v/>
      </c>
      <c r="H1644" s="34" t="n"/>
      <c r="I1644" s="34" t="n"/>
      <c r="J1644" s="33" t="n"/>
      <c r="K1644" s="28">
        <f>IF(OR(B1644="",F1644&lt;&gt;"Done",J1644="Package"),"",IF(N(G1644)-N(I1644)&gt;0,N(G1644)-N(I1644),""))</f>
        <v/>
      </c>
      <c r="L1644" s="32" t="n"/>
      <c r="M1644" s="1">
        <f>IF(OR(B1644="",D1644="",F1644="Cancelled"),"",B1644+N(C1644)+ROW()/10000000)</f>
        <v/>
      </c>
      <c r="N1644">
        <f>IF(AND(F1644="Done",M1644&lt;&gt;""),IF(COUNTIFS(Appointments!$D$6:$D$2005,D1644,Appointments!$F$6:$F$2005,"Done",Appointments!$M$6:$M$2005,"&gt;"&amp;M1644)=0,1,0),0)</f>
        <v/>
      </c>
      <c r="O1644">
        <f>IF(AND(F1644="Booked",M1644&lt;&gt;"",N(B1644)&gt;=TODAY()),IF(COUNTIFS(Appointments!$D$6:$D$2005,D1644,Appointments!$F$6:$F$2005,"Booked",Appointments!$B$6:$B$2005,"&gt;="&amp;TODAY(),Appointments!$M$6:$M$2005,"&lt;"&amp;M1644)=0,1,0),0)</f>
        <v/>
      </c>
    </row>
    <row r="1645">
      <c r="A1645" s="1" t="n"/>
      <c r="B1645" s="30" t="n"/>
      <c r="C1645" s="31" t="n"/>
      <c r="D1645" s="32" t="n"/>
      <c r="E1645" s="32" t="n"/>
      <c r="F1645" s="33" t="n"/>
      <c r="G1645" s="27">
        <f>IF(E1645="","",MAX(0,IFERROR(INDEX(Services!$C$6:$C$35,MATCH(E1645,Services!$B$6:$B$35,0)),0)-N(H1645)))</f>
        <v/>
      </c>
      <c r="H1645" s="34" t="n"/>
      <c r="I1645" s="34" t="n"/>
      <c r="J1645" s="33" t="n"/>
      <c r="K1645" s="28">
        <f>IF(OR(B1645="",F1645&lt;&gt;"Done",J1645="Package"),"",IF(N(G1645)-N(I1645)&gt;0,N(G1645)-N(I1645),""))</f>
        <v/>
      </c>
      <c r="L1645" s="32" t="n"/>
      <c r="M1645" s="1">
        <f>IF(OR(B1645="",D1645="",F1645="Cancelled"),"",B1645+N(C1645)+ROW()/10000000)</f>
        <v/>
      </c>
      <c r="N1645">
        <f>IF(AND(F1645="Done",M1645&lt;&gt;""),IF(COUNTIFS(Appointments!$D$6:$D$2005,D1645,Appointments!$F$6:$F$2005,"Done",Appointments!$M$6:$M$2005,"&gt;"&amp;M1645)=0,1,0),0)</f>
        <v/>
      </c>
      <c r="O1645">
        <f>IF(AND(F1645="Booked",M1645&lt;&gt;"",N(B1645)&gt;=TODAY()),IF(COUNTIFS(Appointments!$D$6:$D$2005,D1645,Appointments!$F$6:$F$2005,"Booked",Appointments!$B$6:$B$2005,"&gt;="&amp;TODAY(),Appointments!$M$6:$M$2005,"&lt;"&amp;M1645)=0,1,0),0)</f>
        <v/>
      </c>
    </row>
    <row r="1646">
      <c r="A1646" s="1" t="n"/>
      <c r="B1646" s="30" t="n"/>
      <c r="C1646" s="31" t="n"/>
      <c r="D1646" s="32" t="n"/>
      <c r="E1646" s="32" t="n"/>
      <c r="F1646" s="33" t="n"/>
      <c r="G1646" s="27">
        <f>IF(E1646="","",MAX(0,IFERROR(INDEX(Services!$C$6:$C$35,MATCH(E1646,Services!$B$6:$B$35,0)),0)-N(H1646)))</f>
        <v/>
      </c>
      <c r="H1646" s="34" t="n"/>
      <c r="I1646" s="34" t="n"/>
      <c r="J1646" s="33" t="n"/>
      <c r="K1646" s="28">
        <f>IF(OR(B1646="",F1646&lt;&gt;"Done",J1646="Package"),"",IF(N(G1646)-N(I1646)&gt;0,N(G1646)-N(I1646),""))</f>
        <v/>
      </c>
      <c r="L1646" s="32" t="n"/>
      <c r="M1646" s="1">
        <f>IF(OR(B1646="",D1646="",F1646="Cancelled"),"",B1646+N(C1646)+ROW()/10000000)</f>
        <v/>
      </c>
      <c r="N1646">
        <f>IF(AND(F1646="Done",M1646&lt;&gt;""),IF(COUNTIFS(Appointments!$D$6:$D$2005,D1646,Appointments!$F$6:$F$2005,"Done",Appointments!$M$6:$M$2005,"&gt;"&amp;M1646)=0,1,0),0)</f>
        <v/>
      </c>
      <c r="O1646">
        <f>IF(AND(F1646="Booked",M1646&lt;&gt;"",N(B1646)&gt;=TODAY()),IF(COUNTIFS(Appointments!$D$6:$D$2005,D1646,Appointments!$F$6:$F$2005,"Booked",Appointments!$B$6:$B$2005,"&gt;="&amp;TODAY(),Appointments!$M$6:$M$2005,"&lt;"&amp;M1646)=0,1,0),0)</f>
        <v/>
      </c>
    </row>
    <row r="1647">
      <c r="A1647" s="1" t="n"/>
      <c r="B1647" s="30" t="n"/>
      <c r="C1647" s="31" t="n"/>
      <c r="D1647" s="32" t="n"/>
      <c r="E1647" s="32" t="n"/>
      <c r="F1647" s="33" t="n"/>
      <c r="G1647" s="27">
        <f>IF(E1647="","",MAX(0,IFERROR(INDEX(Services!$C$6:$C$35,MATCH(E1647,Services!$B$6:$B$35,0)),0)-N(H1647)))</f>
        <v/>
      </c>
      <c r="H1647" s="34" t="n"/>
      <c r="I1647" s="34" t="n"/>
      <c r="J1647" s="33" t="n"/>
      <c r="K1647" s="28">
        <f>IF(OR(B1647="",F1647&lt;&gt;"Done",J1647="Package"),"",IF(N(G1647)-N(I1647)&gt;0,N(G1647)-N(I1647),""))</f>
        <v/>
      </c>
      <c r="L1647" s="32" t="n"/>
      <c r="M1647" s="1">
        <f>IF(OR(B1647="",D1647="",F1647="Cancelled"),"",B1647+N(C1647)+ROW()/10000000)</f>
        <v/>
      </c>
      <c r="N1647">
        <f>IF(AND(F1647="Done",M1647&lt;&gt;""),IF(COUNTIFS(Appointments!$D$6:$D$2005,D1647,Appointments!$F$6:$F$2005,"Done",Appointments!$M$6:$M$2005,"&gt;"&amp;M1647)=0,1,0),0)</f>
        <v/>
      </c>
      <c r="O1647">
        <f>IF(AND(F1647="Booked",M1647&lt;&gt;"",N(B1647)&gt;=TODAY()),IF(COUNTIFS(Appointments!$D$6:$D$2005,D1647,Appointments!$F$6:$F$2005,"Booked",Appointments!$B$6:$B$2005,"&gt;="&amp;TODAY(),Appointments!$M$6:$M$2005,"&lt;"&amp;M1647)=0,1,0),0)</f>
        <v/>
      </c>
    </row>
    <row r="1648">
      <c r="A1648" s="1" t="n"/>
      <c r="B1648" s="30" t="n"/>
      <c r="C1648" s="31" t="n"/>
      <c r="D1648" s="32" t="n"/>
      <c r="E1648" s="32" t="n"/>
      <c r="F1648" s="33" t="n"/>
      <c r="G1648" s="27">
        <f>IF(E1648="","",MAX(0,IFERROR(INDEX(Services!$C$6:$C$35,MATCH(E1648,Services!$B$6:$B$35,0)),0)-N(H1648)))</f>
        <v/>
      </c>
      <c r="H1648" s="34" t="n"/>
      <c r="I1648" s="34" t="n"/>
      <c r="J1648" s="33" t="n"/>
      <c r="K1648" s="28">
        <f>IF(OR(B1648="",F1648&lt;&gt;"Done",J1648="Package"),"",IF(N(G1648)-N(I1648)&gt;0,N(G1648)-N(I1648),""))</f>
        <v/>
      </c>
      <c r="L1648" s="32" t="n"/>
      <c r="M1648" s="1">
        <f>IF(OR(B1648="",D1648="",F1648="Cancelled"),"",B1648+N(C1648)+ROW()/10000000)</f>
        <v/>
      </c>
      <c r="N1648">
        <f>IF(AND(F1648="Done",M1648&lt;&gt;""),IF(COUNTIFS(Appointments!$D$6:$D$2005,D1648,Appointments!$F$6:$F$2005,"Done",Appointments!$M$6:$M$2005,"&gt;"&amp;M1648)=0,1,0),0)</f>
        <v/>
      </c>
      <c r="O1648">
        <f>IF(AND(F1648="Booked",M1648&lt;&gt;"",N(B1648)&gt;=TODAY()),IF(COUNTIFS(Appointments!$D$6:$D$2005,D1648,Appointments!$F$6:$F$2005,"Booked",Appointments!$B$6:$B$2005,"&gt;="&amp;TODAY(),Appointments!$M$6:$M$2005,"&lt;"&amp;M1648)=0,1,0),0)</f>
        <v/>
      </c>
    </row>
    <row r="1649">
      <c r="A1649" s="1" t="n"/>
      <c r="B1649" s="30" t="n"/>
      <c r="C1649" s="31" t="n"/>
      <c r="D1649" s="32" t="n"/>
      <c r="E1649" s="32" t="n"/>
      <c r="F1649" s="33" t="n"/>
      <c r="G1649" s="27">
        <f>IF(E1649="","",MAX(0,IFERROR(INDEX(Services!$C$6:$C$35,MATCH(E1649,Services!$B$6:$B$35,0)),0)-N(H1649)))</f>
        <v/>
      </c>
      <c r="H1649" s="34" t="n"/>
      <c r="I1649" s="34" t="n"/>
      <c r="J1649" s="33" t="n"/>
      <c r="K1649" s="28">
        <f>IF(OR(B1649="",F1649&lt;&gt;"Done",J1649="Package"),"",IF(N(G1649)-N(I1649)&gt;0,N(G1649)-N(I1649),""))</f>
        <v/>
      </c>
      <c r="L1649" s="32" t="n"/>
      <c r="M1649" s="1">
        <f>IF(OR(B1649="",D1649="",F1649="Cancelled"),"",B1649+N(C1649)+ROW()/10000000)</f>
        <v/>
      </c>
      <c r="N1649">
        <f>IF(AND(F1649="Done",M1649&lt;&gt;""),IF(COUNTIFS(Appointments!$D$6:$D$2005,D1649,Appointments!$F$6:$F$2005,"Done",Appointments!$M$6:$M$2005,"&gt;"&amp;M1649)=0,1,0),0)</f>
        <v/>
      </c>
      <c r="O1649">
        <f>IF(AND(F1649="Booked",M1649&lt;&gt;"",N(B1649)&gt;=TODAY()),IF(COUNTIFS(Appointments!$D$6:$D$2005,D1649,Appointments!$F$6:$F$2005,"Booked",Appointments!$B$6:$B$2005,"&gt;="&amp;TODAY(),Appointments!$M$6:$M$2005,"&lt;"&amp;M1649)=0,1,0),0)</f>
        <v/>
      </c>
    </row>
    <row r="1650">
      <c r="A1650" s="1" t="n"/>
      <c r="B1650" s="30" t="n"/>
      <c r="C1650" s="31" t="n"/>
      <c r="D1650" s="32" t="n"/>
      <c r="E1650" s="32" t="n"/>
      <c r="F1650" s="33" t="n"/>
      <c r="G1650" s="27">
        <f>IF(E1650="","",MAX(0,IFERROR(INDEX(Services!$C$6:$C$35,MATCH(E1650,Services!$B$6:$B$35,0)),0)-N(H1650)))</f>
        <v/>
      </c>
      <c r="H1650" s="34" t="n"/>
      <c r="I1650" s="34" t="n"/>
      <c r="J1650" s="33" t="n"/>
      <c r="K1650" s="28">
        <f>IF(OR(B1650="",F1650&lt;&gt;"Done",J1650="Package"),"",IF(N(G1650)-N(I1650)&gt;0,N(G1650)-N(I1650),""))</f>
        <v/>
      </c>
      <c r="L1650" s="32" t="n"/>
      <c r="M1650" s="1">
        <f>IF(OR(B1650="",D1650="",F1650="Cancelled"),"",B1650+N(C1650)+ROW()/10000000)</f>
        <v/>
      </c>
      <c r="N1650">
        <f>IF(AND(F1650="Done",M1650&lt;&gt;""),IF(COUNTIFS(Appointments!$D$6:$D$2005,D1650,Appointments!$F$6:$F$2005,"Done",Appointments!$M$6:$M$2005,"&gt;"&amp;M1650)=0,1,0),0)</f>
        <v/>
      </c>
      <c r="O1650">
        <f>IF(AND(F1650="Booked",M1650&lt;&gt;"",N(B1650)&gt;=TODAY()),IF(COUNTIFS(Appointments!$D$6:$D$2005,D1650,Appointments!$F$6:$F$2005,"Booked",Appointments!$B$6:$B$2005,"&gt;="&amp;TODAY(),Appointments!$M$6:$M$2005,"&lt;"&amp;M1650)=0,1,0),0)</f>
        <v/>
      </c>
    </row>
    <row r="1651">
      <c r="A1651" s="1" t="n"/>
      <c r="B1651" s="30" t="n"/>
      <c r="C1651" s="31" t="n"/>
      <c r="D1651" s="32" t="n"/>
      <c r="E1651" s="32" t="n"/>
      <c r="F1651" s="33" t="n"/>
      <c r="G1651" s="27">
        <f>IF(E1651="","",MAX(0,IFERROR(INDEX(Services!$C$6:$C$35,MATCH(E1651,Services!$B$6:$B$35,0)),0)-N(H1651)))</f>
        <v/>
      </c>
      <c r="H1651" s="34" t="n"/>
      <c r="I1651" s="34" t="n"/>
      <c r="J1651" s="33" t="n"/>
      <c r="K1651" s="28">
        <f>IF(OR(B1651="",F1651&lt;&gt;"Done",J1651="Package"),"",IF(N(G1651)-N(I1651)&gt;0,N(G1651)-N(I1651),""))</f>
        <v/>
      </c>
      <c r="L1651" s="32" t="n"/>
      <c r="M1651" s="1">
        <f>IF(OR(B1651="",D1651="",F1651="Cancelled"),"",B1651+N(C1651)+ROW()/10000000)</f>
        <v/>
      </c>
      <c r="N1651">
        <f>IF(AND(F1651="Done",M1651&lt;&gt;""),IF(COUNTIFS(Appointments!$D$6:$D$2005,D1651,Appointments!$F$6:$F$2005,"Done",Appointments!$M$6:$M$2005,"&gt;"&amp;M1651)=0,1,0),0)</f>
        <v/>
      </c>
      <c r="O1651">
        <f>IF(AND(F1651="Booked",M1651&lt;&gt;"",N(B1651)&gt;=TODAY()),IF(COUNTIFS(Appointments!$D$6:$D$2005,D1651,Appointments!$F$6:$F$2005,"Booked",Appointments!$B$6:$B$2005,"&gt;="&amp;TODAY(),Appointments!$M$6:$M$2005,"&lt;"&amp;M1651)=0,1,0),0)</f>
        <v/>
      </c>
    </row>
    <row r="1652">
      <c r="A1652" s="1" t="n"/>
      <c r="B1652" s="30" t="n"/>
      <c r="C1652" s="31" t="n"/>
      <c r="D1652" s="32" t="n"/>
      <c r="E1652" s="32" t="n"/>
      <c r="F1652" s="33" t="n"/>
      <c r="G1652" s="27">
        <f>IF(E1652="","",MAX(0,IFERROR(INDEX(Services!$C$6:$C$35,MATCH(E1652,Services!$B$6:$B$35,0)),0)-N(H1652)))</f>
        <v/>
      </c>
      <c r="H1652" s="34" t="n"/>
      <c r="I1652" s="34" t="n"/>
      <c r="J1652" s="33" t="n"/>
      <c r="K1652" s="28">
        <f>IF(OR(B1652="",F1652&lt;&gt;"Done",J1652="Package"),"",IF(N(G1652)-N(I1652)&gt;0,N(G1652)-N(I1652),""))</f>
        <v/>
      </c>
      <c r="L1652" s="32" t="n"/>
      <c r="M1652" s="1">
        <f>IF(OR(B1652="",D1652="",F1652="Cancelled"),"",B1652+N(C1652)+ROW()/10000000)</f>
        <v/>
      </c>
      <c r="N1652">
        <f>IF(AND(F1652="Done",M1652&lt;&gt;""),IF(COUNTIFS(Appointments!$D$6:$D$2005,D1652,Appointments!$F$6:$F$2005,"Done",Appointments!$M$6:$M$2005,"&gt;"&amp;M1652)=0,1,0),0)</f>
        <v/>
      </c>
      <c r="O1652">
        <f>IF(AND(F1652="Booked",M1652&lt;&gt;"",N(B1652)&gt;=TODAY()),IF(COUNTIFS(Appointments!$D$6:$D$2005,D1652,Appointments!$F$6:$F$2005,"Booked",Appointments!$B$6:$B$2005,"&gt;="&amp;TODAY(),Appointments!$M$6:$M$2005,"&lt;"&amp;M1652)=0,1,0),0)</f>
        <v/>
      </c>
    </row>
    <row r="1653">
      <c r="A1653" s="1" t="n"/>
      <c r="B1653" s="30" t="n"/>
      <c r="C1653" s="31" t="n"/>
      <c r="D1653" s="32" t="n"/>
      <c r="E1653" s="32" t="n"/>
      <c r="F1653" s="33" t="n"/>
      <c r="G1653" s="27">
        <f>IF(E1653="","",MAX(0,IFERROR(INDEX(Services!$C$6:$C$35,MATCH(E1653,Services!$B$6:$B$35,0)),0)-N(H1653)))</f>
        <v/>
      </c>
      <c r="H1653" s="34" t="n"/>
      <c r="I1653" s="34" t="n"/>
      <c r="J1653" s="33" t="n"/>
      <c r="K1653" s="28">
        <f>IF(OR(B1653="",F1653&lt;&gt;"Done",J1653="Package"),"",IF(N(G1653)-N(I1653)&gt;0,N(G1653)-N(I1653),""))</f>
        <v/>
      </c>
      <c r="L1653" s="32" t="n"/>
      <c r="M1653" s="1">
        <f>IF(OR(B1653="",D1653="",F1653="Cancelled"),"",B1653+N(C1653)+ROW()/10000000)</f>
        <v/>
      </c>
      <c r="N1653">
        <f>IF(AND(F1653="Done",M1653&lt;&gt;""),IF(COUNTIFS(Appointments!$D$6:$D$2005,D1653,Appointments!$F$6:$F$2005,"Done",Appointments!$M$6:$M$2005,"&gt;"&amp;M1653)=0,1,0),0)</f>
        <v/>
      </c>
      <c r="O1653">
        <f>IF(AND(F1653="Booked",M1653&lt;&gt;"",N(B1653)&gt;=TODAY()),IF(COUNTIFS(Appointments!$D$6:$D$2005,D1653,Appointments!$F$6:$F$2005,"Booked",Appointments!$B$6:$B$2005,"&gt;="&amp;TODAY(),Appointments!$M$6:$M$2005,"&lt;"&amp;M1653)=0,1,0),0)</f>
        <v/>
      </c>
    </row>
    <row r="1654">
      <c r="A1654" s="1" t="n"/>
      <c r="B1654" s="30" t="n"/>
      <c r="C1654" s="31" t="n"/>
      <c r="D1654" s="32" t="n"/>
      <c r="E1654" s="32" t="n"/>
      <c r="F1654" s="33" t="n"/>
      <c r="G1654" s="27">
        <f>IF(E1654="","",MAX(0,IFERROR(INDEX(Services!$C$6:$C$35,MATCH(E1654,Services!$B$6:$B$35,0)),0)-N(H1654)))</f>
        <v/>
      </c>
      <c r="H1654" s="34" t="n"/>
      <c r="I1654" s="34" t="n"/>
      <c r="J1654" s="33" t="n"/>
      <c r="K1654" s="28">
        <f>IF(OR(B1654="",F1654&lt;&gt;"Done",J1654="Package"),"",IF(N(G1654)-N(I1654)&gt;0,N(G1654)-N(I1654),""))</f>
        <v/>
      </c>
      <c r="L1654" s="32" t="n"/>
      <c r="M1654" s="1">
        <f>IF(OR(B1654="",D1654="",F1654="Cancelled"),"",B1654+N(C1654)+ROW()/10000000)</f>
        <v/>
      </c>
      <c r="N1654">
        <f>IF(AND(F1654="Done",M1654&lt;&gt;""),IF(COUNTIFS(Appointments!$D$6:$D$2005,D1654,Appointments!$F$6:$F$2005,"Done",Appointments!$M$6:$M$2005,"&gt;"&amp;M1654)=0,1,0),0)</f>
        <v/>
      </c>
      <c r="O1654">
        <f>IF(AND(F1654="Booked",M1654&lt;&gt;"",N(B1654)&gt;=TODAY()),IF(COUNTIFS(Appointments!$D$6:$D$2005,D1654,Appointments!$F$6:$F$2005,"Booked",Appointments!$B$6:$B$2005,"&gt;="&amp;TODAY(),Appointments!$M$6:$M$2005,"&lt;"&amp;M1654)=0,1,0),0)</f>
        <v/>
      </c>
    </row>
    <row r="1655">
      <c r="A1655" s="1" t="n"/>
      <c r="B1655" s="30" t="n"/>
      <c r="C1655" s="31" t="n"/>
      <c r="D1655" s="32" t="n"/>
      <c r="E1655" s="32" t="n"/>
      <c r="F1655" s="33" t="n"/>
      <c r="G1655" s="27">
        <f>IF(E1655="","",MAX(0,IFERROR(INDEX(Services!$C$6:$C$35,MATCH(E1655,Services!$B$6:$B$35,0)),0)-N(H1655)))</f>
        <v/>
      </c>
      <c r="H1655" s="34" t="n"/>
      <c r="I1655" s="34" t="n"/>
      <c r="J1655" s="33" t="n"/>
      <c r="K1655" s="28">
        <f>IF(OR(B1655="",F1655&lt;&gt;"Done",J1655="Package"),"",IF(N(G1655)-N(I1655)&gt;0,N(G1655)-N(I1655),""))</f>
        <v/>
      </c>
      <c r="L1655" s="32" t="n"/>
      <c r="M1655" s="1">
        <f>IF(OR(B1655="",D1655="",F1655="Cancelled"),"",B1655+N(C1655)+ROW()/10000000)</f>
        <v/>
      </c>
      <c r="N1655">
        <f>IF(AND(F1655="Done",M1655&lt;&gt;""),IF(COUNTIFS(Appointments!$D$6:$D$2005,D1655,Appointments!$F$6:$F$2005,"Done",Appointments!$M$6:$M$2005,"&gt;"&amp;M1655)=0,1,0),0)</f>
        <v/>
      </c>
      <c r="O1655">
        <f>IF(AND(F1655="Booked",M1655&lt;&gt;"",N(B1655)&gt;=TODAY()),IF(COUNTIFS(Appointments!$D$6:$D$2005,D1655,Appointments!$F$6:$F$2005,"Booked",Appointments!$B$6:$B$2005,"&gt;="&amp;TODAY(),Appointments!$M$6:$M$2005,"&lt;"&amp;M1655)=0,1,0),0)</f>
        <v/>
      </c>
    </row>
    <row r="1656">
      <c r="A1656" s="1" t="n"/>
      <c r="B1656" s="30" t="n"/>
      <c r="C1656" s="31" t="n"/>
      <c r="D1656" s="32" t="n"/>
      <c r="E1656" s="32" t="n"/>
      <c r="F1656" s="33" t="n"/>
      <c r="G1656" s="27">
        <f>IF(E1656="","",MAX(0,IFERROR(INDEX(Services!$C$6:$C$35,MATCH(E1656,Services!$B$6:$B$35,0)),0)-N(H1656)))</f>
        <v/>
      </c>
      <c r="H1656" s="34" t="n"/>
      <c r="I1656" s="34" t="n"/>
      <c r="J1656" s="33" t="n"/>
      <c r="K1656" s="28">
        <f>IF(OR(B1656="",F1656&lt;&gt;"Done",J1656="Package"),"",IF(N(G1656)-N(I1656)&gt;0,N(G1656)-N(I1656),""))</f>
        <v/>
      </c>
      <c r="L1656" s="32" t="n"/>
      <c r="M1656" s="1">
        <f>IF(OR(B1656="",D1656="",F1656="Cancelled"),"",B1656+N(C1656)+ROW()/10000000)</f>
        <v/>
      </c>
      <c r="N1656">
        <f>IF(AND(F1656="Done",M1656&lt;&gt;""),IF(COUNTIFS(Appointments!$D$6:$D$2005,D1656,Appointments!$F$6:$F$2005,"Done",Appointments!$M$6:$M$2005,"&gt;"&amp;M1656)=0,1,0),0)</f>
        <v/>
      </c>
      <c r="O1656">
        <f>IF(AND(F1656="Booked",M1656&lt;&gt;"",N(B1656)&gt;=TODAY()),IF(COUNTIFS(Appointments!$D$6:$D$2005,D1656,Appointments!$F$6:$F$2005,"Booked",Appointments!$B$6:$B$2005,"&gt;="&amp;TODAY(),Appointments!$M$6:$M$2005,"&lt;"&amp;M1656)=0,1,0),0)</f>
        <v/>
      </c>
    </row>
    <row r="1657">
      <c r="A1657" s="1" t="n"/>
      <c r="B1657" s="30" t="n"/>
      <c r="C1657" s="31" t="n"/>
      <c r="D1657" s="32" t="n"/>
      <c r="E1657" s="32" t="n"/>
      <c r="F1657" s="33" t="n"/>
      <c r="G1657" s="27">
        <f>IF(E1657="","",MAX(0,IFERROR(INDEX(Services!$C$6:$C$35,MATCH(E1657,Services!$B$6:$B$35,0)),0)-N(H1657)))</f>
        <v/>
      </c>
      <c r="H1657" s="34" t="n"/>
      <c r="I1657" s="34" t="n"/>
      <c r="J1657" s="33" t="n"/>
      <c r="K1657" s="28">
        <f>IF(OR(B1657="",F1657&lt;&gt;"Done",J1657="Package"),"",IF(N(G1657)-N(I1657)&gt;0,N(G1657)-N(I1657),""))</f>
        <v/>
      </c>
      <c r="L1657" s="32" t="n"/>
      <c r="M1657" s="1">
        <f>IF(OR(B1657="",D1657="",F1657="Cancelled"),"",B1657+N(C1657)+ROW()/10000000)</f>
        <v/>
      </c>
      <c r="N1657">
        <f>IF(AND(F1657="Done",M1657&lt;&gt;""),IF(COUNTIFS(Appointments!$D$6:$D$2005,D1657,Appointments!$F$6:$F$2005,"Done",Appointments!$M$6:$M$2005,"&gt;"&amp;M1657)=0,1,0),0)</f>
        <v/>
      </c>
      <c r="O1657">
        <f>IF(AND(F1657="Booked",M1657&lt;&gt;"",N(B1657)&gt;=TODAY()),IF(COUNTIFS(Appointments!$D$6:$D$2005,D1657,Appointments!$F$6:$F$2005,"Booked",Appointments!$B$6:$B$2005,"&gt;="&amp;TODAY(),Appointments!$M$6:$M$2005,"&lt;"&amp;M1657)=0,1,0),0)</f>
        <v/>
      </c>
    </row>
    <row r="1658">
      <c r="A1658" s="1" t="n"/>
      <c r="B1658" s="30" t="n"/>
      <c r="C1658" s="31" t="n"/>
      <c r="D1658" s="32" t="n"/>
      <c r="E1658" s="32" t="n"/>
      <c r="F1658" s="33" t="n"/>
      <c r="G1658" s="27">
        <f>IF(E1658="","",MAX(0,IFERROR(INDEX(Services!$C$6:$C$35,MATCH(E1658,Services!$B$6:$B$35,0)),0)-N(H1658)))</f>
        <v/>
      </c>
      <c r="H1658" s="34" t="n"/>
      <c r="I1658" s="34" t="n"/>
      <c r="J1658" s="33" t="n"/>
      <c r="K1658" s="28">
        <f>IF(OR(B1658="",F1658&lt;&gt;"Done",J1658="Package"),"",IF(N(G1658)-N(I1658)&gt;0,N(G1658)-N(I1658),""))</f>
        <v/>
      </c>
      <c r="L1658" s="32" t="n"/>
      <c r="M1658" s="1">
        <f>IF(OR(B1658="",D1658="",F1658="Cancelled"),"",B1658+N(C1658)+ROW()/10000000)</f>
        <v/>
      </c>
      <c r="N1658">
        <f>IF(AND(F1658="Done",M1658&lt;&gt;""),IF(COUNTIFS(Appointments!$D$6:$D$2005,D1658,Appointments!$F$6:$F$2005,"Done",Appointments!$M$6:$M$2005,"&gt;"&amp;M1658)=0,1,0),0)</f>
        <v/>
      </c>
      <c r="O1658">
        <f>IF(AND(F1658="Booked",M1658&lt;&gt;"",N(B1658)&gt;=TODAY()),IF(COUNTIFS(Appointments!$D$6:$D$2005,D1658,Appointments!$F$6:$F$2005,"Booked",Appointments!$B$6:$B$2005,"&gt;="&amp;TODAY(),Appointments!$M$6:$M$2005,"&lt;"&amp;M1658)=0,1,0),0)</f>
        <v/>
      </c>
    </row>
    <row r="1659">
      <c r="A1659" s="1" t="n"/>
      <c r="B1659" s="30" t="n"/>
      <c r="C1659" s="31" t="n"/>
      <c r="D1659" s="32" t="n"/>
      <c r="E1659" s="32" t="n"/>
      <c r="F1659" s="33" t="n"/>
      <c r="G1659" s="27">
        <f>IF(E1659="","",MAX(0,IFERROR(INDEX(Services!$C$6:$C$35,MATCH(E1659,Services!$B$6:$B$35,0)),0)-N(H1659)))</f>
        <v/>
      </c>
      <c r="H1659" s="34" t="n"/>
      <c r="I1659" s="34" t="n"/>
      <c r="J1659" s="33" t="n"/>
      <c r="K1659" s="28">
        <f>IF(OR(B1659="",F1659&lt;&gt;"Done",J1659="Package"),"",IF(N(G1659)-N(I1659)&gt;0,N(G1659)-N(I1659),""))</f>
        <v/>
      </c>
      <c r="L1659" s="32" t="n"/>
      <c r="M1659" s="1">
        <f>IF(OR(B1659="",D1659="",F1659="Cancelled"),"",B1659+N(C1659)+ROW()/10000000)</f>
        <v/>
      </c>
      <c r="N1659">
        <f>IF(AND(F1659="Done",M1659&lt;&gt;""),IF(COUNTIFS(Appointments!$D$6:$D$2005,D1659,Appointments!$F$6:$F$2005,"Done",Appointments!$M$6:$M$2005,"&gt;"&amp;M1659)=0,1,0),0)</f>
        <v/>
      </c>
      <c r="O1659">
        <f>IF(AND(F1659="Booked",M1659&lt;&gt;"",N(B1659)&gt;=TODAY()),IF(COUNTIFS(Appointments!$D$6:$D$2005,D1659,Appointments!$F$6:$F$2005,"Booked",Appointments!$B$6:$B$2005,"&gt;="&amp;TODAY(),Appointments!$M$6:$M$2005,"&lt;"&amp;M1659)=0,1,0),0)</f>
        <v/>
      </c>
    </row>
    <row r="1660">
      <c r="A1660" s="1" t="n"/>
      <c r="B1660" s="30" t="n"/>
      <c r="C1660" s="31" t="n"/>
      <c r="D1660" s="32" t="n"/>
      <c r="E1660" s="32" t="n"/>
      <c r="F1660" s="33" t="n"/>
      <c r="G1660" s="27">
        <f>IF(E1660="","",MAX(0,IFERROR(INDEX(Services!$C$6:$C$35,MATCH(E1660,Services!$B$6:$B$35,0)),0)-N(H1660)))</f>
        <v/>
      </c>
      <c r="H1660" s="34" t="n"/>
      <c r="I1660" s="34" t="n"/>
      <c r="J1660" s="33" t="n"/>
      <c r="K1660" s="28">
        <f>IF(OR(B1660="",F1660&lt;&gt;"Done",J1660="Package"),"",IF(N(G1660)-N(I1660)&gt;0,N(G1660)-N(I1660),""))</f>
        <v/>
      </c>
      <c r="L1660" s="32" t="n"/>
      <c r="M1660" s="1">
        <f>IF(OR(B1660="",D1660="",F1660="Cancelled"),"",B1660+N(C1660)+ROW()/10000000)</f>
        <v/>
      </c>
      <c r="N1660">
        <f>IF(AND(F1660="Done",M1660&lt;&gt;""),IF(COUNTIFS(Appointments!$D$6:$D$2005,D1660,Appointments!$F$6:$F$2005,"Done",Appointments!$M$6:$M$2005,"&gt;"&amp;M1660)=0,1,0),0)</f>
        <v/>
      </c>
      <c r="O1660">
        <f>IF(AND(F1660="Booked",M1660&lt;&gt;"",N(B1660)&gt;=TODAY()),IF(COUNTIFS(Appointments!$D$6:$D$2005,D1660,Appointments!$F$6:$F$2005,"Booked",Appointments!$B$6:$B$2005,"&gt;="&amp;TODAY(),Appointments!$M$6:$M$2005,"&lt;"&amp;M1660)=0,1,0),0)</f>
        <v/>
      </c>
    </row>
    <row r="1661">
      <c r="A1661" s="1" t="n"/>
      <c r="B1661" s="30" t="n"/>
      <c r="C1661" s="31" t="n"/>
      <c r="D1661" s="32" t="n"/>
      <c r="E1661" s="32" t="n"/>
      <c r="F1661" s="33" t="n"/>
      <c r="G1661" s="27">
        <f>IF(E1661="","",MAX(0,IFERROR(INDEX(Services!$C$6:$C$35,MATCH(E1661,Services!$B$6:$B$35,0)),0)-N(H1661)))</f>
        <v/>
      </c>
      <c r="H1661" s="34" t="n"/>
      <c r="I1661" s="34" t="n"/>
      <c r="J1661" s="33" t="n"/>
      <c r="K1661" s="28">
        <f>IF(OR(B1661="",F1661&lt;&gt;"Done",J1661="Package"),"",IF(N(G1661)-N(I1661)&gt;0,N(G1661)-N(I1661),""))</f>
        <v/>
      </c>
      <c r="L1661" s="32" t="n"/>
      <c r="M1661" s="1">
        <f>IF(OR(B1661="",D1661="",F1661="Cancelled"),"",B1661+N(C1661)+ROW()/10000000)</f>
        <v/>
      </c>
      <c r="N1661">
        <f>IF(AND(F1661="Done",M1661&lt;&gt;""),IF(COUNTIFS(Appointments!$D$6:$D$2005,D1661,Appointments!$F$6:$F$2005,"Done",Appointments!$M$6:$M$2005,"&gt;"&amp;M1661)=0,1,0),0)</f>
        <v/>
      </c>
      <c r="O1661">
        <f>IF(AND(F1661="Booked",M1661&lt;&gt;"",N(B1661)&gt;=TODAY()),IF(COUNTIFS(Appointments!$D$6:$D$2005,D1661,Appointments!$F$6:$F$2005,"Booked",Appointments!$B$6:$B$2005,"&gt;="&amp;TODAY(),Appointments!$M$6:$M$2005,"&lt;"&amp;M1661)=0,1,0),0)</f>
        <v/>
      </c>
    </row>
    <row r="1662">
      <c r="A1662" s="1" t="n"/>
      <c r="B1662" s="30" t="n"/>
      <c r="C1662" s="31" t="n"/>
      <c r="D1662" s="32" t="n"/>
      <c r="E1662" s="32" t="n"/>
      <c r="F1662" s="33" t="n"/>
      <c r="G1662" s="27">
        <f>IF(E1662="","",MAX(0,IFERROR(INDEX(Services!$C$6:$C$35,MATCH(E1662,Services!$B$6:$B$35,0)),0)-N(H1662)))</f>
        <v/>
      </c>
      <c r="H1662" s="34" t="n"/>
      <c r="I1662" s="34" t="n"/>
      <c r="J1662" s="33" t="n"/>
      <c r="K1662" s="28">
        <f>IF(OR(B1662="",F1662&lt;&gt;"Done",J1662="Package"),"",IF(N(G1662)-N(I1662)&gt;0,N(G1662)-N(I1662),""))</f>
        <v/>
      </c>
      <c r="L1662" s="32" t="n"/>
      <c r="M1662" s="1">
        <f>IF(OR(B1662="",D1662="",F1662="Cancelled"),"",B1662+N(C1662)+ROW()/10000000)</f>
        <v/>
      </c>
      <c r="N1662">
        <f>IF(AND(F1662="Done",M1662&lt;&gt;""),IF(COUNTIFS(Appointments!$D$6:$D$2005,D1662,Appointments!$F$6:$F$2005,"Done",Appointments!$M$6:$M$2005,"&gt;"&amp;M1662)=0,1,0),0)</f>
        <v/>
      </c>
      <c r="O1662">
        <f>IF(AND(F1662="Booked",M1662&lt;&gt;"",N(B1662)&gt;=TODAY()),IF(COUNTIFS(Appointments!$D$6:$D$2005,D1662,Appointments!$F$6:$F$2005,"Booked",Appointments!$B$6:$B$2005,"&gt;="&amp;TODAY(),Appointments!$M$6:$M$2005,"&lt;"&amp;M1662)=0,1,0),0)</f>
        <v/>
      </c>
    </row>
    <row r="1663">
      <c r="A1663" s="1" t="n"/>
      <c r="B1663" s="30" t="n"/>
      <c r="C1663" s="31" t="n"/>
      <c r="D1663" s="32" t="n"/>
      <c r="E1663" s="32" t="n"/>
      <c r="F1663" s="33" t="n"/>
      <c r="G1663" s="27">
        <f>IF(E1663="","",MAX(0,IFERROR(INDEX(Services!$C$6:$C$35,MATCH(E1663,Services!$B$6:$B$35,0)),0)-N(H1663)))</f>
        <v/>
      </c>
      <c r="H1663" s="34" t="n"/>
      <c r="I1663" s="34" t="n"/>
      <c r="J1663" s="33" t="n"/>
      <c r="K1663" s="28">
        <f>IF(OR(B1663="",F1663&lt;&gt;"Done",J1663="Package"),"",IF(N(G1663)-N(I1663)&gt;0,N(G1663)-N(I1663),""))</f>
        <v/>
      </c>
      <c r="L1663" s="32" t="n"/>
      <c r="M1663" s="1">
        <f>IF(OR(B1663="",D1663="",F1663="Cancelled"),"",B1663+N(C1663)+ROW()/10000000)</f>
        <v/>
      </c>
      <c r="N1663">
        <f>IF(AND(F1663="Done",M1663&lt;&gt;""),IF(COUNTIFS(Appointments!$D$6:$D$2005,D1663,Appointments!$F$6:$F$2005,"Done",Appointments!$M$6:$M$2005,"&gt;"&amp;M1663)=0,1,0),0)</f>
        <v/>
      </c>
      <c r="O1663">
        <f>IF(AND(F1663="Booked",M1663&lt;&gt;"",N(B1663)&gt;=TODAY()),IF(COUNTIFS(Appointments!$D$6:$D$2005,D1663,Appointments!$F$6:$F$2005,"Booked",Appointments!$B$6:$B$2005,"&gt;="&amp;TODAY(),Appointments!$M$6:$M$2005,"&lt;"&amp;M1663)=0,1,0),0)</f>
        <v/>
      </c>
    </row>
    <row r="1664">
      <c r="A1664" s="1" t="n"/>
      <c r="B1664" s="30" t="n"/>
      <c r="C1664" s="31" t="n"/>
      <c r="D1664" s="32" t="n"/>
      <c r="E1664" s="32" t="n"/>
      <c r="F1664" s="33" t="n"/>
      <c r="G1664" s="27">
        <f>IF(E1664="","",MAX(0,IFERROR(INDEX(Services!$C$6:$C$35,MATCH(E1664,Services!$B$6:$B$35,0)),0)-N(H1664)))</f>
        <v/>
      </c>
      <c r="H1664" s="34" t="n"/>
      <c r="I1664" s="34" t="n"/>
      <c r="J1664" s="33" t="n"/>
      <c r="K1664" s="28">
        <f>IF(OR(B1664="",F1664&lt;&gt;"Done",J1664="Package"),"",IF(N(G1664)-N(I1664)&gt;0,N(G1664)-N(I1664),""))</f>
        <v/>
      </c>
      <c r="L1664" s="32" t="n"/>
      <c r="M1664" s="1">
        <f>IF(OR(B1664="",D1664="",F1664="Cancelled"),"",B1664+N(C1664)+ROW()/10000000)</f>
        <v/>
      </c>
      <c r="N1664">
        <f>IF(AND(F1664="Done",M1664&lt;&gt;""),IF(COUNTIFS(Appointments!$D$6:$D$2005,D1664,Appointments!$F$6:$F$2005,"Done",Appointments!$M$6:$M$2005,"&gt;"&amp;M1664)=0,1,0),0)</f>
        <v/>
      </c>
      <c r="O1664">
        <f>IF(AND(F1664="Booked",M1664&lt;&gt;"",N(B1664)&gt;=TODAY()),IF(COUNTIFS(Appointments!$D$6:$D$2005,D1664,Appointments!$F$6:$F$2005,"Booked",Appointments!$B$6:$B$2005,"&gt;="&amp;TODAY(),Appointments!$M$6:$M$2005,"&lt;"&amp;M1664)=0,1,0),0)</f>
        <v/>
      </c>
    </row>
    <row r="1665">
      <c r="A1665" s="1" t="n"/>
      <c r="B1665" s="30" t="n"/>
      <c r="C1665" s="31" t="n"/>
      <c r="D1665" s="32" t="n"/>
      <c r="E1665" s="32" t="n"/>
      <c r="F1665" s="33" t="n"/>
      <c r="G1665" s="27">
        <f>IF(E1665="","",MAX(0,IFERROR(INDEX(Services!$C$6:$C$35,MATCH(E1665,Services!$B$6:$B$35,0)),0)-N(H1665)))</f>
        <v/>
      </c>
      <c r="H1665" s="34" t="n"/>
      <c r="I1665" s="34" t="n"/>
      <c r="J1665" s="33" t="n"/>
      <c r="K1665" s="28">
        <f>IF(OR(B1665="",F1665&lt;&gt;"Done",J1665="Package"),"",IF(N(G1665)-N(I1665)&gt;0,N(G1665)-N(I1665),""))</f>
        <v/>
      </c>
      <c r="L1665" s="32" t="n"/>
      <c r="M1665" s="1">
        <f>IF(OR(B1665="",D1665="",F1665="Cancelled"),"",B1665+N(C1665)+ROW()/10000000)</f>
        <v/>
      </c>
      <c r="N1665">
        <f>IF(AND(F1665="Done",M1665&lt;&gt;""),IF(COUNTIFS(Appointments!$D$6:$D$2005,D1665,Appointments!$F$6:$F$2005,"Done",Appointments!$M$6:$M$2005,"&gt;"&amp;M1665)=0,1,0),0)</f>
        <v/>
      </c>
      <c r="O1665">
        <f>IF(AND(F1665="Booked",M1665&lt;&gt;"",N(B1665)&gt;=TODAY()),IF(COUNTIFS(Appointments!$D$6:$D$2005,D1665,Appointments!$F$6:$F$2005,"Booked",Appointments!$B$6:$B$2005,"&gt;="&amp;TODAY(),Appointments!$M$6:$M$2005,"&lt;"&amp;M1665)=0,1,0),0)</f>
        <v/>
      </c>
    </row>
    <row r="1666">
      <c r="A1666" s="1" t="n"/>
      <c r="B1666" s="30" t="n"/>
      <c r="C1666" s="31" t="n"/>
      <c r="D1666" s="32" t="n"/>
      <c r="E1666" s="32" t="n"/>
      <c r="F1666" s="33" t="n"/>
      <c r="G1666" s="27">
        <f>IF(E1666="","",MAX(0,IFERROR(INDEX(Services!$C$6:$C$35,MATCH(E1666,Services!$B$6:$B$35,0)),0)-N(H1666)))</f>
        <v/>
      </c>
      <c r="H1666" s="34" t="n"/>
      <c r="I1666" s="34" t="n"/>
      <c r="J1666" s="33" t="n"/>
      <c r="K1666" s="28">
        <f>IF(OR(B1666="",F1666&lt;&gt;"Done",J1666="Package"),"",IF(N(G1666)-N(I1666)&gt;0,N(G1666)-N(I1666),""))</f>
        <v/>
      </c>
      <c r="L1666" s="32" t="n"/>
      <c r="M1666" s="1">
        <f>IF(OR(B1666="",D1666="",F1666="Cancelled"),"",B1666+N(C1666)+ROW()/10000000)</f>
        <v/>
      </c>
      <c r="N1666">
        <f>IF(AND(F1666="Done",M1666&lt;&gt;""),IF(COUNTIFS(Appointments!$D$6:$D$2005,D1666,Appointments!$F$6:$F$2005,"Done",Appointments!$M$6:$M$2005,"&gt;"&amp;M1666)=0,1,0),0)</f>
        <v/>
      </c>
      <c r="O1666">
        <f>IF(AND(F1666="Booked",M1666&lt;&gt;"",N(B1666)&gt;=TODAY()),IF(COUNTIFS(Appointments!$D$6:$D$2005,D1666,Appointments!$F$6:$F$2005,"Booked",Appointments!$B$6:$B$2005,"&gt;="&amp;TODAY(),Appointments!$M$6:$M$2005,"&lt;"&amp;M1666)=0,1,0),0)</f>
        <v/>
      </c>
    </row>
    <row r="1667">
      <c r="A1667" s="1" t="n"/>
      <c r="B1667" s="30" t="n"/>
      <c r="C1667" s="31" t="n"/>
      <c r="D1667" s="32" t="n"/>
      <c r="E1667" s="32" t="n"/>
      <c r="F1667" s="33" t="n"/>
      <c r="G1667" s="27">
        <f>IF(E1667="","",MAX(0,IFERROR(INDEX(Services!$C$6:$C$35,MATCH(E1667,Services!$B$6:$B$35,0)),0)-N(H1667)))</f>
        <v/>
      </c>
      <c r="H1667" s="34" t="n"/>
      <c r="I1667" s="34" t="n"/>
      <c r="J1667" s="33" t="n"/>
      <c r="K1667" s="28">
        <f>IF(OR(B1667="",F1667&lt;&gt;"Done",J1667="Package"),"",IF(N(G1667)-N(I1667)&gt;0,N(G1667)-N(I1667),""))</f>
        <v/>
      </c>
      <c r="L1667" s="32" t="n"/>
      <c r="M1667" s="1">
        <f>IF(OR(B1667="",D1667="",F1667="Cancelled"),"",B1667+N(C1667)+ROW()/10000000)</f>
        <v/>
      </c>
      <c r="N1667">
        <f>IF(AND(F1667="Done",M1667&lt;&gt;""),IF(COUNTIFS(Appointments!$D$6:$D$2005,D1667,Appointments!$F$6:$F$2005,"Done",Appointments!$M$6:$M$2005,"&gt;"&amp;M1667)=0,1,0),0)</f>
        <v/>
      </c>
      <c r="O1667">
        <f>IF(AND(F1667="Booked",M1667&lt;&gt;"",N(B1667)&gt;=TODAY()),IF(COUNTIFS(Appointments!$D$6:$D$2005,D1667,Appointments!$F$6:$F$2005,"Booked",Appointments!$B$6:$B$2005,"&gt;="&amp;TODAY(),Appointments!$M$6:$M$2005,"&lt;"&amp;M1667)=0,1,0),0)</f>
        <v/>
      </c>
    </row>
    <row r="1668">
      <c r="A1668" s="1" t="n"/>
      <c r="B1668" s="30" t="n"/>
      <c r="C1668" s="31" t="n"/>
      <c r="D1668" s="32" t="n"/>
      <c r="E1668" s="32" t="n"/>
      <c r="F1668" s="33" t="n"/>
      <c r="G1668" s="27">
        <f>IF(E1668="","",MAX(0,IFERROR(INDEX(Services!$C$6:$C$35,MATCH(E1668,Services!$B$6:$B$35,0)),0)-N(H1668)))</f>
        <v/>
      </c>
      <c r="H1668" s="34" t="n"/>
      <c r="I1668" s="34" t="n"/>
      <c r="J1668" s="33" t="n"/>
      <c r="K1668" s="28">
        <f>IF(OR(B1668="",F1668&lt;&gt;"Done",J1668="Package"),"",IF(N(G1668)-N(I1668)&gt;0,N(G1668)-N(I1668),""))</f>
        <v/>
      </c>
      <c r="L1668" s="32" t="n"/>
      <c r="M1668" s="1">
        <f>IF(OR(B1668="",D1668="",F1668="Cancelled"),"",B1668+N(C1668)+ROW()/10000000)</f>
        <v/>
      </c>
      <c r="N1668">
        <f>IF(AND(F1668="Done",M1668&lt;&gt;""),IF(COUNTIFS(Appointments!$D$6:$D$2005,D1668,Appointments!$F$6:$F$2005,"Done",Appointments!$M$6:$M$2005,"&gt;"&amp;M1668)=0,1,0),0)</f>
        <v/>
      </c>
      <c r="O1668">
        <f>IF(AND(F1668="Booked",M1668&lt;&gt;"",N(B1668)&gt;=TODAY()),IF(COUNTIFS(Appointments!$D$6:$D$2005,D1668,Appointments!$F$6:$F$2005,"Booked",Appointments!$B$6:$B$2005,"&gt;="&amp;TODAY(),Appointments!$M$6:$M$2005,"&lt;"&amp;M1668)=0,1,0),0)</f>
        <v/>
      </c>
    </row>
    <row r="1669">
      <c r="A1669" s="1" t="n"/>
      <c r="B1669" s="30" t="n"/>
      <c r="C1669" s="31" t="n"/>
      <c r="D1669" s="32" t="n"/>
      <c r="E1669" s="32" t="n"/>
      <c r="F1669" s="33" t="n"/>
      <c r="G1669" s="27">
        <f>IF(E1669="","",MAX(0,IFERROR(INDEX(Services!$C$6:$C$35,MATCH(E1669,Services!$B$6:$B$35,0)),0)-N(H1669)))</f>
        <v/>
      </c>
      <c r="H1669" s="34" t="n"/>
      <c r="I1669" s="34" t="n"/>
      <c r="J1669" s="33" t="n"/>
      <c r="K1669" s="28">
        <f>IF(OR(B1669="",F1669&lt;&gt;"Done",J1669="Package"),"",IF(N(G1669)-N(I1669)&gt;0,N(G1669)-N(I1669),""))</f>
        <v/>
      </c>
      <c r="L1669" s="32" t="n"/>
      <c r="M1669" s="1">
        <f>IF(OR(B1669="",D1669="",F1669="Cancelled"),"",B1669+N(C1669)+ROW()/10000000)</f>
        <v/>
      </c>
      <c r="N1669">
        <f>IF(AND(F1669="Done",M1669&lt;&gt;""),IF(COUNTIFS(Appointments!$D$6:$D$2005,D1669,Appointments!$F$6:$F$2005,"Done",Appointments!$M$6:$M$2005,"&gt;"&amp;M1669)=0,1,0),0)</f>
        <v/>
      </c>
      <c r="O1669">
        <f>IF(AND(F1669="Booked",M1669&lt;&gt;"",N(B1669)&gt;=TODAY()),IF(COUNTIFS(Appointments!$D$6:$D$2005,D1669,Appointments!$F$6:$F$2005,"Booked",Appointments!$B$6:$B$2005,"&gt;="&amp;TODAY(),Appointments!$M$6:$M$2005,"&lt;"&amp;M1669)=0,1,0),0)</f>
        <v/>
      </c>
    </row>
    <row r="1670">
      <c r="A1670" s="1" t="n"/>
      <c r="B1670" s="30" t="n"/>
      <c r="C1670" s="31" t="n"/>
      <c r="D1670" s="32" t="n"/>
      <c r="E1670" s="32" t="n"/>
      <c r="F1670" s="33" t="n"/>
      <c r="G1670" s="27">
        <f>IF(E1670="","",MAX(0,IFERROR(INDEX(Services!$C$6:$C$35,MATCH(E1670,Services!$B$6:$B$35,0)),0)-N(H1670)))</f>
        <v/>
      </c>
      <c r="H1670" s="34" t="n"/>
      <c r="I1670" s="34" t="n"/>
      <c r="J1670" s="33" t="n"/>
      <c r="K1670" s="28">
        <f>IF(OR(B1670="",F1670&lt;&gt;"Done",J1670="Package"),"",IF(N(G1670)-N(I1670)&gt;0,N(G1670)-N(I1670),""))</f>
        <v/>
      </c>
      <c r="L1670" s="32" t="n"/>
      <c r="M1670" s="1">
        <f>IF(OR(B1670="",D1670="",F1670="Cancelled"),"",B1670+N(C1670)+ROW()/10000000)</f>
        <v/>
      </c>
      <c r="N1670">
        <f>IF(AND(F1670="Done",M1670&lt;&gt;""),IF(COUNTIFS(Appointments!$D$6:$D$2005,D1670,Appointments!$F$6:$F$2005,"Done",Appointments!$M$6:$M$2005,"&gt;"&amp;M1670)=0,1,0),0)</f>
        <v/>
      </c>
      <c r="O1670">
        <f>IF(AND(F1670="Booked",M1670&lt;&gt;"",N(B1670)&gt;=TODAY()),IF(COUNTIFS(Appointments!$D$6:$D$2005,D1670,Appointments!$F$6:$F$2005,"Booked",Appointments!$B$6:$B$2005,"&gt;="&amp;TODAY(),Appointments!$M$6:$M$2005,"&lt;"&amp;M1670)=0,1,0),0)</f>
        <v/>
      </c>
    </row>
    <row r="1671">
      <c r="A1671" s="1" t="n"/>
      <c r="B1671" s="30" t="n"/>
      <c r="C1671" s="31" t="n"/>
      <c r="D1671" s="32" t="n"/>
      <c r="E1671" s="32" t="n"/>
      <c r="F1671" s="33" t="n"/>
      <c r="G1671" s="27">
        <f>IF(E1671="","",MAX(0,IFERROR(INDEX(Services!$C$6:$C$35,MATCH(E1671,Services!$B$6:$B$35,0)),0)-N(H1671)))</f>
        <v/>
      </c>
      <c r="H1671" s="34" t="n"/>
      <c r="I1671" s="34" t="n"/>
      <c r="J1671" s="33" t="n"/>
      <c r="K1671" s="28">
        <f>IF(OR(B1671="",F1671&lt;&gt;"Done",J1671="Package"),"",IF(N(G1671)-N(I1671)&gt;0,N(G1671)-N(I1671),""))</f>
        <v/>
      </c>
      <c r="L1671" s="32" t="n"/>
      <c r="M1671" s="1">
        <f>IF(OR(B1671="",D1671="",F1671="Cancelled"),"",B1671+N(C1671)+ROW()/10000000)</f>
        <v/>
      </c>
      <c r="N1671">
        <f>IF(AND(F1671="Done",M1671&lt;&gt;""),IF(COUNTIFS(Appointments!$D$6:$D$2005,D1671,Appointments!$F$6:$F$2005,"Done",Appointments!$M$6:$M$2005,"&gt;"&amp;M1671)=0,1,0),0)</f>
        <v/>
      </c>
      <c r="O1671">
        <f>IF(AND(F1671="Booked",M1671&lt;&gt;"",N(B1671)&gt;=TODAY()),IF(COUNTIFS(Appointments!$D$6:$D$2005,D1671,Appointments!$F$6:$F$2005,"Booked",Appointments!$B$6:$B$2005,"&gt;="&amp;TODAY(),Appointments!$M$6:$M$2005,"&lt;"&amp;M1671)=0,1,0),0)</f>
        <v/>
      </c>
    </row>
    <row r="1672">
      <c r="A1672" s="1" t="n"/>
      <c r="B1672" s="30" t="n"/>
      <c r="C1672" s="31" t="n"/>
      <c r="D1672" s="32" t="n"/>
      <c r="E1672" s="32" t="n"/>
      <c r="F1672" s="33" t="n"/>
      <c r="G1672" s="27">
        <f>IF(E1672="","",MAX(0,IFERROR(INDEX(Services!$C$6:$C$35,MATCH(E1672,Services!$B$6:$B$35,0)),0)-N(H1672)))</f>
        <v/>
      </c>
      <c r="H1672" s="34" t="n"/>
      <c r="I1672" s="34" t="n"/>
      <c r="J1672" s="33" t="n"/>
      <c r="K1672" s="28">
        <f>IF(OR(B1672="",F1672&lt;&gt;"Done",J1672="Package"),"",IF(N(G1672)-N(I1672)&gt;0,N(G1672)-N(I1672),""))</f>
        <v/>
      </c>
      <c r="L1672" s="32" t="n"/>
      <c r="M1672" s="1">
        <f>IF(OR(B1672="",D1672="",F1672="Cancelled"),"",B1672+N(C1672)+ROW()/10000000)</f>
        <v/>
      </c>
      <c r="N1672">
        <f>IF(AND(F1672="Done",M1672&lt;&gt;""),IF(COUNTIFS(Appointments!$D$6:$D$2005,D1672,Appointments!$F$6:$F$2005,"Done",Appointments!$M$6:$M$2005,"&gt;"&amp;M1672)=0,1,0),0)</f>
        <v/>
      </c>
      <c r="O1672">
        <f>IF(AND(F1672="Booked",M1672&lt;&gt;"",N(B1672)&gt;=TODAY()),IF(COUNTIFS(Appointments!$D$6:$D$2005,D1672,Appointments!$F$6:$F$2005,"Booked",Appointments!$B$6:$B$2005,"&gt;="&amp;TODAY(),Appointments!$M$6:$M$2005,"&lt;"&amp;M1672)=0,1,0),0)</f>
        <v/>
      </c>
    </row>
    <row r="1673">
      <c r="A1673" s="1" t="n"/>
      <c r="B1673" s="30" t="n"/>
      <c r="C1673" s="31" t="n"/>
      <c r="D1673" s="32" t="n"/>
      <c r="E1673" s="32" t="n"/>
      <c r="F1673" s="33" t="n"/>
      <c r="G1673" s="27">
        <f>IF(E1673="","",MAX(0,IFERROR(INDEX(Services!$C$6:$C$35,MATCH(E1673,Services!$B$6:$B$35,0)),0)-N(H1673)))</f>
        <v/>
      </c>
      <c r="H1673" s="34" t="n"/>
      <c r="I1673" s="34" t="n"/>
      <c r="J1673" s="33" t="n"/>
      <c r="K1673" s="28">
        <f>IF(OR(B1673="",F1673&lt;&gt;"Done",J1673="Package"),"",IF(N(G1673)-N(I1673)&gt;0,N(G1673)-N(I1673),""))</f>
        <v/>
      </c>
      <c r="L1673" s="32" t="n"/>
      <c r="M1673" s="1">
        <f>IF(OR(B1673="",D1673="",F1673="Cancelled"),"",B1673+N(C1673)+ROW()/10000000)</f>
        <v/>
      </c>
      <c r="N1673">
        <f>IF(AND(F1673="Done",M1673&lt;&gt;""),IF(COUNTIFS(Appointments!$D$6:$D$2005,D1673,Appointments!$F$6:$F$2005,"Done",Appointments!$M$6:$M$2005,"&gt;"&amp;M1673)=0,1,0),0)</f>
        <v/>
      </c>
      <c r="O1673">
        <f>IF(AND(F1673="Booked",M1673&lt;&gt;"",N(B1673)&gt;=TODAY()),IF(COUNTIFS(Appointments!$D$6:$D$2005,D1673,Appointments!$F$6:$F$2005,"Booked",Appointments!$B$6:$B$2005,"&gt;="&amp;TODAY(),Appointments!$M$6:$M$2005,"&lt;"&amp;M1673)=0,1,0),0)</f>
        <v/>
      </c>
    </row>
    <row r="1674">
      <c r="A1674" s="1" t="n"/>
      <c r="B1674" s="30" t="n"/>
      <c r="C1674" s="31" t="n"/>
      <c r="D1674" s="32" t="n"/>
      <c r="E1674" s="32" t="n"/>
      <c r="F1674" s="33" t="n"/>
      <c r="G1674" s="27">
        <f>IF(E1674="","",MAX(0,IFERROR(INDEX(Services!$C$6:$C$35,MATCH(E1674,Services!$B$6:$B$35,0)),0)-N(H1674)))</f>
        <v/>
      </c>
      <c r="H1674" s="34" t="n"/>
      <c r="I1674" s="34" t="n"/>
      <c r="J1674" s="33" t="n"/>
      <c r="K1674" s="28">
        <f>IF(OR(B1674="",F1674&lt;&gt;"Done",J1674="Package"),"",IF(N(G1674)-N(I1674)&gt;0,N(G1674)-N(I1674),""))</f>
        <v/>
      </c>
      <c r="L1674" s="32" t="n"/>
      <c r="M1674" s="1">
        <f>IF(OR(B1674="",D1674="",F1674="Cancelled"),"",B1674+N(C1674)+ROW()/10000000)</f>
        <v/>
      </c>
      <c r="N1674">
        <f>IF(AND(F1674="Done",M1674&lt;&gt;""),IF(COUNTIFS(Appointments!$D$6:$D$2005,D1674,Appointments!$F$6:$F$2005,"Done",Appointments!$M$6:$M$2005,"&gt;"&amp;M1674)=0,1,0),0)</f>
        <v/>
      </c>
      <c r="O1674">
        <f>IF(AND(F1674="Booked",M1674&lt;&gt;"",N(B1674)&gt;=TODAY()),IF(COUNTIFS(Appointments!$D$6:$D$2005,D1674,Appointments!$F$6:$F$2005,"Booked",Appointments!$B$6:$B$2005,"&gt;="&amp;TODAY(),Appointments!$M$6:$M$2005,"&lt;"&amp;M1674)=0,1,0),0)</f>
        <v/>
      </c>
    </row>
    <row r="1675">
      <c r="A1675" s="1" t="n"/>
      <c r="B1675" s="30" t="n"/>
      <c r="C1675" s="31" t="n"/>
      <c r="D1675" s="32" t="n"/>
      <c r="E1675" s="32" t="n"/>
      <c r="F1675" s="33" t="n"/>
      <c r="G1675" s="27">
        <f>IF(E1675="","",MAX(0,IFERROR(INDEX(Services!$C$6:$C$35,MATCH(E1675,Services!$B$6:$B$35,0)),0)-N(H1675)))</f>
        <v/>
      </c>
      <c r="H1675" s="34" t="n"/>
      <c r="I1675" s="34" t="n"/>
      <c r="J1675" s="33" t="n"/>
      <c r="K1675" s="28">
        <f>IF(OR(B1675="",F1675&lt;&gt;"Done",J1675="Package"),"",IF(N(G1675)-N(I1675)&gt;0,N(G1675)-N(I1675),""))</f>
        <v/>
      </c>
      <c r="L1675" s="32" t="n"/>
      <c r="M1675" s="1">
        <f>IF(OR(B1675="",D1675="",F1675="Cancelled"),"",B1675+N(C1675)+ROW()/10000000)</f>
        <v/>
      </c>
      <c r="N1675">
        <f>IF(AND(F1675="Done",M1675&lt;&gt;""),IF(COUNTIFS(Appointments!$D$6:$D$2005,D1675,Appointments!$F$6:$F$2005,"Done",Appointments!$M$6:$M$2005,"&gt;"&amp;M1675)=0,1,0),0)</f>
        <v/>
      </c>
      <c r="O1675">
        <f>IF(AND(F1675="Booked",M1675&lt;&gt;"",N(B1675)&gt;=TODAY()),IF(COUNTIFS(Appointments!$D$6:$D$2005,D1675,Appointments!$F$6:$F$2005,"Booked",Appointments!$B$6:$B$2005,"&gt;="&amp;TODAY(),Appointments!$M$6:$M$2005,"&lt;"&amp;M1675)=0,1,0),0)</f>
        <v/>
      </c>
    </row>
    <row r="1676">
      <c r="A1676" s="1" t="n"/>
      <c r="B1676" s="30" t="n"/>
      <c r="C1676" s="31" t="n"/>
      <c r="D1676" s="32" t="n"/>
      <c r="E1676" s="32" t="n"/>
      <c r="F1676" s="33" t="n"/>
      <c r="G1676" s="27">
        <f>IF(E1676="","",MAX(0,IFERROR(INDEX(Services!$C$6:$C$35,MATCH(E1676,Services!$B$6:$B$35,0)),0)-N(H1676)))</f>
        <v/>
      </c>
      <c r="H1676" s="34" t="n"/>
      <c r="I1676" s="34" t="n"/>
      <c r="J1676" s="33" t="n"/>
      <c r="K1676" s="28">
        <f>IF(OR(B1676="",F1676&lt;&gt;"Done",J1676="Package"),"",IF(N(G1676)-N(I1676)&gt;0,N(G1676)-N(I1676),""))</f>
        <v/>
      </c>
      <c r="L1676" s="32" t="n"/>
      <c r="M1676" s="1">
        <f>IF(OR(B1676="",D1676="",F1676="Cancelled"),"",B1676+N(C1676)+ROW()/10000000)</f>
        <v/>
      </c>
      <c r="N1676">
        <f>IF(AND(F1676="Done",M1676&lt;&gt;""),IF(COUNTIFS(Appointments!$D$6:$D$2005,D1676,Appointments!$F$6:$F$2005,"Done",Appointments!$M$6:$M$2005,"&gt;"&amp;M1676)=0,1,0),0)</f>
        <v/>
      </c>
      <c r="O1676">
        <f>IF(AND(F1676="Booked",M1676&lt;&gt;"",N(B1676)&gt;=TODAY()),IF(COUNTIFS(Appointments!$D$6:$D$2005,D1676,Appointments!$F$6:$F$2005,"Booked",Appointments!$B$6:$B$2005,"&gt;="&amp;TODAY(),Appointments!$M$6:$M$2005,"&lt;"&amp;M1676)=0,1,0),0)</f>
        <v/>
      </c>
    </row>
    <row r="1677">
      <c r="A1677" s="1" t="n"/>
      <c r="B1677" s="30" t="n"/>
      <c r="C1677" s="31" t="n"/>
      <c r="D1677" s="32" t="n"/>
      <c r="E1677" s="32" t="n"/>
      <c r="F1677" s="33" t="n"/>
      <c r="G1677" s="27">
        <f>IF(E1677="","",MAX(0,IFERROR(INDEX(Services!$C$6:$C$35,MATCH(E1677,Services!$B$6:$B$35,0)),0)-N(H1677)))</f>
        <v/>
      </c>
      <c r="H1677" s="34" t="n"/>
      <c r="I1677" s="34" t="n"/>
      <c r="J1677" s="33" t="n"/>
      <c r="K1677" s="28">
        <f>IF(OR(B1677="",F1677&lt;&gt;"Done",J1677="Package"),"",IF(N(G1677)-N(I1677)&gt;0,N(G1677)-N(I1677),""))</f>
        <v/>
      </c>
      <c r="L1677" s="32" t="n"/>
      <c r="M1677" s="1">
        <f>IF(OR(B1677="",D1677="",F1677="Cancelled"),"",B1677+N(C1677)+ROW()/10000000)</f>
        <v/>
      </c>
      <c r="N1677">
        <f>IF(AND(F1677="Done",M1677&lt;&gt;""),IF(COUNTIFS(Appointments!$D$6:$D$2005,D1677,Appointments!$F$6:$F$2005,"Done",Appointments!$M$6:$M$2005,"&gt;"&amp;M1677)=0,1,0),0)</f>
        <v/>
      </c>
      <c r="O1677">
        <f>IF(AND(F1677="Booked",M1677&lt;&gt;"",N(B1677)&gt;=TODAY()),IF(COUNTIFS(Appointments!$D$6:$D$2005,D1677,Appointments!$F$6:$F$2005,"Booked",Appointments!$B$6:$B$2005,"&gt;="&amp;TODAY(),Appointments!$M$6:$M$2005,"&lt;"&amp;M1677)=0,1,0),0)</f>
        <v/>
      </c>
    </row>
    <row r="1678">
      <c r="A1678" s="1" t="n"/>
      <c r="B1678" s="30" t="n"/>
      <c r="C1678" s="31" t="n"/>
      <c r="D1678" s="32" t="n"/>
      <c r="E1678" s="32" t="n"/>
      <c r="F1678" s="33" t="n"/>
      <c r="G1678" s="27">
        <f>IF(E1678="","",MAX(0,IFERROR(INDEX(Services!$C$6:$C$35,MATCH(E1678,Services!$B$6:$B$35,0)),0)-N(H1678)))</f>
        <v/>
      </c>
      <c r="H1678" s="34" t="n"/>
      <c r="I1678" s="34" t="n"/>
      <c r="J1678" s="33" t="n"/>
      <c r="K1678" s="28">
        <f>IF(OR(B1678="",F1678&lt;&gt;"Done",J1678="Package"),"",IF(N(G1678)-N(I1678)&gt;0,N(G1678)-N(I1678),""))</f>
        <v/>
      </c>
      <c r="L1678" s="32" t="n"/>
      <c r="M1678" s="1">
        <f>IF(OR(B1678="",D1678="",F1678="Cancelled"),"",B1678+N(C1678)+ROW()/10000000)</f>
        <v/>
      </c>
      <c r="N1678">
        <f>IF(AND(F1678="Done",M1678&lt;&gt;""),IF(COUNTIFS(Appointments!$D$6:$D$2005,D1678,Appointments!$F$6:$F$2005,"Done",Appointments!$M$6:$M$2005,"&gt;"&amp;M1678)=0,1,0),0)</f>
        <v/>
      </c>
      <c r="O1678">
        <f>IF(AND(F1678="Booked",M1678&lt;&gt;"",N(B1678)&gt;=TODAY()),IF(COUNTIFS(Appointments!$D$6:$D$2005,D1678,Appointments!$F$6:$F$2005,"Booked",Appointments!$B$6:$B$2005,"&gt;="&amp;TODAY(),Appointments!$M$6:$M$2005,"&lt;"&amp;M1678)=0,1,0),0)</f>
        <v/>
      </c>
    </row>
    <row r="1679">
      <c r="A1679" s="1" t="n"/>
      <c r="B1679" s="30" t="n"/>
      <c r="C1679" s="31" t="n"/>
      <c r="D1679" s="32" t="n"/>
      <c r="E1679" s="32" t="n"/>
      <c r="F1679" s="33" t="n"/>
      <c r="G1679" s="27">
        <f>IF(E1679="","",MAX(0,IFERROR(INDEX(Services!$C$6:$C$35,MATCH(E1679,Services!$B$6:$B$35,0)),0)-N(H1679)))</f>
        <v/>
      </c>
      <c r="H1679" s="34" t="n"/>
      <c r="I1679" s="34" t="n"/>
      <c r="J1679" s="33" t="n"/>
      <c r="K1679" s="28">
        <f>IF(OR(B1679="",F1679&lt;&gt;"Done",J1679="Package"),"",IF(N(G1679)-N(I1679)&gt;0,N(G1679)-N(I1679),""))</f>
        <v/>
      </c>
      <c r="L1679" s="32" t="n"/>
      <c r="M1679" s="1">
        <f>IF(OR(B1679="",D1679="",F1679="Cancelled"),"",B1679+N(C1679)+ROW()/10000000)</f>
        <v/>
      </c>
      <c r="N1679">
        <f>IF(AND(F1679="Done",M1679&lt;&gt;""),IF(COUNTIFS(Appointments!$D$6:$D$2005,D1679,Appointments!$F$6:$F$2005,"Done",Appointments!$M$6:$M$2005,"&gt;"&amp;M1679)=0,1,0),0)</f>
        <v/>
      </c>
      <c r="O1679">
        <f>IF(AND(F1679="Booked",M1679&lt;&gt;"",N(B1679)&gt;=TODAY()),IF(COUNTIFS(Appointments!$D$6:$D$2005,D1679,Appointments!$F$6:$F$2005,"Booked",Appointments!$B$6:$B$2005,"&gt;="&amp;TODAY(),Appointments!$M$6:$M$2005,"&lt;"&amp;M1679)=0,1,0),0)</f>
        <v/>
      </c>
    </row>
    <row r="1680">
      <c r="A1680" s="1" t="n"/>
      <c r="B1680" s="30" t="n"/>
      <c r="C1680" s="31" t="n"/>
      <c r="D1680" s="32" t="n"/>
      <c r="E1680" s="32" t="n"/>
      <c r="F1680" s="33" t="n"/>
      <c r="G1680" s="27">
        <f>IF(E1680="","",MAX(0,IFERROR(INDEX(Services!$C$6:$C$35,MATCH(E1680,Services!$B$6:$B$35,0)),0)-N(H1680)))</f>
        <v/>
      </c>
      <c r="H1680" s="34" t="n"/>
      <c r="I1680" s="34" t="n"/>
      <c r="J1680" s="33" t="n"/>
      <c r="K1680" s="28">
        <f>IF(OR(B1680="",F1680&lt;&gt;"Done",J1680="Package"),"",IF(N(G1680)-N(I1680)&gt;0,N(G1680)-N(I1680),""))</f>
        <v/>
      </c>
      <c r="L1680" s="32" t="n"/>
      <c r="M1680" s="1">
        <f>IF(OR(B1680="",D1680="",F1680="Cancelled"),"",B1680+N(C1680)+ROW()/10000000)</f>
        <v/>
      </c>
      <c r="N1680">
        <f>IF(AND(F1680="Done",M1680&lt;&gt;""),IF(COUNTIFS(Appointments!$D$6:$D$2005,D1680,Appointments!$F$6:$F$2005,"Done",Appointments!$M$6:$M$2005,"&gt;"&amp;M1680)=0,1,0),0)</f>
        <v/>
      </c>
      <c r="O1680">
        <f>IF(AND(F1680="Booked",M1680&lt;&gt;"",N(B1680)&gt;=TODAY()),IF(COUNTIFS(Appointments!$D$6:$D$2005,D1680,Appointments!$F$6:$F$2005,"Booked",Appointments!$B$6:$B$2005,"&gt;="&amp;TODAY(),Appointments!$M$6:$M$2005,"&lt;"&amp;M1680)=0,1,0),0)</f>
        <v/>
      </c>
    </row>
    <row r="1681">
      <c r="A1681" s="1" t="n"/>
      <c r="B1681" s="30" t="n"/>
      <c r="C1681" s="31" t="n"/>
      <c r="D1681" s="32" t="n"/>
      <c r="E1681" s="32" t="n"/>
      <c r="F1681" s="33" t="n"/>
      <c r="G1681" s="27">
        <f>IF(E1681="","",MAX(0,IFERROR(INDEX(Services!$C$6:$C$35,MATCH(E1681,Services!$B$6:$B$35,0)),0)-N(H1681)))</f>
        <v/>
      </c>
      <c r="H1681" s="34" t="n"/>
      <c r="I1681" s="34" t="n"/>
      <c r="J1681" s="33" t="n"/>
      <c r="K1681" s="28">
        <f>IF(OR(B1681="",F1681&lt;&gt;"Done",J1681="Package"),"",IF(N(G1681)-N(I1681)&gt;0,N(G1681)-N(I1681),""))</f>
        <v/>
      </c>
      <c r="L1681" s="32" t="n"/>
      <c r="M1681" s="1">
        <f>IF(OR(B1681="",D1681="",F1681="Cancelled"),"",B1681+N(C1681)+ROW()/10000000)</f>
        <v/>
      </c>
      <c r="N1681">
        <f>IF(AND(F1681="Done",M1681&lt;&gt;""),IF(COUNTIFS(Appointments!$D$6:$D$2005,D1681,Appointments!$F$6:$F$2005,"Done",Appointments!$M$6:$M$2005,"&gt;"&amp;M1681)=0,1,0),0)</f>
        <v/>
      </c>
      <c r="O1681">
        <f>IF(AND(F1681="Booked",M1681&lt;&gt;"",N(B1681)&gt;=TODAY()),IF(COUNTIFS(Appointments!$D$6:$D$2005,D1681,Appointments!$F$6:$F$2005,"Booked",Appointments!$B$6:$B$2005,"&gt;="&amp;TODAY(),Appointments!$M$6:$M$2005,"&lt;"&amp;M1681)=0,1,0),0)</f>
        <v/>
      </c>
    </row>
    <row r="1682">
      <c r="A1682" s="1" t="n"/>
      <c r="B1682" s="30" t="n"/>
      <c r="C1682" s="31" t="n"/>
      <c r="D1682" s="32" t="n"/>
      <c r="E1682" s="32" t="n"/>
      <c r="F1682" s="33" t="n"/>
      <c r="G1682" s="27">
        <f>IF(E1682="","",MAX(0,IFERROR(INDEX(Services!$C$6:$C$35,MATCH(E1682,Services!$B$6:$B$35,0)),0)-N(H1682)))</f>
        <v/>
      </c>
      <c r="H1682" s="34" t="n"/>
      <c r="I1682" s="34" t="n"/>
      <c r="J1682" s="33" t="n"/>
      <c r="K1682" s="28">
        <f>IF(OR(B1682="",F1682&lt;&gt;"Done",J1682="Package"),"",IF(N(G1682)-N(I1682)&gt;0,N(G1682)-N(I1682),""))</f>
        <v/>
      </c>
      <c r="L1682" s="32" t="n"/>
      <c r="M1682" s="1">
        <f>IF(OR(B1682="",D1682="",F1682="Cancelled"),"",B1682+N(C1682)+ROW()/10000000)</f>
        <v/>
      </c>
      <c r="N1682">
        <f>IF(AND(F1682="Done",M1682&lt;&gt;""),IF(COUNTIFS(Appointments!$D$6:$D$2005,D1682,Appointments!$F$6:$F$2005,"Done",Appointments!$M$6:$M$2005,"&gt;"&amp;M1682)=0,1,0),0)</f>
        <v/>
      </c>
      <c r="O1682">
        <f>IF(AND(F1682="Booked",M1682&lt;&gt;"",N(B1682)&gt;=TODAY()),IF(COUNTIFS(Appointments!$D$6:$D$2005,D1682,Appointments!$F$6:$F$2005,"Booked",Appointments!$B$6:$B$2005,"&gt;="&amp;TODAY(),Appointments!$M$6:$M$2005,"&lt;"&amp;M1682)=0,1,0),0)</f>
        <v/>
      </c>
    </row>
    <row r="1683">
      <c r="A1683" s="1" t="n"/>
      <c r="B1683" s="30" t="n"/>
      <c r="C1683" s="31" t="n"/>
      <c r="D1683" s="32" t="n"/>
      <c r="E1683" s="32" t="n"/>
      <c r="F1683" s="33" t="n"/>
      <c r="G1683" s="27">
        <f>IF(E1683="","",MAX(0,IFERROR(INDEX(Services!$C$6:$C$35,MATCH(E1683,Services!$B$6:$B$35,0)),0)-N(H1683)))</f>
        <v/>
      </c>
      <c r="H1683" s="34" t="n"/>
      <c r="I1683" s="34" t="n"/>
      <c r="J1683" s="33" t="n"/>
      <c r="K1683" s="28">
        <f>IF(OR(B1683="",F1683&lt;&gt;"Done",J1683="Package"),"",IF(N(G1683)-N(I1683)&gt;0,N(G1683)-N(I1683),""))</f>
        <v/>
      </c>
      <c r="L1683" s="32" t="n"/>
      <c r="M1683" s="1">
        <f>IF(OR(B1683="",D1683="",F1683="Cancelled"),"",B1683+N(C1683)+ROW()/10000000)</f>
        <v/>
      </c>
      <c r="N1683">
        <f>IF(AND(F1683="Done",M1683&lt;&gt;""),IF(COUNTIFS(Appointments!$D$6:$D$2005,D1683,Appointments!$F$6:$F$2005,"Done",Appointments!$M$6:$M$2005,"&gt;"&amp;M1683)=0,1,0),0)</f>
        <v/>
      </c>
      <c r="O1683">
        <f>IF(AND(F1683="Booked",M1683&lt;&gt;"",N(B1683)&gt;=TODAY()),IF(COUNTIFS(Appointments!$D$6:$D$2005,D1683,Appointments!$F$6:$F$2005,"Booked",Appointments!$B$6:$B$2005,"&gt;="&amp;TODAY(),Appointments!$M$6:$M$2005,"&lt;"&amp;M1683)=0,1,0),0)</f>
        <v/>
      </c>
    </row>
    <row r="1684">
      <c r="A1684" s="1" t="n"/>
      <c r="B1684" s="30" t="n"/>
      <c r="C1684" s="31" t="n"/>
      <c r="D1684" s="32" t="n"/>
      <c r="E1684" s="32" t="n"/>
      <c r="F1684" s="33" t="n"/>
      <c r="G1684" s="27">
        <f>IF(E1684="","",MAX(0,IFERROR(INDEX(Services!$C$6:$C$35,MATCH(E1684,Services!$B$6:$B$35,0)),0)-N(H1684)))</f>
        <v/>
      </c>
      <c r="H1684" s="34" t="n"/>
      <c r="I1684" s="34" t="n"/>
      <c r="J1684" s="33" t="n"/>
      <c r="K1684" s="28">
        <f>IF(OR(B1684="",F1684&lt;&gt;"Done",J1684="Package"),"",IF(N(G1684)-N(I1684)&gt;0,N(G1684)-N(I1684),""))</f>
        <v/>
      </c>
      <c r="L1684" s="32" t="n"/>
      <c r="M1684" s="1">
        <f>IF(OR(B1684="",D1684="",F1684="Cancelled"),"",B1684+N(C1684)+ROW()/10000000)</f>
        <v/>
      </c>
      <c r="N1684">
        <f>IF(AND(F1684="Done",M1684&lt;&gt;""),IF(COUNTIFS(Appointments!$D$6:$D$2005,D1684,Appointments!$F$6:$F$2005,"Done",Appointments!$M$6:$M$2005,"&gt;"&amp;M1684)=0,1,0),0)</f>
        <v/>
      </c>
      <c r="O1684">
        <f>IF(AND(F1684="Booked",M1684&lt;&gt;"",N(B1684)&gt;=TODAY()),IF(COUNTIFS(Appointments!$D$6:$D$2005,D1684,Appointments!$F$6:$F$2005,"Booked",Appointments!$B$6:$B$2005,"&gt;="&amp;TODAY(),Appointments!$M$6:$M$2005,"&lt;"&amp;M1684)=0,1,0),0)</f>
        <v/>
      </c>
    </row>
    <row r="1685">
      <c r="A1685" s="1" t="n"/>
      <c r="B1685" s="30" t="n"/>
      <c r="C1685" s="31" t="n"/>
      <c r="D1685" s="32" t="n"/>
      <c r="E1685" s="32" t="n"/>
      <c r="F1685" s="33" t="n"/>
      <c r="G1685" s="27">
        <f>IF(E1685="","",MAX(0,IFERROR(INDEX(Services!$C$6:$C$35,MATCH(E1685,Services!$B$6:$B$35,0)),0)-N(H1685)))</f>
        <v/>
      </c>
      <c r="H1685" s="34" t="n"/>
      <c r="I1685" s="34" t="n"/>
      <c r="J1685" s="33" t="n"/>
      <c r="K1685" s="28">
        <f>IF(OR(B1685="",F1685&lt;&gt;"Done",J1685="Package"),"",IF(N(G1685)-N(I1685)&gt;0,N(G1685)-N(I1685),""))</f>
        <v/>
      </c>
      <c r="L1685" s="32" t="n"/>
      <c r="M1685" s="1">
        <f>IF(OR(B1685="",D1685="",F1685="Cancelled"),"",B1685+N(C1685)+ROW()/10000000)</f>
        <v/>
      </c>
      <c r="N1685">
        <f>IF(AND(F1685="Done",M1685&lt;&gt;""),IF(COUNTIFS(Appointments!$D$6:$D$2005,D1685,Appointments!$F$6:$F$2005,"Done",Appointments!$M$6:$M$2005,"&gt;"&amp;M1685)=0,1,0),0)</f>
        <v/>
      </c>
      <c r="O1685">
        <f>IF(AND(F1685="Booked",M1685&lt;&gt;"",N(B1685)&gt;=TODAY()),IF(COUNTIFS(Appointments!$D$6:$D$2005,D1685,Appointments!$F$6:$F$2005,"Booked",Appointments!$B$6:$B$2005,"&gt;="&amp;TODAY(),Appointments!$M$6:$M$2005,"&lt;"&amp;M1685)=0,1,0),0)</f>
        <v/>
      </c>
    </row>
    <row r="1686">
      <c r="A1686" s="1" t="n"/>
      <c r="B1686" s="30" t="n"/>
      <c r="C1686" s="31" t="n"/>
      <c r="D1686" s="32" t="n"/>
      <c r="E1686" s="32" t="n"/>
      <c r="F1686" s="33" t="n"/>
      <c r="G1686" s="27">
        <f>IF(E1686="","",MAX(0,IFERROR(INDEX(Services!$C$6:$C$35,MATCH(E1686,Services!$B$6:$B$35,0)),0)-N(H1686)))</f>
        <v/>
      </c>
      <c r="H1686" s="34" t="n"/>
      <c r="I1686" s="34" t="n"/>
      <c r="J1686" s="33" t="n"/>
      <c r="K1686" s="28">
        <f>IF(OR(B1686="",F1686&lt;&gt;"Done",J1686="Package"),"",IF(N(G1686)-N(I1686)&gt;0,N(G1686)-N(I1686),""))</f>
        <v/>
      </c>
      <c r="L1686" s="32" t="n"/>
      <c r="M1686" s="1">
        <f>IF(OR(B1686="",D1686="",F1686="Cancelled"),"",B1686+N(C1686)+ROW()/10000000)</f>
        <v/>
      </c>
      <c r="N1686">
        <f>IF(AND(F1686="Done",M1686&lt;&gt;""),IF(COUNTIFS(Appointments!$D$6:$D$2005,D1686,Appointments!$F$6:$F$2005,"Done",Appointments!$M$6:$M$2005,"&gt;"&amp;M1686)=0,1,0),0)</f>
        <v/>
      </c>
      <c r="O1686">
        <f>IF(AND(F1686="Booked",M1686&lt;&gt;"",N(B1686)&gt;=TODAY()),IF(COUNTIFS(Appointments!$D$6:$D$2005,D1686,Appointments!$F$6:$F$2005,"Booked",Appointments!$B$6:$B$2005,"&gt;="&amp;TODAY(),Appointments!$M$6:$M$2005,"&lt;"&amp;M1686)=0,1,0),0)</f>
        <v/>
      </c>
    </row>
    <row r="1687">
      <c r="A1687" s="1" t="n"/>
      <c r="B1687" s="30" t="n"/>
      <c r="C1687" s="31" t="n"/>
      <c r="D1687" s="32" t="n"/>
      <c r="E1687" s="32" t="n"/>
      <c r="F1687" s="33" t="n"/>
      <c r="G1687" s="27">
        <f>IF(E1687="","",MAX(0,IFERROR(INDEX(Services!$C$6:$C$35,MATCH(E1687,Services!$B$6:$B$35,0)),0)-N(H1687)))</f>
        <v/>
      </c>
      <c r="H1687" s="34" t="n"/>
      <c r="I1687" s="34" t="n"/>
      <c r="J1687" s="33" t="n"/>
      <c r="K1687" s="28">
        <f>IF(OR(B1687="",F1687&lt;&gt;"Done",J1687="Package"),"",IF(N(G1687)-N(I1687)&gt;0,N(G1687)-N(I1687),""))</f>
        <v/>
      </c>
      <c r="L1687" s="32" t="n"/>
      <c r="M1687" s="1">
        <f>IF(OR(B1687="",D1687="",F1687="Cancelled"),"",B1687+N(C1687)+ROW()/10000000)</f>
        <v/>
      </c>
      <c r="N1687">
        <f>IF(AND(F1687="Done",M1687&lt;&gt;""),IF(COUNTIFS(Appointments!$D$6:$D$2005,D1687,Appointments!$F$6:$F$2005,"Done",Appointments!$M$6:$M$2005,"&gt;"&amp;M1687)=0,1,0),0)</f>
        <v/>
      </c>
      <c r="O1687">
        <f>IF(AND(F1687="Booked",M1687&lt;&gt;"",N(B1687)&gt;=TODAY()),IF(COUNTIFS(Appointments!$D$6:$D$2005,D1687,Appointments!$F$6:$F$2005,"Booked",Appointments!$B$6:$B$2005,"&gt;="&amp;TODAY(),Appointments!$M$6:$M$2005,"&lt;"&amp;M1687)=0,1,0),0)</f>
        <v/>
      </c>
    </row>
    <row r="1688">
      <c r="A1688" s="1" t="n"/>
      <c r="B1688" s="30" t="n"/>
      <c r="C1688" s="31" t="n"/>
      <c r="D1688" s="32" t="n"/>
      <c r="E1688" s="32" t="n"/>
      <c r="F1688" s="33" t="n"/>
      <c r="G1688" s="27">
        <f>IF(E1688="","",MAX(0,IFERROR(INDEX(Services!$C$6:$C$35,MATCH(E1688,Services!$B$6:$B$35,0)),0)-N(H1688)))</f>
        <v/>
      </c>
      <c r="H1688" s="34" t="n"/>
      <c r="I1688" s="34" t="n"/>
      <c r="J1688" s="33" t="n"/>
      <c r="K1688" s="28">
        <f>IF(OR(B1688="",F1688&lt;&gt;"Done",J1688="Package"),"",IF(N(G1688)-N(I1688)&gt;0,N(G1688)-N(I1688),""))</f>
        <v/>
      </c>
      <c r="L1688" s="32" t="n"/>
      <c r="M1688" s="1">
        <f>IF(OR(B1688="",D1688="",F1688="Cancelled"),"",B1688+N(C1688)+ROW()/10000000)</f>
        <v/>
      </c>
      <c r="N1688">
        <f>IF(AND(F1688="Done",M1688&lt;&gt;""),IF(COUNTIFS(Appointments!$D$6:$D$2005,D1688,Appointments!$F$6:$F$2005,"Done",Appointments!$M$6:$M$2005,"&gt;"&amp;M1688)=0,1,0),0)</f>
        <v/>
      </c>
      <c r="O1688">
        <f>IF(AND(F1688="Booked",M1688&lt;&gt;"",N(B1688)&gt;=TODAY()),IF(COUNTIFS(Appointments!$D$6:$D$2005,D1688,Appointments!$F$6:$F$2005,"Booked",Appointments!$B$6:$B$2005,"&gt;="&amp;TODAY(),Appointments!$M$6:$M$2005,"&lt;"&amp;M1688)=0,1,0),0)</f>
        <v/>
      </c>
    </row>
    <row r="1689">
      <c r="A1689" s="1" t="n"/>
      <c r="B1689" s="30" t="n"/>
      <c r="C1689" s="31" t="n"/>
      <c r="D1689" s="32" t="n"/>
      <c r="E1689" s="32" t="n"/>
      <c r="F1689" s="33" t="n"/>
      <c r="G1689" s="27">
        <f>IF(E1689="","",MAX(0,IFERROR(INDEX(Services!$C$6:$C$35,MATCH(E1689,Services!$B$6:$B$35,0)),0)-N(H1689)))</f>
        <v/>
      </c>
      <c r="H1689" s="34" t="n"/>
      <c r="I1689" s="34" t="n"/>
      <c r="J1689" s="33" t="n"/>
      <c r="K1689" s="28">
        <f>IF(OR(B1689="",F1689&lt;&gt;"Done",J1689="Package"),"",IF(N(G1689)-N(I1689)&gt;0,N(G1689)-N(I1689),""))</f>
        <v/>
      </c>
      <c r="L1689" s="32" t="n"/>
      <c r="M1689" s="1">
        <f>IF(OR(B1689="",D1689="",F1689="Cancelled"),"",B1689+N(C1689)+ROW()/10000000)</f>
        <v/>
      </c>
      <c r="N1689">
        <f>IF(AND(F1689="Done",M1689&lt;&gt;""),IF(COUNTIFS(Appointments!$D$6:$D$2005,D1689,Appointments!$F$6:$F$2005,"Done",Appointments!$M$6:$M$2005,"&gt;"&amp;M1689)=0,1,0),0)</f>
        <v/>
      </c>
      <c r="O1689">
        <f>IF(AND(F1689="Booked",M1689&lt;&gt;"",N(B1689)&gt;=TODAY()),IF(COUNTIFS(Appointments!$D$6:$D$2005,D1689,Appointments!$F$6:$F$2005,"Booked",Appointments!$B$6:$B$2005,"&gt;="&amp;TODAY(),Appointments!$M$6:$M$2005,"&lt;"&amp;M1689)=0,1,0),0)</f>
        <v/>
      </c>
    </row>
    <row r="1690">
      <c r="A1690" s="1" t="n"/>
      <c r="B1690" s="30" t="n"/>
      <c r="C1690" s="31" t="n"/>
      <c r="D1690" s="32" t="n"/>
      <c r="E1690" s="32" t="n"/>
      <c r="F1690" s="33" t="n"/>
      <c r="G1690" s="27">
        <f>IF(E1690="","",MAX(0,IFERROR(INDEX(Services!$C$6:$C$35,MATCH(E1690,Services!$B$6:$B$35,0)),0)-N(H1690)))</f>
        <v/>
      </c>
      <c r="H1690" s="34" t="n"/>
      <c r="I1690" s="34" t="n"/>
      <c r="J1690" s="33" t="n"/>
      <c r="K1690" s="28">
        <f>IF(OR(B1690="",F1690&lt;&gt;"Done",J1690="Package"),"",IF(N(G1690)-N(I1690)&gt;0,N(G1690)-N(I1690),""))</f>
        <v/>
      </c>
      <c r="L1690" s="32" t="n"/>
      <c r="M1690" s="1">
        <f>IF(OR(B1690="",D1690="",F1690="Cancelled"),"",B1690+N(C1690)+ROW()/10000000)</f>
        <v/>
      </c>
      <c r="N1690">
        <f>IF(AND(F1690="Done",M1690&lt;&gt;""),IF(COUNTIFS(Appointments!$D$6:$D$2005,D1690,Appointments!$F$6:$F$2005,"Done",Appointments!$M$6:$M$2005,"&gt;"&amp;M1690)=0,1,0),0)</f>
        <v/>
      </c>
      <c r="O1690">
        <f>IF(AND(F1690="Booked",M1690&lt;&gt;"",N(B1690)&gt;=TODAY()),IF(COUNTIFS(Appointments!$D$6:$D$2005,D1690,Appointments!$F$6:$F$2005,"Booked",Appointments!$B$6:$B$2005,"&gt;="&amp;TODAY(),Appointments!$M$6:$M$2005,"&lt;"&amp;M1690)=0,1,0),0)</f>
        <v/>
      </c>
    </row>
    <row r="1691">
      <c r="A1691" s="1" t="n"/>
      <c r="B1691" s="30" t="n"/>
      <c r="C1691" s="31" t="n"/>
      <c r="D1691" s="32" t="n"/>
      <c r="E1691" s="32" t="n"/>
      <c r="F1691" s="33" t="n"/>
      <c r="G1691" s="27">
        <f>IF(E1691="","",MAX(0,IFERROR(INDEX(Services!$C$6:$C$35,MATCH(E1691,Services!$B$6:$B$35,0)),0)-N(H1691)))</f>
        <v/>
      </c>
      <c r="H1691" s="34" t="n"/>
      <c r="I1691" s="34" t="n"/>
      <c r="J1691" s="33" t="n"/>
      <c r="K1691" s="28">
        <f>IF(OR(B1691="",F1691&lt;&gt;"Done",J1691="Package"),"",IF(N(G1691)-N(I1691)&gt;0,N(G1691)-N(I1691),""))</f>
        <v/>
      </c>
      <c r="L1691" s="32" t="n"/>
      <c r="M1691" s="1">
        <f>IF(OR(B1691="",D1691="",F1691="Cancelled"),"",B1691+N(C1691)+ROW()/10000000)</f>
        <v/>
      </c>
      <c r="N1691">
        <f>IF(AND(F1691="Done",M1691&lt;&gt;""),IF(COUNTIFS(Appointments!$D$6:$D$2005,D1691,Appointments!$F$6:$F$2005,"Done",Appointments!$M$6:$M$2005,"&gt;"&amp;M1691)=0,1,0),0)</f>
        <v/>
      </c>
      <c r="O1691">
        <f>IF(AND(F1691="Booked",M1691&lt;&gt;"",N(B1691)&gt;=TODAY()),IF(COUNTIFS(Appointments!$D$6:$D$2005,D1691,Appointments!$F$6:$F$2005,"Booked",Appointments!$B$6:$B$2005,"&gt;="&amp;TODAY(),Appointments!$M$6:$M$2005,"&lt;"&amp;M1691)=0,1,0),0)</f>
        <v/>
      </c>
    </row>
    <row r="1692">
      <c r="A1692" s="1" t="n"/>
      <c r="B1692" s="30" t="n"/>
      <c r="C1692" s="31" t="n"/>
      <c r="D1692" s="32" t="n"/>
      <c r="E1692" s="32" t="n"/>
      <c r="F1692" s="33" t="n"/>
      <c r="G1692" s="27">
        <f>IF(E1692="","",MAX(0,IFERROR(INDEX(Services!$C$6:$C$35,MATCH(E1692,Services!$B$6:$B$35,0)),0)-N(H1692)))</f>
        <v/>
      </c>
      <c r="H1692" s="34" t="n"/>
      <c r="I1692" s="34" t="n"/>
      <c r="J1692" s="33" t="n"/>
      <c r="K1692" s="28">
        <f>IF(OR(B1692="",F1692&lt;&gt;"Done",J1692="Package"),"",IF(N(G1692)-N(I1692)&gt;0,N(G1692)-N(I1692),""))</f>
        <v/>
      </c>
      <c r="L1692" s="32" t="n"/>
      <c r="M1692" s="1">
        <f>IF(OR(B1692="",D1692="",F1692="Cancelled"),"",B1692+N(C1692)+ROW()/10000000)</f>
        <v/>
      </c>
      <c r="N1692">
        <f>IF(AND(F1692="Done",M1692&lt;&gt;""),IF(COUNTIFS(Appointments!$D$6:$D$2005,D1692,Appointments!$F$6:$F$2005,"Done",Appointments!$M$6:$M$2005,"&gt;"&amp;M1692)=0,1,0),0)</f>
        <v/>
      </c>
      <c r="O1692">
        <f>IF(AND(F1692="Booked",M1692&lt;&gt;"",N(B1692)&gt;=TODAY()),IF(COUNTIFS(Appointments!$D$6:$D$2005,D1692,Appointments!$F$6:$F$2005,"Booked",Appointments!$B$6:$B$2005,"&gt;="&amp;TODAY(),Appointments!$M$6:$M$2005,"&lt;"&amp;M1692)=0,1,0),0)</f>
        <v/>
      </c>
    </row>
    <row r="1693">
      <c r="A1693" s="1" t="n"/>
      <c r="B1693" s="30" t="n"/>
      <c r="C1693" s="31" t="n"/>
      <c r="D1693" s="32" t="n"/>
      <c r="E1693" s="32" t="n"/>
      <c r="F1693" s="33" t="n"/>
      <c r="G1693" s="27">
        <f>IF(E1693="","",MAX(0,IFERROR(INDEX(Services!$C$6:$C$35,MATCH(E1693,Services!$B$6:$B$35,0)),0)-N(H1693)))</f>
        <v/>
      </c>
      <c r="H1693" s="34" t="n"/>
      <c r="I1693" s="34" t="n"/>
      <c r="J1693" s="33" t="n"/>
      <c r="K1693" s="28">
        <f>IF(OR(B1693="",F1693&lt;&gt;"Done",J1693="Package"),"",IF(N(G1693)-N(I1693)&gt;0,N(G1693)-N(I1693),""))</f>
        <v/>
      </c>
      <c r="L1693" s="32" t="n"/>
      <c r="M1693" s="1">
        <f>IF(OR(B1693="",D1693="",F1693="Cancelled"),"",B1693+N(C1693)+ROW()/10000000)</f>
        <v/>
      </c>
      <c r="N1693">
        <f>IF(AND(F1693="Done",M1693&lt;&gt;""),IF(COUNTIFS(Appointments!$D$6:$D$2005,D1693,Appointments!$F$6:$F$2005,"Done",Appointments!$M$6:$M$2005,"&gt;"&amp;M1693)=0,1,0),0)</f>
        <v/>
      </c>
      <c r="O1693">
        <f>IF(AND(F1693="Booked",M1693&lt;&gt;"",N(B1693)&gt;=TODAY()),IF(COUNTIFS(Appointments!$D$6:$D$2005,D1693,Appointments!$F$6:$F$2005,"Booked",Appointments!$B$6:$B$2005,"&gt;="&amp;TODAY(),Appointments!$M$6:$M$2005,"&lt;"&amp;M1693)=0,1,0),0)</f>
        <v/>
      </c>
    </row>
    <row r="1694">
      <c r="A1694" s="1" t="n"/>
      <c r="B1694" s="30" t="n"/>
      <c r="C1694" s="31" t="n"/>
      <c r="D1694" s="32" t="n"/>
      <c r="E1694" s="32" t="n"/>
      <c r="F1694" s="33" t="n"/>
      <c r="G1694" s="27">
        <f>IF(E1694="","",MAX(0,IFERROR(INDEX(Services!$C$6:$C$35,MATCH(E1694,Services!$B$6:$B$35,0)),0)-N(H1694)))</f>
        <v/>
      </c>
      <c r="H1694" s="34" t="n"/>
      <c r="I1694" s="34" t="n"/>
      <c r="J1694" s="33" t="n"/>
      <c r="K1694" s="28">
        <f>IF(OR(B1694="",F1694&lt;&gt;"Done",J1694="Package"),"",IF(N(G1694)-N(I1694)&gt;0,N(G1694)-N(I1694),""))</f>
        <v/>
      </c>
      <c r="L1694" s="32" t="n"/>
      <c r="M1694" s="1">
        <f>IF(OR(B1694="",D1694="",F1694="Cancelled"),"",B1694+N(C1694)+ROW()/10000000)</f>
        <v/>
      </c>
      <c r="N1694">
        <f>IF(AND(F1694="Done",M1694&lt;&gt;""),IF(COUNTIFS(Appointments!$D$6:$D$2005,D1694,Appointments!$F$6:$F$2005,"Done",Appointments!$M$6:$M$2005,"&gt;"&amp;M1694)=0,1,0),0)</f>
        <v/>
      </c>
      <c r="O1694">
        <f>IF(AND(F1694="Booked",M1694&lt;&gt;"",N(B1694)&gt;=TODAY()),IF(COUNTIFS(Appointments!$D$6:$D$2005,D1694,Appointments!$F$6:$F$2005,"Booked",Appointments!$B$6:$B$2005,"&gt;="&amp;TODAY(),Appointments!$M$6:$M$2005,"&lt;"&amp;M1694)=0,1,0),0)</f>
        <v/>
      </c>
    </row>
    <row r="1695">
      <c r="A1695" s="1" t="n"/>
      <c r="B1695" s="30" t="n"/>
      <c r="C1695" s="31" t="n"/>
      <c r="D1695" s="32" t="n"/>
      <c r="E1695" s="32" t="n"/>
      <c r="F1695" s="33" t="n"/>
      <c r="G1695" s="27">
        <f>IF(E1695="","",MAX(0,IFERROR(INDEX(Services!$C$6:$C$35,MATCH(E1695,Services!$B$6:$B$35,0)),0)-N(H1695)))</f>
        <v/>
      </c>
      <c r="H1695" s="34" t="n"/>
      <c r="I1695" s="34" t="n"/>
      <c r="J1695" s="33" t="n"/>
      <c r="K1695" s="28">
        <f>IF(OR(B1695="",F1695&lt;&gt;"Done",J1695="Package"),"",IF(N(G1695)-N(I1695)&gt;0,N(G1695)-N(I1695),""))</f>
        <v/>
      </c>
      <c r="L1695" s="32" t="n"/>
      <c r="M1695" s="1">
        <f>IF(OR(B1695="",D1695="",F1695="Cancelled"),"",B1695+N(C1695)+ROW()/10000000)</f>
        <v/>
      </c>
      <c r="N1695">
        <f>IF(AND(F1695="Done",M1695&lt;&gt;""),IF(COUNTIFS(Appointments!$D$6:$D$2005,D1695,Appointments!$F$6:$F$2005,"Done",Appointments!$M$6:$M$2005,"&gt;"&amp;M1695)=0,1,0),0)</f>
        <v/>
      </c>
      <c r="O1695">
        <f>IF(AND(F1695="Booked",M1695&lt;&gt;"",N(B1695)&gt;=TODAY()),IF(COUNTIFS(Appointments!$D$6:$D$2005,D1695,Appointments!$F$6:$F$2005,"Booked",Appointments!$B$6:$B$2005,"&gt;="&amp;TODAY(),Appointments!$M$6:$M$2005,"&lt;"&amp;M1695)=0,1,0),0)</f>
        <v/>
      </c>
    </row>
    <row r="1696">
      <c r="A1696" s="1" t="n"/>
      <c r="B1696" s="30" t="n"/>
      <c r="C1696" s="31" t="n"/>
      <c r="D1696" s="32" t="n"/>
      <c r="E1696" s="32" t="n"/>
      <c r="F1696" s="33" t="n"/>
      <c r="G1696" s="27">
        <f>IF(E1696="","",MAX(0,IFERROR(INDEX(Services!$C$6:$C$35,MATCH(E1696,Services!$B$6:$B$35,0)),0)-N(H1696)))</f>
        <v/>
      </c>
      <c r="H1696" s="34" t="n"/>
      <c r="I1696" s="34" t="n"/>
      <c r="J1696" s="33" t="n"/>
      <c r="K1696" s="28">
        <f>IF(OR(B1696="",F1696&lt;&gt;"Done",J1696="Package"),"",IF(N(G1696)-N(I1696)&gt;0,N(G1696)-N(I1696),""))</f>
        <v/>
      </c>
      <c r="L1696" s="32" t="n"/>
      <c r="M1696" s="1">
        <f>IF(OR(B1696="",D1696="",F1696="Cancelled"),"",B1696+N(C1696)+ROW()/10000000)</f>
        <v/>
      </c>
      <c r="N1696">
        <f>IF(AND(F1696="Done",M1696&lt;&gt;""),IF(COUNTIFS(Appointments!$D$6:$D$2005,D1696,Appointments!$F$6:$F$2005,"Done",Appointments!$M$6:$M$2005,"&gt;"&amp;M1696)=0,1,0),0)</f>
        <v/>
      </c>
      <c r="O1696">
        <f>IF(AND(F1696="Booked",M1696&lt;&gt;"",N(B1696)&gt;=TODAY()),IF(COUNTIFS(Appointments!$D$6:$D$2005,D1696,Appointments!$F$6:$F$2005,"Booked",Appointments!$B$6:$B$2005,"&gt;="&amp;TODAY(),Appointments!$M$6:$M$2005,"&lt;"&amp;M1696)=0,1,0),0)</f>
        <v/>
      </c>
    </row>
    <row r="1697">
      <c r="A1697" s="1" t="n"/>
      <c r="B1697" s="30" t="n"/>
      <c r="C1697" s="31" t="n"/>
      <c r="D1697" s="32" t="n"/>
      <c r="E1697" s="32" t="n"/>
      <c r="F1697" s="33" t="n"/>
      <c r="G1697" s="27">
        <f>IF(E1697="","",MAX(0,IFERROR(INDEX(Services!$C$6:$C$35,MATCH(E1697,Services!$B$6:$B$35,0)),0)-N(H1697)))</f>
        <v/>
      </c>
      <c r="H1697" s="34" t="n"/>
      <c r="I1697" s="34" t="n"/>
      <c r="J1697" s="33" t="n"/>
      <c r="K1697" s="28">
        <f>IF(OR(B1697="",F1697&lt;&gt;"Done",J1697="Package"),"",IF(N(G1697)-N(I1697)&gt;0,N(G1697)-N(I1697),""))</f>
        <v/>
      </c>
      <c r="L1697" s="32" t="n"/>
      <c r="M1697" s="1">
        <f>IF(OR(B1697="",D1697="",F1697="Cancelled"),"",B1697+N(C1697)+ROW()/10000000)</f>
        <v/>
      </c>
      <c r="N1697">
        <f>IF(AND(F1697="Done",M1697&lt;&gt;""),IF(COUNTIFS(Appointments!$D$6:$D$2005,D1697,Appointments!$F$6:$F$2005,"Done",Appointments!$M$6:$M$2005,"&gt;"&amp;M1697)=0,1,0),0)</f>
        <v/>
      </c>
      <c r="O1697">
        <f>IF(AND(F1697="Booked",M1697&lt;&gt;"",N(B1697)&gt;=TODAY()),IF(COUNTIFS(Appointments!$D$6:$D$2005,D1697,Appointments!$F$6:$F$2005,"Booked",Appointments!$B$6:$B$2005,"&gt;="&amp;TODAY(),Appointments!$M$6:$M$2005,"&lt;"&amp;M1697)=0,1,0),0)</f>
        <v/>
      </c>
    </row>
    <row r="1698">
      <c r="A1698" s="1" t="n"/>
      <c r="B1698" s="30" t="n"/>
      <c r="C1698" s="31" t="n"/>
      <c r="D1698" s="32" t="n"/>
      <c r="E1698" s="32" t="n"/>
      <c r="F1698" s="33" t="n"/>
      <c r="G1698" s="27">
        <f>IF(E1698="","",MAX(0,IFERROR(INDEX(Services!$C$6:$C$35,MATCH(E1698,Services!$B$6:$B$35,0)),0)-N(H1698)))</f>
        <v/>
      </c>
      <c r="H1698" s="34" t="n"/>
      <c r="I1698" s="34" t="n"/>
      <c r="J1698" s="33" t="n"/>
      <c r="K1698" s="28">
        <f>IF(OR(B1698="",F1698&lt;&gt;"Done",J1698="Package"),"",IF(N(G1698)-N(I1698)&gt;0,N(G1698)-N(I1698),""))</f>
        <v/>
      </c>
      <c r="L1698" s="32" t="n"/>
      <c r="M1698" s="1">
        <f>IF(OR(B1698="",D1698="",F1698="Cancelled"),"",B1698+N(C1698)+ROW()/10000000)</f>
        <v/>
      </c>
      <c r="N1698">
        <f>IF(AND(F1698="Done",M1698&lt;&gt;""),IF(COUNTIFS(Appointments!$D$6:$D$2005,D1698,Appointments!$F$6:$F$2005,"Done",Appointments!$M$6:$M$2005,"&gt;"&amp;M1698)=0,1,0),0)</f>
        <v/>
      </c>
      <c r="O1698">
        <f>IF(AND(F1698="Booked",M1698&lt;&gt;"",N(B1698)&gt;=TODAY()),IF(COUNTIFS(Appointments!$D$6:$D$2005,D1698,Appointments!$F$6:$F$2005,"Booked",Appointments!$B$6:$B$2005,"&gt;="&amp;TODAY(),Appointments!$M$6:$M$2005,"&lt;"&amp;M1698)=0,1,0),0)</f>
        <v/>
      </c>
    </row>
    <row r="1699">
      <c r="A1699" s="1" t="n"/>
      <c r="B1699" s="30" t="n"/>
      <c r="C1699" s="31" t="n"/>
      <c r="D1699" s="32" t="n"/>
      <c r="E1699" s="32" t="n"/>
      <c r="F1699" s="33" t="n"/>
      <c r="G1699" s="27">
        <f>IF(E1699="","",MAX(0,IFERROR(INDEX(Services!$C$6:$C$35,MATCH(E1699,Services!$B$6:$B$35,0)),0)-N(H1699)))</f>
        <v/>
      </c>
      <c r="H1699" s="34" t="n"/>
      <c r="I1699" s="34" t="n"/>
      <c r="J1699" s="33" t="n"/>
      <c r="K1699" s="28">
        <f>IF(OR(B1699="",F1699&lt;&gt;"Done",J1699="Package"),"",IF(N(G1699)-N(I1699)&gt;0,N(G1699)-N(I1699),""))</f>
        <v/>
      </c>
      <c r="L1699" s="32" t="n"/>
      <c r="M1699" s="1">
        <f>IF(OR(B1699="",D1699="",F1699="Cancelled"),"",B1699+N(C1699)+ROW()/10000000)</f>
        <v/>
      </c>
      <c r="N1699">
        <f>IF(AND(F1699="Done",M1699&lt;&gt;""),IF(COUNTIFS(Appointments!$D$6:$D$2005,D1699,Appointments!$F$6:$F$2005,"Done",Appointments!$M$6:$M$2005,"&gt;"&amp;M1699)=0,1,0),0)</f>
        <v/>
      </c>
      <c r="O1699">
        <f>IF(AND(F1699="Booked",M1699&lt;&gt;"",N(B1699)&gt;=TODAY()),IF(COUNTIFS(Appointments!$D$6:$D$2005,D1699,Appointments!$F$6:$F$2005,"Booked",Appointments!$B$6:$B$2005,"&gt;="&amp;TODAY(),Appointments!$M$6:$M$2005,"&lt;"&amp;M1699)=0,1,0),0)</f>
        <v/>
      </c>
    </row>
    <row r="1700">
      <c r="A1700" s="1" t="n"/>
      <c r="B1700" s="30" t="n"/>
      <c r="C1700" s="31" t="n"/>
      <c r="D1700" s="32" t="n"/>
      <c r="E1700" s="32" t="n"/>
      <c r="F1700" s="33" t="n"/>
      <c r="G1700" s="27">
        <f>IF(E1700="","",MAX(0,IFERROR(INDEX(Services!$C$6:$C$35,MATCH(E1700,Services!$B$6:$B$35,0)),0)-N(H1700)))</f>
        <v/>
      </c>
      <c r="H1700" s="34" t="n"/>
      <c r="I1700" s="34" t="n"/>
      <c r="J1700" s="33" t="n"/>
      <c r="K1700" s="28">
        <f>IF(OR(B1700="",F1700&lt;&gt;"Done",J1700="Package"),"",IF(N(G1700)-N(I1700)&gt;0,N(G1700)-N(I1700),""))</f>
        <v/>
      </c>
      <c r="L1700" s="32" t="n"/>
      <c r="M1700" s="1">
        <f>IF(OR(B1700="",D1700="",F1700="Cancelled"),"",B1700+N(C1700)+ROW()/10000000)</f>
        <v/>
      </c>
      <c r="N1700">
        <f>IF(AND(F1700="Done",M1700&lt;&gt;""),IF(COUNTIFS(Appointments!$D$6:$D$2005,D1700,Appointments!$F$6:$F$2005,"Done",Appointments!$M$6:$M$2005,"&gt;"&amp;M1700)=0,1,0),0)</f>
        <v/>
      </c>
      <c r="O1700">
        <f>IF(AND(F1700="Booked",M1700&lt;&gt;"",N(B1700)&gt;=TODAY()),IF(COUNTIFS(Appointments!$D$6:$D$2005,D1700,Appointments!$F$6:$F$2005,"Booked",Appointments!$B$6:$B$2005,"&gt;="&amp;TODAY(),Appointments!$M$6:$M$2005,"&lt;"&amp;M1700)=0,1,0),0)</f>
        <v/>
      </c>
    </row>
    <row r="1701">
      <c r="A1701" s="1" t="n"/>
      <c r="B1701" s="30" t="n"/>
      <c r="C1701" s="31" t="n"/>
      <c r="D1701" s="32" t="n"/>
      <c r="E1701" s="32" t="n"/>
      <c r="F1701" s="33" t="n"/>
      <c r="G1701" s="27">
        <f>IF(E1701="","",MAX(0,IFERROR(INDEX(Services!$C$6:$C$35,MATCH(E1701,Services!$B$6:$B$35,0)),0)-N(H1701)))</f>
        <v/>
      </c>
      <c r="H1701" s="34" t="n"/>
      <c r="I1701" s="34" t="n"/>
      <c r="J1701" s="33" t="n"/>
      <c r="K1701" s="28">
        <f>IF(OR(B1701="",F1701&lt;&gt;"Done",J1701="Package"),"",IF(N(G1701)-N(I1701)&gt;0,N(G1701)-N(I1701),""))</f>
        <v/>
      </c>
      <c r="L1701" s="32" t="n"/>
      <c r="M1701" s="1">
        <f>IF(OR(B1701="",D1701="",F1701="Cancelled"),"",B1701+N(C1701)+ROW()/10000000)</f>
        <v/>
      </c>
      <c r="N1701">
        <f>IF(AND(F1701="Done",M1701&lt;&gt;""),IF(COUNTIFS(Appointments!$D$6:$D$2005,D1701,Appointments!$F$6:$F$2005,"Done",Appointments!$M$6:$M$2005,"&gt;"&amp;M1701)=0,1,0),0)</f>
        <v/>
      </c>
      <c r="O1701">
        <f>IF(AND(F1701="Booked",M1701&lt;&gt;"",N(B1701)&gt;=TODAY()),IF(COUNTIFS(Appointments!$D$6:$D$2005,D1701,Appointments!$F$6:$F$2005,"Booked",Appointments!$B$6:$B$2005,"&gt;="&amp;TODAY(),Appointments!$M$6:$M$2005,"&lt;"&amp;M1701)=0,1,0),0)</f>
        <v/>
      </c>
    </row>
    <row r="1702">
      <c r="A1702" s="1" t="n"/>
      <c r="B1702" s="30" t="n"/>
      <c r="C1702" s="31" t="n"/>
      <c r="D1702" s="32" t="n"/>
      <c r="E1702" s="32" t="n"/>
      <c r="F1702" s="33" t="n"/>
      <c r="G1702" s="27">
        <f>IF(E1702="","",MAX(0,IFERROR(INDEX(Services!$C$6:$C$35,MATCH(E1702,Services!$B$6:$B$35,0)),0)-N(H1702)))</f>
        <v/>
      </c>
      <c r="H1702" s="34" t="n"/>
      <c r="I1702" s="34" t="n"/>
      <c r="J1702" s="33" t="n"/>
      <c r="K1702" s="28">
        <f>IF(OR(B1702="",F1702&lt;&gt;"Done",J1702="Package"),"",IF(N(G1702)-N(I1702)&gt;0,N(G1702)-N(I1702),""))</f>
        <v/>
      </c>
      <c r="L1702" s="32" t="n"/>
      <c r="M1702" s="1">
        <f>IF(OR(B1702="",D1702="",F1702="Cancelled"),"",B1702+N(C1702)+ROW()/10000000)</f>
        <v/>
      </c>
      <c r="N1702">
        <f>IF(AND(F1702="Done",M1702&lt;&gt;""),IF(COUNTIFS(Appointments!$D$6:$D$2005,D1702,Appointments!$F$6:$F$2005,"Done",Appointments!$M$6:$M$2005,"&gt;"&amp;M1702)=0,1,0),0)</f>
        <v/>
      </c>
      <c r="O1702">
        <f>IF(AND(F1702="Booked",M1702&lt;&gt;"",N(B1702)&gt;=TODAY()),IF(COUNTIFS(Appointments!$D$6:$D$2005,D1702,Appointments!$F$6:$F$2005,"Booked",Appointments!$B$6:$B$2005,"&gt;="&amp;TODAY(),Appointments!$M$6:$M$2005,"&lt;"&amp;M1702)=0,1,0),0)</f>
        <v/>
      </c>
    </row>
    <row r="1703">
      <c r="A1703" s="1" t="n"/>
      <c r="B1703" s="30" t="n"/>
      <c r="C1703" s="31" t="n"/>
      <c r="D1703" s="32" t="n"/>
      <c r="E1703" s="32" t="n"/>
      <c r="F1703" s="33" t="n"/>
      <c r="G1703" s="27">
        <f>IF(E1703="","",MAX(0,IFERROR(INDEX(Services!$C$6:$C$35,MATCH(E1703,Services!$B$6:$B$35,0)),0)-N(H1703)))</f>
        <v/>
      </c>
      <c r="H1703" s="34" t="n"/>
      <c r="I1703" s="34" t="n"/>
      <c r="J1703" s="33" t="n"/>
      <c r="K1703" s="28">
        <f>IF(OR(B1703="",F1703&lt;&gt;"Done",J1703="Package"),"",IF(N(G1703)-N(I1703)&gt;0,N(G1703)-N(I1703),""))</f>
        <v/>
      </c>
      <c r="L1703" s="32" t="n"/>
      <c r="M1703" s="1">
        <f>IF(OR(B1703="",D1703="",F1703="Cancelled"),"",B1703+N(C1703)+ROW()/10000000)</f>
        <v/>
      </c>
      <c r="N1703">
        <f>IF(AND(F1703="Done",M1703&lt;&gt;""),IF(COUNTIFS(Appointments!$D$6:$D$2005,D1703,Appointments!$F$6:$F$2005,"Done",Appointments!$M$6:$M$2005,"&gt;"&amp;M1703)=0,1,0),0)</f>
        <v/>
      </c>
      <c r="O1703">
        <f>IF(AND(F1703="Booked",M1703&lt;&gt;"",N(B1703)&gt;=TODAY()),IF(COUNTIFS(Appointments!$D$6:$D$2005,D1703,Appointments!$F$6:$F$2005,"Booked",Appointments!$B$6:$B$2005,"&gt;="&amp;TODAY(),Appointments!$M$6:$M$2005,"&lt;"&amp;M1703)=0,1,0),0)</f>
        <v/>
      </c>
    </row>
    <row r="1704">
      <c r="A1704" s="1" t="n"/>
      <c r="B1704" s="30" t="n"/>
      <c r="C1704" s="31" t="n"/>
      <c r="D1704" s="32" t="n"/>
      <c r="E1704" s="32" t="n"/>
      <c r="F1704" s="33" t="n"/>
      <c r="G1704" s="27">
        <f>IF(E1704="","",MAX(0,IFERROR(INDEX(Services!$C$6:$C$35,MATCH(E1704,Services!$B$6:$B$35,0)),0)-N(H1704)))</f>
        <v/>
      </c>
      <c r="H1704" s="34" t="n"/>
      <c r="I1704" s="34" t="n"/>
      <c r="J1704" s="33" t="n"/>
      <c r="K1704" s="28">
        <f>IF(OR(B1704="",F1704&lt;&gt;"Done",J1704="Package"),"",IF(N(G1704)-N(I1704)&gt;0,N(G1704)-N(I1704),""))</f>
        <v/>
      </c>
      <c r="L1704" s="32" t="n"/>
      <c r="M1704" s="1">
        <f>IF(OR(B1704="",D1704="",F1704="Cancelled"),"",B1704+N(C1704)+ROW()/10000000)</f>
        <v/>
      </c>
      <c r="N1704">
        <f>IF(AND(F1704="Done",M1704&lt;&gt;""),IF(COUNTIFS(Appointments!$D$6:$D$2005,D1704,Appointments!$F$6:$F$2005,"Done",Appointments!$M$6:$M$2005,"&gt;"&amp;M1704)=0,1,0),0)</f>
        <v/>
      </c>
      <c r="O1704">
        <f>IF(AND(F1704="Booked",M1704&lt;&gt;"",N(B1704)&gt;=TODAY()),IF(COUNTIFS(Appointments!$D$6:$D$2005,D1704,Appointments!$F$6:$F$2005,"Booked",Appointments!$B$6:$B$2005,"&gt;="&amp;TODAY(),Appointments!$M$6:$M$2005,"&lt;"&amp;M1704)=0,1,0),0)</f>
        <v/>
      </c>
    </row>
    <row r="1705">
      <c r="A1705" s="1" t="n"/>
      <c r="B1705" s="30" t="n"/>
      <c r="C1705" s="31" t="n"/>
      <c r="D1705" s="32" t="n"/>
      <c r="E1705" s="32" t="n"/>
      <c r="F1705" s="33" t="n"/>
      <c r="G1705" s="27">
        <f>IF(E1705="","",MAX(0,IFERROR(INDEX(Services!$C$6:$C$35,MATCH(E1705,Services!$B$6:$B$35,0)),0)-N(H1705)))</f>
        <v/>
      </c>
      <c r="H1705" s="34" t="n"/>
      <c r="I1705" s="34" t="n"/>
      <c r="J1705" s="33" t="n"/>
      <c r="K1705" s="28">
        <f>IF(OR(B1705="",F1705&lt;&gt;"Done",J1705="Package"),"",IF(N(G1705)-N(I1705)&gt;0,N(G1705)-N(I1705),""))</f>
        <v/>
      </c>
      <c r="L1705" s="32" t="n"/>
      <c r="M1705" s="1">
        <f>IF(OR(B1705="",D1705="",F1705="Cancelled"),"",B1705+N(C1705)+ROW()/10000000)</f>
        <v/>
      </c>
      <c r="N1705">
        <f>IF(AND(F1705="Done",M1705&lt;&gt;""),IF(COUNTIFS(Appointments!$D$6:$D$2005,D1705,Appointments!$F$6:$F$2005,"Done",Appointments!$M$6:$M$2005,"&gt;"&amp;M1705)=0,1,0),0)</f>
        <v/>
      </c>
      <c r="O1705">
        <f>IF(AND(F1705="Booked",M1705&lt;&gt;"",N(B1705)&gt;=TODAY()),IF(COUNTIFS(Appointments!$D$6:$D$2005,D1705,Appointments!$F$6:$F$2005,"Booked",Appointments!$B$6:$B$2005,"&gt;="&amp;TODAY(),Appointments!$M$6:$M$2005,"&lt;"&amp;M1705)=0,1,0),0)</f>
        <v/>
      </c>
    </row>
    <row r="1706">
      <c r="A1706" s="1" t="n"/>
      <c r="B1706" s="30" t="n"/>
      <c r="C1706" s="31" t="n"/>
      <c r="D1706" s="32" t="n"/>
      <c r="E1706" s="32" t="n"/>
      <c r="F1706" s="33" t="n"/>
      <c r="G1706" s="27">
        <f>IF(E1706="","",MAX(0,IFERROR(INDEX(Services!$C$6:$C$35,MATCH(E1706,Services!$B$6:$B$35,0)),0)-N(H1706)))</f>
        <v/>
      </c>
      <c r="H1706" s="34" t="n"/>
      <c r="I1706" s="34" t="n"/>
      <c r="J1706" s="33" t="n"/>
      <c r="K1706" s="28">
        <f>IF(OR(B1706="",F1706&lt;&gt;"Done",J1706="Package"),"",IF(N(G1706)-N(I1706)&gt;0,N(G1706)-N(I1706),""))</f>
        <v/>
      </c>
      <c r="L1706" s="32" t="n"/>
      <c r="M1706" s="1">
        <f>IF(OR(B1706="",D1706="",F1706="Cancelled"),"",B1706+N(C1706)+ROW()/10000000)</f>
        <v/>
      </c>
      <c r="N1706">
        <f>IF(AND(F1706="Done",M1706&lt;&gt;""),IF(COUNTIFS(Appointments!$D$6:$D$2005,D1706,Appointments!$F$6:$F$2005,"Done",Appointments!$M$6:$M$2005,"&gt;"&amp;M1706)=0,1,0),0)</f>
        <v/>
      </c>
      <c r="O1706">
        <f>IF(AND(F1706="Booked",M1706&lt;&gt;"",N(B1706)&gt;=TODAY()),IF(COUNTIFS(Appointments!$D$6:$D$2005,D1706,Appointments!$F$6:$F$2005,"Booked",Appointments!$B$6:$B$2005,"&gt;="&amp;TODAY(),Appointments!$M$6:$M$2005,"&lt;"&amp;M1706)=0,1,0),0)</f>
        <v/>
      </c>
    </row>
    <row r="1707">
      <c r="A1707" s="1" t="n"/>
      <c r="B1707" s="30" t="n"/>
      <c r="C1707" s="31" t="n"/>
      <c r="D1707" s="32" t="n"/>
      <c r="E1707" s="32" t="n"/>
      <c r="F1707" s="33" t="n"/>
      <c r="G1707" s="27">
        <f>IF(E1707="","",MAX(0,IFERROR(INDEX(Services!$C$6:$C$35,MATCH(E1707,Services!$B$6:$B$35,0)),0)-N(H1707)))</f>
        <v/>
      </c>
      <c r="H1707" s="34" t="n"/>
      <c r="I1707" s="34" t="n"/>
      <c r="J1707" s="33" t="n"/>
      <c r="K1707" s="28">
        <f>IF(OR(B1707="",F1707&lt;&gt;"Done",J1707="Package"),"",IF(N(G1707)-N(I1707)&gt;0,N(G1707)-N(I1707),""))</f>
        <v/>
      </c>
      <c r="L1707" s="32" t="n"/>
      <c r="M1707" s="1">
        <f>IF(OR(B1707="",D1707="",F1707="Cancelled"),"",B1707+N(C1707)+ROW()/10000000)</f>
        <v/>
      </c>
      <c r="N1707">
        <f>IF(AND(F1707="Done",M1707&lt;&gt;""),IF(COUNTIFS(Appointments!$D$6:$D$2005,D1707,Appointments!$F$6:$F$2005,"Done",Appointments!$M$6:$M$2005,"&gt;"&amp;M1707)=0,1,0),0)</f>
        <v/>
      </c>
      <c r="O1707">
        <f>IF(AND(F1707="Booked",M1707&lt;&gt;"",N(B1707)&gt;=TODAY()),IF(COUNTIFS(Appointments!$D$6:$D$2005,D1707,Appointments!$F$6:$F$2005,"Booked",Appointments!$B$6:$B$2005,"&gt;="&amp;TODAY(),Appointments!$M$6:$M$2005,"&lt;"&amp;M1707)=0,1,0),0)</f>
        <v/>
      </c>
    </row>
    <row r="1708">
      <c r="A1708" s="1" t="n"/>
      <c r="B1708" s="30" t="n"/>
      <c r="C1708" s="31" t="n"/>
      <c r="D1708" s="32" t="n"/>
      <c r="E1708" s="32" t="n"/>
      <c r="F1708" s="33" t="n"/>
      <c r="G1708" s="27">
        <f>IF(E1708="","",MAX(0,IFERROR(INDEX(Services!$C$6:$C$35,MATCH(E1708,Services!$B$6:$B$35,0)),0)-N(H1708)))</f>
        <v/>
      </c>
      <c r="H1708" s="34" t="n"/>
      <c r="I1708" s="34" t="n"/>
      <c r="J1708" s="33" t="n"/>
      <c r="K1708" s="28">
        <f>IF(OR(B1708="",F1708&lt;&gt;"Done",J1708="Package"),"",IF(N(G1708)-N(I1708)&gt;0,N(G1708)-N(I1708),""))</f>
        <v/>
      </c>
      <c r="L1708" s="32" t="n"/>
      <c r="M1708" s="1">
        <f>IF(OR(B1708="",D1708="",F1708="Cancelled"),"",B1708+N(C1708)+ROW()/10000000)</f>
        <v/>
      </c>
      <c r="N1708">
        <f>IF(AND(F1708="Done",M1708&lt;&gt;""),IF(COUNTIFS(Appointments!$D$6:$D$2005,D1708,Appointments!$F$6:$F$2005,"Done",Appointments!$M$6:$M$2005,"&gt;"&amp;M1708)=0,1,0),0)</f>
        <v/>
      </c>
      <c r="O1708">
        <f>IF(AND(F1708="Booked",M1708&lt;&gt;"",N(B1708)&gt;=TODAY()),IF(COUNTIFS(Appointments!$D$6:$D$2005,D1708,Appointments!$F$6:$F$2005,"Booked",Appointments!$B$6:$B$2005,"&gt;="&amp;TODAY(),Appointments!$M$6:$M$2005,"&lt;"&amp;M1708)=0,1,0),0)</f>
        <v/>
      </c>
    </row>
    <row r="1709">
      <c r="A1709" s="1" t="n"/>
      <c r="B1709" s="30" t="n"/>
      <c r="C1709" s="31" t="n"/>
      <c r="D1709" s="32" t="n"/>
      <c r="E1709" s="32" t="n"/>
      <c r="F1709" s="33" t="n"/>
      <c r="G1709" s="27">
        <f>IF(E1709="","",MAX(0,IFERROR(INDEX(Services!$C$6:$C$35,MATCH(E1709,Services!$B$6:$B$35,0)),0)-N(H1709)))</f>
        <v/>
      </c>
      <c r="H1709" s="34" t="n"/>
      <c r="I1709" s="34" t="n"/>
      <c r="J1709" s="33" t="n"/>
      <c r="K1709" s="28">
        <f>IF(OR(B1709="",F1709&lt;&gt;"Done",J1709="Package"),"",IF(N(G1709)-N(I1709)&gt;0,N(G1709)-N(I1709),""))</f>
        <v/>
      </c>
      <c r="L1709" s="32" t="n"/>
      <c r="M1709" s="1">
        <f>IF(OR(B1709="",D1709="",F1709="Cancelled"),"",B1709+N(C1709)+ROW()/10000000)</f>
        <v/>
      </c>
      <c r="N1709">
        <f>IF(AND(F1709="Done",M1709&lt;&gt;""),IF(COUNTIFS(Appointments!$D$6:$D$2005,D1709,Appointments!$F$6:$F$2005,"Done",Appointments!$M$6:$M$2005,"&gt;"&amp;M1709)=0,1,0),0)</f>
        <v/>
      </c>
      <c r="O1709">
        <f>IF(AND(F1709="Booked",M1709&lt;&gt;"",N(B1709)&gt;=TODAY()),IF(COUNTIFS(Appointments!$D$6:$D$2005,D1709,Appointments!$F$6:$F$2005,"Booked",Appointments!$B$6:$B$2005,"&gt;="&amp;TODAY(),Appointments!$M$6:$M$2005,"&lt;"&amp;M1709)=0,1,0),0)</f>
        <v/>
      </c>
    </row>
    <row r="1710">
      <c r="A1710" s="1" t="n"/>
      <c r="B1710" s="30" t="n"/>
      <c r="C1710" s="31" t="n"/>
      <c r="D1710" s="32" t="n"/>
      <c r="E1710" s="32" t="n"/>
      <c r="F1710" s="33" t="n"/>
      <c r="G1710" s="27">
        <f>IF(E1710="","",MAX(0,IFERROR(INDEX(Services!$C$6:$C$35,MATCH(E1710,Services!$B$6:$B$35,0)),0)-N(H1710)))</f>
        <v/>
      </c>
      <c r="H1710" s="34" t="n"/>
      <c r="I1710" s="34" t="n"/>
      <c r="J1710" s="33" t="n"/>
      <c r="K1710" s="28">
        <f>IF(OR(B1710="",F1710&lt;&gt;"Done",J1710="Package"),"",IF(N(G1710)-N(I1710)&gt;0,N(G1710)-N(I1710),""))</f>
        <v/>
      </c>
      <c r="L1710" s="32" t="n"/>
      <c r="M1710" s="1">
        <f>IF(OR(B1710="",D1710="",F1710="Cancelled"),"",B1710+N(C1710)+ROW()/10000000)</f>
        <v/>
      </c>
      <c r="N1710">
        <f>IF(AND(F1710="Done",M1710&lt;&gt;""),IF(COUNTIFS(Appointments!$D$6:$D$2005,D1710,Appointments!$F$6:$F$2005,"Done",Appointments!$M$6:$M$2005,"&gt;"&amp;M1710)=0,1,0),0)</f>
        <v/>
      </c>
      <c r="O1710">
        <f>IF(AND(F1710="Booked",M1710&lt;&gt;"",N(B1710)&gt;=TODAY()),IF(COUNTIFS(Appointments!$D$6:$D$2005,D1710,Appointments!$F$6:$F$2005,"Booked",Appointments!$B$6:$B$2005,"&gt;="&amp;TODAY(),Appointments!$M$6:$M$2005,"&lt;"&amp;M1710)=0,1,0),0)</f>
        <v/>
      </c>
    </row>
    <row r="1711">
      <c r="A1711" s="1" t="n"/>
      <c r="B1711" s="30" t="n"/>
      <c r="C1711" s="31" t="n"/>
      <c r="D1711" s="32" t="n"/>
      <c r="E1711" s="32" t="n"/>
      <c r="F1711" s="33" t="n"/>
      <c r="G1711" s="27">
        <f>IF(E1711="","",MAX(0,IFERROR(INDEX(Services!$C$6:$C$35,MATCH(E1711,Services!$B$6:$B$35,0)),0)-N(H1711)))</f>
        <v/>
      </c>
      <c r="H1711" s="34" t="n"/>
      <c r="I1711" s="34" t="n"/>
      <c r="J1711" s="33" t="n"/>
      <c r="K1711" s="28">
        <f>IF(OR(B1711="",F1711&lt;&gt;"Done",J1711="Package"),"",IF(N(G1711)-N(I1711)&gt;0,N(G1711)-N(I1711),""))</f>
        <v/>
      </c>
      <c r="L1711" s="32" t="n"/>
      <c r="M1711" s="1">
        <f>IF(OR(B1711="",D1711="",F1711="Cancelled"),"",B1711+N(C1711)+ROW()/10000000)</f>
        <v/>
      </c>
      <c r="N1711">
        <f>IF(AND(F1711="Done",M1711&lt;&gt;""),IF(COUNTIFS(Appointments!$D$6:$D$2005,D1711,Appointments!$F$6:$F$2005,"Done",Appointments!$M$6:$M$2005,"&gt;"&amp;M1711)=0,1,0),0)</f>
        <v/>
      </c>
      <c r="O1711">
        <f>IF(AND(F1711="Booked",M1711&lt;&gt;"",N(B1711)&gt;=TODAY()),IF(COUNTIFS(Appointments!$D$6:$D$2005,D1711,Appointments!$F$6:$F$2005,"Booked",Appointments!$B$6:$B$2005,"&gt;="&amp;TODAY(),Appointments!$M$6:$M$2005,"&lt;"&amp;M1711)=0,1,0),0)</f>
        <v/>
      </c>
    </row>
    <row r="1712">
      <c r="A1712" s="1" t="n"/>
      <c r="B1712" s="30" t="n"/>
      <c r="C1712" s="31" t="n"/>
      <c r="D1712" s="32" t="n"/>
      <c r="E1712" s="32" t="n"/>
      <c r="F1712" s="33" t="n"/>
      <c r="G1712" s="27">
        <f>IF(E1712="","",MAX(0,IFERROR(INDEX(Services!$C$6:$C$35,MATCH(E1712,Services!$B$6:$B$35,0)),0)-N(H1712)))</f>
        <v/>
      </c>
      <c r="H1712" s="34" t="n"/>
      <c r="I1712" s="34" t="n"/>
      <c r="J1712" s="33" t="n"/>
      <c r="K1712" s="28">
        <f>IF(OR(B1712="",F1712&lt;&gt;"Done",J1712="Package"),"",IF(N(G1712)-N(I1712)&gt;0,N(G1712)-N(I1712),""))</f>
        <v/>
      </c>
      <c r="L1712" s="32" t="n"/>
      <c r="M1712" s="1">
        <f>IF(OR(B1712="",D1712="",F1712="Cancelled"),"",B1712+N(C1712)+ROW()/10000000)</f>
        <v/>
      </c>
      <c r="N1712">
        <f>IF(AND(F1712="Done",M1712&lt;&gt;""),IF(COUNTIFS(Appointments!$D$6:$D$2005,D1712,Appointments!$F$6:$F$2005,"Done",Appointments!$M$6:$M$2005,"&gt;"&amp;M1712)=0,1,0),0)</f>
        <v/>
      </c>
      <c r="O1712">
        <f>IF(AND(F1712="Booked",M1712&lt;&gt;"",N(B1712)&gt;=TODAY()),IF(COUNTIFS(Appointments!$D$6:$D$2005,D1712,Appointments!$F$6:$F$2005,"Booked",Appointments!$B$6:$B$2005,"&gt;="&amp;TODAY(),Appointments!$M$6:$M$2005,"&lt;"&amp;M1712)=0,1,0),0)</f>
        <v/>
      </c>
    </row>
    <row r="1713">
      <c r="A1713" s="1" t="n"/>
      <c r="B1713" s="30" t="n"/>
      <c r="C1713" s="31" t="n"/>
      <c r="D1713" s="32" t="n"/>
      <c r="E1713" s="32" t="n"/>
      <c r="F1713" s="33" t="n"/>
      <c r="G1713" s="27">
        <f>IF(E1713="","",MAX(0,IFERROR(INDEX(Services!$C$6:$C$35,MATCH(E1713,Services!$B$6:$B$35,0)),0)-N(H1713)))</f>
        <v/>
      </c>
      <c r="H1713" s="34" t="n"/>
      <c r="I1713" s="34" t="n"/>
      <c r="J1713" s="33" t="n"/>
      <c r="K1713" s="28">
        <f>IF(OR(B1713="",F1713&lt;&gt;"Done",J1713="Package"),"",IF(N(G1713)-N(I1713)&gt;0,N(G1713)-N(I1713),""))</f>
        <v/>
      </c>
      <c r="L1713" s="32" t="n"/>
      <c r="M1713" s="1">
        <f>IF(OR(B1713="",D1713="",F1713="Cancelled"),"",B1713+N(C1713)+ROW()/10000000)</f>
        <v/>
      </c>
      <c r="N1713">
        <f>IF(AND(F1713="Done",M1713&lt;&gt;""),IF(COUNTIFS(Appointments!$D$6:$D$2005,D1713,Appointments!$F$6:$F$2005,"Done",Appointments!$M$6:$M$2005,"&gt;"&amp;M1713)=0,1,0),0)</f>
        <v/>
      </c>
      <c r="O1713">
        <f>IF(AND(F1713="Booked",M1713&lt;&gt;"",N(B1713)&gt;=TODAY()),IF(COUNTIFS(Appointments!$D$6:$D$2005,D1713,Appointments!$F$6:$F$2005,"Booked",Appointments!$B$6:$B$2005,"&gt;="&amp;TODAY(),Appointments!$M$6:$M$2005,"&lt;"&amp;M1713)=0,1,0),0)</f>
        <v/>
      </c>
    </row>
    <row r="1714">
      <c r="A1714" s="1" t="n"/>
      <c r="B1714" s="30" t="n"/>
      <c r="C1714" s="31" t="n"/>
      <c r="D1714" s="32" t="n"/>
      <c r="E1714" s="32" t="n"/>
      <c r="F1714" s="33" t="n"/>
      <c r="G1714" s="27">
        <f>IF(E1714="","",MAX(0,IFERROR(INDEX(Services!$C$6:$C$35,MATCH(E1714,Services!$B$6:$B$35,0)),0)-N(H1714)))</f>
        <v/>
      </c>
      <c r="H1714" s="34" t="n"/>
      <c r="I1714" s="34" t="n"/>
      <c r="J1714" s="33" t="n"/>
      <c r="K1714" s="28">
        <f>IF(OR(B1714="",F1714&lt;&gt;"Done",J1714="Package"),"",IF(N(G1714)-N(I1714)&gt;0,N(G1714)-N(I1714),""))</f>
        <v/>
      </c>
      <c r="L1714" s="32" t="n"/>
      <c r="M1714" s="1">
        <f>IF(OR(B1714="",D1714="",F1714="Cancelled"),"",B1714+N(C1714)+ROW()/10000000)</f>
        <v/>
      </c>
      <c r="N1714">
        <f>IF(AND(F1714="Done",M1714&lt;&gt;""),IF(COUNTIFS(Appointments!$D$6:$D$2005,D1714,Appointments!$F$6:$F$2005,"Done",Appointments!$M$6:$M$2005,"&gt;"&amp;M1714)=0,1,0),0)</f>
        <v/>
      </c>
      <c r="O1714">
        <f>IF(AND(F1714="Booked",M1714&lt;&gt;"",N(B1714)&gt;=TODAY()),IF(COUNTIFS(Appointments!$D$6:$D$2005,D1714,Appointments!$F$6:$F$2005,"Booked",Appointments!$B$6:$B$2005,"&gt;="&amp;TODAY(),Appointments!$M$6:$M$2005,"&lt;"&amp;M1714)=0,1,0),0)</f>
        <v/>
      </c>
    </row>
    <row r="1715">
      <c r="A1715" s="1" t="n"/>
      <c r="B1715" s="30" t="n"/>
      <c r="C1715" s="31" t="n"/>
      <c r="D1715" s="32" t="n"/>
      <c r="E1715" s="32" t="n"/>
      <c r="F1715" s="33" t="n"/>
      <c r="G1715" s="27">
        <f>IF(E1715="","",MAX(0,IFERROR(INDEX(Services!$C$6:$C$35,MATCH(E1715,Services!$B$6:$B$35,0)),0)-N(H1715)))</f>
        <v/>
      </c>
      <c r="H1715" s="34" t="n"/>
      <c r="I1715" s="34" t="n"/>
      <c r="J1715" s="33" t="n"/>
      <c r="K1715" s="28">
        <f>IF(OR(B1715="",F1715&lt;&gt;"Done",J1715="Package"),"",IF(N(G1715)-N(I1715)&gt;0,N(G1715)-N(I1715),""))</f>
        <v/>
      </c>
      <c r="L1715" s="32" t="n"/>
      <c r="M1715" s="1">
        <f>IF(OR(B1715="",D1715="",F1715="Cancelled"),"",B1715+N(C1715)+ROW()/10000000)</f>
        <v/>
      </c>
      <c r="N1715">
        <f>IF(AND(F1715="Done",M1715&lt;&gt;""),IF(COUNTIFS(Appointments!$D$6:$D$2005,D1715,Appointments!$F$6:$F$2005,"Done",Appointments!$M$6:$M$2005,"&gt;"&amp;M1715)=0,1,0),0)</f>
        <v/>
      </c>
      <c r="O1715">
        <f>IF(AND(F1715="Booked",M1715&lt;&gt;"",N(B1715)&gt;=TODAY()),IF(COUNTIFS(Appointments!$D$6:$D$2005,D1715,Appointments!$F$6:$F$2005,"Booked",Appointments!$B$6:$B$2005,"&gt;="&amp;TODAY(),Appointments!$M$6:$M$2005,"&lt;"&amp;M1715)=0,1,0),0)</f>
        <v/>
      </c>
    </row>
    <row r="1716">
      <c r="A1716" s="1" t="n"/>
      <c r="B1716" s="30" t="n"/>
      <c r="C1716" s="31" t="n"/>
      <c r="D1716" s="32" t="n"/>
      <c r="E1716" s="32" t="n"/>
      <c r="F1716" s="33" t="n"/>
      <c r="G1716" s="27">
        <f>IF(E1716="","",MAX(0,IFERROR(INDEX(Services!$C$6:$C$35,MATCH(E1716,Services!$B$6:$B$35,0)),0)-N(H1716)))</f>
        <v/>
      </c>
      <c r="H1716" s="34" t="n"/>
      <c r="I1716" s="34" t="n"/>
      <c r="J1716" s="33" t="n"/>
      <c r="K1716" s="28">
        <f>IF(OR(B1716="",F1716&lt;&gt;"Done",J1716="Package"),"",IF(N(G1716)-N(I1716)&gt;0,N(G1716)-N(I1716),""))</f>
        <v/>
      </c>
      <c r="L1716" s="32" t="n"/>
      <c r="M1716" s="1">
        <f>IF(OR(B1716="",D1716="",F1716="Cancelled"),"",B1716+N(C1716)+ROW()/10000000)</f>
        <v/>
      </c>
      <c r="N1716">
        <f>IF(AND(F1716="Done",M1716&lt;&gt;""),IF(COUNTIFS(Appointments!$D$6:$D$2005,D1716,Appointments!$F$6:$F$2005,"Done",Appointments!$M$6:$M$2005,"&gt;"&amp;M1716)=0,1,0),0)</f>
        <v/>
      </c>
      <c r="O1716">
        <f>IF(AND(F1716="Booked",M1716&lt;&gt;"",N(B1716)&gt;=TODAY()),IF(COUNTIFS(Appointments!$D$6:$D$2005,D1716,Appointments!$F$6:$F$2005,"Booked",Appointments!$B$6:$B$2005,"&gt;="&amp;TODAY(),Appointments!$M$6:$M$2005,"&lt;"&amp;M1716)=0,1,0),0)</f>
        <v/>
      </c>
    </row>
    <row r="1717">
      <c r="A1717" s="1" t="n"/>
      <c r="B1717" s="30" t="n"/>
      <c r="C1717" s="31" t="n"/>
      <c r="D1717" s="32" t="n"/>
      <c r="E1717" s="32" t="n"/>
      <c r="F1717" s="33" t="n"/>
      <c r="G1717" s="27">
        <f>IF(E1717="","",MAX(0,IFERROR(INDEX(Services!$C$6:$C$35,MATCH(E1717,Services!$B$6:$B$35,0)),0)-N(H1717)))</f>
        <v/>
      </c>
      <c r="H1717" s="34" t="n"/>
      <c r="I1717" s="34" t="n"/>
      <c r="J1717" s="33" t="n"/>
      <c r="K1717" s="28">
        <f>IF(OR(B1717="",F1717&lt;&gt;"Done",J1717="Package"),"",IF(N(G1717)-N(I1717)&gt;0,N(G1717)-N(I1717),""))</f>
        <v/>
      </c>
      <c r="L1717" s="32" t="n"/>
      <c r="M1717" s="1">
        <f>IF(OR(B1717="",D1717="",F1717="Cancelled"),"",B1717+N(C1717)+ROW()/10000000)</f>
        <v/>
      </c>
      <c r="N1717">
        <f>IF(AND(F1717="Done",M1717&lt;&gt;""),IF(COUNTIFS(Appointments!$D$6:$D$2005,D1717,Appointments!$F$6:$F$2005,"Done",Appointments!$M$6:$M$2005,"&gt;"&amp;M1717)=0,1,0),0)</f>
        <v/>
      </c>
      <c r="O1717">
        <f>IF(AND(F1717="Booked",M1717&lt;&gt;"",N(B1717)&gt;=TODAY()),IF(COUNTIFS(Appointments!$D$6:$D$2005,D1717,Appointments!$F$6:$F$2005,"Booked",Appointments!$B$6:$B$2005,"&gt;="&amp;TODAY(),Appointments!$M$6:$M$2005,"&lt;"&amp;M1717)=0,1,0),0)</f>
        <v/>
      </c>
    </row>
    <row r="1718">
      <c r="A1718" s="1" t="n"/>
      <c r="B1718" s="30" t="n"/>
      <c r="C1718" s="31" t="n"/>
      <c r="D1718" s="32" t="n"/>
      <c r="E1718" s="32" t="n"/>
      <c r="F1718" s="33" t="n"/>
      <c r="G1718" s="27">
        <f>IF(E1718="","",MAX(0,IFERROR(INDEX(Services!$C$6:$C$35,MATCH(E1718,Services!$B$6:$B$35,0)),0)-N(H1718)))</f>
        <v/>
      </c>
      <c r="H1718" s="34" t="n"/>
      <c r="I1718" s="34" t="n"/>
      <c r="J1718" s="33" t="n"/>
      <c r="K1718" s="28">
        <f>IF(OR(B1718="",F1718&lt;&gt;"Done",J1718="Package"),"",IF(N(G1718)-N(I1718)&gt;0,N(G1718)-N(I1718),""))</f>
        <v/>
      </c>
      <c r="L1718" s="32" t="n"/>
      <c r="M1718" s="1">
        <f>IF(OR(B1718="",D1718="",F1718="Cancelled"),"",B1718+N(C1718)+ROW()/10000000)</f>
        <v/>
      </c>
      <c r="N1718">
        <f>IF(AND(F1718="Done",M1718&lt;&gt;""),IF(COUNTIFS(Appointments!$D$6:$D$2005,D1718,Appointments!$F$6:$F$2005,"Done",Appointments!$M$6:$M$2005,"&gt;"&amp;M1718)=0,1,0),0)</f>
        <v/>
      </c>
      <c r="O1718">
        <f>IF(AND(F1718="Booked",M1718&lt;&gt;"",N(B1718)&gt;=TODAY()),IF(COUNTIFS(Appointments!$D$6:$D$2005,D1718,Appointments!$F$6:$F$2005,"Booked",Appointments!$B$6:$B$2005,"&gt;="&amp;TODAY(),Appointments!$M$6:$M$2005,"&lt;"&amp;M1718)=0,1,0),0)</f>
        <v/>
      </c>
    </row>
    <row r="1719">
      <c r="A1719" s="1" t="n"/>
      <c r="B1719" s="30" t="n"/>
      <c r="C1719" s="31" t="n"/>
      <c r="D1719" s="32" t="n"/>
      <c r="E1719" s="32" t="n"/>
      <c r="F1719" s="33" t="n"/>
      <c r="G1719" s="27">
        <f>IF(E1719="","",MAX(0,IFERROR(INDEX(Services!$C$6:$C$35,MATCH(E1719,Services!$B$6:$B$35,0)),0)-N(H1719)))</f>
        <v/>
      </c>
      <c r="H1719" s="34" t="n"/>
      <c r="I1719" s="34" t="n"/>
      <c r="J1719" s="33" t="n"/>
      <c r="K1719" s="28">
        <f>IF(OR(B1719="",F1719&lt;&gt;"Done",J1719="Package"),"",IF(N(G1719)-N(I1719)&gt;0,N(G1719)-N(I1719),""))</f>
        <v/>
      </c>
      <c r="L1719" s="32" t="n"/>
      <c r="M1719" s="1">
        <f>IF(OR(B1719="",D1719="",F1719="Cancelled"),"",B1719+N(C1719)+ROW()/10000000)</f>
        <v/>
      </c>
      <c r="N1719">
        <f>IF(AND(F1719="Done",M1719&lt;&gt;""),IF(COUNTIFS(Appointments!$D$6:$D$2005,D1719,Appointments!$F$6:$F$2005,"Done",Appointments!$M$6:$M$2005,"&gt;"&amp;M1719)=0,1,0),0)</f>
        <v/>
      </c>
      <c r="O1719">
        <f>IF(AND(F1719="Booked",M1719&lt;&gt;"",N(B1719)&gt;=TODAY()),IF(COUNTIFS(Appointments!$D$6:$D$2005,D1719,Appointments!$F$6:$F$2005,"Booked",Appointments!$B$6:$B$2005,"&gt;="&amp;TODAY(),Appointments!$M$6:$M$2005,"&lt;"&amp;M1719)=0,1,0),0)</f>
        <v/>
      </c>
    </row>
    <row r="1720">
      <c r="A1720" s="1" t="n"/>
      <c r="B1720" s="30" t="n"/>
      <c r="C1720" s="31" t="n"/>
      <c r="D1720" s="32" t="n"/>
      <c r="E1720" s="32" t="n"/>
      <c r="F1720" s="33" t="n"/>
      <c r="G1720" s="27">
        <f>IF(E1720="","",MAX(0,IFERROR(INDEX(Services!$C$6:$C$35,MATCH(E1720,Services!$B$6:$B$35,0)),0)-N(H1720)))</f>
        <v/>
      </c>
      <c r="H1720" s="34" t="n"/>
      <c r="I1720" s="34" t="n"/>
      <c r="J1720" s="33" t="n"/>
      <c r="K1720" s="28">
        <f>IF(OR(B1720="",F1720&lt;&gt;"Done",J1720="Package"),"",IF(N(G1720)-N(I1720)&gt;0,N(G1720)-N(I1720),""))</f>
        <v/>
      </c>
      <c r="L1720" s="32" t="n"/>
      <c r="M1720" s="1">
        <f>IF(OR(B1720="",D1720="",F1720="Cancelled"),"",B1720+N(C1720)+ROW()/10000000)</f>
        <v/>
      </c>
      <c r="N1720">
        <f>IF(AND(F1720="Done",M1720&lt;&gt;""),IF(COUNTIFS(Appointments!$D$6:$D$2005,D1720,Appointments!$F$6:$F$2005,"Done",Appointments!$M$6:$M$2005,"&gt;"&amp;M1720)=0,1,0),0)</f>
        <v/>
      </c>
      <c r="O1720">
        <f>IF(AND(F1720="Booked",M1720&lt;&gt;"",N(B1720)&gt;=TODAY()),IF(COUNTIFS(Appointments!$D$6:$D$2005,D1720,Appointments!$F$6:$F$2005,"Booked",Appointments!$B$6:$B$2005,"&gt;="&amp;TODAY(),Appointments!$M$6:$M$2005,"&lt;"&amp;M1720)=0,1,0),0)</f>
        <v/>
      </c>
    </row>
    <row r="1721">
      <c r="A1721" s="1" t="n"/>
      <c r="B1721" s="30" t="n"/>
      <c r="C1721" s="31" t="n"/>
      <c r="D1721" s="32" t="n"/>
      <c r="E1721" s="32" t="n"/>
      <c r="F1721" s="33" t="n"/>
      <c r="G1721" s="27">
        <f>IF(E1721="","",MAX(0,IFERROR(INDEX(Services!$C$6:$C$35,MATCH(E1721,Services!$B$6:$B$35,0)),0)-N(H1721)))</f>
        <v/>
      </c>
      <c r="H1721" s="34" t="n"/>
      <c r="I1721" s="34" t="n"/>
      <c r="J1721" s="33" t="n"/>
      <c r="K1721" s="28">
        <f>IF(OR(B1721="",F1721&lt;&gt;"Done",J1721="Package"),"",IF(N(G1721)-N(I1721)&gt;0,N(G1721)-N(I1721),""))</f>
        <v/>
      </c>
      <c r="L1721" s="32" t="n"/>
      <c r="M1721" s="1">
        <f>IF(OR(B1721="",D1721="",F1721="Cancelled"),"",B1721+N(C1721)+ROW()/10000000)</f>
        <v/>
      </c>
      <c r="N1721">
        <f>IF(AND(F1721="Done",M1721&lt;&gt;""),IF(COUNTIFS(Appointments!$D$6:$D$2005,D1721,Appointments!$F$6:$F$2005,"Done",Appointments!$M$6:$M$2005,"&gt;"&amp;M1721)=0,1,0),0)</f>
        <v/>
      </c>
      <c r="O1721">
        <f>IF(AND(F1721="Booked",M1721&lt;&gt;"",N(B1721)&gt;=TODAY()),IF(COUNTIFS(Appointments!$D$6:$D$2005,D1721,Appointments!$F$6:$F$2005,"Booked",Appointments!$B$6:$B$2005,"&gt;="&amp;TODAY(),Appointments!$M$6:$M$2005,"&lt;"&amp;M1721)=0,1,0),0)</f>
        <v/>
      </c>
    </row>
    <row r="1722">
      <c r="A1722" s="1" t="n"/>
      <c r="B1722" s="30" t="n"/>
      <c r="C1722" s="31" t="n"/>
      <c r="D1722" s="32" t="n"/>
      <c r="E1722" s="32" t="n"/>
      <c r="F1722" s="33" t="n"/>
      <c r="G1722" s="27">
        <f>IF(E1722="","",MAX(0,IFERROR(INDEX(Services!$C$6:$C$35,MATCH(E1722,Services!$B$6:$B$35,0)),0)-N(H1722)))</f>
        <v/>
      </c>
      <c r="H1722" s="34" t="n"/>
      <c r="I1722" s="34" t="n"/>
      <c r="J1722" s="33" t="n"/>
      <c r="K1722" s="28">
        <f>IF(OR(B1722="",F1722&lt;&gt;"Done",J1722="Package"),"",IF(N(G1722)-N(I1722)&gt;0,N(G1722)-N(I1722),""))</f>
        <v/>
      </c>
      <c r="L1722" s="32" t="n"/>
      <c r="M1722" s="1">
        <f>IF(OR(B1722="",D1722="",F1722="Cancelled"),"",B1722+N(C1722)+ROW()/10000000)</f>
        <v/>
      </c>
      <c r="N1722">
        <f>IF(AND(F1722="Done",M1722&lt;&gt;""),IF(COUNTIFS(Appointments!$D$6:$D$2005,D1722,Appointments!$F$6:$F$2005,"Done",Appointments!$M$6:$M$2005,"&gt;"&amp;M1722)=0,1,0),0)</f>
        <v/>
      </c>
      <c r="O1722">
        <f>IF(AND(F1722="Booked",M1722&lt;&gt;"",N(B1722)&gt;=TODAY()),IF(COUNTIFS(Appointments!$D$6:$D$2005,D1722,Appointments!$F$6:$F$2005,"Booked",Appointments!$B$6:$B$2005,"&gt;="&amp;TODAY(),Appointments!$M$6:$M$2005,"&lt;"&amp;M1722)=0,1,0),0)</f>
        <v/>
      </c>
    </row>
    <row r="1723">
      <c r="A1723" s="1" t="n"/>
      <c r="B1723" s="30" t="n"/>
      <c r="C1723" s="31" t="n"/>
      <c r="D1723" s="32" t="n"/>
      <c r="E1723" s="32" t="n"/>
      <c r="F1723" s="33" t="n"/>
      <c r="G1723" s="27">
        <f>IF(E1723="","",MAX(0,IFERROR(INDEX(Services!$C$6:$C$35,MATCH(E1723,Services!$B$6:$B$35,0)),0)-N(H1723)))</f>
        <v/>
      </c>
      <c r="H1723" s="34" t="n"/>
      <c r="I1723" s="34" t="n"/>
      <c r="J1723" s="33" t="n"/>
      <c r="K1723" s="28">
        <f>IF(OR(B1723="",F1723&lt;&gt;"Done",J1723="Package"),"",IF(N(G1723)-N(I1723)&gt;0,N(G1723)-N(I1723),""))</f>
        <v/>
      </c>
      <c r="L1723" s="32" t="n"/>
      <c r="M1723" s="1">
        <f>IF(OR(B1723="",D1723="",F1723="Cancelled"),"",B1723+N(C1723)+ROW()/10000000)</f>
        <v/>
      </c>
      <c r="N1723">
        <f>IF(AND(F1723="Done",M1723&lt;&gt;""),IF(COUNTIFS(Appointments!$D$6:$D$2005,D1723,Appointments!$F$6:$F$2005,"Done",Appointments!$M$6:$M$2005,"&gt;"&amp;M1723)=0,1,0),0)</f>
        <v/>
      </c>
      <c r="O1723">
        <f>IF(AND(F1723="Booked",M1723&lt;&gt;"",N(B1723)&gt;=TODAY()),IF(COUNTIFS(Appointments!$D$6:$D$2005,D1723,Appointments!$F$6:$F$2005,"Booked",Appointments!$B$6:$B$2005,"&gt;="&amp;TODAY(),Appointments!$M$6:$M$2005,"&lt;"&amp;M1723)=0,1,0),0)</f>
        <v/>
      </c>
    </row>
    <row r="1724">
      <c r="A1724" s="1" t="n"/>
      <c r="B1724" s="30" t="n"/>
      <c r="C1724" s="31" t="n"/>
      <c r="D1724" s="32" t="n"/>
      <c r="E1724" s="32" t="n"/>
      <c r="F1724" s="33" t="n"/>
      <c r="G1724" s="27">
        <f>IF(E1724="","",MAX(0,IFERROR(INDEX(Services!$C$6:$C$35,MATCH(E1724,Services!$B$6:$B$35,0)),0)-N(H1724)))</f>
        <v/>
      </c>
      <c r="H1724" s="34" t="n"/>
      <c r="I1724" s="34" t="n"/>
      <c r="J1724" s="33" t="n"/>
      <c r="K1724" s="28">
        <f>IF(OR(B1724="",F1724&lt;&gt;"Done",J1724="Package"),"",IF(N(G1724)-N(I1724)&gt;0,N(G1724)-N(I1724),""))</f>
        <v/>
      </c>
      <c r="L1724" s="32" t="n"/>
      <c r="M1724" s="1">
        <f>IF(OR(B1724="",D1724="",F1724="Cancelled"),"",B1724+N(C1724)+ROW()/10000000)</f>
        <v/>
      </c>
      <c r="N1724">
        <f>IF(AND(F1724="Done",M1724&lt;&gt;""),IF(COUNTIFS(Appointments!$D$6:$D$2005,D1724,Appointments!$F$6:$F$2005,"Done",Appointments!$M$6:$M$2005,"&gt;"&amp;M1724)=0,1,0),0)</f>
        <v/>
      </c>
      <c r="O1724">
        <f>IF(AND(F1724="Booked",M1724&lt;&gt;"",N(B1724)&gt;=TODAY()),IF(COUNTIFS(Appointments!$D$6:$D$2005,D1724,Appointments!$F$6:$F$2005,"Booked",Appointments!$B$6:$B$2005,"&gt;="&amp;TODAY(),Appointments!$M$6:$M$2005,"&lt;"&amp;M1724)=0,1,0),0)</f>
        <v/>
      </c>
    </row>
    <row r="1725">
      <c r="A1725" s="1" t="n"/>
      <c r="B1725" s="30" t="n"/>
      <c r="C1725" s="31" t="n"/>
      <c r="D1725" s="32" t="n"/>
      <c r="E1725" s="32" t="n"/>
      <c r="F1725" s="33" t="n"/>
      <c r="G1725" s="27">
        <f>IF(E1725="","",MAX(0,IFERROR(INDEX(Services!$C$6:$C$35,MATCH(E1725,Services!$B$6:$B$35,0)),0)-N(H1725)))</f>
        <v/>
      </c>
      <c r="H1725" s="34" t="n"/>
      <c r="I1725" s="34" t="n"/>
      <c r="J1725" s="33" t="n"/>
      <c r="K1725" s="28">
        <f>IF(OR(B1725="",F1725&lt;&gt;"Done",J1725="Package"),"",IF(N(G1725)-N(I1725)&gt;0,N(G1725)-N(I1725),""))</f>
        <v/>
      </c>
      <c r="L1725" s="32" t="n"/>
      <c r="M1725" s="1">
        <f>IF(OR(B1725="",D1725="",F1725="Cancelled"),"",B1725+N(C1725)+ROW()/10000000)</f>
        <v/>
      </c>
      <c r="N1725">
        <f>IF(AND(F1725="Done",M1725&lt;&gt;""),IF(COUNTIFS(Appointments!$D$6:$D$2005,D1725,Appointments!$F$6:$F$2005,"Done",Appointments!$M$6:$M$2005,"&gt;"&amp;M1725)=0,1,0),0)</f>
        <v/>
      </c>
      <c r="O1725">
        <f>IF(AND(F1725="Booked",M1725&lt;&gt;"",N(B1725)&gt;=TODAY()),IF(COUNTIFS(Appointments!$D$6:$D$2005,D1725,Appointments!$F$6:$F$2005,"Booked",Appointments!$B$6:$B$2005,"&gt;="&amp;TODAY(),Appointments!$M$6:$M$2005,"&lt;"&amp;M1725)=0,1,0),0)</f>
        <v/>
      </c>
    </row>
    <row r="1726">
      <c r="A1726" s="1" t="n"/>
      <c r="B1726" s="30" t="n"/>
      <c r="C1726" s="31" t="n"/>
      <c r="D1726" s="32" t="n"/>
      <c r="E1726" s="32" t="n"/>
      <c r="F1726" s="33" t="n"/>
      <c r="G1726" s="27">
        <f>IF(E1726="","",MAX(0,IFERROR(INDEX(Services!$C$6:$C$35,MATCH(E1726,Services!$B$6:$B$35,0)),0)-N(H1726)))</f>
        <v/>
      </c>
      <c r="H1726" s="34" t="n"/>
      <c r="I1726" s="34" t="n"/>
      <c r="J1726" s="33" t="n"/>
      <c r="K1726" s="28">
        <f>IF(OR(B1726="",F1726&lt;&gt;"Done",J1726="Package"),"",IF(N(G1726)-N(I1726)&gt;0,N(G1726)-N(I1726),""))</f>
        <v/>
      </c>
      <c r="L1726" s="32" t="n"/>
      <c r="M1726" s="1">
        <f>IF(OR(B1726="",D1726="",F1726="Cancelled"),"",B1726+N(C1726)+ROW()/10000000)</f>
        <v/>
      </c>
      <c r="N1726">
        <f>IF(AND(F1726="Done",M1726&lt;&gt;""),IF(COUNTIFS(Appointments!$D$6:$D$2005,D1726,Appointments!$F$6:$F$2005,"Done",Appointments!$M$6:$M$2005,"&gt;"&amp;M1726)=0,1,0),0)</f>
        <v/>
      </c>
      <c r="O1726">
        <f>IF(AND(F1726="Booked",M1726&lt;&gt;"",N(B1726)&gt;=TODAY()),IF(COUNTIFS(Appointments!$D$6:$D$2005,D1726,Appointments!$F$6:$F$2005,"Booked",Appointments!$B$6:$B$2005,"&gt;="&amp;TODAY(),Appointments!$M$6:$M$2005,"&lt;"&amp;M1726)=0,1,0),0)</f>
        <v/>
      </c>
    </row>
    <row r="1727">
      <c r="A1727" s="1" t="n"/>
      <c r="B1727" s="30" t="n"/>
      <c r="C1727" s="31" t="n"/>
      <c r="D1727" s="32" t="n"/>
      <c r="E1727" s="32" t="n"/>
      <c r="F1727" s="33" t="n"/>
      <c r="G1727" s="27">
        <f>IF(E1727="","",MAX(0,IFERROR(INDEX(Services!$C$6:$C$35,MATCH(E1727,Services!$B$6:$B$35,0)),0)-N(H1727)))</f>
        <v/>
      </c>
      <c r="H1727" s="34" t="n"/>
      <c r="I1727" s="34" t="n"/>
      <c r="J1727" s="33" t="n"/>
      <c r="K1727" s="28">
        <f>IF(OR(B1727="",F1727&lt;&gt;"Done",J1727="Package"),"",IF(N(G1727)-N(I1727)&gt;0,N(G1727)-N(I1727),""))</f>
        <v/>
      </c>
      <c r="L1727" s="32" t="n"/>
      <c r="M1727" s="1">
        <f>IF(OR(B1727="",D1727="",F1727="Cancelled"),"",B1727+N(C1727)+ROW()/10000000)</f>
        <v/>
      </c>
      <c r="N1727">
        <f>IF(AND(F1727="Done",M1727&lt;&gt;""),IF(COUNTIFS(Appointments!$D$6:$D$2005,D1727,Appointments!$F$6:$F$2005,"Done",Appointments!$M$6:$M$2005,"&gt;"&amp;M1727)=0,1,0),0)</f>
        <v/>
      </c>
      <c r="O1727">
        <f>IF(AND(F1727="Booked",M1727&lt;&gt;"",N(B1727)&gt;=TODAY()),IF(COUNTIFS(Appointments!$D$6:$D$2005,D1727,Appointments!$F$6:$F$2005,"Booked",Appointments!$B$6:$B$2005,"&gt;="&amp;TODAY(),Appointments!$M$6:$M$2005,"&lt;"&amp;M1727)=0,1,0),0)</f>
        <v/>
      </c>
    </row>
    <row r="1728">
      <c r="A1728" s="1" t="n"/>
      <c r="B1728" s="30" t="n"/>
      <c r="C1728" s="31" t="n"/>
      <c r="D1728" s="32" t="n"/>
      <c r="E1728" s="32" t="n"/>
      <c r="F1728" s="33" t="n"/>
      <c r="G1728" s="27">
        <f>IF(E1728="","",MAX(0,IFERROR(INDEX(Services!$C$6:$C$35,MATCH(E1728,Services!$B$6:$B$35,0)),0)-N(H1728)))</f>
        <v/>
      </c>
      <c r="H1728" s="34" t="n"/>
      <c r="I1728" s="34" t="n"/>
      <c r="J1728" s="33" t="n"/>
      <c r="K1728" s="28">
        <f>IF(OR(B1728="",F1728&lt;&gt;"Done",J1728="Package"),"",IF(N(G1728)-N(I1728)&gt;0,N(G1728)-N(I1728),""))</f>
        <v/>
      </c>
      <c r="L1728" s="32" t="n"/>
      <c r="M1728" s="1">
        <f>IF(OR(B1728="",D1728="",F1728="Cancelled"),"",B1728+N(C1728)+ROW()/10000000)</f>
        <v/>
      </c>
      <c r="N1728">
        <f>IF(AND(F1728="Done",M1728&lt;&gt;""),IF(COUNTIFS(Appointments!$D$6:$D$2005,D1728,Appointments!$F$6:$F$2005,"Done",Appointments!$M$6:$M$2005,"&gt;"&amp;M1728)=0,1,0),0)</f>
        <v/>
      </c>
      <c r="O1728">
        <f>IF(AND(F1728="Booked",M1728&lt;&gt;"",N(B1728)&gt;=TODAY()),IF(COUNTIFS(Appointments!$D$6:$D$2005,D1728,Appointments!$F$6:$F$2005,"Booked",Appointments!$B$6:$B$2005,"&gt;="&amp;TODAY(),Appointments!$M$6:$M$2005,"&lt;"&amp;M1728)=0,1,0),0)</f>
        <v/>
      </c>
    </row>
    <row r="1729">
      <c r="A1729" s="1" t="n"/>
      <c r="B1729" s="30" t="n"/>
      <c r="C1729" s="31" t="n"/>
      <c r="D1729" s="32" t="n"/>
      <c r="E1729" s="32" t="n"/>
      <c r="F1729" s="33" t="n"/>
      <c r="G1729" s="27">
        <f>IF(E1729="","",MAX(0,IFERROR(INDEX(Services!$C$6:$C$35,MATCH(E1729,Services!$B$6:$B$35,0)),0)-N(H1729)))</f>
        <v/>
      </c>
      <c r="H1729" s="34" t="n"/>
      <c r="I1729" s="34" t="n"/>
      <c r="J1729" s="33" t="n"/>
      <c r="K1729" s="28">
        <f>IF(OR(B1729="",F1729&lt;&gt;"Done",J1729="Package"),"",IF(N(G1729)-N(I1729)&gt;0,N(G1729)-N(I1729),""))</f>
        <v/>
      </c>
      <c r="L1729" s="32" t="n"/>
      <c r="M1729" s="1">
        <f>IF(OR(B1729="",D1729="",F1729="Cancelled"),"",B1729+N(C1729)+ROW()/10000000)</f>
        <v/>
      </c>
      <c r="N1729">
        <f>IF(AND(F1729="Done",M1729&lt;&gt;""),IF(COUNTIFS(Appointments!$D$6:$D$2005,D1729,Appointments!$F$6:$F$2005,"Done",Appointments!$M$6:$M$2005,"&gt;"&amp;M1729)=0,1,0),0)</f>
        <v/>
      </c>
      <c r="O1729">
        <f>IF(AND(F1729="Booked",M1729&lt;&gt;"",N(B1729)&gt;=TODAY()),IF(COUNTIFS(Appointments!$D$6:$D$2005,D1729,Appointments!$F$6:$F$2005,"Booked",Appointments!$B$6:$B$2005,"&gt;="&amp;TODAY(),Appointments!$M$6:$M$2005,"&lt;"&amp;M1729)=0,1,0),0)</f>
        <v/>
      </c>
    </row>
    <row r="1730">
      <c r="A1730" s="1" t="n"/>
      <c r="B1730" s="30" t="n"/>
      <c r="C1730" s="31" t="n"/>
      <c r="D1730" s="32" t="n"/>
      <c r="E1730" s="32" t="n"/>
      <c r="F1730" s="33" t="n"/>
      <c r="G1730" s="27">
        <f>IF(E1730="","",MAX(0,IFERROR(INDEX(Services!$C$6:$C$35,MATCH(E1730,Services!$B$6:$B$35,0)),0)-N(H1730)))</f>
        <v/>
      </c>
      <c r="H1730" s="34" t="n"/>
      <c r="I1730" s="34" t="n"/>
      <c r="J1730" s="33" t="n"/>
      <c r="K1730" s="28">
        <f>IF(OR(B1730="",F1730&lt;&gt;"Done",J1730="Package"),"",IF(N(G1730)-N(I1730)&gt;0,N(G1730)-N(I1730),""))</f>
        <v/>
      </c>
      <c r="L1730" s="32" t="n"/>
      <c r="M1730" s="1">
        <f>IF(OR(B1730="",D1730="",F1730="Cancelled"),"",B1730+N(C1730)+ROW()/10000000)</f>
        <v/>
      </c>
      <c r="N1730">
        <f>IF(AND(F1730="Done",M1730&lt;&gt;""),IF(COUNTIFS(Appointments!$D$6:$D$2005,D1730,Appointments!$F$6:$F$2005,"Done",Appointments!$M$6:$M$2005,"&gt;"&amp;M1730)=0,1,0),0)</f>
        <v/>
      </c>
      <c r="O1730">
        <f>IF(AND(F1730="Booked",M1730&lt;&gt;"",N(B1730)&gt;=TODAY()),IF(COUNTIFS(Appointments!$D$6:$D$2005,D1730,Appointments!$F$6:$F$2005,"Booked",Appointments!$B$6:$B$2005,"&gt;="&amp;TODAY(),Appointments!$M$6:$M$2005,"&lt;"&amp;M1730)=0,1,0),0)</f>
        <v/>
      </c>
    </row>
    <row r="1731">
      <c r="A1731" s="1" t="n"/>
      <c r="B1731" s="30" t="n"/>
      <c r="C1731" s="31" t="n"/>
      <c r="D1731" s="32" t="n"/>
      <c r="E1731" s="32" t="n"/>
      <c r="F1731" s="33" t="n"/>
      <c r="G1731" s="27">
        <f>IF(E1731="","",MAX(0,IFERROR(INDEX(Services!$C$6:$C$35,MATCH(E1731,Services!$B$6:$B$35,0)),0)-N(H1731)))</f>
        <v/>
      </c>
      <c r="H1731" s="34" t="n"/>
      <c r="I1731" s="34" t="n"/>
      <c r="J1731" s="33" t="n"/>
      <c r="K1731" s="28">
        <f>IF(OR(B1731="",F1731&lt;&gt;"Done",J1731="Package"),"",IF(N(G1731)-N(I1731)&gt;0,N(G1731)-N(I1731),""))</f>
        <v/>
      </c>
      <c r="L1731" s="32" t="n"/>
      <c r="M1731" s="1">
        <f>IF(OR(B1731="",D1731="",F1731="Cancelled"),"",B1731+N(C1731)+ROW()/10000000)</f>
        <v/>
      </c>
      <c r="N1731">
        <f>IF(AND(F1731="Done",M1731&lt;&gt;""),IF(COUNTIFS(Appointments!$D$6:$D$2005,D1731,Appointments!$F$6:$F$2005,"Done",Appointments!$M$6:$M$2005,"&gt;"&amp;M1731)=0,1,0),0)</f>
        <v/>
      </c>
      <c r="O1731">
        <f>IF(AND(F1731="Booked",M1731&lt;&gt;"",N(B1731)&gt;=TODAY()),IF(COUNTIFS(Appointments!$D$6:$D$2005,D1731,Appointments!$F$6:$F$2005,"Booked",Appointments!$B$6:$B$2005,"&gt;="&amp;TODAY(),Appointments!$M$6:$M$2005,"&lt;"&amp;M1731)=0,1,0),0)</f>
        <v/>
      </c>
    </row>
    <row r="1732">
      <c r="A1732" s="1" t="n"/>
      <c r="B1732" s="30" t="n"/>
      <c r="C1732" s="31" t="n"/>
      <c r="D1732" s="32" t="n"/>
      <c r="E1732" s="32" t="n"/>
      <c r="F1732" s="33" t="n"/>
      <c r="G1732" s="27">
        <f>IF(E1732="","",MAX(0,IFERROR(INDEX(Services!$C$6:$C$35,MATCH(E1732,Services!$B$6:$B$35,0)),0)-N(H1732)))</f>
        <v/>
      </c>
      <c r="H1732" s="34" t="n"/>
      <c r="I1732" s="34" t="n"/>
      <c r="J1732" s="33" t="n"/>
      <c r="K1732" s="28">
        <f>IF(OR(B1732="",F1732&lt;&gt;"Done",J1732="Package"),"",IF(N(G1732)-N(I1732)&gt;0,N(G1732)-N(I1732),""))</f>
        <v/>
      </c>
      <c r="L1732" s="32" t="n"/>
      <c r="M1732" s="1">
        <f>IF(OR(B1732="",D1732="",F1732="Cancelled"),"",B1732+N(C1732)+ROW()/10000000)</f>
        <v/>
      </c>
      <c r="N1732">
        <f>IF(AND(F1732="Done",M1732&lt;&gt;""),IF(COUNTIFS(Appointments!$D$6:$D$2005,D1732,Appointments!$F$6:$F$2005,"Done",Appointments!$M$6:$M$2005,"&gt;"&amp;M1732)=0,1,0),0)</f>
        <v/>
      </c>
      <c r="O1732">
        <f>IF(AND(F1732="Booked",M1732&lt;&gt;"",N(B1732)&gt;=TODAY()),IF(COUNTIFS(Appointments!$D$6:$D$2005,D1732,Appointments!$F$6:$F$2005,"Booked",Appointments!$B$6:$B$2005,"&gt;="&amp;TODAY(),Appointments!$M$6:$M$2005,"&lt;"&amp;M1732)=0,1,0),0)</f>
        <v/>
      </c>
    </row>
    <row r="1733">
      <c r="A1733" s="1" t="n"/>
      <c r="B1733" s="30" t="n"/>
      <c r="C1733" s="31" t="n"/>
      <c r="D1733" s="32" t="n"/>
      <c r="E1733" s="32" t="n"/>
      <c r="F1733" s="33" t="n"/>
      <c r="G1733" s="27">
        <f>IF(E1733="","",MAX(0,IFERROR(INDEX(Services!$C$6:$C$35,MATCH(E1733,Services!$B$6:$B$35,0)),0)-N(H1733)))</f>
        <v/>
      </c>
      <c r="H1733" s="34" t="n"/>
      <c r="I1733" s="34" t="n"/>
      <c r="J1733" s="33" t="n"/>
      <c r="K1733" s="28">
        <f>IF(OR(B1733="",F1733&lt;&gt;"Done",J1733="Package"),"",IF(N(G1733)-N(I1733)&gt;0,N(G1733)-N(I1733),""))</f>
        <v/>
      </c>
      <c r="L1733" s="32" t="n"/>
      <c r="M1733" s="1">
        <f>IF(OR(B1733="",D1733="",F1733="Cancelled"),"",B1733+N(C1733)+ROW()/10000000)</f>
        <v/>
      </c>
      <c r="N1733">
        <f>IF(AND(F1733="Done",M1733&lt;&gt;""),IF(COUNTIFS(Appointments!$D$6:$D$2005,D1733,Appointments!$F$6:$F$2005,"Done",Appointments!$M$6:$M$2005,"&gt;"&amp;M1733)=0,1,0),0)</f>
        <v/>
      </c>
      <c r="O1733">
        <f>IF(AND(F1733="Booked",M1733&lt;&gt;"",N(B1733)&gt;=TODAY()),IF(COUNTIFS(Appointments!$D$6:$D$2005,D1733,Appointments!$F$6:$F$2005,"Booked",Appointments!$B$6:$B$2005,"&gt;="&amp;TODAY(),Appointments!$M$6:$M$2005,"&lt;"&amp;M1733)=0,1,0),0)</f>
        <v/>
      </c>
    </row>
    <row r="1734">
      <c r="A1734" s="1" t="n"/>
      <c r="B1734" s="30" t="n"/>
      <c r="C1734" s="31" t="n"/>
      <c r="D1734" s="32" t="n"/>
      <c r="E1734" s="32" t="n"/>
      <c r="F1734" s="33" t="n"/>
      <c r="G1734" s="27">
        <f>IF(E1734="","",MAX(0,IFERROR(INDEX(Services!$C$6:$C$35,MATCH(E1734,Services!$B$6:$B$35,0)),0)-N(H1734)))</f>
        <v/>
      </c>
      <c r="H1734" s="34" t="n"/>
      <c r="I1734" s="34" t="n"/>
      <c r="J1734" s="33" t="n"/>
      <c r="K1734" s="28">
        <f>IF(OR(B1734="",F1734&lt;&gt;"Done",J1734="Package"),"",IF(N(G1734)-N(I1734)&gt;0,N(G1734)-N(I1734),""))</f>
        <v/>
      </c>
      <c r="L1734" s="32" t="n"/>
      <c r="M1734" s="1">
        <f>IF(OR(B1734="",D1734="",F1734="Cancelled"),"",B1734+N(C1734)+ROW()/10000000)</f>
        <v/>
      </c>
      <c r="N1734">
        <f>IF(AND(F1734="Done",M1734&lt;&gt;""),IF(COUNTIFS(Appointments!$D$6:$D$2005,D1734,Appointments!$F$6:$F$2005,"Done",Appointments!$M$6:$M$2005,"&gt;"&amp;M1734)=0,1,0),0)</f>
        <v/>
      </c>
      <c r="O1734">
        <f>IF(AND(F1734="Booked",M1734&lt;&gt;"",N(B1734)&gt;=TODAY()),IF(COUNTIFS(Appointments!$D$6:$D$2005,D1734,Appointments!$F$6:$F$2005,"Booked",Appointments!$B$6:$B$2005,"&gt;="&amp;TODAY(),Appointments!$M$6:$M$2005,"&lt;"&amp;M1734)=0,1,0),0)</f>
        <v/>
      </c>
    </row>
    <row r="1735">
      <c r="A1735" s="1" t="n"/>
      <c r="B1735" s="30" t="n"/>
      <c r="C1735" s="31" t="n"/>
      <c r="D1735" s="32" t="n"/>
      <c r="E1735" s="32" t="n"/>
      <c r="F1735" s="33" t="n"/>
      <c r="G1735" s="27">
        <f>IF(E1735="","",MAX(0,IFERROR(INDEX(Services!$C$6:$C$35,MATCH(E1735,Services!$B$6:$B$35,0)),0)-N(H1735)))</f>
        <v/>
      </c>
      <c r="H1735" s="34" t="n"/>
      <c r="I1735" s="34" t="n"/>
      <c r="J1735" s="33" t="n"/>
      <c r="K1735" s="28">
        <f>IF(OR(B1735="",F1735&lt;&gt;"Done",J1735="Package"),"",IF(N(G1735)-N(I1735)&gt;0,N(G1735)-N(I1735),""))</f>
        <v/>
      </c>
      <c r="L1735" s="32" t="n"/>
      <c r="M1735" s="1">
        <f>IF(OR(B1735="",D1735="",F1735="Cancelled"),"",B1735+N(C1735)+ROW()/10000000)</f>
        <v/>
      </c>
      <c r="N1735">
        <f>IF(AND(F1735="Done",M1735&lt;&gt;""),IF(COUNTIFS(Appointments!$D$6:$D$2005,D1735,Appointments!$F$6:$F$2005,"Done",Appointments!$M$6:$M$2005,"&gt;"&amp;M1735)=0,1,0),0)</f>
        <v/>
      </c>
      <c r="O1735">
        <f>IF(AND(F1735="Booked",M1735&lt;&gt;"",N(B1735)&gt;=TODAY()),IF(COUNTIFS(Appointments!$D$6:$D$2005,D1735,Appointments!$F$6:$F$2005,"Booked",Appointments!$B$6:$B$2005,"&gt;="&amp;TODAY(),Appointments!$M$6:$M$2005,"&lt;"&amp;M1735)=0,1,0),0)</f>
        <v/>
      </c>
    </row>
    <row r="1736">
      <c r="A1736" s="1" t="n"/>
      <c r="B1736" s="30" t="n"/>
      <c r="C1736" s="31" t="n"/>
      <c r="D1736" s="32" t="n"/>
      <c r="E1736" s="32" t="n"/>
      <c r="F1736" s="33" t="n"/>
      <c r="G1736" s="27">
        <f>IF(E1736="","",MAX(0,IFERROR(INDEX(Services!$C$6:$C$35,MATCH(E1736,Services!$B$6:$B$35,0)),0)-N(H1736)))</f>
        <v/>
      </c>
      <c r="H1736" s="34" t="n"/>
      <c r="I1736" s="34" t="n"/>
      <c r="J1736" s="33" t="n"/>
      <c r="K1736" s="28">
        <f>IF(OR(B1736="",F1736&lt;&gt;"Done",J1736="Package"),"",IF(N(G1736)-N(I1736)&gt;0,N(G1736)-N(I1736),""))</f>
        <v/>
      </c>
      <c r="L1736" s="32" t="n"/>
      <c r="M1736" s="1">
        <f>IF(OR(B1736="",D1736="",F1736="Cancelled"),"",B1736+N(C1736)+ROW()/10000000)</f>
        <v/>
      </c>
      <c r="N1736">
        <f>IF(AND(F1736="Done",M1736&lt;&gt;""),IF(COUNTIFS(Appointments!$D$6:$D$2005,D1736,Appointments!$F$6:$F$2005,"Done",Appointments!$M$6:$M$2005,"&gt;"&amp;M1736)=0,1,0),0)</f>
        <v/>
      </c>
      <c r="O1736">
        <f>IF(AND(F1736="Booked",M1736&lt;&gt;"",N(B1736)&gt;=TODAY()),IF(COUNTIFS(Appointments!$D$6:$D$2005,D1736,Appointments!$F$6:$F$2005,"Booked",Appointments!$B$6:$B$2005,"&gt;="&amp;TODAY(),Appointments!$M$6:$M$2005,"&lt;"&amp;M1736)=0,1,0),0)</f>
        <v/>
      </c>
    </row>
    <row r="1737">
      <c r="A1737" s="1" t="n"/>
      <c r="B1737" s="30" t="n"/>
      <c r="C1737" s="31" t="n"/>
      <c r="D1737" s="32" t="n"/>
      <c r="E1737" s="32" t="n"/>
      <c r="F1737" s="33" t="n"/>
      <c r="G1737" s="27">
        <f>IF(E1737="","",MAX(0,IFERROR(INDEX(Services!$C$6:$C$35,MATCH(E1737,Services!$B$6:$B$35,0)),0)-N(H1737)))</f>
        <v/>
      </c>
      <c r="H1737" s="34" t="n"/>
      <c r="I1737" s="34" t="n"/>
      <c r="J1737" s="33" t="n"/>
      <c r="K1737" s="28">
        <f>IF(OR(B1737="",F1737&lt;&gt;"Done",J1737="Package"),"",IF(N(G1737)-N(I1737)&gt;0,N(G1737)-N(I1737),""))</f>
        <v/>
      </c>
      <c r="L1737" s="32" t="n"/>
      <c r="M1737" s="1">
        <f>IF(OR(B1737="",D1737="",F1737="Cancelled"),"",B1737+N(C1737)+ROW()/10000000)</f>
        <v/>
      </c>
      <c r="N1737">
        <f>IF(AND(F1737="Done",M1737&lt;&gt;""),IF(COUNTIFS(Appointments!$D$6:$D$2005,D1737,Appointments!$F$6:$F$2005,"Done",Appointments!$M$6:$M$2005,"&gt;"&amp;M1737)=0,1,0),0)</f>
        <v/>
      </c>
      <c r="O1737">
        <f>IF(AND(F1737="Booked",M1737&lt;&gt;"",N(B1737)&gt;=TODAY()),IF(COUNTIFS(Appointments!$D$6:$D$2005,D1737,Appointments!$F$6:$F$2005,"Booked",Appointments!$B$6:$B$2005,"&gt;="&amp;TODAY(),Appointments!$M$6:$M$2005,"&lt;"&amp;M1737)=0,1,0),0)</f>
        <v/>
      </c>
    </row>
    <row r="1738">
      <c r="A1738" s="1" t="n"/>
      <c r="B1738" s="30" t="n"/>
      <c r="C1738" s="31" t="n"/>
      <c r="D1738" s="32" t="n"/>
      <c r="E1738" s="32" t="n"/>
      <c r="F1738" s="33" t="n"/>
      <c r="G1738" s="27">
        <f>IF(E1738="","",MAX(0,IFERROR(INDEX(Services!$C$6:$C$35,MATCH(E1738,Services!$B$6:$B$35,0)),0)-N(H1738)))</f>
        <v/>
      </c>
      <c r="H1738" s="34" t="n"/>
      <c r="I1738" s="34" t="n"/>
      <c r="J1738" s="33" t="n"/>
      <c r="K1738" s="28">
        <f>IF(OR(B1738="",F1738&lt;&gt;"Done",J1738="Package"),"",IF(N(G1738)-N(I1738)&gt;0,N(G1738)-N(I1738),""))</f>
        <v/>
      </c>
      <c r="L1738" s="32" t="n"/>
      <c r="M1738" s="1">
        <f>IF(OR(B1738="",D1738="",F1738="Cancelled"),"",B1738+N(C1738)+ROW()/10000000)</f>
        <v/>
      </c>
      <c r="N1738">
        <f>IF(AND(F1738="Done",M1738&lt;&gt;""),IF(COUNTIFS(Appointments!$D$6:$D$2005,D1738,Appointments!$F$6:$F$2005,"Done",Appointments!$M$6:$M$2005,"&gt;"&amp;M1738)=0,1,0),0)</f>
        <v/>
      </c>
      <c r="O1738">
        <f>IF(AND(F1738="Booked",M1738&lt;&gt;"",N(B1738)&gt;=TODAY()),IF(COUNTIFS(Appointments!$D$6:$D$2005,D1738,Appointments!$F$6:$F$2005,"Booked",Appointments!$B$6:$B$2005,"&gt;="&amp;TODAY(),Appointments!$M$6:$M$2005,"&lt;"&amp;M1738)=0,1,0),0)</f>
        <v/>
      </c>
    </row>
    <row r="1739">
      <c r="A1739" s="1" t="n"/>
      <c r="B1739" s="30" t="n"/>
      <c r="C1739" s="31" t="n"/>
      <c r="D1739" s="32" t="n"/>
      <c r="E1739" s="32" t="n"/>
      <c r="F1739" s="33" t="n"/>
      <c r="G1739" s="27">
        <f>IF(E1739="","",MAX(0,IFERROR(INDEX(Services!$C$6:$C$35,MATCH(E1739,Services!$B$6:$B$35,0)),0)-N(H1739)))</f>
        <v/>
      </c>
      <c r="H1739" s="34" t="n"/>
      <c r="I1739" s="34" t="n"/>
      <c r="J1739" s="33" t="n"/>
      <c r="K1739" s="28">
        <f>IF(OR(B1739="",F1739&lt;&gt;"Done",J1739="Package"),"",IF(N(G1739)-N(I1739)&gt;0,N(G1739)-N(I1739),""))</f>
        <v/>
      </c>
      <c r="L1739" s="32" t="n"/>
      <c r="M1739" s="1">
        <f>IF(OR(B1739="",D1739="",F1739="Cancelled"),"",B1739+N(C1739)+ROW()/10000000)</f>
        <v/>
      </c>
      <c r="N1739">
        <f>IF(AND(F1739="Done",M1739&lt;&gt;""),IF(COUNTIFS(Appointments!$D$6:$D$2005,D1739,Appointments!$F$6:$F$2005,"Done",Appointments!$M$6:$M$2005,"&gt;"&amp;M1739)=0,1,0),0)</f>
        <v/>
      </c>
      <c r="O1739">
        <f>IF(AND(F1739="Booked",M1739&lt;&gt;"",N(B1739)&gt;=TODAY()),IF(COUNTIFS(Appointments!$D$6:$D$2005,D1739,Appointments!$F$6:$F$2005,"Booked",Appointments!$B$6:$B$2005,"&gt;="&amp;TODAY(),Appointments!$M$6:$M$2005,"&lt;"&amp;M1739)=0,1,0),0)</f>
        <v/>
      </c>
    </row>
    <row r="1740">
      <c r="A1740" s="1" t="n"/>
      <c r="B1740" s="30" t="n"/>
      <c r="C1740" s="31" t="n"/>
      <c r="D1740" s="32" t="n"/>
      <c r="E1740" s="32" t="n"/>
      <c r="F1740" s="33" t="n"/>
      <c r="G1740" s="27">
        <f>IF(E1740="","",MAX(0,IFERROR(INDEX(Services!$C$6:$C$35,MATCH(E1740,Services!$B$6:$B$35,0)),0)-N(H1740)))</f>
        <v/>
      </c>
      <c r="H1740" s="34" t="n"/>
      <c r="I1740" s="34" t="n"/>
      <c r="J1740" s="33" t="n"/>
      <c r="K1740" s="28">
        <f>IF(OR(B1740="",F1740&lt;&gt;"Done",J1740="Package"),"",IF(N(G1740)-N(I1740)&gt;0,N(G1740)-N(I1740),""))</f>
        <v/>
      </c>
      <c r="L1740" s="32" t="n"/>
      <c r="M1740" s="1">
        <f>IF(OR(B1740="",D1740="",F1740="Cancelled"),"",B1740+N(C1740)+ROW()/10000000)</f>
        <v/>
      </c>
      <c r="N1740">
        <f>IF(AND(F1740="Done",M1740&lt;&gt;""),IF(COUNTIFS(Appointments!$D$6:$D$2005,D1740,Appointments!$F$6:$F$2005,"Done",Appointments!$M$6:$M$2005,"&gt;"&amp;M1740)=0,1,0),0)</f>
        <v/>
      </c>
      <c r="O1740">
        <f>IF(AND(F1740="Booked",M1740&lt;&gt;"",N(B1740)&gt;=TODAY()),IF(COUNTIFS(Appointments!$D$6:$D$2005,D1740,Appointments!$F$6:$F$2005,"Booked",Appointments!$B$6:$B$2005,"&gt;="&amp;TODAY(),Appointments!$M$6:$M$2005,"&lt;"&amp;M1740)=0,1,0),0)</f>
        <v/>
      </c>
    </row>
    <row r="1741">
      <c r="A1741" s="1" t="n"/>
      <c r="B1741" s="30" t="n"/>
      <c r="C1741" s="31" t="n"/>
      <c r="D1741" s="32" t="n"/>
      <c r="E1741" s="32" t="n"/>
      <c r="F1741" s="33" t="n"/>
      <c r="G1741" s="27">
        <f>IF(E1741="","",MAX(0,IFERROR(INDEX(Services!$C$6:$C$35,MATCH(E1741,Services!$B$6:$B$35,0)),0)-N(H1741)))</f>
        <v/>
      </c>
      <c r="H1741" s="34" t="n"/>
      <c r="I1741" s="34" t="n"/>
      <c r="J1741" s="33" t="n"/>
      <c r="K1741" s="28">
        <f>IF(OR(B1741="",F1741&lt;&gt;"Done",J1741="Package"),"",IF(N(G1741)-N(I1741)&gt;0,N(G1741)-N(I1741),""))</f>
        <v/>
      </c>
      <c r="L1741" s="32" t="n"/>
      <c r="M1741" s="1">
        <f>IF(OR(B1741="",D1741="",F1741="Cancelled"),"",B1741+N(C1741)+ROW()/10000000)</f>
        <v/>
      </c>
      <c r="N1741">
        <f>IF(AND(F1741="Done",M1741&lt;&gt;""),IF(COUNTIFS(Appointments!$D$6:$D$2005,D1741,Appointments!$F$6:$F$2005,"Done",Appointments!$M$6:$M$2005,"&gt;"&amp;M1741)=0,1,0),0)</f>
        <v/>
      </c>
      <c r="O1741">
        <f>IF(AND(F1741="Booked",M1741&lt;&gt;"",N(B1741)&gt;=TODAY()),IF(COUNTIFS(Appointments!$D$6:$D$2005,D1741,Appointments!$F$6:$F$2005,"Booked",Appointments!$B$6:$B$2005,"&gt;="&amp;TODAY(),Appointments!$M$6:$M$2005,"&lt;"&amp;M1741)=0,1,0),0)</f>
        <v/>
      </c>
    </row>
    <row r="1742">
      <c r="A1742" s="1" t="n"/>
      <c r="B1742" s="30" t="n"/>
      <c r="C1742" s="31" t="n"/>
      <c r="D1742" s="32" t="n"/>
      <c r="E1742" s="32" t="n"/>
      <c r="F1742" s="33" t="n"/>
      <c r="G1742" s="27">
        <f>IF(E1742="","",MAX(0,IFERROR(INDEX(Services!$C$6:$C$35,MATCH(E1742,Services!$B$6:$B$35,0)),0)-N(H1742)))</f>
        <v/>
      </c>
      <c r="H1742" s="34" t="n"/>
      <c r="I1742" s="34" t="n"/>
      <c r="J1742" s="33" t="n"/>
      <c r="K1742" s="28">
        <f>IF(OR(B1742="",F1742&lt;&gt;"Done",J1742="Package"),"",IF(N(G1742)-N(I1742)&gt;0,N(G1742)-N(I1742),""))</f>
        <v/>
      </c>
      <c r="L1742" s="32" t="n"/>
      <c r="M1742" s="1">
        <f>IF(OR(B1742="",D1742="",F1742="Cancelled"),"",B1742+N(C1742)+ROW()/10000000)</f>
        <v/>
      </c>
      <c r="N1742">
        <f>IF(AND(F1742="Done",M1742&lt;&gt;""),IF(COUNTIFS(Appointments!$D$6:$D$2005,D1742,Appointments!$F$6:$F$2005,"Done",Appointments!$M$6:$M$2005,"&gt;"&amp;M1742)=0,1,0),0)</f>
        <v/>
      </c>
      <c r="O1742">
        <f>IF(AND(F1742="Booked",M1742&lt;&gt;"",N(B1742)&gt;=TODAY()),IF(COUNTIFS(Appointments!$D$6:$D$2005,D1742,Appointments!$F$6:$F$2005,"Booked",Appointments!$B$6:$B$2005,"&gt;="&amp;TODAY(),Appointments!$M$6:$M$2005,"&lt;"&amp;M1742)=0,1,0),0)</f>
        <v/>
      </c>
    </row>
    <row r="1743">
      <c r="A1743" s="1" t="n"/>
      <c r="B1743" s="30" t="n"/>
      <c r="C1743" s="31" t="n"/>
      <c r="D1743" s="32" t="n"/>
      <c r="E1743" s="32" t="n"/>
      <c r="F1743" s="33" t="n"/>
      <c r="G1743" s="27">
        <f>IF(E1743="","",MAX(0,IFERROR(INDEX(Services!$C$6:$C$35,MATCH(E1743,Services!$B$6:$B$35,0)),0)-N(H1743)))</f>
        <v/>
      </c>
      <c r="H1743" s="34" t="n"/>
      <c r="I1743" s="34" t="n"/>
      <c r="J1743" s="33" t="n"/>
      <c r="K1743" s="28">
        <f>IF(OR(B1743="",F1743&lt;&gt;"Done",J1743="Package"),"",IF(N(G1743)-N(I1743)&gt;0,N(G1743)-N(I1743),""))</f>
        <v/>
      </c>
      <c r="L1743" s="32" t="n"/>
      <c r="M1743" s="1">
        <f>IF(OR(B1743="",D1743="",F1743="Cancelled"),"",B1743+N(C1743)+ROW()/10000000)</f>
        <v/>
      </c>
      <c r="N1743">
        <f>IF(AND(F1743="Done",M1743&lt;&gt;""),IF(COUNTIFS(Appointments!$D$6:$D$2005,D1743,Appointments!$F$6:$F$2005,"Done",Appointments!$M$6:$M$2005,"&gt;"&amp;M1743)=0,1,0),0)</f>
        <v/>
      </c>
      <c r="O1743">
        <f>IF(AND(F1743="Booked",M1743&lt;&gt;"",N(B1743)&gt;=TODAY()),IF(COUNTIFS(Appointments!$D$6:$D$2005,D1743,Appointments!$F$6:$F$2005,"Booked",Appointments!$B$6:$B$2005,"&gt;="&amp;TODAY(),Appointments!$M$6:$M$2005,"&lt;"&amp;M1743)=0,1,0),0)</f>
        <v/>
      </c>
    </row>
    <row r="1744">
      <c r="A1744" s="1" t="n"/>
      <c r="B1744" s="30" t="n"/>
      <c r="C1744" s="31" t="n"/>
      <c r="D1744" s="32" t="n"/>
      <c r="E1744" s="32" t="n"/>
      <c r="F1744" s="33" t="n"/>
      <c r="G1744" s="27">
        <f>IF(E1744="","",MAX(0,IFERROR(INDEX(Services!$C$6:$C$35,MATCH(E1744,Services!$B$6:$B$35,0)),0)-N(H1744)))</f>
        <v/>
      </c>
      <c r="H1744" s="34" t="n"/>
      <c r="I1744" s="34" t="n"/>
      <c r="J1744" s="33" t="n"/>
      <c r="K1744" s="28">
        <f>IF(OR(B1744="",F1744&lt;&gt;"Done",J1744="Package"),"",IF(N(G1744)-N(I1744)&gt;0,N(G1744)-N(I1744),""))</f>
        <v/>
      </c>
      <c r="L1744" s="32" t="n"/>
      <c r="M1744" s="1">
        <f>IF(OR(B1744="",D1744="",F1744="Cancelled"),"",B1744+N(C1744)+ROW()/10000000)</f>
        <v/>
      </c>
      <c r="N1744">
        <f>IF(AND(F1744="Done",M1744&lt;&gt;""),IF(COUNTIFS(Appointments!$D$6:$D$2005,D1744,Appointments!$F$6:$F$2005,"Done",Appointments!$M$6:$M$2005,"&gt;"&amp;M1744)=0,1,0),0)</f>
        <v/>
      </c>
      <c r="O1744">
        <f>IF(AND(F1744="Booked",M1744&lt;&gt;"",N(B1744)&gt;=TODAY()),IF(COUNTIFS(Appointments!$D$6:$D$2005,D1744,Appointments!$F$6:$F$2005,"Booked",Appointments!$B$6:$B$2005,"&gt;="&amp;TODAY(),Appointments!$M$6:$M$2005,"&lt;"&amp;M1744)=0,1,0),0)</f>
        <v/>
      </c>
    </row>
    <row r="1745">
      <c r="A1745" s="1" t="n"/>
      <c r="B1745" s="30" t="n"/>
      <c r="C1745" s="31" t="n"/>
      <c r="D1745" s="32" t="n"/>
      <c r="E1745" s="32" t="n"/>
      <c r="F1745" s="33" t="n"/>
      <c r="G1745" s="27">
        <f>IF(E1745="","",MAX(0,IFERROR(INDEX(Services!$C$6:$C$35,MATCH(E1745,Services!$B$6:$B$35,0)),0)-N(H1745)))</f>
        <v/>
      </c>
      <c r="H1745" s="34" t="n"/>
      <c r="I1745" s="34" t="n"/>
      <c r="J1745" s="33" t="n"/>
      <c r="K1745" s="28">
        <f>IF(OR(B1745="",F1745&lt;&gt;"Done",J1745="Package"),"",IF(N(G1745)-N(I1745)&gt;0,N(G1745)-N(I1745),""))</f>
        <v/>
      </c>
      <c r="L1745" s="32" t="n"/>
      <c r="M1745" s="1">
        <f>IF(OR(B1745="",D1745="",F1745="Cancelled"),"",B1745+N(C1745)+ROW()/10000000)</f>
        <v/>
      </c>
      <c r="N1745">
        <f>IF(AND(F1745="Done",M1745&lt;&gt;""),IF(COUNTIFS(Appointments!$D$6:$D$2005,D1745,Appointments!$F$6:$F$2005,"Done",Appointments!$M$6:$M$2005,"&gt;"&amp;M1745)=0,1,0),0)</f>
        <v/>
      </c>
      <c r="O1745">
        <f>IF(AND(F1745="Booked",M1745&lt;&gt;"",N(B1745)&gt;=TODAY()),IF(COUNTIFS(Appointments!$D$6:$D$2005,D1745,Appointments!$F$6:$F$2005,"Booked",Appointments!$B$6:$B$2005,"&gt;="&amp;TODAY(),Appointments!$M$6:$M$2005,"&lt;"&amp;M1745)=0,1,0),0)</f>
        <v/>
      </c>
    </row>
    <row r="1746">
      <c r="A1746" s="1" t="n"/>
      <c r="B1746" s="30" t="n"/>
      <c r="C1746" s="31" t="n"/>
      <c r="D1746" s="32" t="n"/>
      <c r="E1746" s="32" t="n"/>
      <c r="F1746" s="33" t="n"/>
      <c r="G1746" s="27">
        <f>IF(E1746="","",MAX(0,IFERROR(INDEX(Services!$C$6:$C$35,MATCH(E1746,Services!$B$6:$B$35,0)),0)-N(H1746)))</f>
        <v/>
      </c>
      <c r="H1746" s="34" t="n"/>
      <c r="I1746" s="34" t="n"/>
      <c r="J1746" s="33" t="n"/>
      <c r="K1746" s="28">
        <f>IF(OR(B1746="",F1746&lt;&gt;"Done",J1746="Package"),"",IF(N(G1746)-N(I1746)&gt;0,N(G1746)-N(I1746),""))</f>
        <v/>
      </c>
      <c r="L1746" s="32" t="n"/>
      <c r="M1746" s="1">
        <f>IF(OR(B1746="",D1746="",F1746="Cancelled"),"",B1746+N(C1746)+ROW()/10000000)</f>
        <v/>
      </c>
      <c r="N1746">
        <f>IF(AND(F1746="Done",M1746&lt;&gt;""),IF(COUNTIFS(Appointments!$D$6:$D$2005,D1746,Appointments!$F$6:$F$2005,"Done",Appointments!$M$6:$M$2005,"&gt;"&amp;M1746)=0,1,0),0)</f>
        <v/>
      </c>
      <c r="O1746">
        <f>IF(AND(F1746="Booked",M1746&lt;&gt;"",N(B1746)&gt;=TODAY()),IF(COUNTIFS(Appointments!$D$6:$D$2005,D1746,Appointments!$F$6:$F$2005,"Booked",Appointments!$B$6:$B$2005,"&gt;="&amp;TODAY(),Appointments!$M$6:$M$2005,"&lt;"&amp;M1746)=0,1,0),0)</f>
        <v/>
      </c>
    </row>
    <row r="1747">
      <c r="A1747" s="1" t="n"/>
      <c r="B1747" s="30" t="n"/>
      <c r="C1747" s="31" t="n"/>
      <c r="D1747" s="32" t="n"/>
      <c r="E1747" s="32" t="n"/>
      <c r="F1747" s="33" t="n"/>
      <c r="G1747" s="27">
        <f>IF(E1747="","",MAX(0,IFERROR(INDEX(Services!$C$6:$C$35,MATCH(E1747,Services!$B$6:$B$35,0)),0)-N(H1747)))</f>
        <v/>
      </c>
      <c r="H1747" s="34" t="n"/>
      <c r="I1747" s="34" t="n"/>
      <c r="J1747" s="33" t="n"/>
      <c r="K1747" s="28">
        <f>IF(OR(B1747="",F1747&lt;&gt;"Done",J1747="Package"),"",IF(N(G1747)-N(I1747)&gt;0,N(G1747)-N(I1747),""))</f>
        <v/>
      </c>
      <c r="L1747" s="32" t="n"/>
      <c r="M1747" s="1">
        <f>IF(OR(B1747="",D1747="",F1747="Cancelled"),"",B1747+N(C1747)+ROW()/10000000)</f>
        <v/>
      </c>
      <c r="N1747">
        <f>IF(AND(F1747="Done",M1747&lt;&gt;""),IF(COUNTIFS(Appointments!$D$6:$D$2005,D1747,Appointments!$F$6:$F$2005,"Done",Appointments!$M$6:$M$2005,"&gt;"&amp;M1747)=0,1,0),0)</f>
        <v/>
      </c>
      <c r="O1747">
        <f>IF(AND(F1747="Booked",M1747&lt;&gt;"",N(B1747)&gt;=TODAY()),IF(COUNTIFS(Appointments!$D$6:$D$2005,D1747,Appointments!$F$6:$F$2005,"Booked",Appointments!$B$6:$B$2005,"&gt;="&amp;TODAY(),Appointments!$M$6:$M$2005,"&lt;"&amp;M1747)=0,1,0),0)</f>
        <v/>
      </c>
    </row>
    <row r="1748">
      <c r="A1748" s="1" t="n"/>
      <c r="B1748" s="30" t="n"/>
      <c r="C1748" s="31" t="n"/>
      <c r="D1748" s="32" t="n"/>
      <c r="E1748" s="32" t="n"/>
      <c r="F1748" s="33" t="n"/>
      <c r="G1748" s="27">
        <f>IF(E1748="","",MAX(0,IFERROR(INDEX(Services!$C$6:$C$35,MATCH(E1748,Services!$B$6:$B$35,0)),0)-N(H1748)))</f>
        <v/>
      </c>
      <c r="H1748" s="34" t="n"/>
      <c r="I1748" s="34" t="n"/>
      <c r="J1748" s="33" t="n"/>
      <c r="K1748" s="28">
        <f>IF(OR(B1748="",F1748&lt;&gt;"Done",J1748="Package"),"",IF(N(G1748)-N(I1748)&gt;0,N(G1748)-N(I1748),""))</f>
        <v/>
      </c>
      <c r="L1748" s="32" t="n"/>
      <c r="M1748" s="1">
        <f>IF(OR(B1748="",D1748="",F1748="Cancelled"),"",B1748+N(C1748)+ROW()/10000000)</f>
        <v/>
      </c>
      <c r="N1748">
        <f>IF(AND(F1748="Done",M1748&lt;&gt;""),IF(COUNTIFS(Appointments!$D$6:$D$2005,D1748,Appointments!$F$6:$F$2005,"Done",Appointments!$M$6:$M$2005,"&gt;"&amp;M1748)=0,1,0),0)</f>
        <v/>
      </c>
      <c r="O1748">
        <f>IF(AND(F1748="Booked",M1748&lt;&gt;"",N(B1748)&gt;=TODAY()),IF(COUNTIFS(Appointments!$D$6:$D$2005,D1748,Appointments!$F$6:$F$2005,"Booked",Appointments!$B$6:$B$2005,"&gt;="&amp;TODAY(),Appointments!$M$6:$M$2005,"&lt;"&amp;M1748)=0,1,0),0)</f>
        <v/>
      </c>
    </row>
    <row r="1749">
      <c r="A1749" s="1" t="n"/>
      <c r="B1749" s="30" t="n"/>
      <c r="C1749" s="31" t="n"/>
      <c r="D1749" s="32" t="n"/>
      <c r="E1749" s="32" t="n"/>
      <c r="F1749" s="33" t="n"/>
      <c r="G1749" s="27">
        <f>IF(E1749="","",MAX(0,IFERROR(INDEX(Services!$C$6:$C$35,MATCH(E1749,Services!$B$6:$B$35,0)),0)-N(H1749)))</f>
        <v/>
      </c>
      <c r="H1749" s="34" t="n"/>
      <c r="I1749" s="34" t="n"/>
      <c r="J1749" s="33" t="n"/>
      <c r="K1749" s="28">
        <f>IF(OR(B1749="",F1749&lt;&gt;"Done",J1749="Package"),"",IF(N(G1749)-N(I1749)&gt;0,N(G1749)-N(I1749),""))</f>
        <v/>
      </c>
      <c r="L1749" s="32" t="n"/>
      <c r="M1749" s="1">
        <f>IF(OR(B1749="",D1749="",F1749="Cancelled"),"",B1749+N(C1749)+ROW()/10000000)</f>
        <v/>
      </c>
      <c r="N1749">
        <f>IF(AND(F1749="Done",M1749&lt;&gt;""),IF(COUNTIFS(Appointments!$D$6:$D$2005,D1749,Appointments!$F$6:$F$2005,"Done",Appointments!$M$6:$M$2005,"&gt;"&amp;M1749)=0,1,0),0)</f>
        <v/>
      </c>
      <c r="O1749">
        <f>IF(AND(F1749="Booked",M1749&lt;&gt;"",N(B1749)&gt;=TODAY()),IF(COUNTIFS(Appointments!$D$6:$D$2005,D1749,Appointments!$F$6:$F$2005,"Booked",Appointments!$B$6:$B$2005,"&gt;="&amp;TODAY(),Appointments!$M$6:$M$2005,"&lt;"&amp;M1749)=0,1,0),0)</f>
        <v/>
      </c>
    </row>
    <row r="1750">
      <c r="A1750" s="1" t="n"/>
      <c r="B1750" s="30" t="n"/>
      <c r="C1750" s="31" t="n"/>
      <c r="D1750" s="32" t="n"/>
      <c r="E1750" s="32" t="n"/>
      <c r="F1750" s="33" t="n"/>
      <c r="G1750" s="27">
        <f>IF(E1750="","",MAX(0,IFERROR(INDEX(Services!$C$6:$C$35,MATCH(E1750,Services!$B$6:$B$35,0)),0)-N(H1750)))</f>
        <v/>
      </c>
      <c r="H1750" s="34" t="n"/>
      <c r="I1750" s="34" t="n"/>
      <c r="J1750" s="33" t="n"/>
      <c r="K1750" s="28">
        <f>IF(OR(B1750="",F1750&lt;&gt;"Done",J1750="Package"),"",IF(N(G1750)-N(I1750)&gt;0,N(G1750)-N(I1750),""))</f>
        <v/>
      </c>
      <c r="L1750" s="32" t="n"/>
      <c r="M1750" s="1">
        <f>IF(OR(B1750="",D1750="",F1750="Cancelled"),"",B1750+N(C1750)+ROW()/10000000)</f>
        <v/>
      </c>
      <c r="N1750">
        <f>IF(AND(F1750="Done",M1750&lt;&gt;""),IF(COUNTIFS(Appointments!$D$6:$D$2005,D1750,Appointments!$F$6:$F$2005,"Done",Appointments!$M$6:$M$2005,"&gt;"&amp;M1750)=0,1,0),0)</f>
        <v/>
      </c>
      <c r="O1750">
        <f>IF(AND(F1750="Booked",M1750&lt;&gt;"",N(B1750)&gt;=TODAY()),IF(COUNTIFS(Appointments!$D$6:$D$2005,D1750,Appointments!$F$6:$F$2005,"Booked",Appointments!$B$6:$B$2005,"&gt;="&amp;TODAY(),Appointments!$M$6:$M$2005,"&lt;"&amp;M1750)=0,1,0),0)</f>
        <v/>
      </c>
    </row>
    <row r="1751">
      <c r="A1751" s="1" t="n"/>
      <c r="B1751" s="30" t="n"/>
      <c r="C1751" s="31" t="n"/>
      <c r="D1751" s="32" t="n"/>
      <c r="E1751" s="32" t="n"/>
      <c r="F1751" s="33" t="n"/>
      <c r="G1751" s="27">
        <f>IF(E1751="","",MAX(0,IFERROR(INDEX(Services!$C$6:$C$35,MATCH(E1751,Services!$B$6:$B$35,0)),0)-N(H1751)))</f>
        <v/>
      </c>
      <c r="H1751" s="34" t="n"/>
      <c r="I1751" s="34" t="n"/>
      <c r="J1751" s="33" t="n"/>
      <c r="K1751" s="28">
        <f>IF(OR(B1751="",F1751&lt;&gt;"Done",J1751="Package"),"",IF(N(G1751)-N(I1751)&gt;0,N(G1751)-N(I1751),""))</f>
        <v/>
      </c>
      <c r="L1751" s="32" t="n"/>
      <c r="M1751" s="1">
        <f>IF(OR(B1751="",D1751="",F1751="Cancelled"),"",B1751+N(C1751)+ROW()/10000000)</f>
        <v/>
      </c>
      <c r="N1751">
        <f>IF(AND(F1751="Done",M1751&lt;&gt;""),IF(COUNTIFS(Appointments!$D$6:$D$2005,D1751,Appointments!$F$6:$F$2005,"Done",Appointments!$M$6:$M$2005,"&gt;"&amp;M1751)=0,1,0),0)</f>
        <v/>
      </c>
      <c r="O1751">
        <f>IF(AND(F1751="Booked",M1751&lt;&gt;"",N(B1751)&gt;=TODAY()),IF(COUNTIFS(Appointments!$D$6:$D$2005,D1751,Appointments!$F$6:$F$2005,"Booked",Appointments!$B$6:$B$2005,"&gt;="&amp;TODAY(),Appointments!$M$6:$M$2005,"&lt;"&amp;M1751)=0,1,0),0)</f>
        <v/>
      </c>
    </row>
    <row r="1752">
      <c r="A1752" s="1" t="n"/>
      <c r="B1752" s="30" t="n"/>
      <c r="C1752" s="31" t="n"/>
      <c r="D1752" s="32" t="n"/>
      <c r="E1752" s="32" t="n"/>
      <c r="F1752" s="33" t="n"/>
      <c r="G1752" s="27">
        <f>IF(E1752="","",MAX(0,IFERROR(INDEX(Services!$C$6:$C$35,MATCH(E1752,Services!$B$6:$B$35,0)),0)-N(H1752)))</f>
        <v/>
      </c>
      <c r="H1752" s="34" t="n"/>
      <c r="I1752" s="34" t="n"/>
      <c r="J1752" s="33" t="n"/>
      <c r="K1752" s="28">
        <f>IF(OR(B1752="",F1752&lt;&gt;"Done",J1752="Package"),"",IF(N(G1752)-N(I1752)&gt;0,N(G1752)-N(I1752),""))</f>
        <v/>
      </c>
      <c r="L1752" s="32" t="n"/>
      <c r="M1752" s="1">
        <f>IF(OR(B1752="",D1752="",F1752="Cancelled"),"",B1752+N(C1752)+ROW()/10000000)</f>
        <v/>
      </c>
      <c r="N1752">
        <f>IF(AND(F1752="Done",M1752&lt;&gt;""),IF(COUNTIFS(Appointments!$D$6:$D$2005,D1752,Appointments!$F$6:$F$2005,"Done",Appointments!$M$6:$M$2005,"&gt;"&amp;M1752)=0,1,0),0)</f>
        <v/>
      </c>
      <c r="O1752">
        <f>IF(AND(F1752="Booked",M1752&lt;&gt;"",N(B1752)&gt;=TODAY()),IF(COUNTIFS(Appointments!$D$6:$D$2005,D1752,Appointments!$F$6:$F$2005,"Booked",Appointments!$B$6:$B$2005,"&gt;="&amp;TODAY(),Appointments!$M$6:$M$2005,"&lt;"&amp;M1752)=0,1,0),0)</f>
        <v/>
      </c>
    </row>
    <row r="1753">
      <c r="A1753" s="1" t="n"/>
      <c r="B1753" s="30" t="n"/>
      <c r="C1753" s="31" t="n"/>
      <c r="D1753" s="32" t="n"/>
      <c r="E1753" s="32" t="n"/>
      <c r="F1753" s="33" t="n"/>
      <c r="G1753" s="27">
        <f>IF(E1753="","",MAX(0,IFERROR(INDEX(Services!$C$6:$C$35,MATCH(E1753,Services!$B$6:$B$35,0)),0)-N(H1753)))</f>
        <v/>
      </c>
      <c r="H1753" s="34" t="n"/>
      <c r="I1753" s="34" t="n"/>
      <c r="J1753" s="33" t="n"/>
      <c r="K1753" s="28">
        <f>IF(OR(B1753="",F1753&lt;&gt;"Done",J1753="Package"),"",IF(N(G1753)-N(I1753)&gt;0,N(G1753)-N(I1753),""))</f>
        <v/>
      </c>
      <c r="L1753" s="32" t="n"/>
      <c r="M1753" s="1">
        <f>IF(OR(B1753="",D1753="",F1753="Cancelled"),"",B1753+N(C1753)+ROW()/10000000)</f>
        <v/>
      </c>
      <c r="N1753">
        <f>IF(AND(F1753="Done",M1753&lt;&gt;""),IF(COUNTIFS(Appointments!$D$6:$D$2005,D1753,Appointments!$F$6:$F$2005,"Done",Appointments!$M$6:$M$2005,"&gt;"&amp;M1753)=0,1,0),0)</f>
        <v/>
      </c>
      <c r="O1753">
        <f>IF(AND(F1753="Booked",M1753&lt;&gt;"",N(B1753)&gt;=TODAY()),IF(COUNTIFS(Appointments!$D$6:$D$2005,D1753,Appointments!$F$6:$F$2005,"Booked",Appointments!$B$6:$B$2005,"&gt;="&amp;TODAY(),Appointments!$M$6:$M$2005,"&lt;"&amp;M1753)=0,1,0),0)</f>
        <v/>
      </c>
    </row>
    <row r="1754">
      <c r="A1754" s="1" t="n"/>
      <c r="B1754" s="30" t="n"/>
      <c r="C1754" s="31" t="n"/>
      <c r="D1754" s="32" t="n"/>
      <c r="E1754" s="32" t="n"/>
      <c r="F1754" s="33" t="n"/>
      <c r="G1754" s="27">
        <f>IF(E1754="","",MAX(0,IFERROR(INDEX(Services!$C$6:$C$35,MATCH(E1754,Services!$B$6:$B$35,0)),0)-N(H1754)))</f>
        <v/>
      </c>
      <c r="H1754" s="34" t="n"/>
      <c r="I1754" s="34" t="n"/>
      <c r="J1754" s="33" t="n"/>
      <c r="K1754" s="28">
        <f>IF(OR(B1754="",F1754&lt;&gt;"Done",J1754="Package"),"",IF(N(G1754)-N(I1754)&gt;0,N(G1754)-N(I1754),""))</f>
        <v/>
      </c>
      <c r="L1754" s="32" t="n"/>
      <c r="M1754" s="1">
        <f>IF(OR(B1754="",D1754="",F1754="Cancelled"),"",B1754+N(C1754)+ROW()/10000000)</f>
        <v/>
      </c>
      <c r="N1754">
        <f>IF(AND(F1754="Done",M1754&lt;&gt;""),IF(COUNTIFS(Appointments!$D$6:$D$2005,D1754,Appointments!$F$6:$F$2005,"Done",Appointments!$M$6:$M$2005,"&gt;"&amp;M1754)=0,1,0),0)</f>
        <v/>
      </c>
      <c r="O1754">
        <f>IF(AND(F1754="Booked",M1754&lt;&gt;"",N(B1754)&gt;=TODAY()),IF(COUNTIFS(Appointments!$D$6:$D$2005,D1754,Appointments!$F$6:$F$2005,"Booked",Appointments!$B$6:$B$2005,"&gt;="&amp;TODAY(),Appointments!$M$6:$M$2005,"&lt;"&amp;M1754)=0,1,0),0)</f>
        <v/>
      </c>
    </row>
    <row r="1755">
      <c r="A1755" s="1" t="n"/>
      <c r="B1755" s="30" t="n"/>
      <c r="C1755" s="31" t="n"/>
      <c r="D1755" s="32" t="n"/>
      <c r="E1755" s="32" t="n"/>
      <c r="F1755" s="33" t="n"/>
      <c r="G1755" s="27">
        <f>IF(E1755="","",MAX(0,IFERROR(INDEX(Services!$C$6:$C$35,MATCH(E1755,Services!$B$6:$B$35,0)),0)-N(H1755)))</f>
        <v/>
      </c>
      <c r="H1755" s="34" t="n"/>
      <c r="I1755" s="34" t="n"/>
      <c r="J1755" s="33" t="n"/>
      <c r="K1755" s="28">
        <f>IF(OR(B1755="",F1755&lt;&gt;"Done",J1755="Package"),"",IF(N(G1755)-N(I1755)&gt;0,N(G1755)-N(I1755),""))</f>
        <v/>
      </c>
      <c r="L1755" s="32" t="n"/>
      <c r="M1755" s="1">
        <f>IF(OR(B1755="",D1755="",F1755="Cancelled"),"",B1755+N(C1755)+ROW()/10000000)</f>
        <v/>
      </c>
      <c r="N1755">
        <f>IF(AND(F1755="Done",M1755&lt;&gt;""),IF(COUNTIFS(Appointments!$D$6:$D$2005,D1755,Appointments!$F$6:$F$2005,"Done",Appointments!$M$6:$M$2005,"&gt;"&amp;M1755)=0,1,0),0)</f>
        <v/>
      </c>
      <c r="O1755">
        <f>IF(AND(F1755="Booked",M1755&lt;&gt;"",N(B1755)&gt;=TODAY()),IF(COUNTIFS(Appointments!$D$6:$D$2005,D1755,Appointments!$F$6:$F$2005,"Booked",Appointments!$B$6:$B$2005,"&gt;="&amp;TODAY(),Appointments!$M$6:$M$2005,"&lt;"&amp;M1755)=0,1,0),0)</f>
        <v/>
      </c>
    </row>
    <row r="1756">
      <c r="A1756" s="1" t="n"/>
      <c r="B1756" s="30" t="n"/>
      <c r="C1756" s="31" t="n"/>
      <c r="D1756" s="32" t="n"/>
      <c r="E1756" s="32" t="n"/>
      <c r="F1756" s="33" t="n"/>
      <c r="G1756" s="27">
        <f>IF(E1756="","",MAX(0,IFERROR(INDEX(Services!$C$6:$C$35,MATCH(E1756,Services!$B$6:$B$35,0)),0)-N(H1756)))</f>
        <v/>
      </c>
      <c r="H1756" s="34" t="n"/>
      <c r="I1756" s="34" t="n"/>
      <c r="J1756" s="33" t="n"/>
      <c r="K1756" s="28">
        <f>IF(OR(B1756="",F1756&lt;&gt;"Done",J1756="Package"),"",IF(N(G1756)-N(I1756)&gt;0,N(G1756)-N(I1756),""))</f>
        <v/>
      </c>
      <c r="L1756" s="32" t="n"/>
      <c r="M1756" s="1">
        <f>IF(OR(B1756="",D1756="",F1756="Cancelled"),"",B1756+N(C1756)+ROW()/10000000)</f>
        <v/>
      </c>
      <c r="N1756">
        <f>IF(AND(F1756="Done",M1756&lt;&gt;""),IF(COUNTIFS(Appointments!$D$6:$D$2005,D1756,Appointments!$F$6:$F$2005,"Done",Appointments!$M$6:$M$2005,"&gt;"&amp;M1756)=0,1,0),0)</f>
        <v/>
      </c>
      <c r="O1756">
        <f>IF(AND(F1756="Booked",M1756&lt;&gt;"",N(B1756)&gt;=TODAY()),IF(COUNTIFS(Appointments!$D$6:$D$2005,D1756,Appointments!$F$6:$F$2005,"Booked",Appointments!$B$6:$B$2005,"&gt;="&amp;TODAY(),Appointments!$M$6:$M$2005,"&lt;"&amp;M1756)=0,1,0),0)</f>
        <v/>
      </c>
    </row>
    <row r="1757">
      <c r="A1757" s="1" t="n"/>
      <c r="B1757" s="30" t="n"/>
      <c r="C1757" s="31" t="n"/>
      <c r="D1757" s="32" t="n"/>
      <c r="E1757" s="32" t="n"/>
      <c r="F1757" s="33" t="n"/>
      <c r="G1757" s="27">
        <f>IF(E1757="","",MAX(0,IFERROR(INDEX(Services!$C$6:$C$35,MATCH(E1757,Services!$B$6:$B$35,0)),0)-N(H1757)))</f>
        <v/>
      </c>
      <c r="H1757" s="34" t="n"/>
      <c r="I1757" s="34" t="n"/>
      <c r="J1757" s="33" t="n"/>
      <c r="K1757" s="28">
        <f>IF(OR(B1757="",F1757&lt;&gt;"Done",J1757="Package"),"",IF(N(G1757)-N(I1757)&gt;0,N(G1757)-N(I1757),""))</f>
        <v/>
      </c>
      <c r="L1757" s="32" t="n"/>
      <c r="M1757" s="1">
        <f>IF(OR(B1757="",D1757="",F1757="Cancelled"),"",B1757+N(C1757)+ROW()/10000000)</f>
        <v/>
      </c>
      <c r="N1757">
        <f>IF(AND(F1757="Done",M1757&lt;&gt;""),IF(COUNTIFS(Appointments!$D$6:$D$2005,D1757,Appointments!$F$6:$F$2005,"Done",Appointments!$M$6:$M$2005,"&gt;"&amp;M1757)=0,1,0),0)</f>
        <v/>
      </c>
      <c r="O1757">
        <f>IF(AND(F1757="Booked",M1757&lt;&gt;"",N(B1757)&gt;=TODAY()),IF(COUNTIFS(Appointments!$D$6:$D$2005,D1757,Appointments!$F$6:$F$2005,"Booked",Appointments!$B$6:$B$2005,"&gt;="&amp;TODAY(),Appointments!$M$6:$M$2005,"&lt;"&amp;M1757)=0,1,0),0)</f>
        <v/>
      </c>
    </row>
    <row r="1758">
      <c r="A1758" s="1" t="n"/>
      <c r="B1758" s="30" t="n"/>
      <c r="C1758" s="31" t="n"/>
      <c r="D1758" s="32" t="n"/>
      <c r="E1758" s="32" t="n"/>
      <c r="F1758" s="33" t="n"/>
      <c r="G1758" s="27">
        <f>IF(E1758="","",MAX(0,IFERROR(INDEX(Services!$C$6:$C$35,MATCH(E1758,Services!$B$6:$B$35,0)),0)-N(H1758)))</f>
        <v/>
      </c>
      <c r="H1758" s="34" t="n"/>
      <c r="I1758" s="34" t="n"/>
      <c r="J1758" s="33" t="n"/>
      <c r="K1758" s="28">
        <f>IF(OR(B1758="",F1758&lt;&gt;"Done",J1758="Package"),"",IF(N(G1758)-N(I1758)&gt;0,N(G1758)-N(I1758),""))</f>
        <v/>
      </c>
      <c r="L1758" s="32" t="n"/>
      <c r="M1758" s="1">
        <f>IF(OR(B1758="",D1758="",F1758="Cancelled"),"",B1758+N(C1758)+ROW()/10000000)</f>
        <v/>
      </c>
      <c r="N1758">
        <f>IF(AND(F1758="Done",M1758&lt;&gt;""),IF(COUNTIFS(Appointments!$D$6:$D$2005,D1758,Appointments!$F$6:$F$2005,"Done",Appointments!$M$6:$M$2005,"&gt;"&amp;M1758)=0,1,0),0)</f>
        <v/>
      </c>
      <c r="O1758">
        <f>IF(AND(F1758="Booked",M1758&lt;&gt;"",N(B1758)&gt;=TODAY()),IF(COUNTIFS(Appointments!$D$6:$D$2005,D1758,Appointments!$F$6:$F$2005,"Booked",Appointments!$B$6:$B$2005,"&gt;="&amp;TODAY(),Appointments!$M$6:$M$2005,"&lt;"&amp;M1758)=0,1,0),0)</f>
        <v/>
      </c>
    </row>
    <row r="1759">
      <c r="A1759" s="1" t="n"/>
      <c r="B1759" s="30" t="n"/>
      <c r="C1759" s="31" t="n"/>
      <c r="D1759" s="32" t="n"/>
      <c r="E1759" s="32" t="n"/>
      <c r="F1759" s="33" t="n"/>
      <c r="G1759" s="27">
        <f>IF(E1759="","",MAX(0,IFERROR(INDEX(Services!$C$6:$C$35,MATCH(E1759,Services!$B$6:$B$35,0)),0)-N(H1759)))</f>
        <v/>
      </c>
      <c r="H1759" s="34" t="n"/>
      <c r="I1759" s="34" t="n"/>
      <c r="J1759" s="33" t="n"/>
      <c r="K1759" s="28">
        <f>IF(OR(B1759="",F1759&lt;&gt;"Done",J1759="Package"),"",IF(N(G1759)-N(I1759)&gt;0,N(G1759)-N(I1759),""))</f>
        <v/>
      </c>
      <c r="L1759" s="32" t="n"/>
      <c r="M1759" s="1">
        <f>IF(OR(B1759="",D1759="",F1759="Cancelled"),"",B1759+N(C1759)+ROW()/10000000)</f>
        <v/>
      </c>
      <c r="N1759">
        <f>IF(AND(F1759="Done",M1759&lt;&gt;""),IF(COUNTIFS(Appointments!$D$6:$D$2005,D1759,Appointments!$F$6:$F$2005,"Done",Appointments!$M$6:$M$2005,"&gt;"&amp;M1759)=0,1,0),0)</f>
        <v/>
      </c>
      <c r="O1759">
        <f>IF(AND(F1759="Booked",M1759&lt;&gt;"",N(B1759)&gt;=TODAY()),IF(COUNTIFS(Appointments!$D$6:$D$2005,D1759,Appointments!$F$6:$F$2005,"Booked",Appointments!$B$6:$B$2005,"&gt;="&amp;TODAY(),Appointments!$M$6:$M$2005,"&lt;"&amp;M1759)=0,1,0),0)</f>
        <v/>
      </c>
    </row>
    <row r="1760">
      <c r="A1760" s="1" t="n"/>
      <c r="B1760" s="30" t="n"/>
      <c r="C1760" s="31" t="n"/>
      <c r="D1760" s="32" t="n"/>
      <c r="E1760" s="32" t="n"/>
      <c r="F1760" s="33" t="n"/>
      <c r="G1760" s="27">
        <f>IF(E1760="","",MAX(0,IFERROR(INDEX(Services!$C$6:$C$35,MATCH(E1760,Services!$B$6:$B$35,0)),0)-N(H1760)))</f>
        <v/>
      </c>
      <c r="H1760" s="34" t="n"/>
      <c r="I1760" s="34" t="n"/>
      <c r="J1760" s="33" t="n"/>
      <c r="K1760" s="28">
        <f>IF(OR(B1760="",F1760&lt;&gt;"Done",J1760="Package"),"",IF(N(G1760)-N(I1760)&gt;0,N(G1760)-N(I1760),""))</f>
        <v/>
      </c>
      <c r="L1760" s="32" t="n"/>
      <c r="M1760" s="1">
        <f>IF(OR(B1760="",D1760="",F1760="Cancelled"),"",B1760+N(C1760)+ROW()/10000000)</f>
        <v/>
      </c>
      <c r="N1760">
        <f>IF(AND(F1760="Done",M1760&lt;&gt;""),IF(COUNTIFS(Appointments!$D$6:$D$2005,D1760,Appointments!$F$6:$F$2005,"Done",Appointments!$M$6:$M$2005,"&gt;"&amp;M1760)=0,1,0),0)</f>
        <v/>
      </c>
      <c r="O1760">
        <f>IF(AND(F1760="Booked",M1760&lt;&gt;"",N(B1760)&gt;=TODAY()),IF(COUNTIFS(Appointments!$D$6:$D$2005,D1760,Appointments!$F$6:$F$2005,"Booked",Appointments!$B$6:$B$2005,"&gt;="&amp;TODAY(),Appointments!$M$6:$M$2005,"&lt;"&amp;M1760)=0,1,0),0)</f>
        <v/>
      </c>
    </row>
    <row r="1761">
      <c r="A1761" s="1" t="n"/>
      <c r="B1761" s="30" t="n"/>
      <c r="C1761" s="31" t="n"/>
      <c r="D1761" s="32" t="n"/>
      <c r="E1761" s="32" t="n"/>
      <c r="F1761" s="33" t="n"/>
      <c r="G1761" s="27">
        <f>IF(E1761="","",MAX(0,IFERROR(INDEX(Services!$C$6:$C$35,MATCH(E1761,Services!$B$6:$B$35,0)),0)-N(H1761)))</f>
        <v/>
      </c>
      <c r="H1761" s="34" t="n"/>
      <c r="I1761" s="34" t="n"/>
      <c r="J1761" s="33" t="n"/>
      <c r="K1761" s="28">
        <f>IF(OR(B1761="",F1761&lt;&gt;"Done",J1761="Package"),"",IF(N(G1761)-N(I1761)&gt;0,N(G1761)-N(I1761),""))</f>
        <v/>
      </c>
      <c r="L1761" s="32" t="n"/>
      <c r="M1761" s="1">
        <f>IF(OR(B1761="",D1761="",F1761="Cancelled"),"",B1761+N(C1761)+ROW()/10000000)</f>
        <v/>
      </c>
      <c r="N1761">
        <f>IF(AND(F1761="Done",M1761&lt;&gt;""),IF(COUNTIFS(Appointments!$D$6:$D$2005,D1761,Appointments!$F$6:$F$2005,"Done",Appointments!$M$6:$M$2005,"&gt;"&amp;M1761)=0,1,0),0)</f>
        <v/>
      </c>
      <c r="O1761">
        <f>IF(AND(F1761="Booked",M1761&lt;&gt;"",N(B1761)&gt;=TODAY()),IF(COUNTIFS(Appointments!$D$6:$D$2005,D1761,Appointments!$F$6:$F$2005,"Booked",Appointments!$B$6:$B$2005,"&gt;="&amp;TODAY(),Appointments!$M$6:$M$2005,"&lt;"&amp;M1761)=0,1,0),0)</f>
        <v/>
      </c>
    </row>
    <row r="1762">
      <c r="A1762" s="1" t="n"/>
      <c r="B1762" s="30" t="n"/>
      <c r="C1762" s="31" t="n"/>
      <c r="D1762" s="32" t="n"/>
      <c r="E1762" s="32" t="n"/>
      <c r="F1762" s="33" t="n"/>
      <c r="G1762" s="27">
        <f>IF(E1762="","",MAX(0,IFERROR(INDEX(Services!$C$6:$C$35,MATCH(E1762,Services!$B$6:$B$35,0)),0)-N(H1762)))</f>
        <v/>
      </c>
      <c r="H1762" s="34" t="n"/>
      <c r="I1762" s="34" t="n"/>
      <c r="J1762" s="33" t="n"/>
      <c r="K1762" s="28">
        <f>IF(OR(B1762="",F1762&lt;&gt;"Done",J1762="Package"),"",IF(N(G1762)-N(I1762)&gt;0,N(G1762)-N(I1762),""))</f>
        <v/>
      </c>
      <c r="L1762" s="32" t="n"/>
      <c r="M1762" s="1">
        <f>IF(OR(B1762="",D1762="",F1762="Cancelled"),"",B1762+N(C1762)+ROW()/10000000)</f>
        <v/>
      </c>
      <c r="N1762">
        <f>IF(AND(F1762="Done",M1762&lt;&gt;""),IF(COUNTIFS(Appointments!$D$6:$D$2005,D1762,Appointments!$F$6:$F$2005,"Done",Appointments!$M$6:$M$2005,"&gt;"&amp;M1762)=0,1,0),0)</f>
        <v/>
      </c>
      <c r="O1762">
        <f>IF(AND(F1762="Booked",M1762&lt;&gt;"",N(B1762)&gt;=TODAY()),IF(COUNTIFS(Appointments!$D$6:$D$2005,D1762,Appointments!$F$6:$F$2005,"Booked",Appointments!$B$6:$B$2005,"&gt;="&amp;TODAY(),Appointments!$M$6:$M$2005,"&lt;"&amp;M1762)=0,1,0),0)</f>
        <v/>
      </c>
    </row>
    <row r="1763">
      <c r="A1763" s="1" t="n"/>
      <c r="B1763" s="30" t="n"/>
      <c r="C1763" s="31" t="n"/>
      <c r="D1763" s="32" t="n"/>
      <c r="E1763" s="32" t="n"/>
      <c r="F1763" s="33" t="n"/>
      <c r="G1763" s="27">
        <f>IF(E1763="","",MAX(0,IFERROR(INDEX(Services!$C$6:$C$35,MATCH(E1763,Services!$B$6:$B$35,0)),0)-N(H1763)))</f>
        <v/>
      </c>
      <c r="H1763" s="34" t="n"/>
      <c r="I1763" s="34" t="n"/>
      <c r="J1763" s="33" t="n"/>
      <c r="K1763" s="28">
        <f>IF(OR(B1763="",F1763&lt;&gt;"Done",J1763="Package"),"",IF(N(G1763)-N(I1763)&gt;0,N(G1763)-N(I1763),""))</f>
        <v/>
      </c>
      <c r="L1763" s="32" t="n"/>
      <c r="M1763" s="1">
        <f>IF(OR(B1763="",D1763="",F1763="Cancelled"),"",B1763+N(C1763)+ROW()/10000000)</f>
        <v/>
      </c>
      <c r="N1763">
        <f>IF(AND(F1763="Done",M1763&lt;&gt;""),IF(COUNTIFS(Appointments!$D$6:$D$2005,D1763,Appointments!$F$6:$F$2005,"Done",Appointments!$M$6:$M$2005,"&gt;"&amp;M1763)=0,1,0),0)</f>
        <v/>
      </c>
      <c r="O1763">
        <f>IF(AND(F1763="Booked",M1763&lt;&gt;"",N(B1763)&gt;=TODAY()),IF(COUNTIFS(Appointments!$D$6:$D$2005,D1763,Appointments!$F$6:$F$2005,"Booked",Appointments!$B$6:$B$2005,"&gt;="&amp;TODAY(),Appointments!$M$6:$M$2005,"&lt;"&amp;M1763)=0,1,0),0)</f>
        <v/>
      </c>
    </row>
    <row r="1764">
      <c r="A1764" s="1" t="n"/>
      <c r="B1764" s="30" t="n"/>
      <c r="C1764" s="31" t="n"/>
      <c r="D1764" s="32" t="n"/>
      <c r="E1764" s="32" t="n"/>
      <c r="F1764" s="33" t="n"/>
      <c r="G1764" s="27">
        <f>IF(E1764="","",MAX(0,IFERROR(INDEX(Services!$C$6:$C$35,MATCH(E1764,Services!$B$6:$B$35,0)),0)-N(H1764)))</f>
        <v/>
      </c>
      <c r="H1764" s="34" t="n"/>
      <c r="I1764" s="34" t="n"/>
      <c r="J1764" s="33" t="n"/>
      <c r="K1764" s="28">
        <f>IF(OR(B1764="",F1764&lt;&gt;"Done",J1764="Package"),"",IF(N(G1764)-N(I1764)&gt;0,N(G1764)-N(I1764),""))</f>
        <v/>
      </c>
      <c r="L1764" s="32" t="n"/>
      <c r="M1764" s="1">
        <f>IF(OR(B1764="",D1764="",F1764="Cancelled"),"",B1764+N(C1764)+ROW()/10000000)</f>
        <v/>
      </c>
      <c r="N1764">
        <f>IF(AND(F1764="Done",M1764&lt;&gt;""),IF(COUNTIFS(Appointments!$D$6:$D$2005,D1764,Appointments!$F$6:$F$2005,"Done",Appointments!$M$6:$M$2005,"&gt;"&amp;M1764)=0,1,0),0)</f>
        <v/>
      </c>
      <c r="O1764">
        <f>IF(AND(F1764="Booked",M1764&lt;&gt;"",N(B1764)&gt;=TODAY()),IF(COUNTIFS(Appointments!$D$6:$D$2005,D1764,Appointments!$F$6:$F$2005,"Booked",Appointments!$B$6:$B$2005,"&gt;="&amp;TODAY(),Appointments!$M$6:$M$2005,"&lt;"&amp;M1764)=0,1,0),0)</f>
        <v/>
      </c>
    </row>
    <row r="1765">
      <c r="A1765" s="1" t="n"/>
      <c r="B1765" s="30" t="n"/>
      <c r="C1765" s="31" t="n"/>
      <c r="D1765" s="32" t="n"/>
      <c r="E1765" s="32" t="n"/>
      <c r="F1765" s="33" t="n"/>
      <c r="G1765" s="27">
        <f>IF(E1765="","",MAX(0,IFERROR(INDEX(Services!$C$6:$C$35,MATCH(E1765,Services!$B$6:$B$35,0)),0)-N(H1765)))</f>
        <v/>
      </c>
      <c r="H1765" s="34" t="n"/>
      <c r="I1765" s="34" t="n"/>
      <c r="J1765" s="33" t="n"/>
      <c r="K1765" s="28">
        <f>IF(OR(B1765="",F1765&lt;&gt;"Done",J1765="Package"),"",IF(N(G1765)-N(I1765)&gt;0,N(G1765)-N(I1765),""))</f>
        <v/>
      </c>
      <c r="L1765" s="32" t="n"/>
      <c r="M1765" s="1">
        <f>IF(OR(B1765="",D1765="",F1765="Cancelled"),"",B1765+N(C1765)+ROW()/10000000)</f>
        <v/>
      </c>
      <c r="N1765">
        <f>IF(AND(F1765="Done",M1765&lt;&gt;""),IF(COUNTIFS(Appointments!$D$6:$D$2005,D1765,Appointments!$F$6:$F$2005,"Done",Appointments!$M$6:$M$2005,"&gt;"&amp;M1765)=0,1,0),0)</f>
        <v/>
      </c>
      <c r="O1765">
        <f>IF(AND(F1765="Booked",M1765&lt;&gt;"",N(B1765)&gt;=TODAY()),IF(COUNTIFS(Appointments!$D$6:$D$2005,D1765,Appointments!$F$6:$F$2005,"Booked",Appointments!$B$6:$B$2005,"&gt;="&amp;TODAY(),Appointments!$M$6:$M$2005,"&lt;"&amp;M1765)=0,1,0),0)</f>
        <v/>
      </c>
    </row>
    <row r="1766">
      <c r="A1766" s="1" t="n"/>
      <c r="B1766" s="30" t="n"/>
      <c r="C1766" s="31" t="n"/>
      <c r="D1766" s="32" t="n"/>
      <c r="E1766" s="32" t="n"/>
      <c r="F1766" s="33" t="n"/>
      <c r="G1766" s="27">
        <f>IF(E1766="","",MAX(0,IFERROR(INDEX(Services!$C$6:$C$35,MATCH(E1766,Services!$B$6:$B$35,0)),0)-N(H1766)))</f>
        <v/>
      </c>
      <c r="H1766" s="34" t="n"/>
      <c r="I1766" s="34" t="n"/>
      <c r="J1766" s="33" t="n"/>
      <c r="K1766" s="28">
        <f>IF(OR(B1766="",F1766&lt;&gt;"Done",J1766="Package"),"",IF(N(G1766)-N(I1766)&gt;0,N(G1766)-N(I1766),""))</f>
        <v/>
      </c>
      <c r="L1766" s="32" t="n"/>
      <c r="M1766" s="1">
        <f>IF(OR(B1766="",D1766="",F1766="Cancelled"),"",B1766+N(C1766)+ROW()/10000000)</f>
        <v/>
      </c>
      <c r="N1766">
        <f>IF(AND(F1766="Done",M1766&lt;&gt;""),IF(COUNTIFS(Appointments!$D$6:$D$2005,D1766,Appointments!$F$6:$F$2005,"Done",Appointments!$M$6:$M$2005,"&gt;"&amp;M1766)=0,1,0),0)</f>
        <v/>
      </c>
      <c r="O1766">
        <f>IF(AND(F1766="Booked",M1766&lt;&gt;"",N(B1766)&gt;=TODAY()),IF(COUNTIFS(Appointments!$D$6:$D$2005,D1766,Appointments!$F$6:$F$2005,"Booked",Appointments!$B$6:$B$2005,"&gt;="&amp;TODAY(),Appointments!$M$6:$M$2005,"&lt;"&amp;M1766)=0,1,0),0)</f>
        <v/>
      </c>
    </row>
    <row r="1767">
      <c r="A1767" s="1" t="n"/>
      <c r="B1767" s="30" t="n"/>
      <c r="C1767" s="31" t="n"/>
      <c r="D1767" s="32" t="n"/>
      <c r="E1767" s="32" t="n"/>
      <c r="F1767" s="33" t="n"/>
      <c r="G1767" s="27">
        <f>IF(E1767="","",MAX(0,IFERROR(INDEX(Services!$C$6:$C$35,MATCH(E1767,Services!$B$6:$B$35,0)),0)-N(H1767)))</f>
        <v/>
      </c>
      <c r="H1767" s="34" t="n"/>
      <c r="I1767" s="34" t="n"/>
      <c r="J1767" s="33" t="n"/>
      <c r="K1767" s="28">
        <f>IF(OR(B1767="",F1767&lt;&gt;"Done",J1767="Package"),"",IF(N(G1767)-N(I1767)&gt;0,N(G1767)-N(I1767),""))</f>
        <v/>
      </c>
      <c r="L1767" s="32" t="n"/>
      <c r="M1767" s="1">
        <f>IF(OR(B1767="",D1767="",F1767="Cancelled"),"",B1767+N(C1767)+ROW()/10000000)</f>
        <v/>
      </c>
      <c r="N1767">
        <f>IF(AND(F1767="Done",M1767&lt;&gt;""),IF(COUNTIFS(Appointments!$D$6:$D$2005,D1767,Appointments!$F$6:$F$2005,"Done",Appointments!$M$6:$M$2005,"&gt;"&amp;M1767)=0,1,0),0)</f>
        <v/>
      </c>
      <c r="O1767">
        <f>IF(AND(F1767="Booked",M1767&lt;&gt;"",N(B1767)&gt;=TODAY()),IF(COUNTIFS(Appointments!$D$6:$D$2005,D1767,Appointments!$F$6:$F$2005,"Booked",Appointments!$B$6:$B$2005,"&gt;="&amp;TODAY(),Appointments!$M$6:$M$2005,"&lt;"&amp;M1767)=0,1,0),0)</f>
        <v/>
      </c>
    </row>
    <row r="1768">
      <c r="A1768" s="1" t="n"/>
      <c r="B1768" s="30" t="n"/>
      <c r="C1768" s="31" t="n"/>
      <c r="D1768" s="32" t="n"/>
      <c r="E1768" s="32" t="n"/>
      <c r="F1768" s="33" t="n"/>
      <c r="G1768" s="27">
        <f>IF(E1768="","",MAX(0,IFERROR(INDEX(Services!$C$6:$C$35,MATCH(E1768,Services!$B$6:$B$35,0)),0)-N(H1768)))</f>
        <v/>
      </c>
      <c r="H1768" s="34" t="n"/>
      <c r="I1768" s="34" t="n"/>
      <c r="J1768" s="33" t="n"/>
      <c r="K1768" s="28">
        <f>IF(OR(B1768="",F1768&lt;&gt;"Done",J1768="Package"),"",IF(N(G1768)-N(I1768)&gt;0,N(G1768)-N(I1768),""))</f>
        <v/>
      </c>
      <c r="L1768" s="32" t="n"/>
      <c r="M1768" s="1">
        <f>IF(OR(B1768="",D1768="",F1768="Cancelled"),"",B1768+N(C1768)+ROW()/10000000)</f>
        <v/>
      </c>
      <c r="N1768">
        <f>IF(AND(F1768="Done",M1768&lt;&gt;""),IF(COUNTIFS(Appointments!$D$6:$D$2005,D1768,Appointments!$F$6:$F$2005,"Done",Appointments!$M$6:$M$2005,"&gt;"&amp;M1768)=0,1,0),0)</f>
        <v/>
      </c>
      <c r="O1768">
        <f>IF(AND(F1768="Booked",M1768&lt;&gt;"",N(B1768)&gt;=TODAY()),IF(COUNTIFS(Appointments!$D$6:$D$2005,D1768,Appointments!$F$6:$F$2005,"Booked",Appointments!$B$6:$B$2005,"&gt;="&amp;TODAY(),Appointments!$M$6:$M$2005,"&lt;"&amp;M1768)=0,1,0),0)</f>
        <v/>
      </c>
    </row>
    <row r="1769">
      <c r="A1769" s="1" t="n"/>
      <c r="B1769" s="30" t="n"/>
      <c r="C1769" s="31" t="n"/>
      <c r="D1769" s="32" t="n"/>
      <c r="E1769" s="32" t="n"/>
      <c r="F1769" s="33" t="n"/>
      <c r="G1769" s="27">
        <f>IF(E1769="","",MAX(0,IFERROR(INDEX(Services!$C$6:$C$35,MATCH(E1769,Services!$B$6:$B$35,0)),0)-N(H1769)))</f>
        <v/>
      </c>
      <c r="H1769" s="34" t="n"/>
      <c r="I1769" s="34" t="n"/>
      <c r="J1769" s="33" t="n"/>
      <c r="K1769" s="28">
        <f>IF(OR(B1769="",F1769&lt;&gt;"Done",J1769="Package"),"",IF(N(G1769)-N(I1769)&gt;0,N(G1769)-N(I1769),""))</f>
        <v/>
      </c>
      <c r="L1769" s="32" t="n"/>
      <c r="M1769" s="1">
        <f>IF(OR(B1769="",D1769="",F1769="Cancelled"),"",B1769+N(C1769)+ROW()/10000000)</f>
        <v/>
      </c>
      <c r="N1769">
        <f>IF(AND(F1769="Done",M1769&lt;&gt;""),IF(COUNTIFS(Appointments!$D$6:$D$2005,D1769,Appointments!$F$6:$F$2005,"Done",Appointments!$M$6:$M$2005,"&gt;"&amp;M1769)=0,1,0),0)</f>
        <v/>
      </c>
      <c r="O1769">
        <f>IF(AND(F1769="Booked",M1769&lt;&gt;"",N(B1769)&gt;=TODAY()),IF(COUNTIFS(Appointments!$D$6:$D$2005,D1769,Appointments!$F$6:$F$2005,"Booked",Appointments!$B$6:$B$2005,"&gt;="&amp;TODAY(),Appointments!$M$6:$M$2005,"&lt;"&amp;M1769)=0,1,0),0)</f>
        <v/>
      </c>
    </row>
    <row r="1770">
      <c r="A1770" s="1" t="n"/>
      <c r="B1770" s="30" t="n"/>
      <c r="C1770" s="31" t="n"/>
      <c r="D1770" s="32" t="n"/>
      <c r="E1770" s="32" t="n"/>
      <c r="F1770" s="33" t="n"/>
      <c r="G1770" s="27">
        <f>IF(E1770="","",MAX(0,IFERROR(INDEX(Services!$C$6:$C$35,MATCH(E1770,Services!$B$6:$B$35,0)),0)-N(H1770)))</f>
        <v/>
      </c>
      <c r="H1770" s="34" t="n"/>
      <c r="I1770" s="34" t="n"/>
      <c r="J1770" s="33" t="n"/>
      <c r="K1770" s="28">
        <f>IF(OR(B1770="",F1770&lt;&gt;"Done",J1770="Package"),"",IF(N(G1770)-N(I1770)&gt;0,N(G1770)-N(I1770),""))</f>
        <v/>
      </c>
      <c r="L1770" s="32" t="n"/>
      <c r="M1770" s="1">
        <f>IF(OR(B1770="",D1770="",F1770="Cancelled"),"",B1770+N(C1770)+ROW()/10000000)</f>
        <v/>
      </c>
      <c r="N1770">
        <f>IF(AND(F1770="Done",M1770&lt;&gt;""),IF(COUNTIFS(Appointments!$D$6:$D$2005,D1770,Appointments!$F$6:$F$2005,"Done",Appointments!$M$6:$M$2005,"&gt;"&amp;M1770)=0,1,0),0)</f>
        <v/>
      </c>
      <c r="O1770">
        <f>IF(AND(F1770="Booked",M1770&lt;&gt;"",N(B1770)&gt;=TODAY()),IF(COUNTIFS(Appointments!$D$6:$D$2005,D1770,Appointments!$F$6:$F$2005,"Booked",Appointments!$B$6:$B$2005,"&gt;="&amp;TODAY(),Appointments!$M$6:$M$2005,"&lt;"&amp;M1770)=0,1,0),0)</f>
        <v/>
      </c>
    </row>
    <row r="1771">
      <c r="A1771" s="1" t="n"/>
      <c r="B1771" s="30" t="n"/>
      <c r="C1771" s="31" t="n"/>
      <c r="D1771" s="32" t="n"/>
      <c r="E1771" s="32" t="n"/>
      <c r="F1771" s="33" t="n"/>
      <c r="G1771" s="27">
        <f>IF(E1771="","",MAX(0,IFERROR(INDEX(Services!$C$6:$C$35,MATCH(E1771,Services!$B$6:$B$35,0)),0)-N(H1771)))</f>
        <v/>
      </c>
      <c r="H1771" s="34" t="n"/>
      <c r="I1771" s="34" t="n"/>
      <c r="J1771" s="33" t="n"/>
      <c r="K1771" s="28">
        <f>IF(OR(B1771="",F1771&lt;&gt;"Done",J1771="Package"),"",IF(N(G1771)-N(I1771)&gt;0,N(G1771)-N(I1771),""))</f>
        <v/>
      </c>
      <c r="L1771" s="32" t="n"/>
      <c r="M1771" s="1">
        <f>IF(OR(B1771="",D1771="",F1771="Cancelled"),"",B1771+N(C1771)+ROW()/10000000)</f>
        <v/>
      </c>
      <c r="N1771">
        <f>IF(AND(F1771="Done",M1771&lt;&gt;""),IF(COUNTIFS(Appointments!$D$6:$D$2005,D1771,Appointments!$F$6:$F$2005,"Done",Appointments!$M$6:$M$2005,"&gt;"&amp;M1771)=0,1,0),0)</f>
        <v/>
      </c>
      <c r="O1771">
        <f>IF(AND(F1771="Booked",M1771&lt;&gt;"",N(B1771)&gt;=TODAY()),IF(COUNTIFS(Appointments!$D$6:$D$2005,D1771,Appointments!$F$6:$F$2005,"Booked",Appointments!$B$6:$B$2005,"&gt;="&amp;TODAY(),Appointments!$M$6:$M$2005,"&lt;"&amp;M1771)=0,1,0),0)</f>
        <v/>
      </c>
    </row>
    <row r="1772">
      <c r="A1772" s="1" t="n"/>
      <c r="B1772" s="30" t="n"/>
      <c r="C1772" s="31" t="n"/>
      <c r="D1772" s="32" t="n"/>
      <c r="E1772" s="32" t="n"/>
      <c r="F1772" s="33" t="n"/>
      <c r="G1772" s="27">
        <f>IF(E1772="","",MAX(0,IFERROR(INDEX(Services!$C$6:$C$35,MATCH(E1772,Services!$B$6:$B$35,0)),0)-N(H1772)))</f>
        <v/>
      </c>
      <c r="H1772" s="34" t="n"/>
      <c r="I1772" s="34" t="n"/>
      <c r="J1772" s="33" t="n"/>
      <c r="K1772" s="28">
        <f>IF(OR(B1772="",F1772&lt;&gt;"Done",J1772="Package"),"",IF(N(G1772)-N(I1772)&gt;0,N(G1772)-N(I1772),""))</f>
        <v/>
      </c>
      <c r="L1772" s="32" t="n"/>
      <c r="M1772" s="1">
        <f>IF(OR(B1772="",D1772="",F1772="Cancelled"),"",B1772+N(C1772)+ROW()/10000000)</f>
        <v/>
      </c>
      <c r="N1772">
        <f>IF(AND(F1772="Done",M1772&lt;&gt;""),IF(COUNTIFS(Appointments!$D$6:$D$2005,D1772,Appointments!$F$6:$F$2005,"Done",Appointments!$M$6:$M$2005,"&gt;"&amp;M1772)=0,1,0),0)</f>
        <v/>
      </c>
      <c r="O1772">
        <f>IF(AND(F1772="Booked",M1772&lt;&gt;"",N(B1772)&gt;=TODAY()),IF(COUNTIFS(Appointments!$D$6:$D$2005,D1772,Appointments!$F$6:$F$2005,"Booked",Appointments!$B$6:$B$2005,"&gt;="&amp;TODAY(),Appointments!$M$6:$M$2005,"&lt;"&amp;M1772)=0,1,0),0)</f>
        <v/>
      </c>
    </row>
    <row r="1773">
      <c r="A1773" s="1" t="n"/>
      <c r="B1773" s="30" t="n"/>
      <c r="C1773" s="31" t="n"/>
      <c r="D1773" s="32" t="n"/>
      <c r="E1773" s="32" t="n"/>
      <c r="F1773" s="33" t="n"/>
      <c r="G1773" s="27">
        <f>IF(E1773="","",MAX(0,IFERROR(INDEX(Services!$C$6:$C$35,MATCH(E1773,Services!$B$6:$B$35,0)),0)-N(H1773)))</f>
        <v/>
      </c>
      <c r="H1773" s="34" t="n"/>
      <c r="I1773" s="34" t="n"/>
      <c r="J1773" s="33" t="n"/>
      <c r="K1773" s="28">
        <f>IF(OR(B1773="",F1773&lt;&gt;"Done",J1773="Package"),"",IF(N(G1773)-N(I1773)&gt;0,N(G1773)-N(I1773),""))</f>
        <v/>
      </c>
      <c r="L1773" s="32" t="n"/>
      <c r="M1773" s="1">
        <f>IF(OR(B1773="",D1773="",F1773="Cancelled"),"",B1773+N(C1773)+ROW()/10000000)</f>
        <v/>
      </c>
      <c r="N1773">
        <f>IF(AND(F1773="Done",M1773&lt;&gt;""),IF(COUNTIFS(Appointments!$D$6:$D$2005,D1773,Appointments!$F$6:$F$2005,"Done",Appointments!$M$6:$M$2005,"&gt;"&amp;M1773)=0,1,0),0)</f>
        <v/>
      </c>
      <c r="O1773">
        <f>IF(AND(F1773="Booked",M1773&lt;&gt;"",N(B1773)&gt;=TODAY()),IF(COUNTIFS(Appointments!$D$6:$D$2005,D1773,Appointments!$F$6:$F$2005,"Booked",Appointments!$B$6:$B$2005,"&gt;="&amp;TODAY(),Appointments!$M$6:$M$2005,"&lt;"&amp;M1773)=0,1,0),0)</f>
        <v/>
      </c>
    </row>
    <row r="1774">
      <c r="A1774" s="1" t="n"/>
      <c r="B1774" s="30" t="n"/>
      <c r="C1774" s="31" t="n"/>
      <c r="D1774" s="32" t="n"/>
      <c r="E1774" s="32" t="n"/>
      <c r="F1774" s="33" t="n"/>
      <c r="G1774" s="27">
        <f>IF(E1774="","",MAX(0,IFERROR(INDEX(Services!$C$6:$C$35,MATCH(E1774,Services!$B$6:$B$35,0)),0)-N(H1774)))</f>
        <v/>
      </c>
      <c r="H1774" s="34" t="n"/>
      <c r="I1774" s="34" t="n"/>
      <c r="J1774" s="33" t="n"/>
      <c r="K1774" s="28">
        <f>IF(OR(B1774="",F1774&lt;&gt;"Done",J1774="Package"),"",IF(N(G1774)-N(I1774)&gt;0,N(G1774)-N(I1774),""))</f>
        <v/>
      </c>
      <c r="L1774" s="32" t="n"/>
      <c r="M1774" s="1">
        <f>IF(OR(B1774="",D1774="",F1774="Cancelled"),"",B1774+N(C1774)+ROW()/10000000)</f>
        <v/>
      </c>
      <c r="N1774">
        <f>IF(AND(F1774="Done",M1774&lt;&gt;""),IF(COUNTIFS(Appointments!$D$6:$D$2005,D1774,Appointments!$F$6:$F$2005,"Done",Appointments!$M$6:$M$2005,"&gt;"&amp;M1774)=0,1,0),0)</f>
        <v/>
      </c>
      <c r="O1774">
        <f>IF(AND(F1774="Booked",M1774&lt;&gt;"",N(B1774)&gt;=TODAY()),IF(COUNTIFS(Appointments!$D$6:$D$2005,D1774,Appointments!$F$6:$F$2005,"Booked",Appointments!$B$6:$B$2005,"&gt;="&amp;TODAY(),Appointments!$M$6:$M$2005,"&lt;"&amp;M1774)=0,1,0),0)</f>
        <v/>
      </c>
    </row>
    <row r="1775">
      <c r="A1775" s="1" t="n"/>
      <c r="B1775" s="30" t="n"/>
      <c r="C1775" s="31" t="n"/>
      <c r="D1775" s="32" t="n"/>
      <c r="E1775" s="32" t="n"/>
      <c r="F1775" s="33" t="n"/>
      <c r="G1775" s="27">
        <f>IF(E1775="","",MAX(0,IFERROR(INDEX(Services!$C$6:$C$35,MATCH(E1775,Services!$B$6:$B$35,0)),0)-N(H1775)))</f>
        <v/>
      </c>
      <c r="H1775" s="34" t="n"/>
      <c r="I1775" s="34" t="n"/>
      <c r="J1775" s="33" t="n"/>
      <c r="K1775" s="28">
        <f>IF(OR(B1775="",F1775&lt;&gt;"Done",J1775="Package"),"",IF(N(G1775)-N(I1775)&gt;0,N(G1775)-N(I1775),""))</f>
        <v/>
      </c>
      <c r="L1775" s="32" t="n"/>
      <c r="M1775" s="1">
        <f>IF(OR(B1775="",D1775="",F1775="Cancelled"),"",B1775+N(C1775)+ROW()/10000000)</f>
        <v/>
      </c>
      <c r="N1775">
        <f>IF(AND(F1775="Done",M1775&lt;&gt;""),IF(COUNTIFS(Appointments!$D$6:$D$2005,D1775,Appointments!$F$6:$F$2005,"Done",Appointments!$M$6:$M$2005,"&gt;"&amp;M1775)=0,1,0),0)</f>
        <v/>
      </c>
      <c r="O1775">
        <f>IF(AND(F1775="Booked",M1775&lt;&gt;"",N(B1775)&gt;=TODAY()),IF(COUNTIFS(Appointments!$D$6:$D$2005,D1775,Appointments!$F$6:$F$2005,"Booked",Appointments!$B$6:$B$2005,"&gt;="&amp;TODAY(),Appointments!$M$6:$M$2005,"&lt;"&amp;M1775)=0,1,0),0)</f>
        <v/>
      </c>
    </row>
    <row r="1776">
      <c r="A1776" s="1" t="n"/>
      <c r="B1776" s="30" t="n"/>
      <c r="C1776" s="31" t="n"/>
      <c r="D1776" s="32" t="n"/>
      <c r="E1776" s="32" t="n"/>
      <c r="F1776" s="33" t="n"/>
      <c r="G1776" s="27">
        <f>IF(E1776="","",MAX(0,IFERROR(INDEX(Services!$C$6:$C$35,MATCH(E1776,Services!$B$6:$B$35,0)),0)-N(H1776)))</f>
        <v/>
      </c>
      <c r="H1776" s="34" t="n"/>
      <c r="I1776" s="34" t="n"/>
      <c r="J1776" s="33" t="n"/>
      <c r="K1776" s="28">
        <f>IF(OR(B1776="",F1776&lt;&gt;"Done",J1776="Package"),"",IF(N(G1776)-N(I1776)&gt;0,N(G1776)-N(I1776),""))</f>
        <v/>
      </c>
      <c r="L1776" s="32" t="n"/>
      <c r="M1776" s="1">
        <f>IF(OR(B1776="",D1776="",F1776="Cancelled"),"",B1776+N(C1776)+ROW()/10000000)</f>
        <v/>
      </c>
      <c r="N1776">
        <f>IF(AND(F1776="Done",M1776&lt;&gt;""),IF(COUNTIFS(Appointments!$D$6:$D$2005,D1776,Appointments!$F$6:$F$2005,"Done",Appointments!$M$6:$M$2005,"&gt;"&amp;M1776)=0,1,0),0)</f>
        <v/>
      </c>
      <c r="O1776">
        <f>IF(AND(F1776="Booked",M1776&lt;&gt;"",N(B1776)&gt;=TODAY()),IF(COUNTIFS(Appointments!$D$6:$D$2005,D1776,Appointments!$F$6:$F$2005,"Booked",Appointments!$B$6:$B$2005,"&gt;="&amp;TODAY(),Appointments!$M$6:$M$2005,"&lt;"&amp;M1776)=0,1,0),0)</f>
        <v/>
      </c>
    </row>
    <row r="1777">
      <c r="A1777" s="1" t="n"/>
      <c r="B1777" s="30" t="n"/>
      <c r="C1777" s="31" t="n"/>
      <c r="D1777" s="32" t="n"/>
      <c r="E1777" s="32" t="n"/>
      <c r="F1777" s="33" t="n"/>
      <c r="G1777" s="27">
        <f>IF(E1777="","",MAX(0,IFERROR(INDEX(Services!$C$6:$C$35,MATCH(E1777,Services!$B$6:$B$35,0)),0)-N(H1777)))</f>
        <v/>
      </c>
      <c r="H1777" s="34" t="n"/>
      <c r="I1777" s="34" t="n"/>
      <c r="J1777" s="33" t="n"/>
      <c r="K1777" s="28">
        <f>IF(OR(B1777="",F1777&lt;&gt;"Done",J1777="Package"),"",IF(N(G1777)-N(I1777)&gt;0,N(G1777)-N(I1777),""))</f>
        <v/>
      </c>
      <c r="L1777" s="32" t="n"/>
      <c r="M1777" s="1">
        <f>IF(OR(B1777="",D1777="",F1777="Cancelled"),"",B1777+N(C1777)+ROW()/10000000)</f>
        <v/>
      </c>
      <c r="N1777">
        <f>IF(AND(F1777="Done",M1777&lt;&gt;""),IF(COUNTIFS(Appointments!$D$6:$D$2005,D1777,Appointments!$F$6:$F$2005,"Done",Appointments!$M$6:$M$2005,"&gt;"&amp;M1777)=0,1,0),0)</f>
        <v/>
      </c>
      <c r="O1777">
        <f>IF(AND(F1777="Booked",M1777&lt;&gt;"",N(B1777)&gt;=TODAY()),IF(COUNTIFS(Appointments!$D$6:$D$2005,D1777,Appointments!$F$6:$F$2005,"Booked",Appointments!$B$6:$B$2005,"&gt;="&amp;TODAY(),Appointments!$M$6:$M$2005,"&lt;"&amp;M1777)=0,1,0),0)</f>
        <v/>
      </c>
    </row>
    <row r="1778">
      <c r="A1778" s="1" t="n"/>
      <c r="B1778" s="30" t="n"/>
      <c r="C1778" s="31" t="n"/>
      <c r="D1778" s="32" t="n"/>
      <c r="E1778" s="32" t="n"/>
      <c r="F1778" s="33" t="n"/>
      <c r="G1778" s="27">
        <f>IF(E1778="","",MAX(0,IFERROR(INDEX(Services!$C$6:$C$35,MATCH(E1778,Services!$B$6:$B$35,0)),0)-N(H1778)))</f>
        <v/>
      </c>
      <c r="H1778" s="34" t="n"/>
      <c r="I1778" s="34" t="n"/>
      <c r="J1778" s="33" t="n"/>
      <c r="K1778" s="28">
        <f>IF(OR(B1778="",F1778&lt;&gt;"Done",J1778="Package"),"",IF(N(G1778)-N(I1778)&gt;0,N(G1778)-N(I1778),""))</f>
        <v/>
      </c>
      <c r="L1778" s="32" t="n"/>
      <c r="M1778" s="1">
        <f>IF(OR(B1778="",D1778="",F1778="Cancelled"),"",B1778+N(C1778)+ROW()/10000000)</f>
        <v/>
      </c>
      <c r="N1778">
        <f>IF(AND(F1778="Done",M1778&lt;&gt;""),IF(COUNTIFS(Appointments!$D$6:$D$2005,D1778,Appointments!$F$6:$F$2005,"Done",Appointments!$M$6:$M$2005,"&gt;"&amp;M1778)=0,1,0),0)</f>
        <v/>
      </c>
      <c r="O1778">
        <f>IF(AND(F1778="Booked",M1778&lt;&gt;"",N(B1778)&gt;=TODAY()),IF(COUNTIFS(Appointments!$D$6:$D$2005,D1778,Appointments!$F$6:$F$2005,"Booked",Appointments!$B$6:$B$2005,"&gt;="&amp;TODAY(),Appointments!$M$6:$M$2005,"&lt;"&amp;M1778)=0,1,0),0)</f>
        <v/>
      </c>
    </row>
    <row r="1779">
      <c r="A1779" s="1" t="n"/>
      <c r="B1779" s="30" t="n"/>
      <c r="C1779" s="31" t="n"/>
      <c r="D1779" s="32" t="n"/>
      <c r="E1779" s="32" t="n"/>
      <c r="F1779" s="33" t="n"/>
      <c r="G1779" s="27">
        <f>IF(E1779="","",MAX(0,IFERROR(INDEX(Services!$C$6:$C$35,MATCH(E1779,Services!$B$6:$B$35,0)),0)-N(H1779)))</f>
        <v/>
      </c>
      <c r="H1779" s="34" t="n"/>
      <c r="I1779" s="34" t="n"/>
      <c r="J1779" s="33" t="n"/>
      <c r="K1779" s="28">
        <f>IF(OR(B1779="",F1779&lt;&gt;"Done",J1779="Package"),"",IF(N(G1779)-N(I1779)&gt;0,N(G1779)-N(I1779),""))</f>
        <v/>
      </c>
      <c r="L1779" s="32" t="n"/>
      <c r="M1779" s="1">
        <f>IF(OR(B1779="",D1779="",F1779="Cancelled"),"",B1779+N(C1779)+ROW()/10000000)</f>
        <v/>
      </c>
      <c r="N1779">
        <f>IF(AND(F1779="Done",M1779&lt;&gt;""),IF(COUNTIFS(Appointments!$D$6:$D$2005,D1779,Appointments!$F$6:$F$2005,"Done",Appointments!$M$6:$M$2005,"&gt;"&amp;M1779)=0,1,0),0)</f>
        <v/>
      </c>
      <c r="O1779">
        <f>IF(AND(F1779="Booked",M1779&lt;&gt;"",N(B1779)&gt;=TODAY()),IF(COUNTIFS(Appointments!$D$6:$D$2005,D1779,Appointments!$F$6:$F$2005,"Booked",Appointments!$B$6:$B$2005,"&gt;="&amp;TODAY(),Appointments!$M$6:$M$2005,"&lt;"&amp;M1779)=0,1,0),0)</f>
        <v/>
      </c>
    </row>
    <row r="1780">
      <c r="A1780" s="1" t="n"/>
      <c r="B1780" s="30" t="n"/>
      <c r="C1780" s="31" t="n"/>
      <c r="D1780" s="32" t="n"/>
      <c r="E1780" s="32" t="n"/>
      <c r="F1780" s="33" t="n"/>
      <c r="G1780" s="27">
        <f>IF(E1780="","",MAX(0,IFERROR(INDEX(Services!$C$6:$C$35,MATCH(E1780,Services!$B$6:$B$35,0)),0)-N(H1780)))</f>
        <v/>
      </c>
      <c r="H1780" s="34" t="n"/>
      <c r="I1780" s="34" t="n"/>
      <c r="J1780" s="33" t="n"/>
      <c r="K1780" s="28">
        <f>IF(OR(B1780="",F1780&lt;&gt;"Done",J1780="Package"),"",IF(N(G1780)-N(I1780)&gt;0,N(G1780)-N(I1780),""))</f>
        <v/>
      </c>
      <c r="L1780" s="32" t="n"/>
      <c r="M1780" s="1">
        <f>IF(OR(B1780="",D1780="",F1780="Cancelled"),"",B1780+N(C1780)+ROW()/10000000)</f>
        <v/>
      </c>
      <c r="N1780">
        <f>IF(AND(F1780="Done",M1780&lt;&gt;""),IF(COUNTIFS(Appointments!$D$6:$D$2005,D1780,Appointments!$F$6:$F$2005,"Done",Appointments!$M$6:$M$2005,"&gt;"&amp;M1780)=0,1,0),0)</f>
        <v/>
      </c>
      <c r="O1780">
        <f>IF(AND(F1780="Booked",M1780&lt;&gt;"",N(B1780)&gt;=TODAY()),IF(COUNTIFS(Appointments!$D$6:$D$2005,D1780,Appointments!$F$6:$F$2005,"Booked",Appointments!$B$6:$B$2005,"&gt;="&amp;TODAY(),Appointments!$M$6:$M$2005,"&lt;"&amp;M1780)=0,1,0),0)</f>
        <v/>
      </c>
    </row>
    <row r="1781">
      <c r="A1781" s="1" t="n"/>
      <c r="B1781" s="30" t="n"/>
      <c r="C1781" s="31" t="n"/>
      <c r="D1781" s="32" t="n"/>
      <c r="E1781" s="32" t="n"/>
      <c r="F1781" s="33" t="n"/>
      <c r="G1781" s="27">
        <f>IF(E1781="","",MAX(0,IFERROR(INDEX(Services!$C$6:$C$35,MATCH(E1781,Services!$B$6:$B$35,0)),0)-N(H1781)))</f>
        <v/>
      </c>
      <c r="H1781" s="34" t="n"/>
      <c r="I1781" s="34" t="n"/>
      <c r="J1781" s="33" t="n"/>
      <c r="K1781" s="28">
        <f>IF(OR(B1781="",F1781&lt;&gt;"Done",J1781="Package"),"",IF(N(G1781)-N(I1781)&gt;0,N(G1781)-N(I1781),""))</f>
        <v/>
      </c>
      <c r="L1781" s="32" t="n"/>
      <c r="M1781" s="1">
        <f>IF(OR(B1781="",D1781="",F1781="Cancelled"),"",B1781+N(C1781)+ROW()/10000000)</f>
        <v/>
      </c>
      <c r="N1781">
        <f>IF(AND(F1781="Done",M1781&lt;&gt;""),IF(COUNTIFS(Appointments!$D$6:$D$2005,D1781,Appointments!$F$6:$F$2005,"Done",Appointments!$M$6:$M$2005,"&gt;"&amp;M1781)=0,1,0),0)</f>
        <v/>
      </c>
      <c r="O1781">
        <f>IF(AND(F1781="Booked",M1781&lt;&gt;"",N(B1781)&gt;=TODAY()),IF(COUNTIFS(Appointments!$D$6:$D$2005,D1781,Appointments!$F$6:$F$2005,"Booked",Appointments!$B$6:$B$2005,"&gt;="&amp;TODAY(),Appointments!$M$6:$M$2005,"&lt;"&amp;M1781)=0,1,0),0)</f>
        <v/>
      </c>
    </row>
    <row r="1782">
      <c r="A1782" s="1" t="n"/>
      <c r="B1782" s="30" t="n"/>
      <c r="C1782" s="31" t="n"/>
      <c r="D1782" s="32" t="n"/>
      <c r="E1782" s="32" t="n"/>
      <c r="F1782" s="33" t="n"/>
      <c r="G1782" s="27">
        <f>IF(E1782="","",MAX(0,IFERROR(INDEX(Services!$C$6:$C$35,MATCH(E1782,Services!$B$6:$B$35,0)),0)-N(H1782)))</f>
        <v/>
      </c>
      <c r="H1782" s="34" t="n"/>
      <c r="I1782" s="34" t="n"/>
      <c r="J1782" s="33" t="n"/>
      <c r="K1782" s="28">
        <f>IF(OR(B1782="",F1782&lt;&gt;"Done",J1782="Package"),"",IF(N(G1782)-N(I1782)&gt;0,N(G1782)-N(I1782),""))</f>
        <v/>
      </c>
      <c r="L1782" s="32" t="n"/>
      <c r="M1782" s="1">
        <f>IF(OR(B1782="",D1782="",F1782="Cancelled"),"",B1782+N(C1782)+ROW()/10000000)</f>
        <v/>
      </c>
      <c r="N1782">
        <f>IF(AND(F1782="Done",M1782&lt;&gt;""),IF(COUNTIFS(Appointments!$D$6:$D$2005,D1782,Appointments!$F$6:$F$2005,"Done",Appointments!$M$6:$M$2005,"&gt;"&amp;M1782)=0,1,0),0)</f>
        <v/>
      </c>
      <c r="O1782">
        <f>IF(AND(F1782="Booked",M1782&lt;&gt;"",N(B1782)&gt;=TODAY()),IF(COUNTIFS(Appointments!$D$6:$D$2005,D1782,Appointments!$F$6:$F$2005,"Booked",Appointments!$B$6:$B$2005,"&gt;="&amp;TODAY(),Appointments!$M$6:$M$2005,"&lt;"&amp;M1782)=0,1,0),0)</f>
        <v/>
      </c>
    </row>
    <row r="1783">
      <c r="A1783" s="1" t="n"/>
      <c r="B1783" s="30" t="n"/>
      <c r="C1783" s="31" t="n"/>
      <c r="D1783" s="32" t="n"/>
      <c r="E1783" s="32" t="n"/>
      <c r="F1783" s="33" t="n"/>
      <c r="G1783" s="27">
        <f>IF(E1783="","",MAX(0,IFERROR(INDEX(Services!$C$6:$C$35,MATCH(E1783,Services!$B$6:$B$35,0)),0)-N(H1783)))</f>
        <v/>
      </c>
      <c r="H1783" s="34" t="n"/>
      <c r="I1783" s="34" t="n"/>
      <c r="J1783" s="33" t="n"/>
      <c r="K1783" s="28">
        <f>IF(OR(B1783="",F1783&lt;&gt;"Done",J1783="Package"),"",IF(N(G1783)-N(I1783)&gt;0,N(G1783)-N(I1783),""))</f>
        <v/>
      </c>
      <c r="L1783" s="32" t="n"/>
      <c r="M1783" s="1">
        <f>IF(OR(B1783="",D1783="",F1783="Cancelled"),"",B1783+N(C1783)+ROW()/10000000)</f>
        <v/>
      </c>
      <c r="N1783">
        <f>IF(AND(F1783="Done",M1783&lt;&gt;""),IF(COUNTIFS(Appointments!$D$6:$D$2005,D1783,Appointments!$F$6:$F$2005,"Done",Appointments!$M$6:$M$2005,"&gt;"&amp;M1783)=0,1,0),0)</f>
        <v/>
      </c>
      <c r="O1783">
        <f>IF(AND(F1783="Booked",M1783&lt;&gt;"",N(B1783)&gt;=TODAY()),IF(COUNTIFS(Appointments!$D$6:$D$2005,D1783,Appointments!$F$6:$F$2005,"Booked",Appointments!$B$6:$B$2005,"&gt;="&amp;TODAY(),Appointments!$M$6:$M$2005,"&lt;"&amp;M1783)=0,1,0),0)</f>
        <v/>
      </c>
    </row>
    <row r="1784">
      <c r="A1784" s="1" t="n"/>
      <c r="B1784" s="30" t="n"/>
      <c r="C1784" s="31" t="n"/>
      <c r="D1784" s="32" t="n"/>
      <c r="E1784" s="32" t="n"/>
      <c r="F1784" s="33" t="n"/>
      <c r="G1784" s="27">
        <f>IF(E1784="","",MAX(0,IFERROR(INDEX(Services!$C$6:$C$35,MATCH(E1784,Services!$B$6:$B$35,0)),0)-N(H1784)))</f>
        <v/>
      </c>
      <c r="H1784" s="34" t="n"/>
      <c r="I1784" s="34" t="n"/>
      <c r="J1784" s="33" t="n"/>
      <c r="K1784" s="28">
        <f>IF(OR(B1784="",F1784&lt;&gt;"Done",J1784="Package"),"",IF(N(G1784)-N(I1784)&gt;0,N(G1784)-N(I1784),""))</f>
        <v/>
      </c>
      <c r="L1784" s="32" t="n"/>
      <c r="M1784" s="1">
        <f>IF(OR(B1784="",D1784="",F1784="Cancelled"),"",B1784+N(C1784)+ROW()/10000000)</f>
        <v/>
      </c>
      <c r="N1784">
        <f>IF(AND(F1784="Done",M1784&lt;&gt;""),IF(COUNTIFS(Appointments!$D$6:$D$2005,D1784,Appointments!$F$6:$F$2005,"Done",Appointments!$M$6:$M$2005,"&gt;"&amp;M1784)=0,1,0),0)</f>
        <v/>
      </c>
      <c r="O1784">
        <f>IF(AND(F1784="Booked",M1784&lt;&gt;"",N(B1784)&gt;=TODAY()),IF(COUNTIFS(Appointments!$D$6:$D$2005,D1784,Appointments!$F$6:$F$2005,"Booked",Appointments!$B$6:$B$2005,"&gt;="&amp;TODAY(),Appointments!$M$6:$M$2005,"&lt;"&amp;M1784)=0,1,0),0)</f>
        <v/>
      </c>
    </row>
    <row r="1785">
      <c r="A1785" s="1" t="n"/>
      <c r="B1785" s="30" t="n"/>
      <c r="C1785" s="31" t="n"/>
      <c r="D1785" s="32" t="n"/>
      <c r="E1785" s="32" t="n"/>
      <c r="F1785" s="33" t="n"/>
      <c r="G1785" s="27">
        <f>IF(E1785="","",MAX(0,IFERROR(INDEX(Services!$C$6:$C$35,MATCH(E1785,Services!$B$6:$B$35,0)),0)-N(H1785)))</f>
        <v/>
      </c>
      <c r="H1785" s="34" t="n"/>
      <c r="I1785" s="34" t="n"/>
      <c r="J1785" s="33" t="n"/>
      <c r="K1785" s="28">
        <f>IF(OR(B1785="",F1785&lt;&gt;"Done",J1785="Package"),"",IF(N(G1785)-N(I1785)&gt;0,N(G1785)-N(I1785),""))</f>
        <v/>
      </c>
      <c r="L1785" s="32" t="n"/>
      <c r="M1785" s="1">
        <f>IF(OR(B1785="",D1785="",F1785="Cancelled"),"",B1785+N(C1785)+ROW()/10000000)</f>
        <v/>
      </c>
      <c r="N1785">
        <f>IF(AND(F1785="Done",M1785&lt;&gt;""),IF(COUNTIFS(Appointments!$D$6:$D$2005,D1785,Appointments!$F$6:$F$2005,"Done",Appointments!$M$6:$M$2005,"&gt;"&amp;M1785)=0,1,0),0)</f>
        <v/>
      </c>
      <c r="O1785">
        <f>IF(AND(F1785="Booked",M1785&lt;&gt;"",N(B1785)&gt;=TODAY()),IF(COUNTIFS(Appointments!$D$6:$D$2005,D1785,Appointments!$F$6:$F$2005,"Booked",Appointments!$B$6:$B$2005,"&gt;="&amp;TODAY(),Appointments!$M$6:$M$2005,"&lt;"&amp;M1785)=0,1,0),0)</f>
        <v/>
      </c>
    </row>
    <row r="1786">
      <c r="A1786" s="1" t="n"/>
      <c r="B1786" s="30" t="n"/>
      <c r="C1786" s="31" t="n"/>
      <c r="D1786" s="32" t="n"/>
      <c r="E1786" s="32" t="n"/>
      <c r="F1786" s="33" t="n"/>
      <c r="G1786" s="27">
        <f>IF(E1786="","",MAX(0,IFERROR(INDEX(Services!$C$6:$C$35,MATCH(E1786,Services!$B$6:$B$35,0)),0)-N(H1786)))</f>
        <v/>
      </c>
      <c r="H1786" s="34" t="n"/>
      <c r="I1786" s="34" t="n"/>
      <c r="J1786" s="33" t="n"/>
      <c r="K1786" s="28">
        <f>IF(OR(B1786="",F1786&lt;&gt;"Done",J1786="Package"),"",IF(N(G1786)-N(I1786)&gt;0,N(G1786)-N(I1786),""))</f>
        <v/>
      </c>
      <c r="L1786" s="32" t="n"/>
      <c r="M1786" s="1">
        <f>IF(OR(B1786="",D1786="",F1786="Cancelled"),"",B1786+N(C1786)+ROW()/10000000)</f>
        <v/>
      </c>
      <c r="N1786">
        <f>IF(AND(F1786="Done",M1786&lt;&gt;""),IF(COUNTIFS(Appointments!$D$6:$D$2005,D1786,Appointments!$F$6:$F$2005,"Done",Appointments!$M$6:$M$2005,"&gt;"&amp;M1786)=0,1,0),0)</f>
        <v/>
      </c>
      <c r="O1786">
        <f>IF(AND(F1786="Booked",M1786&lt;&gt;"",N(B1786)&gt;=TODAY()),IF(COUNTIFS(Appointments!$D$6:$D$2005,D1786,Appointments!$F$6:$F$2005,"Booked",Appointments!$B$6:$B$2005,"&gt;="&amp;TODAY(),Appointments!$M$6:$M$2005,"&lt;"&amp;M1786)=0,1,0),0)</f>
        <v/>
      </c>
    </row>
    <row r="1787">
      <c r="A1787" s="1" t="n"/>
      <c r="B1787" s="30" t="n"/>
      <c r="C1787" s="31" t="n"/>
      <c r="D1787" s="32" t="n"/>
      <c r="E1787" s="32" t="n"/>
      <c r="F1787" s="33" t="n"/>
      <c r="G1787" s="27">
        <f>IF(E1787="","",MAX(0,IFERROR(INDEX(Services!$C$6:$C$35,MATCH(E1787,Services!$B$6:$B$35,0)),0)-N(H1787)))</f>
        <v/>
      </c>
      <c r="H1787" s="34" t="n"/>
      <c r="I1787" s="34" t="n"/>
      <c r="J1787" s="33" t="n"/>
      <c r="K1787" s="28">
        <f>IF(OR(B1787="",F1787&lt;&gt;"Done",J1787="Package"),"",IF(N(G1787)-N(I1787)&gt;0,N(G1787)-N(I1787),""))</f>
        <v/>
      </c>
      <c r="L1787" s="32" t="n"/>
      <c r="M1787" s="1">
        <f>IF(OR(B1787="",D1787="",F1787="Cancelled"),"",B1787+N(C1787)+ROW()/10000000)</f>
        <v/>
      </c>
      <c r="N1787">
        <f>IF(AND(F1787="Done",M1787&lt;&gt;""),IF(COUNTIFS(Appointments!$D$6:$D$2005,D1787,Appointments!$F$6:$F$2005,"Done",Appointments!$M$6:$M$2005,"&gt;"&amp;M1787)=0,1,0),0)</f>
        <v/>
      </c>
      <c r="O1787">
        <f>IF(AND(F1787="Booked",M1787&lt;&gt;"",N(B1787)&gt;=TODAY()),IF(COUNTIFS(Appointments!$D$6:$D$2005,D1787,Appointments!$F$6:$F$2005,"Booked",Appointments!$B$6:$B$2005,"&gt;="&amp;TODAY(),Appointments!$M$6:$M$2005,"&lt;"&amp;M1787)=0,1,0),0)</f>
        <v/>
      </c>
    </row>
    <row r="1788">
      <c r="A1788" s="1" t="n"/>
      <c r="B1788" s="30" t="n"/>
      <c r="C1788" s="31" t="n"/>
      <c r="D1788" s="32" t="n"/>
      <c r="E1788" s="32" t="n"/>
      <c r="F1788" s="33" t="n"/>
      <c r="G1788" s="27">
        <f>IF(E1788="","",MAX(0,IFERROR(INDEX(Services!$C$6:$C$35,MATCH(E1788,Services!$B$6:$B$35,0)),0)-N(H1788)))</f>
        <v/>
      </c>
      <c r="H1788" s="34" t="n"/>
      <c r="I1788" s="34" t="n"/>
      <c r="J1788" s="33" t="n"/>
      <c r="K1788" s="28">
        <f>IF(OR(B1788="",F1788&lt;&gt;"Done",J1788="Package"),"",IF(N(G1788)-N(I1788)&gt;0,N(G1788)-N(I1788),""))</f>
        <v/>
      </c>
      <c r="L1788" s="32" t="n"/>
      <c r="M1788" s="1">
        <f>IF(OR(B1788="",D1788="",F1788="Cancelled"),"",B1788+N(C1788)+ROW()/10000000)</f>
        <v/>
      </c>
      <c r="N1788">
        <f>IF(AND(F1788="Done",M1788&lt;&gt;""),IF(COUNTIFS(Appointments!$D$6:$D$2005,D1788,Appointments!$F$6:$F$2005,"Done",Appointments!$M$6:$M$2005,"&gt;"&amp;M1788)=0,1,0),0)</f>
        <v/>
      </c>
      <c r="O1788">
        <f>IF(AND(F1788="Booked",M1788&lt;&gt;"",N(B1788)&gt;=TODAY()),IF(COUNTIFS(Appointments!$D$6:$D$2005,D1788,Appointments!$F$6:$F$2005,"Booked",Appointments!$B$6:$B$2005,"&gt;="&amp;TODAY(),Appointments!$M$6:$M$2005,"&lt;"&amp;M1788)=0,1,0),0)</f>
        <v/>
      </c>
    </row>
    <row r="1789">
      <c r="A1789" s="1" t="n"/>
      <c r="B1789" s="30" t="n"/>
      <c r="C1789" s="31" t="n"/>
      <c r="D1789" s="32" t="n"/>
      <c r="E1789" s="32" t="n"/>
      <c r="F1789" s="33" t="n"/>
      <c r="G1789" s="27">
        <f>IF(E1789="","",MAX(0,IFERROR(INDEX(Services!$C$6:$C$35,MATCH(E1789,Services!$B$6:$B$35,0)),0)-N(H1789)))</f>
        <v/>
      </c>
      <c r="H1789" s="34" t="n"/>
      <c r="I1789" s="34" t="n"/>
      <c r="J1789" s="33" t="n"/>
      <c r="K1789" s="28">
        <f>IF(OR(B1789="",F1789&lt;&gt;"Done",J1789="Package"),"",IF(N(G1789)-N(I1789)&gt;0,N(G1789)-N(I1789),""))</f>
        <v/>
      </c>
      <c r="L1789" s="32" t="n"/>
      <c r="M1789" s="1">
        <f>IF(OR(B1789="",D1789="",F1789="Cancelled"),"",B1789+N(C1789)+ROW()/10000000)</f>
        <v/>
      </c>
      <c r="N1789">
        <f>IF(AND(F1789="Done",M1789&lt;&gt;""),IF(COUNTIFS(Appointments!$D$6:$D$2005,D1789,Appointments!$F$6:$F$2005,"Done",Appointments!$M$6:$M$2005,"&gt;"&amp;M1789)=0,1,0),0)</f>
        <v/>
      </c>
      <c r="O1789">
        <f>IF(AND(F1789="Booked",M1789&lt;&gt;"",N(B1789)&gt;=TODAY()),IF(COUNTIFS(Appointments!$D$6:$D$2005,D1789,Appointments!$F$6:$F$2005,"Booked",Appointments!$B$6:$B$2005,"&gt;="&amp;TODAY(),Appointments!$M$6:$M$2005,"&lt;"&amp;M1789)=0,1,0),0)</f>
        <v/>
      </c>
    </row>
    <row r="1790">
      <c r="A1790" s="1" t="n"/>
      <c r="B1790" s="30" t="n"/>
      <c r="C1790" s="31" t="n"/>
      <c r="D1790" s="32" t="n"/>
      <c r="E1790" s="32" t="n"/>
      <c r="F1790" s="33" t="n"/>
      <c r="G1790" s="27">
        <f>IF(E1790="","",MAX(0,IFERROR(INDEX(Services!$C$6:$C$35,MATCH(E1790,Services!$B$6:$B$35,0)),0)-N(H1790)))</f>
        <v/>
      </c>
      <c r="H1790" s="34" t="n"/>
      <c r="I1790" s="34" t="n"/>
      <c r="J1790" s="33" t="n"/>
      <c r="K1790" s="28">
        <f>IF(OR(B1790="",F1790&lt;&gt;"Done",J1790="Package"),"",IF(N(G1790)-N(I1790)&gt;0,N(G1790)-N(I1790),""))</f>
        <v/>
      </c>
      <c r="L1790" s="32" t="n"/>
      <c r="M1790" s="1">
        <f>IF(OR(B1790="",D1790="",F1790="Cancelled"),"",B1790+N(C1790)+ROW()/10000000)</f>
        <v/>
      </c>
      <c r="N1790">
        <f>IF(AND(F1790="Done",M1790&lt;&gt;""),IF(COUNTIFS(Appointments!$D$6:$D$2005,D1790,Appointments!$F$6:$F$2005,"Done",Appointments!$M$6:$M$2005,"&gt;"&amp;M1790)=0,1,0),0)</f>
        <v/>
      </c>
      <c r="O1790">
        <f>IF(AND(F1790="Booked",M1790&lt;&gt;"",N(B1790)&gt;=TODAY()),IF(COUNTIFS(Appointments!$D$6:$D$2005,D1790,Appointments!$F$6:$F$2005,"Booked",Appointments!$B$6:$B$2005,"&gt;="&amp;TODAY(),Appointments!$M$6:$M$2005,"&lt;"&amp;M1790)=0,1,0),0)</f>
        <v/>
      </c>
    </row>
    <row r="1791">
      <c r="A1791" s="1" t="n"/>
      <c r="B1791" s="30" t="n"/>
      <c r="C1791" s="31" t="n"/>
      <c r="D1791" s="32" t="n"/>
      <c r="E1791" s="32" t="n"/>
      <c r="F1791" s="33" t="n"/>
      <c r="G1791" s="27">
        <f>IF(E1791="","",MAX(0,IFERROR(INDEX(Services!$C$6:$C$35,MATCH(E1791,Services!$B$6:$B$35,0)),0)-N(H1791)))</f>
        <v/>
      </c>
      <c r="H1791" s="34" t="n"/>
      <c r="I1791" s="34" t="n"/>
      <c r="J1791" s="33" t="n"/>
      <c r="K1791" s="28">
        <f>IF(OR(B1791="",F1791&lt;&gt;"Done",J1791="Package"),"",IF(N(G1791)-N(I1791)&gt;0,N(G1791)-N(I1791),""))</f>
        <v/>
      </c>
      <c r="L1791" s="32" t="n"/>
      <c r="M1791" s="1">
        <f>IF(OR(B1791="",D1791="",F1791="Cancelled"),"",B1791+N(C1791)+ROW()/10000000)</f>
        <v/>
      </c>
      <c r="N1791">
        <f>IF(AND(F1791="Done",M1791&lt;&gt;""),IF(COUNTIFS(Appointments!$D$6:$D$2005,D1791,Appointments!$F$6:$F$2005,"Done",Appointments!$M$6:$M$2005,"&gt;"&amp;M1791)=0,1,0),0)</f>
        <v/>
      </c>
      <c r="O1791">
        <f>IF(AND(F1791="Booked",M1791&lt;&gt;"",N(B1791)&gt;=TODAY()),IF(COUNTIFS(Appointments!$D$6:$D$2005,D1791,Appointments!$F$6:$F$2005,"Booked",Appointments!$B$6:$B$2005,"&gt;="&amp;TODAY(),Appointments!$M$6:$M$2005,"&lt;"&amp;M1791)=0,1,0),0)</f>
        <v/>
      </c>
    </row>
    <row r="1792">
      <c r="A1792" s="1" t="n"/>
      <c r="B1792" s="30" t="n"/>
      <c r="C1792" s="31" t="n"/>
      <c r="D1792" s="32" t="n"/>
      <c r="E1792" s="32" t="n"/>
      <c r="F1792" s="33" t="n"/>
      <c r="G1792" s="27">
        <f>IF(E1792="","",MAX(0,IFERROR(INDEX(Services!$C$6:$C$35,MATCH(E1792,Services!$B$6:$B$35,0)),0)-N(H1792)))</f>
        <v/>
      </c>
      <c r="H1792" s="34" t="n"/>
      <c r="I1792" s="34" t="n"/>
      <c r="J1792" s="33" t="n"/>
      <c r="K1792" s="28">
        <f>IF(OR(B1792="",F1792&lt;&gt;"Done",J1792="Package"),"",IF(N(G1792)-N(I1792)&gt;0,N(G1792)-N(I1792),""))</f>
        <v/>
      </c>
      <c r="L1792" s="32" t="n"/>
      <c r="M1792" s="1">
        <f>IF(OR(B1792="",D1792="",F1792="Cancelled"),"",B1792+N(C1792)+ROW()/10000000)</f>
        <v/>
      </c>
      <c r="N1792">
        <f>IF(AND(F1792="Done",M1792&lt;&gt;""),IF(COUNTIFS(Appointments!$D$6:$D$2005,D1792,Appointments!$F$6:$F$2005,"Done",Appointments!$M$6:$M$2005,"&gt;"&amp;M1792)=0,1,0),0)</f>
        <v/>
      </c>
      <c r="O1792">
        <f>IF(AND(F1792="Booked",M1792&lt;&gt;"",N(B1792)&gt;=TODAY()),IF(COUNTIFS(Appointments!$D$6:$D$2005,D1792,Appointments!$F$6:$F$2005,"Booked",Appointments!$B$6:$B$2005,"&gt;="&amp;TODAY(),Appointments!$M$6:$M$2005,"&lt;"&amp;M1792)=0,1,0),0)</f>
        <v/>
      </c>
    </row>
    <row r="1793">
      <c r="A1793" s="1" t="n"/>
      <c r="B1793" s="30" t="n"/>
      <c r="C1793" s="31" t="n"/>
      <c r="D1793" s="32" t="n"/>
      <c r="E1793" s="32" t="n"/>
      <c r="F1793" s="33" t="n"/>
      <c r="G1793" s="27">
        <f>IF(E1793="","",MAX(0,IFERROR(INDEX(Services!$C$6:$C$35,MATCH(E1793,Services!$B$6:$B$35,0)),0)-N(H1793)))</f>
        <v/>
      </c>
      <c r="H1793" s="34" t="n"/>
      <c r="I1793" s="34" t="n"/>
      <c r="J1793" s="33" t="n"/>
      <c r="K1793" s="28">
        <f>IF(OR(B1793="",F1793&lt;&gt;"Done",J1793="Package"),"",IF(N(G1793)-N(I1793)&gt;0,N(G1793)-N(I1793),""))</f>
        <v/>
      </c>
      <c r="L1793" s="32" t="n"/>
      <c r="M1793" s="1">
        <f>IF(OR(B1793="",D1793="",F1793="Cancelled"),"",B1793+N(C1793)+ROW()/10000000)</f>
        <v/>
      </c>
      <c r="N1793">
        <f>IF(AND(F1793="Done",M1793&lt;&gt;""),IF(COUNTIFS(Appointments!$D$6:$D$2005,D1793,Appointments!$F$6:$F$2005,"Done",Appointments!$M$6:$M$2005,"&gt;"&amp;M1793)=0,1,0),0)</f>
        <v/>
      </c>
      <c r="O1793">
        <f>IF(AND(F1793="Booked",M1793&lt;&gt;"",N(B1793)&gt;=TODAY()),IF(COUNTIFS(Appointments!$D$6:$D$2005,D1793,Appointments!$F$6:$F$2005,"Booked",Appointments!$B$6:$B$2005,"&gt;="&amp;TODAY(),Appointments!$M$6:$M$2005,"&lt;"&amp;M1793)=0,1,0),0)</f>
        <v/>
      </c>
    </row>
    <row r="1794">
      <c r="A1794" s="1" t="n"/>
      <c r="B1794" s="30" t="n"/>
      <c r="C1794" s="31" t="n"/>
      <c r="D1794" s="32" t="n"/>
      <c r="E1794" s="32" t="n"/>
      <c r="F1794" s="33" t="n"/>
      <c r="G1794" s="27">
        <f>IF(E1794="","",MAX(0,IFERROR(INDEX(Services!$C$6:$C$35,MATCH(E1794,Services!$B$6:$B$35,0)),0)-N(H1794)))</f>
        <v/>
      </c>
      <c r="H1794" s="34" t="n"/>
      <c r="I1794" s="34" t="n"/>
      <c r="J1794" s="33" t="n"/>
      <c r="K1794" s="28">
        <f>IF(OR(B1794="",F1794&lt;&gt;"Done",J1794="Package"),"",IF(N(G1794)-N(I1794)&gt;0,N(G1794)-N(I1794),""))</f>
        <v/>
      </c>
      <c r="L1794" s="32" t="n"/>
      <c r="M1794" s="1">
        <f>IF(OR(B1794="",D1794="",F1794="Cancelled"),"",B1794+N(C1794)+ROW()/10000000)</f>
        <v/>
      </c>
      <c r="N1794">
        <f>IF(AND(F1794="Done",M1794&lt;&gt;""),IF(COUNTIFS(Appointments!$D$6:$D$2005,D1794,Appointments!$F$6:$F$2005,"Done",Appointments!$M$6:$M$2005,"&gt;"&amp;M1794)=0,1,0),0)</f>
        <v/>
      </c>
      <c r="O1794">
        <f>IF(AND(F1794="Booked",M1794&lt;&gt;"",N(B1794)&gt;=TODAY()),IF(COUNTIFS(Appointments!$D$6:$D$2005,D1794,Appointments!$F$6:$F$2005,"Booked",Appointments!$B$6:$B$2005,"&gt;="&amp;TODAY(),Appointments!$M$6:$M$2005,"&lt;"&amp;M1794)=0,1,0),0)</f>
        <v/>
      </c>
    </row>
    <row r="1795">
      <c r="A1795" s="1" t="n"/>
      <c r="B1795" s="30" t="n"/>
      <c r="C1795" s="31" t="n"/>
      <c r="D1795" s="32" t="n"/>
      <c r="E1795" s="32" t="n"/>
      <c r="F1795" s="33" t="n"/>
      <c r="G1795" s="27">
        <f>IF(E1795="","",MAX(0,IFERROR(INDEX(Services!$C$6:$C$35,MATCH(E1795,Services!$B$6:$B$35,0)),0)-N(H1795)))</f>
        <v/>
      </c>
      <c r="H1795" s="34" t="n"/>
      <c r="I1795" s="34" t="n"/>
      <c r="J1795" s="33" t="n"/>
      <c r="K1795" s="28">
        <f>IF(OR(B1795="",F1795&lt;&gt;"Done",J1795="Package"),"",IF(N(G1795)-N(I1795)&gt;0,N(G1795)-N(I1795),""))</f>
        <v/>
      </c>
      <c r="L1795" s="32" t="n"/>
      <c r="M1795" s="1">
        <f>IF(OR(B1795="",D1795="",F1795="Cancelled"),"",B1795+N(C1795)+ROW()/10000000)</f>
        <v/>
      </c>
      <c r="N1795">
        <f>IF(AND(F1795="Done",M1795&lt;&gt;""),IF(COUNTIFS(Appointments!$D$6:$D$2005,D1795,Appointments!$F$6:$F$2005,"Done",Appointments!$M$6:$M$2005,"&gt;"&amp;M1795)=0,1,0),0)</f>
        <v/>
      </c>
      <c r="O1795">
        <f>IF(AND(F1795="Booked",M1795&lt;&gt;"",N(B1795)&gt;=TODAY()),IF(COUNTIFS(Appointments!$D$6:$D$2005,D1795,Appointments!$F$6:$F$2005,"Booked",Appointments!$B$6:$B$2005,"&gt;="&amp;TODAY(),Appointments!$M$6:$M$2005,"&lt;"&amp;M1795)=0,1,0),0)</f>
        <v/>
      </c>
    </row>
    <row r="1796">
      <c r="A1796" s="1" t="n"/>
      <c r="B1796" s="30" t="n"/>
      <c r="C1796" s="31" t="n"/>
      <c r="D1796" s="32" t="n"/>
      <c r="E1796" s="32" t="n"/>
      <c r="F1796" s="33" t="n"/>
      <c r="G1796" s="27">
        <f>IF(E1796="","",MAX(0,IFERROR(INDEX(Services!$C$6:$C$35,MATCH(E1796,Services!$B$6:$B$35,0)),0)-N(H1796)))</f>
        <v/>
      </c>
      <c r="H1796" s="34" t="n"/>
      <c r="I1796" s="34" t="n"/>
      <c r="J1796" s="33" t="n"/>
      <c r="K1796" s="28">
        <f>IF(OR(B1796="",F1796&lt;&gt;"Done",J1796="Package"),"",IF(N(G1796)-N(I1796)&gt;0,N(G1796)-N(I1796),""))</f>
        <v/>
      </c>
      <c r="L1796" s="32" t="n"/>
      <c r="M1796" s="1">
        <f>IF(OR(B1796="",D1796="",F1796="Cancelled"),"",B1796+N(C1796)+ROW()/10000000)</f>
        <v/>
      </c>
      <c r="N1796">
        <f>IF(AND(F1796="Done",M1796&lt;&gt;""),IF(COUNTIFS(Appointments!$D$6:$D$2005,D1796,Appointments!$F$6:$F$2005,"Done",Appointments!$M$6:$M$2005,"&gt;"&amp;M1796)=0,1,0),0)</f>
        <v/>
      </c>
      <c r="O1796">
        <f>IF(AND(F1796="Booked",M1796&lt;&gt;"",N(B1796)&gt;=TODAY()),IF(COUNTIFS(Appointments!$D$6:$D$2005,D1796,Appointments!$F$6:$F$2005,"Booked",Appointments!$B$6:$B$2005,"&gt;="&amp;TODAY(),Appointments!$M$6:$M$2005,"&lt;"&amp;M1796)=0,1,0),0)</f>
        <v/>
      </c>
    </row>
    <row r="1797">
      <c r="A1797" s="1" t="n"/>
      <c r="B1797" s="30" t="n"/>
      <c r="C1797" s="31" t="n"/>
      <c r="D1797" s="32" t="n"/>
      <c r="E1797" s="32" t="n"/>
      <c r="F1797" s="33" t="n"/>
      <c r="G1797" s="27">
        <f>IF(E1797="","",MAX(0,IFERROR(INDEX(Services!$C$6:$C$35,MATCH(E1797,Services!$B$6:$B$35,0)),0)-N(H1797)))</f>
        <v/>
      </c>
      <c r="H1797" s="34" t="n"/>
      <c r="I1797" s="34" t="n"/>
      <c r="J1797" s="33" t="n"/>
      <c r="K1797" s="28">
        <f>IF(OR(B1797="",F1797&lt;&gt;"Done",J1797="Package"),"",IF(N(G1797)-N(I1797)&gt;0,N(G1797)-N(I1797),""))</f>
        <v/>
      </c>
      <c r="L1797" s="32" t="n"/>
      <c r="M1797" s="1">
        <f>IF(OR(B1797="",D1797="",F1797="Cancelled"),"",B1797+N(C1797)+ROW()/10000000)</f>
        <v/>
      </c>
      <c r="N1797">
        <f>IF(AND(F1797="Done",M1797&lt;&gt;""),IF(COUNTIFS(Appointments!$D$6:$D$2005,D1797,Appointments!$F$6:$F$2005,"Done",Appointments!$M$6:$M$2005,"&gt;"&amp;M1797)=0,1,0),0)</f>
        <v/>
      </c>
      <c r="O1797">
        <f>IF(AND(F1797="Booked",M1797&lt;&gt;"",N(B1797)&gt;=TODAY()),IF(COUNTIFS(Appointments!$D$6:$D$2005,D1797,Appointments!$F$6:$F$2005,"Booked",Appointments!$B$6:$B$2005,"&gt;="&amp;TODAY(),Appointments!$M$6:$M$2005,"&lt;"&amp;M1797)=0,1,0),0)</f>
        <v/>
      </c>
    </row>
    <row r="1798">
      <c r="A1798" s="1" t="n"/>
      <c r="B1798" s="30" t="n"/>
      <c r="C1798" s="31" t="n"/>
      <c r="D1798" s="32" t="n"/>
      <c r="E1798" s="32" t="n"/>
      <c r="F1798" s="33" t="n"/>
      <c r="G1798" s="27">
        <f>IF(E1798="","",MAX(0,IFERROR(INDEX(Services!$C$6:$C$35,MATCH(E1798,Services!$B$6:$B$35,0)),0)-N(H1798)))</f>
        <v/>
      </c>
      <c r="H1798" s="34" t="n"/>
      <c r="I1798" s="34" t="n"/>
      <c r="J1798" s="33" t="n"/>
      <c r="K1798" s="28">
        <f>IF(OR(B1798="",F1798&lt;&gt;"Done",J1798="Package"),"",IF(N(G1798)-N(I1798)&gt;0,N(G1798)-N(I1798),""))</f>
        <v/>
      </c>
      <c r="L1798" s="32" t="n"/>
      <c r="M1798" s="1">
        <f>IF(OR(B1798="",D1798="",F1798="Cancelled"),"",B1798+N(C1798)+ROW()/10000000)</f>
        <v/>
      </c>
      <c r="N1798">
        <f>IF(AND(F1798="Done",M1798&lt;&gt;""),IF(COUNTIFS(Appointments!$D$6:$D$2005,D1798,Appointments!$F$6:$F$2005,"Done",Appointments!$M$6:$M$2005,"&gt;"&amp;M1798)=0,1,0),0)</f>
        <v/>
      </c>
      <c r="O1798">
        <f>IF(AND(F1798="Booked",M1798&lt;&gt;"",N(B1798)&gt;=TODAY()),IF(COUNTIFS(Appointments!$D$6:$D$2005,D1798,Appointments!$F$6:$F$2005,"Booked",Appointments!$B$6:$B$2005,"&gt;="&amp;TODAY(),Appointments!$M$6:$M$2005,"&lt;"&amp;M1798)=0,1,0),0)</f>
        <v/>
      </c>
    </row>
    <row r="1799">
      <c r="A1799" s="1" t="n"/>
      <c r="B1799" s="30" t="n"/>
      <c r="C1799" s="31" t="n"/>
      <c r="D1799" s="32" t="n"/>
      <c r="E1799" s="32" t="n"/>
      <c r="F1799" s="33" t="n"/>
      <c r="G1799" s="27">
        <f>IF(E1799="","",MAX(0,IFERROR(INDEX(Services!$C$6:$C$35,MATCH(E1799,Services!$B$6:$B$35,0)),0)-N(H1799)))</f>
        <v/>
      </c>
      <c r="H1799" s="34" t="n"/>
      <c r="I1799" s="34" t="n"/>
      <c r="J1799" s="33" t="n"/>
      <c r="K1799" s="28">
        <f>IF(OR(B1799="",F1799&lt;&gt;"Done",J1799="Package"),"",IF(N(G1799)-N(I1799)&gt;0,N(G1799)-N(I1799),""))</f>
        <v/>
      </c>
      <c r="L1799" s="32" t="n"/>
      <c r="M1799" s="1">
        <f>IF(OR(B1799="",D1799="",F1799="Cancelled"),"",B1799+N(C1799)+ROW()/10000000)</f>
        <v/>
      </c>
      <c r="N1799">
        <f>IF(AND(F1799="Done",M1799&lt;&gt;""),IF(COUNTIFS(Appointments!$D$6:$D$2005,D1799,Appointments!$F$6:$F$2005,"Done",Appointments!$M$6:$M$2005,"&gt;"&amp;M1799)=0,1,0),0)</f>
        <v/>
      </c>
      <c r="O1799">
        <f>IF(AND(F1799="Booked",M1799&lt;&gt;"",N(B1799)&gt;=TODAY()),IF(COUNTIFS(Appointments!$D$6:$D$2005,D1799,Appointments!$F$6:$F$2005,"Booked",Appointments!$B$6:$B$2005,"&gt;="&amp;TODAY(),Appointments!$M$6:$M$2005,"&lt;"&amp;M1799)=0,1,0),0)</f>
        <v/>
      </c>
    </row>
    <row r="1800">
      <c r="A1800" s="1" t="n"/>
      <c r="B1800" s="30" t="n"/>
      <c r="C1800" s="31" t="n"/>
      <c r="D1800" s="32" t="n"/>
      <c r="E1800" s="32" t="n"/>
      <c r="F1800" s="33" t="n"/>
      <c r="G1800" s="27">
        <f>IF(E1800="","",MAX(0,IFERROR(INDEX(Services!$C$6:$C$35,MATCH(E1800,Services!$B$6:$B$35,0)),0)-N(H1800)))</f>
        <v/>
      </c>
      <c r="H1800" s="34" t="n"/>
      <c r="I1800" s="34" t="n"/>
      <c r="J1800" s="33" t="n"/>
      <c r="K1800" s="28">
        <f>IF(OR(B1800="",F1800&lt;&gt;"Done",J1800="Package"),"",IF(N(G1800)-N(I1800)&gt;0,N(G1800)-N(I1800),""))</f>
        <v/>
      </c>
      <c r="L1800" s="32" t="n"/>
      <c r="M1800" s="1">
        <f>IF(OR(B1800="",D1800="",F1800="Cancelled"),"",B1800+N(C1800)+ROW()/10000000)</f>
        <v/>
      </c>
      <c r="N1800">
        <f>IF(AND(F1800="Done",M1800&lt;&gt;""),IF(COUNTIFS(Appointments!$D$6:$D$2005,D1800,Appointments!$F$6:$F$2005,"Done",Appointments!$M$6:$M$2005,"&gt;"&amp;M1800)=0,1,0),0)</f>
        <v/>
      </c>
      <c r="O1800">
        <f>IF(AND(F1800="Booked",M1800&lt;&gt;"",N(B1800)&gt;=TODAY()),IF(COUNTIFS(Appointments!$D$6:$D$2005,D1800,Appointments!$F$6:$F$2005,"Booked",Appointments!$B$6:$B$2005,"&gt;="&amp;TODAY(),Appointments!$M$6:$M$2005,"&lt;"&amp;M1800)=0,1,0),0)</f>
        <v/>
      </c>
    </row>
    <row r="1801">
      <c r="A1801" s="1" t="n"/>
      <c r="B1801" s="30" t="n"/>
      <c r="C1801" s="31" t="n"/>
      <c r="D1801" s="32" t="n"/>
      <c r="E1801" s="32" t="n"/>
      <c r="F1801" s="33" t="n"/>
      <c r="G1801" s="27">
        <f>IF(E1801="","",MAX(0,IFERROR(INDEX(Services!$C$6:$C$35,MATCH(E1801,Services!$B$6:$B$35,0)),0)-N(H1801)))</f>
        <v/>
      </c>
      <c r="H1801" s="34" t="n"/>
      <c r="I1801" s="34" t="n"/>
      <c r="J1801" s="33" t="n"/>
      <c r="K1801" s="28">
        <f>IF(OR(B1801="",F1801&lt;&gt;"Done",J1801="Package"),"",IF(N(G1801)-N(I1801)&gt;0,N(G1801)-N(I1801),""))</f>
        <v/>
      </c>
      <c r="L1801" s="32" t="n"/>
      <c r="M1801" s="1">
        <f>IF(OR(B1801="",D1801="",F1801="Cancelled"),"",B1801+N(C1801)+ROW()/10000000)</f>
        <v/>
      </c>
      <c r="N1801">
        <f>IF(AND(F1801="Done",M1801&lt;&gt;""),IF(COUNTIFS(Appointments!$D$6:$D$2005,D1801,Appointments!$F$6:$F$2005,"Done",Appointments!$M$6:$M$2005,"&gt;"&amp;M1801)=0,1,0),0)</f>
        <v/>
      </c>
      <c r="O1801">
        <f>IF(AND(F1801="Booked",M1801&lt;&gt;"",N(B1801)&gt;=TODAY()),IF(COUNTIFS(Appointments!$D$6:$D$2005,D1801,Appointments!$F$6:$F$2005,"Booked",Appointments!$B$6:$B$2005,"&gt;="&amp;TODAY(),Appointments!$M$6:$M$2005,"&lt;"&amp;M1801)=0,1,0),0)</f>
        <v/>
      </c>
    </row>
    <row r="1802">
      <c r="A1802" s="1" t="n"/>
      <c r="B1802" s="30" t="n"/>
      <c r="C1802" s="31" t="n"/>
      <c r="D1802" s="32" t="n"/>
      <c r="E1802" s="32" t="n"/>
      <c r="F1802" s="33" t="n"/>
      <c r="G1802" s="27">
        <f>IF(E1802="","",MAX(0,IFERROR(INDEX(Services!$C$6:$C$35,MATCH(E1802,Services!$B$6:$B$35,0)),0)-N(H1802)))</f>
        <v/>
      </c>
      <c r="H1802" s="34" t="n"/>
      <c r="I1802" s="34" t="n"/>
      <c r="J1802" s="33" t="n"/>
      <c r="K1802" s="28">
        <f>IF(OR(B1802="",F1802&lt;&gt;"Done",J1802="Package"),"",IF(N(G1802)-N(I1802)&gt;0,N(G1802)-N(I1802),""))</f>
        <v/>
      </c>
      <c r="L1802" s="32" t="n"/>
      <c r="M1802" s="1">
        <f>IF(OR(B1802="",D1802="",F1802="Cancelled"),"",B1802+N(C1802)+ROW()/10000000)</f>
        <v/>
      </c>
      <c r="N1802">
        <f>IF(AND(F1802="Done",M1802&lt;&gt;""),IF(COUNTIFS(Appointments!$D$6:$D$2005,D1802,Appointments!$F$6:$F$2005,"Done",Appointments!$M$6:$M$2005,"&gt;"&amp;M1802)=0,1,0),0)</f>
        <v/>
      </c>
      <c r="O1802">
        <f>IF(AND(F1802="Booked",M1802&lt;&gt;"",N(B1802)&gt;=TODAY()),IF(COUNTIFS(Appointments!$D$6:$D$2005,D1802,Appointments!$F$6:$F$2005,"Booked",Appointments!$B$6:$B$2005,"&gt;="&amp;TODAY(),Appointments!$M$6:$M$2005,"&lt;"&amp;M1802)=0,1,0),0)</f>
        <v/>
      </c>
    </row>
    <row r="1803">
      <c r="A1803" s="1" t="n"/>
      <c r="B1803" s="30" t="n"/>
      <c r="C1803" s="31" t="n"/>
      <c r="D1803" s="32" t="n"/>
      <c r="E1803" s="32" t="n"/>
      <c r="F1803" s="33" t="n"/>
      <c r="G1803" s="27">
        <f>IF(E1803="","",MAX(0,IFERROR(INDEX(Services!$C$6:$C$35,MATCH(E1803,Services!$B$6:$B$35,0)),0)-N(H1803)))</f>
        <v/>
      </c>
      <c r="H1803" s="34" t="n"/>
      <c r="I1803" s="34" t="n"/>
      <c r="J1803" s="33" t="n"/>
      <c r="K1803" s="28">
        <f>IF(OR(B1803="",F1803&lt;&gt;"Done",J1803="Package"),"",IF(N(G1803)-N(I1803)&gt;0,N(G1803)-N(I1803),""))</f>
        <v/>
      </c>
      <c r="L1803" s="32" t="n"/>
      <c r="M1803" s="1">
        <f>IF(OR(B1803="",D1803="",F1803="Cancelled"),"",B1803+N(C1803)+ROW()/10000000)</f>
        <v/>
      </c>
      <c r="N1803">
        <f>IF(AND(F1803="Done",M1803&lt;&gt;""),IF(COUNTIFS(Appointments!$D$6:$D$2005,D1803,Appointments!$F$6:$F$2005,"Done",Appointments!$M$6:$M$2005,"&gt;"&amp;M1803)=0,1,0),0)</f>
        <v/>
      </c>
      <c r="O1803">
        <f>IF(AND(F1803="Booked",M1803&lt;&gt;"",N(B1803)&gt;=TODAY()),IF(COUNTIFS(Appointments!$D$6:$D$2005,D1803,Appointments!$F$6:$F$2005,"Booked",Appointments!$B$6:$B$2005,"&gt;="&amp;TODAY(),Appointments!$M$6:$M$2005,"&lt;"&amp;M1803)=0,1,0),0)</f>
        <v/>
      </c>
    </row>
    <row r="1804">
      <c r="A1804" s="1" t="n"/>
      <c r="B1804" s="30" t="n"/>
      <c r="C1804" s="31" t="n"/>
      <c r="D1804" s="32" t="n"/>
      <c r="E1804" s="32" t="n"/>
      <c r="F1804" s="33" t="n"/>
      <c r="G1804" s="27">
        <f>IF(E1804="","",MAX(0,IFERROR(INDEX(Services!$C$6:$C$35,MATCH(E1804,Services!$B$6:$B$35,0)),0)-N(H1804)))</f>
        <v/>
      </c>
      <c r="H1804" s="34" t="n"/>
      <c r="I1804" s="34" t="n"/>
      <c r="J1804" s="33" t="n"/>
      <c r="K1804" s="28">
        <f>IF(OR(B1804="",F1804&lt;&gt;"Done",J1804="Package"),"",IF(N(G1804)-N(I1804)&gt;0,N(G1804)-N(I1804),""))</f>
        <v/>
      </c>
      <c r="L1804" s="32" t="n"/>
      <c r="M1804" s="1">
        <f>IF(OR(B1804="",D1804="",F1804="Cancelled"),"",B1804+N(C1804)+ROW()/10000000)</f>
        <v/>
      </c>
      <c r="N1804">
        <f>IF(AND(F1804="Done",M1804&lt;&gt;""),IF(COUNTIFS(Appointments!$D$6:$D$2005,D1804,Appointments!$F$6:$F$2005,"Done",Appointments!$M$6:$M$2005,"&gt;"&amp;M1804)=0,1,0),0)</f>
        <v/>
      </c>
      <c r="O1804">
        <f>IF(AND(F1804="Booked",M1804&lt;&gt;"",N(B1804)&gt;=TODAY()),IF(COUNTIFS(Appointments!$D$6:$D$2005,D1804,Appointments!$F$6:$F$2005,"Booked",Appointments!$B$6:$B$2005,"&gt;="&amp;TODAY(),Appointments!$M$6:$M$2005,"&lt;"&amp;M1804)=0,1,0),0)</f>
        <v/>
      </c>
    </row>
    <row r="1805">
      <c r="A1805" s="1" t="n"/>
      <c r="B1805" s="30" t="n"/>
      <c r="C1805" s="31" t="n"/>
      <c r="D1805" s="32" t="n"/>
      <c r="E1805" s="32" t="n"/>
      <c r="F1805" s="33" t="n"/>
      <c r="G1805" s="27">
        <f>IF(E1805="","",MAX(0,IFERROR(INDEX(Services!$C$6:$C$35,MATCH(E1805,Services!$B$6:$B$35,0)),0)-N(H1805)))</f>
        <v/>
      </c>
      <c r="H1805" s="34" t="n"/>
      <c r="I1805" s="34" t="n"/>
      <c r="J1805" s="33" t="n"/>
      <c r="K1805" s="28">
        <f>IF(OR(B1805="",F1805&lt;&gt;"Done",J1805="Package"),"",IF(N(G1805)-N(I1805)&gt;0,N(G1805)-N(I1805),""))</f>
        <v/>
      </c>
      <c r="L1805" s="32" t="n"/>
      <c r="M1805" s="1">
        <f>IF(OR(B1805="",D1805="",F1805="Cancelled"),"",B1805+N(C1805)+ROW()/10000000)</f>
        <v/>
      </c>
      <c r="N1805">
        <f>IF(AND(F1805="Done",M1805&lt;&gt;""),IF(COUNTIFS(Appointments!$D$6:$D$2005,D1805,Appointments!$F$6:$F$2005,"Done",Appointments!$M$6:$M$2005,"&gt;"&amp;M1805)=0,1,0),0)</f>
        <v/>
      </c>
      <c r="O1805">
        <f>IF(AND(F1805="Booked",M1805&lt;&gt;"",N(B1805)&gt;=TODAY()),IF(COUNTIFS(Appointments!$D$6:$D$2005,D1805,Appointments!$F$6:$F$2005,"Booked",Appointments!$B$6:$B$2005,"&gt;="&amp;TODAY(),Appointments!$M$6:$M$2005,"&lt;"&amp;M1805)=0,1,0),0)</f>
        <v/>
      </c>
    </row>
    <row r="1806">
      <c r="A1806" s="1" t="n"/>
      <c r="B1806" s="30" t="n"/>
      <c r="C1806" s="31" t="n"/>
      <c r="D1806" s="32" t="n"/>
      <c r="E1806" s="32" t="n"/>
      <c r="F1806" s="33" t="n"/>
      <c r="G1806" s="27">
        <f>IF(E1806="","",MAX(0,IFERROR(INDEX(Services!$C$6:$C$35,MATCH(E1806,Services!$B$6:$B$35,0)),0)-N(H1806)))</f>
        <v/>
      </c>
      <c r="H1806" s="34" t="n"/>
      <c r="I1806" s="34" t="n"/>
      <c r="J1806" s="33" t="n"/>
      <c r="K1806" s="28">
        <f>IF(OR(B1806="",F1806&lt;&gt;"Done",J1806="Package"),"",IF(N(G1806)-N(I1806)&gt;0,N(G1806)-N(I1806),""))</f>
        <v/>
      </c>
      <c r="L1806" s="32" t="n"/>
      <c r="M1806" s="1">
        <f>IF(OR(B1806="",D1806="",F1806="Cancelled"),"",B1806+N(C1806)+ROW()/10000000)</f>
        <v/>
      </c>
      <c r="N1806">
        <f>IF(AND(F1806="Done",M1806&lt;&gt;""),IF(COUNTIFS(Appointments!$D$6:$D$2005,D1806,Appointments!$F$6:$F$2005,"Done",Appointments!$M$6:$M$2005,"&gt;"&amp;M1806)=0,1,0),0)</f>
        <v/>
      </c>
      <c r="O1806">
        <f>IF(AND(F1806="Booked",M1806&lt;&gt;"",N(B1806)&gt;=TODAY()),IF(COUNTIFS(Appointments!$D$6:$D$2005,D1806,Appointments!$F$6:$F$2005,"Booked",Appointments!$B$6:$B$2005,"&gt;="&amp;TODAY(),Appointments!$M$6:$M$2005,"&lt;"&amp;M1806)=0,1,0),0)</f>
        <v/>
      </c>
    </row>
    <row r="1807">
      <c r="A1807" s="1" t="n"/>
      <c r="B1807" s="30" t="n"/>
      <c r="C1807" s="31" t="n"/>
      <c r="D1807" s="32" t="n"/>
      <c r="E1807" s="32" t="n"/>
      <c r="F1807" s="33" t="n"/>
      <c r="G1807" s="27">
        <f>IF(E1807="","",MAX(0,IFERROR(INDEX(Services!$C$6:$C$35,MATCH(E1807,Services!$B$6:$B$35,0)),0)-N(H1807)))</f>
        <v/>
      </c>
      <c r="H1807" s="34" t="n"/>
      <c r="I1807" s="34" t="n"/>
      <c r="J1807" s="33" t="n"/>
      <c r="K1807" s="28">
        <f>IF(OR(B1807="",F1807&lt;&gt;"Done",J1807="Package"),"",IF(N(G1807)-N(I1807)&gt;0,N(G1807)-N(I1807),""))</f>
        <v/>
      </c>
      <c r="L1807" s="32" t="n"/>
      <c r="M1807" s="1">
        <f>IF(OR(B1807="",D1807="",F1807="Cancelled"),"",B1807+N(C1807)+ROW()/10000000)</f>
        <v/>
      </c>
      <c r="N1807">
        <f>IF(AND(F1807="Done",M1807&lt;&gt;""),IF(COUNTIFS(Appointments!$D$6:$D$2005,D1807,Appointments!$F$6:$F$2005,"Done",Appointments!$M$6:$M$2005,"&gt;"&amp;M1807)=0,1,0),0)</f>
        <v/>
      </c>
      <c r="O1807">
        <f>IF(AND(F1807="Booked",M1807&lt;&gt;"",N(B1807)&gt;=TODAY()),IF(COUNTIFS(Appointments!$D$6:$D$2005,D1807,Appointments!$F$6:$F$2005,"Booked",Appointments!$B$6:$B$2005,"&gt;="&amp;TODAY(),Appointments!$M$6:$M$2005,"&lt;"&amp;M1807)=0,1,0),0)</f>
        <v/>
      </c>
    </row>
    <row r="1808">
      <c r="A1808" s="1" t="n"/>
      <c r="B1808" s="30" t="n"/>
      <c r="C1808" s="31" t="n"/>
      <c r="D1808" s="32" t="n"/>
      <c r="E1808" s="32" t="n"/>
      <c r="F1808" s="33" t="n"/>
      <c r="G1808" s="27">
        <f>IF(E1808="","",MAX(0,IFERROR(INDEX(Services!$C$6:$C$35,MATCH(E1808,Services!$B$6:$B$35,0)),0)-N(H1808)))</f>
        <v/>
      </c>
      <c r="H1808" s="34" t="n"/>
      <c r="I1808" s="34" t="n"/>
      <c r="J1808" s="33" t="n"/>
      <c r="K1808" s="28">
        <f>IF(OR(B1808="",F1808&lt;&gt;"Done",J1808="Package"),"",IF(N(G1808)-N(I1808)&gt;0,N(G1808)-N(I1808),""))</f>
        <v/>
      </c>
      <c r="L1808" s="32" t="n"/>
      <c r="M1808" s="1">
        <f>IF(OR(B1808="",D1808="",F1808="Cancelled"),"",B1808+N(C1808)+ROW()/10000000)</f>
        <v/>
      </c>
      <c r="N1808">
        <f>IF(AND(F1808="Done",M1808&lt;&gt;""),IF(COUNTIFS(Appointments!$D$6:$D$2005,D1808,Appointments!$F$6:$F$2005,"Done",Appointments!$M$6:$M$2005,"&gt;"&amp;M1808)=0,1,0),0)</f>
        <v/>
      </c>
      <c r="O1808">
        <f>IF(AND(F1808="Booked",M1808&lt;&gt;"",N(B1808)&gt;=TODAY()),IF(COUNTIFS(Appointments!$D$6:$D$2005,D1808,Appointments!$F$6:$F$2005,"Booked",Appointments!$B$6:$B$2005,"&gt;="&amp;TODAY(),Appointments!$M$6:$M$2005,"&lt;"&amp;M1808)=0,1,0),0)</f>
        <v/>
      </c>
    </row>
    <row r="1809">
      <c r="A1809" s="1" t="n"/>
      <c r="B1809" s="30" t="n"/>
      <c r="C1809" s="31" t="n"/>
      <c r="D1809" s="32" t="n"/>
      <c r="E1809" s="32" t="n"/>
      <c r="F1809" s="33" t="n"/>
      <c r="G1809" s="27">
        <f>IF(E1809="","",MAX(0,IFERROR(INDEX(Services!$C$6:$C$35,MATCH(E1809,Services!$B$6:$B$35,0)),0)-N(H1809)))</f>
        <v/>
      </c>
      <c r="H1809" s="34" t="n"/>
      <c r="I1809" s="34" t="n"/>
      <c r="J1809" s="33" t="n"/>
      <c r="K1809" s="28">
        <f>IF(OR(B1809="",F1809&lt;&gt;"Done",J1809="Package"),"",IF(N(G1809)-N(I1809)&gt;0,N(G1809)-N(I1809),""))</f>
        <v/>
      </c>
      <c r="L1809" s="32" t="n"/>
      <c r="M1809" s="1">
        <f>IF(OR(B1809="",D1809="",F1809="Cancelled"),"",B1809+N(C1809)+ROW()/10000000)</f>
        <v/>
      </c>
      <c r="N1809">
        <f>IF(AND(F1809="Done",M1809&lt;&gt;""),IF(COUNTIFS(Appointments!$D$6:$D$2005,D1809,Appointments!$F$6:$F$2005,"Done",Appointments!$M$6:$M$2005,"&gt;"&amp;M1809)=0,1,0),0)</f>
        <v/>
      </c>
      <c r="O1809">
        <f>IF(AND(F1809="Booked",M1809&lt;&gt;"",N(B1809)&gt;=TODAY()),IF(COUNTIFS(Appointments!$D$6:$D$2005,D1809,Appointments!$F$6:$F$2005,"Booked",Appointments!$B$6:$B$2005,"&gt;="&amp;TODAY(),Appointments!$M$6:$M$2005,"&lt;"&amp;M1809)=0,1,0),0)</f>
        <v/>
      </c>
    </row>
    <row r="1810">
      <c r="A1810" s="1" t="n"/>
      <c r="B1810" s="30" t="n"/>
      <c r="C1810" s="31" t="n"/>
      <c r="D1810" s="32" t="n"/>
      <c r="E1810" s="32" t="n"/>
      <c r="F1810" s="33" t="n"/>
      <c r="G1810" s="27">
        <f>IF(E1810="","",MAX(0,IFERROR(INDEX(Services!$C$6:$C$35,MATCH(E1810,Services!$B$6:$B$35,0)),0)-N(H1810)))</f>
        <v/>
      </c>
      <c r="H1810" s="34" t="n"/>
      <c r="I1810" s="34" t="n"/>
      <c r="J1810" s="33" t="n"/>
      <c r="K1810" s="28">
        <f>IF(OR(B1810="",F1810&lt;&gt;"Done",J1810="Package"),"",IF(N(G1810)-N(I1810)&gt;0,N(G1810)-N(I1810),""))</f>
        <v/>
      </c>
      <c r="L1810" s="32" t="n"/>
      <c r="M1810" s="1">
        <f>IF(OR(B1810="",D1810="",F1810="Cancelled"),"",B1810+N(C1810)+ROW()/10000000)</f>
        <v/>
      </c>
      <c r="N1810">
        <f>IF(AND(F1810="Done",M1810&lt;&gt;""),IF(COUNTIFS(Appointments!$D$6:$D$2005,D1810,Appointments!$F$6:$F$2005,"Done",Appointments!$M$6:$M$2005,"&gt;"&amp;M1810)=0,1,0),0)</f>
        <v/>
      </c>
      <c r="O1810">
        <f>IF(AND(F1810="Booked",M1810&lt;&gt;"",N(B1810)&gt;=TODAY()),IF(COUNTIFS(Appointments!$D$6:$D$2005,D1810,Appointments!$F$6:$F$2005,"Booked",Appointments!$B$6:$B$2005,"&gt;="&amp;TODAY(),Appointments!$M$6:$M$2005,"&lt;"&amp;M1810)=0,1,0),0)</f>
        <v/>
      </c>
    </row>
    <row r="1811">
      <c r="A1811" s="1" t="n"/>
      <c r="B1811" s="30" t="n"/>
      <c r="C1811" s="31" t="n"/>
      <c r="D1811" s="32" t="n"/>
      <c r="E1811" s="32" t="n"/>
      <c r="F1811" s="33" t="n"/>
      <c r="G1811" s="27">
        <f>IF(E1811="","",MAX(0,IFERROR(INDEX(Services!$C$6:$C$35,MATCH(E1811,Services!$B$6:$B$35,0)),0)-N(H1811)))</f>
        <v/>
      </c>
      <c r="H1811" s="34" t="n"/>
      <c r="I1811" s="34" t="n"/>
      <c r="J1811" s="33" t="n"/>
      <c r="K1811" s="28">
        <f>IF(OR(B1811="",F1811&lt;&gt;"Done",J1811="Package"),"",IF(N(G1811)-N(I1811)&gt;0,N(G1811)-N(I1811),""))</f>
        <v/>
      </c>
      <c r="L1811" s="32" t="n"/>
      <c r="M1811" s="1">
        <f>IF(OR(B1811="",D1811="",F1811="Cancelled"),"",B1811+N(C1811)+ROW()/10000000)</f>
        <v/>
      </c>
      <c r="N1811">
        <f>IF(AND(F1811="Done",M1811&lt;&gt;""),IF(COUNTIFS(Appointments!$D$6:$D$2005,D1811,Appointments!$F$6:$F$2005,"Done",Appointments!$M$6:$M$2005,"&gt;"&amp;M1811)=0,1,0),0)</f>
        <v/>
      </c>
      <c r="O1811">
        <f>IF(AND(F1811="Booked",M1811&lt;&gt;"",N(B1811)&gt;=TODAY()),IF(COUNTIFS(Appointments!$D$6:$D$2005,D1811,Appointments!$F$6:$F$2005,"Booked",Appointments!$B$6:$B$2005,"&gt;="&amp;TODAY(),Appointments!$M$6:$M$2005,"&lt;"&amp;M1811)=0,1,0),0)</f>
        <v/>
      </c>
    </row>
    <row r="1812">
      <c r="A1812" s="1" t="n"/>
      <c r="B1812" s="30" t="n"/>
      <c r="C1812" s="31" t="n"/>
      <c r="D1812" s="32" t="n"/>
      <c r="E1812" s="32" t="n"/>
      <c r="F1812" s="33" t="n"/>
      <c r="G1812" s="27">
        <f>IF(E1812="","",MAX(0,IFERROR(INDEX(Services!$C$6:$C$35,MATCH(E1812,Services!$B$6:$B$35,0)),0)-N(H1812)))</f>
        <v/>
      </c>
      <c r="H1812" s="34" t="n"/>
      <c r="I1812" s="34" t="n"/>
      <c r="J1812" s="33" t="n"/>
      <c r="K1812" s="28">
        <f>IF(OR(B1812="",F1812&lt;&gt;"Done",J1812="Package"),"",IF(N(G1812)-N(I1812)&gt;0,N(G1812)-N(I1812),""))</f>
        <v/>
      </c>
      <c r="L1812" s="32" t="n"/>
      <c r="M1812" s="1">
        <f>IF(OR(B1812="",D1812="",F1812="Cancelled"),"",B1812+N(C1812)+ROW()/10000000)</f>
        <v/>
      </c>
      <c r="N1812">
        <f>IF(AND(F1812="Done",M1812&lt;&gt;""),IF(COUNTIFS(Appointments!$D$6:$D$2005,D1812,Appointments!$F$6:$F$2005,"Done",Appointments!$M$6:$M$2005,"&gt;"&amp;M1812)=0,1,0),0)</f>
        <v/>
      </c>
      <c r="O1812">
        <f>IF(AND(F1812="Booked",M1812&lt;&gt;"",N(B1812)&gt;=TODAY()),IF(COUNTIFS(Appointments!$D$6:$D$2005,D1812,Appointments!$F$6:$F$2005,"Booked",Appointments!$B$6:$B$2005,"&gt;="&amp;TODAY(),Appointments!$M$6:$M$2005,"&lt;"&amp;M1812)=0,1,0),0)</f>
        <v/>
      </c>
    </row>
    <row r="1813">
      <c r="A1813" s="1" t="n"/>
      <c r="B1813" s="30" t="n"/>
      <c r="C1813" s="31" t="n"/>
      <c r="D1813" s="32" t="n"/>
      <c r="E1813" s="32" t="n"/>
      <c r="F1813" s="33" t="n"/>
      <c r="G1813" s="27">
        <f>IF(E1813="","",MAX(0,IFERROR(INDEX(Services!$C$6:$C$35,MATCH(E1813,Services!$B$6:$B$35,0)),0)-N(H1813)))</f>
        <v/>
      </c>
      <c r="H1813" s="34" t="n"/>
      <c r="I1813" s="34" t="n"/>
      <c r="J1813" s="33" t="n"/>
      <c r="K1813" s="28">
        <f>IF(OR(B1813="",F1813&lt;&gt;"Done",J1813="Package"),"",IF(N(G1813)-N(I1813)&gt;0,N(G1813)-N(I1813),""))</f>
        <v/>
      </c>
      <c r="L1813" s="32" t="n"/>
      <c r="M1813" s="1">
        <f>IF(OR(B1813="",D1813="",F1813="Cancelled"),"",B1813+N(C1813)+ROW()/10000000)</f>
        <v/>
      </c>
      <c r="N1813">
        <f>IF(AND(F1813="Done",M1813&lt;&gt;""),IF(COUNTIFS(Appointments!$D$6:$D$2005,D1813,Appointments!$F$6:$F$2005,"Done",Appointments!$M$6:$M$2005,"&gt;"&amp;M1813)=0,1,0),0)</f>
        <v/>
      </c>
      <c r="O1813">
        <f>IF(AND(F1813="Booked",M1813&lt;&gt;"",N(B1813)&gt;=TODAY()),IF(COUNTIFS(Appointments!$D$6:$D$2005,D1813,Appointments!$F$6:$F$2005,"Booked",Appointments!$B$6:$B$2005,"&gt;="&amp;TODAY(),Appointments!$M$6:$M$2005,"&lt;"&amp;M1813)=0,1,0),0)</f>
        <v/>
      </c>
    </row>
    <row r="1814">
      <c r="A1814" s="1" t="n"/>
      <c r="B1814" s="30" t="n"/>
      <c r="C1814" s="31" t="n"/>
      <c r="D1814" s="32" t="n"/>
      <c r="E1814" s="32" t="n"/>
      <c r="F1814" s="33" t="n"/>
      <c r="G1814" s="27">
        <f>IF(E1814="","",MAX(0,IFERROR(INDEX(Services!$C$6:$C$35,MATCH(E1814,Services!$B$6:$B$35,0)),0)-N(H1814)))</f>
        <v/>
      </c>
      <c r="H1814" s="34" t="n"/>
      <c r="I1814" s="34" t="n"/>
      <c r="J1814" s="33" t="n"/>
      <c r="K1814" s="28">
        <f>IF(OR(B1814="",F1814&lt;&gt;"Done",J1814="Package"),"",IF(N(G1814)-N(I1814)&gt;0,N(G1814)-N(I1814),""))</f>
        <v/>
      </c>
      <c r="L1814" s="32" t="n"/>
      <c r="M1814" s="1">
        <f>IF(OR(B1814="",D1814="",F1814="Cancelled"),"",B1814+N(C1814)+ROW()/10000000)</f>
        <v/>
      </c>
      <c r="N1814">
        <f>IF(AND(F1814="Done",M1814&lt;&gt;""),IF(COUNTIFS(Appointments!$D$6:$D$2005,D1814,Appointments!$F$6:$F$2005,"Done",Appointments!$M$6:$M$2005,"&gt;"&amp;M1814)=0,1,0),0)</f>
        <v/>
      </c>
      <c r="O1814">
        <f>IF(AND(F1814="Booked",M1814&lt;&gt;"",N(B1814)&gt;=TODAY()),IF(COUNTIFS(Appointments!$D$6:$D$2005,D1814,Appointments!$F$6:$F$2005,"Booked",Appointments!$B$6:$B$2005,"&gt;="&amp;TODAY(),Appointments!$M$6:$M$2005,"&lt;"&amp;M1814)=0,1,0),0)</f>
        <v/>
      </c>
    </row>
    <row r="1815">
      <c r="A1815" s="1" t="n"/>
      <c r="B1815" s="30" t="n"/>
      <c r="C1815" s="31" t="n"/>
      <c r="D1815" s="32" t="n"/>
      <c r="E1815" s="32" t="n"/>
      <c r="F1815" s="33" t="n"/>
      <c r="G1815" s="27">
        <f>IF(E1815="","",MAX(0,IFERROR(INDEX(Services!$C$6:$C$35,MATCH(E1815,Services!$B$6:$B$35,0)),0)-N(H1815)))</f>
        <v/>
      </c>
      <c r="H1815" s="34" t="n"/>
      <c r="I1815" s="34" t="n"/>
      <c r="J1815" s="33" t="n"/>
      <c r="K1815" s="28">
        <f>IF(OR(B1815="",F1815&lt;&gt;"Done",J1815="Package"),"",IF(N(G1815)-N(I1815)&gt;0,N(G1815)-N(I1815),""))</f>
        <v/>
      </c>
      <c r="L1815" s="32" t="n"/>
      <c r="M1815" s="1">
        <f>IF(OR(B1815="",D1815="",F1815="Cancelled"),"",B1815+N(C1815)+ROW()/10000000)</f>
        <v/>
      </c>
      <c r="N1815">
        <f>IF(AND(F1815="Done",M1815&lt;&gt;""),IF(COUNTIFS(Appointments!$D$6:$D$2005,D1815,Appointments!$F$6:$F$2005,"Done",Appointments!$M$6:$M$2005,"&gt;"&amp;M1815)=0,1,0),0)</f>
        <v/>
      </c>
      <c r="O1815">
        <f>IF(AND(F1815="Booked",M1815&lt;&gt;"",N(B1815)&gt;=TODAY()),IF(COUNTIFS(Appointments!$D$6:$D$2005,D1815,Appointments!$F$6:$F$2005,"Booked",Appointments!$B$6:$B$2005,"&gt;="&amp;TODAY(),Appointments!$M$6:$M$2005,"&lt;"&amp;M1815)=0,1,0),0)</f>
        <v/>
      </c>
    </row>
    <row r="1816">
      <c r="A1816" s="1" t="n"/>
      <c r="B1816" s="30" t="n"/>
      <c r="C1816" s="31" t="n"/>
      <c r="D1816" s="32" t="n"/>
      <c r="E1816" s="32" t="n"/>
      <c r="F1816" s="33" t="n"/>
      <c r="G1816" s="27">
        <f>IF(E1816="","",MAX(0,IFERROR(INDEX(Services!$C$6:$C$35,MATCH(E1816,Services!$B$6:$B$35,0)),0)-N(H1816)))</f>
        <v/>
      </c>
      <c r="H1816" s="34" t="n"/>
      <c r="I1816" s="34" t="n"/>
      <c r="J1816" s="33" t="n"/>
      <c r="K1816" s="28">
        <f>IF(OR(B1816="",F1816&lt;&gt;"Done",J1816="Package"),"",IF(N(G1816)-N(I1816)&gt;0,N(G1816)-N(I1816),""))</f>
        <v/>
      </c>
      <c r="L1816" s="32" t="n"/>
      <c r="M1816" s="1">
        <f>IF(OR(B1816="",D1816="",F1816="Cancelled"),"",B1816+N(C1816)+ROW()/10000000)</f>
        <v/>
      </c>
      <c r="N1816">
        <f>IF(AND(F1816="Done",M1816&lt;&gt;""),IF(COUNTIFS(Appointments!$D$6:$D$2005,D1816,Appointments!$F$6:$F$2005,"Done",Appointments!$M$6:$M$2005,"&gt;"&amp;M1816)=0,1,0),0)</f>
        <v/>
      </c>
      <c r="O1816">
        <f>IF(AND(F1816="Booked",M1816&lt;&gt;"",N(B1816)&gt;=TODAY()),IF(COUNTIFS(Appointments!$D$6:$D$2005,D1816,Appointments!$F$6:$F$2005,"Booked",Appointments!$B$6:$B$2005,"&gt;="&amp;TODAY(),Appointments!$M$6:$M$2005,"&lt;"&amp;M1816)=0,1,0),0)</f>
        <v/>
      </c>
    </row>
    <row r="1817">
      <c r="A1817" s="1" t="n"/>
      <c r="B1817" s="30" t="n"/>
      <c r="C1817" s="31" t="n"/>
      <c r="D1817" s="32" t="n"/>
      <c r="E1817" s="32" t="n"/>
      <c r="F1817" s="33" t="n"/>
      <c r="G1817" s="27">
        <f>IF(E1817="","",MAX(0,IFERROR(INDEX(Services!$C$6:$C$35,MATCH(E1817,Services!$B$6:$B$35,0)),0)-N(H1817)))</f>
        <v/>
      </c>
      <c r="H1817" s="34" t="n"/>
      <c r="I1817" s="34" t="n"/>
      <c r="J1817" s="33" t="n"/>
      <c r="K1817" s="28">
        <f>IF(OR(B1817="",F1817&lt;&gt;"Done",J1817="Package"),"",IF(N(G1817)-N(I1817)&gt;0,N(G1817)-N(I1817),""))</f>
        <v/>
      </c>
      <c r="L1817" s="32" t="n"/>
      <c r="M1817" s="1">
        <f>IF(OR(B1817="",D1817="",F1817="Cancelled"),"",B1817+N(C1817)+ROW()/10000000)</f>
        <v/>
      </c>
      <c r="N1817">
        <f>IF(AND(F1817="Done",M1817&lt;&gt;""),IF(COUNTIFS(Appointments!$D$6:$D$2005,D1817,Appointments!$F$6:$F$2005,"Done",Appointments!$M$6:$M$2005,"&gt;"&amp;M1817)=0,1,0),0)</f>
        <v/>
      </c>
      <c r="O1817">
        <f>IF(AND(F1817="Booked",M1817&lt;&gt;"",N(B1817)&gt;=TODAY()),IF(COUNTIFS(Appointments!$D$6:$D$2005,D1817,Appointments!$F$6:$F$2005,"Booked",Appointments!$B$6:$B$2005,"&gt;="&amp;TODAY(),Appointments!$M$6:$M$2005,"&lt;"&amp;M1817)=0,1,0),0)</f>
        <v/>
      </c>
    </row>
    <row r="1818">
      <c r="A1818" s="1" t="n"/>
      <c r="B1818" s="30" t="n"/>
      <c r="C1818" s="31" t="n"/>
      <c r="D1818" s="32" t="n"/>
      <c r="E1818" s="32" t="n"/>
      <c r="F1818" s="33" t="n"/>
      <c r="G1818" s="27">
        <f>IF(E1818="","",MAX(0,IFERROR(INDEX(Services!$C$6:$C$35,MATCH(E1818,Services!$B$6:$B$35,0)),0)-N(H1818)))</f>
        <v/>
      </c>
      <c r="H1818" s="34" t="n"/>
      <c r="I1818" s="34" t="n"/>
      <c r="J1818" s="33" t="n"/>
      <c r="K1818" s="28">
        <f>IF(OR(B1818="",F1818&lt;&gt;"Done",J1818="Package"),"",IF(N(G1818)-N(I1818)&gt;0,N(G1818)-N(I1818),""))</f>
        <v/>
      </c>
      <c r="L1818" s="32" t="n"/>
      <c r="M1818" s="1">
        <f>IF(OR(B1818="",D1818="",F1818="Cancelled"),"",B1818+N(C1818)+ROW()/10000000)</f>
        <v/>
      </c>
      <c r="N1818">
        <f>IF(AND(F1818="Done",M1818&lt;&gt;""),IF(COUNTIFS(Appointments!$D$6:$D$2005,D1818,Appointments!$F$6:$F$2005,"Done",Appointments!$M$6:$M$2005,"&gt;"&amp;M1818)=0,1,0),0)</f>
        <v/>
      </c>
      <c r="O1818">
        <f>IF(AND(F1818="Booked",M1818&lt;&gt;"",N(B1818)&gt;=TODAY()),IF(COUNTIFS(Appointments!$D$6:$D$2005,D1818,Appointments!$F$6:$F$2005,"Booked",Appointments!$B$6:$B$2005,"&gt;="&amp;TODAY(),Appointments!$M$6:$M$2005,"&lt;"&amp;M1818)=0,1,0),0)</f>
        <v/>
      </c>
    </row>
    <row r="1819">
      <c r="A1819" s="1" t="n"/>
      <c r="B1819" s="30" t="n"/>
      <c r="C1819" s="31" t="n"/>
      <c r="D1819" s="32" t="n"/>
      <c r="E1819" s="32" t="n"/>
      <c r="F1819" s="33" t="n"/>
      <c r="G1819" s="27">
        <f>IF(E1819="","",MAX(0,IFERROR(INDEX(Services!$C$6:$C$35,MATCH(E1819,Services!$B$6:$B$35,0)),0)-N(H1819)))</f>
        <v/>
      </c>
      <c r="H1819" s="34" t="n"/>
      <c r="I1819" s="34" t="n"/>
      <c r="J1819" s="33" t="n"/>
      <c r="K1819" s="28">
        <f>IF(OR(B1819="",F1819&lt;&gt;"Done",J1819="Package"),"",IF(N(G1819)-N(I1819)&gt;0,N(G1819)-N(I1819),""))</f>
        <v/>
      </c>
      <c r="L1819" s="32" t="n"/>
      <c r="M1819" s="1">
        <f>IF(OR(B1819="",D1819="",F1819="Cancelled"),"",B1819+N(C1819)+ROW()/10000000)</f>
        <v/>
      </c>
      <c r="N1819">
        <f>IF(AND(F1819="Done",M1819&lt;&gt;""),IF(COUNTIFS(Appointments!$D$6:$D$2005,D1819,Appointments!$F$6:$F$2005,"Done",Appointments!$M$6:$M$2005,"&gt;"&amp;M1819)=0,1,0),0)</f>
        <v/>
      </c>
      <c r="O1819">
        <f>IF(AND(F1819="Booked",M1819&lt;&gt;"",N(B1819)&gt;=TODAY()),IF(COUNTIFS(Appointments!$D$6:$D$2005,D1819,Appointments!$F$6:$F$2005,"Booked",Appointments!$B$6:$B$2005,"&gt;="&amp;TODAY(),Appointments!$M$6:$M$2005,"&lt;"&amp;M1819)=0,1,0),0)</f>
        <v/>
      </c>
    </row>
    <row r="1820">
      <c r="A1820" s="1" t="n"/>
      <c r="B1820" s="30" t="n"/>
      <c r="C1820" s="31" t="n"/>
      <c r="D1820" s="32" t="n"/>
      <c r="E1820" s="32" t="n"/>
      <c r="F1820" s="33" t="n"/>
      <c r="G1820" s="27">
        <f>IF(E1820="","",MAX(0,IFERROR(INDEX(Services!$C$6:$C$35,MATCH(E1820,Services!$B$6:$B$35,0)),0)-N(H1820)))</f>
        <v/>
      </c>
      <c r="H1820" s="34" t="n"/>
      <c r="I1820" s="34" t="n"/>
      <c r="J1820" s="33" t="n"/>
      <c r="K1820" s="28">
        <f>IF(OR(B1820="",F1820&lt;&gt;"Done",J1820="Package"),"",IF(N(G1820)-N(I1820)&gt;0,N(G1820)-N(I1820),""))</f>
        <v/>
      </c>
      <c r="L1820" s="32" t="n"/>
      <c r="M1820" s="1">
        <f>IF(OR(B1820="",D1820="",F1820="Cancelled"),"",B1820+N(C1820)+ROW()/10000000)</f>
        <v/>
      </c>
      <c r="N1820">
        <f>IF(AND(F1820="Done",M1820&lt;&gt;""),IF(COUNTIFS(Appointments!$D$6:$D$2005,D1820,Appointments!$F$6:$F$2005,"Done",Appointments!$M$6:$M$2005,"&gt;"&amp;M1820)=0,1,0),0)</f>
        <v/>
      </c>
      <c r="O1820">
        <f>IF(AND(F1820="Booked",M1820&lt;&gt;"",N(B1820)&gt;=TODAY()),IF(COUNTIFS(Appointments!$D$6:$D$2005,D1820,Appointments!$F$6:$F$2005,"Booked",Appointments!$B$6:$B$2005,"&gt;="&amp;TODAY(),Appointments!$M$6:$M$2005,"&lt;"&amp;M1820)=0,1,0),0)</f>
        <v/>
      </c>
    </row>
    <row r="1821">
      <c r="A1821" s="1" t="n"/>
      <c r="B1821" s="30" t="n"/>
      <c r="C1821" s="31" t="n"/>
      <c r="D1821" s="32" t="n"/>
      <c r="E1821" s="32" t="n"/>
      <c r="F1821" s="33" t="n"/>
      <c r="G1821" s="27">
        <f>IF(E1821="","",MAX(0,IFERROR(INDEX(Services!$C$6:$C$35,MATCH(E1821,Services!$B$6:$B$35,0)),0)-N(H1821)))</f>
        <v/>
      </c>
      <c r="H1821" s="34" t="n"/>
      <c r="I1821" s="34" t="n"/>
      <c r="J1821" s="33" t="n"/>
      <c r="K1821" s="28">
        <f>IF(OR(B1821="",F1821&lt;&gt;"Done",J1821="Package"),"",IF(N(G1821)-N(I1821)&gt;0,N(G1821)-N(I1821),""))</f>
        <v/>
      </c>
      <c r="L1821" s="32" t="n"/>
      <c r="M1821" s="1">
        <f>IF(OR(B1821="",D1821="",F1821="Cancelled"),"",B1821+N(C1821)+ROW()/10000000)</f>
        <v/>
      </c>
      <c r="N1821">
        <f>IF(AND(F1821="Done",M1821&lt;&gt;""),IF(COUNTIFS(Appointments!$D$6:$D$2005,D1821,Appointments!$F$6:$F$2005,"Done",Appointments!$M$6:$M$2005,"&gt;"&amp;M1821)=0,1,0),0)</f>
        <v/>
      </c>
      <c r="O1821">
        <f>IF(AND(F1821="Booked",M1821&lt;&gt;"",N(B1821)&gt;=TODAY()),IF(COUNTIFS(Appointments!$D$6:$D$2005,D1821,Appointments!$F$6:$F$2005,"Booked",Appointments!$B$6:$B$2005,"&gt;="&amp;TODAY(),Appointments!$M$6:$M$2005,"&lt;"&amp;M1821)=0,1,0),0)</f>
        <v/>
      </c>
    </row>
    <row r="1822">
      <c r="A1822" s="1" t="n"/>
      <c r="B1822" s="30" t="n"/>
      <c r="C1822" s="31" t="n"/>
      <c r="D1822" s="32" t="n"/>
      <c r="E1822" s="32" t="n"/>
      <c r="F1822" s="33" t="n"/>
      <c r="G1822" s="27">
        <f>IF(E1822="","",MAX(0,IFERROR(INDEX(Services!$C$6:$C$35,MATCH(E1822,Services!$B$6:$B$35,0)),0)-N(H1822)))</f>
        <v/>
      </c>
      <c r="H1822" s="34" t="n"/>
      <c r="I1822" s="34" t="n"/>
      <c r="J1822" s="33" t="n"/>
      <c r="K1822" s="28">
        <f>IF(OR(B1822="",F1822&lt;&gt;"Done",J1822="Package"),"",IF(N(G1822)-N(I1822)&gt;0,N(G1822)-N(I1822),""))</f>
        <v/>
      </c>
      <c r="L1822" s="32" t="n"/>
      <c r="M1822" s="1">
        <f>IF(OR(B1822="",D1822="",F1822="Cancelled"),"",B1822+N(C1822)+ROW()/10000000)</f>
        <v/>
      </c>
      <c r="N1822">
        <f>IF(AND(F1822="Done",M1822&lt;&gt;""),IF(COUNTIFS(Appointments!$D$6:$D$2005,D1822,Appointments!$F$6:$F$2005,"Done",Appointments!$M$6:$M$2005,"&gt;"&amp;M1822)=0,1,0),0)</f>
        <v/>
      </c>
      <c r="O1822">
        <f>IF(AND(F1822="Booked",M1822&lt;&gt;"",N(B1822)&gt;=TODAY()),IF(COUNTIFS(Appointments!$D$6:$D$2005,D1822,Appointments!$F$6:$F$2005,"Booked",Appointments!$B$6:$B$2005,"&gt;="&amp;TODAY(),Appointments!$M$6:$M$2005,"&lt;"&amp;M1822)=0,1,0),0)</f>
        <v/>
      </c>
    </row>
    <row r="1823">
      <c r="A1823" s="1" t="n"/>
      <c r="B1823" s="30" t="n"/>
      <c r="C1823" s="31" t="n"/>
      <c r="D1823" s="32" t="n"/>
      <c r="E1823" s="32" t="n"/>
      <c r="F1823" s="33" t="n"/>
      <c r="G1823" s="27">
        <f>IF(E1823="","",MAX(0,IFERROR(INDEX(Services!$C$6:$C$35,MATCH(E1823,Services!$B$6:$B$35,0)),0)-N(H1823)))</f>
        <v/>
      </c>
      <c r="H1823" s="34" t="n"/>
      <c r="I1823" s="34" t="n"/>
      <c r="J1823" s="33" t="n"/>
      <c r="K1823" s="28">
        <f>IF(OR(B1823="",F1823&lt;&gt;"Done",J1823="Package"),"",IF(N(G1823)-N(I1823)&gt;0,N(G1823)-N(I1823),""))</f>
        <v/>
      </c>
      <c r="L1823" s="32" t="n"/>
      <c r="M1823" s="1">
        <f>IF(OR(B1823="",D1823="",F1823="Cancelled"),"",B1823+N(C1823)+ROW()/10000000)</f>
        <v/>
      </c>
      <c r="N1823">
        <f>IF(AND(F1823="Done",M1823&lt;&gt;""),IF(COUNTIFS(Appointments!$D$6:$D$2005,D1823,Appointments!$F$6:$F$2005,"Done",Appointments!$M$6:$M$2005,"&gt;"&amp;M1823)=0,1,0),0)</f>
        <v/>
      </c>
      <c r="O1823">
        <f>IF(AND(F1823="Booked",M1823&lt;&gt;"",N(B1823)&gt;=TODAY()),IF(COUNTIFS(Appointments!$D$6:$D$2005,D1823,Appointments!$F$6:$F$2005,"Booked",Appointments!$B$6:$B$2005,"&gt;="&amp;TODAY(),Appointments!$M$6:$M$2005,"&lt;"&amp;M1823)=0,1,0),0)</f>
        <v/>
      </c>
    </row>
    <row r="1824">
      <c r="A1824" s="1" t="n"/>
      <c r="B1824" s="30" t="n"/>
      <c r="C1824" s="31" t="n"/>
      <c r="D1824" s="32" t="n"/>
      <c r="E1824" s="32" t="n"/>
      <c r="F1824" s="33" t="n"/>
      <c r="G1824" s="27">
        <f>IF(E1824="","",MAX(0,IFERROR(INDEX(Services!$C$6:$C$35,MATCH(E1824,Services!$B$6:$B$35,0)),0)-N(H1824)))</f>
        <v/>
      </c>
      <c r="H1824" s="34" t="n"/>
      <c r="I1824" s="34" t="n"/>
      <c r="J1824" s="33" t="n"/>
      <c r="K1824" s="28">
        <f>IF(OR(B1824="",F1824&lt;&gt;"Done",J1824="Package"),"",IF(N(G1824)-N(I1824)&gt;0,N(G1824)-N(I1824),""))</f>
        <v/>
      </c>
      <c r="L1824" s="32" t="n"/>
      <c r="M1824" s="1">
        <f>IF(OR(B1824="",D1824="",F1824="Cancelled"),"",B1824+N(C1824)+ROW()/10000000)</f>
        <v/>
      </c>
      <c r="N1824">
        <f>IF(AND(F1824="Done",M1824&lt;&gt;""),IF(COUNTIFS(Appointments!$D$6:$D$2005,D1824,Appointments!$F$6:$F$2005,"Done",Appointments!$M$6:$M$2005,"&gt;"&amp;M1824)=0,1,0),0)</f>
        <v/>
      </c>
      <c r="O1824">
        <f>IF(AND(F1824="Booked",M1824&lt;&gt;"",N(B1824)&gt;=TODAY()),IF(COUNTIFS(Appointments!$D$6:$D$2005,D1824,Appointments!$F$6:$F$2005,"Booked",Appointments!$B$6:$B$2005,"&gt;="&amp;TODAY(),Appointments!$M$6:$M$2005,"&lt;"&amp;M1824)=0,1,0),0)</f>
        <v/>
      </c>
    </row>
    <row r="1825">
      <c r="A1825" s="1" t="n"/>
      <c r="B1825" s="30" t="n"/>
      <c r="C1825" s="31" t="n"/>
      <c r="D1825" s="32" t="n"/>
      <c r="E1825" s="32" t="n"/>
      <c r="F1825" s="33" t="n"/>
      <c r="G1825" s="27">
        <f>IF(E1825="","",MAX(0,IFERROR(INDEX(Services!$C$6:$C$35,MATCH(E1825,Services!$B$6:$B$35,0)),0)-N(H1825)))</f>
        <v/>
      </c>
      <c r="H1825" s="34" t="n"/>
      <c r="I1825" s="34" t="n"/>
      <c r="J1825" s="33" t="n"/>
      <c r="K1825" s="28">
        <f>IF(OR(B1825="",F1825&lt;&gt;"Done",J1825="Package"),"",IF(N(G1825)-N(I1825)&gt;0,N(G1825)-N(I1825),""))</f>
        <v/>
      </c>
      <c r="L1825" s="32" t="n"/>
      <c r="M1825" s="1">
        <f>IF(OR(B1825="",D1825="",F1825="Cancelled"),"",B1825+N(C1825)+ROW()/10000000)</f>
        <v/>
      </c>
      <c r="N1825">
        <f>IF(AND(F1825="Done",M1825&lt;&gt;""),IF(COUNTIFS(Appointments!$D$6:$D$2005,D1825,Appointments!$F$6:$F$2005,"Done",Appointments!$M$6:$M$2005,"&gt;"&amp;M1825)=0,1,0),0)</f>
        <v/>
      </c>
      <c r="O1825">
        <f>IF(AND(F1825="Booked",M1825&lt;&gt;"",N(B1825)&gt;=TODAY()),IF(COUNTIFS(Appointments!$D$6:$D$2005,D1825,Appointments!$F$6:$F$2005,"Booked",Appointments!$B$6:$B$2005,"&gt;="&amp;TODAY(),Appointments!$M$6:$M$2005,"&lt;"&amp;M1825)=0,1,0),0)</f>
        <v/>
      </c>
    </row>
    <row r="1826">
      <c r="A1826" s="1" t="n"/>
      <c r="B1826" s="30" t="n"/>
      <c r="C1826" s="31" t="n"/>
      <c r="D1826" s="32" t="n"/>
      <c r="E1826" s="32" t="n"/>
      <c r="F1826" s="33" t="n"/>
      <c r="G1826" s="27">
        <f>IF(E1826="","",MAX(0,IFERROR(INDEX(Services!$C$6:$C$35,MATCH(E1826,Services!$B$6:$B$35,0)),0)-N(H1826)))</f>
        <v/>
      </c>
      <c r="H1826" s="34" t="n"/>
      <c r="I1826" s="34" t="n"/>
      <c r="J1826" s="33" t="n"/>
      <c r="K1826" s="28">
        <f>IF(OR(B1826="",F1826&lt;&gt;"Done",J1826="Package"),"",IF(N(G1826)-N(I1826)&gt;0,N(G1826)-N(I1826),""))</f>
        <v/>
      </c>
      <c r="L1826" s="32" t="n"/>
      <c r="M1826" s="1">
        <f>IF(OR(B1826="",D1826="",F1826="Cancelled"),"",B1826+N(C1826)+ROW()/10000000)</f>
        <v/>
      </c>
      <c r="N1826">
        <f>IF(AND(F1826="Done",M1826&lt;&gt;""),IF(COUNTIFS(Appointments!$D$6:$D$2005,D1826,Appointments!$F$6:$F$2005,"Done",Appointments!$M$6:$M$2005,"&gt;"&amp;M1826)=0,1,0),0)</f>
        <v/>
      </c>
      <c r="O1826">
        <f>IF(AND(F1826="Booked",M1826&lt;&gt;"",N(B1826)&gt;=TODAY()),IF(COUNTIFS(Appointments!$D$6:$D$2005,D1826,Appointments!$F$6:$F$2005,"Booked",Appointments!$B$6:$B$2005,"&gt;="&amp;TODAY(),Appointments!$M$6:$M$2005,"&lt;"&amp;M1826)=0,1,0),0)</f>
        <v/>
      </c>
    </row>
    <row r="1827">
      <c r="A1827" s="1" t="n"/>
      <c r="B1827" s="30" t="n"/>
      <c r="C1827" s="31" t="n"/>
      <c r="D1827" s="32" t="n"/>
      <c r="E1827" s="32" t="n"/>
      <c r="F1827" s="33" t="n"/>
      <c r="G1827" s="27">
        <f>IF(E1827="","",MAX(0,IFERROR(INDEX(Services!$C$6:$C$35,MATCH(E1827,Services!$B$6:$B$35,0)),0)-N(H1827)))</f>
        <v/>
      </c>
      <c r="H1827" s="34" t="n"/>
      <c r="I1827" s="34" t="n"/>
      <c r="J1827" s="33" t="n"/>
      <c r="K1827" s="28">
        <f>IF(OR(B1827="",F1827&lt;&gt;"Done",J1827="Package"),"",IF(N(G1827)-N(I1827)&gt;0,N(G1827)-N(I1827),""))</f>
        <v/>
      </c>
      <c r="L1827" s="32" t="n"/>
      <c r="M1827" s="1">
        <f>IF(OR(B1827="",D1827="",F1827="Cancelled"),"",B1827+N(C1827)+ROW()/10000000)</f>
        <v/>
      </c>
      <c r="N1827">
        <f>IF(AND(F1827="Done",M1827&lt;&gt;""),IF(COUNTIFS(Appointments!$D$6:$D$2005,D1827,Appointments!$F$6:$F$2005,"Done",Appointments!$M$6:$M$2005,"&gt;"&amp;M1827)=0,1,0),0)</f>
        <v/>
      </c>
      <c r="O1827">
        <f>IF(AND(F1827="Booked",M1827&lt;&gt;"",N(B1827)&gt;=TODAY()),IF(COUNTIFS(Appointments!$D$6:$D$2005,D1827,Appointments!$F$6:$F$2005,"Booked",Appointments!$B$6:$B$2005,"&gt;="&amp;TODAY(),Appointments!$M$6:$M$2005,"&lt;"&amp;M1827)=0,1,0),0)</f>
        <v/>
      </c>
    </row>
    <row r="1828">
      <c r="A1828" s="1" t="n"/>
      <c r="B1828" s="30" t="n"/>
      <c r="C1828" s="31" t="n"/>
      <c r="D1828" s="32" t="n"/>
      <c r="E1828" s="32" t="n"/>
      <c r="F1828" s="33" t="n"/>
      <c r="G1828" s="27">
        <f>IF(E1828="","",MAX(0,IFERROR(INDEX(Services!$C$6:$C$35,MATCH(E1828,Services!$B$6:$B$35,0)),0)-N(H1828)))</f>
        <v/>
      </c>
      <c r="H1828" s="34" t="n"/>
      <c r="I1828" s="34" t="n"/>
      <c r="J1828" s="33" t="n"/>
      <c r="K1828" s="28">
        <f>IF(OR(B1828="",F1828&lt;&gt;"Done",J1828="Package"),"",IF(N(G1828)-N(I1828)&gt;0,N(G1828)-N(I1828),""))</f>
        <v/>
      </c>
      <c r="L1828" s="32" t="n"/>
      <c r="M1828" s="1">
        <f>IF(OR(B1828="",D1828="",F1828="Cancelled"),"",B1828+N(C1828)+ROW()/10000000)</f>
        <v/>
      </c>
      <c r="N1828">
        <f>IF(AND(F1828="Done",M1828&lt;&gt;""),IF(COUNTIFS(Appointments!$D$6:$D$2005,D1828,Appointments!$F$6:$F$2005,"Done",Appointments!$M$6:$M$2005,"&gt;"&amp;M1828)=0,1,0),0)</f>
        <v/>
      </c>
      <c r="O1828">
        <f>IF(AND(F1828="Booked",M1828&lt;&gt;"",N(B1828)&gt;=TODAY()),IF(COUNTIFS(Appointments!$D$6:$D$2005,D1828,Appointments!$F$6:$F$2005,"Booked",Appointments!$B$6:$B$2005,"&gt;="&amp;TODAY(),Appointments!$M$6:$M$2005,"&lt;"&amp;M1828)=0,1,0),0)</f>
        <v/>
      </c>
    </row>
    <row r="1829">
      <c r="A1829" s="1" t="n"/>
      <c r="B1829" s="30" t="n"/>
      <c r="C1829" s="31" t="n"/>
      <c r="D1829" s="32" t="n"/>
      <c r="E1829" s="32" t="n"/>
      <c r="F1829" s="33" t="n"/>
      <c r="G1829" s="27">
        <f>IF(E1829="","",MAX(0,IFERROR(INDEX(Services!$C$6:$C$35,MATCH(E1829,Services!$B$6:$B$35,0)),0)-N(H1829)))</f>
        <v/>
      </c>
      <c r="H1829" s="34" t="n"/>
      <c r="I1829" s="34" t="n"/>
      <c r="J1829" s="33" t="n"/>
      <c r="K1829" s="28">
        <f>IF(OR(B1829="",F1829&lt;&gt;"Done",J1829="Package"),"",IF(N(G1829)-N(I1829)&gt;0,N(G1829)-N(I1829),""))</f>
        <v/>
      </c>
      <c r="L1829" s="32" t="n"/>
      <c r="M1829" s="1">
        <f>IF(OR(B1829="",D1829="",F1829="Cancelled"),"",B1829+N(C1829)+ROW()/10000000)</f>
        <v/>
      </c>
      <c r="N1829">
        <f>IF(AND(F1829="Done",M1829&lt;&gt;""),IF(COUNTIFS(Appointments!$D$6:$D$2005,D1829,Appointments!$F$6:$F$2005,"Done",Appointments!$M$6:$M$2005,"&gt;"&amp;M1829)=0,1,0),0)</f>
        <v/>
      </c>
      <c r="O1829">
        <f>IF(AND(F1829="Booked",M1829&lt;&gt;"",N(B1829)&gt;=TODAY()),IF(COUNTIFS(Appointments!$D$6:$D$2005,D1829,Appointments!$F$6:$F$2005,"Booked",Appointments!$B$6:$B$2005,"&gt;="&amp;TODAY(),Appointments!$M$6:$M$2005,"&lt;"&amp;M1829)=0,1,0),0)</f>
        <v/>
      </c>
    </row>
    <row r="1830">
      <c r="A1830" s="1" t="n"/>
      <c r="B1830" s="30" t="n"/>
      <c r="C1830" s="31" t="n"/>
      <c r="D1830" s="32" t="n"/>
      <c r="E1830" s="32" t="n"/>
      <c r="F1830" s="33" t="n"/>
      <c r="G1830" s="27">
        <f>IF(E1830="","",MAX(0,IFERROR(INDEX(Services!$C$6:$C$35,MATCH(E1830,Services!$B$6:$B$35,0)),0)-N(H1830)))</f>
        <v/>
      </c>
      <c r="H1830" s="34" t="n"/>
      <c r="I1830" s="34" t="n"/>
      <c r="J1830" s="33" t="n"/>
      <c r="K1830" s="28">
        <f>IF(OR(B1830="",F1830&lt;&gt;"Done",J1830="Package"),"",IF(N(G1830)-N(I1830)&gt;0,N(G1830)-N(I1830),""))</f>
        <v/>
      </c>
      <c r="L1830" s="32" t="n"/>
      <c r="M1830" s="1">
        <f>IF(OR(B1830="",D1830="",F1830="Cancelled"),"",B1830+N(C1830)+ROW()/10000000)</f>
        <v/>
      </c>
      <c r="N1830">
        <f>IF(AND(F1830="Done",M1830&lt;&gt;""),IF(COUNTIFS(Appointments!$D$6:$D$2005,D1830,Appointments!$F$6:$F$2005,"Done",Appointments!$M$6:$M$2005,"&gt;"&amp;M1830)=0,1,0),0)</f>
        <v/>
      </c>
      <c r="O1830">
        <f>IF(AND(F1830="Booked",M1830&lt;&gt;"",N(B1830)&gt;=TODAY()),IF(COUNTIFS(Appointments!$D$6:$D$2005,D1830,Appointments!$F$6:$F$2005,"Booked",Appointments!$B$6:$B$2005,"&gt;="&amp;TODAY(),Appointments!$M$6:$M$2005,"&lt;"&amp;M1830)=0,1,0),0)</f>
        <v/>
      </c>
    </row>
    <row r="1831">
      <c r="A1831" s="1" t="n"/>
      <c r="B1831" s="30" t="n"/>
      <c r="C1831" s="31" t="n"/>
      <c r="D1831" s="32" t="n"/>
      <c r="E1831" s="32" t="n"/>
      <c r="F1831" s="33" t="n"/>
      <c r="G1831" s="27">
        <f>IF(E1831="","",MAX(0,IFERROR(INDEX(Services!$C$6:$C$35,MATCH(E1831,Services!$B$6:$B$35,0)),0)-N(H1831)))</f>
        <v/>
      </c>
      <c r="H1831" s="34" t="n"/>
      <c r="I1831" s="34" t="n"/>
      <c r="J1831" s="33" t="n"/>
      <c r="K1831" s="28">
        <f>IF(OR(B1831="",F1831&lt;&gt;"Done",J1831="Package"),"",IF(N(G1831)-N(I1831)&gt;0,N(G1831)-N(I1831),""))</f>
        <v/>
      </c>
      <c r="L1831" s="32" t="n"/>
      <c r="M1831" s="1">
        <f>IF(OR(B1831="",D1831="",F1831="Cancelled"),"",B1831+N(C1831)+ROW()/10000000)</f>
        <v/>
      </c>
      <c r="N1831">
        <f>IF(AND(F1831="Done",M1831&lt;&gt;""),IF(COUNTIFS(Appointments!$D$6:$D$2005,D1831,Appointments!$F$6:$F$2005,"Done",Appointments!$M$6:$M$2005,"&gt;"&amp;M1831)=0,1,0),0)</f>
        <v/>
      </c>
      <c r="O1831">
        <f>IF(AND(F1831="Booked",M1831&lt;&gt;"",N(B1831)&gt;=TODAY()),IF(COUNTIFS(Appointments!$D$6:$D$2005,D1831,Appointments!$F$6:$F$2005,"Booked",Appointments!$B$6:$B$2005,"&gt;="&amp;TODAY(),Appointments!$M$6:$M$2005,"&lt;"&amp;M1831)=0,1,0),0)</f>
        <v/>
      </c>
    </row>
    <row r="1832">
      <c r="A1832" s="1" t="n"/>
      <c r="B1832" s="30" t="n"/>
      <c r="C1832" s="31" t="n"/>
      <c r="D1832" s="32" t="n"/>
      <c r="E1832" s="32" t="n"/>
      <c r="F1832" s="33" t="n"/>
      <c r="G1832" s="27">
        <f>IF(E1832="","",MAX(0,IFERROR(INDEX(Services!$C$6:$C$35,MATCH(E1832,Services!$B$6:$B$35,0)),0)-N(H1832)))</f>
        <v/>
      </c>
      <c r="H1832" s="34" t="n"/>
      <c r="I1832" s="34" t="n"/>
      <c r="J1832" s="33" t="n"/>
      <c r="K1832" s="28">
        <f>IF(OR(B1832="",F1832&lt;&gt;"Done",J1832="Package"),"",IF(N(G1832)-N(I1832)&gt;0,N(G1832)-N(I1832),""))</f>
        <v/>
      </c>
      <c r="L1832" s="32" t="n"/>
      <c r="M1832" s="1">
        <f>IF(OR(B1832="",D1832="",F1832="Cancelled"),"",B1832+N(C1832)+ROW()/10000000)</f>
        <v/>
      </c>
      <c r="N1832">
        <f>IF(AND(F1832="Done",M1832&lt;&gt;""),IF(COUNTIFS(Appointments!$D$6:$D$2005,D1832,Appointments!$F$6:$F$2005,"Done",Appointments!$M$6:$M$2005,"&gt;"&amp;M1832)=0,1,0),0)</f>
        <v/>
      </c>
      <c r="O1832">
        <f>IF(AND(F1832="Booked",M1832&lt;&gt;"",N(B1832)&gt;=TODAY()),IF(COUNTIFS(Appointments!$D$6:$D$2005,D1832,Appointments!$F$6:$F$2005,"Booked",Appointments!$B$6:$B$2005,"&gt;="&amp;TODAY(),Appointments!$M$6:$M$2005,"&lt;"&amp;M1832)=0,1,0),0)</f>
        <v/>
      </c>
    </row>
    <row r="1833">
      <c r="A1833" s="1" t="n"/>
      <c r="B1833" s="30" t="n"/>
      <c r="C1833" s="31" t="n"/>
      <c r="D1833" s="32" t="n"/>
      <c r="E1833" s="32" t="n"/>
      <c r="F1833" s="33" t="n"/>
      <c r="G1833" s="27">
        <f>IF(E1833="","",MAX(0,IFERROR(INDEX(Services!$C$6:$C$35,MATCH(E1833,Services!$B$6:$B$35,0)),0)-N(H1833)))</f>
        <v/>
      </c>
      <c r="H1833" s="34" t="n"/>
      <c r="I1833" s="34" t="n"/>
      <c r="J1833" s="33" t="n"/>
      <c r="K1833" s="28">
        <f>IF(OR(B1833="",F1833&lt;&gt;"Done",J1833="Package"),"",IF(N(G1833)-N(I1833)&gt;0,N(G1833)-N(I1833),""))</f>
        <v/>
      </c>
      <c r="L1833" s="32" t="n"/>
      <c r="M1833" s="1">
        <f>IF(OR(B1833="",D1833="",F1833="Cancelled"),"",B1833+N(C1833)+ROW()/10000000)</f>
        <v/>
      </c>
      <c r="N1833">
        <f>IF(AND(F1833="Done",M1833&lt;&gt;""),IF(COUNTIFS(Appointments!$D$6:$D$2005,D1833,Appointments!$F$6:$F$2005,"Done",Appointments!$M$6:$M$2005,"&gt;"&amp;M1833)=0,1,0),0)</f>
        <v/>
      </c>
      <c r="O1833">
        <f>IF(AND(F1833="Booked",M1833&lt;&gt;"",N(B1833)&gt;=TODAY()),IF(COUNTIFS(Appointments!$D$6:$D$2005,D1833,Appointments!$F$6:$F$2005,"Booked",Appointments!$B$6:$B$2005,"&gt;="&amp;TODAY(),Appointments!$M$6:$M$2005,"&lt;"&amp;M1833)=0,1,0),0)</f>
        <v/>
      </c>
    </row>
    <row r="1834">
      <c r="A1834" s="1" t="n"/>
      <c r="B1834" s="30" t="n"/>
      <c r="C1834" s="31" t="n"/>
      <c r="D1834" s="32" t="n"/>
      <c r="E1834" s="32" t="n"/>
      <c r="F1834" s="33" t="n"/>
      <c r="G1834" s="27">
        <f>IF(E1834="","",MAX(0,IFERROR(INDEX(Services!$C$6:$C$35,MATCH(E1834,Services!$B$6:$B$35,0)),0)-N(H1834)))</f>
        <v/>
      </c>
      <c r="H1834" s="34" t="n"/>
      <c r="I1834" s="34" t="n"/>
      <c r="J1834" s="33" t="n"/>
      <c r="K1834" s="28">
        <f>IF(OR(B1834="",F1834&lt;&gt;"Done",J1834="Package"),"",IF(N(G1834)-N(I1834)&gt;0,N(G1834)-N(I1834),""))</f>
        <v/>
      </c>
      <c r="L1834" s="32" t="n"/>
      <c r="M1834" s="1">
        <f>IF(OR(B1834="",D1834="",F1834="Cancelled"),"",B1834+N(C1834)+ROW()/10000000)</f>
        <v/>
      </c>
      <c r="N1834">
        <f>IF(AND(F1834="Done",M1834&lt;&gt;""),IF(COUNTIFS(Appointments!$D$6:$D$2005,D1834,Appointments!$F$6:$F$2005,"Done",Appointments!$M$6:$M$2005,"&gt;"&amp;M1834)=0,1,0),0)</f>
        <v/>
      </c>
      <c r="O1834">
        <f>IF(AND(F1834="Booked",M1834&lt;&gt;"",N(B1834)&gt;=TODAY()),IF(COUNTIFS(Appointments!$D$6:$D$2005,D1834,Appointments!$F$6:$F$2005,"Booked",Appointments!$B$6:$B$2005,"&gt;="&amp;TODAY(),Appointments!$M$6:$M$2005,"&lt;"&amp;M1834)=0,1,0),0)</f>
        <v/>
      </c>
    </row>
    <row r="1835">
      <c r="A1835" s="1" t="n"/>
      <c r="B1835" s="30" t="n"/>
      <c r="C1835" s="31" t="n"/>
      <c r="D1835" s="32" t="n"/>
      <c r="E1835" s="32" t="n"/>
      <c r="F1835" s="33" t="n"/>
      <c r="G1835" s="27">
        <f>IF(E1835="","",MAX(0,IFERROR(INDEX(Services!$C$6:$C$35,MATCH(E1835,Services!$B$6:$B$35,0)),0)-N(H1835)))</f>
        <v/>
      </c>
      <c r="H1835" s="34" t="n"/>
      <c r="I1835" s="34" t="n"/>
      <c r="J1835" s="33" t="n"/>
      <c r="K1835" s="28">
        <f>IF(OR(B1835="",F1835&lt;&gt;"Done",J1835="Package"),"",IF(N(G1835)-N(I1835)&gt;0,N(G1835)-N(I1835),""))</f>
        <v/>
      </c>
      <c r="L1835" s="32" t="n"/>
      <c r="M1835" s="1">
        <f>IF(OR(B1835="",D1835="",F1835="Cancelled"),"",B1835+N(C1835)+ROW()/10000000)</f>
        <v/>
      </c>
      <c r="N1835">
        <f>IF(AND(F1835="Done",M1835&lt;&gt;""),IF(COUNTIFS(Appointments!$D$6:$D$2005,D1835,Appointments!$F$6:$F$2005,"Done",Appointments!$M$6:$M$2005,"&gt;"&amp;M1835)=0,1,0),0)</f>
        <v/>
      </c>
      <c r="O1835">
        <f>IF(AND(F1835="Booked",M1835&lt;&gt;"",N(B1835)&gt;=TODAY()),IF(COUNTIFS(Appointments!$D$6:$D$2005,D1835,Appointments!$F$6:$F$2005,"Booked",Appointments!$B$6:$B$2005,"&gt;="&amp;TODAY(),Appointments!$M$6:$M$2005,"&lt;"&amp;M1835)=0,1,0),0)</f>
        <v/>
      </c>
    </row>
    <row r="1836">
      <c r="A1836" s="1" t="n"/>
      <c r="B1836" s="30" t="n"/>
      <c r="C1836" s="31" t="n"/>
      <c r="D1836" s="32" t="n"/>
      <c r="E1836" s="32" t="n"/>
      <c r="F1836" s="33" t="n"/>
      <c r="G1836" s="27">
        <f>IF(E1836="","",MAX(0,IFERROR(INDEX(Services!$C$6:$C$35,MATCH(E1836,Services!$B$6:$B$35,0)),0)-N(H1836)))</f>
        <v/>
      </c>
      <c r="H1836" s="34" t="n"/>
      <c r="I1836" s="34" t="n"/>
      <c r="J1836" s="33" t="n"/>
      <c r="K1836" s="28">
        <f>IF(OR(B1836="",F1836&lt;&gt;"Done",J1836="Package"),"",IF(N(G1836)-N(I1836)&gt;0,N(G1836)-N(I1836),""))</f>
        <v/>
      </c>
      <c r="L1836" s="32" t="n"/>
      <c r="M1836" s="1">
        <f>IF(OR(B1836="",D1836="",F1836="Cancelled"),"",B1836+N(C1836)+ROW()/10000000)</f>
        <v/>
      </c>
      <c r="N1836">
        <f>IF(AND(F1836="Done",M1836&lt;&gt;""),IF(COUNTIFS(Appointments!$D$6:$D$2005,D1836,Appointments!$F$6:$F$2005,"Done",Appointments!$M$6:$M$2005,"&gt;"&amp;M1836)=0,1,0),0)</f>
        <v/>
      </c>
      <c r="O1836">
        <f>IF(AND(F1836="Booked",M1836&lt;&gt;"",N(B1836)&gt;=TODAY()),IF(COUNTIFS(Appointments!$D$6:$D$2005,D1836,Appointments!$F$6:$F$2005,"Booked",Appointments!$B$6:$B$2005,"&gt;="&amp;TODAY(),Appointments!$M$6:$M$2005,"&lt;"&amp;M1836)=0,1,0),0)</f>
        <v/>
      </c>
    </row>
    <row r="1837">
      <c r="A1837" s="1" t="n"/>
      <c r="B1837" s="30" t="n"/>
      <c r="C1837" s="31" t="n"/>
      <c r="D1837" s="32" t="n"/>
      <c r="E1837" s="32" t="n"/>
      <c r="F1837" s="33" t="n"/>
      <c r="G1837" s="27">
        <f>IF(E1837="","",MAX(0,IFERROR(INDEX(Services!$C$6:$C$35,MATCH(E1837,Services!$B$6:$B$35,0)),0)-N(H1837)))</f>
        <v/>
      </c>
      <c r="H1837" s="34" t="n"/>
      <c r="I1837" s="34" t="n"/>
      <c r="J1837" s="33" t="n"/>
      <c r="K1837" s="28">
        <f>IF(OR(B1837="",F1837&lt;&gt;"Done",J1837="Package"),"",IF(N(G1837)-N(I1837)&gt;0,N(G1837)-N(I1837),""))</f>
        <v/>
      </c>
      <c r="L1837" s="32" t="n"/>
      <c r="M1837" s="1">
        <f>IF(OR(B1837="",D1837="",F1837="Cancelled"),"",B1837+N(C1837)+ROW()/10000000)</f>
        <v/>
      </c>
      <c r="N1837">
        <f>IF(AND(F1837="Done",M1837&lt;&gt;""),IF(COUNTIFS(Appointments!$D$6:$D$2005,D1837,Appointments!$F$6:$F$2005,"Done",Appointments!$M$6:$M$2005,"&gt;"&amp;M1837)=0,1,0),0)</f>
        <v/>
      </c>
      <c r="O1837">
        <f>IF(AND(F1837="Booked",M1837&lt;&gt;"",N(B1837)&gt;=TODAY()),IF(COUNTIFS(Appointments!$D$6:$D$2005,D1837,Appointments!$F$6:$F$2005,"Booked",Appointments!$B$6:$B$2005,"&gt;="&amp;TODAY(),Appointments!$M$6:$M$2005,"&lt;"&amp;M1837)=0,1,0),0)</f>
        <v/>
      </c>
    </row>
    <row r="1838">
      <c r="A1838" s="1" t="n"/>
      <c r="B1838" s="30" t="n"/>
      <c r="C1838" s="31" t="n"/>
      <c r="D1838" s="32" t="n"/>
      <c r="E1838" s="32" t="n"/>
      <c r="F1838" s="33" t="n"/>
      <c r="G1838" s="27">
        <f>IF(E1838="","",MAX(0,IFERROR(INDEX(Services!$C$6:$C$35,MATCH(E1838,Services!$B$6:$B$35,0)),0)-N(H1838)))</f>
        <v/>
      </c>
      <c r="H1838" s="34" t="n"/>
      <c r="I1838" s="34" t="n"/>
      <c r="J1838" s="33" t="n"/>
      <c r="K1838" s="28">
        <f>IF(OR(B1838="",F1838&lt;&gt;"Done",J1838="Package"),"",IF(N(G1838)-N(I1838)&gt;0,N(G1838)-N(I1838),""))</f>
        <v/>
      </c>
      <c r="L1838" s="32" t="n"/>
      <c r="M1838" s="1">
        <f>IF(OR(B1838="",D1838="",F1838="Cancelled"),"",B1838+N(C1838)+ROW()/10000000)</f>
        <v/>
      </c>
      <c r="N1838">
        <f>IF(AND(F1838="Done",M1838&lt;&gt;""),IF(COUNTIFS(Appointments!$D$6:$D$2005,D1838,Appointments!$F$6:$F$2005,"Done",Appointments!$M$6:$M$2005,"&gt;"&amp;M1838)=0,1,0),0)</f>
        <v/>
      </c>
      <c r="O1838">
        <f>IF(AND(F1838="Booked",M1838&lt;&gt;"",N(B1838)&gt;=TODAY()),IF(COUNTIFS(Appointments!$D$6:$D$2005,D1838,Appointments!$F$6:$F$2005,"Booked",Appointments!$B$6:$B$2005,"&gt;="&amp;TODAY(),Appointments!$M$6:$M$2005,"&lt;"&amp;M1838)=0,1,0),0)</f>
        <v/>
      </c>
    </row>
    <row r="1839">
      <c r="A1839" s="1" t="n"/>
      <c r="B1839" s="30" t="n"/>
      <c r="C1839" s="31" t="n"/>
      <c r="D1839" s="32" t="n"/>
      <c r="E1839" s="32" t="n"/>
      <c r="F1839" s="33" t="n"/>
      <c r="G1839" s="27">
        <f>IF(E1839="","",MAX(0,IFERROR(INDEX(Services!$C$6:$C$35,MATCH(E1839,Services!$B$6:$B$35,0)),0)-N(H1839)))</f>
        <v/>
      </c>
      <c r="H1839" s="34" t="n"/>
      <c r="I1839" s="34" t="n"/>
      <c r="J1839" s="33" t="n"/>
      <c r="K1839" s="28">
        <f>IF(OR(B1839="",F1839&lt;&gt;"Done",J1839="Package"),"",IF(N(G1839)-N(I1839)&gt;0,N(G1839)-N(I1839),""))</f>
        <v/>
      </c>
      <c r="L1839" s="32" t="n"/>
      <c r="M1839" s="1">
        <f>IF(OR(B1839="",D1839="",F1839="Cancelled"),"",B1839+N(C1839)+ROW()/10000000)</f>
        <v/>
      </c>
      <c r="N1839">
        <f>IF(AND(F1839="Done",M1839&lt;&gt;""),IF(COUNTIFS(Appointments!$D$6:$D$2005,D1839,Appointments!$F$6:$F$2005,"Done",Appointments!$M$6:$M$2005,"&gt;"&amp;M1839)=0,1,0),0)</f>
        <v/>
      </c>
      <c r="O1839">
        <f>IF(AND(F1839="Booked",M1839&lt;&gt;"",N(B1839)&gt;=TODAY()),IF(COUNTIFS(Appointments!$D$6:$D$2005,D1839,Appointments!$F$6:$F$2005,"Booked",Appointments!$B$6:$B$2005,"&gt;="&amp;TODAY(),Appointments!$M$6:$M$2005,"&lt;"&amp;M1839)=0,1,0),0)</f>
        <v/>
      </c>
    </row>
    <row r="1840">
      <c r="A1840" s="1" t="n"/>
      <c r="B1840" s="30" t="n"/>
      <c r="C1840" s="31" t="n"/>
      <c r="D1840" s="32" t="n"/>
      <c r="E1840" s="32" t="n"/>
      <c r="F1840" s="33" t="n"/>
      <c r="G1840" s="27">
        <f>IF(E1840="","",MAX(0,IFERROR(INDEX(Services!$C$6:$C$35,MATCH(E1840,Services!$B$6:$B$35,0)),0)-N(H1840)))</f>
        <v/>
      </c>
      <c r="H1840" s="34" t="n"/>
      <c r="I1840" s="34" t="n"/>
      <c r="J1840" s="33" t="n"/>
      <c r="K1840" s="28">
        <f>IF(OR(B1840="",F1840&lt;&gt;"Done",J1840="Package"),"",IF(N(G1840)-N(I1840)&gt;0,N(G1840)-N(I1840),""))</f>
        <v/>
      </c>
      <c r="L1840" s="32" t="n"/>
      <c r="M1840" s="1">
        <f>IF(OR(B1840="",D1840="",F1840="Cancelled"),"",B1840+N(C1840)+ROW()/10000000)</f>
        <v/>
      </c>
      <c r="N1840">
        <f>IF(AND(F1840="Done",M1840&lt;&gt;""),IF(COUNTIFS(Appointments!$D$6:$D$2005,D1840,Appointments!$F$6:$F$2005,"Done",Appointments!$M$6:$M$2005,"&gt;"&amp;M1840)=0,1,0),0)</f>
        <v/>
      </c>
      <c r="O1840">
        <f>IF(AND(F1840="Booked",M1840&lt;&gt;"",N(B1840)&gt;=TODAY()),IF(COUNTIFS(Appointments!$D$6:$D$2005,D1840,Appointments!$F$6:$F$2005,"Booked",Appointments!$B$6:$B$2005,"&gt;="&amp;TODAY(),Appointments!$M$6:$M$2005,"&lt;"&amp;M1840)=0,1,0),0)</f>
        <v/>
      </c>
    </row>
    <row r="1841">
      <c r="A1841" s="1" t="n"/>
      <c r="B1841" s="30" t="n"/>
      <c r="C1841" s="31" t="n"/>
      <c r="D1841" s="32" t="n"/>
      <c r="E1841" s="32" t="n"/>
      <c r="F1841" s="33" t="n"/>
      <c r="G1841" s="27">
        <f>IF(E1841="","",MAX(0,IFERROR(INDEX(Services!$C$6:$C$35,MATCH(E1841,Services!$B$6:$B$35,0)),0)-N(H1841)))</f>
        <v/>
      </c>
      <c r="H1841" s="34" t="n"/>
      <c r="I1841" s="34" t="n"/>
      <c r="J1841" s="33" t="n"/>
      <c r="K1841" s="28">
        <f>IF(OR(B1841="",F1841&lt;&gt;"Done",J1841="Package"),"",IF(N(G1841)-N(I1841)&gt;0,N(G1841)-N(I1841),""))</f>
        <v/>
      </c>
      <c r="L1841" s="32" t="n"/>
      <c r="M1841" s="1">
        <f>IF(OR(B1841="",D1841="",F1841="Cancelled"),"",B1841+N(C1841)+ROW()/10000000)</f>
        <v/>
      </c>
      <c r="N1841">
        <f>IF(AND(F1841="Done",M1841&lt;&gt;""),IF(COUNTIFS(Appointments!$D$6:$D$2005,D1841,Appointments!$F$6:$F$2005,"Done",Appointments!$M$6:$M$2005,"&gt;"&amp;M1841)=0,1,0),0)</f>
        <v/>
      </c>
      <c r="O1841">
        <f>IF(AND(F1841="Booked",M1841&lt;&gt;"",N(B1841)&gt;=TODAY()),IF(COUNTIFS(Appointments!$D$6:$D$2005,D1841,Appointments!$F$6:$F$2005,"Booked",Appointments!$B$6:$B$2005,"&gt;="&amp;TODAY(),Appointments!$M$6:$M$2005,"&lt;"&amp;M1841)=0,1,0),0)</f>
        <v/>
      </c>
    </row>
    <row r="1842">
      <c r="A1842" s="1" t="n"/>
      <c r="B1842" s="30" t="n"/>
      <c r="C1842" s="31" t="n"/>
      <c r="D1842" s="32" t="n"/>
      <c r="E1842" s="32" t="n"/>
      <c r="F1842" s="33" t="n"/>
      <c r="G1842" s="27">
        <f>IF(E1842="","",MAX(0,IFERROR(INDEX(Services!$C$6:$C$35,MATCH(E1842,Services!$B$6:$B$35,0)),0)-N(H1842)))</f>
        <v/>
      </c>
      <c r="H1842" s="34" t="n"/>
      <c r="I1842" s="34" t="n"/>
      <c r="J1842" s="33" t="n"/>
      <c r="K1842" s="28">
        <f>IF(OR(B1842="",F1842&lt;&gt;"Done",J1842="Package"),"",IF(N(G1842)-N(I1842)&gt;0,N(G1842)-N(I1842),""))</f>
        <v/>
      </c>
      <c r="L1842" s="32" t="n"/>
      <c r="M1842" s="1">
        <f>IF(OR(B1842="",D1842="",F1842="Cancelled"),"",B1842+N(C1842)+ROW()/10000000)</f>
        <v/>
      </c>
      <c r="N1842">
        <f>IF(AND(F1842="Done",M1842&lt;&gt;""),IF(COUNTIFS(Appointments!$D$6:$D$2005,D1842,Appointments!$F$6:$F$2005,"Done",Appointments!$M$6:$M$2005,"&gt;"&amp;M1842)=0,1,0),0)</f>
        <v/>
      </c>
      <c r="O1842">
        <f>IF(AND(F1842="Booked",M1842&lt;&gt;"",N(B1842)&gt;=TODAY()),IF(COUNTIFS(Appointments!$D$6:$D$2005,D1842,Appointments!$F$6:$F$2005,"Booked",Appointments!$B$6:$B$2005,"&gt;="&amp;TODAY(),Appointments!$M$6:$M$2005,"&lt;"&amp;M1842)=0,1,0),0)</f>
        <v/>
      </c>
    </row>
    <row r="1843">
      <c r="A1843" s="1" t="n"/>
      <c r="B1843" s="30" t="n"/>
      <c r="C1843" s="31" t="n"/>
      <c r="D1843" s="32" t="n"/>
      <c r="E1843" s="32" t="n"/>
      <c r="F1843" s="33" t="n"/>
      <c r="G1843" s="27">
        <f>IF(E1843="","",MAX(0,IFERROR(INDEX(Services!$C$6:$C$35,MATCH(E1843,Services!$B$6:$B$35,0)),0)-N(H1843)))</f>
        <v/>
      </c>
      <c r="H1843" s="34" t="n"/>
      <c r="I1843" s="34" t="n"/>
      <c r="J1843" s="33" t="n"/>
      <c r="K1843" s="28">
        <f>IF(OR(B1843="",F1843&lt;&gt;"Done",J1843="Package"),"",IF(N(G1843)-N(I1843)&gt;0,N(G1843)-N(I1843),""))</f>
        <v/>
      </c>
      <c r="L1843" s="32" t="n"/>
      <c r="M1843" s="1">
        <f>IF(OR(B1843="",D1843="",F1843="Cancelled"),"",B1843+N(C1843)+ROW()/10000000)</f>
        <v/>
      </c>
      <c r="N1843">
        <f>IF(AND(F1843="Done",M1843&lt;&gt;""),IF(COUNTIFS(Appointments!$D$6:$D$2005,D1843,Appointments!$F$6:$F$2005,"Done",Appointments!$M$6:$M$2005,"&gt;"&amp;M1843)=0,1,0),0)</f>
        <v/>
      </c>
      <c r="O1843">
        <f>IF(AND(F1843="Booked",M1843&lt;&gt;"",N(B1843)&gt;=TODAY()),IF(COUNTIFS(Appointments!$D$6:$D$2005,D1843,Appointments!$F$6:$F$2005,"Booked",Appointments!$B$6:$B$2005,"&gt;="&amp;TODAY(),Appointments!$M$6:$M$2005,"&lt;"&amp;M1843)=0,1,0),0)</f>
        <v/>
      </c>
    </row>
    <row r="1844">
      <c r="A1844" s="1" t="n"/>
      <c r="B1844" s="30" t="n"/>
      <c r="C1844" s="31" t="n"/>
      <c r="D1844" s="32" t="n"/>
      <c r="E1844" s="32" t="n"/>
      <c r="F1844" s="33" t="n"/>
      <c r="G1844" s="27">
        <f>IF(E1844="","",MAX(0,IFERROR(INDEX(Services!$C$6:$C$35,MATCH(E1844,Services!$B$6:$B$35,0)),0)-N(H1844)))</f>
        <v/>
      </c>
      <c r="H1844" s="34" t="n"/>
      <c r="I1844" s="34" t="n"/>
      <c r="J1844" s="33" t="n"/>
      <c r="K1844" s="28">
        <f>IF(OR(B1844="",F1844&lt;&gt;"Done",J1844="Package"),"",IF(N(G1844)-N(I1844)&gt;0,N(G1844)-N(I1844),""))</f>
        <v/>
      </c>
      <c r="L1844" s="32" t="n"/>
      <c r="M1844" s="1">
        <f>IF(OR(B1844="",D1844="",F1844="Cancelled"),"",B1844+N(C1844)+ROW()/10000000)</f>
        <v/>
      </c>
      <c r="N1844">
        <f>IF(AND(F1844="Done",M1844&lt;&gt;""),IF(COUNTIFS(Appointments!$D$6:$D$2005,D1844,Appointments!$F$6:$F$2005,"Done",Appointments!$M$6:$M$2005,"&gt;"&amp;M1844)=0,1,0),0)</f>
        <v/>
      </c>
      <c r="O1844">
        <f>IF(AND(F1844="Booked",M1844&lt;&gt;"",N(B1844)&gt;=TODAY()),IF(COUNTIFS(Appointments!$D$6:$D$2005,D1844,Appointments!$F$6:$F$2005,"Booked",Appointments!$B$6:$B$2005,"&gt;="&amp;TODAY(),Appointments!$M$6:$M$2005,"&lt;"&amp;M1844)=0,1,0),0)</f>
        <v/>
      </c>
    </row>
    <row r="1845">
      <c r="A1845" s="1" t="n"/>
      <c r="B1845" s="30" t="n"/>
      <c r="C1845" s="31" t="n"/>
      <c r="D1845" s="32" t="n"/>
      <c r="E1845" s="32" t="n"/>
      <c r="F1845" s="33" t="n"/>
      <c r="G1845" s="27">
        <f>IF(E1845="","",MAX(0,IFERROR(INDEX(Services!$C$6:$C$35,MATCH(E1845,Services!$B$6:$B$35,0)),0)-N(H1845)))</f>
        <v/>
      </c>
      <c r="H1845" s="34" t="n"/>
      <c r="I1845" s="34" t="n"/>
      <c r="J1845" s="33" t="n"/>
      <c r="K1845" s="28">
        <f>IF(OR(B1845="",F1845&lt;&gt;"Done",J1845="Package"),"",IF(N(G1845)-N(I1845)&gt;0,N(G1845)-N(I1845),""))</f>
        <v/>
      </c>
      <c r="L1845" s="32" t="n"/>
      <c r="M1845" s="1">
        <f>IF(OR(B1845="",D1845="",F1845="Cancelled"),"",B1845+N(C1845)+ROW()/10000000)</f>
        <v/>
      </c>
      <c r="N1845">
        <f>IF(AND(F1845="Done",M1845&lt;&gt;""),IF(COUNTIFS(Appointments!$D$6:$D$2005,D1845,Appointments!$F$6:$F$2005,"Done",Appointments!$M$6:$M$2005,"&gt;"&amp;M1845)=0,1,0),0)</f>
        <v/>
      </c>
      <c r="O1845">
        <f>IF(AND(F1845="Booked",M1845&lt;&gt;"",N(B1845)&gt;=TODAY()),IF(COUNTIFS(Appointments!$D$6:$D$2005,D1845,Appointments!$F$6:$F$2005,"Booked",Appointments!$B$6:$B$2005,"&gt;="&amp;TODAY(),Appointments!$M$6:$M$2005,"&lt;"&amp;M1845)=0,1,0),0)</f>
        <v/>
      </c>
    </row>
    <row r="1846">
      <c r="A1846" s="1" t="n"/>
      <c r="B1846" s="30" t="n"/>
      <c r="C1846" s="31" t="n"/>
      <c r="D1846" s="32" t="n"/>
      <c r="E1846" s="32" t="n"/>
      <c r="F1846" s="33" t="n"/>
      <c r="G1846" s="27">
        <f>IF(E1846="","",MAX(0,IFERROR(INDEX(Services!$C$6:$C$35,MATCH(E1846,Services!$B$6:$B$35,0)),0)-N(H1846)))</f>
        <v/>
      </c>
      <c r="H1846" s="34" t="n"/>
      <c r="I1846" s="34" t="n"/>
      <c r="J1846" s="33" t="n"/>
      <c r="K1846" s="28">
        <f>IF(OR(B1846="",F1846&lt;&gt;"Done",J1846="Package"),"",IF(N(G1846)-N(I1846)&gt;0,N(G1846)-N(I1846),""))</f>
        <v/>
      </c>
      <c r="L1846" s="32" t="n"/>
      <c r="M1846" s="1">
        <f>IF(OR(B1846="",D1846="",F1846="Cancelled"),"",B1846+N(C1846)+ROW()/10000000)</f>
        <v/>
      </c>
      <c r="N1846">
        <f>IF(AND(F1846="Done",M1846&lt;&gt;""),IF(COUNTIFS(Appointments!$D$6:$D$2005,D1846,Appointments!$F$6:$F$2005,"Done",Appointments!$M$6:$M$2005,"&gt;"&amp;M1846)=0,1,0),0)</f>
        <v/>
      </c>
      <c r="O1846">
        <f>IF(AND(F1846="Booked",M1846&lt;&gt;"",N(B1846)&gt;=TODAY()),IF(COUNTIFS(Appointments!$D$6:$D$2005,D1846,Appointments!$F$6:$F$2005,"Booked",Appointments!$B$6:$B$2005,"&gt;="&amp;TODAY(),Appointments!$M$6:$M$2005,"&lt;"&amp;M1846)=0,1,0),0)</f>
        <v/>
      </c>
    </row>
    <row r="1847">
      <c r="A1847" s="1" t="n"/>
      <c r="B1847" s="30" t="n"/>
      <c r="C1847" s="31" t="n"/>
      <c r="D1847" s="32" t="n"/>
      <c r="E1847" s="32" t="n"/>
      <c r="F1847" s="33" t="n"/>
      <c r="G1847" s="27">
        <f>IF(E1847="","",MAX(0,IFERROR(INDEX(Services!$C$6:$C$35,MATCH(E1847,Services!$B$6:$B$35,0)),0)-N(H1847)))</f>
        <v/>
      </c>
      <c r="H1847" s="34" t="n"/>
      <c r="I1847" s="34" t="n"/>
      <c r="J1847" s="33" t="n"/>
      <c r="K1847" s="28">
        <f>IF(OR(B1847="",F1847&lt;&gt;"Done",J1847="Package"),"",IF(N(G1847)-N(I1847)&gt;0,N(G1847)-N(I1847),""))</f>
        <v/>
      </c>
      <c r="L1847" s="32" t="n"/>
      <c r="M1847" s="1">
        <f>IF(OR(B1847="",D1847="",F1847="Cancelled"),"",B1847+N(C1847)+ROW()/10000000)</f>
        <v/>
      </c>
      <c r="N1847">
        <f>IF(AND(F1847="Done",M1847&lt;&gt;""),IF(COUNTIFS(Appointments!$D$6:$D$2005,D1847,Appointments!$F$6:$F$2005,"Done",Appointments!$M$6:$M$2005,"&gt;"&amp;M1847)=0,1,0),0)</f>
        <v/>
      </c>
      <c r="O1847">
        <f>IF(AND(F1847="Booked",M1847&lt;&gt;"",N(B1847)&gt;=TODAY()),IF(COUNTIFS(Appointments!$D$6:$D$2005,D1847,Appointments!$F$6:$F$2005,"Booked",Appointments!$B$6:$B$2005,"&gt;="&amp;TODAY(),Appointments!$M$6:$M$2005,"&lt;"&amp;M1847)=0,1,0),0)</f>
        <v/>
      </c>
    </row>
    <row r="1848">
      <c r="A1848" s="1" t="n"/>
      <c r="B1848" s="30" t="n"/>
      <c r="C1848" s="31" t="n"/>
      <c r="D1848" s="32" t="n"/>
      <c r="E1848" s="32" t="n"/>
      <c r="F1848" s="33" t="n"/>
      <c r="G1848" s="27">
        <f>IF(E1848="","",MAX(0,IFERROR(INDEX(Services!$C$6:$C$35,MATCH(E1848,Services!$B$6:$B$35,0)),0)-N(H1848)))</f>
        <v/>
      </c>
      <c r="H1848" s="34" t="n"/>
      <c r="I1848" s="34" t="n"/>
      <c r="J1848" s="33" t="n"/>
      <c r="K1848" s="28">
        <f>IF(OR(B1848="",F1848&lt;&gt;"Done",J1848="Package"),"",IF(N(G1848)-N(I1848)&gt;0,N(G1848)-N(I1848),""))</f>
        <v/>
      </c>
      <c r="L1848" s="32" t="n"/>
      <c r="M1848" s="1">
        <f>IF(OR(B1848="",D1848="",F1848="Cancelled"),"",B1848+N(C1848)+ROW()/10000000)</f>
        <v/>
      </c>
      <c r="N1848">
        <f>IF(AND(F1848="Done",M1848&lt;&gt;""),IF(COUNTIFS(Appointments!$D$6:$D$2005,D1848,Appointments!$F$6:$F$2005,"Done",Appointments!$M$6:$M$2005,"&gt;"&amp;M1848)=0,1,0),0)</f>
        <v/>
      </c>
      <c r="O1848">
        <f>IF(AND(F1848="Booked",M1848&lt;&gt;"",N(B1848)&gt;=TODAY()),IF(COUNTIFS(Appointments!$D$6:$D$2005,D1848,Appointments!$F$6:$F$2005,"Booked",Appointments!$B$6:$B$2005,"&gt;="&amp;TODAY(),Appointments!$M$6:$M$2005,"&lt;"&amp;M1848)=0,1,0),0)</f>
        <v/>
      </c>
    </row>
    <row r="1849">
      <c r="A1849" s="1" t="n"/>
      <c r="B1849" s="30" t="n"/>
      <c r="C1849" s="31" t="n"/>
      <c r="D1849" s="32" t="n"/>
      <c r="E1849" s="32" t="n"/>
      <c r="F1849" s="33" t="n"/>
      <c r="G1849" s="27">
        <f>IF(E1849="","",MAX(0,IFERROR(INDEX(Services!$C$6:$C$35,MATCH(E1849,Services!$B$6:$B$35,0)),0)-N(H1849)))</f>
        <v/>
      </c>
      <c r="H1849" s="34" t="n"/>
      <c r="I1849" s="34" t="n"/>
      <c r="J1849" s="33" t="n"/>
      <c r="K1849" s="28">
        <f>IF(OR(B1849="",F1849&lt;&gt;"Done",J1849="Package"),"",IF(N(G1849)-N(I1849)&gt;0,N(G1849)-N(I1849),""))</f>
        <v/>
      </c>
      <c r="L1849" s="32" t="n"/>
      <c r="M1849" s="1">
        <f>IF(OR(B1849="",D1849="",F1849="Cancelled"),"",B1849+N(C1849)+ROW()/10000000)</f>
        <v/>
      </c>
      <c r="N1849">
        <f>IF(AND(F1849="Done",M1849&lt;&gt;""),IF(COUNTIFS(Appointments!$D$6:$D$2005,D1849,Appointments!$F$6:$F$2005,"Done",Appointments!$M$6:$M$2005,"&gt;"&amp;M1849)=0,1,0),0)</f>
        <v/>
      </c>
      <c r="O1849">
        <f>IF(AND(F1849="Booked",M1849&lt;&gt;"",N(B1849)&gt;=TODAY()),IF(COUNTIFS(Appointments!$D$6:$D$2005,D1849,Appointments!$F$6:$F$2005,"Booked",Appointments!$B$6:$B$2005,"&gt;="&amp;TODAY(),Appointments!$M$6:$M$2005,"&lt;"&amp;M1849)=0,1,0),0)</f>
        <v/>
      </c>
    </row>
    <row r="1850">
      <c r="A1850" s="1" t="n"/>
      <c r="B1850" s="30" t="n"/>
      <c r="C1850" s="31" t="n"/>
      <c r="D1850" s="32" t="n"/>
      <c r="E1850" s="32" t="n"/>
      <c r="F1850" s="33" t="n"/>
      <c r="G1850" s="27">
        <f>IF(E1850="","",MAX(0,IFERROR(INDEX(Services!$C$6:$C$35,MATCH(E1850,Services!$B$6:$B$35,0)),0)-N(H1850)))</f>
        <v/>
      </c>
      <c r="H1850" s="34" t="n"/>
      <c r="I1850" s="34" t="n"/>
      <c r="J1850" s="33" t="n"/>
      <c r="K1850" s="28">
        <f>IF(OR(B1850="",F1850&lt;&gt;"Done",J1850="Package"),"",IF(N(G1850)-N(I1850)&gt;0,N(G1850)-N(I1850),""))</f>
        <v/>
      </c>
      <c r="L1850" s="32" t="n"/>
      <c r="M1850" s="1">
        <f>IF(OR(B1850="",D1850="",F1850="Cancelled"),"",B1850+N(C1850)+ROW()/10000000)</f>
        <v/>
      </c>
      <c r="N1850">
        <f>IF(AND(F1850="Done",M1850&lt;&gt;""),IF(COUNTIFS(Appointments!$D$6:$D$2005,D1850,Appointments!$F$6:$F$2005,"Done",Appointments!$M$6:$M$2005,"&gt;"&amp;M1850)=0,1,0),0)</f>
        <v/>
      </c>
      <c r="O1850">
        <f>IF(AND(F1850="Booked",M1850&lt;&gt;"",N(B1850)&gt;=TODAY()),IF(COUNTIFS(Appointments!$D$6:$D$2005,D1850,Appointments!$F$6:$F$2005,"Booked",Appointments!$B$6:$B$2005,"&gt;="&amp;TODAY(),Appointments!$M$6:$M$2005,"&lt;"&amp;M1850)=0,1,0),0)</f>
        <v/>
      </c>
    </row>
    <row r="1851">
      <c r="A1851" s="1" t="n"/>
      <c r="B1851" s="30" t="n"/>
      <c r="C1851" s="31" t="n"/>
      <c r="D1851" s="32" t="n"/>
      <c r="E1851" s="32" t="n"/>
      <c r="F1851" s="33" t="n"/>
      <c r="G1851" s="27">
        <f>IF(E1851="","",MAX(0,IFERROR(INDEX(Services!$C$6:$C$35,MATCH(E1851,Services!$B$6:$B$35,0)),0)-N(H1851)))</f>
        <v/>
      </c>
      <c r="H1851" s="34" t="n"/>
      <c r="I1851" s="34" t="n"/>
      <c r="J1851" s="33" t="n"/>
      <c r="K1851" s="28">
        <f>IF(OR(B1851="",F1851&lt;&gt;"Done",J1851="Package"),"",IF(N(G1851)-N(I1851)&gt;0,N(G1851)-N(I1851),""))</f>
        <v/>
      </c>
      <c r="L1851" s="32" t="n"/>
      <c r="M1851" s="1">
        <f>IF(OR(B1851="",D1851="",F1851="Cancelled"),"",B1851+N(C1851)+ROW()/10000000)</f>
        <v/>
      </c>
      <c r="N1851">
        <f>IF(AND(F1851="Done",M1851&lt;&gt;""),IF(COUNTIFS(Appointments!$D$6:$D$2005,D1851,Appointments!$F$6:$F$2005,"Done",Appointments!$M$6:$M$2005,"&gt;"&amp;M1851)=0,1,0),0)</f>
        <v/>
      </c>
      <c r="O1851">
        <f>IF(AND(F1851="Booked",M1851&lt;&gt;"",N(B1851)&gt;=TODAY()),IF(COUNTIFS(Appointments!$D$6:$D$2005,D1851,Appointments!$F$6:$F$2005,"Booked",Appointments!$B$6:$B$2005,"&gt;="&amp;TODAY(),Appointments!$M$6:$M$2005,"&lt;"&amp;M1851)=0,1,0),0)</f>
        <v/>
      </c>
    </row>
    <row r="1852">
      <c r="A1852" s="1" t="n"/>
      <c r="B1852" s="30" t="n"/>
      <c r="C1852" s="31" t="n"/>
      <c r="D1852" s="32" t="n"/>
      <c r="E1852" s="32" t="n"/>
      <c r="F1852" s="33" t="n"/>
      <c r="G1852" s="27">
        <f>IF(E1852="","",MAX(0,IFERROR(INDEX(Services!$C$6:$C$35,MATCH(E1852,Services!$B$6:$B$35,0)),0)-N(H1852)))</f>
        <v/>
      </c>
      <c r="H1852" s="34" t="n"/>
      <c r="I1852" s="34" t="n"/>
      <c r="J1852" s="33" t="n"/>
      <c r="K1852" s="28">
        <f>IF(OR(B1852="",F1852&lt;&gt;"Done",J1852="Package"),"",IF(N(G1852)-N(I1852)&gt;0,N(G1852)-N(I1852),""))</f>
        <v/>
      </c>
      <c r="L1852" s="32" t="n"/>
      <c r="M1852" s="1">
        <f>IF(OR(B1852="",D1852="",F1852="Cancelled"),"",B1852+N(C1852)+ROW()/10000000)</f>
        <v/>
      </c>
      <c r="N1852">
        <f>IF(AND(F1852="Done",M1852&lt;&gt;""),IF(COUNTIFS(Appointments!$D$6:$D$2005,D1852,Appointments!$F$6:$F$2005,"Done",Appointments!$M$6:$M$2005,"&gt;"&amp;M1852)=0,1,0),0)</f>
        <v/>
      </c>
      <c r="O1852">
        <f>IF(AND(F1852="Booked",M1852&lt;&gt;"",N(B1852)&gt;=TODAY()),IF(COUNTIFS(Appointments!$D$6:$D$2005,D1852,Appointments!$F$6:$F$2005,"Booked",Appointments!$B$6:$B$2005,"&gt;="&amp;TODAY(),Appointments!$M$6:$M$2005,"&lt;"&amp;M1852)=0,1,0),0)</f>
        <v/>
      </c>
    </row>
    <row r="1853">
      <c r="A1853" s="1" t="n"/>
      <c r="B1853" s="30" t="n"/>
      <c r="C1853" s="31" t="n"/>
      <c r="D1853" s="32" t="n"/>
      <c r="E1853" s="32" t="n"/>
      <c r="F1853" s="33" t="n"/>
      <c r="G1853" s="27">
        <f>IF(E1853="","",MAX(0,IFERROR(INDEX(Services!$C$6:$C$35,MATCH(E1853,Services!$B$6:$B$35,0)),0)-N(H1853)))</f>
        <v/>
      </c>
      <c r="H1853" s="34" t="n"/>
      <c r="I1853" s="34" t="n"/>
      <c r="J1853" s="33" t="n"/>
      <c r="K1853" s="28">
        <f>IF(OR(B1853="",F1853&lt;&gt;"Done",J1853="Package"),"",IF(N(G1853)-N(I1853)&gt;0,N(G1853)-N(I1853),""))</f>
        <v/>
      </c>
      <c r="L1853" s="32" t="n"/>
      <c r="M1853" s="1">
        <f>IF(OR(B1853="",D1853="",F1853="Cancelled"),"",B1853+N(C1853)+ROW()/10000000)</f>
        <v/>
      </c>
      <c r="N1853">
        <f>IF(AND(F1853="Done",M1853&lt;&gt;""),IF(COUNTIFS(Appointments!$D$6:$D$2005,D1853,Appointments!$F$6:$F$2005,"Done",Appointments!$M$6:$M$2005,"&gt;"&amp;M1853)=0,1,0),0)</f>
        <v/>
      </c>
      <c r="O1853">
        <f>IF(AND(F1853="Booked",M1853&lt;&gt;"",N(B1853)&gt;=TODAY()),IF(COUNTIFS(Appointments!$D$6:$D$2005,D1853,Appointments!$F$6:$F$2005,"Booked",Appointments!$B$6:$B$2005,"&gt;="&amp;TODAY(),Appointments!$M$6:$M$2005,"&lt;"&amp;M1853)=0,1,0),0)</f>
        <v/>
      </c>
    </row>
    <row r="1854">
      <c r="A1854" s="1" t="n"/>
      <c r="B1854" s="30" t="n"/>
      <c r="C1854" s="31" t="n"/>
      <c r="D1854" s="32" t="n"/>
      <c r="E1854" s="32" t="n"/>
      <c r="F1854" s="33" t="n"/>
      <c r="G1854" s="27">
        <f>IF(E1854="","",MAX(0,IFERROR(INDEX(Services!$C$6:$C$35,MATCH(E1854,Services!$B$6:$B$35,0)),0)-N(H1854)))</f>
        <v/>
      </c>
      <c r="H1854" s="34" t="n"/>
      <c r="I1854" s="34" t="n"/>
      <c r="J1854" s="33" t="n"/>
      <c r="K1854" s="28">
        <f>IF(OR(B1854="",F1854&lt;&gt;"Done",J1854="Package"),"",IF(N(G1854)-N(I1854)&gt;0,N(G1854)-N(I1854),""))</f>
        <v/>
      </c>
      <c r="L1854" s="32" t="n"/>
      <c r="M1854" s="1">
        <f>IF(OR(B1854="",D1854="",F1854="Cancelled"),"",B1854+N(C1854)+ROW()/10000000)</f>
        <v/>
      </c>
      <c r="N1854">
        <f>IF(AND(F1854="Done",M1854&lt;&gt;""),IF(COUNTIFS(Appointments!$D$6:$D$2005,D1854,Appointments!$F$6:$F$2005,"Done",Appointments!$M$6:$M$2005,"&gt;"&amp;M1854)=0,1,0),0)</f>
        <v/>
      </c>
      <c r="O1854">
        <f>IF(AND(F1854="Booked",M1854&lt;&gt;"",N(B1854)&gt;=TODAY()),IF(COUNTIFS(Appointments!$D$6:$D$2005,D1854,Appointments!$F$6:$F$2005,"Booked",Appointments!$B$6:$B$2005,"&gt;="&amp;TODAY(),Appointments!$M$6:$M$2005,"&lt;"&amp;M1854)=0,1,0),0)</f>
        <v/>
      </c>
    </row>
    <row r="1855">
      <c r="A1855" s="1" t="n"/>
      <c r="B1855" s="30" t="n"/>
      <c r="C1855" s="31" t="n"/>
      <c r="D1855" s="32" t="n"/>
      <c r="E1855" s="32" t="n"/>
      <c r="F1855" s="33" t="n"/>
      <c r="G1855" s="27">
        <f>IF(E1855="","",MAX(0,IFERROR(INDEX(Services!$C$6:$C$35,MATCH(E1855,Services!$B$6:$B$35,0)),0)-N(H1855)))</f>
        <v/>
      </c>
      <c r="H1855" s="34" t="n"/>
      <c r="I1855" s="34" t="n"/>
      <c r="J1855" s="33" t="n"/>
      <c r="K1855" s="28">
        <f>IF(OR(B1855="",F1855&lt;&gt;"Done",J1855="Package"),"",IF(N(G1855)-N(I1855)&gt;0,N(G1855)-N(I1855),""))</f>
        <v/>
      </c>
      <c r="L1855" s="32" t="n"/>
      <c r="M1855" s="1">
        <f>IF(OR(B1855="",D1855="",F1855="Cancelled"),"",B1855+N(C1855)+ROW()/10000000)</f>
        <v/>
      </c>
      <c r="N1855">
        <f>IF(AND(F1855="Done",M1855&lt;&gt;""),IF(COUNTIFS(Appointments!$D$6:$D$2005,D1855,Appointments!$F$6:$F$2005,"Done",Appointments!$M$6:$M$2005,"&gt;"&amp;M1855)=0,1,0),0)</f>
        <v/>
      </c>
      <c r="O1855">
        <f>IF(AND(F1855="Booked",M1855&lt;&gt;"",N(B1855)&gt;=TODAY()),IF(COUNTIFS(Appointments!$D$6:$D$2005,D1855,Appointments!$F$6:$F$2005,"Booked",Appointments!$B$6:$B$2005,"&gt;="&amp;TODAY(),Appointments!$M$6:$M$2005,"&lt;"&amp;M1855)=0,1,0),0)</f>
        <v/>
      </c>
    </row>
    <row r="1856">
      <c r="A1856" s="1" t="n"/>
      <c r="B1856" s="30" t="n"/>
      <c r="C1856" s="31" t="n"/>
      <c r="D1856" s="32" t="n"/>
      <c r="E1856" s="32" t="n"/>
      <c r="F1856" s="33" t="n"/>
      <c r="G1856" s="27">
        <f>IF(E1856="","",MAX(0,IFERROR(INDEX(Services!$C$6:$C$35,MATCH(E1856,Services!$B$6:$B$35,0)),0)-N(H1856)))</f>
        <v/>
      </c>
      <c r="H1856" s="34" t="n"/>
      <c r="I1856" s="34" t="n"/>
      <c r="J1856" s="33" t="n"/>
      <c r="K1856" s="28">
        <f>IF(OR(B1856="",F1856&lt;&gt;"Done",J1856="Package"),"",IF(N(G1856)-N(I1856)&gt;0,N(G1856)-N(I1856),""))</f>
        <v/>
      </c>
      <c r="L1856" s="32" t="n"/>
      <c r="M1856" s="1">
        <f>IF(OR(B1856="",D1856="",F1856="Cancelled"),"",B1856+N(C1856)+ROW()/10000000)</f>
        <v/>
      </c>
      <c r="N1856">
        <f>IF(AND(F1856="Done",M1856&lt;&gt;""),IF(COUNTIFS(Appointments!$D$6:$D$2005,D1856,Appointments!$F$6:$F$2005,"Done",Appointments!$M$6:$M$2005,"&gt;"&amp;M1856)=0,1,0),0)</f>
        <v/>
      </c>
      <c r="O1856">
        <f>IF(AND(F1856="Booked",M1856&lt;&gt;"",N(B1856)&gt;=TODAY()),IF(COUNTIFS(Appointments!$D$6:$D$2005,D1856,Appointments!$F$6:$F$2005,"Booked",Appointments!$B$6:$B$2005,"&gt;="&amp;TODAY(),Appointments!$M$6:$M$2005,"&lt;"&amp;M1856)=0,1,0),0)</f>
        <v/>
      </c>
    </row>
    <row r="1857">
      <c r="A1857" s="1" t="n"/>
      <c r="B1857" s="30" t="n"/>
      <c r="C1857" s="31" t="n"/>
      <c r="D1857" s="32" t="n"/>
      <c r="E1857" s="32" t="n"/>
      <c r="F1857" s="33" t="n"/>
      <c r="G1857" s="27">
        <f>IF(E1857="","",MAX(0,IFERROR(INDEX(Services!$C$6:$C$35,MATCH(E1857,Services!$B$6:$B$35,0)),0)-N(H1857)))</f>
        <v/>
      </c>
      <c r="H1857" s="34" t="n"/>
      <c r="I1857" s="34" t="n"/>
      <c r="J1857" s="33" t="n"/>
      <c r="K1857" s="28">
        <f>IF(OR(B1857="",F1857&lt;&gt;"Done",J1857="Package"),"",IF(N(G1857)-N(I1857)&gt;0,N(G1857)-N(I1857),""))</f>
        <v/>
      </c>
      <c r="L1857" s="32" t="n"/>
      <c r="M1857" s="1">
        <f>IF(OR(B1857="",D1857="",F1857="Cancelled"),"",B1857+N(C1857)+ROW()/10000000)</f>
        <v/>
      </c>
      <c r="N1857">
        <f>IF(AND(F1857="Done",M1857&lt;&gt;""),IF(COUNTIFS(Appointments!$D$6:$D$2005,D1857,Appointments!$F$6:$F$2005,"Done",Appointments!$M$6:$M$2005,"&gt;"&amp;M1857)=0,1,0),0)</f>
        <v/>
      </c>
      <c r="O1857">
        <f>IF(AND(F1857="Booked",M1857&lt;&gt;"",N(B1857)&gt;=TODAY()),IF(COUNTIFS(Appointments!$D$6:$D$2005,D1857,Appointments!$F$6:$F$2005,"Booked",Appointments!$B$6:$B$2005,"&gt;="&amp;TODAY(),Appointments!$M$6:$M$2005,"&lt;"&amp;M1857)=0,1,0),0)</f>
        <v/>
      </c>
    </row>
    <row r="1858">
      <c r="A1858" s="1" t="n"/>
      <c r="B1858" s="30" t="n"/>
      <c r="C1858" s="31" t="n"/>
      <c r="D1858" s="32" t="n"/>
      <c r="E1858" s="32" t="n"/>
      <c r="F1858" s="33" t="n"/>
      <c r="G1858" s="27">
        <f>IF(E1858="","",MAX(0,IFERROR(INDEX(Services!$C$6:$C$35,MATCH(E1858,Services!$B$6:$B$35,0)),0)-N(H1858)))</f>
        <v/>
      </c>
      <c r="H1858" s="34" t="n"/>
      <c r="I1858" s="34" t="n"/>
      <c r="J1858" s="33" t="n"/>
      <c r="K1858" s="28">
        <f>IF(OR(B1858="",F1858&lt;&gt;"Done",J1858="Package"),"",IF(N(G1858)-N(I1858)&gt;0,N(G1858)-N(I1858),""))</f>
        <v/>
      </c>
      <c r="L1858" s="32" t="n"/>
      <c r="M1858" s="1">
        <f>IF(OR(B1858="",D1858="",F1858="Cancelled"),"",B1858+N(C1858)+ROW()/10000000)</f>
        <v/>
      </c>
      <c r="N1858">
        <f>IF(AND(F1858="Done",M1858&lt;&gt;""),IF(COUNTIFS(Appointments!$D$6:$D$2005,D1858,Appointments!$F$6:$F$2005,"Done",Appointments!$M$6:$M$2005,"&gt;"&amp;M1858)=0,1,0),0)</f>
        <v/>
      </c>
      <c r="O1858">
        <f>IF(AND(F1858="Booked",M1858&lt;&gt;"",N(B1858)&gt;=TODAY()),IF(COUNTIFS(Appointments!$D$6:$D$2005,D1858,Appointments!$F$6:$F$2005,"Booked",Appointments!$B$6:$B$2005,"&gt;="&amp;TODAY(),Appointments!$M$6:$M$2005,"&lt;"&amp;M1858)=0,1,0),0)</f>
        <v/>
      </c>
    </row>
    <row r="1859">
      <c r="A1859" s="1" t="n"/>
      <c r="B1859" s="30" t="n"/>
      <c r="C1859" s="31" t="n"/>
      <c r="D1859" s="32" t="n"/>
      <c r="E1859" s="32" t="n"/>
      <c r="F1859" s="33" t="n"/>
      <c r="G1859" s="27">
        <f>IF(E1859="","",MAX(0,IFERROR(INDEX(Services!$C$6:$C$35,MATCH(E1859,Services!$B$6:$B$35,0)),0)-N(H1859)))</f>
        <v/>
      </c>
      <c r="H1859" s="34" t="n"/>
      <c r="I1859" s="34" t="n"/>
      <c r="J1859" s="33" t="n"/>
      <c r="K1859" s="28">
        <f>IF(OR(B1859="",F1859&lt;&gt;"Done",J1859="Package"),"",IF(N(G1859)-N(I1859)&gt;0,N(G1859)-N(I1859),""))</f>
        <v/>
      </c>
      <c r="L1859" s="32" t="n"/>
      <c r="M1859" s="1">
        <f>IF(OR(B1859="",D1859="",F1859="Cancelled"),"",B1859+N(C1859)+ROW()/10000000)</f>
        <v/>
      </c>
      <c r="N1859">
        <f>IF(AND(F1859="Done",M1859&lt;&gt;""),IF(COUNTIFS(Appointments!$D$6:$D$2005,D1859,Appointments!$F$6:$F$2005,"Done",Appointments!$M$6:$M$2005,"&gt;"&amp;M1859)=0,1,0),0)</f>
        <v/>
      </c>
      <c r="O1859">
        <f>IF(AND(F1859="Booked",M1859&lt;&gt;"",N(B1859)&gt;=TODAY()),IF(COUNTIFS(Appointments!$D$6:$D$2005,D1859,Appointments!$F$6:$F$2005,"Booked",Appointments!$B$6:$B$2005,"&gt;="&amp;TODAY(),Appointments!$M$6:$M$2005,"&lt;"&amp;M1859)=0,1,0),0)</f>
        <v/>
      </c>
    </row>
    <row r="1860">
      <c r="A1860" s="1" t="n"/>
      <c r="B1860" s="30" t="n"/>
      <c r="C1860" s="31" t="n"/>
      <c r="D1860" s="32" t="n"/>
      <c r="E1860" s="32" t="n"/>
      <c r="F1860" s="33" t="n"/>
      <c r="G1860" s="27">
        <f>IF(E1860="","",MAX(0,IFERROR(INDEX(Services!$C$6:$C$35,MATCH(E1860,Services!$B$6:$B$35,0)),0)-N(H1860)))</f>
        <v/>
      </c>
      <c r="H1860" s="34" t="n"/>
      <c r="I1860" s="34" t="n"/>
      <c r="J1860" s="33" t="n"/>
      <c r="K1860" s="28">
        <f>IF(OR(B1860="",F1860&lt;&gt;"Done",J1860="Package"),"",IF(N(G1860)-N(I1860)&gt;0,N(G1860)-N(I1860),""))</f>
        <v/>
      </c>
      <c r="L1860" s="32" t="n"/>
      <c r="M1860" s="1">
        <f>IF(OR(B1860="",D1860="",F1860="Cancelled"),"",B1860+N(C1860)+ROW()/10000000)</f>
        <v/>
      </c>
      <c r="N1860">
        <f>IF(AND(F1860="Done",M1860&lt;&gt;""),IF(COUNTIFS(Appointments!$D$6:$D$2005,D1860,Appointments!$F$6:$F$2005,"Done",Appointments!$M$6:$M$2005,"&gt;"&amp;M1860)=0,1,0),0)</f>
        <v/>
      </c>
      <c r="O1860">
        <f>IF(AND(F1860="Booked",M1860&lt;&gt;"",N(B1860)&gt;=TODAY()),IF(COUNTIFS(Appointments!$D$6:$D$2005,D1860,Appointments!$F$6:$F$2005,"Booked",Appointments!$B$6:$B$2005,"&gt;="&amp;TODAY(),Appointments!$M$6:$M$2005,"&lt;"&amp;M1860)=0,1,0),0)</f>
        <v/>
      </c>
    </row>
    <row r="1861">
      <c r="A1861" s="1" t="n"/>
      <c r="B1861" s="30" t="n"/>
      <c r="C1861" s="31" t="n"/>
      <c r="D1861" s="32" t="n"/>
      <c r="E1861" s="32" t="n"/>
      <c r="F1861" s="33" t="n"/>
      <c r="G1861" s="27">
        <f>IF(E1861="","",MAX(0,IFERROR(INDEX(Services!$C$6:$C$35,MATCH(E1861,Services!$B$6:$B$35,0)),0)-N(H1861)))</f>
        <v/>
      </c>
      <c r="H1861" s="34" t="n"/>
      <c r="I1861" s="34" t="n"/>
      <c r="J1861" s="33" t="n"/>
      <c r="K1861" s="28">
        <f>IF(OR(B1861="",F1861&lt;&gt;"Done",J1861="Package"),"",IF(N(G1861)-N(I1861)&gt;0,N(G1861)-N(I1861),""))</f>
        <v/>
      </c>
      <c r="L1861" s="32" t="n"/>
      <c r="M1861" s="1">
        <f>IF(OR(B1861="",D1861="",F1861="Cancelled"),"",B1861+N(C1861)+ROW()/10000000)</f>
        <v/>
      </c>
      <c r="N1861">
        <f>IF(AND(F1861="Done",M1861&lt;&gt;""),IF(COUNTIFS(Appointments!$D$6:$D$2005,D1861,Appointments!$F$6:$F$2005,"Done",Appointments!$M$6:$M$2005,"&gt;"&amp;M1861)=0,1,0),0)</f>
        <v/>
      </c>
      <c r="O1861">
        <f>IF(AND(F1861="Booked",M1861&lt;&gt;"",N(B1861)&gt;=TODAY()),IF(COUNTIFS(Appointments!$D$6:$D$2005,D1861,Appointments!$F$6:$F$2005,"Booked",Appointments!$B$6:$B$2005,"&gt;="&amp;TODAY(),Appointments!$M$6:$M$2005,"&lt;"&amp;M1861)=0,1,0),0)</f>
        <v/>
      </c>
    </row>
    <row r="1862">
      <c r="A1862" s="1" t="n"/>
      <c r="B1862" s="30" t="n"/>
      <c r="C1862" s="31" t="n"/>
      <c r="D1862" s="32" t="n"/>
      <c r="E1862" s="32" t="n"/>
      <c r="F1862" s="33" t="n"/>
      <c r="G1862" s="27">
        <f>IF(E1862="","",MAX(0,IFERROR(INDEX(Services!$C$6:$C$35,MATCH(E1862,Services!$B$6:$B$35,0)),0)-N(H1862)))</f>
        <v/>
      </c>
      <c r="H1862" s="34" t="n"/>
      <c r="I1862" s="34" t="n"/>
      <c r="J1862" s="33" t="n"/>
      <c r="K1862" s="28">
        <f>IF(OR(B1862="",F1862&lt;&gt;"Done",J1862="Package"),"",IF(N(G1862)-N(I1862)&gt;0,N(G1862)-N(I1862),""))</f>
        <v/>
      </c>
      <c r="L1862" s="32" t="n"/>
      <c r="M1862" s="1">
        <f>IF(OR(B1862="",D1862="",F1862="Cancelled"),"",B1862+N(C1862)+ROW()/10000000)</f>
        <v/>
      </c>
      <c r="N1862">
        <f>IF(AND(F1862="Done",M1862&lt;&gt;""),IF(COUNTIFS(Appointments!$D$6:$D$2005,D1862,Appointments!$F$6:$F$2005,"Done",Appointments!$M$6:$M$2005,"&gt;"&amp;M1862)=0,1,0),0)</f>
        <v/>
      </c>
      <c r="O1862">
        <f>IF(AND(F1862="Booked",M1862&lt;&gt;"",N(B1862)&gt;=TODAY()),IF(COUNTIFS(Appointments!$D$6:$D$2005,D1862,Appointments!$F$6:$F$2005,"Booked",Appointments!$B$6:$B$2005,"&gt;="&amp;TODAY(),Appointments!$M$6:$M$2005,"&lt;"&amp;M1862)=0,1,0),0)</f>
        <v/>
      </c>
    </row>
    <row r="1863">
      <c r="A1863" s="1" t="n"/>
      <c r="B1863" s="30" t="n"/>
      <c r="C1863" s="31" t="n"/>
      <c r="D1863" s="32" t="n"/>
      <c r="E1863" s="32" t="n"/>
      <c r="F1863" s="33" t="n"/>
      <c r="G1863" s="27">
        <f>IF(E1863="","",MAX(0,IFERROR(INDEX(Services!$C$6:$C$35,MATCH(E1863,Services!$B$6:$B$35,0)),0)-N(H1863)))</f>
        <v/>
      </c>
      <c r="H1863" s="34" t="n"/>
      <c r="I1863" s="34" t="n"/>
      <c r="J1863" s="33" t="n"/>
      <c r="K1863" s="28">
        <f>IF(OR(B1863="",F1863&lt;&gt;"Done",J1863="Package"),"",IF(N(G1863)-N(I1863)&gt;0,N(G1863)-N(I1863),""))</f>
        <v/>
      </c>
      <c r="L1863" s="32" t="n"/>
      <c r="M1863" s="1">
        <f>IF(OR(B1863="",D1863="",F1863="Cancelled"),"",B1863+N(C1863)+ROW()/10000000)</f>
        <v/>
      </c>
      <c r="N1863">
        <f>IF(AND(F1863="Done",M1863&lt;&gt;""),IF(COUNTIFS(Appointments!$D$6:$D$2005,D1863,Appointments!$F$6:$F$2005,"Done",Appointments!$M$6:$M$2005,"&gt;"&amp;M1863)=0,1,0),0)</f>
        <v/>
      </c>
      <c r="O1863">
        <f>IF(AND(F1863="Booked",M1863&lt;&gt;"",N(B1863)&gt;=TODAY()),IF(COUNTIFS(Appointments!$D$6:$D$2005,D1863,Appointments!$F$6:$F$2005,"Booked",Appointments!$B$6:$B$2005,"&gt;="&amp;TODAY(),Appointments!$M$6:$M$2005,"&lt;"&amp;M1863)=0,1,0),0)</f>
        <v/>
      </c>
    </row>
    <row r="1864">
      <c r="A1864" s="1" t="n"/>
      <c r="B1864" s="30" t="n"/>
      <c r="C1864" s="31" t="n"/>
      <c r="D1864" s="32" t="n"/>
      <c r="E1864" s="32" t="n"/>
      <c r="F1864" s="33" t="n"/>
      <c r="G1864" s="27">
        <f>IF(E1864="","",MAX(0,IFERROR(INDEX(Services!$C$6:$C$35,MATCH(E1864,Services!$B$6:$B$35,0)),0)-N(H1864)))</f>
        <v/>
      </c>
      <c r="H1864" s="34" t="n"/>
      <c r="I1864" s="34" t="n"/>
      <c r="J1864" s="33" t="n"/>
      <c r="K1864" s="28">
        <f>IF(OR(B1864="",F1864&lt;&gt;"Done",J1864="Package"),"",IF(N(G1864)-N(I1864)&gt;0,N(G1864)-N(I1864),""))</f>
        <v/>
      </c>
      <c r="L1864" s="32" t="n"/>
      <c r="M1864" s="1">
        <f>IF(OR(B1864="",D1864="",F1864="Cancelled"),"",B1864+N(C1864)+ROW()/10000000)</f>
        <v/>
      </c>
      <c r="N1864">
        <f>IF(AND(F1864="Done",M1864&lt;&gt;""),IF(COUNTIFS(Appointments!$D$6:$D$2005,D1864,Appointments!$F$6:$F$2005,"Done",Appointments!$M$6:$M$2005,"&gt;"&amp;M1864)=0,1,0),0)</f>
        <v/>
      </c>
      <c r="O1864">
        <f>IF(AND(F1864="Booked",M1864&lt;&gt;"",N(B1864)&gt;=TODAY()),IF(COUNTIFS(Appointments!$D$6:$D$2005,D1864,Appointments!$F$6:$F$2005,"Booked",Appointments!$B$6:$B$2005,"&gt;="&amp;TODAY(),Appointments!$M$6:$M$2005,"&lt;"&amp;M1864)=0,1,0),0)</f>
        <v/>
      </c>
    </row>
    <row r="1865">
      <c r="A1865" s="1" t="n"/>
      <c r="B1865" s="30" t="n"/>
      <c r="C1865" s="31" t="n"/>
      <c r="D1865" s="32" t="n"/>
      <c r="E1865" s="32" t="n"/>
      <c r="F1865" s="33" t="n"/>
      <c r="G1865" s="27">
        <f>IF(E1865="","",MAX(0,IFERROR(INDEX(Services!$C$6:$C$35,MATCH(E1865,Services!$B$6:$B$35,0)),0)-N(H1865)))</f>
        <v/>
      </c>
      <c r="H1865" s="34" t="n"/>
      <c r="I1865" s="34" t="n"/>
      <c r="J1865" s="33" t="n"/>
      <c r="K1865" s="28">
        <f>IF(OR(B1865="",F1865&lt;&gt;"Done",J1865="Package"),"",IF(N(G1865)-N(I1865)&gt;0,N(G1865)-N(I1865),""))</f>
        <v/>
      </c>
      <c r="L1865" s="32" t="n"/>
      <c r="M1865" s="1">
        <f>IF(OR(B1865="",D1865="",F1865="Cancelled"),"",B1865+N(C1865)+ROW()/10000000)</f>
        <v/>
      </c>
      <c r="N1865">
        <f>IF(AND(F1865="Done",M1865&lt;&gt;""),IF(COUNTIFS(Appointments!$D$6:$D$2005,D1865,Appointments!$F$6:$F$2005,"Done",Appointments!$M$6:$M$2005,"&gt;"&amp;M1865)=0,1,0),0)</f>
        <v/>
      </c>
      <c r="O1865">
        <f>IF(AND(F1865="Booked",M1865&lt;&gt;"",N(B1865)&gt;=TODAY()),IF(COUNTIFS(Appointments!$D$6:$D$2005,D1865,Appointments!$F$6:$F$2005,"Booked",Appointments!$B$6:$B$2005,"&gt;="&amp;TODAY(),Appointments!$M$6:$M$2005,"&lt;"&amp;M1865)=0,1,0),0)</f>
        <v/>
      </c>
    </row>
    <row r="1866">
      <c r="A1866" s="1" t="n"/>
      <c r="B1866" s="30" t="n"/>
      <c r="C1866" s="31" t="n"/>
      <c r="D1866" s="32" t="n"/>
      <c r="E1866" s="32" t="n"/>
      <c r="F1866" s="33" t="n"/>
      <c r="G1866" s="27">
        <f>IF(E1866="","",MAX(0,IFERROR(INDEX(Services!$C$6:$C$35,MATCH(E1866,Services!$B$6:$B$35,0)),0)-N(H1866)))</f>
        <v/>
      </c>
      <c r="H1866" s="34" t="n"/>
      <c r="I1866" s="34" t="n"/>
      <c r="J1866" s="33" t="n"/>
      <c r="K1866" s="28">
        <f>IF(OR(B1866="",F1866&lt;&gt;"Done",J1866="Package"),"",IF(N(G1866)-N(I1866)&gt;0,N(G1866)-N(I1866),""))</f>
        <v/>
      </c>
      <c r="L1866" s="32" t="n"/>
      <c r="M1866" s="1">
        <f>IF(OR(B1866="",D1866="",F1866="Cancelled"),"",B1866+N(C1866)+ROW()/10000000)</f>
        <v/>
      </c>
      <c r="N1866">
        <f>IF(AND(F1866="Done",M1866&lt;&gt;""),IF(COUNTIFS(Appointments!$D$6:$D$2005,D1866,Appointments!$F$6:$F$2005,"Done",Appointments!$M$6:$M$2005,"&gt;"&amp;M1866)=0,1,0),0)</f>
        <v/>
      </c>
      <c r="O1866">
        <f>IF(AND(F1866="Booked",M1866&lt;&gt;"",N(B1866)&gt;=TODAY()),IF(COUNTIFS(Appointments!$D$6:$D$2005,D1866,Appointments!$F$6:$F$2005,"Booked",Appointments!$B$6:$B$2005,"&gt;="&amp;TODAY(),Appointments!$M$6:$M$2005,"&lt;"&amp;M1866)=0,1,0),0)</f>
        <v/>
      </c>
    </row>
    <row r="1867">
      <c r="A1867" s="1" t="n"/>
      <c r="B1867" s="30" t="n"/>
      <c r="C1867" s="31" t="n"/>
      <c r="D1867" s="32" t="n"/>
      <c r="E1867" s="32" t="n"/>
      <c r="F1867" s="33" t="n"/>
      <c r="G1867" s="27">
        <f>IF(E1867="","",MAX(0,IFERROR(INDEX(Services!$C$6:$C$35,MATCH(E1867,Services!$B$6:$B$35,0)),0)-N(H1867)))</f>
        <v/>
      </c>
      <c r="H1867" s="34" t="n"/>
      <c r="I1867" s="34" t="n"/>
      <c r="J1867" s="33" t="n"/>
      <c r="K1867" s="28">
        <f>IF(OR(B1867="",F1867&lt;&gt;"Done",J1867="Package"),"",IF(N(G1867)-N(I1867)&gt;0,N(G1867)-N(I1867),""))</f>
        <v/>
      </c>
      <c r="L1867" s="32" t="n"/>
      <c r="M1867" s="1">
        <f>IF(OR(B1867="",D1867="",F1867="Cancelled"),"",B1867+N(C1867)+ROW()/10000000)</f>
        <v/>
      </c>
      <c r="N1867">
        <f>IF(AND(F1867="Done",M1867&lt;&gt;""),IF(COUNTIFS(Appointments!$D$6:$D$2005,D1867,Appointments!$F$6:$F$2005,"Done",Appointments!$M$6:$M$2005,"&gt;"&amp;M1867)=0,1,0),0)</f>
        <v/>
      </c>
      <c r="O1867">
        <f>IF(AND(F1867="Booked",M1867&lt;&gt;"",N(B1867)&gt;=TODAY()),IF(COUNTIFS(Appointments!$D$6:$D$2005,D1867,Appointments!$F$6:$F$2005,"Booked",Appointments!$B$6:$B$2005,"&gt;="&amp;TODAY(),Appointments!$M$6:$M$2005,"&lt;"&amp;M1867)=0,1,0),0)</f>
        <v/>
      </c>
    </row>
    <row r="1868">
      <c r="A1868" s="1" t="n"/>
      <c r="B1868" s="30" t="n"/>
      <c r="C1868" s="31" t="n"/>
      <c r="D1868" s="32" t="n"/>
      <c r="E1868" s="32" t="n"/>
      <c r="F1868" s="33" t="n"/>
      <c r="G1868" s="27">
        <f>IF(E1868="","",MAX(0,IFERROR(INDEX(Services!$C$6:$C$35,MATCH(E1868,Services!$B$6:$B$35,0)),0)-N(H1868)))</f>
        <v/>
      </c>
      <c r="H1868" s="34" t="n"/>
      <c r="I1868" s="34" t="n"/>
      <c r="J1868" s="33" t="n"/>
      <c r="K1868" s="28">
        <f>IF(OR(B1868="",F1868&lt;&gt;"Done",J1868="Package"),"",IF(N(G1868)-N(I1868)&gt;0,N(G1868)-N(I1868),""))</f>
        <v/>
      </c>
      <c r="L1868" s="32" t="n"/>
      <c r="M1868" s="1">
        <f>IF(OR(B1868="",D1868="",F1868="Cancelled"),"",B1868+N(C1868)+ROW()/10000000)</f>
        <v/>
      </c>
      <c r="N1868">
        <f>IF(AND(F1868="Done",M1868&lt;&gt;""),IF(COUNTIFS(Appointments!$D$6:$D$2005,D1868,Appointments!$F$6:$F$2005,"Done",Appointments!$M$6:$M$2005,"&gt;"&amp;M1868)=0,1,0),0)</f>
        <v/>
      </c>
      <c r="O1868">
        <f>IF(AND(F1868="Booked",M1868&lt;&gt;"",N(B1868)&gt;=TODAY()),IF(COUNTIFS(Appointments!$D$6:$D$2005,D1868,Appointments!$F$6:$F$2005,"Booked",Appointments!$B$6:$B$2005,"&gt;="&amp;TODAY(),Appointments!$M$6:$M$2005,"&lt;"&amp;M1868)=0,1,0),0)</f>
        <v/>
      </c>
    </row>
    <row r="1869">
      <c r="A1869" s="1" t="n"/>
      <c r="B1869" s="30" t="n"/>
      <c r="C1869" s="31" t="n"/>
      <c r="D1869" s="32" t="n"/>
      <c r="E1869" s="32" t="n"/>
      <c r="F1869" s="33" t="n"/>
      <c r="G1869" s="27">
        <f>IF(E1869="","",MAX(0,IFERROR(INDEX(Services!$C$6:$C$35,MATCH(E1869,Services!$B$6:$B$35,0)),0)-N(H1869)))</f>
        <v/>
      </c>
      <c r="H1869" s="34" t="n"/>
      <c r="I1869" s="34" t="n"/>
      <c r="J1869" s="33" t="n"/>
      <c r="K1869" s="28">
        <f>IF(OR(B1869="",F1869&lt;&gt;"Done",J1869="Package"),"",IF(N(G1869)-N(I1869)&gt;0,N(G1869)-N(I1869),""))</f>
        <v/>
      </c>
      <c r="L1869" s="32" t="n"/>
      <c r="M1869" s="1">
        <f>IF(OR(B1869="",D1869="",F1869="Cancelled"),"",B1869+N(C1869)+ROW()/10000000)</f>
        <v/>
      </c>
      <c r="N1869">
        <f>IF(AND(F1869="Done",M1869&lt;&gt;""),IF(COUNTIFS(Appointments!$D$6:$D$2005,D1869,Appointments!$F$6:$F$2005,"Done",Appointments!$M$6:$M$2005,"&gt;"&amp;M1869)=0,1,0),0)</f>
        <v/>
      </c>
      <c r="O1869">
        <f>IF(AND(F1869="Booked",M1869&lt;&gt;"",N(B1869)&gt;=TODAY()),IF(COUNTIFS(Appointments!$D$6:$D$2005,D1869,Appointments!$F$6:$F$2005,"Booked",Appointments!$B$6:$B$2005,"&gt;="&amp;TODAY(),Appointments!$M$6:$M$2005,"&lt;"&amp;M1869)=0,1,0),0)</f>
        <v/>
      </c>
    </row>
    <row r="1870">
      <c r="A1870" s="1" t="n"/>
      <c r="B1870" s="30" t="n"/>
      <c r="C1870" s="31" t="n"/>
      <c r="D1870" s="32" t="n"/>
      <c r="E1870" s="32" t="n"/>
      <c r="F1870" s="33" t="n"/>
      <c r="G1870" s="27">
        <f>IF(E1870="","",MAX(0,IFERROR(INDEX(Services!$C$6:$C$35,MATCH(E1870,Services!$B$6:$B$35,0)),0)-N(H1870)))</f>
        <v/>
      </c>
      <c r="H1870" s="34" t="n"/>
      <c r="I1870" s="34" t="n"/>
      <c r="J1870" s="33" t="n"/>
      <c r="K1870" s="28">
        <f>IF(OR(B1870="",F1870&lt;&gt;"Done",J1870="Package"),"",IF(N(G1870)-N(I1870)&gt;0,N(G1870)-N(I1870),""))</f>
        <v/>
      </c>
      <c r="L1870" s="32" t="n"/>
      <c r="M1870" s="1">
        <f>IF(OR(B1870="",D1870="",F1870="Cancelled"),"",B1870+N(C1870)+ROW()/10000000)</f>
        <v/>
      </c>
      <c r="N1870">
        <f>IF(AND(F1870="Done",M1870&lt;&gt;""),IF(COUNTIFS(Appointments!$D$6:$D$2005,D1870,Appointments!$F$6:$F$2005,"Done",Appointments!$M$6:$M$2005,"&gt;"&amp;M1870)=0,1,0),0)</f>
        <v/>
      </c>
      <c r="O1870">
        <f>IF(AND(F1870="Booked",M1870&lt;&gt;"",N(B1870)&gt;=TODAY()),IF(COUNTIFS(Appointments!$D$6:$D$2005,D1870,Appointments!$F$6:$F$2005,"Booked",Appointments!$B$6:$B$2005,"&gt;="&amp;TODAY(),Appointments!$M$6:$M$2005,"&lt;"&amp;M1870)=0,1,0),0)</f>
        <v/>
      </c>
    </row>
    <row r="1871">
      <c r="A1871" s="1" t="n"/>
      <c r="B1871" s="30" t="n"/>
      <c r="C1871" s="31" t="n"/>
      <c r="D1871" s="32" t="n"/>
      <c r="E1871" s="32" t="n"/>
      <c r="F1871" s="33" t="n"/>
      <c r="G1871" s="27">
        <f>IF(E1871="","",MAX(0,IFERROR(INDEX(Services!$C$6:$C$35,MATCH(E1871,Services!$B$6:$B$35,0)),0)-N(H1871)))</f>
        <v/>
      </c>
      <c r="H1871" s="34" t="n"/>
      <c r="I1871" s="34" t="n"/>
      <c r="J1871" s="33" t="n"/>
      <c r="K1871" s="28">
        <f>IF(OR(B1871="",F1871&lt;&gt;"Done",J1871="Package"),"",IF(N(G1871)-N(I1871)&gt;0,N(G1871)-N(I1871),""))</f>
        <v/>
      </c>
      <c r="L1871" s="32" t="n"/>
      <c r="M1871" s="1">
        <f>IF(OR(B1871="",D1871="",F1871="Cancelled"),"",B1871+N(C1871)+ROW()/10000000)</f>
        <v/>
      </c>
      <c r="N1871">
        <f>IF(AND(F1871="Done",M1871&lt;&gt;""),IF(COUNTIFS(Appointments!$D$6:$D$2005,D1871,Appointments!$F$6:$F$2005,"Done",Appointments!$M$6:$M$2005,"&gt;"&amp;M1871)=0,1,0),0)</f>
        <v/>
      </c>
      <c r="O1871">
        <f>IF(AND(F1871="Booked",M1871&lt;&gt;"",N(B1871)&gt;=TODAY()),IF(COUNTIFS(Appointments!$D$6:$D$2005,D1871,Appointments!$F$6:$F$2005,"Booked",Appointments!$B$6:$B$2005,"&gt;="&amp;TODAY(),Appointments!$M$6:$M$2005,"&lt;"&amp;M1871)=0,1,0),0)</f>
        <v/>
      </c>
    </row>
    <row r="1872">
      <c r="A1872" s="1" t="n"/>
      <c r="B1872" s="30" t="n"/>
      <c r="C1872" s="31" t="n"/>
      <c r="D1872" s="32" t="n"/>
      <c r="E1872" s="32" t="n"/>
      <c r="F1872" s="33" t="n"/>
      <c r="G1872" s="27">
        <f>IF(E1872="","",MAX(0,IFERROR(INDEX(Services!$C$6:$C$35,MATCH(E1872,Services!$B$6:$B$35,0)),0)-N(H1872)))</f>
        <v/>
      </c>
      <c r="H1872" s="34" t="n"/>
      <c r="I1872" s="34" t="n"/>
      <c r="J1872" s="33" t="n"/>
      <c r="K1872" s="28">
        <f>IF(OR(B1872="",F1872&lt;&gt;"Done",J1872="Package"),"",IF(N(G1872)-N(I1872)&gt;0,N(G1872)-N(I1872),""))</f>
        <v/>
      </c>
      <c r="L1872" s="32" t="n"/>
      <c r="M1872" s="1">
        <f>IF(OR(B1872="",D1872="",F1872="Cancelled"),"",B1872+N(C1872)+ROW()/10000000)</f>
        <v/>
      </c>
      <c r="N1872">
        <f>IF(AND(F1872="Done",M1872&lt;&gt;""),IF(COUNTIFS(Appointments!$D$6:$D$2005,D1872,Appointments!$F$6:$F$2005,"Done",Appointments!$M$6:$M$2005,"&gt;"&amp;M1872)=0,1,0),0)</f>
        <v/>
      </c>
      <c r="O1872">
        <f>IF(AND(F1872="Booked",M1872&lt;&gt;"",N(B1872)&gt;=TODAY()),IF(COUNTIFS(Appointments!$D$6:$D$2005,D1872,Appointments!$F$6:$F$2005,"Booked",Appointments!$B$6:$B$2005,"&gt;="&amp;TODAY(),Appointments!$M$6:$M$2005,"&lt;"&amp;M1872)=0,1,0),0)</f>
        <v/>
      </c>
    </row>
    <row r="1873">
      <c r="A1873" s="1" t="n"/>
      <c r="B1873" s="30" t="n"/>
      <c r="C1873" s="31" t="n"/>
      <c r="D1873" s="32" t="n"/>
      <c r="E1873" s="32" t="n"/>
      <c r="F1873" s="33" t="n"/>
      <c r="G1873" s="27">
        <f>IF(E1873="","",MAX(0,IFERROR(INDEX(Services!$C$6:$C$35,MATCH(E1873,Services!$B$6:$B$35,0)),0)-N(H1873)))</f>
        <v/>
      </c>
      <c r="H1873" s="34" t="n"/>
      <c r="I1873" s="34" t="n"/>
      <c r="J1873" s="33" t="n"/>
      <c r="K1873" s="28">
        <f>IF(OR(B1873="",F1873&lt;&gt;"Done",J1873="Package"),"",IF(N(G1873)-N(I1873)&gt;0,N(G1873)-N(I1873),""))</f>
        <v/>
      </c>
      <c r="L1873" s="32" t="n"/>
      <c r="M1873" s="1">
        <f>IF(OR(B1873="",D1873="",F1873="Cancelled"),"",B1873+N(C1873)+ROW()/10000000)</f>
        <v/>
      </c>
      <c r="N1873">
        <f>IF(AND(F1873="Done",M1873&lt;&gt;""),IF(COUNTIFS(Appointments!$D$6:$D$2005,D1873,Appointments!$F$6:$F$2005,"Done",Appointments!$M$6:$M$2005,"&gt;"&amp;M1873)=0,1,0),0)</f>
        <v/>
      </c>
      <c r="O1873">
        <f>IF(AND(F1873="Booked",M1873&lt;&gt;"",N(B1873)&gt;=TODAY()),IF(COUNTIFS(Appointments!$D$6:$D$2005,D1873,Appointments!$F$6:$F$2005,"Booked",Appointments!$B$6:$B$2005,"&gt;="&amp;TODAY(),Appointments!$M$6:$M$2005,"&lt;"&amp;M1873)=0,1,0),0)</f>
        <v/>
      </c>
    </row>
    <row r="1874">
      <c r="A1874" s="1" t="n"/>
      <c r="B1874" s="30" t="n"/>
      <c r="C1874" s="31" t="n"/>
      <c r="D1874" s="32" t="n"/>
      <c r="E1874" s="32" t="n"/>
      <c r="F1874" s="33" t="n"/>
      <c r="G1874" s="27">
        <f>IF(E1874="","",MAX(0,IFERROR(INDEX(Services!$C$6:$C$35,MATCH(E1874,Services!$B$6:$B$35,0)),0)-N(H1874)))</f>
        <v/>
      </c>
      <c r="H1874" s="34" t="n"/>
      <c r="I1874" s="34" t="n"/>
      <c r="J1874" s="33" t="n"/>
      <c r="K1874" s="28">
        <f>IF(OR(B1874="",F1874&lt;&gt;"Done",J1874="Package"),"",IF(N(G1874)-N(I1874)&gt;0,N(G1874)-N(I1874),""))</f>
        <v/>
      </c>
      <c r="L1874" s="32" t="n"/>
      <c r="M1874" s="1">
        <f>IF(OR(B1874="",D1874="",F1874="Cancelled"),"",B1874+N(C1874)+ROW()/10000000)</f>
        <v/>
      </c>
      <c r="N1874">
        <f>IF(AND(F1874="Done",M1874&lt;&gt;""),IF(COUNTIFS(Appointments!$D$6:$D$2005,D1874,Appointments!$F$6:$F$2005,"Done",Appointments!$M$6:$M$2005,"&gt;"&amp;M1874)=0,1,0),0)</f>
        <v/>
      </c>
      <c r="O1874">
        <f>IF(AND(F1874="Booked",M1874&lt;&gt;"",N(B1874)&gt;=TODAY()),IF(COUNTIFS(Appointments!$D$6:$D$2005,D1874,Appointments!$F$6:$F$2005,"Booked",Appointments!$B$6:$B$2005,"&gt;="&amp;TODAY(),Appointments!$M$6:$M$2005,"&lt;"&amp;M1874)=0,1,0),0)</f>
        <v/>
      </c>
    </row>
    <row r="1875">
      <c r="A1875" s="1" t="n"/>
      <c r="B1875" s="30" t="n"/>
      <c r="C1875" s="31" t="n"/>
      <c r="D1875" s="32" t="n"/>
      <c r="E1875" s="32" t="n"/>
      <c r="F1875" s="33" t="n"/>
      <c r="G1875" s="27">
        <f>IF(E1875="","",MAX(0,IFERROR(INDEX(Services!$C$6:$C$35,MATCH(E1875,Services!$B$6:$B$35,0)),0)-N(H1875)))</f>
        <v/>
      </c>
      <c r="H1875" s="34" t="n"/>
      <c r="I1875" s="34" t="n"/>
      <c r="J1875" s="33" t="n"/>
      <c r="K1875" s="28">
        <f>IF(OR(B1875="",F1875&lt;&gt;"Done",J1875="Package"),"",IF(N(G1875)-N(I1875)&gt;0,N(G1875)-N(I1875),""))</f>
        <v/>
      </c>
      <c r="L1875" s="32" t="n"/>
      <c r="M1875" s="1">
        <f>IF(OR(B1875="",D1875="",F1875="Cancelled"),"",B1875+N(C1875)+ROW()/10000000)</f>
        <v/>
      </c>
      <c r="N1875">
        <f>IF(AND(F1875="Done",M1875&lt;&gt;""),IF(COUNTIFS(Appointments!$D$6:$D$2005,D1875,Appointments!$F$6:$F$2005,"Done",Appointments!$M$6:$M$2005,"&gt;"&amp;M1875)=0,1,0),0)</f>
        <v/>
      </c>
      <c r="O1875">
        <f>IF(AND(F1875="Booked",M1875&lt;&gt;"",N(B1875)&gt;=TODAY()),IF(COUNTIFS(Appointments!$D$6:$D$2005,D1875,Appointments!$F$6:$F$2005,"Booked",Appointments!$B$6:$B$2005,"&gt;="&amp;TODAY(),Appointments!$M$6:$M$2005,"&lt;"&amp;M1875)=0,1,0),0)</f>
        <v/>
      </c>
    </row>
    <row r="1876">
      <c r="A1876" s="1" t="n"/>
      <c r="B1876" s="30" t="n"/>
      <c r="C1876" s="31" t="n"/>
      <c r="D1876" s="32" t="n"/>
      <c r="E1876" s="32" t="n"/>
      <c r="F1876" s="33" t="n"/>
      <c r="G1876" s="27">
        <f>IF(E1876="","",MAX(0,IFERROR(INDEX(Services!$C$6:$C$35,MATCH(E1876,Services!$B$6:$B$35,0)),0)-N(H1876)))</f>
        <v/>
      </c>
      <c r="H1876" s="34" t="n"/>
      <c r="I1876" s="34" t="n"/>
      <c r="J1876" s="33" t="n"/>
      <c r="K1876" s="28">
        <f>IF(OR(B1876="",F1876&lt;&gt;"Done",J1876="Package"),"",IF(N(G1876)-N(I1876)&gt;0,N(G1876)-N(I1876),""))</f>
        <v/>
      </c>
      <c r="L1876" s="32" t="n"/>
      <c r="M1876" s="1">
        <f>IF(OR(B1876="",D1876="",F1876="Cancelled"),"",B1876+N(C1876)+ROW()/10000000)</f>
        <v/>
      </c>
      <c r="N1876">
        <f>IF(AND(F1876="Done",M1876&lt;&gt;""),IF(COUNTIFS(Appointments!$D$6:$D$2005,D1876,Appointments!$F$6:$F$2005,"Done",Appointments!$M$6:$M$2005,"&gt;"&amp;M1876)=0,1,0),0)</f>
        <v/>
      </c>
      <c r="O1876">
        <f>IF(AND(F1876="Booked",M1876&lt;&gt;"",N(B1876)&gt;=TODAY()),IF(COUNTIFS(Appointments!$D$6:$D$2005,D1876,Appointments!$F$6:$F$2005,"Booked",Appointments!$B$6:$B$2005,"&gt;="&amp;TODAY(),Appointments!$M$6:$M$2005,"&lt;"&amp;M1876)=0,1,0),0)</f>
        <v/>
      </c>
    </row>
    <row r="1877">
      <c r="A1877" s="1" t="n"/>
      <c r="B1877" s="30" t="n"/>
      <c r="C1877" s="31" t="n"/>
      <c r="D1877" s="32" t="n"/>
      <c r="E1877" s="32" t="n"/>
      <c r="F1877" s="33" t="n"/>
      <c r="G1877" s="27">
        <f>IF(E1877="","",MAX(0,IFERROR(INDEX(Services!$C$6:$C$35,MATCH(E1877,Services!$B$6:$B$35,0)),0)-N(H1877)))</f>
        <v/>
      </c>
      <c r="H1877" s="34" t="n"/>
      <c r="I1877" s="34" t="n"/>
      <c r="J1877" s="33" t="n"/>
      <c r="K1877" s="28">
        <f>IF(OR(B1877="",F1877&lt;&gt;"Done",J1877="Package"),"",IF(N(G1877)-N(I1877)&gt;0,N(G1877)-N(I1877),""))</f>
        <v/>
      </c>
      <c r="L1877" s="32" t="n"/>
      <c r="M1877" s="1">
        <f>IF(OR(B1877="",D1877="",F1877="Cancelled"),"",B1877+N(C1877)+ROW()/10000000)</f>
        <v/>
      </c>
      <c r="N1877">
        <f>IF(AND(F1877="Done",M1877&lt;&gt;""),IF(COUNTIFS(Appointments!$D$6:$D$2005,D1877,Appointments!$F$6:$F$2005,"Done",Appointments!$M$6:$M$2005,"&gt;"&amp;M1877)=0,1,0),0)</f>
        <v/>
      </c>
      <c r="O1877">
        <f>IF(AND(F1877="Booked",M1877&lt;&gt;"",N(B1877)&gt;=TODAY()),IF(COUNTIFS(Appointments!$D$6:$D$2005,D1877,Appointments!$F$6:$F$2005,"Booked",Appointments!$B$6:$B$2005,"&gt;="&amp;TODAY(),Appointments!$M$6:$M$2005,"&lt;"&amp;M1877)=0,1,0),0)</f>
        <v/>
      </c>
    </row>
    <row r="1878">
      <c r="A1878" s="1" t="n"/>
      <c r="B1878" s="30" t="n"/>
      <c r="C1878" s="31" t="n"/>
      <c r="D1878" s="32" t="n"/>
      <c r="E1878" s="32" t="n"/>
      <c r="F1878" s="33" t="n"/>
      <c r="G1878" s="27">
        <f>IF(E1878="","",MAX(0,IFERROR(INDEX(Services!$C$6:$C$35,MATCH(E1878,Services!$B$6:$B$35,0)),0)-N(H1878)))</f>
        <v/>
      </c>
      <c r="H1878" s="34" t="n"/>
      <c r="I1878" s="34" t="n"/>
      <c r="J1878" s="33" t="n"/>
      <c r="K1878" s="28">
        <f>IF(OR(B1878="",F1878&lt;&gt;"Done",J1878="Package"),"",IF(N(G1878)-N(I1878)&gt;0,N(G1878)-N(I1878),""))</f>
        <v/>
      </c>
      <c r="L1878" s="32" t="n"/>
      <c r="M1878" s="1">
        <f>IF(OR(B1878="",D1878="",F1878="Cancelled"),"",B1878+N(C1878)+ROW()/10000000)</f>
        <v/>
      </c>
      <c r="N1878">
        <f>IF(AND(F1878="Done",M1878&lt;&gt;""),IF(COUNTIFS(Appointments!$D$6:$D$2005,D1878,Appointments!$F$6:$F$2005,"Done",Appointments!$M$6:$M$2005,"&gt;"&amp;M1878)=0,1,0),0)</f>
        <v/>
      </c>
      <c r="O1878">
        <f>IF(AND(F1878="Booked",M1878&lt;&gt;"",N(B1878)&gt;=TODAY()),IF(COUNTIFS(Appointments!$D$6:$D$2005,D1878,Appointments!$F$6:$F$2005,"Booked",Appointments!$B$6:$B$2005,"&gt;="&amp;TODAY(),Appointments!$M$6:$M$2005,"&lt;"&amp;M1878)=0,1,0),0)</f>
        <v/>
      </c>
    </row>
    <row r="1879">
      <c r="A1879" s="1" t="n"/>
      <c r="B1879" s="30" t="n"/>
      <c r="C1879" s="31" t="n"/>
      <c r="D1879" s="32" t="n"/>
      <c r="E1879" s="32" t="n"/>
      <c r="F1879" s="33" t="n"/>
      <c r="G1879" s="27">
        <f>IF(E1879="","",MAX(0,IFERROR(INDEX(Services!$C$6:$C$35,MATCH(E1879,Services!$B$6:$B$35,0)),0)-N(H1879)))</f>
        <v/>
      </c>
      <c r="H1879" s="34" t="n"/>
      <c r="I1879" s="34" t="n"/>
      <c r="J1879" s="33" t="n"/>
      <c r="K1879" s="28">
        <f>IF(OR(B1879="",F1879&lt;&gt;"Done",J1879="Package"),"",IF(N(G1879)-N(I1879)&gt;0,N(G1879)-N(I1879),""))</f>
        <v/>
      </c>
      <c r="L1879" s="32" t="n"/>
      <c r="M1879" s="1">
        <f>IF(OR(B1879="",D1879="",F1879="Cancelled"),"",B1879+N(C1879)+ROW()/10000000)</f>
        <v/>
      </c>
      <c r="N1879">
        <f>IF(AND(F1879="Done",M1879&lt;&gt;""),IF(COUNTIFS(Appointments!$D$6:$D$2005,D1879,Appointments!$F$6:$F$2005,"Done",Appointments!$M$6:$M$2005,"&gt;"&amp;M1879)=0,1,0),0)</f>
        <v/>
      </c>
      <c r="O1879">
        <f>IF(AND(F1879="Booked",M1879&lt;&gt;"",N(B1879)&gt;=TODAY()),IF(COUNTIFS(Appointments!$D$6:$D$2005,D1879,Appointments!$F$6:$F$2005,"Booked",Appointments!$B$6:$B$2005,"&gt;="&amp;TODAY(),Appointments!$M$6:$M$2005,"&lt;"&amp;M1879)=0,1,0),0)</f>
        <v/>
      </c>
    </row>
    <row r="1880">
      <c r="A1880" s="1" t="n"/>
      <c r="B1880" s="30" t="n"/>
      <c r="C1880" s="31" t="n"/>
      <c r="D1880" s="32" t="n"/>
      <c r="E1880" s="32" t="n"/>
      <c r="F1880" s="33" t="n"/>
      <c r="G1880" s="27">
        <f>IF(E1880="","",MAX(0,IFERROR(INDEX(Services!$C$6:$C$35,MATCH(E1880,Services!$B$6:$B$35,0)),0)-N(H1880)))</f>
        <v/>
      </c>
      <c r="H1880" s="34" t="n"/>
      <c r="I1880" s="34" t="n"/>
      <c r="J1880" s="33" t="n"/>
      <c r="K1880" s="28">
        <f>IF(OR(B1880="",F1880&lt;&gt;"Done",J1880="Package"),"",IF(N(G1880)-N(I1880)&gt;0,N(G1880)-N(I1880),""))</f>
        <v/>
      </c>
      <c r="L1880" s="32" t="n"/>
      <c r="M1880" s="1">
        <f>IF(OR(B1880="",D1880="",F1880="Cancelled"),"",B1880+N(C1880)+ROW()/10000000)</f>
        <v/>
      </c>
      <c r="N1880">
        <f>IF(AND(F1880="Done",M1880&lt;&gt;""),IF(COUNTIFS(Appointments!$D$6:$D$2005,D1880,Appointments!$F$6:$F$2005,"Done",Appointments!$M$6:$M$2005,"&gt;"&amp;M1880)=0,1,0),0)</f>
        <v/>
      </c>
      <c r="O1880">
        <f>IF(AND(F1880="Booked",M1880&lt;&gt;"",N(B1880)&gt;=TODAY()),IF(COUNTIFS(Appointments!$D$6:$D$2005,D1880,Appointments!$F$6:$F$2005,"Booked",Appointments!$B$6:$B$2005,"&gt;="&amp;TODAY(),Appointments!$M$6:$M$2005,"&lt;"&amp;M1880)=0,1,0),0)</f>
        <v/>
      </c>
    </row>
    <row r="1881">
      <c r="A1881" s="1" t="n"/>
      <c r="B1881" s="30" t="n"/>
      <c r="C1881" s="31" t="n"/>
      <c r="D1881" s="32" t="n"/>
      <c r="E1881" s="32" t="n"/>
      <c r="F1881" s="33" t="n"/>
      <c r="G1881" s="27">
        <f>IF(E1881="","",MAX(0,IFERROR(INDEX(Services!$C$6:$C$35,MATCH(E1881,Services!$B$6:$B$35,0)),0)-N(H1881)))</f>
        <v/>
      </c>
      <c r="H1881" s="34" t="n"/>
      <c r="I1881" s="34" t="n"/>
      <c r="J1881" s="33" t="n"/>
      <c r="K1881" s="28">
        <f>IF(OR(B1881="",F1881&lt;&gt;"Done",J1881="Package"),"",IF(N(G1881)-N(I1881)&gt;0,N(G1881)-N(I1881),""))</f>
        <v/>
      </c>
      <c r="L1881" s="32" t="n"/>
      <c r="M1881" s="1">
        <f>IF(OR(B1881="",D1881="",F1881="Cancelled"),"",B1881+N(C1881)+ROW()/10000000)</f>
        <v/>
      </c>
      <c r="N1881">
        <f>IF(AND(F1881="Done",M1881&lt;&gt;""),IF(COUNTIFS(Appointments!$D$6:$D$2005,D1881,Appointments!$F$6:$F$2005,"Done",Appointments!$M$6:$M$2005,"&gt;"&amp;M1881)=0,1,0),0)</f>
        <v/>
      </c>
      <c r="O1881">
        <f>IF(AND(F1881="Booked",M1881&lt;&gt;"",N(B1881)&gt;=TODAY()),IF(COUNTIFS(Appointments!$D$6:$D$2005,D1881,Appointments!$F$6:$F$2005,"Booked",Appointments!$B$6:$B$2005,"&gt;="&amp;TODAY(),Appointments!$M$6:$M$2005,"&lt;"&amp;M1881)=0,1,0),0)</f>
        <v/>
      </c>
    </row>
    <row r="1882">
      <c r="A1882" s="1" t="n"/>
      <c r="B1882" s="30" t="n"/>
      <c r="C1882" s="31" t="n"/>
      <c r="D1882" s="32" t="n"/>
      <c r="E1882" s="32" t="n"/>
      <c r="F1882" s="33" t="n"/>
      <c r="G1882" s="27">
        <f>IF(E1882="","",MAX(0,IFERROR(INDEX(Services!$C$6:$C$35,MATCH(E1882,Services!$B$6:$B$35,0)),0)-N(H1882)))</f>
        <v/>
      </c>
      <c r="H1882" s="34" t="n"/>
      <c r="I1882" s="34" t="n"/>
      <c r="J1882" s="33" t="n"/>
      <c r="K1882" s="28">
        <f>IF(OR(B1882="",F1882&lt;&gt;"Done",J1882="Package"),"",IF(N(G1882)-N(I1882)&gt;0,N(G1882)-N(I1882),""))</f>
        <v/>
      </c>
      <c r="L1882" s="32" t="n"/>
      <c r="M1882" s="1">
        <f>IF(OR(B1882="",D1882="",F1882="Cancelled"),"",B1882+N(C1882)+ROW()/10000000)</f>
        <v/>
      </c>
      <c r="N1882">
        <f>IF(AND(F1882="Done",M1882&lt;&gt;""),IF(COUNTIFS(Appointments!$D$6:$D$2005,D1882,Appointments!$F$6:$F$2005,"Done",Appointments!$M$6:$M$2005,"&gt;"&amp;M1882)=0,1,0),0)</f>
        <v/>
      </c>
      <c r="O1882">
        <f>IF(AND(F1882="Booked",M1882&lt;&gt;"",N(B1882)&gt;=TODAY()),IF(COUNTIFS(Appointments!$D$6:$D$2005,D1882,Appointments!$F$6:$F$2005,"Booked",Appointments!$B$6:$B$2005,"&gt;="&amp;TODAY(),Appointments!$M$6:$M$2005,"&lt;"&amp;M1882)=0,1,0),0)</f>
        <v/>
      </c>
    </row>
    <row r="1883">
      <c r="A1883" s="1" t="n"/>
      <c r="B1883" s="30" t="n"/>
      <c r="C1883" s="31" t="n"/>
      <c r="D1883" s="32" t="n"/>
      <c r="E1883" s="32" t="n"/>
      <c r="F1883" s="33" t="n"/>
      <c r="G1883" s="27">
        <f>IF(E1883="","",MAX(0,IFERROR(INDEX(Services!$C$6:$C$35,MATCH(E1883,Services!$B$6:$B$35,0)),0)-N(H1883)))</f>
        <v/>
      </c>
      <c r="H1883" s="34" t="n"/>
      <c r="I1883" s="34" t="n"/>
      <c r="J1883" s="33" t="n"/>
      <c r="K1883" s="28">
        <f>IF(OR(B1883="",F1883&lt;&gt;"Done",J1883="Package"),"",IF(N(G1883)-N(I1883)&gt;0,N(G1883)-N(I1883),""))</f>
        <v/>
      </c>
      <c r="L1883" s="32" t="n"/>
      <c r="M1883" s="1">
        <f>IF(OR(B1883="",D1883="",F1883="Cancelled"),"",B1883+N(C1883)+ROW()/10000000)</f>
        <v/>
      </c>
      <c r="N1883">
        <f>IF(AND(F1883="Done",M1883&lt;&gt;""),IF(COUNTIFS(Appointments!$D$6:$D$2005,D1883,Appointments!$F$6:$F$2005,"Done",Appointments!$M$6:$M$2005,"&gt;"&amp;M1883)=0,1,0),0)</f>
        <v/>
      </c>
      <c r="O1883">
        <f>IF(AND(F1883="Booked",M1883&lt;&gt;"",N(B1883)&gt;=TODAY()),IF(COUNTIFS(Appointments!$D$6:$D$2005,D1883,Appointments!$F$6:$F$2005,"Booked",Appointments!$B$6:$B$2005,"&gt;="&amp;TODAY(),Appointments!$M$6:$M$2005,"&lt;"&amp;M1883)=0,1,0),0)</f>
        <v/>
      </c>
    </row>
    <row r="1884">
      <c r="A1884" s="1" t="n"/>
      <c r="B1884" s="30" t="n"/>
      <c r="C1884" s="31" t="n"/>
      <c r="D1884" s="32" t="n"/>
      <c r="E1884" s="32" t="n"/>
      <c r="F1884" s="33" t="n"/>
      <c r="G1884" s="27">
        <f>IF(E1884="","",MAX(0,IFERROR(INDEX(Services!$C$6:$C$35,MATCH(E1884,Services!$B$6:$B$35,0)),0)-N(H1884)))</f>
        <v/>
      </c>
      <c r="H1884" s="34" t="n"/>
      <c r="I1884" s="34" t="n"/>
      <c r="J1884" s="33" t="n"/>
      <c r="K1884" s="28">
        <f>IF(OR(B1884="",F1884&lt;&gt;"Done",J1884="Package"),"",IF(N(G1884)-N(I1884)&gt;0,N(G1884)-N(I1884),""))</f>
        <v/>
      </c>
      <c r="L1884" s="32" t="n"/>
      <c r="M1884" s="1">
        <f>IF(OR(B1884="",D1884="",F1884="Cancelled"),"",B1884+N(C1884)+ROW()/10000000)</f>
        <v/>
      </c>
      <c r="N1884">
        <f>IF(AND(F1884="Done",M1884&lt;&gt;""),IF(COUNTIFS(Appointments!$D$6:$D$2005,D1884,Appointments!$F$6:$F$2005,"Done",Appointments!$M$6:$M$2005,"&gt;"&amp;M1884)=0,1,0),0)</f>
        <v/>
      </c>
      <c r="O1884">
        <f>IF(AND(F1884="Booked",M1884&lt;&gt;"",N(B1884)&gt;=TODAY()),IF(COUNTIFS(Appointments!$D$6:$D$2005,D1884,Appointments!$F$6:$F$2005,"Booked",Appointments!$B$6:$B$2005,"&gt;="&amp;TODAY(),Appointments!$M$6:$M$2005,"&lt;"&amp;M1884)=0,1,0),0)</f>
        <v/>
      </c>
    </row>
    <row r="1885">
      <c r="A1885" s="1" t="n"/>
      <c r="B1885" s="30" t="n"/>
      <c r="C1885" s="31" t="n"/>
      <c r="D1885" s="32" t="n"/>
      <c r="E1885" s="32" t="n"/>
      <c r="F1885" s="33" t="n"/>
      <c r="G1885" s="27">
        <f>IF(E1885="","",MAX(0,IFERROR(INDEX(Services!$C$6:$C$35,MATCH(E1885,Services!$B$6:$B$35,0)),0)-N(H1885)))</f>
        <v/>
      </c>
      <c r="H1885" s="34" t="n"/>
      <c r="I1885" s="34" t="n"/>
      <c r="J1885" s="33" t="n"/>
      <c r="K1885" s="28">
        <f>IF(OR(B1885="",F1885&lt;&gt;"Done",J1885="Package"),"",IF(N(G1885)-N(I1885)&gt;0,N(G1885)-N(I1885),""))</f>
        <v/>
      </c>
      <c r="L1885" s="32" t="n"/>
      <c r="M1885" s="1">
        <f>IF(OR(B1885="",D1885="",F1885="Cancelled"),"",B1885+N(C1885)+ROW()/10000000)</f>
        <v/>
      </c>
      <c r="N1885">
        <f>IF(AND(F1885="Done",M1885&lt;&gt;""),IF(COUNTIFS(Appointments!$D$6:$D$2005,D1885,Appointments!$F$6:$F$2005,"Done",Appointments!$M$6:$M$2005,"&gt;"&amp;M1885)=0,1,0),0)</f>
        <v/>
      </c>
      <c r="O1885">
        <f>IF(AND(F1885="Booked",M1885&lt;&gt;"",N(B1885)&gt;=TODAY()),IF(COUNTIFS(Appointments!$D$6:$D$2005,D1885,Appointments!$F$6:$F$2005,"Booked",Appointments!$B$6:$B$2005,"&gt;="&amp;TODAY(),Appointments!$M$6:$M$2005,"&lt;"&amp;M1885)=0,1,0),0)</f>
        <v/>
      </c>
    </row>
    <row r="1886">
      <c r="A1886" s="1" t="n"/>
      <c r="B1886" s="30" t="n"/>
      <c r="C1886" s="31" t="n"/>
      <c r="D1886" s="32" t="n"/>
      <c r="E1886" s="32" t="n"/>
      <c r="F1886" s="33" t="n"/>
      <c r="G1886" s="27">
        <f>IF(E1886="","",MAX(0,IFERROR(INDEX(Services!$C$6:$C$35,MATCH(E1886,Services!$B$6:$B$35,0)),0)-N(H1886)))</f>
        <v/>
      </c>
      <c r="H1886" s="34" t="n"/>
      <c r="I1886" s="34" t="n"/>
      <c r="J1886" s="33" t="n"/>
      <c r="K1886" s="28">
        <f>IF(OR(B1886="",F1886&lt;&gt;"Done",J1886="Package"),"",IF(N(G1886)-N(I1886)&gt;0,N(G1886)-N(I1886),""))</f>
        <v/>
      </c>
      <c r="L1886" s="32" t="n"/>
      <c r="M1886" s="1">
        <f>IF(OR(B1886="",D1886="",F1886="Cancelled"),"",B1886+N(C1886)+ROW()/10000000)</f>
        <v/>
      </c>
      <c r="N1886">
        <f>IF(AND(F1886="Done",M1886&lt;&gt;""),IF(COUNTIFS(Appointments!$D$6:$D$2005,D1886,Appointments!$F$6:$F$2005,"Done",Appointments!$M$6:$M$2005,"&gt;"&amp;M1886)=0,1,0),0)</f>
        <v/>
      </c>
      <c r="O1886">
        <f>IF(AND(F1886="Booked",M1886&lt;&gt;"",N(B1886)&gt;=TODAY()),IF(COUNTIFS(Appointments!$D$6:$D$2005,D1886,Appointments!$F$6:$F$2005,"Booked",Appointments!$B$6:$B$2005,"&gt;="&amp;TODAY(),Appointments!$M$6:$M$2005,"&lt;"&amp;M1886)=0,1,0),0)</f>
        <v/>
      </c>
    </row>
    <row r="1887">
      <c r="A1887" s="1" t="n"/>
      <c r="B1887" s="30" t="n"/>
      <c r="C1887" s="31" t="n"/>
      <c r="D1887" s="32" t="n"/>
      <c r="E1887" s="32" t="n"/>
      <c r="F1887" s="33" t="n"/>
      <c r="G1887" s="27">
        <f>IF(E1887="","",MAX(0,IFERROR(INDEX(Services!$C$6:$C$35,MATCH(E1887,Services!$B$6:$B$35,0)),0)-N(H1887)))</f>
        <v/>
      </c>
      <c r="H1887" s="34" t="n"/>
      <c r="I1887" s="34" t="n"/>
      <c r="J1887" s="33" t="n"/>
      <c r="K1887" s="28">
        <f>IF(OR(B1887="",F1887&lt;&gt;"Done",J1887="Package"),"",IF(N(G1887)-N(I1887)&gt;0,N(G1887)-N(I1887),""))</f>
        <v/>
      </c>
      <c r="L1887" s="32" t="n"/>
      <c r="M1887" s="1">
        <f>IF(OR(B1887="",D1887="",F1887="Cancelled"),"",B1887+N(C1887)+ROW()/10000000)</f>
        <v/>
      </c>
      <c r="N1887">
        <f>IF(AND(F1887="Done",M1887&lt;&gt;""),IF(COUNTIFS(Appointments!$D$6:$D$2005,D1887,Appointments!$F$6:$F$2005,"Done",Appointments!$M$6:$M$2005,"&gt;"&amp;M1887)=0,1,0),0)</f>
        <v/>
      </c>
      <c r="O1887">
        <f>IF(AND(F1887="Booked",M1887&lt;&gt;"",N(B1887)&gt;=TODAY()),IF(COUNTIFS(Appointments!$D$6:$D$2005,D1887,Appointments!$F$6:$F$2005,"Booked",Appointments!$B$6:$B$2005,"&gt;="&amp;TODAY(),Appointments!$M$6:$M$2005,"&lt;"&amp;M1887)=0,1,0),0)</f>
        <v/>
      </c>
    </row>
    <row r="1888">
      <c r="A1888" s="1" t="n"/>
      <c r="B1888" s="30" t="n"/>
      <c r="C1888" s="31" t="n"/>
      <c r="D1888" s="32" t="n"/>
      <c r="E1888" s="32" t="n"/>
      <c r="F1888" s="33" t="n"/>
      <c r="G1888" s="27">
        <f>IF(E1888="","",MAX(0,IFERROR(INDEX(Services!$C$6:$C$35,MATCH(E1888,Services!$B$6:$B$35,0)),0)-N(H1888)))</f>
        <v/>
      </c>
      <c r="H1888" s="34" t="n"/>
      <c r="I1888" s="34" t="n"/>
      <c r="J1888" s="33" t="n"/>
      <c r="K1888" s="28">
        <f>IF(OR(B1888="",F1888&lt;&gt;"Done",J1888="Package"),"",IF(N(G1888)-N(I1888)&gt;0,N(G1888)-N(I1888),""))</f>
        <v/>
      </c>
      <c r="L1888" s="32" t="n"/>
      <c r="M1888" s="1">
        <f>IF(OR(B1888="",D1888="",F1888="Cancelled"),"",B1888+N(C1888)+ROW()/10000000)</f>
        <v/>
      </c>
      <c r="N1888">
        <f>IF(AND(F1888="Done",M1888&lt;&gt;""),IF(COUNTIFS(Appointments!$D$6:$D$2005,D1888,Appointments!$F$6:$F$2005,"Done",Appointments!$M$6:$M$2005,"&gt;"&amp;M1888)=0,1,0),0)</f>
        <v/>
      </c>
      <c r="O1888">
        <f>IF(AND(F1888="Booked",M1888&lt;&gt;"",N(B1888)&gt;=TODAY()),IF(COUNTIFS(Appointments!$D$6:$D$2005,D1888,Appointments!$F$6:$F$2005,"Booked",Appointments!$B$6:$B$2005,"&gt;="&amp;TODAY(),Appointments!$M$6:$M$2005,"&lt;"&amp;M1888)=0,1,0),0)</f>
        <v/>
      </c>
    </row>
    <row r="1889">
      <c r="A1889" s="1" t="n"/>
      <c r="B1889" s="30" t="n"/>
      <c r="C1889" s="31" t="n"/>
      <c r="D1889" s="32" t="n"/>
      <c r="E1889" s="32" t="n"/>
      <c r="F1889" s="33" t="n"/>
      <c r="G1889" s="27">
        <f>IF(E1889="","",MAX(0,IFERROR(INDEX(Services!$C$6:$C$35,MATCH(E1889,Services!$B$6:$B$35,0)),0)-N(H1889)))</f>
        <v/>
      </c>
      <c r="H1889" s="34" t="n"/>
      <c r="I1889" s="34" t="n"/>
      <c r="J1889" s="33" t="n"/>
      <c r="K1889" s="28">
        <f>IF(OR(B1889="",F1889&lt;&gt;"Done",J1889="Package"),"",IF(N(G1889)-N(I1889)&gt;0,N(G1889)-N(I1889),""))</f>
        <v/>
      </c>
      <c r="L1889" s="32" t="n"/>
      <c r="M1889" s="1">
        <f>IF(OR(B1889="",D1889="",F1889="Cancelled"),"",B1889+N(C1889)+ROW()/10000000)</f>
        <v/>
      </c>
      <c r="N1889">
        <f>IF(AND(F1889="Done",M1889&lt;&gt;""),IF(COUNTIFS(Appointments!$D$6:$D$2005,D1889,Appointments!$F$6:$F$2005,"Done",Appointments!$M$6:$M$2005,"&gt;"&amp;M1889)=0,1,0),0)</f>
        <v/>
      </c>
      <c r="O1889">
        <f>IF(AND(F1889="Booked",M1889&lt;&gt;"",N(B1889)&gt;=TODAY()),IF(COUNTIFS(Appointments!$D$6:$D$2005,D1889,Appointments!$F$6:$F$2005,"Booked",Appointments!$B$6:$B$2005,"&gt;="&amp;TODAY(),Appointments!$M$6:$M$2005,"&lt;"&amp;M1889)=0,1,0),0)</f>
        <v/>
      </c>
    </row>
    <row r="1890">
      <c r="A1890" s="1" t="n"/>
      <c r="B1890" s="30" t="n"/>
      <c r="C1890" s="31" t="n"/>
      <c r="D1890" s="32" t="n"/>
      <c r="E1890" s="32" t="n"/>
      <c r="F1890" s="33" t="n"/>
      <c r="G1890" s="27">
        <f>IF(E1890="","",MAX(0,IFERROR(INDEX(Services!$C$6:$C$35,MATCH(E1890,Services!$B$6:$B$35,0)),0)-N(H1890)))</f>
        <v/>
      </c>
      <c r="H1890" s="34" t="n"/>
      <c r="I1890" s="34" t="n"/>
      <c r="J1890" s="33" t="n"/>
      <c r="K1890" s="28">
        <f>IF(OR(B1890="",F1890&lt;&gt;"Done",J1890="Package"),"",IF(N(G1890)-N(I1890)&gt;0,N(G1890)-N(I1890),""))</f>
        <v/>
      </c>
      <c r="L1890" s="32" t="n"/>
      <c r="M1890" s="1">
        <f>IF(OR(B1890="",D1890="",F1890="Cancelled"),"",B1890+N(C1890)+ROW()/10000000)</f>
        <v/>
      </c>
      <c r="N1890">
        <f>IF(AND(F1890="Done",M1890&lt;&gt;""),IF(COUNTIFS(Appointments!$D$6:$D$2005,D1890,Appointments!$F$6:$F$2005,"Done",Appointments!$M$6:$M$2005,"&gt;"&amp;M1890)=0,1,0),0)</f>
        <v/>
      </c>
      <c r="O1890">
        <f>IF(AND(F1890="Booked",M1890&lt;&gt;"",N(B1890)&gt;=TODAY()),IF(COUNTIFS(Appointments!$D$6:$D$2005,D1890,Appointments!$F$6:$F$2005,"Booked",Appointments!$B$6:$B$2005,"&gt;="&amp;TODAY(),Appointments!$M$6:$M$2005,"&lt;"&amp;M1890)=0,1,0),0)</f>
        <v/>
      </c>
    </row>
    <row r="1891">
      <c r="A1891" s="1" t="n"/>
      <c r="B1891" s="30" t="n"/>
      <c r="C1891" s="31" t="n"/>
      <c r="D1891" s="32" t="n"/>
      <c r="E1891" s="32" t="n"/>
      <c r="F1891" s="33" t="n"/>
      <c r="G1891" s="27">
        <f>IF(E1891="","",MAX(0,IFERROR(INDEX(Services!$C$6:$C$35,MATCH(E1891,Services!$B$6:$B$35,0)),0)-N(H1891)))</f>
        <v/>
      </c>
      <c r="H1891" s="34" t="n"/>
      <c r="I1891" s="34" t="n"/>
      <c r="J1891" s="33" t="n"/>
      <c r="K1891" s="28">
        <f>IF(OR(B1891="",F1891&lt;&gt;"Done",J1891="Package"),"",IF(N(G1891)-N(I1891)&gt;0,N(G1891)-N(I1891),""))</f>
        <v/>
      </c>
      <c r="L1891" s="32" t="n"/>
      <c r="M1891" s="1">
        <f>IF(OR(B1891="",D1891="",F1891="Cancelled"),"",B1891+N(C1891)+ROW()/10000000)</f>
        <v/>
      </c>
      <c r="N1891">
        <f>IF(AND(F1891="Done",M1891&lt;&gt;""),IF(COUNTIFS(Appointments!$D$6:$D$2005,D1891,Appointments!$F$6:$F$2005,"Done",Appointments!$M$6:$M$2005,"&gt;"&amp;M1891)=0,1,0),0)</f>
        <v/>
      </c>
      <c r="O1891">
        <f>IF(AND(F1891="Booked",M1891&lt;&gt;"",N(B1891)&gt;=TODAY()),IF(COUNTIFS(Appointments!$D$6:$D$2005,D1891,Appointments!$F$6:$F$2005,"Booked",Appointments!$B$6:$B$2005,"&gt;="&amp;TODAY(),Appointments!$M$6:$M$2005,"&lt;"&amp;M1891)=0,1,0),0)</f>
        <v/>
      </c>
    </row>
    <row r="1892">
      <c r="A1892" s="1" t="n"/>
      <c r="B1892" s="30" t="n"/>
      <c r="C1892" s="31" t="n"/>
      <c r="D1892" s="32" t="n"/>
      <c r="E1892" s="32" t="n"/>
      <c r="F1892" s="33" t="n"/>
      <c r="G1892" s="27">
        <f>IF(E1892="","",MAX(0,IFERROR(INDEX(Services!$C$6:$C$35,MATCH(E1892,Services!$B$6:$B$35,0)),0)-N(H1892)))</f>
        <v/>
      </c>
      <c r="H1892" s="34" t="n"/>
      <c r="I1892" s="34" t="n"/>
      <c r="J1892" s="33" t="n"/>
      <c r="K1892" s="28">
        <f>IF(OR(B1892="",F1892&lt;&gt;"Done",J1892="Package"),"",IF(N(G1892)-N(I1892)&gt;0,N(G1892)-N(I1892),""))</f>
        <v/>
      </c>
      <c r="L1892" s="32" t="n"/>
      <c r="M1892" s="1">
        <f>IF(OR(B1892="",D1892="",F1892="Cancelled"),"",B1892+N(C1892)+ROW()/10000000)</f>
        <v/>
      </c>
      <c r="N1892">
        <f>IF(AND(F1892="Done",M1892&lt;&gt;""),IF(COUNTIFS(Appointments!$D$6:$D$2005,D1892,Appointments!$F$6:$F$2005,"Done",Appointments!$M$6:$M$2005,"&gt;"&amp;M1892)=0,1,0),0)</f>
        <v/>
      </c>
      <c r="O1892">
        <f>IF(AND(F1892="Booked",M1892&lt;&gt;"",N(B1892)&gt;=TODAY()),IF(COUNTIFS(Appointments!$D$6:$D$2005,D1892,Appointments!$F$6:$F$2005,"Booked",Appointments!$B$6:$B$2005,"&gt;="&amp;TODAY(),Appointments!$M$6:$M$2005,"&lt;"&amp;M1892)=0,1,0),0)</f>
        <v/>
      </c>
    </row>
    <row r="1893">
      <c r="A1893" s="1" t="n"/>
      <c r="B1893" s="30" t="n"/>
      <c r="C1893" s="31" t="n"/>
      <c r="D1893" s="32" t="n"/>
      <c r="E1893" s="32" t="n"/>
      <c r="F1893" s="33" t="n"/>
      <c r="G1893" s="27">
        <f>IF(E1893="","",MAX(0,IFERROR(INDEX(Services!$C$6:$C$35,MATCH(E1893,Services!$B$6:$B$35,0)),0)-N(H1893)))</f>
        <v/>
      </c>
      <c r="H1893" s="34" t="n"/>
      <c r="I1893" s="34" t="n"/>
      <c r="J1893" s="33" t="n"/>
      <c r="K1893" s="28">
        <f>IF(OR(B1893="",F1893&lt;&gt;"Done",J1893="Package"),"",IF(N(G1893)-N(I1893)&gt;0,N(G1893)-N(I1893),""))</f>
        <v/>
      </c>
      <c r="L1893" s="32" t="n"/>
      <c r="M1893" s="1">
        <f>IF(OR(B1893="",D1893="",F1893="Cancelled"),"",B1893+N(C1893)+ROW()/10000000)</f>
        <v/>
      </c>
      <c r="N1893">
        <f>IF(AND(F1893="Done",M1893&lt;&gt;""),IF(COUNTIFS(Appointments!$D$6:$D$2005,D1893,Appointments!$F$6:$F$2005,"Done",Appointments!$M$6:$M$2005,"&gt;"&amp;M1893)=0,1,0),0)</f>
        <v/>
      </c>
      <c r="O1893">
        <f>IF(AND(F1893="Booked",M1893&lt;&gt;"",N(B1893)&gt;=TODAY()),IF(COUNTIFS(Appointments!$D$6:$D$2005,D1893,Appointments!$F$6:$F$2005,"Booked",Appointments!$B$6:$B$2005,"&gt;="&amp;TODAY(),Appointments!$M$6:$M$2005,"&lt;"&amp;M1893)=0,1,0),0)</f>
        <v/>
      </c>
    </row>
    <row r="1894">
      <c r="A1894" s="1" t="n"/>
      <c r="B1894" s="30" t="n"/>
      <c r="C1894" s="31" t="n"/>
      <c r="D1894" s="32" t="n"/>
      <c r="E1894" s="32" t="n"/>
      <c r="F1894" s="33" t="n"/>
      <c r="G1894" s="27">
        <f>IF(E1894="","",MAX(0,IFERROR(INDEX(Services!$C$6:$C$35,MATCH(E1894,Services!$B$6:$B$35,0)),0)-N(H1894)))</f>
        <v/>
      </c>
      <c r="H1894" s="34" t="n"/>
      <c r="I1894" s="34" t="n"/>
      <c r="J1894" s="33" t="n"/>
      <c r="K1894" s="28">
        <f>IF(OR(B1894="",F1894&lt;&gt;"Done",J1894="Package"),"",IF(N(G1894)-N(I1894)&gt;0,N(G1894)-N(I1894),""))</f>
        <v/>
      </c>
      <c r="L1894" s="32" t="n"/>
      <c r="M1894" s="1">
        <f>IF(OR(B1894="",D1894="",F1894="Cancelled"),"",B1894+N(C1894)+ROW()/10000000)</f>
        <v/>
      </c>
      <c r="N1894">
        <f>IF(AND(F1894="Done",M1894&lt;&gt;""),IF(COUNTIFS(Appointments!$D$6:$D$2005,D1894,Appointments!$F$6:$F$2005,"Done",Appointments!$M$6:$M$2005,"&gt;"&amp;M1894)=0,1,0),0)</f>
        <v/>
      </c>
      <c r="O1894">
        <f>IF(AND(F1894="Booked",M1894&lt;&gt;"",N(B1894)&gt;=TODAY()),IF(COUNTIFS(Appointments!$D$6:$D$2005,D1894,Appointments!$F$6:$F$2005,"Booked",Appointments!$B$6:$B$2005,"&gt;="&amp;TODAY(),Appointments!$M$6:$M$2005,"&lt;"&amp;M1894)=0,1,0),0)</f>
        <v/>
      </c>
    </row>
    <row r="1895">
      <c r="A1895" s="1" t="n"/>
      <c r="B1895" s="30" t="n"/>
      <c r="C1895" s="31" t="n"/>
      <c r="D1895" s="32" t="n"/>
      <c r="E1895" s="32" t="n"/>
      <c r="F1895" s="33" t="n"/>
      <c r="G1895" s="27">
        <f>IF(E1895="","",MAX(0,IFERROR(INDEX(Services!$C$6:$C$35,MATCH(E1895,Services!$B$6:$B$35,0)),0)-N(H1895)))</f>
        <v/>
      </c>
      <c r="H1895" s="34" t="n"/>
      <c r="I1895" s="34" t="n"/>
      <c r="J1895" s="33" t="n"/>
      <c r="K1895" s="28">
        <f>IF(OR(B1895="",F1895&lt;&gt;"Done",J1895="Package"),"",IF(N(G1895)-N(I1895)&gt;0,N(G1895)-N(I1895),""))</f>
        <v/>
      </c>
      <c r="L1895" s="32" t="n"/>
      <c r="M1895" s="1">
        <f>IF(OR(B1895="",D1895="",F1895="Cancelled"),"",B1895+N(C1895)+ROW()/10000000)</f>
        <v/>
      </c>
      <c r="N1895">
        <f>IF(AND(F1895="Done",M1895&lt;&gt;""),IF(COUNTIFS(Appointments!$D$6:$D$2005,D1895,Appointments!$F$6:$F$2005,"Done",Appointments!$M$6:$M$2005,"&gt;"&amp;M1895)=0,1,0),0)</f>
        <v/>
      </c>
      <c r="O1895">
        <f>IF(AND(F1895="Booked",M1895&lt;&gt;"",N(B1895)&gt;=TODAY()),IF(COUNTIFS(Appointments!$D$6:$D$2005,D1895,Appointments!$F$6:$F$2005,"Booked",Appointments!$B$6:$B$2005,"&gt;="&amp;TODAY(),Appointments!$M$6:$M$2005,"&lt;"&amp;M1895)=0,1,0),0)</f>
        <v/>
      </c>
    </row>
    <row r="1896">
      <c r="A1896" s="1" t="n"/>
      <c r="B1896" s="30" t="n"/>
      <c r="C1896" s="31" t="n"/>
      <c r="D1896" s="32" t="n"/>
      <c r="E1896" s="32" t="n"/>
      <c r="F1896" s="33" t="n"/>
      <c r="G1896" s="27">
        <f>IF(E1896="","",MAX(0,IFERROR(INDEX(Services!$C$6:$C$35,MATCH(E1896,Services!$B$6:$B$35,0)),0)-N(H1896)))</f>
        <v/>
      </c>
      <c r="H1896" s="34" t="n"/>
      <c r="I1896" s="34" t="n"/>
      <c r="J1896" s="33" t="n"/>
      <c r="K1896" s="28">
        <f>IF(OR(B1896="",F1896&lt;&gt;"Done",J1896="Package"),"",IF(N(G1896)-N(I1896)&gt;0,N(G1896)-N(I1896),""))</f>
        <v/>
      </c>
      <c r="L1896" s="32" t="n"/>
      <c r="M1896" s="1">
        <f>IF(OR(B1896="",D1896="",F1896="Cancelled"),"",B1896+N(C1896)+ROW()/10000000)</f>
        <v/>
      </c>
      <c r="N1896">
        <f>IF(AND(F1896="Done",M1896&lt;&gt;""),IF(COUNTIFS(Appointments!$D$6:$D$2005,D1896,Appointments!$F$6:$F$2005,"Done",Appointments!$M$6:$M$2005,"&gt;"&amp;M1896)=0,1,0),0)</f>
        <v/>
      </c>
      <c r="O1896">
        <f>IF(AND(F1896="Booked",M1896&lt;&gt;"",N(B1896)&gt;=TODAY()),IF(COUNTIFS(Appointments!$D$6:$D$2005,D1896,Appointments!$F$6:$F$2005,"Booked",Appointments!$B$6:$B$2005,"&gt;="&amp;TODAY(),Appointments!$M$6:$M$2005,"&lt;"&amp;M1896)=0,1,0),0)</f>
        <v/>
      </c>
    </row>
    <row r="1897">
      <c r="A1897" s="1" t="n"/>
      <c r="B1897" s="30" t="n"/>
      <c r="C1897" s="31" t="n"/>
      <c r="D1897" s="32" t="n"/>
      <c r="E1897" s="32" t="n"/>
      <c r="F1897" s="33" t="n"/>
      <c r="G1897" s="27">
        <f>IF(E1897="","",MAX(0,IFERROR(INDEX(Services!$C$6:$C$35,MATCH(E1897,Services!$B$6:$B$35,0)),0)-N(H1897)))</f>
        <v/>
      </c>
      <c r="H1897" s="34" t="n"/>
      <c r="I1897" s="34" t="n"/>
      <c r="J1897" s="33" t="n"/>
      <c r="K1897" s="28">
        <f>IF(OR(B1897="",F1897&lt;&gt;"Done",J1897="Package"),"",IF(N(G1897)-N(I1897)&gt;0,N(G1897)-N(I1897),""))</f>
        <v/>
      </c>
      <c r="L1897" s="32" t="n"/>
      <c r="M1897" s="1">
        <f>IF(OR(B1897="",D1897="",F1897="Cancelled"),"",B1897+N(C1897)+ROW()/10000000)</f>
        <v/>
      </c>
      <c r="N1897">
        <f>IF(AND(F1897="Done",M1897&lt;&gt;""),IF(COUNTIFS(Appointments!$D$6:$D$2005,D1897,Appointments!$F$6:$F$2005,"Done",Appointments!$M$6:$M$2005,"&gt;"&amp;M1897)=0,1,0),0)</f>
        <v/>
      </c>
      <c r="O1897">
        <f>IF(AND(F1897="Booked",M1897&lt;&gt;"",N(B1897)&gt;=TODAY()),IF(COUNTIFS(Appointments!$D$6:$D$2005,D1897,Appointments!$F$6:$F$2005,"Booked",Appointments!$B$6:$B$2005,"&gt;="&amp;TODAY(),Appointments!$M$6:$M$2005,"&lt;"&amp;M1897)=0,1,0),0)</f>
        <v/>
      </c>
    </row>
    <row r="1898">
      <c r="A1898" s="1" t="n"/>
      <c r="B1898" s="30" t="n"/>
      <c r="C1898" s="31" t="n"/>
      <c r="D1898" s="32" t="n"/>
      <c r="E1898" s="32" t="n"/>
      <c r="F1898" s="33" t="n"/>
      <c r="G1898" s="27">
        <f>IF(E1898="","",MAX(0,IFERROR(INDEX(Services!$C$6:$C$35,MATCH(E1898,Services!$B$6:$B$35,0)),0)-N(H1898)))</f>
        <v/>
      </c>
      <c r="H1898" s="34" t="n"/>
      <c r="I1898" s="34" t="n"/>
      <c r="J1898" s="33" t="n"/>
      <c r="K1898" s="28">
        <f>IF(OR(B1898="",F1898&lt;&gt;"Done",J1898="Package"),"",IF(N(G1898)-N(I1898)&gt;0,N(G1898)-N(I1898),""))</f>
        <v/>
      </c>
      <c r="L1898" s="32" t="n"/>
      <c r="M1898" s="1">
        <f>IF(OR(B1898="",D1898="",F1898="Cancelled"),"",B1898+N(C1898)+ROW()/10000000)</f>
        <v/>
      </c>
      <c r="N1898">
        <f>IF(AND(F1898="Done",M1898&lt;&gt;""),IF(COUNTIFS(Appointments!$D$6:$D$2005,D1898,Appointments!$F$6:$F$2005,"Done",Appointments!$M$6:$M$2005,"&gt;"&amp;M1898)=0,1,0),0)</f>
        <v/>
      </c>
      <c r="O1898">
        <f>IF(AND(F1898="Booked",M1898&lt;&gt;"",N(B1898)&gt;=TODAY()),IF(COUNTIFS(Appointments!$D$6:$D$2005,D1898,Appointments!$F$6:$F$2005,"Booked",Appointments!$B$6:$B$2005,"&gt;="&amp;TODAY(),Appointments!$M$6:$M$2005,"&lt;"&amp;M1898)=0,1,0),0)</f>
        <v/>
      </c>
    </row>
    <row r="1899">
      <c r="A1899" s="1" t="n"/>
      <c r="B1899" s="30" t="n"/>
      <c r="C1899" s="31" t="n"/>
      <c r="D1899" s="32" t="n"/>
      <c r="E1899" s="32" t="n"/>
      <c r="F1899" s="33" t="n"/>
      <c r="G1899" s="27">
        <f>IF(E1899="","",MAX(0,IFERROR(INDEX(Services!$C$6:$C$35,MATCH(E1899,Services!$B$6:$B$35,0)),0)-N(H1899)))</f>
        <v/>
      </c>
      <c r="H1899" s="34" t="n"/>
      <c r="I1899" s="34" t="n"/>
      <c r="J1899" s="33" t="n"/>
      <c r="K1899" s="28">
        <f>IF(OR(B1899="",F1899&lt;&gt;"Done",J1899="Package"),"",IF(N(G1899)-N(I1899)&gt;0,N(G1899)-N(I1899),""))</f>
        <v/>
      </c>
      <c r="L1899" s="32" t="n"/>
      <c r="M1899" s="1">
        <f>IF(OR(B1899="",D1899="",F1899="Cancelled"),"",B1899+N(C1899)+ROW()/10000000)</f>
        <v/>
      </c>
      <c r="N1899">
        <f>IF(AND(F1899="Done",M1899&lt;&gt;""),IF(COUNTIFS(Appointments!$D$6:$D$2005,D1899,Appointments!$F$6:$F$2005,"Done",Appointments!$M$6:$M$2005,"&gt;"&amp;M1899)=0,1,0),0)</f>
        <v/>
      </c>
      <c r="O1899">
        <f>IF(AND(F1899="Booked",M1899&lt;&gt;"",N(B1899)&gt;=TODAY()),IF(COUNTIFS(Appointments!$D$6:$D$2005,D1899,Appointments!$F$6:$F$2005,"Booked",Appointments!$B$6:$B$2005,"&gt;="&amp;TODAY(),Appointments!$M$6:$M$2005,"&lt;"&amp;M1899)=0,1,0),0)</f>
        <v/>
      </c>
    </row>
    <row r="1900">
      <c r="A1900" s="1" t="n"/>
      <c r="B1900" s="30" t="n"/>
      <c r="C1900" s="31" t="n"/>
      <c r="D1900" s="32" t="n"/>
      <c r="E1900" s="32" t="n"/>
      <c r="F1900" s="33" t="n"/>
      <c r="G1900" s="27">
        <f>IF(E1900="","",MAX(0,IFERROR(INDEX(Services!$C$6:$C$35,MATCH(E1900,Services!$B$6:$B$35,0)),0)-N(H1900)))</f>
        <v/>
      </c>
      <c r="H1900" s="34" t="n"/>
      <c r="I1900" s="34" t="n"/>
      <c r="J1900" s="33" t="n"/>
      <c r="K1900" s="28">
        <f>IF(OR(B1900="",F1900&lt;&gt;"Done",J1900="Package"),"",IF(N(G1900)-N(I1900)&gt;0,N(G1900)-N(I1900),""))</f>
        <v/>
      </c>
      <c r="L1900" s="32" t="n"/>
      <c r="M1900" s="1">
        <f>IF(OR(B1900="",D1900="",F1900="Cancelled"),"",B1900+N(C1900)+ROW()/10000000)</f>
        <v/>
      </c>
      <c r="N1900">
        <f>IF(AND(F1900="Done",M1900&lt;&gt;""),IF(COUNTIFS(Appointments!$D$6:$D$2005,D1900,Appointments!$F$6:$F$2005,"Done",Appointments!$M$6:$M$2005,"&gt;"&amp;M1900)=0,1,0),0)</f>
        <v/>
      </c>
      <c r="O1900">
        <f>IF(AND(F1900="Booked",M1900&lt;&gt;"",N(B1900)&gt;=TODAY()),IF(COUNTIFS(Appointments!$D$6:$D$2005,D1900,Appointments!$F$6:$F$2005,"Booked",Appointments!$B$6:$B$2005,"&gt;="&amp;TODAY(),Appointments!$M$6:$M$2005,"&lt;"&amp;M1900)=0,1,0),0)</f>
        <v/>
      </c>
    </row>
    <row r="1901">
      <c r="A1901" s="1" t="n"/>
      <c r="B1901" s="30" t="n"/>
      <c r="C1901" s="31" t="n"/>
      <c r="D1901" s="32" t="n"/>
      <c r="E1901" s="32" t="n"/>
      <c r="F1901" s="33" t="n"/>
      <c r="G1901" s="27">
        <f>IF(E1901="","",MAX(0,IFERROR(INDEX(Services!$C$6:$C$35,MATCH(E1901,Services!$B$6:$B$35,0)),0)-N(H1901)))</f>
        <v/>
      </c>
      <c r="H1901" s="34" t="n"/>
      <c r="I1901" s="34" t="n"/>
      <c r="J1901" s="33" t="n"/>
      <c r="K1901" s="28">
        <f>IF(OR(B1901="",F1901&lt;&gt;"Done",J1901="Package"),"",IF(N(G1901)-N(I1901)&gt;0,N(G1901)-N(I1901),""))</f>
        <v/>
      </c>
      <c r="L1901" s="32" t="n"/>
      <c r="M1901" s="1">
        <f>IF(OR(B1901="",D1901="",F1901="Cancelled"),"",B1901+N(C1901)+ROW()/10000000)</f>
        <v/>
      </c>
      <c r="N1901">
        <f>IF(AND(F1901="Done",M1901&lt;&gt;""),IF(COUNTIFS(Appointments!$D$6:$D$2005,D1901,Appointments!$F$6:$F$2005,"Done",Appointments!$M$6:$M$2005,"&gt;"&amp;M1901)=0,1,0),0)</f>
        <v/>
      </c>
      <c r="O1901">
        <f>IF(AND(F1901="Booked",M1901&lt;&gt;"",N(B1901)&gt;=TODAY()),IF(COUNTIFS(Appointments!$D$6:$D$2005,D1901,Appointments!$F$6:$F$2005,"Booked",Appointments!$B$6:$B$2005,"&gt;="&amp;TODAY(),Appointments!$M$6:$M$2005,"&lt;"&amp;M1901)=0,1,0),0)</f>
        <v/>
      </c>
    </row>
    <row r="1902">
      <c r="A1902" s="1" t="n"/>
      <c r="B1902" s="30" t="n"/>
      <c r="C1902" s="31" t="n"/>
      <c r="D1902" s="32" t="n"/>
      <c r="E1902" s="32" t="n"/>
      <c r="F1902" s="33" t="n"/>
      <c r="G1902" s="27">
        <f>IF(E1902="","",MAX(0,IFERROR(INDEX(Services!$C$6:$C$35,MATCH(E1902,Services!$B$6:$B$35,0)),0)-N(H1902)))</f>
        <v/>
      </c>
      <c r="H1902" s="34" t="n"/>
      <c r="I1902" s="34" t="n"/>
      <c r="J1902" s="33" t="n"/>
      <c r="K1902" s="28">
        <f>IF(OR(B1902="",F1902&lt;&gt;"Done",J1902="Package"),"",IF(N(G1902)-N(I1902)&gt;0,N(G1902)-N(I1902),""))</f>
        <v/>
      </c>
      <c r="L1902" s="32" t="n"/>
      <c r="M1902" s="1">
        <f>IF(OR(B1902="",D1902="",F1902="Cancelled"),"",B1902+N(C1902)+ROW()/10000000)</f>
        <v/>
      </c>
      <c r="N1902">
        <f>IF(AND(F1902="Done",M1902&lt;&gt;""),IF(COUNTIFS(Appointments!$D$6:$D$2005,D1902,Appointments!$F$6:$F$2005,"Done",Appointments!$M$6:$M$2005,"&gt;"&amp;M1902)=0,1,0),0)</f>
        <v/>
      </c>
      <c r="O1902">
        <f>IF(AND(F1902="Booked",M1902&lt;&gt;"",N(B1902)&gt;=TODAY()),IF(COUNTIFS(Appointments!$D$6:$D$2005,D1902,Appointments!$F$6:$F$2005,"Booked",Appointments!$B$6:$B$2005,"&gt;="&amp;TODAY(),Appointments!$M$6:$M$2005,"&lt;"&amp;M1902)=0,1,0),0)</f>
        <v/>
      </c>
    </row>
    <row r="1903">
      <c r="A1903" s="1" t="n"/>
      <c r="B1903" s="30" t="n"/>
      <c r="C1903" s="31" t="n"/>
      <c r="D1903" s="32" t="n"/>
      <c r="E1903" s="32" t="n"/>
      <c r="F1903" s="33" t="n"/>
      <c r="G1903" s="27">
        <f>IF(E1903="","",MAX(0,IFERROR(INDEX(Services!$C$6:$C$35,MATCH(E1903,Services!$B$6:$B$35,0)),0)-N(H1903)))</f>
        <v/>
      </c>
      <c r="H1903" s="34" t="n"/>
      <c r="I1903" s="34" t="n"/>
      <c r="J1903" s="33" t="n"/>
      <c r="K1903" s="28">
        <f>IF(OR(B1903="",F1903&lt;&gt;"Done",J1903="Package"),"",IF(N(G1903)-N(I1903)&gt;0,N(G1903)-N(I1903),""))</f>
        <v/>
      </c>
      <c r="L1903" s="32" t="n"/>
      <c r="M1903" s="1">
        <f>IF(OR(B1903="",D1903="",F1903="Cancelled"),"",B1903+N(C1903)+ROW()/10000000)</f>
        <v/>
      </c>
      <c r="N1903">
        <f>IF(AND(F1903="Done",M1903&lt;&gt;""),IF(COUNTIFS(Appointments!$D$6:$D$2005,D1903,Appointments!$F$6:$F$2005,"Done",Appointments!$M$6:$M$2005,"&gt;"&amp;M1903)=0,1,0),0)</f>
        <v/>
      </c>
      <c r="O1903">
        <f>IF(AND(F1903="Booked",M1903&lt;&gt;"",N(B1903)&gt;=TODAY()),IF(COUNTIFS(Appointments!$D$6:$D$2005,D1903,Appointments!$F$6:$F$2005,"Booked",Appointments!$B$6:$B$2005,"&gt;="&amp;TODAY(),Appointments!$M$6:$M$2005,"&lt;"&amp;M1903)=0,1,0),0)</f>
        <v/>
      </c>
    </row>
    <row r="1904">
      <c r="A1904" s="1" t="n"/>
      <c r="B1904" s="30" t="n"/>
      <c r="C1904" s="31" t="n"/>
      <c r="D1904" s="32" t="n"/>
      <c r="E1904" s="32" t="n"/>
      <c r="F1904" s="33" t="n"/>
      <c r="G1904" s="27">
        <f>IF(E1904="","",MAX(0,IFERROR(INDEX(Services!$C$6:$C$35,MATCH(E1904,Services!$B$6:$B$35,0)),0)-N(H1904)))</f>
        <v/>
      </c>
      <c r="H1904" s="34" t="n"/>
      <c r="I1904" s="34" t="n"/>
      <c r="J1904" s="33" t="n"/>
      <c r="K1904" s="28">
        <f>IF(OR(B1904="",F1904&lt;&gt;"Done",J1904="Package"),"",IF(N(G1904)-N(I1904)&gt;0,N(G1904)-N(I1904),""))</f>
        <v/>
      </c>
      <c r="L1904" s="32" t="n"/>
      <c r="M1904" s="1">
        <f>IF(OR(B1904="",D1904="",F1904="Cancelled"),"",B1904+N(C1904)+ROW()/10000000)</f>
        <v/>
      </c>
      <c r="N1904">
        <f>IF(AND(F1904="Done",M1904&lt;&gt;""),IF(COUNTIFS(Appointments!$D$6:$D$2005,D1904,Appointments!$F$6:$F$2005,"Done",Appointments!$M$6:$M$2005,"&gt;"&amp;M1904)=0,1,0),0)</f>
        <v/>
      </c>
      <c r="O1904">
        <f>IF(AND(F1904="Booked",M1904&lt;&gt;"",N(B1904)&gt;=TODAY()),IF(COUNTIFS(Appointments!$D$6:$D$2005,D1904,Appointments!$F$6:$F$2005,"Booked",Appointments!$B$6:$B$2005,"&gt;="&amp;TODAY(),Appointments!$M$6:$M$2005,"&lt;"&amp;M1904)=0,1,0),0)</f>
        <v/>
      </c>
    </row>
    <row r="1905">
      <c r="A1905" s="1" t="n"/>
      <c r="B1905" s="30" t="n"/>
      <c r="C1905" s="31" t="n"/>
      <c r="D1905" s="32" t="n"/>
      <c r="E1905" s="32" t="n"/>
      <c r="F1905" s="33" t="n"/>
      <c r="G1905" s="27">
        <f>IF(E1905="","",MAX(0,IFERROR(INDEX(Services!$C$6:$C$35,MATCH(E1905,Services!$B$6:$B$35,0)),0)-N(H1905)))</f>
        <v/>
      </c>
      <c r="H1905" s="34" t="n"/>
      <c r="I1905" s="34" t="n"/>
      <c r="J1905" s="33" t="n"/>
      <c r="K1905" s="28">
        <f>IF(OR(B1905="",F1905&lt;&gt;"Done",J1905="Package"),"",IF(N(G1905)-N(I1905)&gt;0,N(G1905)-N(I1905),""))</f>
        <v/>
      </c>
      <c r="L1905" s="32" t="n"/>
      <c r="M1905" s="1">
        <f>IF(OR(B1905="",D1905="",F1905="Cancelled"),"",B1905+N(C1905)+ROW()/10000000)</f>
        <v/>
      </c>
      <c r="N1905">
        <f>IF(AND(F1905="Done",M1905&lt;&gt;""),IF(COUNTIFS(Appointments!$D$6:$D$2005,D1905,Appointments!$F$6:$F$2005,"Done",Appointments!$M$6:$M$2005,"&gt;"&amp;M1905)=0,1,0),0)</f>
        <v/>
      </c>
      <c r="O1905">
        <f>IF(AND(F1905="Booked",M1905&lt;&gt;"",N(B1905)&gt;=TODAY()),IF(COUNTIFS(Appointments!$D$6:$D$2005,D1905,Appointments!$F$6:$F$2005,"Booked",Appointments!$B$6:$B$2005,"&gt;="&amp;TODAY(),Appointments!$M$6:$M$2005,"&lt;"&amp;M1905)=0,1,0),0)</f>
        <v/>
      </c>
    </row>
    <row r="1906">
      <c r="A1906" s="1" t="n"/>
      <c r="B1906" s="30" t="n"/>
      <c r="C1906" s="31" t="n"/>
      <c r="D1906" s="32" t="n"/>
      <c r="E1906" s="32" t="n"/>
      <c r="F1906" s="33" t="n"/>
      <c r="G1906" s="27">
        <f>IF(E1906="","",MAX(0,IFERROR(INDEX(Services!$C$6:$C$35,MATCH(E1906,Services!$B$6:$B$35,0)),0)-N(H1906)))</f>
        <v/>
      </c>
      <c r="H1906" s="34" t="n"/>
      <c r="I1906" s="34" t="n"/>
      <c r="J1906" s="33" t="n"/>
      <c r="K1906" s="28">
        <f>IF(OR(B1906="",F1906&lt;&gt;"Done",J1906="Package"),"",IF(N(G1906)-N(I1906)&gt;0,N(G1906)-N(I1906),""))</f>
        <v/>
      </c>
      <c r="L1906" s="32" t="n"/>
      <c r="M1906" s="1">
        <f>IF(OR(B1906="",D1906="",F1906="Cancelled"),"",B1906+N(C1906)+ROW()/10000000)</f>
        <v/>
      </c>
      <c r="N1906">
        <f>IF(AND(F1906="Done",M1906&lt;&gt;""),IF(COUNTIFS(Appointments!$D$6:$D$2005,D1906,Appointments!$F$6:$F$2005,"Done",Appointments!$M$6:$M$2005,"&gt;"&amp;M1906)=0,1,0),0)</f>
        <v/>
      </c>
      <c r="O1906">
        <f>IF(AND(F1906="Booked",M1906&lt;&gt;"",N(B1906)&gt;=TODAY()),IF(COUNTIFS(Appointments!$D$6:$D$2005,D1906,Appointments!$F$6:$F$2005,"Booked",Appointments!$B$6:$B$2005,"&gt;="&amp;TODAY(),Appointments!$M$6:$M$2005,"&lt;"&amp;M1906)=0,1,0),0)</f>
        <v/>
      </c>
    </row>
    <row r="1907">
      <c r="A1907" s="1" t="n"/>
      <c r="B1907" s="30" t="n"/>
      <c r="C1907" s="31" t="n"/>
      <c r="D1907" s="32" t="n"/>
      <c r="E1907" s="32" t="n"/>
      <c r="F1907" s="33" t="n"/>
      <c r="G1907" s="27">
        <f>IF(E1907="","",MAX(0,IFERROR(INDEX(Services!$C$6:$C$35,MATCH(E1907,Services!$B$6:$B$35,0)),0)-N(H1907)))</f>
        <v/>
      </c>
      <c r="H1907" s="34" t="n"/>
      <c r="I1907" s="34" t="n"/>
      <c r="J1907" s="33" t="n"/>
      <c r="K1907" s="28">
        <f>IF(OR(B1907="",F1907&lt;&gt;"Done",J1907="Package"),"",IF(N(G1907)-N(I1907)&gt;0,N(G1907)-N(I1907),""))</f>
        <v/>
      </c>
      <c r="L1907" s="32" t="n"/>
      <c r="M1907" s="1">
        <f>IF(OR(B1907="",D1907="",F1907="Cancelled"),"",B1907+N(C1907)+ROW()/10000000)</f>
        <v/>
      </c>
      <c r="N1907">
        <f>IF(AND(F1907="Done",M1907&lt;&gt;""),IF(COUNTIFS(Appointments!$D$6:$D$2005,D1907,Appointments!$F$6:$F$2005,"Done",Appointments!$M$6:$M$2005,"&gt;"&amp;M1907)=0,1,0),0)</f>
        <v/>
      </c>
      <c r="O1907">
        <f>IF(AND(F1907="Booked",M1907&lt;&gt;"",N(B1907)&gt;=TODAY()),IF(COUNTIFS(Appointments!$D$6:$D$2005,D1907,Appointments!$F$6:$F$2005,"Booked",Appointments!$B$6:$B$2005,"&gt;="&amp;TODAY(),Appointments!$M$6:$M$2005,"&lt;"&amp;M1907)=0,1,0),0)</f>
        <v/>
      </c>
    </row>
    <row r="1908">
      <c r="A1908" s="1" t="n"/>
      <c r="B1908" s="30" t="n"/>
      <c r="C1908" s="31" t="n"/>
      <c r="D1908" s="32" t="n"/>
      <c r="E1908" s="32" t="n"/>
      <c r="F1908" s="33" t="n"/>
      <c r="G1908" s="27">
        <f>IF(E1908="","",MAX(0,IFERROR(INDEX(Services!$C$6:$C$35,MATCH(E1908,Services!$B$6:$B$35,0)),0)-N(H1908)))</f>
        <v/>
      </c>
      <c r="H1908" s="34" t="n"/>
      <c r="I1908" s="34" t="n"/>
      <c r="J1908" s="33" t="n"/>
      <c r="K1908" s="28">
        <f>IF(OR(B1908="",F1908&lt;&gt;"Done",J1908="Package"),"",IF(N(G1908)-N(I1908)&gt;0,N(G1908)-N(I1908),""))</f>
        <v/>
      </c>
      <c r="L1908" s="32" t="n"/>
      <c r="M1908" s="1">
        <f>IF(OR(B1908="",D1908="",F1908="Cancelled"),"",B1908+N(C1908)+ROW()/10000000)</f>
        <v/>
      </c>
      <c r="N1908">
        <f>IF(AND(F1908="Done",M1908&lt;&gt;""),IF(COUNTIFS(Appointments!$D$6:$D$2005,D1908,Appointments!$F$6:$F$2005,"Done",Appointments!$M$6:$M$2005,"&gt;"&amp;M1908)=0,1,0),0)</f>
        <v/>
      </c>
      <c r="O1908">
        <f>IF(AND(F1908="Booked",M1908&lt;&gt;"",N(B1908)&gt;=TODAY()),IF(COUNTIFS(Appointments!$D$6:$D$2005,D1908,Appointments!$F$6:$F$2005,"Booked",Appointments!$B$6:$B$2005,"&gt;="&amp;TODAY(),Appointments!$M$6:$M$2005,"&lt;"&amp;M1908)=0,1,0),0)</f>
        <v/>
      </c>
    </row>
    <row r="1909">
      <c r="A1909" s="1" t="n"/>
      <c r="B1909" s="30" t="n"/>
      <c r="C1909" s="31" t="n"/>
      <c r="D1909" s="32" t="n"/>
      <c r="E1909" s="32" t="n"/>
      <c r="F1909" s="33" t="n"/>
      <c r="G1909" s="27">
        <f>IF(E1909="","",MAX(0,IFERROR(INDEX(Services!$C$6:$C$35,MATCH(E1909,Services!$B$6:$B$35,0)),0)-N(H1909)))</f>
        <v/>
      </c>
      <c r="H1909" s="34" t="n"/>
      <c r="I1909" s="34" t="n"/>
      <c r="J1909" s="33" t="n"/>
      <c r="K1909" s="28">
        <f>IF(OR(B1909="",F1909&lt;&gt;"Done",J1909="Package"),"",IF(N(G1909)-N(I1909)&gt;0,N(G1909)-N(I1909),""))</f>
        <v/>
      </c>
      <c r="L1909" s="32" t="n"/>
      <c r="M1909" s="1">
        <f>IF(OR(B1909="",D1909="",F1909="Cancelled"),"",B1909+N(C1909)+ROW()/10000000)</f>
        <v/>
      </c>
      <c r="N1909">
        <f>IF(AND(F1909="Done",M1909&lt;&gt;""),IF(COUNTIFS(Appointments!$D$6:$D$2005,D1909,Appointments!$F$6:$F$2005,"Done",Appointments!$M$6:$M$2005,"&gt;"&amp;M1909)=0,1,0),0)</f>
        <v/>
      </c>
      <c r="O1909">
        <f>IF(AND(F1909="Booked",M1909&lt;&gt;"",N(B1909)&gt;=TODAY()),IF(COUNTIFS(Appointments!$D$6:$D$2005,D1909,Appointments!$F$6:$F$2005,"Booked",Appointments!$B$6:$B$2005,"&gt;="&amp;TODAY(),Appointments!$M$6:$M$2005,"&lt;"&amp;M1909)=0,1,0),0)</f>
        <v/>
      </c>
    </row>
    <row r="1910">
      <c r="A1910" s="1" t="n"/>
      <c r="B1910" s="30" t="n"/>
      <c r="C1910" s="31" t="n"/>
      <c r="D1910" s="32" t="n"/>
      <c r="E1910" s="32" t="n"/>
      <c r="F1910" s="33" t="n"/>
      <c r="G1910" s="27">
        <f>IF(E1910="","",MAX(0,IFERROR(INDEX(Services!$C$6:$C$35,MATCH(E1910,Services!$B$6:$B$35,0)),0)-N(H1910)))</f>
        <v/>
      </c>
      <c r="H1910" s="34" t="n"/>
      <c r="I1910" s="34" t="n"/>
      <c r="J1910" s="33" t="n"/>
      <c r="K1910" s="28">
        <f>IF(OR(B1910="",F1910&lt;&gt;"Done",J1910="Package"),"",IF(N(G1910)-N(I1910)&gt;0,N(G1910)-N(I1910),""))</f>
        <v/>
      </c>
      <c r="L1910" s="32" t="n"/>
      <c r="M1910" s="1">
        <f>IF(OR(B1910="",D1910="",F1910="Cancelled"),"",B1910+N(C1910)+ROW()/10000000)</f>
        <v/>
      </c>
      <c r="N1910">
        <f>IF(AND(F1910="Done",M1910&lt;&gt;""),IF(COUNTIFS(Appointments!$D$6:$D$2005,D1910,Appointments!$F$6:$F$2005,"Done",Appointments!$M$6:$M$2005,"&gt;"&amp;M1910)=0,1,0),0)</f>
        <v/>
      </c>
      <c r="O1910">
        <f>IF(AND(F1910="Booked",M1910&lt;&gt;"",N(B1910)&gt;=TODAY()),IF(COUNTIFS(Appointments!$D$6:$D$2005,D1910,Appointments!$F$6:$F$2005,"Booked",Appointments!$B$6:$B$2005,"&gt;="&amp;TODAY(),Appointments!$M$6:$M$2005,"&lt;"&amp;M1910)=0,1,0),0)</f>
        <v/>
      </c>
    </row>
    <row r="1911">
      <c r="A1911" s="1" t="n"/>
      <c r="B1911" s="30" t="n"/>
      <c r="C1911" s="31" t="n"/>
      <c r="D1911" s="32" t="n"/>
      <c r="E1911" s="32" t="n"/>
      <c r="F1911" s="33" t="n"/>
      <c r="G1911" s="27">
        <f>IF(E1911="","",MAX(0,IFERROR(INDEX(Services!$C$6:$C$35,MATCH(E1911,Services!$B$6:$B$35,0)),0)-N(H1911)))</f>
        <v/>
      </c>
      <c r="H1911" s="34" t="n"/>
      <c r="I1911" s="34" t="n"/>
      <c r="J1911" s="33" t="n"/>
      <c r="K1911" s="28">
        <f>IF(OR(B1911="",F1911&lt;&gt;"Done",J1911="Package"),"",IF(N(G1911)-N(I1911)&gt;0,N(G1911)-N(I1911),""))</f>
        <v/>
      </c>
      <c r="L1911" s="32" t="n"/>
      <c r="M1911" s="1">
        <f>IF(OR(B1911="",D1911="",F1911="Cancelled"),"",B1911+N(C1911)+ROW()/10000000)</f>
        <v/>
      </c>
      <c r="N1911">
        <f>IF(AND(F1911="Done",M1911&lt;&gt;""),IF(COUNTIFS(Appointments!$D$6:$D$2005,D1911,Appointments!$F$6:$F$2005,"Done",Appointments!$M$6:$M$2005,"&gt;"&amp;M1911)=0,1,0),0)</f>
        <v/>
      </c>
      <c r="O1911">
        <f>IF(AND(F1911="Booked",M1911&lt;&gt;"",N(B1911)&gt;=TODAY()),IF(COUNTIFS(Appointments!$D$6:$D$2005,D1911,Appointments!$F$6:$F$2005,"Booked",Appointments!$B$6:$B$2005,"&gt;="&amp;TODAY(),Appointments!$M$6:$M$2005,"&lt;"&amp;M1911)=0,1,0),0)</f>
        <v/>
      </c>
    </row>
    <row r="1912">
      <c r="A1912" s="1" t="n"/>
      <c r="B1912" s="30" t="n"/>
      <c r="C1912" s="31" t="n"/>
      <c r="D1912" s="32" t="n"/>
      <c r="E1912" s="32" t="n"/>
      <c r="F1912" s="33" t="n"/>
      <c r="G1912" s="27">
        <f>IF(E1912="","",MAX(0,IFERROR(INDEX(Services!$C$6:$C$35,MATCH(E1912,Services!$B$6:$B$35,0)),0)-N(H1912)))</f>
        <v/>
      </c>
      <c r="H1912" s="34" t="n"/>
      <c r="I1912" s="34" t="n"/>
      <c r="J1912" s="33" t="n"/>
      <c r="K1912" s="28">
        <f>IF(OR(B1912="",F1912&lt;&gt;"Done",J1912="Package"),"",IF(N(G1912)-N(I1912)&gt;0,N(G1912)-N(I1912),""))</f>
        <v/>
      </c>
      <c r="L1912" s="32" t="n"/>
      <c r="M1912" s="1">
        <f>IF(OR(B1912="",D1912="",F1912="Cancelled"),"",B1912+N(C1912)+ROW()/10000000)</f>
        <v/>
      </c>
      <c r="N1912">
        <f>IF(AND(F1912="Done",M1912&lt;&gt;""),IF(COUNTIFS(Appointments!$D$6:$D$2005,D1912,Appointments!$F$6:$F$2005,"Done",Appointments!$M$6:$M$2005,"&gt;"&amp;M1912)=0,1,0),0)</f>
        <v/>
      </c>
      <c r="O1912">
        <f>IF(AND(F1912="Booked",M1912&lt;&gt;"",N(B1912)&gt;=TODAY()),IF(COUNTIFS(Appointments!$D$6:$D$2005,D1912,Appointments!$F$6:$F$2005,"Booked",Appointments!$B$6:$B$2005,"&gt;="&amp;TODAY(),Appointments!$M$6:$M$2005,"&lt;"&amp;M1912)=0,1,0),0)</f>
        <v/>
      </c>
    </row>
    <row r="1913">
      <c r="A1913" s="1" t="n"/>
      <c r="B1913" s="30" t="n"/>
      <c r="C1913" s="31" t="n"/>
      <c r="D1913" s="32" t="n"/>
      <c r="E1913" s="32" t="n"/>
      <c r="F1913" s="33" t="n"/>
      <c r="G1913" s="27">
        <f>IF(E1913="","",MAX(0,IFERROR(INDEX(Services!$C$6:$C$35,MATCH(E1913,Services!$B$6:$B$35,0)),0)-N(H1913)))</f>
        <v/>
      </c>
      <c r="H1913" s="34" t="n"/>
      <c r="I1913" s="34" t="n"/>
      <c r="J1913" s="33" t="n"/>
      <c r="K1913" s="28">
        <f>IF(OR(B1913="",F1913&lt;&gt;"Done",J1913="Package"),"",IF(N(G1913)-N(I1913)&gt;0,N(G1913)-N(I1913),""))</f>
        <v/>
      </c>
      <c r="L1913" s="32" t="n"/>
      <c r="M1913" s="1">
        <f>IF(OR(B1913="",D1913="",F1913="Cancelled"),"",B1913+N(C1913)+ROW()/10000000)</f>
        <v/>
      </c>
      <c r="N1913">
        <f>IF(AND(F1913="Done",M1913&lt;&gt;""),IF(COUNTIFS(Appointments!$D$6:$D$2005,D1913,Appointments!$F$6:$F$2005,"Done",Appointments!$M$6:$M$2005,"&gt;"&amp;M1913)=0,1,0),0)</f>
        <v/>
      </c>
      <c r="O1913">
        <f>IF(AND(F1913="Booked",M1913&lt;&gt;"",N(B1913)&gt;=TODAY()),IF(COUNTIFS(Appointments!$D$6:$D$2005,D1913,Appointments!$F$6:$F$2005,"Booked",Appointments!$B$6:$B$2005,"&gt;="&amp;TODAY(),Appointments!$M$6:$M$2005,"&lt;"&amp;M1913)=0,1,0),0)</f>
        <v/>
      </c>
    </row>
    <row r="1914">
      <c r="A1914" s="1" t="n"/>
      <c r="B1914" s="30" t="n"/>
      <c r="C1914" s="31" t="n"/>
      <c r="D1914" s="32" t="n"/>
      <c r="E1914" s="32" t="n"/>
      <c r="F1914" s="33" t="n"/>
      <c r="G1914" s="27">
        <f>IF(E1914="","",MAX(0,IFERROR(INDEX(Services!$C$6:$C$35,MATCH(E1914,Services!$B$6:$B$35,0)),0)-N(H1914)))</f>
        <v/>
      </c>
      <c r="H1914" s="34" t="n"/>
      <c r="I1914" s="34" t="n"/>
      <c r="J1914" s="33" t="n"/>
      <c r="K1914" s="28">
        <f>IF(OR(B1914="",F1914&lt;&gt;"Done",J1914="Package"),"",IF(N(G1914)-N(I1914)&gt;0,N(G1914)-N(I1914),""))</f>
        <v/>
      </c>
      <c r="L1914" s="32" t="n"/>
      <c r="M1914" s="1">
        <f>IF(OR(B1914="",D1914="",F1914="Cancelled"),"",B1914+N(C1914)+ROW()/10000000)</f>
        <v/>
      </c>
      <c r="N1914">
        <f>IF(AND(F1914="Done",M1914&lt;&gt;""),IF(COUNTIFS(Appointments!$D$6:$D$2005,D1914,Appointments!$F$6:$F$2005,"Done",Appointments!$M$6:$M$2005,"&gt;"&amp;M1914)=0,1,0),0)</f>
        <v/>
      </c>
      <c r="O1914">
        <f>IF(AND(F1914="Booked",M1914&lt;&gt;"",N(B1914)&gt;=TODAY()),IF(COUNTIFS(Appointments!$D$6:$D$2005,D1914,Appointments!$F$6:$F$2005,"Booked",Appointments!$B$6:$B$2005,"&gt;="&amp;TODAY(),Appointments!$M$6:$M$2005,"&lt;"&amp;M1914)=0,1,0),0)</f>
        <v/>
      </c>
    </row>
    <row r="1915">
      <c r="A1915" s="1" t="n"/>
      <c r="B1915" s="30" t="n"/>
      <c r="C1915" s="31" t="n"/>
      <c r="D1915" s="32" t="n"/>
      <c r="E1915" s="32" t="n"/>
      <c r="F1915" s="33" t="n"/>
      <c r="G1915" s="27">
        <f>IF(E1915="","",MAX(0,IFERROR(INDEX(Services!$C$6:$C$35,MATCH(E1915,Services!$B$6:$B$35,0)),0)-N(H1915)))</f>
        <v/>
      </c>
      <c r="H1915" s="34" t="n"/>
      <c r="I1915" s="34" t="n"/>
      <c r="J1915" s="33" t="n"/>
      <c r="K1915" s="28">
        <f>IF(OR(B1915="",F1915&lt;&gt;"Done",J1915="Package"),"",IF(N(G1915)-N(I1915)&gt;0,N(G1915)-N(I1915),""))</f>
        <v/>
      </c>
      <c r="L1915" s="32" t="n"/>
      <c r="M1915" s="1">
        <f>IF(OR(B1915="",D1915="",F1915="Cancelled"),"",B1915+N(C1915)+ROW()/10000000)</f>
        <v/>
      </c>
      <c r="N1915">
        <f>IF(AND(F1915="Done",M1915&lt;&gt;""),IF(COUNTIFS(Appointments!$D$6:$D$2005,D1915,Appointments!$F$6:$F$2005,"Done",Appointments!$M$6:$M$2005,"&gt;"&amp;M1915)=0,1,0),0)</f>
        <v/>
      </c>
      <c r="O1915">
        <f>IF(AND(F1915="Booked",M1915&lt;&gt;"",N(B1915)&gt;=TODAY()),IF(COUNTIFS(Appointments!$D$6:$D$2005,D1915,Appointments!$F$6:$F$2005,"Booked",Appointments!$B$6:$B$2005,"&gt;="&amp;TODAY(),Appointments!$M$6:$M$2005,"&lt;"&amp;M1915)=0,1,0),0)</f>
        <v/>
      </c>
    </row>
    <row r="1916">
      <c r="A1916" s="1" t="n"/>
      <c r="B1916" s="30" t="n"/>
      <c r="C1916" s="31" t="n"/>
      <c r="D1916" s="32" t="n"/>
      <c r="E1916" s="32" t="n"/>
      <c r="F1916" s="33" t="n"/>
      <c r="G1916" s="27">
        <f>IF(E1916="","",MAX(0,IFERROR(INDEX(Services!$C$6:$C$35,MATCH(E1916,Services!$B$6:$B$35,0)),0)-N(H1916)))</f>
        <v/>
      </c>
      <c r="H1916" s="34" t="n"/>
      <c r="I1916" s="34" t="n"/>
      <c r="J1916" s="33" t="n"/>
      <c r="K1916" s="28">
        <f>IF(OR(B1916="",F1916&lt;&gt;"Done",J1916="Package"),"",IF(N(G1916)-N(I1916)&gt;0,N(G1916)-N(I1916),""))</f>
        <v/>
      </c>
      <c r="L1916" s="32" t="n"/>
      <c r="M1916" s="1">
        <f>IF(OR(B1916="",D1916="",F1916="Cancelled"),"",B1916+N(C1916)+ROW()/10000000)</f>
        <v/>
      </c>
      <c r="N1916">
        <f>IF(AND(F1916="Done",M1916&lt;&gt;""),IF(COUNTIFS(Appointments!$D$6:$D$2005,D1916,Appointments!$F$6:$F$2005,"Done",Appointments!$M$6:$M$2005,"&gt;"&amp;M1916)=0,1,0),0)</f>
        <v/>
      </c>
      <c r="O1916">
        <f>IF(AND(F1916="Booked",M1916&lt;&gt;"",N(B1916)&gt;=TODAY()),IF(COUNTIFS(Appointments!$D$6:$D$2005,D1916,Appointments!$F$6:$F$2005,"Booked",Appointments!$B$6:$B$2005,"&gt;="&amp;TODAY(),Appointments!$M$6:$M$2005,"&lt;"&amp;M1916)=0,1,0),0)</f>
        <v/>
      </c>
    </row>
    <row r="1917">
      <c r="A1917" s="1" t="n"/>
      <c r="B1917" s="30" t="n"/>
      <c r="C1917" s="31" t="n"/>
      <c r="D1917" s="32" t="n"/>
      <c r="E1917" s="32" t="n"/>
      <c r="F1917" s="33" t="n"/>
      <c r="G1917" s="27">
        <f>IF(E1917="","",MAX(0,IFERROR(INDEX(Services!$C$6:$C$35,MATCH(E1917,Services!$B$6:$B$35,0)),0)-N(H1917)))</f>
        <v/>
      </c>
      <c r="H1917" s="34" t="n"/>
      <c r="I1917" s="34" t="n"/>
      <c r="J1917" s="33" t="n"/>
      <c r="K1917" s="28">
        <f>IF(OR(B1917="",F1917&lt;&gt;"Done",J1917="Package"),"",IF(N(G1917)-N(I1917)&gt;0,N(G1917)-N(I1917),""))</f>
        <v/>
      </c>
      <c r="L1917" s="32" t="n"/>
      <c r="M1917" s="1">
        <f>IF(OR(B1917="",D1917="",F1917="Cancelled"),"",B1917+N(C1917)+ROW()/10000000)</f>
        <v/>
      </c>
      <c r="N1917">
        <f>IF(AND(F1917="Done",M1917&lt;&gt;""),IF(COUNTIFS(Appointments!$D$6:$D$2005,D1917,Appointments!$F$6:$F$2005,"Done",Appointments!$M$6:$M$2005,"&gt;"&amp;M1917)=0,1,0),0)</f>
        <v/>
      </c>
      <c r="O1917">
        <f>IF(AND(F1917="Booked",M1917&lt;&gt;"",N(B1917)&gt;=TODAY()),IF(COUNTIFS(Appointments!$D$6:$D$2005,D1917,Appointments!$F$6:$F$2005,"Booked",Appointments!$B$6:$B$2005,"&gt;="&amp;TODAY(),Appointments!$M$6:$M$2005,"&lt;"&amp;M1917)=0,1,0),0)</f>
        <v/>
      </c>
    </row>
    <row r="1918">
      <c r="A1918" s="1" t="n"/>
      <c r="B1918" s="30" t="n"/>
      <c r="C1918" s="31" t="n"/>
      <c r="D1918" s="32" t="n"/>
      <c r="E1918" s="32" t="n"/>
      <c r="F1918" s="33" t="n"/>
      <c r="G1918" s="27">
        <f>IF(E1918="","",MAX(0,IFERROR(INDEX(Services!$C$6:$C$35,MATCH(E1918,Services!$B$6:$B$35,0)),0)-N(H1918)))</f>
        <v/>
      </c>
      <c r="H1918" s="34" t="n"/>
      <c r="I1918" s="34" t="n"/>
      <c r="J1918" s="33" t="n"/>
      <c r="K1918" s="28">
        <f>IF(OR(B1918="",F1918&lt;&gt;"Done",J1918="Package"),"",IF(N(G1918)-N(I1918)&gt;0,N(G1918)-N(I1918),""))</f>
        <v/>
      </c>
      <c r="L1918" s="32" t="n"/>
      <c r="M1918" s="1">
        <f>IF(OR(B1918="",D1918="",F1918="Cancelled"),"",B1918+N(C1918)+ROW()/10000000)</f>
        <v/>
      </c>
      <c r="N1918">
        <f>IF(AND(F1918="Done",M1918&lt;&gt;""),IF(COUNTIFS(Appointments!$D$6:$D$2005,D1918,Appointments!$F$6:$F$2005,"Done",Appointments!$M$6:$M$2005,"&gt;"&amp;M1918)=0,1,0),0)</f>
        <v/>
      </c>
      <c r="O1918">
        <f>IF(AND(F1918="Booked",M1918&lt;&gt;"",N(B1918)&gt;=TODAY()),IF(COUNTIFS(Appointments!$D$6:$D$2005,D1918,Appointments!$F$6:$F$2005,"Booked",Appointments!$B$6:$B$2005,"&gt;="&amp;TODAY(),Appointments!$M$6:$M$2005,"&lt;"&amp;M1918)=0,1,0),0)</f>
        <v/>
      </c>
    </row>
    <row r="1919">
      <c r="A1919" s="1" t="n"/>
      <c r="B1919" s="30" t="n"/>
      <c r="C1919" s="31" t="n"/>
      <c r="D1919" s="32" t="n"/>
      <c r="E1919" s="32" t="n"/>
      <c r="F1919" s="33" t="n"/>
      <c r="G1919" s="27">
        <f>IF(E1919="","",MAX(0,IFERROR(INDEX(Services!$C$6:$C$35,MATCH(E1919,Services!$B$6:$B$35,0)),0)-N(H1919)))</f>
        <v/>
      </c>
      <c r="H1919" s="34" t="n"/>
      <c r="I1919" s="34" t="n"/>
      <c r="J1919" s="33" t="n"/>
      <c r="K1919" s="28">
        <f>IF(OR(B1919="",F1919&lt;&gt;"Done",J1919="Package"),"",IF(N(G1919)-N(I1919)&gt;0,N(G1919)-N(I1919),""))</f>
        <v/>
      </c>
      <c r="L1919" s="32" t="n"/>
      <c r="M1919" s="1">
        <f>IF(OR(B1919="",D1919="",F1919="Cancelled"),"",B1919+N(C1919)+ROW()/10000000)</f>
        <v/>
      </c>
      <c r="N1919">
        <f>IF(AND(F1919="Done",M1919&lt;&gt;""),IF(COUNTIFS(Appointments!$D$6:$D$2005,D1919,Appointments!$F$6:$F$2005,"Done",Appointments!$M$6:$M$2005,"&gt;"&amp;M1919)=0,1,0),0)</f>
        <v/>
      </c>
      <c r="O1919">
        <f>IF(AND(F1919="Booked",M1919&lt;&gt;"",N(B1919)&gt;=TODAY()),IF(COUNTIFS(Appointments!$D$6:$D$2005,D1919,Appointments!$F$6:$F$2005,"Booked",Appointments!$B$6:$B$2005,"&gt;="&amp;TODAY(),Appointments!$M$6:$M$2005,"&lt;"&amp;M1919)=0,1,0),0)</f>
        <v/>
      </c>
    </row>
    <row r="1920">
      <c r="A1920" s="1" t="n"/>
      <c r="B1920" s="30" t="n"/>
      <c r="C1920" s="31" t="n"/>
      <c r="D1920" s="32" t="n"/>
      <c r="E1920" s="32" t="n"/>
      <c r="F1920" s="33" t="n"/>
      <c r="G1920" s="27">
        <f>IF(E1920="","",MAX(0,IFERROR(INDEX(Services!$C$6:$C$35,MATCH(E1920,Services!$B$6:$B$35,0)),0)-N(H1920)))</f>
        <v/>
      </c>
      <c r="H1920" s="34" t="n"/>
      <c r="I1920" s="34" t="n"/>
      <c r="J1920" s="33" t="n"/>
      <c r="K1920" s="28">
        <f>IF(OR(B1920="",F1920&lt;&gt;"Done",J1920="Package"),"",IF(N(G1920)-N(I1920)&gt;0,N(G1920)-N(I1920),""))</f>
        <v/>
      </c>
      <c r="L1920" s="32" t="n"/>
      <c r="M1920" s="1">
        <f>IF(OR(B1920="",D1920="",F1920="Cancelled"),"",B1920+N(C1920)+ROW()/10000000)</f>
        <v/>
      </c>
      <c r="N1920">
        <f>IF(AND(F1920="Done",M1920&lt;&gt;""),IF(COUNTIFS(Appointments!$D$6:$D$2005,D1920,Appointments!$F$6:$F$2005,"Done",Appointments!$M$6:$M$2005,"&gt;"&amp;M1920)=0,1,0),0)</f>
        <v/>
      </c>
      <c r="O1920">
        <f>IF(AND(F1920="Booked",M1920&lt;&gt;"",N(B1920)&gt;=TODAY()),IF(COUNTIFS(Appointments!$D$6:$D$2005,D1920,Appointments!$F$6:$F$2005,"Booked",Appointments!$B$6:$B$2005,"&gt;="&amp;TODAY(),Appointments!$M$6:$M$2005,"&lt;"&amp;M1920)=0,1,0),0)</f>
        <v/>
      </c>
    </row>
    <row r="1921">
      <c r="A1921" s="1" t="n"/>
      <c r="B1921" s="30" t="n"/>
      <c r="C1921" s="31" t="n"/>
      <c r="D1921" s="32" t="n"/>
      <c r="E1921" s="32" t="n"/>
      <c r="F1921" s="33" t="n"/>
      <c r="G1921" s="27">
        <f>IF(E1921="","",MAX(0,IFERROR(INDEX(Services!$C$6:$C$35,MATCH(E1921,Services!$B$6:$B$35,0)),0)-N(H1921)))</f>
        <v/>
      </c>
      <c r="H1921" s="34" t="n"/>
      <c r="I1921" s="34" t="n"/>
      <c r="J1921" s="33" t="n"/>
      <c r="K1921" s="28">
        <f>IF(OR(B1921="",F1921&lt;&gt;"Done",J1921="Package"),"",IF(N(G1921)-N(I1921)&gt;0,N(G1921)-N(I1921),""))</f>
        <v/>
      </c>
      <c r="L1921" s="32" t="n"/>
      <c r="M1921" s="1">
        <f>IF(OR(B1921="",D1921="",F1921="Cancelled"),"",B1921+N(C1921)+ROW()/10000000)</f>
        <v/>
      </c>
      <c r="N1921">
        <f>IF(AND(F1921="Done",M1921&lt;&gt;""),IF(COUNTIFS(Appointments!$D$6:$D$2005,D1921,Appointments!$F$6:$F$2005,"Done",Appointments!$M$6:$M$2005,"&gt;"&amp;M1921)=0,1,0),0)</f>
        <v/>
      </c>
      <c r="O1921">
        <f>IF(AND(F1921="Booked",M1921&lt;&gt;"",N(B1921)&gt;=TODAY()),IF(COUNTIFS(Appointments!$D$6:$D$2005,D1921,Appointments!$F$6:$F$2005,"Booked",Appointments!$B$6:$B$2005,"&gt;="&amp;TODAY(),Appointments!$M$6:$M$2005,"&lt;"&amp;M1921)=0,1,0),0)</f>
        <v/>
      </c>
    </row>
    <row r="1922">
      <c r="A1922" s="1" t="n"/>
      <c r="B1922" s="30" t="n"/>
      <c r="C1922" s="31" t="n"/>
      <c r="D1922" s="32" t="n"/>
      <c r="E1922" s="32" t="n"/>
      <c r="F1922" s="33" t="n"/>
      <c r="G1922" s="27">
        <f>IF(E1922="","",MAX(0,IFERROR(INDEX(Services!$C$6:$C$35,MATCH(E1922,Services!$B$6:$B$35,0)),0)-N(H1922)))</f>
        <v/>
      </c>
      <c r="H1922" s="34" t="n"/>
      <c r="I1922" s="34" t="n"/>
      <c r="J1922" s="33" t="n"/>
      <c r="K1922" s="28">
        <f>IF(OR(B1922="",F1922&lt;&gt;"Done",J1922="Package"),"",IF(N(G1922)-N(I1922)&gt;0,N(G1922)-N(I1922),""))</f>
        <v/>
      </c>
      <c r="L1922" s="32" t="n"/>
      <c r="M1922" s="1">
        <f>IF(OR(B1922="",D1922="",F1922="Cancelled"),"",B1922+N(C1922)+ROW()/10000000)</f>
        <v/>
      </c>
      <c r="N1922">
        <f>IF(AND(F1922="Done",M1922&lt;&gt;""),IF(COUNTIFS(Appointments!$D$6:$D$2005,D1922,Appointments!$F$6:$F$2005,"Done",Appointments!$M$6:$M$2005,"&gt;"&amp;M1922)=0,1,0),0)</f>
        <v/>
      </c>
      <c r="O1922">
        <f>IF(AND(F1922="Booked",M1922&lt;&gt;"",N(B1922)&gt;=TODAY()),IF(COUNTIFS(Appointments!$D$6:$D$2005,D1922,Appointments!$F$6:$F$2005,"Booked",Appointments!$B$6:$B$2005,"&gt;="&amp;TODAY(),Appointments!$M$6:$M$2005,"&lt;"&amp;M1922)=0,1,0),0)</f>
        <v/>
      </c>
    </row>
    <row r="1923">
      <c r="A1923" s="1" t="n"/>
      <c r="B1923" s="30" t="n"/>
      <c r="C1923" s="31" t="n"/>
      <c r="D1923" s="32" t="n"/>
      <c r="E1923" s="32" t="n"/>
      <c r="F1923" s="33" t="n"/>
      <c r="G1923" s="27">
        <f>IF(E1923="","",MAX(0,IFERROR(INDEX(Services!$C$6:$C$35,MATCH(E1923,Services!$B$6:$B$35,0)),0)-N(H1923)))</f>
        <v/>
      </c>
      <c r="H1923" s="34" t="n"/>
      <c r="I1923" s="34" t="n"/>
      <c r="J1923" s="33" t="n"/>
      <c r="K1923" s="28">
        <f>IF(OR(B1923="",F1923&lt;&gt;"Done",J1923="Package"),"",IF(N(G1923)-N(I1923)&gt;0,N(G1923)-N(I1923),""))</f>
        <v/>
      </c>
      <c r="L1923" s="32" t="n"/>
      <c r="M1923" s="1">
        <f>IF(OR(B1923="",D1923="",F1923="Cancelled"),"",B1923+N(C1923)+ROW()/10000000)</f>
        <v/>
      </c>
      <c r="N1923">
        <f>IF(AND(F1923="Done",M1923&lt;&gt;""),IF(COUNTIFS(Appointments!$D$6:$D$2005,D1923,Appointments!$F$6:$F$2005,"Done",Appointments!$M$6:$M$2005,"&gt;"&amp;M1923)=0,1,0),0)</f>
        <v/>
      </c>
      <c r="O1923">
        <f>IF(AND(F1923="Booked",M1923&lt;&gt;"",N(B1923)&gt;=TODAY()),IF(COUNTIFS(Appointments!$D$6:$D$2005,D1923,Appointments!$F$6:$F$2005,"Booked",Appointments!$B$6:$B$2005,"&gt;="&amp;TODAY(),Appointments!$M$6:$M$2005,"&lt;"&amp;M1923)=0,1,0),0)</f>
        <v/>
      </c>
    </row>
    <row r="1924">
      <c r="A1924" s="1" t="n"/>
      <c r="B1924" s="30" t="n"/>
      <c r="C1924" s="31" t="n"/>
      <c r="D1924" s="32" t="n"/>
      <c r="E1924" s="32" t="n"/>
      <c r="F1924" s="33" t="n"/>
      <c r="G1924" s="27">
        <f>IF(E1924="","",MAX(0,IFERROR(INDEX(Services!$C$6:$C$35,MATCH(E1924,Services!$B$6:$B$35,0)),0)-N(H1924)))</f>
        <v/>
      </c>
      <c r="H1924" s="34" t="n"/>
      <c r="I1924" s="34" t="n"/>
      <c r="J1924" s="33" t="n"/>
      <c r="K1924" s="28">
        <f>IF(OR(B1924="",F1924&lt;&gt;"Done",J1924="Package"),"",IF(N(G1924)-N(I1924)&gt;0,N(G1924)-N(I1924),""))</f>
        <v/>
      </c>
      <c r="L1924" s="32" t="n"/>
      <c r="M1924" s="1">
        <f>IF(OR(B1924="",D1924="",F1924="Cancelled"),"",B1924+N(C1924)+ROW()/10000000)</f>
        <v/>
      </c>
      <c r="N1924">
        <f>IF(AND(F1924="Done",M1924&lt;&gt;""),IF(COUNTIFS(Appointments!$D$6:$D$2005,D1924,Appointments!$F$6:$F$2005,"Done",Appointments!$M$6:$M$2005,"&gt;"&amp;M1924)=0,1,0),0)</f>
        <v/>
      </c>
      <c r="O1924">
        <f>IF(AND(F1924="Booked",M1924&lt;&gt;"",N(B1924)&gt;=TODAY()),IF(COUNTIFS(Appointments!$D$6:$D$2005,D1924,Appointments!$F$6:$F$2005,"Booked",Appointments!$B$6:$B$2005,"&gt;="&amp;TODAY(),Appointments!$M$6:$M$2005,"&lt;"&amp;M1924)=0,1,0),0)</f>
        <v/>
      </c>
    </row>
    <row r="1925">
      <c r="A1925" s="1" t="n"/>
      <c r="B1925" s="30" t="n"/>
      <c r="C1925" s="31" t="n"/>
      <c r="D1925" s="32" t="n"/>
      <c r="E1925" s="32" t="n"/>
      <c r="F1925" s="33" t="n"/>
      <c r="G1925" s="27">
        <f>IF(E1925="","",MAX(0,IFERROR(INDEX(Services!$C$6:$C$35,MATCH(E1925,Services!$B$6:$B$35,0)),0)-N(H1925)))</f>
        <v/>
      </c>
      <c r="H1925" s="34" t="n"/>
      <c r="I1925" s="34" t="n"/>
      <c r="J1925" s="33" t="n"/>
      <c r="K1925" s="28">
        <f>IF(OR(B1925="",F1925&lt;&gt;"Done",J1925="Package"),"",IF(N(G1925)-N(I1925)&gt;0,N(G1925)-N(I1925),""))</f>
        <v/>
      </c>
      <c r="L1925" s="32" t="n"/>
      <c r="M1925" s="1">
        <f>IF(OR(B1925="",D1925="",F1925="Cancelled"),"",B1925+N(C1925)+ROW()/10000000)</f>
        <v/>
      </c>
      <c r="N1925">
        <f>IF(AND(F1925="Done",M1925&lt;&gt;""),IF(COUNTIFS(Appointments!$D$6:$D$2005,D1925,Appointments!$F$6:$F$2005,"Done",Appointments!$M$6:$M$2005,"&gt;"&amp;M1925)=0,1,0),0)</f>
        <v/>
      </c>
      <c r="O1925">
        <f>IF(AND(F1925="Booked",M1925&lt;&gt;"",N(B1925)&gt;=TODAY()),IF(COUNTIFS(Appointments!$D$6:$D$2005,D1925,Appointments!$F$6:$F$2005,"Booked",Appointments!$B$6:$B$2005,"&gt;="&amp;TODAY(),Appointments!$M$6:$M$2005,"&lt;"&amp;M1925)=0,1,0),0)</f>
        <v/>
      </c>
    </row>
    <row r="1926">
      <c r="A1926" s="1" t="n"/>
      <c r="B1926" s="30" t="n"/>
      <c r="C1926" s="31" t="n"/>
      <c r="D1926" s="32" t="n"/>
      <c r="E1926" s="32" t="n"/>
      <c r="F1926" s="33" t="n"/>
      <c r="G1926" s="27">
        <f>IF(E1926="","",MAX(0,IFERROR(INDEX(Services!$C$6:$C$35,MATCH(E1926,Services!$B$6:$B$35,0)),0)-N(H1926)))</f>
        <v/>
      </c>
      <c r="H1926" s="34" t="n"/>
      <c r="I1926" s="34" t="n"/>
      <c r="J1926" s="33" t="n"/>
      <c r="K1926" s="28">
        <f>IF(OR(B1926="",F1926&lt;&gt;"Done",J1926="Package"),"",IF(N(G1926)-N(I1926)&gt;0,N(G1926)-N(I1926),""))</f>
        <v/>
      </c>
      <c r="L1926" s="32" t="n"/>
      <c r="M1926" s="1">
        <f>IF(OR(B1926="",D1926="",F1926="Cancelled"),"",B1926+N(C1926)+ROW()/10000000)</f>
        <v/>
      </c>
      <c r="N1926">
        <f>IF(AND(F1926="Done",M1926&lt;&gt;""),IF(COUNTIFS(Appointments!$D$6:$D$2005,D1926,Appointments!$F$6:$F$2005,"Done",Appointments!$M$6:$M$2005,"&gt;"&amp;M1926)=0,1,0),0)</f>
        <v/>
      </c>
      <c r="O1926">
        <f>IF(AND(F1926="Booked",M1926&lt;&gt;"",N(B1926)&gt;=TODAY()),IF(COUNTIFS(Appointments!$D$6:$D$2005,D1926,Appointments!$F$6:$F$2005,"Booked",Appointments!$B$6:$B$2005,"&gt;="&amp;TODAY(),Appointments!$M$6:$M$2005,"&lt;"&amp;M1926)=0,1,0),0)</f>
        <v/>
      </c>
    </row>
    <row r="1927">
      <c r="A1927" s="1" t="n"/>
      <c r="B1927" s="30" t="n"/>
      <c r="C1927" s="31" t="n"/>
      <c r="D1927" s="32" t="n"/>
      <c r="E1927" s="32" t="n"/>
      <c r="F1927" s="33" t="n"/>
      <c r="G1927" s="27">
        <f>IF(E1927="","",MAX(0,IFERROR(INDEX(Services!$C$6:$C$35,MATCH(E1927,Services!$B$6:$B$35,0)),0)-N(H1927)))</f>
        <v/>
      </c>
      <c r="H1927" s="34" t="n"/>
      <c r="I1927" s="34" t="n"/>
      <c r="J1927" s="33" t="n"/>
      <c r="K1927" s="28">
        <f>IF(OR(B1927="",F1927&lt;&gt;"Done",J1927="Package"),"",IF(N(G1927)-N(I1927)&gt;0,N(G1927)-N(I1927),""))</f>
        <v/>
      </c>
      <c r="L1927" s="32" t="n"/>
      <c r="M1927" s="1">
        <f>IF(OR(B1927="",D1927="",F1927="Cancelled"),"",B1927+N(C1927)+ROW()/10000000)</f>
        <v/>
      </c>
      <c r="N1927">
        <f>IF(AND(F1927="Done",M1927&lt;&gt;""),IF(COUNTIFS(Appointments!$D$6:$D$2005,D1927,Appointments!$F$6:$F$2005,"Done",Appointments!$M$6:$M$2005,"&gt;"&amp;M1927)=0,1,0),0)</f>
        <v/>
      </c>
      <c r="O1927">
        <f>IF(AND(F1927="Booked",M1927&lt;&gt;"",N(B1927)&gt;=TODAY()),IF(COUNTIFS(Appointments!$D$6:$D$2005,D1927,Appointments!$F$6:$F$2005,"Booked",Appointments!$B$6:$B$2005,"&gt;="&amp;TODAY(),Appointments!$M$6:$M$2005,"&lt;"&amp;M1927)=0,1,0),0)</f>
        <v/>
      </c>
    </row>
    <row r="1928">
      <c r="A1928" s="1" t="n"/>
      <c r="B1928" s="30" t="n"/>
      <c r="C1928" s="31" t="n"/>
      <c r="D1928" s="32" t="n"/>
      <c r="E1928" s="32" t="n"/>
      <c r="F1928" s="33" t="n"/>
      <c r="G1928" s="27">
        <f>IF(E1928="","",MAX(0,IFERROR(INDEX(Services!$C$6:$C$35,MATCH(E1928,Services!$B$6:$B$35,0)),0)-N(H1928)))</f>
        <v/>
      </c>
      <c r="H1928" s="34" t="n"/>
      <c r="I1928" s="34" t="n"/>
      <c r="J1928" s="33" t="n"/>
      <c r="K1928" s="28">
        <f>IF(OR(B1928="",F1928&lt;&gt;"Done",J1928="Package"),"",IF(N(G1928)-N(I1928)&gt;0,N(G1928)-N(I1928),""))</f>
        <v/>
      </c>
      <c r="L1928" s="32" t="n"/>
      <c r="M1928" s="1">
        <f>IF(OR(B1928="",D1928="",F1928="Cancelled"),"",B1928+N(C1928)+ROW()/10000000)</f>
        <v/>
      </c>
      <c r="N1928">
        <f>IF(AND(F1928="Done",M1928&lt;&gt;""),IF(COUNTIFS(Appointments!$D$6:$D$2005,D1928,Appointments!$F$6:$F$2005,"Done",Appointments!$M$6:$M$2005,"&gt;"&amp;M1928)=0,1,0),0)</f>
        <v/>
      </c>
      <c r="O1928">
        <f>IF(AND(F1928="Booked",M1928&lt;&gt;"",N(B1928)&gt;=TODAY()),IF(COUNTIFS(Appointments!$D$6:$D$2005,D1928,Appointments!$F$6:$F$2005,"Booked",Appointments!$B$6:$B$2005,"&gt;="&amp;TODAY(),Appointments!$M$6:$M$2005,"&lt;"&amp;M1928)=0,1,0),0)</f>
        <v/>
      </c>
    </row>
    <row r="1929">
      <c r="A1929" s="1" t="n"/>
      <c r="B1929" s="30" t="n"/>
      <c r="C1929" s="31" t="n"/>
      <c r="D1929" s="32" t="n"/>
      <c r="E1929" s="32" t="n"/>
      <c r="F1929" s="33" t="n"/>
      <c r="G1929" s="27">
        <f>IF(E1929="","",MAX(0,IFERROR(INDEX(Services!$C$6:$C$35,MATCH(E1929,Services!$B$6:$B$35,0)),0)-N(H1929)))</f>
        <v/>
      </c>
      <c r="H1929" s="34" t="n"/>
      <c r="I1929" s="34" t="n"/>
      <c r="J1929" s="33" t="n"/>
      <c r="K1929" s="28">
        <f>IF(OR(B1929="",F1929&lt;&gt;"Done",J1929="Package"),"",IF(N(G1929)-N(I1929)&gt;0,N(G1929)-N(I1929),""))</f>
        <v/>
      </c>
      <c r="L1929" s="32" t="n"/>
      <c r="M1929" s="1">
        <f>IF(OR(B1929="",D1929="",F1929="Cancelled"),"",B1929+N(C1929)+ROW()/10000000)</f>
        <v/>
      </c>
      <c r="N1929">
        <f>IF(AND(F1929="Done",M1929&lt;&gt;""),IF(COUNTIFS(Appointments!$D$6:$D$2005,D1929,Appointments!$F$6:$F$2005,"Done",Appointments!$M$6:$M$2005,"&gt;"&amp;M1929)=0,1,0),0)</f>
        <v/>
      </c>
      <c r="O1929">
        <f>IF(AND(F1929="Booked",M1929&lt;&gt;"",N(B1929)&gt;=TODAY()),IF(COUNTIFS(Appointments!$D$6:$D$2005,D1929,Appointments!$F$6:$F$2005,"Booked",Appointments!$B$6:$B$2005,"&gt;="&amp;TODAY(),Appointments!$M$6:$M$2005,"&lt;"&amp;M1929)=0,1,0),0)</f>
        <v/>
      </c>
    </row>
    <row r="1930">
      <c r="A1930" s="1" t="n"/>
      <c r="B1930" s="30" t="n"/>
      <c r="C1930" s="31" t="n"/>
      <c r="D1930" s="32" t="n"/>
      <c r="E1930" s="32" t="n"/>
      <c r="F1930" s="33" t="n"/>
      <c r="G1930" s="27">
        <f>IF(E1930="","",MAX(0,IFERROR(INDEX(Services!$C$6:$C$35,MATCH(E1930,Services!$B$6:$B$35,0)),0)-N(H1930)))</f>
        <v/>
      </c>
      <c r="H1930" s="34" t="n"/>
      <c r="I1930" s="34" t="n"/>
      <c r="J1930" s="33" t="n"/>
      <c r="K1930" s="28">
        <f>IF(OR(B1930="",F1930&lt;&gt;"Done",J1930="Package"),"",IF(N(G1930)-N(I1930)&gt;0,N(G1930)-N(I1930),""))</f>
        <v/>
      </c>
      <c r="L1930" s="32" t="n"/>
      <c r="M1930" s="1">
        <f>IF(OR(B1930="",D1930="",F1930="Cancelled"),"",B1930+N(C1930)+ROW()/10000000)</f>
        <v/>
      </c>
      <c r="N1930">
        <f>IF(AND(F1930="Done",M1930&lt;&gt;""),IF(COUNTIFS(Appointments!$D$6:$D$2005,D1930,Appointments!$F$6:$F$2005,"Done",Appointments!$M$6:$M$2005,"&gt;"&amp;M1930)=0,1,0),0)</f>
        <v/>
      </c>
      <c r="O1930">
        <f>IF(AND(F1930="Booked",M1930&lt;&gt;"",N(B1930)&gt;=TODAY()),IF(COUNTIFS(Appointments!$D$6:$D$2005,D1930,Appointments!$F$6:$F$2005,"Booked",Appointments!$B$6:$B$2005,"&gt;="&amp;TODAY(),Appointments!$M$6:$M$2005,"&lt;"&amp;M1930)=0,1,0),0)</f>
        <v/>
      </c>
    </row>
    <row r="1931">
      <c r="A1931" s="1" t="n"/>
      <c r="B1931" s="30" t="n"/>
      <c r="C1931" s="31" t="n"/>
      <c r="D1931" s="32" t="n"/>
      <c r="E1931" s="32" t="n"/>
      <c r="F1931" s="33" t="n"/>
      <c r="G1931" s="27">
        <f>IF(E1931="","",MAX(0,IFERROR(INDEX(Services!$C$6:$C$35,MATCH(E1931,Services!$B$6:$B$35,0)),0)-N(H1931)))</f>
        <v/>
      </c>
      <c r="H1931" s="34" t="n"/>
      <c r="I1931" s="34" t="n"/>
      <c r="J1931" s="33" t="n"/>
      <c r="K1931" s="28">
        <f>IF(OR(B1931="",F1931&lt;&gt;"Done",J1931="Package"),"",IF(N(G1931)-N(I1931)&gt;0,N(G1931)-N(I1931),""))</f>
        <v/>
      </c>
      <c r="L1931" s="32" t="n"/>
      <c r="M1931" s="1">
        <f>IF(OR(B1931="",D1931="",F1931="Cancelled"),"",B1931+N(C1931)+ROW()/10000000)</f>
        <v/>
      </c>
      <c r="N1931">
        <f>IF(AND(F1931="Done",M1931&lt;&gt;""),IF(COUNTIFS(Appointments!$D$6:$D$2005,D1931,Appointments!$F$6:$F$2005,"Done",Appointments!$M$6:$M$2005,"&gt;"&amp;M1931)=0,1,0),0)</f>
        <v/>
      </c>
      <c r="O1931">
        <f>IF(AND(F1931="Booked",M1931&lt;&gt;"",N(B1931)&gt;=TODAY()),IF(COUNTIFS(Appointments!$D$6:$D$2005,D1931,Appointments!$F$6:$F$2005,"Booked",Appointments!$B$6:$B$2005,"&gt;="&amp;TODAY(),Appointments!$M$6:$M$2005,"&lt;"&amp;M1931)=0,1,0),0)</f>
        <v/>
      </c>
    </row>
    <row r="1932">
      <c r="A1932" s="1" t="n"/>
      <c r="B1932" s="30" t="n"/>
      <c r="C1932" s="31" t="n"/>
      <c r="D1932" s="32" t="n"/>
      <c r="E1932" s="32" t="n"/>
      <c r="F1932" s="33" t="n"/>
      <c r="G1932" s="27">
        <f>IF(E1932="","",MAX(0,IFERROR(INDEX(Services!$C$6:$C$35,MATCH(E1932,Services!$B$6:$B$35,0)),0)-N(H1932)))</f>
        <v/>
      </c>
      <c r="H1932" s="34" t="n"/>
      <c r="I1932" s="34" t="n"/>
      <c r="J1932" s="33" t="n"/>
      <c r="K1932" s="28">
        <f>IF(OR(B1932="",F1932&lt;&gt;"Done",J1932="Package"),"",IF(N(G1932)-N(I1932)&gt;0,N(G1932)-N(I1932),""))</f>
        <v/>
      </c>
      <c r="L1932" s="32" t="n"/>
      <c r="M1932" s="1">
        <f>IF(OR(B1932="",D1932="",F1932="Cancelled"),"",B1932+N(C1932)+ROW()/10000000)</f>
        <v/>
      </c>
      <c r="N1932">
        <f>IF(AND(F1932="Done",M1932&lt;&gt;""),IF(COUNTIFS(Appointments!$D$6:$D$2005,D1932,Appointments!$F$6:$F$2005,"Done",Appointments!$M$6:$M$2005,"&gt;"&amp;M1932)=0,1,0),0)</f>
        <v/>
      </c>
      <c r="O1932">
        <f>IF(AND(F1932="Booked",M1932&lt;&gt;"",N(B1932)&gt;=TODAY()),IF(COUNTIFS(Appointments!$D$6:$D$2005,D1932,Appointments!$F$6:$F$2005,"Booked",Appointments!$B$6:$B$2005,"&gt;="&amp;TODAY(),Appointments!$M$6:$M$2005,"&lt;"&amp;M1932)=0,1,0),0)</f>
        <v/>
      </c>
    </row>
    <row r="1933">
      <c r="A1933" s="1" t="n"/>
      <c r="B1933" s="30" t="n"/>
      <c r="C1933" s="31" t="n"/>
      <c r="D1933" s="32" t="n"/>
      <c r="E1933" s="32" t="n"/>
      <c r="F1933" s="33" t="n"/>
      <c r="G1933" s="27">
        <f>IF(E1933="","",MAX(0,IFERROR(INDEX(Services!$C$6:$C$35,MATCH(E1933,Services!$B$6:$B$35,0)),0)-N(H1933)))</f>
        <v/>
      </c>
      <c r="H1933" s="34" t="n"/>
      <c r="I1933" s="34" t="n"/>
      <c r="J1933" s="33" t="n"/>
      <c r="K1933" s="28">
        <f>IF(OR(B1933="",F1933&lt;&gt;"Done",J1933="Package"),"",IF(N(G1933)-N(I1933)&gt;0,N(G1933)-N(I1933),""))</f>
        <v/>
      </c>
      <c r="L1933" s="32" t="n"/>
      <c r="M1933" s="1">
        <f>IF(OR(B1933="",D1933="",F1933="Cancelled"),"",B1933+N(C1933)+ROW()/10000000)</f>
        <v/>
      </c>
      <c r="N1933">
        <f>IF(AND(F1933="Done",M1933&lt;&gt;""),IF(COUNTIFS(Appointments!$D$6:$D$2005,D1933,Appointments!$F$6:$F$2005,"Done",Appointments!$M$6:$M$2005,"&gt;"&amp;M1933)=0,1,0),0)</f>
        <v/>
      </c>
      <c r="O1933">
        <f>IF(AND(F1933="Booked",M1933&lt;&gt;"",N(B1933)&gt;=TODAY()),IF(COUNTIFS(Appointments!$D$6:$D$2005,D1933,Appointments!$F$6:$F$2005,"Booked",Appointments!$B$6:$B$2005,"&gt;="&amp;TODAY(),Appointments!$M$6:$M$2005,"&lt;"&amp;M1933)=0,1,0),0)</f>
        <v/>
      </c>
    </row>
    <row r="1934">
      <c r="A1934" s="1" t="n"/>
      <c r="B1934" s="30" t="n"/>
      <c r="C1934" s="31" t="n"/>
      <c r="D1934" s="32" t="n"/>
      <c r="E1934" s="32" t="n"/>
      <c r="F1934" s="33" t="n"/>
      <c r="G1934" s="27">
        <f>IF(E1934="","",MAX(0,IFERROR(INDEX(Services!$C$6:$C$35,MATCH(E1934,Services!$B$6:$B$35,0)),0)-N(H1934)))</f>
        <v/>
      </c>
      <c r="H1934" s="34" t="n"/>
      <c r="I1934" s="34" t="n"/>
      <c r="J1934" s="33" t="n"/>
      <c r="K1934" s="28">
        <f>IF(OR(B1934="",F1934&lt;&gt;"Done",J1934="Package"),"",IF(N(G1934)-N(I1934)&gt;0,N(G1934)-N(I1934),""))</f>
        <v/>
      </c>
      <c r="L1934" s="32" t="n"/>
      <c r="M1934" s="1">
        <f>IF(OR(B1934="",D1934="",F1934="Cancelled"),"",B1934+N(C1934)+ROW()/10000000)</f>
        <v/>
      </c>
      <c r="N1934">
        <f>IF(AND(F1934="Done",M1934&lt;&gt;""),IF(COUNTIFS(Appointments!$D$6:$D$2005,D1934,Appointments!$F$6:$F$2005,"Done",Appointments!$M$6:$M$2005,"&gt;"&amp;M1934)=0,1,0),0)</f>
        <v/>
      </c>
      <c r="O1934">
        <f>IF(AND(F1934="Booked",M1934&lt;&gt;"",N(B1934)&gt;=TODAY()),IF(COUNTIFS(Appointments!$D$6:$D$2005,D1934,Appointments!$F$6:$F$2005,"Booked",Appointments!$B$6:$B$2005,"&gt;="&amp;TODAY(),Appointments!$M$6:$M$2005,"&lt;"&amp;M1934)=0,1,0),0)</f>
        <v/>
      </c>
    </row>
    <row r="1935">
      <c r="A1935" s="1" t="n"/>
      <c r="B1935" s="30" t="n"/>
      <c r="C1935" s="31" t="n"/>
      <c r="D1935" s="32" t="n"/>
      <c r="E1935" s="32" t="n"/>
      <c r="F1935" s="33" t="n"/>
      <c r="G1935" s="27">
        <f>IF(E1935="","",MAX(0,IFERROR(INDEX(Services!$C$6:$C$35,MATCH(E1935,Services!$B$6:$B$35,0)),0)-N(H1935)))</f>
        <v/>
      </c>
      <c r="H1935" s="34" t="n"/>
      <c r="I1935" s="34" t="n"/>
      <c r="J1935" s="33" t="n"/>
      <c r="K1935" s="28">
        <f>IF(OR(B1935="",F1935&lt;&gt;"Done",J1935="Package"),"",IF(N(G1935)-N(I1935)&gt;0,N(G1935)-N(I1935),""))</f>
        <v/>
      </c>
      <c r="L1935" s="32" t="n"/>
      <c r="M1935" s="1">
        <f>IF(OR(B1935="",D1935="",F1935="Cancelled"),"",B1935+N(C1935)+ROW()/10000000)</f>
        <v/>
      </c>
      <c r="N1935">
        <f>IF(AND(F1935="Done",M1935&lt;&gt;""),IF(COUNTIFS(Appointments!$D$6:$D$2005,D1935,Appointments!$F$6:$F$2005,"Done",Appointments!$M$6:$M$2005,"&gt;"&amp;M1935)=0,1,0),0)</f>
        <v/>
      </c>
      <c r="O1935">
        <f>IF(AND(F1935="Booked",M1935&lt;&gt;"",N(B1935)&gt;=TODAY()),IF(COUNTIFS(Appointments!$D$6:$D$2005,D1935,Appointments!$F$6:$F$2005,"Booked",Appointments!$B$6:$B$2005,"&gt;="&amp;TODAY(),Appointments!$M$6:$M$2005,"&lt;"&amp;M1935)=0,1,0),0)</f>
        <v/>
      </c>
    </row>
    <row r="1936">
      <c r="A1936" s="1" t="n"/>
      <c r="B1936" s="30" t="n"/>
      <c r="C1936" s="31" t="n"/>
      <c r="D1936" s="32" t="n"/>
      <c r="E1936" s="32" t="n"/>
      <c r="F1936" s="33" t="n"/>
      <c r="G1936" s="27">
        <f>IF(E1936="","",MAX(0,IFERROR(INDEX(Services!$C$6:$C$35,MATCH(E1936,Services!$B$6:$B$35,0)),0)-N(H1936)))</f>
        <v/>
      </c>
      <c r="H1936" s="34" t="n"/>
      <c r="I1936" s="34" t="n"/>
      <c r="J1936" s="33" t="n"/>
      <c r="K1936" s="28">
        <f>IF(OR(B1936="",F1936&lt;&gt;"Done",J1936="Package"),"",IF(N(G1936)-N(I1936)&gt;0,N(G1936)-N(I1936),""))</f>
        <v/>
      </c>
      <c r="L1936" s="32" t="n"/>
      <c r="M1936" s="1">
        <f>IF(OR(B1936="",D1936="",F1936="Cancelled"),"",B1936+N(C1936)+ROW()/10000000)</f>
        <v/>
      </c>
      <c r="N1936">
        <f>IF(AND(F1936="Done",M1936&lt;&gt;""),IF(COUNTIFS(Appointments!$D$6:$D$2005,D1936,Appointments!$F$6:$F$2005,"Done",Appointments!$M$6:$M$2005,"&gt;"&amp;M1936)=0,1,0),0)</f>
        <v/>
      </c>
      <c r="O1936">
        <f>IF(AND(F1936="Booked",M1936&lt;&gt;"",N(B1936)&gt;=TODAY()),IF(COUNTIFS(Appointments!$D$6:$D$2005,D1936,Appointments!$F$6:$F$2005,"Booked",Appointments!$B$6:$B$2005,"&gt;="&amp;TODAY(),Appointments!$M$6:$M$2005,"&lt;"&amp;M1936)=0,1,0),0)</f>
        <v/>
      </c>
    </row>
    <row r="1937">
      <c r="A1937" s="1" t="n"/>
      <c r="B1937" s="30" t="n"/>
      <c r="C1937" s="31" t="n"/>
      <c r="D1937" s="32" t="n"/>
      <c r="E1937" s="32" t="n"/>
      <c r="F1937" s="33" t="n"/>
      <c r="G1937" s="27">
        <f>IF(E1937="","",MAX(0,IFERROR(INDEX(Services!$C$6:$C$35,MATCH(E1937,Services!$B$6:$B$35,0)),0)-N(H1937)))</f>
        <v/>
      </c>
      <c r="H1937" s="34" t="n"/>
      <c r="I1937" s="34" t="n"/>
      <c r="J1937" s="33" t="n"/>
      <c r="K1937" s="28">
        <f>IF(OR(B1937="",F1937&lt;&gt;"Done",J1937="Package"),"",IF(N(G1937)-N(I1937)&gt;0,N(G1937)-N(I1937),""))</f>
        <v/>
      </c>
      <c r="L1937" s="32" t="n"/>
      <c r="M1937" s="1">
        <f>IF(OR(B1937="",D1937="",F1937="Cancelled"),"",B1937+N(C1937)+ROW()/10000000)</f>
        <v/>
      </c>
      <c r="N1937">
        <f>IF(AND(F1937="Done",M1937&lt;&gt;""),IF(COUNTIFS(Appointments!$D$6:$D$2005,D1937,Appointments!$F$6:$F$2005,"Done",Appointments!$M$6:$M$2005,"&gt;"&amp;M1937)=0,1,0),0)</f>
        <v/>
      </c>
      <c r="O1937">
        <f>IF(AND(F1937="Booked",M1937&lt;&gt;"",N(B1937)&gt;=TODAY()),IF(COUNTIFS(Appointments!$D$6:$D$2005,D1937,Appointments!$F$6:$F$2005,"Booked",Appointments!$B$6:$B$2005,"&gt;="&amp;TODAY(),Appointments!$M$6:$M$2005,"&lt;"&amp;M1937)=0,1,0),0)</f>
        <v/>
      </c>
    </row>
    <row r="1938">
      <c r="A1938" s="1" t="n"/>
      <c r="B1938" s="30" t="n"/>
      <c r="C1938" s="31" t="n"/>
      <c r="D1938" s="32" t="n"/>
      <c r="E1938" s="32" t="n"/>
      <c r="F1938" s="33" t="n"/>
      <c r="G1938" s="27">
        <f>IF(E1938="","",MAX(0,IFERROR(INDEX(Services!$C$6:$C$35,MATCH(E1938,Services!$B$6:$B$35,0)),0)-N(H1938)))</f>
        <v/>
      </c>
      <c r="H1938" s="34" t="n"/>
      <c r="I1938" s="34" t="n"/>
      <c r="J1938" s="33" t="n"/>
      <c r="K1938" s="28">
        <f>IF(OR(B1938="",F1938&lt;&gt;"Done",J1938="Package"),"",IF(N(G1938)-N(I1938)&gt;0,N(G1938)-N(I1938),""))</f>
        <v/>
      </c>
      <c r="L1938" s="32" t="n"/>
      <c r="M1938" s="1">
        <f>IF(OR(B1938="",D1938="",F1938="Cancelled"),"",B1938+N(C1938)+ROW()/10000000)</f>
        <v/>
      </c>
      <c r="N1938">
        <f>IF(AND(F1938="Done",M1938&lt;&gt;""),IF(COUNTIFS(Appointments!$D$6:$D$2005,D1938,Appointments!$F$6:$F$2005,"Done",Appointments!$M$6:$M$2005,"&gt;"&amp;M1938)=0,1,0),0)</f>
        <v/>
      </c>
      <c r="O1938">
        <f>IF(AND(F1938="Booked",M1938&lt;&gt;"",N(B1938)&gt;=TODAY()),IF(COUNTIFS(Appointments!$D$6:$D$2005,D1938,Appointments!$F$6:$F$2005,"Booked",Appointments!$B$6:$B$2005,"&gt;="&amp;TODAY(),Appointments!$M$6:$M$2005,"&lt;"&amp;M1938)=0,1,0),0)</f>
        <v/>
      </c>
    </row>
    <row r="1939">
      <c r="A1939" s="1" t="n"/>
      <c r="B1939" s="30" t="n"/>
      <c r="C1939" s="31" t="n"/>
      <c r="D1939" s="32" t="n"/>
      <c r="E1939" s="32" t="n"/>
      <c r="F1939" s="33" t="n"/>
      <c r="G1939" s="27">
        <f>IF(E1939="","",MAX(0,IFERROR(INDEX(Services!$C$6:$C$35,MATCH(E1939,Services!$B$6:$B$35,0)),0)-N(H1939)))</f>
        <v/>
      </c>
      <c r="H1939" s="34" t="n"/>
      <c r="I1939" s="34" t="n"/>
      <c r="J1939" s="33" t="n"/>
      <c r="K1939" s="28">
        <f>IF(OR(B1939="",F1939&lt;&gt;"Done",J1939="Package"),"",IF(N(G1939)-N(I1939)&gt;0,N(G1939)-N(I1939),""))</f>
        <v/>
      </c>
      <c r="L1939" s="32" t="n"/>
      <c r="M1939" s="1">
        <f>IF(OR(B1939="",D1939="",F1939="Cancelled"),"",B1939+N(C1939)+ROW()/10000000)</f>
        <v/>
      </c>
      <c r="N1939">
        <f>IF(AND(F1939="Done",M1939&lt;&gt;""),IF(COUNTIFS(Appointments!$D$6:$D$2005,D1939,Appointments!$F$6:$F$2005,"Done",Appointments!$M$6:$M$2005,"&gt;"&amp;M1939)=0,1,0),0)</f>
        <v/>
      </c>
      <c r="O1939">
        <f>IF(AND(F1939="Booked",M1939&lt;&gt;"",N(B1939)&gt;=TODAY()),IF(COUNTIFS(Appointments!$D$6:$D$2005,D1939,Appointments!$F$6:$F$2005,"Booked",Appointments!$B$6:$B$2005,"&gt;="&amp;TODAY(),Appointments!$M$6:$M$2005,"&lt;"&amp;M1939)=0,1,0),0)</f>
        <v/>
      </c>
    </row>
    <row r="1940">
      <c r="A1940" s="1" t="n"/>
      <c r="B1940" s="30" t="n"/>
      <c r="C1940" s="31" t="n"/>
      <c r="D1940" s="32" t="n"/>
      <c r="E1940" s="32" t="n"/>
      <c r="F1940" s="33" t="n"/>
      <c r="G1940" s="27">
        <f>IF(E1940="","",MAX(0,IFERROR(INDEX(Services!$C$6:$C$35,MATCH(E1940,Services!$B$6:$B$35,0)),0)-N(H1940)))</f>
        <v/>
      </c>
      <c r="H1940" s="34" t="n"/>
      <c r="I1940" s="34" t="n"/>
      <c r="J1940" s="33" t="n"/>
      <c r="K1940" s="28">
        <f>IF(OR(B1940="",F1940&lt;&gt;"Done",J1940="Package"),"",IF(N(G1940)-N(I1940)&gt;0,N(G1940)-N(I1940),""))</f>
        <v/>
      </c>
      <c r="L1940" s="32" t="n"/>
      <c r="M1940" s="1">
        <f>IF(OR(B1940="",D1940="",F1940="Cancelled"),"",B1940+N(C1940)+ROW()/10000000)</f>
        <v/>
      </c>
      <c r="N1940">
        <f>IF(AND(F1940="Done",M1940&lt;&gt;""),IF(COUNTIFS(Appointments!$D$6:$D$2005,D1940,Appointments!$F$6:$F$2005,"Done",Appointments!$M$6:$M$2005,"&gt;"&amp;M1940)=0,1,0),0)</f>
        <v/>
      </c>
      <c r="O1940">
        <f>IF(AND(F1940="Booked",M1940&lt;&gt;"",N(B1940)&gt;=TODAY()),IF(COUNTIFS(Appointments!$D$6:$D$2005,D1940,Appointments!$F$6:$F$2005,"Booked",Appointments!$B$6:$B$2005,"&gt;="&amp;TODAY(),Appointments!$M$6:$M$2005,"&lt;"&amp;M1940)=0,1,0),0)</f>
        <v/>
      </c>
    </row>
    <row r="1941">
      <c r="A1941" s="1" t="n"/>
      <c r="B1941" s="30" t="n"/>
      <c r="C1941" s="31" t="n"/>
      <c r="D1941" s="32" t="n"/>
      <c r="E1941" s="32" t="n"/>
      <c r="F1941" s="33" t="n"/>
      <c r="G1941" s="27">
        <f>IF(E1941="","",MAX(0,IFERROR(INDEX(Services!$C$6:$C$35,MATCH(E1941,Services!$B$6:$B$35,0)),0)-N(H1941)))</f>
        <v/>
      </c>
      <c r="H1941" s="34" t="n"/>
      <c r="I1941" s="34" t="n"/>
      <c r="J1941" s="33" t="n"/>
      <c r="K1941" s="28">
        <f>IF(OR(B1941="",F1941&lt;&gt;"Done",J1941="Package"),"",IF(N(G1941)-N(I1941)&gt;0,N(G1941)-N(I1941),""))</f>
        <v/>
      </c>
      <c r="L1941" s="32" t="n"/>
      <c r="M1941" s="1">
        <f>IF(OR(B1941="",D1941="",F1941="Cancelled"),"",B1941+N(C1941)+ROW()/10000000)</f>
        <v/>
      </c>
      <c r="N1941">
        <f>IF(AND(F1941="Done",M1941&lt;&gt;""),IF(COUNTIFS(Appointments!$D$6:$D$2005,D1941,Appointments!$F$6:$F$2005,"Done",Appointments!$M$6:$M$2005,"&gt;"&amp;M1941)=0,1,0),0)</f>
        <v/>
      </c>
      <c r="O1941">
        <f>IF(AND(F1941="Booked",M1941&lt;&gt;"",N(B1941)&gt;=TODAY()),IF(COUNTIFS(Appointments!$D$6:$D$2005,D1941,Appointments!$F$6:$F$2005,"Booked",Appointments!$B$6:$B$2005,"&gt;="&amp;TODAY(),Appointments!$M$6:$M$2005,"&lt;"&amp;M1941)=0,1,0),0)</f>
        <v/>
      </c>
    </row>
    <row r="1942">
      <c r="A1942" s="1" t="n"/>
      <c r="B1942" s="30" t="n"/>
      <c r="C1942" s="31" t="n"/>
      <c r="D1942" s="32" t="n"/>
      <c r="E1942" s="32" t="n"/>
      <c r="F1942" s="33" t="n"/>
      <c r="G1942" s="27">
        <f>IF(E1942="","",MAX(0,IFERROR(INDEX(Services!$C$6:$C$35,MATCH(E1942,Services!$B$6:$B$35,0)),0)-N(H1942)))</f>
        <v/>
      </c>
      <c r="H1942" s="34" t="n"/>
      <c r="I1942" s="34" t="n"/>
      <c r="J1942" s="33" t="n"/>
      <c r="K1942" s="28">
        <f>IF(OR(B1942="",F1942&lt;&gt;"Done",J1942="Package"),"",IF(N(G1942)-N(I1942)&gt;0,N(G1942)-N(I1942),""))</f>
        <v/>
      </c>
      <c r="L1942" s="32" t="n"/>
      <c r="M1942" s="1">
        <f>IF(OR(B1942="",D1942="",F1942="Cancelled"),"",B1942+N(C1942)+ROW()/10000000)</f>
        <v/>
      </c>
      <c r="N1942">
        <f>IF(AND(F1942="Done",M1942&lt;&gt;""),IF(COUNTIFS(Appointments!$D$6:$D$2005,D1942,Appointments!$F$6:$F$2005,"Done",Appointments!$M$6:$M$2005,"&gt;"&amp;M1942)=0,1,0),0)</f>
        <v/>
      </c>
      <c r="O1942">
        <f>IF(AND(F1942="Booked",M1942&lt;&gt;"",N(B1942)&gt;=TODAY()),IF(COUNTIFS(Appointments!$D$6:$D$2005,D1942,Appointments!$F$6:$F$2005,"Booked",Appointments!$B$6:$B$2005,"&gt;="&amp;TODAY(),Appointments!$M$6:$M$2005,"&lt;"&amp;M1942)=0,1,0),0)</f>
        <v/>
      </c>
    </row>
    <row r="1943">
      <c r="A1943" s="1" t="n"/>
      <c r="B1943" s="30" t="n"/>
      <c r="C1943" s="31" t="n"/>
      <c r="D1943" s="32" t="n"/>
      <c r="E1943" s="32" t="n"/>
      <c r="F1943" s="33" t="n"/>
      <c r="G1943" s="27">
        <f>IF(E1943="","",MAX(0,IFERROR(INDEX(Services!$C$6:$C$35,MATCH(E1943,Services!$B$6:$B$35,0)),0)-N(H1943)))</f>
        <v/>
      </c>
      <c r="H1943" s="34" t="n"/>
      <c r="I1943" s="34" t="n"/>
      <c r="J1943" s="33" t="n"/>
      <c r="K1943" s="28">
        <f>IF(OR(B1943="",F1943&lt;&gt;"Done",J1943="Package"),"",IF(N(G1943)-N(I1943)&gt;0,N(G1943)-N(I1943),""))</f>
        <v/>
      </c>
      <c r="L1943" s="32" t="n"/>
      <c r="M1943" s="1">
        <f>IF(OR(B1943="",D1943="",F1943="Cancelled"),"",B1943+N(C1943)+ROW()/10000000)</f>
        <v/>
      </c>
      <c r="N1943">
        <f>IF(AND(F1943="Done",M1943&lt;&gt;""),IF(COUNTIFS(Appointments!$D$6:$D$2005,D1943,Appointments!$F$6:$F$2005,"Done",Appointments!$M$6:$M$2005,"&gt;"&amp;M1943)=0,1,0),0)</f>
        <v/>
      </c>
      <c r="O1943">
        <f>IF(AND(F1943="Booked",M1943&lt;&gt;"",N(B1943)&gt;=TODAY()),IF(COUNTIFS(Appointments!$D$6:$D$2005,D1943,Appointments!$F$6:$F$2005,"Booked",Appointments!$B$6:$B$2005,"&gt;="&amp;TODAY(),Appointments!$M$6:$M$2005,"&lt;"&amp;M1943)=0,1,0),0)</f>
        <v/>
      </c>
    </row>
    <row r="1944">
      <c r="A1944" s="1" t="n"/>
      <c r="B1944" s="30" t="n"/>
      <c r="C1944" s="31" t="n"/>
      <c r="D1944" s="32" t="n"/>
      <c r="E1944" s="32" t="n"/>
      <c r="F1944" s="33" t="n"/>
      <c r="G1944" s="27">
        <f>IF(E1944="","",MAX(0,IFERROR(INDEX(Services!$C$6:$C$35,MATCH(E1944,Services!$B$6:$B$35,0)),0)-N(H1944)))</f>
        <v/>
      </c>
      <c r="H1944" s="34" t="n"/>
      <c r="I1944" s="34" t="n"/>
      <c r="J1944" s="33" t="n"/>
      <c r="K1944" s="28">
        <f>IF(OR(B1944="",F1944&lt;&gt;"Done",J1944="Package"),"",IF(N(G1944)-N(I1944)&gt;0,N(G1944)-N(I1944),""))</f>
        <v/>
      </c>
      <c r="L1944" s="32" t="n"/>
      <c r="M1944" s="1">
        <f>IF(OR(B1944="",D1944="",F1944="Cancelled"),"",B1944+N(C1944)+ROW()/10000000)</f>
        <v/>
      </c>
      <c r="N1944">
        <f>IF(AND(F1944="Done",M1944&lt;&gt;""),IF(COUNTIFS(Appointments!$D$6:$D$2005,D1944,Appointments!$F$6:$F$2005,"Done",Appointments!$M$6:$M$2005,"&gt;"&amp;M1944)=0,1,0),0)</f>
        <v/>
      </c>
      <c r="O1944">
        <f>IF(AND(F1944="Booked",M1944&lt;&gt;"",N(B1944)&gt;=TODAY()),IF(COUNTIFS(Appointments!$D$6:$D$2005,D1944,Appointments!$F$6:$F$2005,"Booked",Appointments!$B$6:$B$2005,"&gt;="&amp;TODAY(),Appointments!$M$6:$M$2005,"&lt;"&amp;M1944)=0,1,0),0)</f>
        <v/>
      </c>
    </row>
    <row r="1945">
      <c r="A1945" s="1" t="n"/>
      <c r="B1945" s="30" t="n"/>
      <c r="C1945" s="31" t="n"/>
      <c r="D1945" s="32" t="n"/>
      <c r="E1945" s="32" t="n"/>
      <c r="F1945" s="33" t="n"/>
      <c r="G1945" s="27">
        <f>IF(E1945="","",MAX(0,IFERROR(INDEX(Services!$C$6:$C$35,MATCH(E1945,Services!$B$6:$B$35,0)),0)-N(H1945)))</f>
        <v/>
      </c>
      <c r="H1945" s="34" t="n"/>
      <c r="I1945" s="34" t="n"/>
      <c r="J1945" s="33" t="n"/>
      <c r="K1945" s="28">
        <f>IF(OR(B1945="",F1945&lt;&gt;"Done",J1945="Package"),"",IF(N(G1945)-N(I1945)&gt;0,N(G1945)-N(I1945),""))</f>
        <v/>
      </c>
      <c r="L1945" s="32" t="n"/>
      <c r="M1945" s="1">
        <f>IF(OR(B1945="",D1945="",F1945="Cancelled"),"",B1945+N(C1945)+ROW()/10000000)</f>
        <v/>
      </c>
      <c r="N1945">
        <f>IF(AND(F1945="Done",M1945&lt;&gt;""),IF(COUNTIFS(Appointments!$D$6:$D$2005,D1945,Appointments!$F$6:$F$2005,"Done",Appointments!$M$6:$M$2005,"&gt;"&amp;M1945)=0,1,0),0)</f>
        <v/>
      </c>
      <c r="O1945">
        <f>IF(AND(F1945="Booked",M1945&lt;&gt;"",N(B1945)&gt;=TODAY()),IF(COUNTIFS(Appointments!$D$6:$D$2005,D1945,Appointments!$F$6:$F$2005,"Booked",Appointments!$B$6:$B$2005,"&gt;="&amp;TODAY(),Appointments!$M$6:$M$2005,"&lt;"&amp;M1945)=0,1,0),0)</f>
        <v/>
      </c>
    </row>
    <row r="1946">
      <c r="A1946" s="1" t="n"/>
      <c r="B1946" s="30" t="n"/>
      <c r="C1946" s="31" t="n"/>
      <c r="D1946" s="32" t="n"/>
      <c r="E1946" s="32" t="n"/>
      <c r="F1946" s="33" t="n"/>
      <c r="G1946" s="27">
        <f>IF(E1946="","",MAX(0,IFERROR(INDEX(Services!$C$6:$C$35,MATCH(E1946,Services!$B$6:$B$35,0)),0)-N(H1946)))</f>
        <v/>
      </c>
      <c r="H1946" s="34" t="n"/>
      <c r="I1946" s="34" t="n"/>
      <c r="J1946" s="33" t="n"/>
      <c r="K1946" s="28">
        <f>IF(OR(B1946="",F1946&lt;&gt;"Done",J1946="Package"),"",IF(N(G1946)-N(I1946)&gt;0,N(G1946)-N(I1946),""))</f>
        <v/>
      </c>
      <c r="L1946" s="32" t="n"/>
      <c r="M1946" s="1">
        <f>IF(OR(B1946="",D1946="",F1946="Cancelled"),"",B1946+N(C1946)+ROW()/10000000)</f>
        <v/>
      </c>
      <c r="N1946">
        <f>IF(AND(F1946="Done",M1946&lt;&gt;""),IF(COUNTIFS(Appointments!$D$6:$D$2005,D1946,Appointments!$F$6:$F$2005,"Done",Appointments!$M$6:$M$2005,"&gt;"&amp;M1946)=0,1,0),0)</f>
        <v/>
      </c>
      <c r="O1946">
        <f>IF(AND(F1946="Booked",M1946&lt;&gt;"",N(B1946)&gt;=TODAY()),IF(COUNTIFS(Appointments!$D$6:$D$2005,D1946,Appointments!$F$6:$F$2005,"Booked",Appointments!$B$6:$B$2005,"&gt;="&amp;TODAY(),Appointments!$M$6:$M$2005,"&lt;"&amp;M1946)=0,1,0),0)</f>
        <v/>
      </c>
    </row>
    <row r="1947">
      <c r="A1947" s="1" t="n"/>
      <c r="B1947" s="30" t="n"/>
      <c r="C1947" s="31" t="n"/>
      <c r="D1947" s="32" t="n"/>
      <c r="E1947" s="32" t="n"/>
      <c r="F1947" s="33" t="n"/>
      <c r="G1947" s="27">
        <f>IF(E1947="","",MAX(0,IFERROR(INDEX(Services!$C$6:$C$35,MATCH(E1947,Services!$B$6:$B$35,0)),0)-N(H1947)))</f>
        <v/>
      </c>
      <c r="H1947" s="34" t="n"/>
      <c r="I1947" s="34" t="n"/>
      <c r="J1947" s="33" t="n"/>
      <c r="K1947" s="28">
        <f>IF(OR(B1947="",F1947&lt;&gt;"Done",J1947="Package"),"",IF(N(G1947)-N(I1947)&gt;0,N(G1947)-N(I1947),""))</f>
        <v/>
      </c>
      <c r="L1947" s="32" t="n"/>
      <c r="M1947" s="1">
        <f>IF(OR(B1947="",D1947="",F1947="Cancelled"),"",B1947+N(C1947)+ROW()/10000000)</f>
        <v/>
      </c>
      <c r="N1947">
        <f>IF(AND(F1947="Done",M1947&lt;&gt;""),IF(COUNTIFS(Appointments!$D$6:$D$2005,D1947,Appointments!$F$6:$F$2005,"Done",Appointments!$M$6:$M$2005,"&gt;"&amp;M1947)=0,1,0),0)</f>
        <v/>
      </c>
      <c r="O1947">
        <f>IF(AND(F1947="Booked",M1947&lt;&gt;"",N(B1947)&gt;=TODAY()),IF(COUNTIFS(Appointments!$D$6:$D$2005,D1947,Appointments!$F$6:$F$2005,"Booked",Appointments!$B$6:$B$2005,"&gt;="&amp;TODAY(),Appointments!$M$6:$M$2005,"&lt;"&amp;M1947)=0,1,0),0)</f>
        <v/>
      </c>
    </row>
    <row r="1948">
      <c r="A1948" s="1" t="n"/>
      <c r="B1948" s="30" t="n"/>
      <c r="C1948" s="31" t="n"/>
      <c r="D1948" s="32" t="n"/>
      <c r="E1948" s="32" t="n"/>
      <c r="F1948" s="33" t="n"/>
      <c r="G1948" s="27">
        <f>IF(E1948="","",MAX(0,IFERROR(INDEX(Services!$C$6:$C$35,MATCH(E1948,Services!$B$6:$B$35,0)),0)-N(H1948)))</f>
        <v/>
      </c>
      <c r="H1948" s="34" t="n"/>
      <c r="I1948" s="34" t="n"/>
      <c r="J1948" s="33" t="n"/>
      <c r="K1948" s="28">
        <f>IF(OR(B1948="",F1948&lt;&gt;"Done",J1948="Package"),"",IF(N(G1948)-N(I1948)&gt;0,N(G1948)-N(I1948),""))</f>
        <v/>
      </c>
      <c r="L1948" s="32" t="n"/>
      <c r="M1948" s="1">
        <f>IF(OR(B1948="",D1948="",F1948="Cancelled"),"",B1948+N(C1948)+ROW()/10000000)</f>
        <v/>
      </c>
      <c r="N1948">
        <f>IF(AND(F1948="Done",M1948&lt;&gt;""),IF(COUNTIFS(Appointments!$D$6:$D$2005,D1948,Appointments!$F$6:$F$2005,"Done",Appointments!$M$6:$M$2005,"&gt;"&amp;M1948)=0,1,0),0)</f>
        <v/>
      </c>
      <c r="O1948">
        <f>IF(AND(F1948="Booked",M1948&lt;&gt;"",N(B1948)&gt;=TODAY()),IF(COUNTIFS(Appointments!$D$6:$D$2005,D1948,Appointments!$F$6:$F$2005,"Booked",Appointments!$B$6:$B$2005,"&gt;="&amp;TODAY(),Appointments!$M$6:$M$2005,"&lt;"&amp;M1948)=0,1,0),0)</f>
        <v/>
      </c>
    </row>
    <row r="1949">
      <c r="A1949" s="1" t="n"/>
      <c r="B1949" s="30" t="n"/>
      <c r="C1949" s="31" t="n"/>
      <c r="D1949" s="32" t="n"/>
      <c r="E1949" s="32" t="n"/>
      <c r="F1949" s="33" t="n"/>
      <c r="G1949" s="27">
        <f>IF(E1949="","",MAX(0,IFERROR(INDEX(Services!$C$6:$C$35,MATCH(E1949,Services!$B$6:$B$35,0)),0)-N(H1949)))</f>
        <v/>
      </c>
      <c r="H1949" s="34" t="n"/>
      <c r="I1949" s="34" t="n"/>
      <c r="J1949" s="33" t="n"/>
      <c r="K1949" s="28">
        <f>IF(OR(B1949="",F1949&lt;&gt;"Done",J1949="Package"),"",IF(N(G1949)-N(I1949)&gt;0,N(G1949)-N(I1949),""))</f>
        <v/>
      </c>
      <c r="L1949" s="32" t="n"/>
      <c r="M1949" s="1">
        <f>IF(OR(B1949="",D1949="",F1949="Cancelled"),"",B1949+N(C1949)+ROW()/10000000)</f>
        <v/>
      </c>
      <c r="N1949">
        <f>IF(AND(F1949="Done",M1949&lt;&gt;""),IF(COUNTIFS(Appointments!$D$6:$D$2005,D1949,Appointments!$F$6:$F$2005,"Done",Appointments!$M$6:$M$2005,"&gt;"&amp;M1949)=0,1,0),0)</f>
        <v/>
      </c>
      <c r="O1949">
        <f>IF(AND(F1949="Booked",M1949&lt;&gt;"",N(B1949)&gt;=TODAY()),IF(COUNTIFS(Appointments!$D$6:$D$2005,D1949,Appointments!$F$6:$F$2005,"Booked",Appointments!$B$6:$B$2005,"&gt;="&amp;TODAY(),Appointments!$M$6:$M$2005,"&lt;"&amp;M1949)=0,1,0),0)</f>
        <v/>
      </c>
    </row>
    <row r="1950">
      <c r="A1950" s="1" t="n"/>
      <c r="B1950" s="30" t="n"/>
      <c r="C1950" s="31" t="n"/>
      <c r="D1950" s="32" t="n"/>
      <c r="E1950" s="32" t="n"/>
      <c r="F1950" s="33" t="n"/>
      <c r="G1950" s="27">
        <f>IF(E1950="","",MAX(0,IFERROR(INDEX(Services!$C$6:$C$35,MATCH(E1950,Services!$B$6:$B$35,0)),0)-N(H1950)))</f>
        <v/>
      </c>
      <c r="H1950" s="34" t="n"/>
      <c r="I1950" s="34" t="n"/>
      <c r="J1950" s="33" t="n"/>
      <c r="K1950" s="28">
        <f>IF(OR(B1950="",F1950&lt;&gt;"Done",J1950="Package"),"",IF(N(G1950)-N(I1950)&gt;0,N(G1950)-N(I1950),""))</f>
        <v/>
      </c>
      <c r="L1950" s="32" t="n"/>
      <c r="M1950" s="1">
        <f>IF(OR(B1950="",D1950="",F1950="Cancelled"),"",B1950+N(C1950)+ROW()/10000000)</f>
        <v/>
      </c>
      <c r="N1950">
        <f>IF(AND(F1950="Done",M1950&lt;&gt;""),IF(COUNTIFS(Appointments!$D$6:$D$2005,D1950,Appointments!$F$6:$F$2005,"Done",Appointments!$M$6:$M$2005,"&gt;"&amp;M1950)=0,1,0),0)</f>
        <v/>
      </c>
      <c r="O1950">
        <f>IF(AND(F1950="Booked",M1950&lt;&gt;"",N(B1950)&gt;=TODAY()),IF(COUNTIFS(Appointments!$D$6:$D$2005,D1950,Appointments!$F$6:$F$2005,"Booked",Appointments!$B$6:$B$2005,"&gt;="&amp;TODAY(),Appointments!$M$6:$M$2005,"&lt;"&amp;M1950)=0,1,0),0)</f>
        <v/>
      </c>
    </row>
    <row r="1951">
      <c r="A1951" s="1" t="n"/>
      <c r="B1951" s="30" t="n"/>
      <c r="C1951" s="31" t="n"/>
      <c r="D1951" s="32" t="n"/>
      <c r="E1951" s="32" t="n"/>
      <c r="F1951" s="33" t="n"/>
      <c r="G1951" s="27">
        <f>IF(E1951="","",MAX(0,IFERROR(INDEX(Services!$C$6:$C$35,MATCH(E1951,Services!$B$6:$B$35,0)),0)-N(H1951)))</f>
        <v/>
      </c>
      <c r="H1951" s="34" t="n"/>
      <c r="I1951" s="34" t="n"/>
      <c r="J1951" s="33" t="n"/>
      <c r="K1951" s="28">
        <f>IF(OR(B1951="",F1951&lt;&gt;"Done",J1951="Package"),"",IF(N(G1951)-N(I1951)&gt;0,N(G1951)-N(I1951),""))</f>
        <v/>
      </c>
      <c r="L1951" s="32" t="n"/>
      <c r="M1951" s="1">
        <f>IF(OR(B1951="",D1951="",F1951="Cancelled"),"",B1951+N(C1951)+ROW()/10000000)</f>
        <v/>
      </c>
      <c r="N1951">
        <f>IF(AND(F1951="Done",M1951&lt;&gt;""),IF(COUNTIFS(Appointments!$D$6:$D$2005,D1951,Appointments!$F$6:$F$2005,"Done",Appointments!$M$6:$M$2005,"&gt;"&amp;M1951)=0,1,0),0)</f>
        <v/>
      </c>
      <c r="O1951">
        <f>IF(AND(F1951="Booked",M1951&lt;&gt;"",N(B1951)&gt;=TODAY()),IF(COUNTIFS(Appointments!$D$6:$D$2005,D1951,Appointments!$F$6:$F$2005,"Booked",Appointments!$B$6:$B$2005,"&gt;="&amp;TODAY(),Appointments!$M$6:$M$2005,"&lt;"&amp;M1951)=0,1,0),0)</f>
        <v/>
      </c>
    </row>
    <row r="1952">
      <c r="A1952" s="1" t="n"/>
      <c r="B1952" s="30" t="n"/>
      <c r="C1952" s="31" t="n"/>
      <c r="D1952" s="32" t="n"/>
      <c r="E1952" s="32" t="n"/>
      <c r="F1952" s="33" t="n"/>
      <c r="G1952" s="27">
        <f>IF(E1952="","",MAX(0,IFERROR(INDEX(Services!$C$6:$C$35,MATCH(E1952,Services!$B$6:$B$35,0)),0)-N(H1952)))</f>
        <v/>
      </c>
      <c r="H1952" s="34" t="n"/>
      <c r="I1952" s="34" t="n"/>
      <c r="J1952" s="33" t="n"/>
      <c r="K1952" s="28">
        <f>IF(OR(B1952="",F1952&lt;&gt;"Done",J1952="Package"),"",IF(N(G1952)-N(I1952)&gt;0,N(G1952)-N(I1952),""))</f>
        <v/>
      </c>
      <c r="L1952" s="32" t="n"/>
      <c r="M1952" s="1">
        <f>IF(OR(B1952="",D1952="",F1952="Cancelled"),"",B1952+N(C1952)+ROW()/10000000)</f>
        <v/>
      </c>
      <c r="N1952">
        <f>IF(AND(F1952="Done",M1952&lt;&gt;""),IF(COUNTIFS(Appointments!$D$6:$D$2005,D1952,Appointments!$F$6:$F$2005,"Done",Appointments!$M$6:$M$2005,"&gt;"&amp;M1952)=0,1,0),0)</f>
        <v/>
      </c>
      <c r="O1952">
        <f>IF(AND(F1952="Booked",M1952&lt;&gt;"",N(B1952)&gt;=TODAY()),IF(COUNTIFS(Appointments!$D$6:$D$2005,D1952,Appointments!$F$6:$F$2005,"Booked",Appointments!$B$6:$B$2005,"&gt;="&amp;TODAY(),Appointments!$M$6:$M$2005,"&lt;"&amp;M1952)=0,1,0),0)</f>
        <v/>
      </c>
    </row>
    <row r="1953">
      <c r="A1953" s="1" t="n"/>
      <c r="B1953" s="30" t="n"/>
      <c r="C1953" s="31" t="n"/>
      <c r="D1953" s="32" t="n"/>
      <c r="E1953" s="32" t="n"/>
      <c r="F1953" s="33" t="n"/>
      <c r="G1953" s="27">
        <f>IF(E1953="","",MAX(0,IFERROR(INDEX(Services!$C$6:$C$35,MATCH(E1953,Services!$B$6:$B$35,0)),0)-N(H1953)))</f>
        <v/>
      </c>
      <c r="H1953" s="34" t="n"/>
      <c r="I1953" s="34" t="n"/>
      <c r="J1953" s="33" t="n"/>
      <c r="K1953" s="28">
        <f>IF(OR(B1953="",F1953&lt;&gt;"Done",J1953="Package"),"",IF(N(G1953)-N(I1953)&gt;0,N(G1953)-N(I1953),""))</f>
        <v/>
      </c>
      <c r="L1953" s="32" t="n"/>
      <c r="M1953" s="1">
        <f>IF(OR(B1953="",D1953="",F1953="Cancelled"),"",B1953+N(C1953)+ROW()/10000000)</f>
        <v/>
      </c>
      <c r="N1953">
        <f>IF(AND(F1953="Done",M1953&lt;&gt;""),IF(COUNTIFS(Appointments!$D$6:$D$2005,D1953,Appointments!$F$6:$F$2005,"Done",Appointments!$M$6:$M$2005,"&gt;"&amp;M1953)=0,1,0),0)</f>
        <v/>
      </c>
      <c r="O1953">
        <f>IF(AND(F1953="Booked",M1953&lt;&gt;"",N(B1953)&gt;=TODAY()),IF(COUNTIFS(Appointments!$D$6:$D$2005,D1953,Appointments!$F$6:$F$2005,"Booked",Appointments!$B$6:$B$2005,"&gt;="&amp;TODAY(),Appointments!$M$6:$M$2005,"&lt;"&amp;M1953)=0,1,0),0)</f>
        <v/>
      </c>
    </row>
    <row r="1954">
      <c r="A1954" s="1" t="n"/>
      <c r="B1954" s="30" t="n"/>
      <c r="C1954" s="31" t="n"/>
      <c r="D1954" s="32" t="n"/>
      <c r="E1954" s="32" t="n"/>
      <c r="F1954" s="33" t="n"/>
      <c r="G1954" s="27">
        <f>IF(E1954="","",MAX(0,IFERROR(INDEX(Services!$C$6:$C$35,MATCH(E1954,Services!$B$6:$B$35,0)),0)-N(H1954)))</f>
        <v/>
      </c>
      <c r="H1954" s="34" t="n"/>
      <c r="I1954" s="34" t="n"/>
      <c r="J1954" s="33" t="n"/>
      <c r="K1954" s="28">
        <f>IF(OR(B1954="",F1954&lt;&gt;"Done",J1954="Package"),"",IF(N(G1954)-N(I1954)&gt;0,N(G1954)-N(I1954),""))</f>
        <v/>
      </c>
      <c r="L1954" s="32" t="n"/>
      <c r="M1954" s="1">
        <f>IF(OR(B1954="",D1954="",F1954="Cancelled"),"",B1954+N(C1954)+ROW()/10000000)</f>
        <v/>
      </c>
      <c r="N1954">
        <f>IF(AND(F1954="Done",M1954&lt;&gt;""),IF(COUNTIFS(Appointments!$D$6:$D$2005,D1954,Appointments!$F$6:$F$2005,"Done",Appointments!$M$6:$M$2005,"&gt;"&amp;M1954)=0,1,0),0)</f>
        <v/>
      </c>
      <c r="O1954">
        <f>IF(AND(F1954="Booked",M1954&lt;&gt;"",N(B1954)&gt;=TODAY()),IF(COUNTIFS(Appointments!$D$6:$D$2005,D1954,Appointments!$F$6:$F$2005,"Booked",Appointments!$B$6:$B$2005,"&gt;="&amp;TODAY(),Appointments!$M$6:$M$2005,"&lt;"&amp;M1954)=0,1,0),0)</f>
        <v/>
      </c>
    </row>
    <row r="1955">
      <c r="A1955" s="1" t="n"/>
      <c r="B1955" s="30" t="n"/>
      <c r="C1955" s="31" t="n"/>
      <c r="D1955" s="32" t="n"/>
      <c r="E1955" s="32" t="n"/>
      <c r="F1955" s="33" t="n"/>
      <c r="G1955" s="27">
        <f>IF(E1955="","",MAX(0,IFERROR(INDEX(Services!$C$6:$C$35,MATCH(E1955,Services!$B$6:$B$35,0)),0)-N(H1955)))</f>
        <v/>
      </c>
      <c r="H1955" s="34" t="n"/>
      <c r="I1955" s="34" t="n"/>
      <c r="J1955" s="33" t="n"/>
      <c r="K1955" s="28">
        <f>IF(OR(B1955="",F1955&lt;&gt;"Done",J1955="Package"),"",IF(N(G1955)-N(I1955)&gt;0,N(G1955)-N(I1955),""))</f>
        <v/>
      </c>
      <c r="L1955" s="32" t="n"/>
      <c r="M1955" s="1">
        <f>IF(OR(B1955="",D1955="",F1955="Cancelled"),"",B1955+N(C1955)+ROW()/10000000)</f>
        <v/>
      </c>
      <c r="N1955">
        <f>IF(AND(F1955="Done",M1955&lt;&gt;""),IF(COUNTIFS(Appointments!$D$6:$D$2005,D1955,Appointments!$F$6:$F$2005,"Done",Appointments!$M$6:$M$2005,"&gt;"&amp;M1955)=0,1,0),0)</f>
        <v/>
      </c>
      <c r="O1955">
        <f>IF(AND(F1955="Booked",M1955&lt;&gt;"",N(B1955)&gt;=TODAY()),IF(COUNTIFS(Appointments!$D$6:$D$2005,D1955,Appointments!$F$6:$F$2005,"Booked",Appointments!$B$6:$B$2005,"&gt;="&amp;TODAY(),Appointments!$M$6:$M$2005,"&lt;"&amp;M1955)=0,1,0),0)</f>
        <v/>
      </c>
    </row>
    <row r="1956">
      <c r="A1956" s="1" t="n"/>
      <c r="B1956" s="30" t="n"/>
      <c r="C1956" s="31" t="n"/>
      <c r="D1956" s="32" t="n"/>
      <c r="E1956" s="32" t="n"/>
      <c r="F1956" s="33" t="n"/>
      <c r="G1956" s="27">
        <f>IF(E1956="","",MAX(0,IFERROR(INDEX(Services!$C$6:$C$35,MATCH(E1956,Services!$B$6:$B$35,0)),0)-N(H1956)))</f>
        <v/>
      </c>
      <c r="H1956" s="34" t="n"/>
      <c r="I1956" s="34" t="n"/>
      <c r="J1956" s="33" t="n"/>
      <c r="K1956" s="28">
        <f>IF(OR(B1956="",F1956&lt;&gt;"Done",J1956="Package"),"",IF(N(G1956)-N(I1956)&gt;0,N(G1956)-N(I1956),""))</f>
        <v/>
      </c>
      <c r="L1956" s="32" t="n"/>
      <c r="M1956" s="1">
        <f>IF(OR(B1956="",D1956="",F1956="Cancelled"),"",B1956+N(C1956)+ROW()/10000000)</f>
        <v/>
      </c>
      <c r="N1956">
        <f>IF(AND(F1956="Done",M1956&lt;&gt;""),IF(COUNTIFS(Appointments!$D$6:$D$2005,D1956,Appointments!$F$6:$F$2005,"Done",Appointments!$M$6:$M$2005,"&gt;"&amp;M1956)=0,1,0),0)</f>
        <v/>
      </c>
      <c r="O1956">
        <f>IF(AND(F1956="Booked",M1956&lt;&gt;"",N(B1956)&gt;=TODAY()),IF(COUNTIFS(Appointments!$D$6:$D$2005,D1956,Appointments!$F$6:$F$2005,"Booked",Appointments!$B$6:$B$2005,"&gt;="&amp;TODAY(),Appointments!$M$6:$M$2005,"&lt;"&amp;M1956)=0,1,0),0)</f>
        <v/>
      </c>
    </row>
    <row r="1957">
      <c r="A1957" s="1" t="n"/>
      <c r="B1957" s="30" t="n"/>
      <c r="C1957" s="31" t="n"/>
      <c r="D1957" s="32" t="n"/>
      <c r="E1957" s="32" t="n"/>
      <c r="F1957" s="33" t="n"/>
      <c r="G1957" s="27">
        <f>IF(E1957="","",MAX(0,IFERROR(INDEX(Services!$C$6:$C$35,MATCH(E1957,Services!$B$6:$B$35,0)),0)-N(H1957)))</f>
        <v/>
      </c>
      <c r="H1957" s="34" t="n"/>
      <c r="I1957" s="34" t="n"/>
      <c r="J1957" s="33" t="n"/>
      <c r="K1957" s="28">
        <f>IF(OR(B1957="",F1957&lt;&gt;"Done",J1957="Package"),"",IF(N(G1957)-N(I1957)&gt;0,N(G1957)-N(I1957),""))</f>
        <v/>
      </c>
      <c r="L1957" s="32" t="n"/>
      <c r="M1957" s="1">
        <f>IF(OR(B1957="",D1957="",F1957="Cancelled"),"",B1957+N(C1957)+ROW()/10000000)</f>
        <v/>
      </c>
      <c r="N1957">
        <f>IF(AND(F1957="Done",M1957&lt;&gt;""),IF(COUNTIFS(Appointments!$D$6:$D$2005,D1957,Appointments!$F$6:$F$2005,"Done",Appointments!$M$6:$M$2005,"&gt;"&amp;M1957)=0,1,0),0)</f>
        <v/>
      </c>
      <c r="O1957">
        <f>IF(AND(F1957="Booked",M1957&lt;&gt;"",N(B1957)&gt;=TODAY()),IF(COUNTIFS(Appointments!$D$6:$D$2005,D1957,Appointments!$F$6:$F$2005,"Booked",Appointments!$B$6:$B$2005,"&gt;="&amp;TODAY(),Appointments!$M$6:$M$2005,"&lt;"&amp;M1957)=0,1,0),0)</f>
        <v/>
      </c>
    </row>
    <row r="1958">
      <c r="A1958" s="1" t="n"/>
      <c r="B1958" s="30" t="n"/>
      <c r="C1958" s="31" t="n"/>
      <c r="D1958" s="32" t="n"/>
      <c r="E1958" s="32" t="n"/>
      <c r="F1958" s="33" t="n"/>
      <c r="G1958" s="27">
        <f>IF(E1958="","",MAX(0,IFERROR(INDEX(Services!$C$6:$C$35,MATCH(E1958,Services!$B$6:$B$35,0)),0)-N(H1958)))</f>
        <v/>
      </c>
      <c r="H1958" s="34" t="n"/>
      <c r="I1958" s="34" t="n"/>
      <c r="J1958" s="33" t="n"/>
      <c r="K1958" s="28">
        <f>IF(OR(B1958="",F1958&lt;&gt;"Done",J1958="Package"),"",IF(N(G1958)-N(I1958)&gt;0,N(G1958)-N(I1958),""))</f>
        <v/>
      </c>
      <c r="L1958" s="32" t="n"/>
      <c r="M1958" s="1">
        <f>IF(OR(B1958="",D1958="",F1958="Cancelled"),"",B1958+N(C1958)+ROW()/10000000)</f>
        <v/>
      </c>
      <c r="N1958">
        <f>IF(AND(F1958="Done",M1958&lt;&gt;""),IF(COUNTIFS(Appointments!$D$6:$D$2005,D1958,Appointments!$F$6:$F$2005,"Done",Appointments!$M$6:$M$2005,"&gt;"&amp;M1958)=0,1,0),0)</f>
        <v/>
      </c>
      <c r="O1958">
        <f>IF(AND(F1958="Booked",M1958&lt;&gt;"",N(B1958)&gt;=TODAY()),IF(COUNTIFS(Appointments!$D$6:$D$2005,D1958,Appointments!$F$6:$F$2005,"Booked",Appointments!$B$6:$B$2005,"&gt;="&amp;TODAY(),Appointments!$M$6:$M$2005,"&lt;"&amp;M1958)=0,1,0),0)</f>
        <v/>
      </c>
    </row>
    <row r="1959">
      <c r="A1959" s="1" t="n"/>
      <c r="B1959" s="30" t="n"/>
      <c r="C1959" s="31" t="n"/>
      <c r="D1959" s="32" t="n"/>
      <c r="E1959" s="32" t="n"/>
      <c r="F1959" s="33" t="n"/>
      <c r="G1959" s="27">
        <f>IF(E1959="","",MAX(0,IFERROR(INDEX(Services!$C$6:$C$35,MATCH(E1959,Services!$B$6:$B$35,0)),0)-N(H1959)))</f>
        <v/>
      </c>
      <c r="H1959" s="34" t="n"/>
      <c r="I1959" s="34" t="n"/>
      <c r="J1959" s="33" t="n"/>
      <c r="K1959" s="28">
        <f>IF(OR(B1959="",F1959&lt;&gt;"Done",J1959="Package"),"",IF(N(G1959)-N(I1959)&gt;0,N(G1959)-N(I1959),""))</f>
        <v/>
      </c>
      <c r="L1959" s="32" t="n"/>
      <c r="M1959" s="1">
        <f>IF(OR(B1959="",D1959="",F1959="Cancelled"),"",B1959+N(C1959)+ROW()/10000000)</f>
        <v/>
      </c>
      <c r="N1959">
        <f>IF(AND(F1959="Done",M1959&lt;&gt;""),IF(COUNTIFS(Appointments!$D$6:$D$2005,D1959,Appointments!$F$6:$F$2005,"Done",Appointments!$M$6:$M$2005,"&gt;"&amp;M1959)=0,1,0),0)</f>
        <v/>
      </c>
      <c r="O1959">
        <f>IF(AND(F1959="Booked",M1959&lt;&gt;"",N(B1959)&gt;=TODAY()),IF(COUNTIFS(Appointments!$D$6:$D$2005,D1959,Appointments!$F$6:$F$2005,"Booked",Appointments!$B$6:$B$2005,"&gt;="&amp;TODAY(),Appointments!$M$6:$M$2005,"&lt;"&amp;M1959)=0,1,0),0)</f>
        <v/>
      </c>
    </row>
    <row r="1960">
      <c r="A1960" s="1" t="n"/>
      <c r="B1960" s="30" t="n"/>
      <c r="C1960" s="31" t="n"/>
      <c r="D1960" s="32" t="n"/>
      <c r="E1960" s="32" t="n"/>
      <c r="F1960" s="33" t="n"/>
      <c r="G1960" s="27">
        <f>IF(E1960="","",MAX(0,IFERROR(INDEX(Services!$C$6:$C$35,MATCH(E1960,Services!$B$6:$B$35,0)),0)-N(H1960)))</f>
        <v/>
      </c>
      <c r="H1960" s="34" t="n"/>
      <c r="I1960" s="34" t="n"/>
      <c r="J1960" s="33" t="n"/>
      <c r="K1960" s="28">
        <f>IF(OR(B1960="",F1960&lt;&gt;"Done",J1960="Package"),"",IF(N(G1960)-N(I1960)&gt;0,N(G1960)-N(I1960),""))</f>
        <v/>
      </c>
      <c r="L1960" s="32" t="n"/>
      <c r="M1960" s="1">
        <f>IF(OR(B1960="",D1960="",F1960="Cancelled"),"",B1960+N(C1960)+ROW()/10000000)</f>
        <v/>
      </c>
      <c r="N1960">
        <f>IF(AND(F1960="Done",M1960&lt;&gt;""),IF(COUNTIFS(Appointments!$D$6:$D$2005,D1960,Appointments!$F$6:$F$2005,"Done",Appointments!$M$6:$M$2005,"&gt;"&amp;M1960)=0,1,0),0)</f>
        <v/>
      </c>
      <c r="O1960">
        <f>IF(AND(F1960="Booked",M1960&lt;&gt;"",N(B1960)&gt;=TODAY()),IF(COUNTIFS(Appointments!$D$6:$D$2005,D1960,Appointments!$F$6:$F$2005,"Booked",Appointments!$B$6:$B$2005,"&gt;="&amp;TODAY(),Appointments!$M$6:$M$2005,"&lt;"&amp;M1960)=0,1,0),0)</f>
        <v/>
      </c>
    </row>
    <row r="1961">
      <c r="A1961" s="1" t="n"/>
      <c r="B1961" s="30" t="n"/>
      <c r="C1961" s="31" t="n"/>
      <c r="D1961" s="32" t="n"/>
      <c r="E1961" s="32" t="n"/>
      <c r="F1961" s="33" t="n"/>
      <c r="G1961" s="27">
        <f>IF(E1961="","",MAX(0,IFERROR(INDEX(Services!$C$6:$C$35,MATCH(E1961,Services!$B$6:$B$35,0)),0)-N(H1961)))</f>
        <v/>
      </c>
      <c r="H1961" s="34" t="n"/>
      <c r="I1961" s="34" t="n"/>
      <c r="J1961" s="33" t="n"/>
      <c r="K1961" s="28">
        <f>IF(OR(B1961="",F1961&lt;&gt;"Done",J1961="Package"),"",IF(N(G1961)-N(I1961)&gt;0,N(G1961)-N(I1961),""))</f>
        <v/>
      </c>
      <c r="L1961" s="32" t="n"/>
      <c r="M1961" s="1">
        <f>IF(OR(B1961="",D1961="",F1961="Cancelled"),"",B1961+N(C1961)+ROW()/10000000)</f>
        <v/>
      </c>
      <c r="N1961">
        <f>IF(AND(F1961="Done",M1961&lt;&gt;""),IF(COUNTIFS(Appointments!$D$6:$D$2005,D1961,Appointments!$F$6:$F$2005,"Done",Appointments!$M$6:$M$2005,"&gt;"&amp;M1961)=0,1,0),0)</f>
        <v/>
      </c>
      <c r="O1961">
        <f>IF(AND(F1961="Booked",M1961&lt;&gt;"",N(B1961)&gt;=TODAY()),IF(COUNTIFS(Appointments!$D$6:$D$2005,D1961,Appointments!$F$6:$F$2005,"Booked",Appointments!$B$6:$B$2005,"&gt;="&amp;TODAY(),Appointments!$M$6:$M$2005,"&lt;"&amp;M1961)=0,1,0),0)</f>
        <v/>
      </c>
    </row>
    <row r="1962">
      <c r="A1962" s="1" t="n"/>
      <c r="B1962" s="30" t="n"/>
      <c r="C1962" s="31" t="n"/>
      <c r="D1962" s="32" t="n"/>
      <c r="E1962" s="32" t="n"/>
      <c r="F1962" s="33" t="n"/>
      <c r="G1962" s="27">
        <f>IF(E1962="","",MAX(0,IFERROR(INDEX(Services!$C$6:$C$35,MATCH(E1962,Services!$B$6:$B$35,0)),0)-N(H1962)))</f>
        <v/>
      </c>
      <c r="H1962" s="34" t="n"/>
      <c r="I1962" s="34" t="n"/>
      <c r="J1962" s="33" t="n"/>
      <c r="K1962" s="28">
        <f>IF(OR(B1962="",F1962&lt;&gt;"Done",J1962="Package"),"",IF(N(G1962)-N(I1962)&gt;0,N(G1962)-N(I1962),""))</f>
        <v/>
      </c>
      <c r="L1962" s="32" t="n"/>
      <c r="M1962" s="1">
        <f>IF(OR(B1962="",D1962="",F1962="Cancelled"),"",B1962+N(C1962)+ROW()/10000000)</f>
        <v/>
      </c>
      <c r="N1962">
        <f>IF(AND(F1962="Done",M1962&lt;&gt;""),IF(COUNTIFS(Appointments!$D$6:$D$2005,D1962,Appointments!$F$6:$F$2005,"Done",Appointments!$M$6:$M$2005,"&gt;"&amp;M1962)=0,1,0),0)</f>
        <v/>
      </c>
      <c r="O1962">
        <f>IF(AND(F1962="Booked",M1962&lt;&gt;"",N(B1962)&gt;=TODAY()),IF(COUNTIFS(Appointments!$D$6:$D$2005,D1962,Appointments!$F$6:$F$2005,"Booked",Appointments!$B$6:$B$2005,"&gt;="&amp;TODAY(),Appointments!$M$6:$M$2005,"&lt;"&amp;M1962)=0,1,0),0)</f>
        <v/>
      </c>
    </row>
    <row r="1963">
      <c r="A1963" s="1" t="n"/>
      <c r="B1963" s="30" t="n"/>
      <c r="C1963" s="31" t="n"/>
      <c r="D1963" s="32" t="n"/>
      <c r="E1963" s="32" t="n"/>
      <c r="F1963" s="33" t="n"/>
      <c r="G1963" s="27">
        <f>IF(E1963="","",MAX(0,IFERROR(INDEX(Services!$C$6:$C$35,MATCH(E1963,Services!$B$6:$B$35,0)),0)-N(H1963)))</f>
        <v/>
      </c>
      <c r="H1963" s="34" t="n"/>
      <c r="I1963" s="34" t="n"/>
      <c r="J1963" s="33" t="n"/>
      <c r="K1963" s="28">
        <f>IF(OR(B1963="",F1963&lt;&gt;"Done",J1963="Package"),"",IF(N(G1963)-N(I1963)&gt;0,N(G1963)-N(I1963),""))</f>
        <v/>
      </c>
      <c r="L1963" s="32" t="n"/>
      <c r="M1963" s="1">
        <f>IF(OR(B1963="",D1963="",F1963="Cancelled"),"",B1963+N(C1963)+ROW()/10000000)</f>
        <v/>
      </c>
      <c r="N1963">
        <f>IF(AND(F1963="Done",M1963&lt;&gt;""),IF(COUNTIFS(Appointments!$D$6:$D$2005,D1963,Appointments!$F$6:$F$2005,"Done",Appointments!$M$6:$M$2005,"&gt;"&amp;M1963)=0,1,0),0)</f>
        <v/>
      </c>
      <c r="O1963">
        <f>IF(AND(F1963="Booked",M1963&lt;&gt;"",N(B1963)&gt;=TODAY()),IF(COUNTIFS(Appointments!$D$6:$D$2005,D1963,Appointments!$F$6:$F$2005,"Booked",Appointments!$B$6:$B$2005,"&gt;="&amp;TODAY(),Appointments!$M$6:$M$2005,"&lt;"&amp;M1963)=0,1,0),0)</f>
        <v/>
      </c>
    </row>
    <row r="1964">
      <c r="A1964" s="1" t="n"/>
      <c r="B1964" s="30" t="n"/>
      <c r="C1964" s="31" t="n"/>
      <c r="D1964" s="32" t="n"/>
      <c r="E1964" s="32" t="n"/>
      <c r="F1964" s="33" t="n"/>
      <c r="G1964" s="27">
        <f>IF(E1964="","",MAX(0,IFERROR(INDEX(Services!$C$6:$C$35,MATCH(E1964,Services!$B$6:$B$35,0)),0)-N(H1964)))</f>
        <v/>
      </c>
      <c r="H1964" s="34" t="n"/>
      <c r="I1964" s="34" t="n"/>
      <c r="J1964" s="33" t="n"/>
      <c r="K1964" s="28">
        <f>IF(OR(B1964="",F1964&lt;&gt;"Done",J1964="Package"),"",IF(N(G1964)-N(I1964)&gt;0,N(G1964)-N(I1964),""))</f>
        <v/>
      </c>
      <c r="L1964" s="32" t="n"/>
      <c r="M1964" s="1">
        <f>IF(OR(B1964="",D1964="",F1964="Cancelled"),"",B1964+N(C1964)+ROW()/10000000)</f>
        <v/>
      </c>
      <c r="N1964">
        <f>IF(AND(F1964="Done",M1964&lt;&gt;""),IF(COUNTIFS(Appointments!$D$6:$D$2005,D1964,Appointments!$F$6:$F$2005,"Done",Appointments!$M$6:$M$2005,"&gt;"&amp;M1964)=0,1,0),0)</f>
        <v/>
      </c>
      <c r="O1964">
        <f>IF(AND(F1964="Booked",M1964&lt;&gt;"",N(B1964)&gt;=TODAY()),IF(COUNTIFS(Appointments!$D$6:$D$2005,D1964,Appointments!$F$6:$F$2005,"Booked",Appointments!$B$6:$B$2005,"&gt;="&amp;TODAY(),Appointments!$M$6:$M$2005,"&lt;"&amp;M1964)=0,1,0),0)</f>
        <v/>
      </c>
    </row>
    <row r="1965">
      <c r="A1965" s="1" t="n"/>
      <c r="B1965" s="30" t="n"/>
      <c r="C1965" s="31" t="n"/>
      <c r="D1965" s="32" t="n"/>
      <c r="E1965" s="32" t="n"/>
      <c r="F1965" s="33" t="n"/>
      <c r="G1965" s="27">
        <f>IF(E1965="","",MAX(0,IFERROR(INDEX(Services!$C$6:$C$35,MATCH(E1965,Services!$B$6:$B$35,0)),0)-N(H1965)))</f>
        <v/>
      </c>
      <c r="H1965" s="34" t="n"/>
      <c r="I1965" s="34" t="n"/>
      <c r="J1965" s="33" t="n"/>
      <c r="K1965" s="28">
        <f>IF(OR(B1965="",F1965&lt;&gt;"Done",J1965="Package"),"",IF(N(G1965)-N(I1965)&gt;0,N(G1965)-N(I1965),""))</f>
        <v/>
      </c>
      <c r="L1965" s="32" t="n"/>
      <c r="M1965" s="1">
        <f>IF(OR(B1965="",D1965="",F1965="Cancelled"),"",B1965+N(C1965)+ROW()/10000000)</f>
        <v/>
      </c>
      <c r="N1965">
        <f>IF(AND(F1965="Done",M1965&lt;&gt;""),IF(COUNTIFS(Appointments!$D$6:$D$2005,D1965,Appointments!$F$6:$F$2005,"Done",Appointments!$M$6:$M$2005,"&gt;"&amp;M1965)=0,1,0),0)</f>
        <v/>
      </c>
      <c r="O1965">
        <f>IF(AND(F1965="Booked",M1965&lt;&gt;"",N(B1965)&gt;=TODAY()),IF(COUNTIFS(Appointments!$D$6:$D$2005,D1965,Appointments!$F$6:$F$2005,"Booked",Appointments!$B$6:$B$2005,"&gt;="&amp;TODAY(),Appointments!$M$6:$M$2005,"&lt;"&amp;M1965)=0,1,0),0)</f>
        <v/>
      </c>
    </row>
    <row r="1966">
      <c r="A1966" s="1" t="n"/>
      <c r="B1966" s="30" t="n"/>
      <c r="C1966" s="31" t="n"/>
      <c r="D1966" s="32" t="n"/>
      <c r="E1966" s="32" t="n"/>
      <c r="F1966" s="33" t="n"/>
      <c r="G1966" s="27">
        <f>IF(E1966="","",MAX(0,IFERROR(INDEX(Services!$C$6:$C$35,MATCH(E1966,Services!$B$6:$B$35,0)),0)-N(H1966)))</f>
        <v/>
      </c>
      <c r="H1966" s="34" t="n"/>
      <c r="I1966" s="34" t="n"/>
      <c r="J1966" s="33" t="n"/>
      <c r="K1966" s="28">
        <f>IF(OR(B1966="",F1966&lt;&gt;"Done",J1966="Package"),"",IF(N(G1966)-N(I1966)&gt;0,N(G1966)-N(I1966),""))</f>
        <v/>
      </c>
      <c r="L1966" s="32" t="n"/>
      <c r="M1966" s="1">
        <f>IF(OR(B1966="",D1966="",F1966="Cancelled"),"",B1966+N(C1966)+ROW()/10000000)</f>
        <v/>
      </c>
      <c r="N1966">
        <f>IF(AND(F1966="Done",M1966&lt;&gt;""),IF(COUNTIFS(Appointments!$D$6:$D$2005,D1966,Appointments!$F$6:$F$2005,"Done",Appointments!$M$6:$M$2005,"&gt;"&amp;M1966)=0,1,0),0)</f>
        <v/>
      </c>
      <c r="O1966">
        <f>IF(AND(F1966="Booked",M1966&lt;&gt;"",N(B1966)&gt;=TODAY()),IF(COUNTIFS(Appointments!$D$6:$D$2005,D1966,Appointments!$F$6:$F$2005,"Booked",Appointments!$B$6:$B$2005,"&gt;="&amp;TODAY(),Appointments!$M$6:$M$2005,"&lt;"&amp;M1966)=0,1,0),0)</f>
        <v/>
      </c>
    </row>
    <row r="1967">
      <c r="A1967" s="1" t="n"/>
      <c r="B1967" s="30" t="n"/>
      <c r="C1967" s="31" t="n"/>
      <c r="D1967" s="32" t="n"/>
      <c r="E1967" s="32" t="n"/>
      <c r="F1967" s="33" t="n"/>
      <c r="G1967" s="27">
        <f>IF(E1967="","",MAX(0,IFERROR(INDEX(Services!$C$6:$C$35,MATCH(E1967,Services!$B$6:$B$35,0)),0)-N(H1967)))</f>
        <v/>
      </c>
      <c r="H1967" s="34" t="n"/>
      <c r="I1967" s="34" t="n"/>
      <c r="J1967" s="33" t="n"/>
      <c r="K1967" s="28">
        <f>IF(OR(B1967="",F1967&lt;&gt;"Done",J1967="Package"),"",IF(N(G1967)-N(I1967)&gt;0,N(G1967)-N(I1967),""))</f>
        <v/>
      </c>
      <c r="L1967" s="32" t="n"/>
      <c r="M1967" s="1">
        <f>IF(OR(B1967="",D1967="",F1967="Cancelled"),"",B1967+N(C1967)+ROW()/10000000)</f>
        <v/>
      </c>
      <c r="N1967">
        <f>IF(AND(F1967="Done",M1967&lt;&gt;""),IF(COUNTIFS(Appointments!$D$6:$D$2005,D1967,Appointments!$F$6:$F$2005,"Done",Appointments!$M$6:$M$2005,"&gt;"&amp;M1967)=0,1,0),0)</f>
        <v/>
      </c>
      <c r="O1967">
        <f>IF(AND(F1967="Booked",M1967&lt;&gt;"",N(B1967)&gt;=TODAY()),IF(COUNTIFS(Appointments!$D$6:$D$2005,D1967,Appointments!$F$6:$F$2005,"Booked",Appointments!$B$6:$B$2005,"&gt;="&amp;TODAY(),Appointments!$M$6:$M$2005,"&lt;"&amp;M1967)=0,1,0),0)</f>
        <v/>
      </c>
    </row>
    <row r="1968">
      <c r="A1968" s="1" t="n"/>
      <c r="B1968" s="30" t="n"/>
      <c r="C1968" s="31" t="n"/>
      <c r="D1968" s="32" t="n"/>
      <c r="E1968" s="32" t="n"/>
      <c r="F1968" s="33" t="n"/>
      <c r="G1968" s="27">
        <f>IF(E1968="","",MAX(0,IFERROR(INDEX(Services!$C$6:$C$35,MATCH(E1968,Services!$B$6:$B$35,0)),0)-N(H1968)))</f>
        <v/>
      </c>
      <c r="H1968" s="34" t="n"/>
      <c r="I1968" s="34" t="n"/>
      <c r="J1968" s="33" t="n"/>
      <c r="K1968" s="28">
        <f>IF(OR(B1968="",F1968&lt;&gt;"Done",J1968="Package"),"",IF(N(G1968)-N(I1968)&gt;0,N(G1968)-N(I1968),""))</f>
        <v/>
      </c>
      <c r="L1968" s="32" t="n"/>
      <c r="M1968" s="1">
        <f>IF(OR(B1968="",D1968="",F1968="Cancelled"),"",B1968+N(C1968)+ROW()/10000000)</f>
        <v/>
      </c>
      <c r="N1968">
        <f>IF(AND(F1968="Done",M1968&lt;&gt;""),IF(COUNTIFS(Appointments!$D$6:$D$2005,D1968,Appointments!$F$6:$F$2005,"Done",Appointments!$M$6:$M$2005,"&gt;"&amp;M1968)=0,1,0),0)</f>
        <v/>
      </c>
      <c r="O1968">
        <f>IF(AND(F1968="Booked",M1968&lt;&gt;"",N(B1968)&gt;=TODAY()),IF(COUNTIFS(Appointments!$D$6:$D$2005,D1968,Appointments!$F$6:$F$2005,"Booked",Appointments!$B$6:$B$2005,"&gt;="&amp;TODAY(),Appointments!$M$6:$M$2005,"&lt;"&amp;M1968)=0,1,0),0)</f>
        <v/>
      </c>
    </row>
    <row r="1969">
      <c r="A1969" s="1" t="n"/>
      <c r="B1969" s="30" t="n"/>
      <c r="C1969" s="31" t="n"/>
      <c r="D1969" s="32" t="n"/>
      <c r="E1969" s="32" t="n"/>
      <c r="F1969" s="33" t="n"/>
      <c r="G1969" s="27">
        <f>IF(E1969="","",MAX(0,IFERROR(INDEX(Services!$C$6:$C$35,MATCH(E1969,Services!$B$6:$B$35,0)),0)-N(H1969)))</f>
        <v/>
      </c>
      <c r="H1969" s="34" t="n"/>
      <c r="I1969" s="34" t="n"/>
      <c r="J1969" s="33" t="n"/>
      <c r="K1969" s="28">
        <f>IF(OR(B1969="",F1969&lt;&gt;"Done",J1969="Package"),"",IF(N(G1969)-N(I1969)&gt;0,N(G1969)-N(I1969),""))</f>
        <v/>
      </c>
      <c r="L1969" s="32" t="n"/>
      <c r="M1969" s="1">
        <f>IF(OR(B1969="",D1969="",F1969="Cancelled"),"",B1969+N(C1969)+ROW()/10000000)</f>
        <v/>
      </c>
      <c r="N1969">
        <f>IF(AND(F1969="Done",M1969&lt;&gt;""),IF(COUNTIFS(Appointments!$D$6:$D$2005,D1969,Appointments!$F$6:$F$2005,"Done",Appointments!$M$6:$M$2005,"&gt;"&amp;M1969)=0,1,0),0)</f>
        <v/>
      </c>
      <c r="O1969">
        <f>IF(AND(F1969="Booked",M1969&lt;&gt;"",N(B1969)&gt;=TODAY()),IF(COUNTIFS(Appointments!$D$6:$D$2005,D1969,Appointments!$F$6:$F$2005,"Booked",Appointments!$B$6:$B$2005,"&gt;="&amp;TODAY(),Appointments!$M$6:$M$2005,"&lt;"&amp;M1969)=0,1,0),0)</f>
        <v/>
      </c>
    </row>
    <row r="1970">
      <c r="A1970" s="1" t="n"/>
      <c r="B1970" s="30" t="n"/>
      <c r="C1970" s="31" t="n"/>
      <c r="D1970" s="32" t="n"/>
      <c r="E1970" s="32" t="n"/>
      <c r="F1970" s="33" t="n"/>
      <c r="G1970" s="27">
        <f>IF(E1970="","",MAX(0,IFERROR(INDEX(Services!$C$6:$C$35,MATCH(E1970,Services!$B$6:$B$35,0)),0)-N(H1970)))</f>
        <v/>
      </c>
      <c r="H1970" s="34" t="n"/>
      <c r="I1970" s="34" t="n"/>
      <c r="J1970" s="33" t="n"/>
      <c r="K1970" s="28">
        <f>IF(OR(B1970="",F1970&lt;&gt;"Done",J1970="Package"),"",IF(N(G1970)-N(I1970)&gt;0,N(G1970)-N(I1970),""))</f>
        <v/>
      </c>
      <c r="L1970" s="32" t="n"/>
      <c r="M1970" s="1">
        <f>IF(OR(B1970="",D1970="",F1970="Cancelled"),"",B1970+N(C1970)+ROW()/10000000)</f>
        <v/>
      </c>
      <c r="N1970">
        <f>IF(AND(F1970="Done",M1970&lt;&gt;""),IF(COUNTIFS(Appointments!$D$6:$D$2005,D1970,Appointments!$F$6:$F$2005,"Done",Appointments!$M$6:$M$2005,"&gt;"&amp;M1970)=0,1,0),0)</f>
        <v/>
      </c>
      <c r="O1970">
        <f>IF(AND(F1970="Booked",M1970&lt;&gt;"",N(B1970)&gt;=TODAY()),IF(COUNTIFS(Appointments!$D$6:$D$2005,D1970,Appointments!$F$6:$F$2005,"Booked",Appointments!$B$6:$B$2005,"&gt;="&amp;TODAY(),Appointments!$M$6:$M$2005,"&lt;"&amp;M1970)=0,1,0),0)</f>
        <v/>
      </c>
    </row>
    <row r="1971">
      <c r="A1971" s="1" t="n"/>
      <c r="B1971" s="30" t="n"/>
      <c r="C1971" s="31" t="n"/>
      <c r="D1971" s="32" t="n"/>
      <c r="E1971" s="32" t="n"/>
      <c r="F1971" s="33" t="n"/>
      <c r="G1971" s="27">
        <f>IF(E1971="","",MAX(0,IFERROR(INDEX(Services!$C$6:$C$35,MATCH(E1971,Services!$B$6:$B$35,0)),0)-N(H1971)))</f>
        <v/>
      </c>
      <c r="H1971" s="34" t="n"/>
      <c r="I1971" s="34" t="n"/>
      <c r="J1971" s="33" t="n"/>
      <c r="K1971" s="28">
        <f>IF(OR(B1971="",F1971&lt;&gt;"Done",J1971="Package"),"",IF(N(G1971)-N(I1971)&gt;0,N(G1971)-N(I1971),""))</f>
        <v/>
      </c>
      <c r="L1971" s="32" t="n"/>
      <c r="M1971" s="1">
        <f>IF(OR(B1971="",D1971="",F1971="Cancelled"),"",B1971+N(C1971)+ROW()/10000000)</f>
        <v/>
      </c>
      <c r="N1971">
        <f>IF(AND(F1971="Done",M1971&lt;&gt;""),IF(COUNTIFS(Appointments!$D$6:$D$2005,D1971,Appointments!$F$6:$F$2005,"Done",Appointments!$M$6:$M$2005,"&gt;"&amp;M1971)=0,1,0),0)</f>
        <v/>
      </c>
      <c r="O1971">
        <f>IF(AND(F1971="Booked",M1971&lt;&gt;"",N(B1971)&gt;=TODAY()),IF(COUNTIFS(Appointments!$D$6:$D$2005,D1971,Appointments!$F$6:$F$2005,"Booked",Appointments!$B$6:$B$2005,"&gt;="&amp;TODAY(),Appointments!$M$6:$M$2005,"&lt;"&amp;M1971)=0,1,0),0)</f>
        <v/>
      </c>
    </row>
    <row r="1972">
      <c r="A1972" s="1" t="n"/>
      <c r="B1972" s="30" t="n"/>
      <c r="C1972" s="31" t="n"/>
      <c r="D1972" s="32" t="n"/>
      <c r="E1972" s="32" t="n"/>
      <c r="F1972" s="33" t="n"/>
      <c r="G1972" s="27">
        <f>IF(E1972="","",MAX(0,IFERROR(INDEX(Services!$C$6:$C$35,MATCH(E1972,Services!$B$6:$B$35,0)),0)-N(H1972)))</f>
        <v/>
      </c>
      <c r="H1972" s="34" t="n"/>
      <c r="I1972" s="34" t="n"/>
      <c r="J1972" s="33" t="n"/>
      <c r="K1972" s="28">
        <f>IF(OR(B1972="",F1972&lt;&gt;"Done",J1972="Package"),"",IF(N(G1972)-N(I1972)&gt;0,N(G1972)-N(I1972),""))</f>
        <v/>
      </c>
      <c r="L1972" s="32" t="n"/>
      <c r="M1972" s="1">
        <f>IF(OR(B1972="",D1972="",F1972="Cancelled"),"",B1972+N(C1972)+ROW()/10000000)</f>
        <v/>
      </c>
      <c r="N1972">
        <f>IF(AND(F1972="Done",M1972&lt;&gt;""),IF(COUNTIFS(Appointments!$D$6:$D$2005,D1972,Appointments!$F$6:$F$2005,"Done",Appointments!$M$6:$M$2005,"&gt;"&amp;M1972)=0,1,0),0)</f>
        <v/>
      </c>
      <c r="O1972">
        <f>IF(AND(F1972="Booked",M1972&lt;&gt;"",N(B1972)&gt;=TODAY()),IF(COUNTIFS(Appointments!$D$6:$D$2005,D1972,Appointments!$F$6:$F$2005,"Booked",Appointments!$B$6:$B$2005,"&gt;="&amp;TODAY(),Appointments!$M$6:$M$2005,"&lt;"&amp;M1972)=0,1,0),0)</f>
        <v/>
      </c>
    </row>
    <row r="1973">
      <c r="A1973" s="1" t="n"/>
      <c r="B1973" s="30" t="n"/>
      <c r="C1973" s="31" t="n"/>
      <c r="D1973" s="32" t="n"/>
      <c r="E1973" s="32" t="n"/>
      <c r="F1973" s="33" t="n"/>
      <c r="G1973" s="27">
        <f>IF(E1973="","",MAX(0,IFERROR(INDEX(Services!$C$6:$C$35,MATCH(E1973,Services!$B$6:$B$35,0)),0)-N(H1973)))</f>
        <v/>
      </c>
      <c r="H1973" s="34" t="n"/>
      <c r="I1973" s="34" t="n"/>
      <c r="J1973" s="33" t="n"/>
      <c r="K1973" s="28">
        <f>IF(OR(B1973="",F1973&lt;&gt;"Done",J1973="Package"),"",IF(N(G1973)-N(I1973)&gt;0,N(G1973)-N(I1973),""))</f>
        <v/>
      </c>
      <c r="L1973" s="32" t="n"/>
      <c r="M1973" s="1">
        <f>IF(OR(B1973="",D1973="",F1973="Cancelled"),"",B1973+N(C1973)+ROW()/10000000)</f>
        <v/>
      </c>
      <c r="N1973">
        <f>IF(AND(F1973="Done",M1973&lt;&gt;""),IF(COUNTIFS(Appointments!$D$6:$D$2005,D1973,Appointments!$F$6:$F$2005,"Done",Appointments!$M$6:$M$2005,"&gt;"&amp;M1973)=0,1,0),0)</f>
        <v/>
      </c>
      <c r="O1973">
        <f>IF(AND(F1973="Booked",M1973&lt;&gt;"",N(B1973)&gt;=TODAY()),IF(COUNTIFS(Appointments!$D$6:$D$2005,D1973,Appointments!$F$6:$F$2005,"Booked",Appointments!$B$6:$B$2005,"&gt;="&amp;TODAY(),Appointments!$M$6:$M$2005,"&lt;"&amp;M1973)=0,1,0),0)</f>
        <v/>
      </c>
    </row>
    <row r="1974">
      <c r="A1974" s="1" t="n"/>
      <c r="B1974" s="30" t="n"/>
      <c r="C1974" s="31" t="n"/>
      <c r="D1974" s="32" t="n"/>
      <c r="E1974" s="32" t="n"/>
      <c r="F1974" s="33" t="n"/>
      <c r="G1974" s="27">
        <f>IF(E1974="","",MAX(0,IFERROR(INDEX(Services!$C$6:$C$35,MATCH(E1974,Services!$B$6:$B$35,0)),0)-N(H1974)))</f>
        <v/>
      </c>
      <c r="H1974" s="34" t="n"/>
      <c r="I1974" s="34" t="n"/>
      <c r="J1974" s="33" t="n"/>
      <c r="K1974" s="28">
        <f>IF(OR(B1974="",F1974&lt;&gt;"Done",J1974="Package"),"",IF(N(G1974)-N(I1974)&gt;0,N(G1974)-N(I1974),""))</f>
        <v/>
      </c>
      <c r="L1974" s="32" t="n"/>
      <c r="M1974" s="1">
        <f>IF(OR(B1974="",D1974="",F1974="Cancelled"),"",B1974+N(C1974)+ROW()/10000000)</f>
        <v/>
      </c>
      <c r="N1974">
        <f>IF(AND(F1974="Done",M1974&lt;&gt;""),IF(COUNTIFS(Appointments!$D$6:$D$2005,D1974,Appointments!$F$6:$F$2005,"Done",Appointments!$M$6:$M$2005,"&gt;"&amp;M1974)=0,1,0),0)</f>
        <v/>
      </c>
      <c r="O1974">
        <f>IF(AND(F1974="Booked",M1974&lt;&gt;"",N(B1974)&gt;=TODAY()),IF(COUNTIFS(Appointments!$D$6:$D$2005,D1974,Appointments!$F$6:$F$2005,"Booked",Appointments!$B$6:$B$2005,"&gt;="&amp;TODAY(),Appointments!$M$6:$M$2005,"&lt;"&amp;M1974)=0,1,0),0)</f>
        <v/>
      </c>
    </row>
    <row r="1975">
      <c r="A1975" s="1" t="n"/>
      <c r="B1975" s="30" t="n"/>
      <c r="C1975" s="31" t="n"/>
      <c r="D1975" s="32" t="n"/>
      <c r="E1975" s="32" t="n"/>
      <c r="F1975" s="33" t="n"/>
      <c r="G1975" s="27">
        <f>IF(E1975="","",MAX(0,IFERROR(INDEX(Services!$C$6:$C$35,MATCH(E1975,Services!$B$6:$B$35,0)),0)-N(H1975)))</f>
        <v/>
      </c>
      <c r="H1975" s="34" t="n"/>
      <c r="I1975" s="34" t="n"/>
      <c r="J1975" s="33" t="n"/>
      <c r="K1975" s="28">
        <f>IF(OR(B1975="",F1975&lt;&gt;"Done",J1975="Package"),"",IF(N(G1975)-N(I1975)&gt;0,N(G1975)-N(I1975),""))</f>
        <v/>
      </c>
      <c r="L1975" s="32" t="n"/>
      <c r="M1975" s="1">
        <f>IF(OR(B1975="",D1975="",F1975="Cancelled"),"",B1975+N(C1975)+ROW()/10000000)</f>
        <v/>
      </c>
      <c r="N1975">
        <f>IF(AND(F1975="Done",M1975&lt;&gt;""),IF(COUNTIFS(Appointments!$D$6:$D$2005,D1975,Appointments!$F$6:$F$2005,"Done",Appointments!$M$6:$M$2005,"&gt;"&amp;M1975)=0,1,0),0)</f>
        <v/>
      </c>
      <c r="O1975">
        <f>IF(AND(F1975="Booked",M1975&lt;&gt;"",N(B1975)&gt;=TODAY()),IF(COUNTIFS(Appointments!$D$6:$D$2005,D1975,Appointments!$F$6:$F$2005,"Booked",Appointments!$B$6:$B$2005,"&gt;="&amp;TODAY(),Appointments!$M$6:$M$2005,"&lt;"&amp;M1975)=0,1,0),0)</f>
        <v/>
      </c>
    </row>
    <row r="1976">
      <c r="A1976" s="1" t="n"/>
      <c r="B1976" s="30" t="n"/>
      <c r="C1976" s="31" t="n"/>
      <c r="D1976" s="32" t="n"/>
      <c r="E1976" s="32" t="n"/>
      <c r="F1976" s="33" t="n"/>
      <c r="G1976" s="27">
        <f>IF(E1976="","",MAX(0,IFERROR(INDEX(Services!$C$6:$C$35,MATCH(E1976,Services!$B$6:$B$35,0)),0)-N(H1976)))</f>
        <v/>
      </c>
      <c r="H1976" s="34" t="n"/>
      <c r="I1976" s="34" t="n"/>
      <c r="J1976" s="33" t="n"/>
      <c r="K1976" s="28">
        <f>IF(OR(B1976="",F1976&lt;&gt;"Done",J1976="Package"),"",IF(N(G1976)-N(I1976)&gt;0,N(G1976)-N(I1976),""))</f>
        <v/>
      </c>
      <c r="L1976" s="32" t="n"/>
      <c r="M1976" s="1">
        <f>IF(OR(B1976="",D1976="",F1976="Cancelled"),"",B1976+N(C1976)+ROW()/10000000)</f>
        <v/>
      </c>
      <c r="N1976">
        <f>IF(AND(F1976="Done",M1976&lt;&gt;""),IF(COUNTIFS(Appointments!$D$6:$D$2005,D1976,Appointments!$F$6:$F$2005,"Done",Appointments!$M$6:$M$2005,"&gt;"&amp;M1976)=0,1,0),0)</f>
        <v/>
      </c>
      <c r="O1976">
        <f>IF(AND(F1976="Booked",M1976&lt;&gt;"",N(B1976)&gt;=TODAY()),IF(COUNTIFS(Appointments!$D$6:$D$2005,D1976,Appointments!$F$6:$F$2005,"Booked",Appointments!$B$6:$B$2005,"&gt;="&amp;TODAY(),Appointments!$M$6:$M$2005,"&lt;"&amp;M1976)=0,1,0),0)</f>
        <v/>
      </c>
    </row>
    <row r="1977">
      <c r="A1977" s="1" t="n"/>
      <c r="B1977" s="30" t="n"/>
      <c r="C1977" s="31" t="n"/>
      <c r="D1977" s="32" t="n"/>
      <c r="E1977" s="32" t="n"/>
      <c r="F1977" s="33" t="n"/>
      <c r="G1977" s="27">
        <f>IF(E1977="","",MAX(0,IFERROR(INDEX(Services!$C$6:$C$35,MATCH(E1977,Services!$B$6:$B$35,0)),0)-N(H1977)))</f>
        <v/>
      </c>
      <c r="H1977" s="34" t="n"/>
      <c r="I1977" s="34" t="n"/>
      <c r="J1977" s="33" t="n"/>
      <c r="K1977" s="28">
        <f>IF(OR(B1977="",F1977&lt;&gt;"Done",J1977="Package"),"",IF(N(G1977)-N(I1977)&gt;0,N(G1977)-N(I1977),""))</f>
        <v/>
      </c>
      <c r="L1977" s="32" t="n"/>
      <c r="M1977" s="1">
        <f>IF(OR(B1977="",D1977="",F1977="Cancelled"),"",B1977+N(C1977)+ROW()/10000000)</f>
        <v/>
      </c>
      <c r="N1977">
        <f>IF(AND(F1977="Done",M1977&lt;&gt;""),IF(COUNTIFS(Appointments!$D$6:$D$2005,D1977,Appointments!$F$6:$F$2005,"Done",Appointments!$M$6:$M$2005,"&gt;"&amp;M1977)=0,1,0),0)</f>
        <v/>
      </c>
      <c r="O1977">
        <f>IF(AND(F1977="Booked",M1977&lt;&gt;"",N(B1977)&gt;=TODAY()),IF(COUNTIFS(Appointments!$D$6:$D$2005,D1977,Appointments!$F$6:$F$2005,"Booked",Appointments!$B$6:$B$2005,"&gt;="&amp;TODAY(),Appointments!$M$6:$M$2005,"&lt;"&amp;M1977)=0,1,0),0)</f>
        <v/>
      </c>
    </row>
    <row r="1978">
      <c r="A1978" s="1" t="n"/>
      <c r="B1978" s="30" t="n"/>
      <c r="C1978" s="31" t="n"/>
      <c r="D1978" s="32" t="n"/>
      <c r="E1978" s="32" t="n"/>
      <c r="F1978" s="33" t="n"/>
      <c r="G1978" s="27">
        <f>IF(E1978="","",MAX(0,IFERROR(INDEX(Services!$C$6:$C$35,MATCH(E1978,Services!$B$6:$B$35,0)),0)-N(H1978)))</f>
        <v/>
      </c>
      <c r="H1978" s="34" t="n"/>
      <c r="I1978" s="34" t="n"/>
      <c r="J1978" s="33" t="n"/>
      <c r="K1978" s="28">
        <f>IF(OR(B1978="",F1978&lt;&gt;"Done",J1978="Package"),"",IF(N(G1978)-N(I1978)&gt;0,N(G1978)-N(I1978),""))</f>
        <v/>
      </c>
      <c r="L1978" s="32" t="n"/>
      <c r="M1978" s="1">
        <f>IF(OR(B1978="",D1978="",F1978="Cancelled"),"",B1978+N(C1978)+ROW()/10000000)</f>
        <v/>
      </c>
      <c r="N1978">
        <f>IF(AND(F1978="Done",M1978&lt;&gt;""),IF(COUNTIFS(Appointments!$D$6:$D$2005,D1978,Appointments!$F$6:$F$2005,"Done",Appointments!$M$6:$M$2005,"&gt;"&amp;M1978)=0,1,0),0)</f>
        <v/>
      </c>
      <c r="O1978">
        <f>IF(AND(F1978="Booked",M1978&lt;&gt;"",N(B1978)&gt;=TODAY()),IF(COUNTIFS(Appointments!$D$6:$D$2005,D1978,Appointments!$F$6:$F$2005,"Booked",Appointments!$B$6:$B$2005,"&gt;="&amp;TODAY(),Appointments!$M$6:$M$2005,"&lt;"&amp;M1978)=0,1,0),0)</f>
        <v/>
      </c>
    </row>
    <row r="1979">
      <c r="A1979" s="1" t="n"/>
      <c r="B1979" s="30" t="n"/>
      <c r="C1979" s="31" t="n"/>
      <c r="D1979" s="32" t="n"/>
      <c r="E1979" s="32" t="n"/>
      <c r="F1979" s="33" t="n"/>
      <c r="G1979" s="27">
        <f>IF(E1979="","",MAX(0,IFERROR(INDEX(Services!$C$6:$C$35,MATCH(E1979,Services!$B$6:$B$35,0)),0)-N(H1979)))</f>
        <v/>
      </c>
      <c r="H1979" s="34" t="n"/>
      <c r="I1979" s="34" t="n"/>
      <c r="J1979" s="33" t="n"/>
      <c r="K1979" s="28">
        <f>IF(OR(B1979="",F1979&lt;&gt;"Done",J1979="Package"),"",IF(N(G1979)-N(I1979)&gt;0,N(G1979)-N(I1979),""))</f>
        <v/>
      </c>
      <c r="L1979" s="32" t="n"/>
      <c r="M1979" s="1">
        <f>IF(OR(B1979="",D1979="",F1979="Cancelled"),"",B1979+N(C1979)+ROW()/10000000)</f>
        <v/>
      </c>
      <c r="N1979">
        <f>IF(AND(F1979="Done",M1979&lt;&gt;""),IF(COUNTIFS(Appointments!$D$6:$D$2005,D1979,Appointments!$F$6:$F$2005,"Done",Appointments!$M$6:$M$2005,"&gt;"&amp;M1979)=0,1,0),0)</f>
        <v/>
      </c>
      <c r="O1979">
        <f>IF(AND(F1979="Booked",M1979&lt;&gt;"",N(B1979)&gt;=TODAY()),IF(COUNTIFS(Appointments!$D$6:$D$2005,D1979,Appointments!$F$6:$F$2005,"Booked",Appointments!$B$6:$B$2005,"&gt;="&amp;TODAY(),Appointments!$M$6:$M$2005,"&lt;"&amp;M1979)=0,1,0),0)</f>
        <v/>
      </c>
    </row>
    <row r="1980">
      <c r="A1980" s="1" t="n"/>
      <c r="B1980" s="30" t="n"/>
      <c r="C1980" s="31" t="n"/>
      <c r="D1980" s="32" t="n"/>
      <c r="E1980" s="32" t="n"/>
      <c r="F1980" s="33" t="n"/>
      <c r="G1980" s="27">
        <f>IF(E1980="","",MAX(0,IFERROR(INDEX(Services!$C$6:$C$35,MATCH(E1980,Services!$B$6:$B$35,0)),0)-N(H1980)))</f>
        <v/>
      </c>
      <c r="H1980" s="34" t="n"/>
      <c r="I1980" s="34" t="n"/>
      <c r="J1980" s="33" t="n"/>
      <c r="K1980" s="28">
        <f>IF(OR(B1980="",F1980&lt;&gt;"Done",J1980="Package"),"",IF(N(G1980)-N(I1980)&gt;0,N(G1980)-N(I1980),""))</f>
        <v/>
      </c>
      <c r="L1980" s="32" t="n"/>
      <c r="M1980" s="1">
        <f>IF(OR(B1980="",D1980="",F1980="Cancelled"),"",B1980+N(C1980)+ROW()/10000000)</f>
        <v/>
      </c>
      <c r="N1980">
        <f>IF(AND(F1980="Done",M1980&lt;&gt;""),IF(COUNTIFS(Appointments!$D$6:$D$2005,D1980,Appointments!$F$6:$F$2005,"Done",Appointments!$M$6:$M$2005,"&gt;"&amp;M1980)=0,1,0),0)</f>
        <v/>
      </c>
      <c r="O1980">
        <f>IF(AND(F1980="Booked",M1980&lt;&gt;"",N(B1980)&gt;=TODAY()),IF(COUNTIFS(Appointments!$D$6:$D$2005,D1980,Appointments!$F$6:$F$2005,"Booked",Appointments!$B$6:$B$2005,"&gt;="&amp;TODAY(),Appointments!$M$6:$M$2005,"&lt;"&amp;M1980)=0,1,0),0)</f>
        <v/>
      </c>
    </row>
    <row r="1981">
      <c r="A1981" s="1" t="n"/>
      <c r="B1981" s="30" t="n"/>
      <c r="C1981" s="31" t="n"/>
      <c r="D1981" s="32" t="n"/>
      <c r="E1981" s="32" t="n"/>
      <c r="F1981" s="33" t="n"/>
      <c r="G1981" s="27">
        <f>IF(E1981="","",MAX(0,IFERROR(INDEX(Services!$C$6:$C$35,MATCH(E1981,Services!$B$6:$B$35,0)),0)-N(H1981)))</f>
        <v/>
      </c>
      <c r="H1981" s="34" t="n"/>
      <c r="I1981" s="34" t="n"/>
      <c r="J1981" s="33" t="n"/>
      <c r="K1981" s="28">
        <f>IF(OR(B1981="",F1981&lt;&gt;"Done",J1981="Package"),"",IF(N(G1981)-N(I1981)&gt;0,N(G1981)-N(I1981),""))</f>
        <v/>
      </c>
      <c r="L1981" s="32" t="n"/>
      <c r="M1981" s="1">
        <f>IF(OR(B1981="",D1981="",F1981="Cancelled"),"",B1981+N(C1981)+ROW()/10000000)</f>
        <v/>
      </c>
      <c r="N1981">
        <f>IF(AND(F1981="Done",M1981&lt;&gt;""),IF(COUNTIFS(Appointments!$D$6:$D$2005,D1981,Appointments!$F$6:$F$2005,"Done",Appointments!$M$6:$M$2005,"&gt;"&amp;M1981)=0,1,0),0)</f>
        <v/>
      </c>
      <c r="O1981">
        <f>IF(AND(F1981="Booked",M1981&lt;&gt;"",N(B1981)&gt;=TODAY()),IF(COUNTIFS(Appointments!$D$6:$D$2005,D1981,Appointments!$F$6:$F$2005,"Booked",Appointments!$B$6:$B$2005,"&gt;="&amp;TODAY(),Appointments!$M$6:$M$2005,"&lt;"&amp;M1981)=0,1,0),0)</f>
        <v/>
      </c>
    </row>
    <row r="1982">
      <c r="A1982" s="1" t="n"/>
      <c r="B1982" s="30" t="n"/>
      <c r="C1982" s="31" t="n"/>
      <c r="D1982" s="32" t="n"/>
      <c r="E1982" s="32" t="n"/>
      <c r="F1982" s="33" t="n"/>
      <c r="G1982" s="27">
        <f>IF(E1982="","",MAX(0,IFERROR(INDEX(Services!$C$6:$C$35,MATCH(E1982,Services!$B$6:$B$35,0)),0)-N(H1982)))</f>
        <v/>
      </c>
      <c r="H1982" s="34" t="n"/>
      <c r="I1982" s="34" t="n"/>
      <c r="J1982" s="33" t="n"/>
      <c r="K1982" s="28">
        <f>IF(OR(B1982="",F1982&lt;&gt;"Done",J1982="Package"),"",IF(N(G1982)-N(I1982)&gt;0,N(G1982)-N(I1982),""))</f>
        <v/>
      </c>
      <c r="L1982" s="32" t="n"/>
      <c r="M1982" s="1">
        <f>IF(OR(B1982="",D1982="",F1982="Cancelled"),"",B1982+N(C1982)+ROW()/10000000)</f>
        <v/>
      </c>
      <c r="N1982">
        <f>IF(AND(F1982="Done",M1982&lt;&gt;""),IF(COUNTIFS(Appointments!$D$6:$D$2005,D1982,Appointments!$F$6:$F$2005,"Done",Appointments!$M$6:$M$2005,"&gt;"&amp;M1982)=0,1,0),0)</f>
        <v/>
      </c>
      <c r="O1982">
        <f>IF(AND(F1982="Booked",M1982&lt;&gt;"",N(B1982)&gt;=TODAY()),IF(COUNTIFS(Appointments!$D$6:$D$2005,D1982,Appointments!$F$6:$F$2005,"Booked",Appointments!$B$6:$B$2005,"&gt;="&amp;TODAY(),Appointments!$M$6:$M$2005,"&lt;"&amp;M1982)=0,1,0),0)</f>
        <v/>
      </c>
    </row>
    <row r="1983">
      <c r="A1983" s="1" t="n"/>
      <c r="B1983" s="30" t="n"/>
      <c r="C1983" s="31" t="n"/>
      <c r="D1983" s="32" t="n"/>
      <c r="E1983" s="32" t="n"/>
      <c r="F1983" s="33" t="n"/>
      <c r="G1983" s="27">
        <f>IF(E1983="","",MAX(0,IFERROR(INDEX(Services!$C$6:$C$35,MATCH(E1983,Services!$B$6:$B$35,0)),0)-N(H1983)))</f>
        <v/>
      </c>
      <c r="H1983" s="34" t="n"/>
      <c r="I1983" s="34" t="n"/>
      <c r="J1983" s="33" t="n"/>
      <c r="K1983" s="28">
        <f>IF(OR(B1983="",F1983&lt;&gt;"Done",J1983="Package"),"",IF(N(G1983)-N(I1983)&gt;0,N(G1983)-N(I1983),""))</f>
        <v/>
      </c>
      <c r="L1983" s="32" t="n"/>
      <c r="M1983" s="1">
        <f>IF(OR(B1983="",D1983="",F1983="Cancelled"),"",B1983+N(C1983)+ROW()/10000000)</f>
        <v/>
      </c>
      <c r="N1983">
        <f>IF(AND(F1983="Done",M1983&lt;&gt;""),IF(COUNTIFS(Appointments!$D$6:$D$2005,D1983,Appointments!$F$6:$F$2005,"Done",Appointments!$M$6:$M$2005,"&gt;"&amp;M1983)=0,1,0),0)</f>
        <v/>
      </c>
      <c r="O1983">
        <f>IF(AND(F1983="Booked",M1983&lt;&gt;"",N(B1983)&gt;=TODAY()),IF(COUNTIFS(Appointments!$D$6:$D$2005,D1983,Appointments!$F$6:$F$2005,"Booked",Appointments!$B$6:$B$2005,"&gt;="&amp;TODAY(),Appointments!$M$6:$M$2005,"&lt;"&amp;M1983)=0,1,0),0)</f>
        <v/>
      </c>
    </row>
    <row r="1984">
      <c r="A1984" s="1" t="n"/>
      <c r="B1984" s="30" t="n"/>
      <c r="C1984" s="31" t="n"/>
      <c r="D1984" s="32" t="n"/>
      <c r="E1984" s="32" t="n"/>
      <c r="F1984" s="33" t="n"/>
      <c r="G1984" s="27">
        <f>IF(E1984="","",MAX(0,IFERROR(INDEX(Services!$C$6:$C$35,MATCH(E1984,Services!$B$6:$B$35,0)),0)-N(H1984)))</f>
        <v/>
      </c>
      <c r="H1984" s="34" t="n"/>
      <c r="I1984" s="34" t="n"/>
      <c r="J1984" s="33" t="n"/>
      <c r="K1984" s="28">
        <f>IF(OR(B1984="",F1984&lt;&gt;"Done",J1984="Package"),"",IF(N(G1984)-N(I1984)&gt;0,N(G1984)-N(I1984),""))</f>
        <v/>
      </c>
      <c r="L1984" s="32" t="n"/>
      <c r="M1984" s="1">
        <f>IF(OR(B1984="",D1984="",F1984="Cancelled"),"",B1984+N(C1984)+ROW()/10000000)</f>
        <v/>
      </c>
      <c r="N1984">
        <f>IF(AND(F1984="Done",M1984&lt;&gt;""),IF(COUNTIFS(Appointments!$D$6:$D$2005,D1984,Appointments!$F$6:$F$2005,"Done",Appointments!$M$6:$M$2005,"&gt;"&amp;M1984)=0,1,0),0)</f>
        <v/>
      </c>
      <c r="O1984">
        <f>IF(AND(F1984="Booked",M1984&lt;&gt;"",N(B1984)&gt;=TODAY()),IF(COUNTIFS(Appointments!$D$6:$D$2005,D1984,Appointments!$F$6:$F$2005,"Booked",Appointments!$B$6:$B$2005,"&gt;="&amp;TODAY(),Appointments!$M$6:$M$2005,"&lt;"&amp;M1984)=0,1,0),0)</f>
        <v/>
      </c>
    </row>
    <row r="1985">
      <c r="A1985" s="1" t="n"/>
      <c r="B1985" s="30" t="n"/>
      <c r="C1985" s="31" t="n"/>
      <c r="D1985" s="32" t="n"/>
      <c r="E1985" s="32" t="n"/>
      <c r="F1985" s="33" t="n"/>
      <c r="G1985" s="27">
        <f>IF(E1985="","",MAX(0,IFERROR(INDEX(Services!$C$6:$C$35,MATCH(E1985,Services!$B$6:$B$35,0)),0)-N(H1985)))</f>
        <v/>
      </c>
      <c r="H1985" s="34" t="n"/>
      <c r="I1985" s="34" t="n"/>
      <c r="J1985" s="33" t="n"/>
      <c r="K1985" s="28">
        <f>IF(OR(B1985="",F1985&lt;&gt;"Done",J1985="Package"),"",IF(N(G1985)-N(I1985)&gt;0,N(G1985)-N(I1985),""))</f>
        <v/>
      </c>
      <c r="L1985" s="32" t="n"/>
      <c r="M1985" s="1">
        <f>IF(OR(B1985="",D1985="",F1985="Cancelled"),"",B1985+N(C1985)+ROW()/10000000)</f>
        <v/>
      </c>
      <c r="N1985">
        <f>IF(AND(F1985="Done",M1985&lt;&gt;""),IF(COUNTIFS(Appointments!$D$6:$D$2005,D1985,Appointments!$F$6:$F$2005,"Done",Appointments!$M$6:$M$2005,"&gt;"&amp;M1985)=0,1,0),0)</f>
        <v/>
      </c>
      <c r="O1985">
        <f>IF(AND(F1985="Booked",M1985&lt;&gt;"",N(B1985)&gt;=TODAY()),IF(COUNTIFS(Appointments!$D$6:$D$2005,D1985,Appointments!$F$6:$F$2005,"Booked",Appointments!$B$6:$B$2005,"&gt;="&amp;TODAY(),Appointments!$M$6:$M$2005,"&lt;"&amp;M1985)=0,1,0),0)</f>
        <v/>
      </c>
    </row>
    <row r="1986">
      <c r="A1986" s="1" t="n"/>
      <c r="B1986" s="30" t="n"/>
      <c r="C1986" s="31" t="n"/>
      <c r="D1986" s="32" t="n"/>
      <c r="E1986" s="32" t="n"/>
      <c r="F1986" s="33" t="n"/>
      <c r="G1986" s="27">
        <f>IF(E1986="","",MAX(0,IFERROR(INDEX(Services!$C$6:$C$35,MATCH(E1986,Services!$B$6:$B$35,0)),0)-N(H1986)))</f>
        <v/>
      </c>
      <c r="H1986" s="34" t="n"/>
      <c r="I1986" s="34" t="n"/>
      <c r="J1986" s="33" t="n"/>
      <c r="K1986" s="28">
        <f>IF(OR(B1986="",F1986&lt;&gt;"Done",J1986="Package"),"",IF(N(G1986)-N(I1986)&gt;0,N(G1986)-N(I1986),""))</f>
        <v/>
      </c>
      <c r="L1986" s="32" t="n"/>
      <c r="M1986" s="1">
        <f>IF(OR(B1986="",D1986="",F1986="Cancelled"),"",B1986+N(C1986)+ROW()/10000000)</f>
        <v/>
      </c>
      <c r="N1986">
        <f>IF(AND(F1986="Done",M1986&lt;&gt;""),IF(COUNTIFS(Appointments!$D$6:$D$2005,D1986,Appointments!$F$6:$F$2005,"Done",Appointments!$M$6:$M$2005,"&gt;"&amp;M1986)=0,1,0),0)</f>
        <v/>
      </c>
      <c r="O1986">
        <f>IF(AND(F1986="Booked",M1986&lt;&gt;"",N(B1986)&gt;=TODAY()),IF(COUNTIFS(Appointments!$D$6:$D$2005,D1986,Appointments!$F$6:$F$2005,"Booked",Appointments!$B$6:$B$2005,"&gt;="&amp;TODAY(),Appointments!$M$6:$M$2005,"&lt;"&amp;M1986)=0,1,0),0)</f>
        <v/>
      </c>
    </row>
    <row r="1987">
      <c r="A1987" s="1" t="n"/>
      <c r="B1987" s="30" t="n"/>
      <c r="C1987" s="31" t="n"/>
      <c r="D1987" s="32" t="n"/>
      <c r="E1987" s="32" t="n"/>
      <c r="F1987" s="33" t="n"/>
      <c r="G1987" s="27">
        <f>IF(E1987="","",MAX(0,IFERROR(INDEX(Services!$C$6:$C$35,MATCH(E1987,Services!$B$6:$B$35,0)),0)-N(H1987)))</f>
        <v/>
      </c>
      <c r="H1987" s="34" t="n"/>
      <c r="I1987" s="34" t="n"/>
      <c r="J1987" s="33" t="n"/>
      <c r="K1987" s="28">
        <f>IF(OR(B1987="",F1987&lt;&gt;"Done",J1987="Package"),"",IF(N(G1987)-N(I1987)&gt;0,N(G1987)-N(I1987),""))</f>
        <v/>
      </c>
      <c r="L1987" s="32" t="n"/>
      <c r="M1987" s="1">
        <f>IF(OR(B1987="",D1987="",F1987="Cancelled"),"",B1987+N(C1987)+ROW()/10000000)</f>
        <v/>
      </c>
      <c r="N1987">
        <f>IF(AND(F1987="Done",M1987&lt;&gt;""),IF(COUNTIFS(Appointments!$D$6:$D$2005,D1987,Appointments!$F$6:$F$2005,"Done",Appointments!$M$6:$M$2005,"&gt;"&amp;M1987)=0,1,0),0)</f>
        <v/>
      </c>
      <c r="O1987">
        <f>IF(AND(F1987="Booked",M1987&lt;&gt;"",N(B1987)&gt;=TODAY()),IF(COUNTIFS(Appointments!$D$6:$D$2005,D1987,Appointments!$F$6:$F$2005,"Booked",Appointments!$B$6:$B$2005,"&gt;="&amp;TODAY(),Appointments!$M$6:$M$2005,"&lt;"&amp;M1987)=0,1,0),0)</f>
        <v/>
      </c>
    </row>
    <row r="1988">
      <c r="A1988" s="1" t="n"/>
      <c r="B1988" s="30" t="n"/>
      <c r="C1988" s="31" t="n"/>
      <c r="D1988" s="32" t="n"/>
      <c r="E1988" s="32" t="n"/>
      <c r="F1988" s="33" t="n"/>
      <c r="G1988" s="27">
        <f>IF(E1988="","",MAX(0,IFERROR(INDEX(Services!$C$6:$C$35,MATCH(E1988,Services!$B$6:$B$35,0)),0)-N(H1988)))</f>
        <v/>
      </c>
      <c r="H1988" s="34" t="n"/>
      <c r="I1988" s="34" t="n"/>
      <c r="J1988" s="33" t="n"/>
      <c r="K1988" s="28">
        <f>IF(OR(B1988="",F1988&lt;&gt;"Done",J1988="Package"),"",IF(N(G1988)-N(I1988)&gt;0,N(G1988)-N(I1988),""))</f>
        <v/>
      </c>
      <c r="L1988" s="32" t="n"/>
      <c r="M1988" s="1">
        <f>IF(OR(B1988="",D1988="",F1988="Cancelled"),"",B1988+N(C1988)+ROW()/10000000)</f>
        <v/>
      </c>
      <c r="N1988">
        <f>IF(AND(F1988="Done",M1988&lt;&gt;""),IF(COUNTIFS(Appointments!$D$6:$D$2005,D1988,Appointments!$F$6:$F$2005,"Done",Appointments!$M$6:$M$2005,"&gt;"&amp;M1988)=0,1,0),0)</f>
        <v/>
      </c>
      <c r="O1988">
        <f>IF(AND(F1988="Booked",M1988&lt;&gt;"",N(B1988)&gt;=TODAY()),IF(COUNTIFS(Appointments!$D$6:$D$2005,D1988,Appointments!$F$6:$F$2005,"Booked",Appointments!$B$6:$B$2005,"&gt;="&amp;TODAY(),Appointments!$M$6:$M$2005,"&lt;"&amp;M1988)=0,1,0),0)</f>
        <v/>
      </c>
    </row>
    <row r="1989">
      <c r="A1989" s="1" t="n"/>
      <c r="B1989" s="30" t="n"/>
      <c r="C1989" s="31" t="n"/>
      <c r="D1989" s="32" t="n"/>
      <c r="E1989" s="32" t="n"/>
      <c r="F1989" s="33" t="n"/>
      <c r="G1989" s="27">
        <f>IF(E1989="","",MAX(0,IFERROR(INDEX(Services!$C$6:$C$35,MATCH(E1989,Services!$B$6:$B$35,0)),0)-N(H1989)))</f>
        <v/>
      </c>
      <c r="H1989" s="34" t="n"/>
      <c r="I1989" s="34" t="n"/>
      <c r="J1989" s="33" t="n"/>
      <c r="K1989" s="28">
        <f>IF(OR(B1989="",F1989&lt;&gt;"Done",J1989="Package"),"",IF(N(G1989)-N(I1989)&gt;0,N(G1989)-N(I1989),""))</f>
        <v/>
      </c>
      <c r="L1989" s="32" t="n"/>
      <c r="M1989" s="1">
        <f>IF(OR(B1989="",D1989="",F1989="Cancelled"),"",B1989+N(C1989)+ROW()/10000000)</f>
        <v/>
      </c>
      <c r="N1989">
        <f>IF(AND(F1989="Done",M1989&lt;&gt;""),IF(COUNTIFS(Appointments!$D$6:$D$2005,D1989,Appointments!$F$6:$F$2005,"Done",Appointments!$M$6:$M$2005,"&gt;"&amp;M1989)=0,1,0),0)</f>
        <v/>
      </c>
      <c r="O1989">
        <f>IF(AND(F1989="Booked",M1989&lt;&gt;"",N(B1989)&gt;=TODAY()),IF(COUNTIFS(Appointments!$D$6:$D$2005,D1989,Appointments!$F$6:$F$2005,"Booked",Appointments!$B$6:$B$2005,"&gt;="&amp;TODAY(),Appointments!$M$6:$M$2005,"&lt;"&amp;M1989)=0,1,0),0)</f>
        <v/>
      </c>
    </row>
    <row r="1990">
      <c r="A1990" s="1" t="n"/>
      <c r="B1990" s="30" t="n"/>
      <c r="C1990" s="31" t="n"/>
      <c r="D1990" s="32" t="n"/>
      <c r="E1990" s="32" t="n"/>
      <c r="F1990" s="33" t="n"/>
      <c r="G1990" s="27">
        <f>IF(E1990="","",MAX(0,IFERROR(INDEX(Services!$C$6:$C$35,MATCH(E1990,Services!$B$6:$B$35,0)),0)-N(H1990)))</f>
        <v/>
      </c>
      <c r="H1990" s="34" t="n"/>
      <c r="I1990" s="34" t="n"/>
      <c r="J1990" s="33" t="n"/>
      <c r="K1990" s="28">
        <f>IF(OR(B1990="",F1990&lt;&gt;"Done",J1990="Package"),"",IF(N(G1990)-N(I1990)&gt;0,N(G1990)-N(I1990),""))</f>
        <v/>
      </c>
      <c r="L1990" s="32" t="n"/>
      <c r="M1990" s="1">
        <f>IF(OR(B1990="",D1990="",F1990="Cancelled"),"",B1990+N(C1990)+ROW()/10000000)</f>
        <v/>
      </c>
      <c r="N1990">
        <f>IF(AND(F1990="Done",M1990&lt;&gt;""),IF(COUNTIFS(Appointments!$D$6:$D$2005,D1990,Appointments!$F$6:$F$2005,"Done",Appointments!$M$6:$M$2005,"&gt;"&amp;M1990)=0,1,0),0)</f>
        <v/>
      </c>
      <c r="O1990">
        <f>IF(AND(F1990="Booked",M1990&lt;&gt;"",N(B1990)&gt;=TODAY()),IF(COUNTIFS(Appointments!$D$6:$D$2005,D1990,Appointments!$F$6:$F$2005,"Booked",Appointments!$B$6:$B$2005,"&gt;="&amp;TODAY(),Appointments!$M$6:$M$2005,"&lt;"&amp;M1990)=0,1,0),0)</f>
        <v/>
      </c>
    </row>
    <row r="1991">
      <c r="A1991" s="1" t="n"/>
      <c r="B1991" s="30" t="n"/>
      <c r="C1991" s="31" t="n"/>
      <c r="D1991" s="32" t="n"/>
      <c r="E1991" s="32" t="n"/>
      <c r="F1991" s="33" t="n"/>
      <c r="G1991" s="27">
        <f>IF(E1991="","",MAX(0,IFERROR(INDEX(Services!$C$6:$C$35,MATCH(E1991,Services!$B$6:$B$35,0)),0)-N(H1991)))</f>
        <v/>
      </c>
      <c r="H1991" s="34" t="n"/>
      <c r="I1991" s="34" t="n"/>
      <c r="J1991" s="33" t="n"/>
      <c r="K1991" s="28">
        <f>IF(OR(B1991="",F1991&lt;&gt;"Done",J1991="Package"),"",IF(N(G1991)-N(I1991)&gt;0,N(G1991)-N(I1991),""))</f>
        <v/>
      </c>
      <c r="L1991" s="32" t="n"/>
      <c r="M1991" s="1">
        <f>IF(OR(B1991="",D1991="",F1991="Cancelled"),"",B1991+N(C1991)+ROW()/10000000)</f>
        <v/>
      </c>
      <c r="N1991">
        <f>IF(AND(F1991="Done",M1991&lt;&gt;""),IF(COUNTIFS(Appointments!$D$6:$D$2005,D1991,Appointments!$F$6:$F$2005,"Done",Appointments!$M$6:$M$2005,"&gt;"&amp;M1991)=0,1,0),0)</f>
        <v/>
      </c>
      <c r="O1991">
        <f>IF(AND(F1991="Booked",M1991&lt;&gt;"",N(B1991)&gt;=TODAY()),IF(COUNTIFS(Appointments!$D$6:$D$2005,D1991,Appointments!$F$6:$F$2005,"Booked",Appointments!$B$6:$B$2005,"&gt;="&amp;TODAY(),Appointments!$M$6:$M$2005,"&lt;"&amp;M1991)=0,1,0),0)</f>
        <v/>
      </c>
    </row>
    <row r="1992">
      <c r="A1992" s="1" t="n"/>
      <c r="B1992" s="30" t="n"/>
      <c r="C1992" s="31" t="n"/>
      <c r="D1992" s="32" t="n"/>
      <c r="E1992" s="32" t="n"/>
      <c r="F1992" s="33" t="n"/>
      <c r="G1992" s="27">
        <f>IF(E1992="","",MAX(0,IFERROR(INDEX(Services!$C$6:$C$35,MATCH(E1992,Services!$B$6:$B$35,0)),0)-N(H1992)))</f>
        <v/>
      </c>
      <c r="H1992" s="34" t="n"/>
      <c r="I1992" s="34" t="n"/>
      <c r="J1992" s="33" t="n"/>
      <c r="K1992" s="28">
        <f>IF(OR(B1992="",F1992&lt;&gt;"Done",J1992="Package"),"",IF(N(G1992)-N(I1992)&gt;0,N(G1992)-N(I1992),""))</f>
        <v/>
      </c>
      <c r="L1992" s="32" t="n"/>
      <c r="M1992" s="1">
        <f>IF(OR(B1992="",D1992="",F1992="Cancelled"),"",B1992+N(C1992)+ROW()/10000000)</f>
        <v/>
      </c>
      <c r="N1992">
        <f>IF(AND(F1992="Done",M1992&lt;&gt;""),IF(COUNTIFS(Appointments!$D$6:$D$2005,D1992,Appointments!$F$6:$F$2005,"Done",Appointments!$M$6:$M$2005,"&gt;"&amp;M1992)=0,1,0),0)</f>
        <v/>
      </c>
      <c r="O1992">
        <f>IF(AND(F1992="Booked",M1992&lt;&gt;"",N(B1992)&gt;=TODAY()),IF(COUNTIFS(Appointments!$D$6:$D$2005,D1992,Appointments!$F$6:$F$2005,"Booked",Appointments!$B$6:$B$2005,"&gt;="&amp;TODAY(),Appointments!$M$6:$M$2005,"&lt;"&amp;M1992)=0,1,0),0)</f>
        <v/>
      </c>
    </row>
    <row r="1993">
      <c r="A1993" s="1" t="n"/>
      <c r="B1993" s="30" t="n"/>
      <c r="C1993" s="31" t="n"/>
      <c r="D1993" s="32" t="n"/>
      <c r="E1993" s="32" t="n"/>
      <c r="F1993" s="33" t="n"/>
      <c r="G1993" s="27">
        <f>IF(E1993="","",MAX(0,IFERROR(INDEX(Services!$C$6:$C$35,MATCH(E1993,Services!$B$6:$B$35,0)),0)-N(H1993)))</f>
        <v/>
      </c>
      <c r="H1993" s="34" t="n"/>
      <c r="I1993" s="34" t="n"/>
      <c r="J1993" s="33" t="n"/>
      <c r="K1993" s="28">
        <f>IF(OR(B1993="",F1993&lt;&gt;"Done",J1993="Package"),"",IF(N(G1993)-N(I1993)&gt;0,N(G1993)-N(I1993),""))</f>
        <v/>
      </c>
      <c r="L1993" s="32" t="n"/>
      <c r="M1993" s="1">
        <f>IF(OR(B1993="",D1993="",F1993="Cancelled"),"",B1993+N(C1993)+ROW()/10000000)</f>
        <v/>
      </c>
      <c r="N1993">
        <f>IF(AND(F1993="Done",M1993&lt;&gt;""),IF(COUNTIFS(Appointments!$D$6:$D$2005,D1993,Appointments!$F$6:$F$2005,"Done",Appointments!$M$6:$M$2005,"&gt;"&amp;M1993)=0,1,0),0)</f>
        <v/>
      </c>
      <c r="O1993">
        <f>IF(AND(F1993="Booked",M1993&lt;&gt;"",N(B1993)&gt;=TODAY()),IF(COUNTIFS(Appointments!$D$6:$D$2005,D1993,Appointments!$F$6:$F$2005,"Booked",Appointments!$B$6:$B$2005,"&gt;="&amp;TODAY(),Appointments!$M$6:$M$2005,"&lt;"&amp;M1993)=0,1,0),0)</f>
        <v/>
      </c>
    </row>
    <row r="1994">
      <c r="A1994" s="1" t="n"/>
      <c r="B1994" s="30" t="n"/>
      <c r="C1994" s="31" t="n"/>
      <c r="D1994" s="32" t="n"/>
      <c r="E1994" s="32" t="n"/>
      <c r="F1994" s="33" t="n"/>
      <c r="G1994" s="27">
        <f>IF(E1994="","",MAX(0,IFERROR(INDEX(Services!$C$6:$C$35,MATCH(E1994,Services!$B$6:$B$35,0)),0)-N(H1994)))</f>
        <v/>
      </c>
      <c r="H1994" s="34" t="n"/>
      <c r="I1994" s="34" t="n"/>
      <c r="J1994" s="33" t="n"/>
      <c r="K1994" s="28">
        <f>IF(OR(B1994="",F1994&lt;&gt;"Done",J1994="Package"),"",IF(N(G1994)-N(I1994)&gt;0,N(G1994)-N(I1994),""))</f>
        <v/>
      </c>
      <c r="L1994" s="32" t="n"/>
      <c r="M1994" s="1">
        <f>IF(OR(B1994="",D1994="",F1994="Cancelled"),"",B1994+N(C1994)+ROW()/10000000)</f>
        <v/>
      </c>
      <c r="N1994">
        <f>IF(AND(F1994="Done",M1994&lt;&gt;""),IF(COUNTIFS(Appointments!$D$6:$D$2005,D1994,Appointments!$F$6:$F$2005,"Done",Appointments!$M$6:$M$2005,"&gt;"&amp;M1994)=0,1,0),0)</f>
        <v/>
      </c>
      <c r="O1994">
        <f>IF(AND(F1994="Booked",M1994&lt;&gt;"",N(B1994)&gt;=TODAY()),IF(COUNTIFS(Appointments!$D$6:$D$2005,D1994,Appointments!$F$6:$F$2005,"Booked",Appointments!$B$6:$B$2005,"&gt;="&amp;TODAY(),Appointments!$M$6:$M$2005,"&lt;"&amp;M1994)=0,1,0),0)</f>
        <v/>
      </c>
    </row>
    <row r="1995">
      <c r="A1995" s="1" t="n"/>
      <c r="B1995" s="30" t="n"/>
      <c r="C1995" s="31" t="n"/>
      <c r="D1995" s="32" t="n"/>
      <c r="E1995" s="32" t="n"/>
      <c r="F1995" s="33" t="n"/>
      <c r="G1995" s="27">
        <f>IF(E1995="","",MAX(0,IFERROR(INDEX(Services!$C$6:$C$35,MATCH(E1995,Services!$B$6:$B$35,0)),0)-N(H1995)))</f>
        <v/>
      </c>
      <c r="H1995" s="34" t="n"/>
      <c r="I1995" s="34" t="n"/>
      <c r="J1995" s="33" t="n"/>
      <c r="K1995" s="28">
        <f>IF(OR(B1995="",F1995&lt;&gt;"Done",J1995="Package"),"",IF(N(G1995)-N(I1995)&gt;0,N(G1995)-N(I1995),""))</f>
        <v/>
      </c>
      <c r="L1995" s="32" t="n"/>
      <c r="M1995" s="1">
        <f>IF(OR(B1995="",D1995="",F1995="Cancelled"),"",B1995+N(C1995)+ROW()/10000000)</f>
        <v/>
      </c>
      <c r="N1995">
        <f>IF(AND(F1995="Done",M1995&lt;&gt;""),IF(COUNTIFS(Appointments!$D$6:$D$2005,D1995,Appointments!$F$6:$F$2005,"Done",Appointments!$M$6:$M$2005,"&gt;"&amp;M1995)=0,1,0),0)</f>
        <v/>
      </c>
      <c r="O1995">
        <f>IF(AND(F1995="Booked",M1995&lt;&gt;"",N(B1995)&gt;=TODAY()),IF(COUNTIFS(Appointments!$D$6:$D$2005,D1995,Appointments!$F$6:$F$2005,"Booked",Appointments!$B$6:$B$2005,"&gt;="&amp;TODAY(),Appointments!$M$6:$M$2005,"&lt;"&amp;M1995)=0,1,0),0)</f>
        <v/>
      </c>
    </row>
    <row r="1996">
      <c r="A1996" s="1" t="n"/>
      <c r="B1996" s="30" t="n"/>
      <c r="C1996" s="31" t="n"/>
      <c r="D1996" s="32" t="n"/>
      <c r="E1996" s="32" t="n"/>
      <c r="F1996" s="33" t="n"/>
      <c r="G1996" s="27">
        <f>IF(E1996="","",MAX(0,IFERROR(INDEX(Services!$C$6:$C$35,MATCH(E1996,Services!$B$6:$B$35,0)),0)-N(H1996)))</f>
        <v/>
      </c>
      <c r="H1996" s="34" t="n"/>
      <c r="I1996" s="34" t="n"/>
      <c r="J1996" s="33" t="n"/>
      <c r="K1996" s="28">
        <f>IF(OR(B1996="",F1996&lt;&gt;"Done",J1996="Package"),"",IF(N(G1996)-N(I1996)&gt;0,N(G1996)-N(I1996),""))</f>
        <v/>
      </c>
      <c r="L1996" s="32" t="n"/>
      <c r="M1996" s="1">
        <f>IF(OR(B1996="",D1996="",F1996="Cancelled"),"",B1996+N(C1996)+ROW()/10000000)</f>
        <v/>
      </c>
      <c r="N1996">
        <f>IF(AND(F1996="Done",M1996&lt;&gt;""),IF(COUNTIFS(Appointments!$D$6:$D$2005,D1996,Appointments!$F$6:$F$2005,"Done",Appointments!$M$6:$M$2005,"&gt;"&amp;M1996)=0,1,0),0)</f>
        <v/>
      </c>
      <c r="O1996">
        <f>IF(AND(F1996="Booked",M1996&lt;&gt;"",N(B1996)&gt;=TODAY()),IF(COUNTIFS(Appointments!$D$6:$D$2005,D1996,Appointments!$F$6:$F$2005,"Booked",Appointments!$B$6:$B$2005,"&gt;="&amp;TODAY(),Appointments!$M$6:$M$2005,"&lt;"&amp;M1996)=0,1,0),0)</f>
        <v/>
      </c>
    </row>
    <row r="1997">
      <c r="A1997" s="1" t="n"/>
      <c r="B1997" s="30" t="n"/>
      <c r="C1997" s="31" t="n"/>
      <c r="D1997" s="32" t="n"/>
      <c r="E1997" s="32" t="n"/>
      <c r="F1997" s="33" t="n"/>
      <c r="G1997" s="27">
        <f>IF(E1997="","",MAX(0,IFERROR(INDEX(Services!$C$6:$C$35,MATCH(E1997,Services!$B$6:$B$35,0)),0)-N(H1997)))</f>
        <v/>
      </c>
      <c r="H1997" s="34" t="n"/>
      <c r="I1997" s="34" t="n"/>
      <c r="J1997" s="33" t="n"/>
      <c r="K1997" s="28">
        <f>IF(OR(B1997="",F1997&lt;&gt;"Done",J1997="Package"),"",IF(N(G1997)-N(I1997)&gt;0,N(G1997)-N(I1997),""))</f>
        <v/>
      </c>
      <c r="L1997" s="32" t="n"/>
      <c r="M1997" s="1">
        <f>IF(OR(B1997="",D1997="",F1997="Cancelled"),"",B1997+N(C1997)+ROW()/10000000)</f>
        <v/>
      </c>
      <c r="N1997">
        <f>IF(AND(F1997="Done",M1997&lt;&gt;""),IF(COUNTIFS(Appointments!$D$6:$D$2005,D1997,Appointments!$F$6:$F$2005,"Done",Appointments!$M$6:$M$2005,"&gt;"&amp;M1997)=0,1,0),0)</f>
        <v/>
      </c>
      <c r="O1997">
        <f>IF(AND(F1997="Booked",M1997&lt;&gt;"",N(B1997)&gt;=TODAY()),IF(COUNTIFS(Appointments!$D$6:$D$2005,D1997,Appointments!$F$6:$F$2005,"Booked",Appointments!$B$6:$B$2005,"&gt;="&amp;TODAY(),Appointments!$M$6:$M$2005,"&lt;"&amp;M1997)=0,1,0),0)</f>
        <v/>
      </c>
    </row>
    <row r="1998">
      <c r="A1998" s="1" t="n"/>
      <c r="B1998" s="30" t="n"/>
      <c r="C1998" s="31" t="n"/>
      <c r="D1998" s="32" t="n"/>
      <c r="E1998" s="32" t="n"/>
      <c r="F1998" s="33" t="n"/>
      <c r="G1998" s="27">
        <f>IF(E1998="","",MAX(0,IFERROR(INDEX(Services!$C$6:$C$35,MATCH(E1998,Services!$B$6:$B$35,0)),0)-N(H1998)))</f>
        <v/>
      </c>
      <c r="H1998" s="34" t="n"/>
      <c r="I1998" s="34" t="n"/>
      <c r="J1998" s="33" t="n"/>
      <c r="K1998" s="28">
        <f>IF(OR(B1998="",F1998&lt;&gt;"Done",J1998="Package"),"",IF(N(G1998)-N(I1998)&gt;0,N(G1998)-N(I1998),""))</f>
        <v/>
      </c>
      <c r="L1998" s="32" t="n"/>
      <c r="M1998" s="1">
        <f>IF(OR(B1998="",D1998="",F1998="Cancelled"),"",B1998+N(C1998)+ROW()/10000000)</f>
        <v/>
      </c>
      <c r="N1998">
        <f>IF(AND(F1998="Done",M1998&lt;&gt;""),IF(COUNTIFS(Appointments!$D$6:$D$2005,D1998,Appointments!$F$6:$F$2005,"Done",Appointments!$M$6:$M$2005,"&gt;"&amp;M1998)=0,1,0),0)</f>
        <v/>
      </c>
      <c r="O1998">
        <f>IF(AND(F1998="Booked",M1998&lt;&gt;"",N(B1998)&gt;=TODAY()),IF(COUNTIFS(Appointments!$D$6:$D$2005,D1998,Appointments!$F$6:$F$2005,"Booked",Appointments!$B$6:$B$2005,"&gt;="&amp;TODAY(),Appointments!$M$6:$M$2005,"&lt;"&amp;M1998)=0,1,0),0)</f>
        <v/>
      </c>
    </row>
    <row r="1999">
      <c r="A1999" s="1" t="n"/>
      <c r="B1999" s="30" t="n"/>
      <c r="C1999" s="31" t="n"/>
      <c r="D1999" s="32" t="n"/>
      <c r="E1999" s="32" t="n"/>
      <c r="F1999" s="33" t="n"/>
      <c r="G1999" s="27">
        <f>IF(E1999="","",MAX(0,IFERROR(INDEX(Services!$C$6:$C$35,MATCH(E1999,Services!$B$6:$B$35,0)),0)-N(H1999)))</f>
        <v/>
      </c>
      <c r="H1999" s="34" t="n"/>
      <c r="I1999" s="34" t="n"/>
      <c r="J1999" s="33" t="n"/>
      <c r="K1999" s="28">
        <f>IF(OR(B1999="",F1999&lt;&gt;"Done",J1999="Package"),"",IF(N(G1999)-N(I1999)&gt;0,N(G1999)-N(I1999),""))</f>
        <v/>
      </c>
      <c r="L1999" s="32" t="n"/>
      <c r="M1999" s="1">
        <f>IF(OR(B1999="",D1999="",F1999="Cancelled"),"",B1999+N(C1999)+ROW()/10000000)</f>
        <v/>
      </c>
      <c r="N1999">
        <f>IF(AND(F1999="Done",M1999&lt;&gt;""),IF(COUNTIFS(Appointments!$D$6:$D$2005,D1999,Appointments!$F$6:$F$2005,"Done",Appointments!$M$6:$M$2005,"&gt;"&amp;M1999)=0,1,0),0)</f>
        <v/>
      </c>
      <c r="O1999">
        <f>IF(AND(F1999="Booked",M1999&lt;&gt;"",N(B1999)&gt;=TODAY()),IF(COUNTIFS(Appointments!$D$6:$D$2005,D1999,Appointments!$F$6:$F$2005,"Booked",Appointments!$B$6:$B$2005,"&gt;="&amp;TODAY(),Appointments!$M$6:$M$2005,"&lt;"&amp;M1999)=0,1,0),0)</f>
        <v/>
      </c>
    </row>
    <row r="2000">
      <c r="A2000" s="1" t="n"/>
      <c r="B2000" s="30" t="n"/>
      <c r="C2000" s="31" t="n"/>
      <c r="D2000" s="32" t="n"/>
      <c r="E2000" s="32" t="n"/>
      <c r="F2000" s="33" t="n"/>
      <c r="G2000" s="27">
        <f>IF(E2000="","",MAX(0,IFERROR(INDEX(Services!$C$6:$C$35,MATCH(E2000,Services!$B$6:$B$35,0)),0)-N(H2000)))</f>
        <v/>
      </c>
      <c r="H2000" s="34" t="n"/>
      <c r="I2000" s="34" t="n"/>
      <c r="J2000" s="33" t="n"/>
      <c r="K2000" s="28">
        <f>IF(OR(B2000="",F2000&lt;&gt;"Done",J2000="Package"),"",IF(N(G2000)-N(I2000)&gt;0,N(G2000)-N(I2000),""))</f>
        <v/>
      </c>
      <c r="L2000" s="32" t="n"/>
      <c r="M2000" s="1">
        <f>IF(OR(B2000="",D2000="",F2000="Cancelled"),"",B2000+N(C2000)+ROW()/10000000)</f>
        <v/>
      </c>
      <c r="N2000">
        <f>IF(AND(F2000="Done",M2000&lt;&gt;""),IF(COUNTIFS(Appointments!$D$6:$D$2005,D2000,Appointments!$F$6:$F$2005,"Done",Appointments!$M$6:$M$2005,"&gt;"&amp;M2000)=0,1,0),0)</f>
        <v/>
      </c>
      <c r="O2000">
        <f>IF(AND(F2000="Booked",M2000&lt;&gt;"",N(B2000)&gt;=TODAY()),IF(COUNTIFS(Appointments!$D$6:$D$2005,D2000,Appointments!$F$6:$F$2005,"Booked",Appointments!$B$6:$B$2005,"&gt;="&amp;TODAY(),Appointments!$M$6:$M$2005,"&lt;"&amp;M2000)=0,1,0),0)</f>
        <v/>
      </c>
    </row>
    <row r="2001">
      <c r="A2001" s="1" t="n"/>
      <c r="B2001" s="30" t="n"/>
      <c r="C2001" s="31" t="n"/>
      <c r="D2001" s="32" t="n"/>
      <c r="E2001" s="32" t="n"/>
      <c r="F2001" s="33" t="n"/>
      <c r="G2001" s="27">
        <f>IF(E2001="","",MAX(0,IFERROR(INDEX(Services!$C$6:$C$35,MATCH(E2001,Services!$B$6:$B$35,0)),0)-N(H2001)))</f>
        <v/>
      </c>
      <c r="H2001" s="34" t="n"/>
      <c r="I2001" s="34" t="n"/>
      <c r="J2001" s="33" t="n"/>
      <c r="K2001" s="28">
        <f>IF(OR(B2001="",F2001&lt;&gt;"Done",J2001="Package"),"",IF(N(G2001)-N(I2001)&gt;0,N(G2001)-N(I2001),""))</f>
        <v/>
      </c>
      <c r="L2001" s="32" t="n"/>
      <c r="M2001" s="1">
        <f>IF(OR(B2001="",D2001="",F2001="Cancelled"),"",B2001+N(C2001)+ROW()/10000000)</f>
        <v/>
      </c>
      <c r="N2001">
        <f>IF(AND(F2001="Done",M2001&lt;&gt;""),IF(COUNTIFS(Appointments!$D$6:$D$2005,D2001,Appointments!$F$6:$F$2005,"Done",Appointments!$M$6:$M$2005,"&gt;"&amp;M2001)=0,1,0),0)</f>
        <v/>
      </c>
      <c r="O2001">
        <f>IF(AND(F2001="Booked",M2001&lt;&gt;"",N(B2001)&gt;=TODAY()),IF(COUNTIFS(Appointments!$D$6:$D$2005,D2001,Appointments!$F$6:$F$2005,"Booked",Appointments!$B$6:$B$2005,"&gt;="&amp;TODAY(),Appointments!$M$6:$M$2005,"&lt;"&amp;M2001)=0,1,0),0)</f>
        <v/>
      </c>
    </row>
    <row r="2002">
      <c r="A2002" s="1" t="n"/>
      <c r="B2002" s="30" t="n"/>
      <c r="C2002" s="31" t="n"/>
      <c r="D2002" s="32" t="n"/>
      <c r="E2002" s="32" t="n"/>
      <c r="F2002" s="33" t="n"/>
      <c r="G2002" s="27">
        <f>IF(E2002="","",MAX(0,IFERROR(INDEX(Services!$C$6:$C$35,MATCH(E2002,Services!$B$6:$B$35,0)),0)-N(H2002)))</f>
        <v/>
      </c>
      <c r="H2002" s="34" t="n"/>
      <c r="I2002" s="34" t="n"/>
      <c r="J2002" s="33" t="n"/>
      <c r="K2002" s="28">
        <f>IF(OR(B2002="",F2002&lt;&gt;"Done",J2002="Package"),"",IF(N(G2002)-N(I2002)&gt;0,N(G2002)-N(I2002),""))</f>
        <v/>
      </c>
      <c r="L2002" s="32" t="n"/>
      <c r="M2002" s="1">
        <f>IF(OR(B2002="",D2002="",F2002="Cancelled"),"",B2002+N(C2002)+ROW()/10000000)</f>
        <v/>
      </c>
      <c r="N2002">
        <f>IF(AND(F2002="Done",M2002&lt;&gt;""),IF(COUNTIFS(Appointments!$D$6:$D$2005,D2002,Appointments!$F$6:$F$2005,"Done",Appointments!$M$6:$M$2005,"&gt;"&amp;M2002)=0,1,0),0)</f>
        <v/>
      </c>
      <c r="O2002">
        <f>IF(AND(F2002="Booked",M2002&lt;&gt;"",N(B2002)&gt;=TODAY()),IF(COUNTIFS(Appointments!$D$6:$D$2005,D2002,Appointments!$F$6:$F$2005,"Booked",Appointments!$B$6:$B$2005,"&gt;="&amp;TODAY(),Appointments!$M$6:$M$2005,"&lt;"&amp;M2002)=0,1,0),0)</f>
        <v/>
      </c>
    </row>
    <row r="2003">
      <c r="A2003" s="1" t="n"/>
      <c r="B2003" s="30" t="n"/>
      <c r="C2003" s="31" t="n"/>
      <c r="D2003" s="32" t="n"/>
      <c r="E2003" s="32" t="n"/>
      <c r="F2003" s="33" t="n"/>
      <c r="G2003" s="27">
        <f>IF(E2003="","",MAX(0,IFERROR(INDEX(Services!$C$6:$C$35,MATCH(E2003,Services!$B$6:$B$35,0)),0)-N(H2003)))</f>
        <v/>
      </c>
      <c r="H2003" s="34" t="n"/>
      <c r="I2003" s="34" t="n"/>
      <c r="J2003" s="33" t="n"/>
      <c r="K2003" s="28">
        <f>IF(OR(B2003="",F2003&lt;&gt;"Done",J2003="Package"),"",IF(N(G2003)-N(I2003)&gt;0,N(G2003)-N(I2003),""))</f>
        <v/>
      </c>
      <c r="L2003" s="32" t="n"/>
      <c r="M2003" s="1">
        <f>IF(OR(B2003="",D2003="",F2003="Cancelled"),"",B2003+N(C2003)+ROW()/10000000)</f>
        <v/>
      </c>
      <c r="N2003">
        <f>IF(AND(F2003="Done",M2003&lt;&gt;""),IF(COUNTIFS(Appointments!$D$6:$D$2005,D2003,Appointments!$F$6:$F$2005,"Done",Appointments!$M$6:$M$2005,"&gt;"&amp;M2003)=0,1,0),0)</f>
        <v/>
      </c>
      <c r="O2003">
        <f>IF(AND(F2003="Booked",M2003&lt;&gt;"",N(B2003)&gt;=TODAY()),IF(COUNTIFS(Appointments!$D$6:$D$2005,D2003,Appointments!$F$6:$F$2005,"Booked",Appointments!$B$6:$B$2005,"&gt;="&amp;TODAY(),Appointments!$M$6:$M$2005,"&lt;"&amp;M2003)=0,1,0),0)</f>
        <v/>
      </c>
    </row>
    <row r="2004">
      <c r="A2004" s="1" t="n"/>
      <c r="B2004" s="30" t="n"/>
      <c r="C2004" s="31" t="n"/>
      <c r="D2004" s="32" t="n"/>
      <c r="E2004" s="32" t="n"/>
      <c r="F2004" s="33" t="n"/>
      <c r="G2004" s="27">
        <f>IF(E2004="","",MAX(0,IFERROR(INDEX(Services!$C$6:$C$35,MATCH(E2004,Services!$B$6:$B$35,0)),0)-N(H2004)))</f>
        <v/>
      </c>
      <c r="H2004" s="34" t="n"/>
      <c r="I2004" s="34" t="n"/>
      <c r="J2004" s="33" t="n"/>
      <c r="K2004" s="28">
        <f>IF(OR(B2004="",F2004&lt;&gt;"Done",J2004="Package"),"",IF(N(G2004)-N(I2004)&gt;0,N(G2004)-N(I2004),""))</f>
        <v/>
      </c>
      <c r="L2004" s="32" t="n"/>
      <c r="M2004" s="1">
        <f>IF(OR(B2004="",D2004="",F2004="Cancelled"),"",B2004+N(C2004)+ROW()/10000000)</f>
        <v/>
      </c>
      <c r="N2004">
        <f>IF(AND(F2004="Done",M2004&lt;&gt;""),IF(COUNTIFS(Appointments!$D$6:$D$2005,D2004,Appointments!$F$6:$F$2005,"Done",Appointments!$M$6:$M$2005,"&gt;"&amp;M2004)=0,1,0),0)</f>
        <v/>
      </c>
      <c r="O2004">
        <f>IF(AND(F2004="Booked",M2004&lt;&gt;"",N(B2004)&gt;=TODAY()),IF(COUNTIFS(Appointments!$D$6:$D$2005,D2004,Appointments!$F$6:$F$2005,"Booked",Appointments!$B$6:$B$2005,"&gt;="&amp;TODAY(),Appointments!$M$6:$M$2005,"&lt;"&amp;M2004)=0,1,0),0)</f>
        <v/>
      </c>
    </row>
    <row r="2005">
      <c r="A2005" s="1" t="n"/>
      <c r="B2005" s="30" t="n"/>
      <c r="C2005" s="31" t="n"/>
      <c r="D2005" s="32" t="n"/>
      <c r="E2005" s="32" t="n"/>
      <c r="F2005" s="33" t="n"/>
      <c r="G2005" s="27">
        <f>IF(E2005="","",MAX(0,IFERROR(INDEX(Services!$C$6:$C$35,MATCH(E2005,Services!$B$6:$B$35,0)),0)-N(H2005)))</f>
        <v/>
      </c>
      <c r="H2005" s="34" t="n"/>
      <c r="I2005" s="34" t="n"/>
      <c r="J2005" s="33" t="n"/>
      <c r="K2005" s="28">
        <f>IF(OR(B2005="",F2005&lt;&gt;"Done",J2005="Package"),"",IF(N(G2005)-N(I2005)&gt;0,N(G2005)-N(I2005),""))</f>
        <v/>
      </c>
      <c r="L2005" s="32" t="n"/>
      <c r="M2005" s="1">
        <f>IF(OR(B2005="",D2005="",F2005="Cancelled"),"",B2005+N(C2005)+ROW()/10000000)</f>
        <v/>
      </c>
      <c r="N2005">
        <f>IF(AND(F2005="Done",M2005&lt;&gt;""),IF(COUNTIFS(Appointments!$D$6:$D$2005,D2005,Appointments!$F$6:$F$2005,"Done",Appointments!$M$6:$M$2005,"&gt;"&amp;M2005)=0,1,0),0)</f>
        <v/>
      </c>
      <c r="O2005">
        <f>IF(AND(F2005="Booked",M2005&lt;&gt;"",N(B2005)&gt;=TODAY()),IF(COUNTIFS(Appointments!$D$6:$D$2005,D2005,Appointments!$F$6:$F$2005,"Booked",Appointments!$B$6:$B$2005,"&gt;="&amp;TODAY(),Appointments!$M$6:$M$2005,"&lt;"&amp;M2005)=0,1,0),0)</f>
        <v/>
      </c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n"/>
      <c r="I2006" s="1" t="n"/>
      <c r="J2006" s="1" t="n"/>
      <c r="K2006" s="1" t="n"/>
      <c r="L2006" s="1" t="n"/>
      <c r="M2006" s="1" t="n"/>
    </row>
  </sheetData>
  <conditionalFormatting sqref="F6:F2005">
    <cfRule type="expression" priority="1" dxfId="2">
      <formula>AND($F6="Booked",$B6&lt;TODAY())</formula>
    </cfRule>
    <cfRule type="expression" priority="2" dxfId="0">
      <formula>$F6="Done"</formula>
    </cfRule>
    <cfRule type="expression" priority="3" dxfId="3">
      <formula>$F6="Booked"</formula>
    </cfRule>
    <cfRule type="expression" priority="4" dxfId="4">
      <formula>$F6="No-show"</formula>
    </cfRule>
    <cfRule type="expression" priority="5" dxfId="5">
      <formula>$F6="Cancelled"</formula>
    </cfRule>
  </conditionalFormatting>
  <conditionalFormatting sqref="K6:K2005">
    <cfRule type="expression" priority="6" dxfId="4">
      <formula>N($K6)&gt;0</formula>
    </cfRule>
  </conditionalFormatting>
  <dataValidations count="4">
    <dataValidation sqref="D6:D2005" showDropDown="0" showInputMessage="0" showErrorMessage="1" allowBlank="1" type="list">
      <formula1>=Clients!$B$6:$B$305</formula1>
    </dataValidation>
    <dataValidation sqref="E6:E2005" showDropDown="0" showInputMessage="0" showErrorMessage="1" allowBlank="1" type="list">
      <formula1>=Services!$B$6:$B$35</formula1>
    </dataValidation>
    <dataValidation sqref="F6:F2005" showDropDown="0" showInputMessage="0" showErrorMessage="1" allowBlank="1" type="list">
      <formula1>"Booked,Done,No-show,Cancelled"</formula1>
    </dataValidation>
    <dataValidation sqref="J6:J2005" showDropDown="0" showInputMessage="0" showErrorMessage="1" allowBlank="1" type="list">
      <formula1>"Card,Cash,Transfer,App,Package"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22" customWidth="1" min="4" max="4"/>
    <col width="9" customWidth="1" min="5" max="5"/>
    <col width="12" customWidth="1" min="6" max="6"/>
    <col width="26" customWidth="1" min="7" max="7"/>
    <col width="8" customWidth="1" min="8" max="8"/>
    <col width="12" customWidth="1" min="9" max="9"/>
    <col width="12" customWidth="1" min="10" max="10"/>
    <col width="11" customWidth="1" min="11" max="11"/>
    <col width="10" customWidth="1" min="12" max="12"/>
    <col width="9" customWidth="1" min="13" max="13"/>
    <col width="22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Clients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One line per client. Visits, payments and package sessions come from the other tabs.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2" t="inlineStr">
        <is>
          <t>Client</t>
        </is>
      </c>
      <c r="C5" s="12" t="inlineStr">
        <is>
          <t>Phone</t>
        </is>
      </c>
      <c r="D5" s="12" t="inlineStr">
        <is>
          <t>Email</t>
        </is>
      </c>
      <c r="E5" s="12" t="inlineStr">
        <is>
          <t>Birthday</t>
        </is>
      </c>
      <c r="F5" s="12" t="inlineStr">
        <is>
          <t>Client since</t>
        </is>
      </c>
      <c r="G5" s="12" t="inlineStr">
        <is>
          <t>Notes</t>
        </is>
      </c>
      <c r="H5" s="12" t="inlineStr">
        <is>
          <t>Visits</t>
        </is>
      </c>
      <c r="I5" s="12" t="inlineStr">
        <is>
          <t>Last visit</t>
        </is>
      </c>
      <c r="J5" s="12" t="inlineStr">
        <is>
          <t>Next booking</t>
        </is>
      </c>
      <c r="K5" s="12" t="inlineStr">
        <is>
          <t>Paid in total</t>
        </is>
      </c>
      <c r="L5" s="12" t="inlineStr">
        <is>
          <t>Owes</t>
        </is>
      </c>
      <c r="M5" s="12" t="inlineStr">
        <is>
          <t>Sessions left</t>
        </is>
      </c>
      <c r="N5" s="12" t="inlineStr">
        <is>
          <t>Follow up</t>
        </is>
      </c>
      <c r="O5" s="1" t="n"/>
    </row>
    <row r="6">
      <c r="A6" s="1" t="n"/>
      <c r="B6" s="35" t="inlineStr">
        <is>
          <t>Anna Rossi</t>
        </is>
      </c>
      <c r="C6" s="32" t="inlineStr">
        <is>
          <t>555 0101</t>
        </is>
      </c>
      <c r="D6" s="32" t="inlineStr">
        <is>
          <t>anna.r@example.com</t>
        </is>
      </c>
      <c r="E6" s="36" t="n">
        <v>32400</v>
      </c>
      <c r="F6" s="30" t="n">
        <v>45353</v>
      </c>
      <c r="G6" s="32" t="inlineStr">
        <is>
          <t>Likes it shorter at the back</t>
        </is>
      </c>
      <c r="H6" s="26">
        <f>IF(B6="","",COUNTIFS(Appointments!$D$6:$D$2005,B6,Appointments!$F$6:$F$2005,"Done"))</f>
        <v/>
      </c>
      <c r="I6" s="37">
        <f>IF(OR(B6="",N(H6)=0),"",INT(SUMIFS(Appointments!$M$6:$M$2005,Appointments!$D$6:$D$2005,B6,Appointments!$N$6:$N$2005,1)))</f>
        <v/>
      </c>
      <c r="J6" s="37">
        <f>IF(B6="","",IF(SUMIFS(Appointments!$M$6:$M$2005,Appointments!$D$6:$D$2005,B6,Appointments!$O$6:$O$2005,1)=0,"",INT(SUMIFS(Appointments!$M$6:$M$2005,Appointments!$D$6:$D$2005,B6,Appointments!$O$6:$O$2005,1))))</f>
        <v/>
      </c>
      <c r="K6" s="27">
        <f>IF(B6="","",SUMIFS(Appointments!$I$6:$I$2005,Appointments!$D$6:$D$2005,B6)+SUMIFS(Packages!$F$6:$F$305,Packages!$C$6:$C$305,B6))</f>
        <v/>
      </c>
      <c r="L6" s="28">
        <f>IF(B6="","",IF(SUMIFS(Appointments!$K$6:$K$2005,Appointments!$D$6:$D$2005,B6)=0,"",SUMIFS(Appointments!$K$6:$K$2005,Appointments!$D$6:$D$2005,B6)))</f>
        <v/>
      </c>
      <c r="M6" s="38">
        <f>IF(OR(B6="",SUMIFS(Packages!$E$6:$E$305,Packages!$C$6:$C$305,B6)=0),"",SUMIFS(Packages!$E$6:$E$305,Packages!$C$6:$C$305,B6)-COUNTIFS(Appointments!$D$6:$D$2005,B6,Appointments!$J$6:$J$2005,"Package",Appointments!$F$6:$F$2005,"Done")+IF(Services!$I$6="Yes",COUNTIFS(Appointments!$D$6:$D$2005,B6,Appointments!$J$6:$J$2005,"Package",Appointments!$F$6:$F$2005,"No-show"),0))</f>
        <v/>
      </c>
      <c r="N6" s="18">
        <f>IF(OR(B6="",I6=""),"",IF(AND(J6="",TODAY()-I6&gt;=N(Services!$I$7)),"Not seen for "&amp;(TODAY()-I6)&amp;" days",""))</f>
        <v/>
      </c>
      <c r="O6" s="1">
        <f>IF(N(E6)=0,"",MONTH(E6))</f>
        <v/>
      </c>
    </row>
    <row r="7">
      <c r="A7" s="1" t="n"/>
      <c r="B7" s="35" t="inlineStr">
        <is>
          <t>Ben Carter</t>
        </is>
      </c>
      <c r="C7" s="32" t="inlineStr">
        <is>
          <t>555 0102</t>
        </is>
      </c>
      <c r="D7" s="32" t="n"/>
      <c r="E7" s="36" t="n"/>
      <c r="F7" s="30" t="n">
        <v>45250</v>
      </c>
      <c r="G7" s="32" t="n"/>
      <c r="H7" s="26">
        <f>IF(B7="","",COUNTIFS(Appointments!$D$6:$D$2005,B7,Appointments!$F$6:$F$2005,"Done"))</f>
        <v/>
      </c>
      <c r="I7" s="37">
        <f>IF(OR(B7="",N(H7)=0),"",INT(SUMIFS(Appointments!$M$6:$M$2005,Appointments!$D$6:$D$2005,B7,Appointments!$N$6:$N$2005,1)))</f>
        <v/>
      </c>
      <c r="J7" s="37">
        <f>IF(B7="","",IF(SUMIFS(Appointments!$M$6:$M$2005,Appointments!$D$6:$D$2005,B7,Appointments!$O$6:$O$2005,1)=0,"",INT(SUMIFS(Appointments!$M$6:$M$2005,Appointments!$D$6:$D$2005,B7,Appointments!$O$6:$O$2005,1))))</f>
        <v/>
      </c>
      <c r="K7" s="27">
        <f>IF(B7="","",SUMIFS(Appointments!$I$6:$I$2005,Appointments!$D$6:$D$2005,B7)+SUMIFS(Packages!$F$6:$F$305,Packages!$C$6:$C$305,B7))</f>
        <v/>
      </c>
      <c r="L7" s="28">
        <f>IF(B7="","",IF(SUMIFS(Appointments!$K$6:$K$2005,Appointments!$D$6:$D$2005,B7)=0,"",SUMIFS(Appointments!$K$6:$K$2005,Appointments!$D$6:$D$2005,B7)))</f>
        <v/>
      </c>
      <c r="M7" s="38">
        <f>IF(OR(B7="",SUMIFS(Packages!$E$6:$E$305,Packages!$C$6:$C$305,B7)=0),"",SUMIFS(Packages!$E$6:$E$305,Packages!$C$6:$C$305,B7)-COUNTIFS(Appointments!$D$6:$D$2005,B7,Appointments!$J$6:$J$2005,"Package",Appointments!$F$6:$F$2005,"Done")+IF(Services!$I$6="Yes",COUNTIFS(Appointments!$D$6:$D$2005,B7,Appointments!$J$6:$J$2005,"Package",Appointments!$F$6:$F$2005,"No-show"),0))</f>
        <v/>
      </c>
      <c r="N7" s="18">
        <f>IF(OR(B7="",I7=""),"",IF(AND(J7="",TODAY()-I7&gt;=N(Services!$I$7)),"Not seen for "&amp;(TODAY()-I7)&amp;" days",""))</f>
        <v/>
      </c>
      <c r="O7" s="1">
        <f>IF(N(E7)=0,"",MONTH(E7))</f>
        <v/>
      </c>
    </row>
    <row r="8">
      <c r="A8" s="1" t="n"/>
      <c r="B8" s="35" t="inlineStr">
        <is>
          <t>Chloe Martin</t>
        </is>
      </c>
      <c r="C8" s="32" t="inlineStr">
        <is>
          <t>555 0103</t>
        </is>
      </c>
      <c r="D8" s="32" t="inlineStr">
        <is>
          <t>chloe.m@example.com</t>
        </is>
      </c>
      <c r="E8" s="36" t="n">
        <v>33637</v>
      </c>
      <c r="F8" s="30" t="n">
        <v>44723</v>
      </c>
      <c r="G8" s="32" t="inlineStr">
        <is>
          <t>Blow dry card since September</t>
        </is>
      </c>
      <c r="H8" s="26">
        <f>IF(B8="","",COUNTIFS(Appointments!$D$6:$D$2005,B8,Appointments!$F$6:$F$2005,"Done"))</f>
        <v/>
      </c>
      <c r="I8" s="37">
        <f>IF(OR(B8="",N(H8)=0),"",INT(SUMIFS(Appointments!$M$6:$M$2005,Appointments!$D$6:$D$2005,B8,Appointments!$N$6:$N$2005,1)))</f>
        <v/>
      </c>
      <c r="J8" s="37">
        <f>IF(B8="","",IF(SUMIFS(Appointments!$M$6:$M$2005,Appointments!$D$6:$D$2005,B8,Appointments!$O$6:$O$2005,1)=0,"",INT(SUMIFS(Appointments!$M$6:$M$2005,Appointments!$D$6:$D$2005,B8,Appointments!$O$6:$O$2005,1))))</f>
        <v/>
      </c>
      <c r="K8" s="27">
        <f>IF(B8="","",SUMIFS(Appointments!$I$6:$I$2005,Appointments!$D$6:$D$2005,B8)+SUMIFS(Packages!$F$6:$F$305,Packages!$C$6:$C$305,B8))</f>
        <v/>
      </c>
      <c r="L8" s="28">
        <f>IF(B8="","",IF(SUMIFS(Appointments!$K$6:$K$2005,Appointments!$D$6:$D$2005,B8)=0,"",SUMIFS(Appointments!$K$6:$K$2005,Appointments!$D$6:$D$2005,B8)))</f>
        <v/>
      </c>
      <c r="M8" s="38">
        <f>IF(OR(B8="",SUMIFS(Packages!$E$6:$E$305,Packages!$C$6:$C$305,B8)=0),"",SUMIFS(Packages!$E$6:$E$305,Packages!$C$6:$C$305,B8)-COUNTIFS(Appointments!$D$6:$D$2005,B8,Appointments!$J$6:$J$2005,"Package",Appointments!$F$6:$F$2005,"Done")+IF(Services!$I$6="Yes",COUNTIFS(Appointments!$D$6:$D$2005,B8,Appointments!$J$6:$J$2005,"Package",Appointments!$F$6:$F$2005,"No-show"),0))</f>
        <v/>
      </c>
      <c r="N8" s="18">
        <f>IF(OR(B8="",I8=""),"",IF(AND(J8="",TODAY()-I8&gt;=N(Services!$I$7)),"Not seen for "&amp;(TODAY()-I8)&amp;" days",""))</f>
        <v/>
      </c>
      <c r="O8" s="1">
        <f>IF(N(E8)=0,"",MONTH(E8))</f>
        <v/>
      </c>
    </row>
    <row r="9">
      <c r="A9" s="1" t="n"/>
      <c r="B9" s="35" t="inlineStr">
        <is>
          <t>Daniel Kim</t>
        </is>
      </c>
      <c r="C9" s="32" t="inlineStr">
        <is>
          <t>555 0104</t>
        </is>
      </c>
      <c r="D9" s="32" t="n"/>
      <c r="E9" s="36" t="n">
        <v>33208</v>
      </c>
      <c r="F9" s="30" t="n">
        <v>45306</v>
      </c>
      <c r="G9" s="32" t="n"/>
      <c r="H9" s="26">
        <f>IF(B9="","",COUNTIFS(Appointments!$D$6:$D$2005,B9,Appointments!$F$6:$F$2005,"Done"))</f>
        <v/>
      </c>
      <c r="I9" s="37">
        <f>IF(OR(B9="",N(H9)=0),"",INT(SUMIFS(Appointments!$M$6:$M$2005,Appointments!$D$6:$D$2005,B9,Appointments!$N$6:$N$2005,1)))</f>
        <v/>
      </c>
      <c r="J9" s="37">
        <f>IF(B9="","",IF(SUMIFS(Appointments!$M$6:$M$2005,Appointments!$D$6:$D$2005,B9,Appointments!$O$6:$O$2005,1)=0,"",INT(SUMIFS(Appointments!$M$6:$M$2005,Appointments!$D$6:$D$2005,B9,Appointments!$O$6:$O$2005,1))))</f>
        <v/>
      </c>
      <c r="K9" s="27">
        <f>IF(B9="","",SUMIFS(Appointments!$I$6:$I$2005,Appointments!$D$6:$D$2005,B9)+SUMIFS(Packages!$F$6:$F$305,Packages!$C$6:$C$305,B9))</f>
        <v/>
      </c>
      <c r="L9" s="28">
        <f>IF(B9="","",IF(SUMIFS(Appointments!$K$6:$K$2005,Appointments!$D$6:$D$2005,B9)=0,"",SUMIFS(Appointments!$K$6:$K$2005,Appointments!$D$6:$D$2005,B9)))</f>
        <v/>
      </c>
      <c r="M9" s="38">
        <f>IF(OR(B9="",SUMIFS(Packages!$E$6:$E$305,Packages!$C$6:$C$305,B9)=0),"",SUMIFS(Packages!$E$6:$E$305,Packages!$C$6:$C$305,B9)-COUNTIFS(Appointments!$D$6:$D$2005,B9,Appointments!$J$6:$J$2005,"Package",Appointments!$F$6:$F$2005,"Done")+IF(Services!$I$6="Yes",COUNTIFS(Appointments!$D$6:$D$2005,B9,Appointments!$J$6:$J$2005,"Package",Appointments!$F$6:$F$2005,"No-show"),0))</f>
        <v/>
      </c>
      <c r="N9" s="18">
        <f>IF(OR(B9="",I9=""),"",IF(AND(J9="",TODAY()-I9&gt;=N(Services!$I$7)),"Not seen for "&amp;(TODAY()-I9)&amp;" days",""))</f>
        <v/>
      </c>
      <c r="O9" s="1">
        <f>IF(N(E9)=0,"",MONTH(E9))</f>
        <v/>
      </c>
    </row>
    <row r="10">
      <c r="A10" s="1" t="n"/>
      <c r="B10" s="35" t="inlineStr">
        <is>
          <t>Emma Johnson</t>
        </is>
      </c>
      <c r="C10" s="32" t="inlineStr">
        <is>
          <t>555 0105</t>
        </is>
      </c>
      <c r="D10" s="32" t="inlineStr">
        <is>
          <t>emma.j@example.com</t>
        </is>
      </c>
      <c r="E10" s="36" t="n">
        <v>34811</v>
      </c>
      <c r="F10" s="30" t="n">
        <v>45051</v>
      </c>
      <c r="G10" s="32" t="inlineStr">
        <is>
          <t>Blow dry card</t>
        </is>
      </c>
      <c r="H10" s="26">
        <f>IF(B10="","",COUNTIFS(Appointments!$D$6:$D$2005,B10,Appointments!$F$6:$F$2005,"Done"))</f>
        <v/>
      </c>
      <c r="I10" s="37">
        <f>IF(OR(B10="",N(H10)=0),"",INT(SUMIFS(Appointments!$M$6:$M$2005,Appointments!$D$6:$D$2005,B10,Appointments!$N$6:$N$2005,1)))</f>
        <v/>
      </c>
      <c r="J10" s="37">
        <f>IF(B10="","",IF(SUMIFS(Appointments!$M$6:$M$2005,Appointments!$D$6:$D$2005,B10,Appointments!$O$6:$O$2005,1)=0,"",INT(SUMIFS(Appointments!$M$6:$M$2005,Appointments!$D$6:$D$2005,B10,Appointments!$O$6:$O$2005,1))))</f>
        <v/>
      </c>
      <c r="K10" s="27">
        <f>IF(B10="","",SUMIFS(Appointments!$I$6:$I$2005,Appointments!$D$6:$D$2005,B10)+SUMIFS(Packages!$F$6:$F$305,Packages!$C$6:$C$305,B10))</f>
        <v/>
      </c>
      <c r="L10" s="28">
        <f>IF(B10="","",IF(SUMIFS(Appointments!$K$6:$K$2005,Appointments!$D$6:$D$2005,B10)=0,"",SUMIFS(Appointments!$K$6:$K$2005,Appointments!$D$6:$D$2005,B10)))</f>
        <v/>
      </c>
      <c r="M10" s="38">
        <f>IF(OR(B10="",SUMIFS(Packages!$E$6:$E$305,Packages!$C$6:$C$305,B10)=0),"",SUMIFS(Packages!$E$6:$E$305,Packages!$C$6:$C$305,B10)-COUNTIFS(Appointments!$D$6:$D$2005,B10,Appointments!$J$6:$J$2005,"Package",Appointments!$F$6:$F$2005,"Done")+IF(Services!$I$6="Yes",COUNTIFS(Appointments!$D$6:$D$2005,B10,Appointments!$J$6:$J$2005,"Package",Appointments!$F$6:$F$2005,"No-show"),0))</f>
        <v/>
      </c>
      <c r="N10" s="18">
        <f>IF(OR(B10="",I10=""),"",IF(AND(J10="",TODAY()-I10&gt;=N(Services!$I$7)),"Not seen for "&amp;(TODAY()-I10)&amp;" days",""))</f>
        <v/>
      </c>
      <c r="O10" s="1">
        <f>IF(N(E10)=0,"",MONTH(E10))</f>
        <v/>
      </c>
    </row>
    <row r="11">
      <c r="A11" s="1" t="n"/>
      <c r="B11" s="35" t="inlineStr">
        <is>
          <t>Farah Ali</t>
        </is>
      </c>
      <c r="C11" s="32" t="inlineStr">
        <is>
          <t>555 0106</t>
        </is>
      </c>
      <c r="D11" s="32" t="n"/>
      <c r="E11" s="36" t="n">
        <v>31237</v>
      </c>
      <c r="F11" s="30" t="n">
        <v>44469</v>
      </c>
      <c r="G11" s="32" t="inlineStr">
        <is>
          <t>Patch test before colour</t>
        </is>
      </c>
      <c r="H11" s="26">
        <f>IF(B11="","",COUNTIFS(Appointments!$D$6:$D$2005,B11,Appointments!$F$6:$F$2005,"Done"))</f>
        <v/>
      </c>
      <c r="I11" s="37">
        <f>IF(OR(B11="",N(H11)=0),"",INT(SUMIFS(Appointments!$M$6:$M$2005,Appointments!$D$6:$D$2005,B11,Appointments!$N$6:$N$2005,1)))</f>
        <v/>
      </c>
      <c r="J11" s="37">
        <f>IF(B11="","",IF(SUMIFS(Appointments!$M$6:$M$2005,Appointments!$D$6:$D$2005,B11,Appointments!$O$6:$O$2005,1)=0,"",INT(SUMIFS(Appointments!$M$6:$M$2005,Appointments!$D$6:$D$2005,B11,Appointments!$O$6:$O$2005,1))))</f>
        <v/>
      </c>
      <c r="K11" s="27">
        <f>IF(B11="","",SUMIFS(Appointments!$I$6:$I$2005,Appointments!$D$6:$D$2005,B11)+SUMIFS(Packages!$F$6:$F$305,Packages!$C$6:$C$305,B11))</f>
        <v/>
      </c>
      <c r="L11" s="28">
        <f>IF(B11="","",IF(SUMIFS(Appointments!$K$6:$K$2005,Appointments!$D$6:$D$2005,B11)=0,"",SUMIFS(Appointments!$K$6:$K$2005,Appointments!$D$6:$D$2005,B11)))</f>
        <v/>
      </c>
      <c r="M11" s="38">
        <f>IF(OR(B11="",SUMIFS(Packages!$E$6:$E$305,Packages!$C$6:$C$305,B11)=0),"",SUMIFS(Packages!$E$6:$E$305,Packages!$C$6:$C$305,B11)-COUNTIFS(Appointments!$D$6:$D$2005,B11,Appointments!$J$6:$J$2005,"Package",Appointments!$F$6:$F$2005,"Done")+IF(Services!$I$6="Yes",COUNTIFS(Appointments!$D$6:$D$2005,B11,Appointments!$J$6:$J$2005,"Package",Appointments!$F$6:$F$2005,"No-show"),0))</f>
        <v/>
      </c>
      <c r="N11" s="18">
        <f>IF(OR(B11="",I11=""),"",IF(AND(J11="",TODAY()-I11&gt;=N(Services!$I$7)),"Not seen for "&amp;(TODAY()-I11)&amp;" days",""))</f>
        <v/>
      </c>
      <c r="O11" s="1">
        <f>IF(N(E11)=0,"",MONTH(E11))</f>
        <v/>
      </c>
    </row>
    <row r="12">
      <c r="A12" s="1" t="n"/>
      <c r="B12" s="35" t="inlineStr">
        <is>
          <t>Grace Lee</t>
        </is>
      </c>
      <c r="C12" s="32" t="inlineStr">
        <is>
          <t>555 0107</t>
        </is>
      </c>
      <c r="D12" s="32" t="inlineStr">
        <is>
          <t>grace.l@example.com</t>
        </is>
      </c>
      <c r="E12" s="36" t="n"/>
      <c r="F12" s="30" t="n">
        <v>45512</v>
      </c>
      <c r="G12" s="32" t="n"/>
      <c r="H12" s="26">
        <f>IF(B12="","",COUNTIFS(Appointments!$D$6:$D$2005,B12,Appointments!$F$6:$F$2005,"Done"))</f>
        <v/>
      </c>
      <c r="I12" s="37">
        <f>IF(OR(B12="",N(H12)=0),"",INT(SUMIFS(Appointments!$M$6:$M$2005,Appointments!$D$6:$D$2005,B12,Appointments!$N$6:$N$2005,1)))</f>
        <v/>
      </c>
      <c r="J12" s="37">
        <f>IF(B12="","",IF(SUMIFS(Appointments!$M$6:$M$2005,Appointments!$D$6:$D$2005,B12,Appointments!$O$6:$O$2005,1)=0,"",INT(SUMIFS(Appointments!$M$6:$M$2005,Appointments!$D$6:$D$2005,B12,Appointments!$O$6:$O$2005,1))))</f>
        <v/>
      </c>
      <c r="K12" s="27">
        <f>IF(B12="","",SUMIFS(Appointments!$I$6:$I$2005,Appointments!$D$6:$D$2005,B12)+SUMIFS(Packages!$F$6:$F$305,Packages!$C$6:$C$305,B12))</f>
        <v/>
      </c>
      <c r="L12" s="28">
        <f>IF(B12="","",IF(SUMIFS(Appointments!$K$6:$K$2005,Appointments!$D$6:$D$2005,B12)=0,"",SUMIFS(Appointments!$K$6:$K$2005,Appointments!$D$6:$D$2005,B12)))</f>
        <v/>
      </c>
      <c r="M12" s="38">
        <f>IF(OR(B12="",SUMIFS(Packages!$E$6:$E$305,Packages!$C$6:$C$305,B12)=0),"",SUMIFS(Packages!$E$6:$E$305,Packages!$C$6:$C$305,B12)-COUNTIFS(Appointments!$D$6:$D$2005,B12,Appointments!$J$6:$J$2005,"Package",Appointments!$F$6:$F$2005,"Done")+IF(Services!$I$6="Yes",COUNTIFS(Appointments!$D$6:$D$2005,B12,Appointments!$J$6:$J$2005,"Package",Appointments!$F$6:$F$2005,"No-show"),0))</f>
        <v/>
      </c>
      <c r="N12" s="18">
        <f>IF(OR(B12="",I12=""),"",IF(AND(J12="",TODAY()-I12&gt;=N(Services!$I$7)),"Not seen for "&amp;(TODAY()-I12)&amp;" days",""))</f>
        <v/>
      </c>
      <c r="O12" s="1">
        <f>IF(N(E12)=0,"",MONTH(E12))</f>
        <v/>
      </c>
    </row>
    <row r="13">
      <c r="A13" s="1" t="n"/>
      <c r="B13" s="35" t="inlineStr">
        <is>
          <t>Hugo Silva</t>
        </is>
      </c>
      <c r="C13" s="32" t="inlineStr">
        <is>
          <t>555 0108</t>
        </is>
      </c>
      <c r="D13" s="32" t="n"/>
      <c r="E13" s="36" t="n">
        <v>31853</v>
      </c>
      <c r="F13" s="30" t="n">
        <v>44958</v>
      </c>
      <c r="G13" s="32" t="n"/>
      <c r="H13" s="26">
        <f>IF(B13="","",COUNTIFS(Appointments!$D$6:$D$2005,B13,Appointments!$F$6:$F$2005,"Done"))</f>
        <v/>
      </c>
      <c r="I13" s="37">
        <f>IF(OR(B13="",N(H13)=0),"",INT(SUMIFS(Appointments!$M$6:$M$2005,Appointments!$D$6:$D$2005,B13,Appointments!$N$6:$N$2005,1)))</f>
        <v/>
      </c>
      <c r="J13" s="37">
        <f>IF(B13="","",IF(SUMIFS(Appointments!$M$6:$M$2005,Appointments!$D$6:$D$2005,B13,Appointments!$O$6:$O$2005,1)=0,"",INT(SUMIFS(Appointments!$M$6:$M$2005,Appointments!$D$6:$D$2005,B13,Appointments!$O$6:$O$2005,1))))</f>
        <v/>
      </c>
      <c r="K13" s="27">
        <f>IF(B13="","",SUMIFS(Appointments!$I$6:$I$2005,Appointments!$D$6:$D$2005,B13)+SUMIFS(Packages!$F$6:$F$305,Packages!$C$6:$C$305,B13))</f>
        <v/>
      </c>
      <c r="L13" s="28">
        <f>IF(B13="","",IF(SUMIFS(Appointments!$K$6:$K$2005,Appointments!$D$6:$D$2005,B13)=0,"",SUMIFS(Appointments!$K$6:$K$2005,Appointments!$D$6:$D$2005,B13)))</f>
        <v/>
      </c>
      <c r="M13" s="38">
        <f>IF(OR(B13="",SUMIFS(Packages!$E$6:$E$305,Packages!$C$6:$C$305,B13)=0),"",SUMIFS(Packages!$E$6:$E$305,Packages!$C$6:$C$305,B13)-COUNTIFS(Appointments!$D$6:$D$2005,B13,Appointments!$J$6:$J$2005,"Package",Appointments!$F$6:$F$2005,"Done")+IF(Services!$I$6="Yes",COUNTIFS(Appointments!$D$6:$D$2005,B13,Appointments!$J$6:$J$2005,"Package",Appointments!$F$6:$F$2005,"No-show"),0))</f>
        <v/>
      </c>
      <c r="N13" s="18">
        <f>IF(OR(B13="",I13=""),"",IF(AND(J13="",TODAY()-I13&gt;=N(Services!$I$7)),"Not seen for "&amp;(TODAY()-I13)&amp;" days",""))</f>
        <v/>
      </c>
      <c r="O13" s="1">
        <f>IF(N(E13)=0,"",MONTH(E13))</f>
        <v/>
      </c>
    </row>
    <row r="14">
      <c r="A14" s="1" t="n"/>
      <c r="B14" s="35" t="inlineStr">
        <is>
          <t>Isla Brown</t>
        </is>
      </c>
      <c r="C14" s="32" t="inlineStr">
        <is>
          <t>555 0109</t>
        </is>
      </c>
      <c r="D14" s="32" t="n"/>
      <c r="E14" s="36" t="n"/>
      <c r="F14" s="30" t="n">
        <v>44838</v>
      </c>
      <c r="G14" s="32" t="inlineStr">
        <is>
          <t>Sensitive scalp</t>
        </is>
      </c>
      <c r="H14" s="26">
        <f>IF(B14="","",COUNTIFS(Appointments!$D$6:$D$2005,B14,Appointments!$F$6:$F$2005,"Done"))</f>
        <v/>
      </c>
      <c r="I14" s="37">
        <f>IF(OR(B14="",N(H14)=0),"",INT(SUMIFS(Appointments!$M$6:$M$2005,Appointments!$D$6:$D$2005,B14,Appointments!$N$6:$N$2005,1)))</f>
        <v/>
      </c>
      <c r="J14" s="37">
        <f>IF(B14="","",IF(SUMIFS(Appointments!$M$6:$M$2005,Appointments!$D$6:$D$2005,B14,Appointments!$O$6:$O$2005,1)=0,"",INT(SUMIFS(Appointments!$M$6:$M$2005,Appointments!$D$6:$D$2005,B14,Appointments!$O$6:$O$2005,1))))</f>
        <v/>
      </c>
      <c r="K14" s="27">
        <f>IF(B14="","",SUMIFS(Appointments!$I$6:$I$2005,Appointments!$D$6:$D$2005,B14)+SUMIFS(Packages!$F$6:$F$305,Packages!$C$6:$C$305,B14))</f>
        <v/>
      </c>
      <c r="L14" s="28">
        <f>IF(B14="","",IF(SUMIFS(Appointments!$K$6:$K$2005,Appointments!$D$6:$D$2005,B14)=0,"",SUMIFS(Appointments!$K$6:$K$2005,Appointments!$D$6:$D$2005,B14)))</f>
        <v/>
      </c>
      <c r="M14" s="38">
        <f>IF(OR(B14="",SUMIFS(Packages!$E$6:$E$305,Packages!$C$6:$C$305,B14)=0),"",SUMIFS(Packages!$E$6:$E$305,Packages!$C$6:$C$305,B14)-COUNTIFS(Appointments!$D$6:$D$2005,B14,Appointments!$J$6:$J$2005,"Package",Appointments!$F$6:$F$2005,"Done")+IF(Services!$I$6="Yes",COUNTIFS(Appointments!$D$6:$D$2005,B14,Appointments!$J$6:$J$2005,"Package",Appointments!$F$6:$F$2005,"No-show"),0))</f>
        <v/>
      </c>
      <c r="N14" s="18">
        <f>IF(OR(B14="",I14=""),"",IF(AND(J14="",TODAY()-I14&gt;=N(Services!$I$7)),"Not seen for "&amp;(TODAY()-I14)&amp;" days",""))</f>
        <v/>
      </c>
      <c r="O14" s="1">
        <f>IF(N(E14)=0,"",MONTH(E14))</f>
        <v/>
      </c>
    </row>
    <row r="15">
      <c r="A15" s="1" t="n"/>
      <c r="B15" s="35" t="inlineStr">
        <is>
          <t>Jack Wilson</t>
        </is>
      </c>
      <c r="C15" s="32" t="inlineStr">
        <is>
          <t>555 0110</t>
        </is>
      </c>
      <c r="D15" s="32" t="n"/>
      <c r="E15" s="36" t="n"/>
      <c r="F15" s="30" t="n">
        <v>45433</v>
      </c>
      <c r="G15" s="32" t="n"/>
      <c r="H15" s="26">
        <f>IF(B15="","",COUNTIFS(Appointments!$D$6:$D$2005,B15,Appointments!$F$6:$F$2005,"Done"))</f>
        <v/>
      </c>
      <c r="I15" s="37">
        <f>IF(OR(B15="",N(H15)=0),"",INT(SUMIFS(Appointments!$M$6:$M$2005,Appointments!$D$6:$D$2005,B15,Appointments!$N$6:$N$2005,1)))</f>
        <v/>
      </c>
      <c r="J15" s="37">
        <f>IF(B15="","",IF(SUMIFS(Appointments!$M$6:$M$2005,Appointments!$D$6:$D$2005,B15,Appointments!$O$6:$O$2005,1)=0,"",INT(SUMIFS(Appointments!$M$6:$M$2005,Appointments!$D$6:$D$2005,B15,Appointments!$O$6:$O$2005,1))))</f>
        <v/>
      </c>
      <c r="K15" s="27">
        <f>IF(B15="","",SUMIFS(Appointments!$I$6:$I$2005,Appointments!$D$6:$D$2005,B15)+SUMIFS(Packages!$F$6:$F$305,Packages!$C$6:$C$305,B15))</f>
        <v/>
      </c>
      <c r="L15" s="28">
        <f>IF(B15="","",IF(SUMIFS(Appointments!$K$6:$K$2005,Appointments!$D$6:$D$2005,B15)=0,"",SUMIFS(Appointments!$K$6:$K$2005,Appointments!$D$6:$D$2005,B15)))</f>
        <v/>
      </c>
      <c r="M15" s="38">
        <f>IF(OR(B15="",SUMIFS(Packages!$E$6:$E$305,Packages!$C$6:$C$305,B15)=0),"",SUMIFS(Packages!$E$6:$E$305,Packages!$C$6:$C$305,B15)-COUNTIFS(Appointments!$D$6:$D$2005,B15,Appointments!$J$6:$J$2005,"Package",Appointments!$F$6:$F$2005,"Done")+IF(Services!$I$6="Yes",COUNTIFS(Appointments!$D$6:$D$2005,B15,Appointments!$J$6:$J$2005,"Package",Appointments!$F$6:$F$2005,"No-show"),0))</f>
        <v/>
      </c>
      <c r="N15" s="18">
        <f>IF(OR(B15="",I15=""),"",IF(AND(J15="",TODAY()-I15&gt;=N(Services!$I$7)),"Not seen for "&amp;(TODAY()-I15)&amp;" days",""))</f>
        <v/>
      </c>
      <c r="O15" s="1">
        <f>IF(N(E15)=0,"",MONTH(E15))</f>
        <v/>
      </c>
    </row>
    <row r="16">
      <c r="A16" s="1" t="n"/>
      <c r="B16" s="35" t="inlineStr">
        <is>
          <t>Katie Moore</t>
        </is>
      </c>
      <c r="C16" s="32" t="inlineStr">
        <is>
          <t>555 0111</t>
        </is>
      </c>
      <c r="D16" s="32" t="inlineStr">
        <is>
          <t>katie.m@example.com</t>
        </is>
      </c>
      <c r="E16" s="36" t="n">
        <v>34281</v>
      </c>
      <c r="F16" s="30" t="n">
        <v>45114</v>
      </c>
      <c r="G16" s="32" t="n"/>
      <c r="H16" s="26">
        <f>IF(B16="","",COUNTIFS(Appointments!$D$6:$D$2005,B16,Appointments!$F$6:$F$2005,"Done"))</f>
        <v/>
      </c>
      <c r="I16" s="37">
        <f>IF(OR(B16="",N(H16)=0),"",INT(SUMIFS(Appointments!$M$6:$M$2005,Appointments!$D$6:$D$2005,B16,Appointments!$N$6:$N$2005,1)))</f>
        <v/>
      </c>
      <c r="J16" s="37">
        <f>IF(B16="","",IF(SUMIFS(Appointments!$M$6:$M$2005,Appointments!$D$6:$D$2005,B16,Appointments!$O$6:$O$2005,1)=0,"",INT(SUMIFS(Appointments!$M$6:$M$2005,Appointments!$D$6:$D$2005,B16,Appointments!$O$6:$O$2005,1))))</f>
        <v/>
      </c>
      <c r="K16" s="27">
        <f>IF(B16="","",SUMIFS(Appointments!$I$6:$I$2005,Appointments!$D$6:$D$2005,B16)+SUMIFS(Packages!$F$6:$F$305,Packages!$C$6:$C$305,B16))</f>
        <v/>
      </c>
      <c r="L16" s="28">
        <f>IF(B16="","",IF(SUMIFS(Appointments!$K$6:$K$2005,Appointments!$D$6:$D$2005,B16)=0,"",SUMIFS(Appointments!$K$6:$K$2005,Appointments!$D$6:$D$2005,B16)))</f>
        <v/>
      </c>
      <c r="M16" s="38">
        <f>IF(OR(B16="",SUMIFS(Packages!$E$6:$E$305,Packages!$C$6:$C$305,B16)=0),"",SUMIFS(Packages!$E$6:$E$305,Packages!$C$6:$C$305,B16)-COUNTIFS(Appointments!$D$6:$D$2005,B16,Appointments!$J$6:$J$2005,"Package",Appointments!$F$6:$F$2005,"Done")+IF(Services!$I$6="Yes",COUNTIFS(Appointments!$D$6:$D$2005,B16,Appointments!$J$6:$J$2005,"Package",Appointments!$F$6:$F$2005,"No-show"),0))</f>
        <v/>
      </c>
      <c r="N16" s="18">
        <f>IF(OR(B16="",I16=""),"",IF(AND(J16="",TODAY()-I16&gt;=N(Services!$I$7)),"Not seen for "&amp;(TODAY()-I16)&amp;" days",""))</f>
        <v/>
      </c>
      <c r="O16" s="1">
        <f>IF(N(E16)=0,"",MONTH(E16))</f>
        <v/>
      </c>
    </row>
    <row r="17">
      <c r="A17" s="1" t="n"/>
      <c r="B17" s="35" t="inlineStr">
        <is>
          <t>Liam Evans</t>
        </is>
      </c>
      <c r="C17" s="32" t="inlineStr">
        <is>
          <t>555 0112</t>
        </is>
      </c>
      <c r="D17" s="32" t="n"/>
      <c r="E17" s="36" t="n"/>
      <c r="F17" s="30" t="n">
        <v>45667</v>
      </c>
      <c r="G17" s="32" t="n"/>
      <c r="H17" s="26">
        <f>IF(B17="","",COUNTIFS(Appointments!$D$6:$D$2005,B17,Appointments!$F$6:$F$2005,"Done"))</f>
        <v/>
      </c>
      <c r="I17" s="37">
        <f>IF(OR(B17="",N(H17)=0),"",INT(SUMIFS(Appointments!$M$6:$M$2005,Appointments!$D$6:$D$2005,B17,Appointments!$N$6:$N$2005,1)))</f>
        <v/>
      </c>
      <c r="J17" s="37">
        <f>IF(B17="","",IF(SUMIFS(Appointments!$M$6:$M$2005,Appointments!$D$6:$D$2005,B17,Appointments!$O$6:$O$2005,1)=0,"",INT(SUMIFS(Appointments!$M$6:$M$2005,Appointments!$D$6:$D$2005,B17,Appointments!$O$6:$O$2005,1))))</f>
        <v/>
      </c>
      <c r="K17" s="27">
        <f>IF(B17="","",SUMIFS(Appointments!$I$6:$I$2005,Appointments!$D$6:$D$2005,B17)+SUMIFS(Packages!$F$6:$F$305,Packages!$C$6:$C$305,B17))</f>
        <v/>
      </c>
      <c r="L17" s="28">
        <f>IF(B17="","",IF(SUMIFS(Appointments!$K$6:$K$2005,Appointments!$D$6:$D$2005,B17)=0,"",SUMIFS(Appointments!$K$6:$K$2005,Appointments!$D$6:$D$2005,B17)))</f>
        <v/>
      </c>
      <c r="M17" s="38">
        <f>IF(OR(B17="",SUMIFS(Packages!$E$6:$E$305,Packages!$C$6:$C$305,B17)=0),"",SUMIFS(Packages!$E$6:$E$305,Packages!$C$6:$C$305,B17)-COUNTIFS(Appointments!$D$6:$D$2005,B17,Appointments!$J$6:$J$2005,"Package",Appointments!$F$6:$F$2005,"Done")+IF(Services!$I$6="Yes",COUNTIFS(Appointments!$D$6:$D$2005,B17,Appointments!$J$6:$J$2005,"Package",Appointments!$F$6:$F$2005,"No-show"),0))</f>
        <v/>
      </c>
      <c r="N17" s="18">
        <f>IF(OR(B17="",I17=""),"",IF(AND(J17="",TODAY()-I17&gt;=N(Services!$I$7)),"Not seen for "&amp;(TODAY()-I17)&amp;" days",""))</f>
        <v/>
      </c>
      <c r="O17" s="1">
        <f>IF(N(E17)=0,"",MONTH(E17))</f>
        <v/>
      </c>
    </row>
    <row r="18">
      <c r="A18" s="1" t="n"/>
      <c r="B18" s="35" t="inlineStr">
        <is>
          <t>Maya Patel</t>
        </is>
      </c>
      <c r="C18" s="32" t="inlineStr">
        <is>
          <t>555 0113</t>
        </is>
      </c>
      <c r="D18" s="32" t="inlineStr">
        <is>
          <t>maya.p@example.com</t>
        </is>
      </c>
      <c r="E18" s="36" t="n">
        <v>33414</v>
      </c>
      <c r="F18" s="30" t="n">
        <v>45336</v>
      </c>
      <c r="G18" s="32" t="inlineStr">
        <is>
          <t>Treatment card</t>
        </is>
      </c>
      <c r="H18" s="26">
        <f>IF(B18="","",COUNTIFS(Appointments!$D$6:$D$2005,B18,Appointments!$F$6:$F$2005,"Done"))</f>
        <v/>
      </c>
      <c r="I18" s="37">
        <f>IF(OR(B18="",N(H18)=0),"",INT(SUMIFS(Appointments!$M$6:$M$2005,Appointments!$D$6:$D$2005,B18,Appointments!$N$6:$N$2005,1)))</f>
        <v/>
      </c>
      <c r="J18" s="37">
        <f>IF(B18="","",IF(SUMIFS(Appointments!$M$6:$M$2005,Appointments!$D$6:$D$2005,B18,Appointments!$O$6:$O$2005,1)=0,"",INT(SUMIFS(Appointments!$M$6:$M$2005,Appointments!$D$6:$D$2005,B18,Appointments!$O$6:$O$2005,1))))</f>
        <v/>
      </c>
      <c r="K18" s="27">
        <f>IF(B18="","",SUMIFS(Appointments!$I$6:$I$2005,Appointments!$D$6:$D$2005,B18)+SUMIFS(Packages!$F$6:$F$305,Packages!$C$6:$C$305,B18))</f>
        <v/>
      </c>
      <c r="L18" s="28">
        <f>IF(B18="","",IF(SUMIFS(Appointments!$K$6:$K$2005,Appointments!$D$6:$D$2005,B18)=0,"",SUMIFS(Appointments!$K$6:$K$2005,Appointments!$D$6:$D$2005,B18)))</f>
        <v/>
      </c>
      <c r="M18" s="38">
        <f>IF(OR(B18="",SUMIFS(Packages!$E$6:$E$305,Packages!$C$6:$C$305,B18)=0),"",SUMIFS(Packages!$E$6:$E$305,Packages!$C$6:$C$305,B18)-COUNTIFS(Appointments!$D$6:$D$2005,B18,Appointments!$J$6:$J$2005,"Package",Appointments!$F$6:$F$2005,"Done")+IF(Services!$I$6="Yes",COUNTIFS(Appointments!$D$6:$D$2005,B18,Appointments!$J$6:$J$2005,"Package",Appointments!$F$6:$F$2005,"No-show"),0))</f>
        <v/>
      </c>
      <c r="N18" s="18">
        <f>IF(OR(B18="",I18=""),"",IF(AND(J18="",TODAY()-I18&gt;=N(Services!$I$7)),"Not seen for "&amp;(TODAY()-I18)&amp;" days",""))</f>
        <v/>
      </c>
      <c r="O18" s="1">
        <f>IF(N(E18)=0,"",MONTH(E18))</f>
        <v/>
      </c>
    </row>
    <row r="19">
      <c r="A19" s="1" t="n"/>
      <c r="B19" s="35" t="inlineStr">
        <is>
          <t>Noah Taylor</t>
        </is>
      </c>
      <c r="C19" s="32" t="inlineStr">
        <is>
          <t>555 0114</t>
        </is>
      </c>
      <c r="D19" s="32" t="n"/>
      <c r="E19" s="36" t="n"/>
      <c r="F19" s="30" t="n">
        <v>45538</v>
      </c>
      <c r="G19" s="32" t="inlineStr">
        <is>
          <t>Brings his son Leo</t>
        </is>
      </c>
      <c r="H19" s="26">
        <f>IF(B19="","",COUNTIFS(Appointments!$D$6:$D$2005,B19,Appointments!$F$6:$F$2005,"Done"))</f>
        <v/>
      </c>
      <c r="I19" s="37">
        <f>IF(OR(B19="",N(H19)=0),"",INT(SUMIFS(Appointments!$M$6:$M$2005,Appointments!$D$6:$D$2005,B19,Appointments!$N$6:$N$2005,1)))</f>
        <v/>
      </c>
      <c r="J19" s="37">
        <f>IF(B19="","",IF(SUMIFS(Appointments!$M$6:$M$2005,Appointments!$D$6:$D$2005,B19,Appointments!$O$6:$O$2005,1)=0,"",INT(SUMIFS(Appointments!$M$6:$M$2005,Appointments!$D$6:$D$2005,B19,Appointments!$O$6:$O$2005,1))))</f>
        <v/>
      </c>
      <c r="K19" s="27">
        <f>IF(B19="","",SUMIFS(Appointments!$I$6:$I$2005,Appointments!$D$6:$D$2005,B19)+SUMIFS(Packages!$F$6:$F$305,Packages!$C$6:$C$305,B19))</f>
        <v/>
      </c>
      <c r="L19" s="28">
        <f>IF(B19="","",IF(SUMIFS(Appointments!$K$6:$K$2005,Appointments!$D$6:$D$2005,B19)=0,"",SUMIFS(Appointments!$K$6:$K$2005,Appointments!$D$6:$D$2005,B19)))</f>
        <v/>
      </c>
      <c r="M19" s="38">
        <f>IF(OR(B19="",SUMIFS(Packages!$E$6:$E$305,Packages!$C$6:$C$305,B19)=0),"",SUMIFS(Packages!$E$6:$E$305,Packages!$C$6:$C$305,B19)-COUNTIFS(Appointments!$D$6:$D$2005,B19,Appointments!$J$6:$J$2005,"Package",Appointments!$F$6:$F$2005,"Done")+IF(Services!$I$6="Yes",COUNTIFS(Appointments!$D$6:$D$2005,B19,Appointments!$J$6:$J$2005,"Package",Appointments!$F$6:$F$2005,"No-show"),0))</f>
        <v/>
      </c>
      <c r="N19" s="18">
        <f>IF(OR(B19="",I19=""),"",IF(AND(J19="",TODAY()-I19&gt;=N(Services!$I$7)),"Not seen for "&amp;(TODAY()-I19)&amp;" days",""))</f>
        <v/>
      </c>
      <c r="O19" s="1">
        <f>IF(N(E19)=0,"",MONTH(E19))</f>
        <v/>
      </c>
    </row>
    <row r="20">
      <c r="A20" s="1" t="n"/>
      <c r="B20" s="35" t="inlineStr">
        <is>
          <t>Olivia Green</t>
        </is>
      </c>
      <c r="C20" s="32" t="inlineStr">
        <is>
          <t>555 0115</t>
        </is>
      </c>
      <c r="D20" s="32" t="inlineStr">
        <is>
          <t>olivia.g@example.com</t>
        </is>
      </c>
      <c r="E20" s="36" t="n">
        <v>32781</v>
      </c>
      <c r="F20" s="30" t="n">
        <v>44632</v>
      </c>
      <c r="G20" s="32" t="n"/>
      <c r="H20" s="26">
        <f>IF(B20="","",COUNTIFS(Appointments!$D$6:$D$2005,B20,Appointments!$F$6:$F$2005,"Done"))</f>
        <v/>
      </c>
      <c r="I20" s="37">
        <f>IF(OR(B20="",N(H20)=0),"",INT(SUMIFS(Appointments!$M$6:$M$2005,Appointments!$D$6:$D$2005,B20,Appointments!$N$6:$N$2005,1)))</f>
        <v/>
      </c>
      <c r="J20" s="37">
        <f>IF(B20="","",IF(SUMIFS(Appointments!$M$6:$M$2005,Appointments!$D$6:$D$2005,B20,Appointments!$O$6:$O$2005,1)=0,"",INT(SUMIFS(Appointments!$M$6:$M$2005,Appointments!$D$6:$D$2005,B20,Appointments!$O$6:$O$2005,1))))</f>
        <v/>
      </c>
      <c r="K20" s="27">
        <f>IF(B20="","",SUMIFS(Appointments!$I$6:$I$2005,Appointments!$D$6:$D$2005,B20)+SUMIFS(Packages!$F$6:$F$305,Packages!$C$6:$C$305,B20))</f>
        <v/>
      </c>
      <c r="L20" s="28">
        <f>IF(B20="","",IF(SUMIFS(Appointments!$K$6:$K$2005,Appointments!$D$6:$D$2005,B20)=0,"",SUMIFS(Appointments!$K$6:$K$2005,Appointments!$D$6:$D$2005,B20)))</f>
        <v/>
      </c>
      <c r="M20" s="38">
        <f>IF(OR(B20="",SUMIFS(Packages!$E$6:$E$305,Packages!$C$6:$C$305,B20)=0),"",SUMIFS(Packages!$E$6:$E$305,Packages!$C$6:$C$305,B20)-COUNTIFS(Appointments!$D$6:$D$2005,B20,Appointments!$J$6:$J$2005,"Package",Appointments!$F$6:$F$2005,"Done")+IF(Services!$I$6="Yes",COUNTIFS(Appointments!$D$6:$D$2005,B20,Appointments!$J$6:$J$2005,"Package",Appointments!$F$6:$F$2005,"No-show"),0))</f>
        <v/>
      </c>
      <c r="N20" s="18">
        <f>IF(OR(B20="",I20=""),"",IF(AND(J20="",TODAY()-I20&gt;=N(Services!$I$7)),"Not seen for "&amp;(TODAY()-I20)&amp;" days",""))</f>
        <v/>
      </c>
      <c r="O20" s="1">
        <f>IF(N(E20)=0,"",MONTH(E20))</f>
        <v/>
      </c>
    </row>
    <row r="21">
      <c r="A21" s="1" t="n"/>
      <c r="B21" s="35" t="inlineStr">
        <is>
          <t>Paul Wright</t>
        </is>
      </c>
      <c r="C21" s="32" t="inlineStr">
        <is>
          <t>555 0116</t>
        </is>
      </c>
      <c r="D21" s="32" t="n"/>
      <c r="E21" s="36" t="n"/>
      <c r="F21" s="30" t="n">
        <v>45034</v>
      </c>
      <c r="G21" s="32" t="n"/>
      <c r="H21" s="26">
        <f>IF(B21="","",COUNTIFS(Appointments!$D$6:$D$2005,B21,Appointments!$F$6:$F$2005,"Done"))</f>
        <v/>
      </c>
      <c r="I21" s="37">
        <f>IF(OR(B21="",N(H21)=0),"",INT(SUMIFS(Appointments!$M$6:$M$2005,Appointments!$D$6:$D$2005,B21,Appointments!$N$6:$N$2005,1)))</f>
        <v/>
      </c>
      <c r="J21" s="37">
        <f>IF(B21="","",IF(SUMIFS(Appointments!$M$6:$M$2005,Appointments!$D$6:$D$2005,B21,Appointments!$O$6:$O$2005,1)=0,"",INT(SUMIFS(Appointments!$M$6:$M$2005,Appointments!$D$6:$D$2005,B21,Appointments!$O$6:$O$2005,1))))</f>
        <v/>
      </c>
      <c r="K21" s="27">
        <f>IF(B21="","",SUMIFS(Appointments!$I$6:$I$2005,Appointments!$D$6:$D$2005,B21)+SUMIFS(Packages!$F$6:$F$305,Packages!$C$6:$C$305,B21))</f>
        <v/>
      </c>
      <c r="L21" s="28">
        <f>IF(B21="","",IF(SUMIFS(Appointments!$K$6:$K$2005,Appointments!$D$6:$D$2005,B21)=0,"",SUMIFS(Appointments!$K$6:$K$2005,Appointments!$D$6:$D$2005,B21)))</f>
        <v/>
      </c>
      <c r="M21" s="38">
        <f>IF(OR(B21="",SUMIFS(Packages!$E$6:$E$305,Packages!$C$6:$C$305,B21)=0),"",SUMIFS(Packages!$E$6:$E$305,Packages!$C$6:$C$305,B21)-COUNTIFS(Appointments!$D$6:$D$2005,B21,Appointments!$J$6:$J$2005,"Package",Appointments!$F$6:$F$2005,"Done")+IF(Services!$I$6="Yes",COUNTIFS(Appointments!$D$6:$D$2005,B21,Appointments!$J$6:$J$2005,"Package",Appointments!$F$6:$F$2005,"No-show"),0))</f>
        <v/>
      </c>
      <c r="N21" s="18">
        <f>IF(OR(B21="",I21=""),"",IF(AND(J21="",TODAY()-I21&gt;=N(Services!$I$7)),"Not seen for "&amp;(TODAY()-I21)&amp;" days",""))</f>
        <v/>
      </c>
      <c r="O21" s="1">
        <f>IF(N(E21)=0,"",MONTH(E21))</f>
        <v/>
      </c>
    </row>
    <row r="22">
      <c r="A22" s="1" t="n"/>
      <c r="B22" s="35" t="inlineStr">
        <is>
          <t>Quinn Harris</t>
        </is>
      </c>
      <c r="C22" s="32" t="inlineStr">
        <is>
          <t>555 0117</t>
        </is>
      </c>
      <c r="D22" s="32" t="n"/>
      <c r="E22" s="36" t="n"/>
      <c r="F22" s="30" t="n">
        <v>45719</v>
      </c>
      <c r="G22" s="32" t="n"/>
      <c r="H22" s="26">
        <f>IF(B22="","",COUNTIFS(Appointments!$D$6:$D$2005,B22,Appointments!$F$6:$F$2005,"Done"))</f>
        <v/>
      </c>
      <c r="I22" s="37">
        <f>IF(OR(B22="",N(H22)=0),"",INT(SUMIFS(Appointments!$M$6:$M$2005,Appointments!$D$6:$D$2005,B22,Appointments!$N$6:$N$2005,1)))</f>
        <v/>
      </c>
      <c r="J22" s="37">
        <f>IF(B22="","",IF(SUMIFS(Appointments!$M$6:$M$2005,Appointments!$D$6:$D$2005,B22,Appointments!$O$6:$O$2005,1)=0,"",INT(SUMIFS(Appointments!$M$6:$M$2005,Appointments!$D$6:$D$2005,B22,Appointments!$O$6:$O$2005,1))))</f>
        <v/>
      </c>
      <c r="K22" s="27">
        <f>IF(B22="","",SUMIFS(Appointments!$I$6:$I$2005,Appointments!$D$6:$D$2005,B22)+SUMIFS(Packages!$F$6:$F$305,Packages!$C$6:$C$305,B22))</f>
        <v/>
      </c>
      <c r="L22" s="28">
        <f>IF(B22="","",IF(SUMIFS(Appointments!$K$6:$K$2005,Appointments!$D$6:$D$2005,B22)=0,"",SUMIFS(Appointments!$K$6:$K$2005,Appointments!$D$6:$D$2005,B22)))</f>
        <v/>
      </c>
      <c r="M22" s="38">
        <f>IF(OR(B22="",SUMIFS(Packages!$E$6:$E$305,Packages!$C$6:$C$305,B22)=0),"",SUMIFS(Packages!$E$6:$E$305,Packages!$C$6:$C$305,B22)-COUNTIFS(Appointments!$D$6:$D$2005,B22,Appointments!$J$6:$J$2005,"Package",Appointments!$F$6:$F$2005,"Done")+IF(Services!$I$6="Yes",COUNTIFS(Appointments!$D$6:$D$2005,B22,Appointments!$J$6:$J$2005,"Package",Appointments!$F$6:$F$2005,"No-show"),0))</f>
        <v/>
      </c>
      <c r="N22" s="18">
        <f>IF(OR(B22="",I22=""),"",IF(AND(J22="",TODAY()-I22&gt;=N(Services!$I$7)),"Not seen for "&amp;(TODAY()-I22)&amp;" days",""))</f>
        <v/>
      </c>
      <c r="O22" s="1">
        <f>IF(N(E22)=0,"",MONTH(E22))</f>
        <v/>
      </c>
    </row>
    <row r="23">
      <c r="A23" s="1" t="n"/>
      <c r="B23" s="35" t="inlineStr">
        <is>
          <t>Rosa Diaz</t>
        </is>
      </c>
      <c r="C23" s="32" t="inlineStr">
        <is>
          <t>555 0118</t>
        </is>
      </c>
      <c r="D23" s="32" t="inlineStr">
        <is>
          <t>rosa.d@example.com</t>
        </is>
      </c>
      <c r="E23" s="36" t="n">
        <v>30710</v>
      </c>
      <c r="F23" s="30" t="n">
        <v>44341</v>
      </c>
      <c r="G23" s="32" t="n"/>
      <c r="H23" s="26">
        <f>IF(B23="","",COUNTIFS(Appointments!$D$6:$D$2005,B23,Appointments!$F$6:$F$2005,"Done"))</f>
        <v/>
      </c>
      <c r="I23" s="37">
        <f>IF(OR(B23="",N(H23)=0),"",INT(SUMIFS(Appointments!$M$6:$M$2005,Appointments!$D$6:$D$2005,B23,Appointments!$N$6:$N$2005,1)))</f>
        <v/>
      </c>
      <c r="J23" s="37">
        <f>IF(B23="","",IF(SUMIFS(Appointments!$M$6:$M$2005,Appointments!$D$6:$D$2005,B23,Appointments!$O$6:$O$2005,1)=0,"",INT(SUMIFS(Appointments!$M$6:$M$2005,Appointments!$D$6:$D$2005,B23,Appointments!$O$6:$O$2005,1))))</f>
        <v/>
      </c>
      <c r="K23" s="27">
        <f>IF(B23="","",SUMIFS(Appointments!$I$6:$I$2005,Appointments!$D$6:$D$2005,B23)+SUMIFS(Packages!$F$6:$F$305,Packages!$C$6:$C$305,B23))</f>
        <v/>
      </c>
      <c r="L23" s="28">
        <f>IF(B23="","",IF(SUMIFS(Appointments!$K$6:$K$2005,Appointments!$D$6:$D$2005,B23)=0,"",SUMIFS(Appointments!$K$6:$K$2005,Appointments!$D$6:$D$2005,B23)))</f>
        <v/>
      </c>
      <c r="M23" s="38">
        <f>IF(OR(B23="",SUMIFS(Packages!$E$6:$E$305,Packages!$C$6:$C$305,B23)=0),"",SUMIFS(Packages!$E$6:$E$305,Packages!$C$6:$C$305,B23)-COUNTIFS(Appointments!$D$6:$D$2005,B23,Appointments!$J$6:$J$2005,"Package",Appointments!$F$6:$F$2005,"Done")+IF(Services!$I$6="Yes",COUNTIFS(Appointments!$D$6:$D$2005,B23,Appointments!$J$6:$J$2005,"Package",Appointments!$F$6:$F$2005,"No-show"),0))</f>
        <v/>
      </c>
      <c r="N23" s="18">
        <f>IF(OR(B23="",I23=""),"",IF(AND(J23="",TODAY()-I23&gt;=N(Services!$I$7)),"Not seen for "&amp;(TODAY()-I23)&amp;" days",""))</f>
        <v/>
      </c>
      <c r="O23" s="1">
        <f>IF(N(E23)=0,"",MONTH(E23))</f>
        <v/>
      </c>
    </row>
    <row r="24">
      <c r="A24" s="1" t="n"/>
      <c r="B24" s="35" t="inlineStr">
        <is>
          <t>Sam Clarke</t>
        </is>
      </c>
      <c r="C24" s="32" t="inlineStr">
        <is>
          <t>555 0119</t>
        </is>
      </c>
      <c r="D24" s="32" t="n"/>
      <c r="E24" s="36" t="n"/>
      <c r="F24" s="30" t="n">
        <v>45575</v>
      </c>
      <c r="G24" s="32" t="n"/>
      <c r="H24" s="26">
        <f>IF(B24="","",COUNTIFS(Appointments!$D$6:$D$2005,B24,Appointments!$F$6:$F$2005,"Done"))</f>
        <v/>
      </c>
      <c r="I24" s="37">
        <f>IF(OR(B24="",N(H24)=0),"",INT(SUMIFS(Appointments!$M$6:$M$2005,Appointments!$D$6:$D$2005,B24,Appointments!$N$6:$N$2005,1)))</f>
        <v/>
      </c>
      <c r="J24" s="37">
        <f>IF(B24="","",IF(SUMIFS(Appointments!$M$6:$M$2005,Appointments!$D$6:$D$2005,B24,Appointments!$O$6:$O$2005,1)=0,"",INT(SUMIFS(Appointments!$M$6:$M$2005,Appointments!$D$6:$D$2005,B24,Appointments!$O$6:$O$2005,1))))</f>
        <v/>
      </c>
      <c r="K24" s="27">
        <f>IF(B24="","",SUMIFS(Appointments!$I$6:$I$2005,Appointments!$D$6:$D$2005,B24)+SUMIFS(Packages!$F$6:$F$305,Packages!$C$6:$C$305,B24))</f>
        <v/>
      </c>
      <c r="L24" s="28">
        <f>IF(B24="","",IF(SUMIFS(Appointments!$K$6:$K$2005,Appointments!$D$6:$D$2005,B24)=0,"",SUMIFS(Appointments!$K$6:$K$2005,Appointments!$D$6:$D$2005,B24)))</f>
        <v/>
      </c>
      <c r="M24" s="38">
        <f>IF(OR(B24="",SUMIFS(Packages!$E$6:$E$305,Packages!$C$6:$C$305,B24)=0),"",SUMIFS(Packages!$E$6:$E$305,Packages!$C$6:$C$305,B24)-COUNTIFS(Appointments!$D$6:$D$2005,B24,Appointments!$J$6:$J$2005,"Package",Appointments!$F$6:$F$2005,"Done")+IF(Services!$I$6="Yes",COUNTIFS(Appointments!$D$6:$D$2005,B24,Appointments!$J$6:$J$2005,"Package",Appointments!$F$6:$F$2005,"No-show"),0))</f>
        <v/>
      </c>
      <c r="N24" s="18">
        <f>IF(OR(B24="",I24=""),"",IF(AND(J24="",TODAY()-I24&gt;=N(Services!$I$7)),"Not seen for "&amp;(TODAY()-I24)&amp;" days",""))</f>
        <v/>
      </c>
      <c r="O24" s="1">
        <f>IF(N(E24)=0,"",MONTH(E24))</f>
        <v/>
      </c>
    </row>
    <row r="25">
      <c r="A25" s="1" t="n"/>
      <c r="B25" s="35" t="inlineStr">
        <is>
          <t>Tara Singh</t>
        </is>
      </c>
      <c r="C25" s="32" t="inlineStr">
        <is>
          <t>555 0120</t>
        </is>
      </c>
      <c r="D25" s="32" t="n"/>
      <c r="E25" s="36" t="n">
        <v>35289</v>
      </c>
      <c r="F25" s="30" t="n">
        <v>45157</v>
      </c>
      <c r="G25" s="32" t="n"/>
      <c r="H25" s="26">
        <f>IF(B25="","",COUNTIFS(Appointments!$D$6:$D$2005,B25,Appointments!$F$6:$F$2005,"Done"))</f>
        <v/>
      </c>
      <c r="I25" s="37">
        <f>IF(OR(B25="",N(H25)=0),"",INT(SUMIFS(Appointments!$M$6:$M$2005,Appointments!$D$6:$D$2005,B25,Appointments!$N$6:$N$2005,1)))</f>
        <v/>
      </c>
      <c r="J25" s="37">
        <f>IF(B25="","",IF(SUMIFS(Appointments!$M$6:$M$2005,Appointments!$D$6:$D$2005,B25,Appointments!$O$6:$O$2005,1)=0,"",INT(SUMIFS(Appointments!$M$6:$M$2005,Appointments!$D$6:$D$2005,B25,Appointments!$O$6:$O$2005,1))))</f>
        <v/>
      </c>
      <c r="K25" s="27">
        <f>IF(B25="","",SUMIFS(Appointments!$I$6:$I$2005,Appointments!$D$6:$D$2005,B25)+SUMIFS(Packages!$F$6:$F$305,Packages!$C$6:$C$305,B25))</f>
        <v/>
      </c>
      <c r="L25" s="28">
        <f>IF(B25="","",IF(SUMIFS(Appointments!$K$6:$K$2005,Appointments!$D$6:$D$2005,B25)=0,"",SUMIFS(Appointments!$K$6:$K$2005,Appointments!$D$6:$D$2005,B25)))</f>
        <v/>
      </c>
      <c r="M25" s="38">
        <f>IF(OR(B25="",SUMIFS(Packages!$E$6:$E$305,Packages!$C$6:$C$305,B25)=0),"",SUMIFS(Packages!$E$6:$E$305,Packages!$C$6:$C$305,B25)-COUNTIFS(Appointments!$D$6:$D$2005,B25,Appointments!$J$6:$J$2005,"Package",Appointments!$F$6:$F$2005,"Done")+IF(Services!$I$6="Yes",COUNTIFS(Appointments!$D$6:$D$2005,B25,Appointments!$J$6:$J$2005,"Package",Appointments!$F$6:$F$2005,"No-show"),0))</f>
        <v/>
      </c>
      <c r="N25" s="18">
        <f>IF(OR(B25="",I25=""),"",IF(AND(J25="",TODAY()-I25&gt;=N(Services!$I$7)),"Not seen for "&amp;(TODAY()-I25)&amp;" days",""))</f>
        <v/>
      </c>
      <c r="O25" s="1">
        <f>IF(N(E25)=0,"",MONTH(E25))</f>
        <v/>
      </c>
    </row>
    <row r="26">
      <c r="A26" s="1" t="n"/>
      <c r="B26" s="35" t="inlineStr">
        <is>
          <t>Uma Nair</t>
        </is>
      </c>
      <c r="C26" s="32" t="inlineStr">
        <is>
          <t>555 0121</t>
        </is>
      </c>
      <c r="D26" s="32" t="n"/>
      <c r="E26" s="36" t="n"/>
      <c r="F26" s="30" t="n">
        <v>45386</v>
      </c>
      <c r="G26" s="32" t="n"/>
      <c r="H26" s="26">
        <f>IF(B26="","",COUNTIFS(Appointments!$D$6:$D$2005,B26,Appointments!$F$6:$F$2005,"Done"))</f>
        <v/>
      </c>
      <c r="I26" s="37">
        <f>IF(OR(B26="",N(H26)=0),"",INT(SUMIFS(Appointments!$M$6:$M$2005,Appointments!$D$6:$D$2005,B26,Appointments!$N$6:$N$2005,1)))</f>
        <v/>
      </c>
      <c r="J26" s="37">
        <f>IF(B26="","",IF(SUMIFS(Appointments!$M$6:$M$2005,Appointments!$D$6:$D$2005,B26,Appointments!$O$6:$O$2005,1)=0,"",INT(SUMIFS(Appointments!$M$6:$M$2005,Appointments!$D$6:$D$2005,B26,Appointments!$O$6:$O$2005,1))))</f>
        <v/>
      </c>
      <c r="K26" s="27">
        <f>IF(B26="","",SUMIFS(Appointments!$I$6:$I$2005,Appointments!$D$6:$D$2005,B26)+SUMIFS(Packages!$F$6:$F$305,Packages!$C$6:$C$305,B26))</f>
        <v/>
      </c>
      <c r="L26" s="28">
        <f>IF(B26="","",IF(SUMIFS(Appointments!$K$6:$K$2005,Appointments!$D$6:$D$2005,B26)=0,"",SUMIFS(Appointments!$K$6:$K$2005,Appointments!$D$6:$D$2005,B26)))</f>
        <v/>
      </c>
      <c r="M26" s="38">
        <f>IF(OR(B26="",SUMIFS(Packages!$E$6:$E$305,Packages!$C$6:$C$305,B26)=0),"",SUMIFS(Packages!$E$6:$E$305,Packages!$C$6:$C$305,B26)-COUNTIFS(Appointments!$D$6:$D$2005,B26,Appointments!$J$6:$J$2005,"Package",Appointments!$F$6:$F$2005,"Done")+IF(Services!$I$6="Yes",COUNTIFS(Appointments!$D$6:$D$2005,B26,Appointments!$J$6:$J$2005,"Package",Appointments!$F$6:$F$2005,"No-show"),0))</f>
        <v/>
      </c>
      <c r="N26" s="18">
        <f>IF(OR(B26="",I26=""),"",IF(AND(J26="",TODAY()-I26&gt;=N(Services!$I$7)),"Not seen for "&amp;(TODAY()-I26)&amp;" days",""))</f>
        <v/>
      </c>
      <c r="O26" s="1">
        <f>IF(N(E26)=0,"",MONTH(E26))</f>
        <v/>
      </c>
    </row>
    <row r="27">
      <c r="A27" s="1" t="n"/>
      <c r="B27" s="35" t="inlineStr">
        <is>
          <t>Victor Lane</t>
        </is>
      </c>
      <c r="C27" s="32" t="inlineStr">
        <is>
          <t>555 0122</t>
        </is>
      </c>
      <c r="D27" s="32" t="n"/>
      <c r="E27" s="36" t="n"/>
      <c r="F27" s="30" t="n">
        <v>45690</v>
      </c>
      <c r="G27" s="32" t="n"/>
      <c r="H27" s="26">
        <f>IF(B27="","",COUNTIFS(Appointments!$D$6:$D$2005,B27,Appointments!$F$6:$F$2005,"Done"))</f>
        <v/>
      </c>
      <c r="I27" s="37">
        <f>IF(OR(B27="",N(H27)=0),"",INT(SUMIFS(Appointments!$M$6:$M$2005,Appointments!$D$6:$D$2005,B27,Appointments!$N$6:$N$2005,1)))</f>
        <v/>
      </c>
      <c r="J27" s="37">
        <f>IF(B27="","",IF(SUMIFS(Appointments!$M$6:$M$2005,Appointments!$D$6:$D$2005,B27,Appointments!$O$6:$O$2005,1)=0,"",INT(SUMIFS(Appointments!$M$6:$M$2005,Appointments!$D$6:$D$2005,B27,Appointments!$O$6:$O$2005,1))))</f>
        <v/>
      </c>
      <c r="K27" s="27">
        <f>IF(B27="","",SUMIFS(Appointments!$I$6:$I$2005,Appointments!$D$6:$D$2005,B27)+SUMIFS(Packages!$F$6:$F$305,Packages!$C$6:$C$305,B27))</f>
        <v/>
      </c>
      <c r="L27" s="28">
        <f>IF(B27="","",IF(SUMIFS(Appointments!$K$6:$K$2005,Appointments!$D$6:$D$2005,B27)=0,"",SUMIFS(Appointments!$K$6:$K$2005,Appointments!$D$6:$D$2005,B27)))</f>
        <v/>
      </c>
      <c r="M27" s="38">
        <f>IF(OR(B27="",SUMIFS(Packages!$E$6:$E$305,Packages!$C$6:$C$305,B27)=0),"",SUMIFS(Packages!$E$6:$E$305,Packages!$C$6:$C$305,B27)-COUNTIFS(Appointments!$D$6:$D$2005,B27,Appointments!$J$6:$J$2005,"Package",Appointments!$F$6:$F$2005,"Done")+IF(Services!$I$6="Yes",COUNTIFS(Appointments!$D$6:$D$2005,B27,Appointments!$J$6:$J$2005,"Package",Appointments!$F$6:$F$2005,"No-show"),0))</f>
        <v/>
      </c>
      <c r="N27" s="18">
        <f>IF(OR(B27="",I27=""),"",IF(AND(J27="",TODAY()-I27&gt;=N(Services!$I$7)),"Not seen for "&amp;(TODAY()-I27)&amp;" days",""))</f>
        <v/>
      </c>
      <c r="O27" s="1">
        <f>IF(N(E27)=0,"",MONTH(E27))</f>
        <v/>
      </c>
    </row>
    <row r="28">
      <c r="A28" s="1" t="n"/>
      <c r="B28" s="35" t="inlineStr">
        <is>
          <t>Wendy Scott</t>
        </is>
      </c>
      <c r="C28" s="32" t="inlineStr">
        <is>
          <t>555 0123</t>
        </is>
      </c>
      <c r="D28" s="32" t="inlineStr">
        <is>
          <t>wendy.s@example.com</t>
        </is>
      </c>
      <c r="E28" s="36" t="n"/>
      <c r="F28" s="30" t="n">
        <v>44896</v>
      </c>
      <c r="G28" s="32" t="n"/>
      <c r="H28" s="26">
        <f>IF(B28="","",COUNTIFS(Appointments!$D$6:$D$2005,B28,Appointments!$F$6:$F$2005,"Done"))</f>
        <v/>
      </c>
      <c r="I28" s="37">
        <f>IF(OR(B28="",N(H28)=0),"",INT(SUMIFS(Appointments!$M$6:$M$2005,Appointments!$D$6:$D$2005,B28,Appointments!$N$6:$N$2005,1)))</f>
        <v/>
      </c>
      <c r="J28" s="37">
        <f>IF(B28="","",IF(SUMIFS(Appointments!$M$6:$M$2005,Appointments!$D$6:$D$2005,B28,Appointments!$O$6:$O$2005,1)=0,"",INT(SUMIFS(Appointments!$M$6:$M$2005,Appointments!$D$6:$D$2005,B28,Appointments!$O$6:$O$2005,1))))</f>
        <v/>
      </c>
      <c r="K28" s="27">
        <f>IF(B28="","",SUMIFS(Appointments!$I$6:$I$2005,Appointments!$D$6:$D$2005,B28)+SUMIFS(Packages!$F$6:$F$305,Packages!$C$6:$C$305,B28))</f>
        <v/>
      </c>
      <c r="L28" s="28">
        <f>IF(B28="","",IF(SUMIFS(Appointments!$K$6:$K$2005,Appointments!$D$6:$D$2005,B28)=0,"",SUMIFS(Appointments!$K$6:$K$2005,Appointments!$D$6:$D$2005,B28)))</f>
        <v/>
      </c>
      <c r="M28" s="38">
        <f>IF(OR(B28="",SUMIFS(Packages!$E$6:$E$305,Packages!$C$6:$C$305,B28)=0),"",SUMIFS(Packages!$E$6:$E$305,Packages!$C$6:$C$305,B28)-COUNTIFS(Appointments!$D$6:$D$2005,B28,Appointments!$J$6:$J$2005,"Package",Appointments!$F$6:$F$2005,"Done")+IF(Services!$I$6="Yes",COUNTIFS(Appointments!$D$6:$D$2005,B28,Appointments!$J$6:$J$2005,"Package",Appointments!$F$6:$F$2005,"No-show"),0))</f>
        <v/>
      </c>
      <c r="N28" s="18">
        <f>IF(OR(B28="",I28=""),"",IF(AND(J28="",TODAY()-I28&gt;=N(Services!$I$7)),"Not seen for "&amp;(TODAY()-I28)&amp;" days",""))</f>
        <v/>
      </c>
      <c r="O28" s="1">
        <f>IF(N(E28)=0,"",MONTH(E28))</f>
        <v/>
      </c>
    </row>
    <row r="29">
      <c r="A29" s="1" t="n"/>
      <c r="B29" s="35" t="inlineStr">
        <is>
          <t>Yara Haddad</t>
        </is>
      </c>
      <c r="C29" s="32" t="inlineStr">
        <is>
          <t>555 0124</t>
        </is>
      </c>
      <c r="D29" s="32" t="inlineStr">
        <is>
          <t>yara.h@example.com</t>
        </is>
      </c>
      <c r="E29" s="36" t="n"/>
      <c r="F29" s="30" t="n">
        <v>46270</v>
      </c>
      <c r="G29" s="32" t="inlineStr">
        <is>
          <t>New client, found us online</t>
        </is>
      </c>
      <c r="H29" s="26">
        <f>IF(B29="","",COUNTIFS(Appointments!$D$6:$D$2005,B29,Appointments!$F$6:$F$2005,"Done"))</f>
        <v/>
      </c>
      <c r="I29" s="37">
        <f>IF(OR(B29="",N(H29)=0),"",INT(SUMIFS(Appointments!$M$6:$M$2005,Appointments!$D$6:$D$2005,B29,Appointments!$N$6:$N$2005,1)))</f>
        <v/>
      </c>
      <c r="J29" s="37">
        <f>IF(B29="","",IF(SUMIFS(Appointments!$M$6:$M$2005,Appointments!$D$6:$D$2005,B29,Appointments!$O$6:$O$2005,1)=0,"",INT(SUMIFS(Appointments!$M$6:$M$2005,Appointments!$D$6:$D$2005,B29,Appointments!$O$6:$O$2005,1))))</f>
        <v/>
      </c>
      <c r="K29" s="27">
        <f>IF(B29="","",SUMIFS(Appointments!$I$6:$I$2005,Appointments!$D$6:$D$2005,B29)+SUMIFS(Packages!$F$6:$F$305,Packages!$C$6:$C$305,B29))</f>
        <v/>
      </c>
      <c r="L29" s="28">
        <f>IF(B29="","",IF(SUMIFS(Appointments!$K$6:$K$2005,Appointments!$D$6:$D$2005,B29)=0,"",SUMIFS(Appointments!$K$6:$K$2005,Appointments!$D$6:$D$2005,B29)))</f>
        <v/>
      </c>
      <c r="M29" s="38">
        <f>IF(OR(B29="",SUMIFS(Packages!$E$6:$E$305,Packages!$C$6:$C$305,B29)=0),"",SUMIFS(Packages!$E$6:$E$305,Packages!$C$6:$C$305,B29)-COUNTIFS(Appointments!$D$6:$D$2005,B29,Appointments!$J$6:$J$2005,"Package",Appointments!$F$6:$F$2005,"Done")+IF(Services!$I$6="Yes",COUNTIFS(Appointments!$D$6:$D$2005,B29,Appointments!$J$6:$J$2005,"Package",Appointments!$F$6:$F$2005,"No-show"),0))</f>
        <v/>
      </c>
      <c r="N29" s="18">
        <f>IF(OR(B29="",I29=""),"",IF(AND(J29="",TODAY()-I29&gt;=N(Services!$I$7)),"Not seen for "&amp;(TODAY()-I29)&amp;" days",""))</f>
        <v/>
      </c>
      <c r="O29" s="1">
        <f>IF(N(E29)=0,"",MONTH(E29))</f>
        <v/>
      </c>
    </row>
    <row r="30">
      <c r="A30" s="1" t="n"/>
      <c r="B30" s="35" t="inlineStr">
        <is>
          <t>Zoe Turner</t>
        </is>
      </c>
      <c r="C30" s="32" t="inlineStr">
        <is>
          <t>555 0125</t>
        </is>
      </c>
      <c r="D30" s="32" t="n"/>
      <c r="E30" s="36" t="n">
        <v>35920</v>
      </c>
      <c r="F30" s="30" t="n">
        <v>45473</v>
      </c>
      <c r="G30" s="32" t="n"/>
      <c r="H30" s="26">
        <f>IF(B30="","",COUNTIFS(Appointments!$D$6:$D$2005,B30,Appointments!$F$6:$F$2005,"Done"))</f>
        <v/>
      </c>
      <c r="I30" s="37">
        <f>IF(OR(B30="",N(H30)=0),"",INT(SUMIFS(Appointments!$M$6:$M$2005,Appointments!$D$6:$D$2005,B30,Appointments!$N$6:$N$2005,1)))</f>
        <v/>
      </c>
      <c r="J30" s="37">
        <f>IF(B30="","",IF(SUMIFS(Appointments!$M$6:$M$2005,Appointments!$D$6:$D$2005,B30,Appointments!$O$6:$O$2005,1)=0,"",INT(SUMIFS(Appointments!$M$6:$M$2005,Appointments!$D$6:$D$2005,B30,Appointments!$O$6:$O$2005,1))))</f>
        <v/>
      </c>
      <c r="K30" s="27">
        <f>IF(B30="","",SUMIFS(Appointments!$I$6:$I$2005,Appointments!$D$6:$D$2005,B30)+SUMIFS(Packages!$F$6:$F$305,Packages!$C$6:$C$305,B30))</f>
        <v/>
      </c>
      <c r="L30" s="28">
        <f>IF(B30="","",IF(SUMIFS(Appointments!$K$6:$K$2005,Appointments!$D$6:$D$2005,B30)=0,"",SUMIFS(Appointments!$K$6:$K$2005,Appointments!$D$6:$D$2005,B30)))</f>
        <v/>
      </c>
      <c r="M30" s="38">
        <f>IF(OR(B30="",SUMIFS(Packages!$E$6:$E$305,Packages!$C$6:$C$305,B30)=0),"",SUMIFS(Packages!$E$6:$E$305,Packages!$C$6:$C$305,B30)-COUNTIFS(Appointments!$D$6:$D$2005,B30,Appointments!$J$6:$J$2005,"Package",Appointments!$F$6:$F$2005,"Done")+IF(Services!$I$6="Yes",COUNTIFS(Appointments!$D$6:$D$2005,B30,Appointments!$J$6:$J$2005,"Package",Appointments!$F$6:$F$2005,"No-show"),0))</f>
        <v/>
      </c>
      <c r="N30" s="18">
        <f>IF(OR(B30="",I30=""),"",IF(AND(J30="",TODAY()-I30&gt;=N(Services!$I$7)),"Not seen for "&amp;(TODAY()-I30)&amp;" days",""))</f>
        <v/>
      </c>
      <c r="O30" s="1">
        <f>IF(N(E30)=0,"",MONTH(E30))</f>
        <v/>
      </c>
    </row>
    <row r="31">
      <c r="A31" s="1" t="n"/>
      <c r="B31" s="35" t="inlineStr">
        <is>
          <t>Sara Ward</t>
        </is>
      </c>
      <c r="C31" s="32" t="inlineStr">
        <is>
          <t>555 0225</t>
        </is>
      </c>
      <c r="D31" s="32" t="n"/>
      <c r="E31" s="36" t="n"/>
      <c r="F31" s="30" t="n">
        <v>44646</v>
      </c>
      <c r="G31" s="32" t="n"/>
      <c r="H31" s="26">
        <f>IF(B31="","",COUNTIFS(Appointments!$D$6:$D$2005,B31,Appointments!$F$6:$F$2005,"Done"))</f>
        <v/>
      </c>
      <c r="I31" s="37">
        <f>IF(OR(B31="",N(H31)=0),"",INT(SUMIFS(Appointments!$M$6:$M$2005,Appointments!$D$6:$D$2005,B31,Appointments!$N$6:$N$2005,1)))</f>
        <v/>
      </c>
      <c r="J31" s="37">
        <f>IF(B31="","",IF(SUMIFS(Appointments!$M$6:$M$2005,Appointments!$D$6:$D$2005,B31,Appointments!$O$6:$O$2005,1)=0,"",INT(SUMIFS(Appointments!$M$6:$M$2005,Appointments!$D$6:$D$2005,B31,Appointments!$O$6:$O$2005,1))))</f>
        <v/>
      </c>
      <c r="K31" s="27">
        <f>IF(B31="","",SUMIFS(Appointments!$I$6:$I$2005,Appointments!$D$6:$D$2005,B31)+SUMIFS(Packages!$F$6:$F$305,Packages!$C$6:$C$305,B31))</f>
        <v/>
      </c>
      <c r="L31" s="28">
        <f>IF(B31="","",IF(SUMIFS(Appointments!$K$6:$K$2005,Appointments!$D$6:$D$2005,B31)=0,"",SUMIFS(Appointments!$K$6:$K$2005,Appointments!$D$6:$D$2005,B31)))</f>
        <v/>
      </c>
      <c r="M31" s="38">
        <f>IF(OR(B31="",SUMIFS(Packages!$E$6:$E$305,Packages!$C$6:$C$305,B31)=0),"",SUMIFS(Packages!$E$6:$E$305,Packages!$C$6:$C$305,B31)-COUNTIFS(Appointments!$D$6:$D$2005,B31,Appointments!$J$6:$J$2005,"Package",Appointments!$F$6:$F$2005,"Done")+IF(Services!$I$6="Yes",COUNTIFS(Appointments!$D$6:$D$2005,B31,Appointments!$J$6:$J$2005,"Package",Appointments!$F$6:$F$2005,"No-show"),0))</f>
        <v/>
      </c>
      <c r="N31" s="18">
        <f>IF(OR(B31="",I31=""),"",IF(AND(J31="",TODAY()-I31&gt;=N(Services!$I$7)),"Not seen for "&amp;(TODAY()-I31)&amp;" days",""))</f>
        <v/>
      </c>
      <c r="O31" s="1">
        <f>IF(N(E31)=0,"",MONTH(E31))</f>
        <v/>
      </c>
    </row>
    <row r="32">
      <c r="A32" s="1" t="n"/>
      <c r="B32" s="35" t="inlineStr">
        <is>
          <t>Luke Hall</t>
        </is>
      </c>
      <c r="C32" s="32" t="inlineStr">
        <is>
          <t>555 0226</t>
        </is>
      </c>
      <c r="D32" s="32" t="inlineStr">
        <is>
          <t>luke.h@example.com</t>
        </is>
      </c>
      <c r="E32" s="36" t="n"/>
      <c r="F32" s="30" t="n">
        <v>44465</v>
      </c>
      <c r="G32" s="32" t="n"/>
      <c r="H32" s="26">
        <f>IF(B32="","",COUNTIFS(Appointments!$D$6:$D$2005,B32,Appointments!$F$6:$F$2005,"Done"))</f>
        <v/>
      </c>
      <c r="I32" s="37">
        <f>IF(OR(B32="",N(H32)=0),"",INT(SUMIFS(Appointments!$M$6:$M$2005,Appointments!$D$6:$D$2005,B32,Appointments!$N$6:$N$2005,1)))</f>
        <v/>
      </c>
      <c r="J32" s="37">
        <f>IF(B32="","",IF(SUMIFS(Appointments!$M$6:$M$2005,Appointments!$D$6:$D$2005,B32,Appointments!$O$6:$O$2005,1)=0,"",INT(SUMIFS(Appointments!$M$6:$M$2005,Appointments!$D$6:$D$2005,B32,Appointments!$O$6:$O$2005,1))))</f>
        <v/>
      </c>
      <c r="K32" s="27">
        <f>IF(B32="","",SUMIFS(Appointments!$I$6:$I$2005,Appointments!$D$6:$D$2005,B32)+SUMIFS(Packages!$F$6:$F$305,Packages!$C$6:$C$305,B32))</f>
        <v/>
      </c>
      <c r="L32" s="28">
        <f>IF(B32="","",IF(SUMIFS(Appointments!$K$6:$K$2005,Appointments!$D$6:$D$2005,B32)=0,"",SUMIFS(Appointments!$K$6:$K$2005,Appointments!$D$6:$D$2005,B32)))</f>
        <v/>
      </c>
      <c r="M32" s="38">
        <f>IF(OR(B32="",SUMIFS(Packages!$E$6:$E$305,Packages!$C$6:$C$305,B32)=0),"",SUMIFS(Packages!$E$6:$E$305,Packages!$C$6:$C$305,B32)-COUNTIFS(Appointments!$D$6:$D$2005,B32,Appointments!$J$6:$J$2005,"Package",Appointments!$F$6:$F$2005,"Done")+IF(Services!$I$6="Yes",COUNTIFS(Appointments!$D$6:$D$2005,B32,Appointments!$J$6:$J$2005,"Package",Appointments!$F$6:$F$2005,"No-show"),0))</f>
        <v/>
      </c>
      <c r="N32" s="18">
        <f>IF(OR(B32="",I32=""),"",IF(AND(J32="",TODAY()-I32&gt;=N(Services!$I$7)),"Not seen for "&amp;(TODAY()-I32)&amp;" days",""))</f>
        <v/>
      </c>
      <c r="O32" s="1">
        <f>IF(N(E32)=0,"",MONTH(E32))</f>
        <v/>
      </c>
    </row>
    <row r="33">
      <c r="A33" s="1" t="n"/>
      <c r="B33" s="35" t="inlineStr">
        <is>
          <t>Jon Reid</t>
        </is>
      </c>
      <c r="C33" s="32" t="inlineStr">
        <is>
          <t>555 0227</t>
        </is>
      </c>
      <c r="D33" s="32" t="n"/>
      <c r="E33" s="36" t="n"/>
      <c r="F33" s="30" t="n">
        <v>45967</v>
      </c>
      <c r="G33" s="32" t="n"/>
      <c r="H33" s="26">
        <f>IF(B33="","",COUNTIFS(Appointments!$D$6:$D$2005,B33,Appointments!$F$6:$F$2005,"Done"))</f>
        <v/>
      </c>
      <c r="I33" s="37">
        <f>IF(OR(B33="",N(H33)=0),"",INT(SUMIFS(Appointments!$M$6:$M$2005,Appointments!$D$6:$D$2005,B33,Appointments!$N$6:$N$2005,1)))</f>
        <v/>
      </c>
      <c r="J33" s="37">
        <f>IF(B33="","",IF(SUMIFS(Appointments!$M$6:$M$2005,Appointments!$D$6:$D$2005,B33,Appointments!$O$6:$O$2005,1)=0,"",INT(SUMIFS(Appointments!$M$6:$M$2005,Appointments!$D$6:$D$2005,B33,Appointments!$O$6:$O$2005,1))))</f>
        <v/>
      </c>
      <c r="K33" s="27">
        <f>IF(B33="","",SUMIFS(Appointments!$I$6:$I$2005,Appointments!$D$6:$D$2005,B33)+SUMIFS(Packages!$F$6:$F$305,Packages!$C$6:$C$305,B33))</f>
        <v/>
      </c>
      <c r="L33" s="28">
        <f>IF(B33="","",IF(SUMIFS(Appointments!$K$6:$K$2005,Appointments!$D$6:$D$2005,B33)=0,"",SUMIFS(Appointments!$K$6:$K$2005,Appointments!$D$6:$D$2005,B33)))</f>
        <v/>
      </c>
      <c r="M33" s="38">
        <f>IF(OR(B33="",SUMIFS(Packages!$E$6:$E$305,Packages!$C$6:$C$305,B33)=0),"",SUMIFS(Packages!$E$6:$E$305,Packages!$C$6:$C$305,B33)-COUNTIFS(Appointments!$D$6:$D$2005,B33,Appointments!$J$6:$J$2005,"Package",Appointments!$F$6:$F$2005,"Done")+IF(Services!$I$6="Yes",COUNTIFS(Appointments!$D$6:$D$2005,B33,Appointments!$J$6:$J$2005,"Package",Appointments!$F$6:$F$2005,"No-show"),0))</f>
        <v/>
      </c>
      <c r="N33" s="18">
        <f>IF(OR(B33="",I33=""),"",IF(AND(J33="",TODAY()-I33&gt;=N(Services!$I$7)),"Not seen for "&amp;(TODAY()-I33)&amp;" days",""))</f>
        <v/>
      </c>
      <c r="O33" s="1">
        <f>IF(N(E33)=0,"",MONTH(E33))</f>
        <v/>
      </c>
    </row>
    <row r="34">
      <c r="A34" s="1" t="n"/>
      <c r="B34" s="35" t="inlineStr">
        <is>
          <t>Eli Cole</t>
        </is>
      </c>
      <c r="C34" s="32" t="inlineStr">
        <is>
          <t>555 0228</t>
        </is>
      </c>
      <c r="D34" s="32" t="inlineStr">
        <is>
          <t>eli.c@example.com</t>
        </is>
      </c>
      <c r="E34" s="36" t="n">
        <v>29495</v>
      </c>
      <c r="F34" s="30" t="n">
        <v>45458</v>
      </c>
      <c r="G34" s="32" t="n"/>
      <c r="H34" s="26">
        <f>IF(B34="","",COUNTIFS(Appointments!$D$6:$D$2005,B34,Appointments!$F$6:$F$2005,"Done"))</f>
        <v/>
      </c>
      <c r="I34" s="37">
        <f>IF(OR(B34="",N(H34)=0),"",INT(SUMIFS(Appointments!$M$6:$M$2005,Appointments!$D$6:$D$2005,B34,Appointments!$N$6:$N$2005,1)))</f>
        <v/>
      </c>
      <c r="J34" s="37">
        <f>IF(B34="","",IF(SUMIFS(Appointments!$M$6:$M$2005,Appointments!$D$6:$D$2005,B34,Appointments!$O$6:$O$2005,1)=0,"",INT(SUMIFS(Appointments!$M$6:$M$2005,Appointments!$D$6:$D$2005,B34,Appointments!$O$6:$O$2005,1))))</f>
        <v/>
      </c>
      <c r="K34" s="27">
        <f>IF(B34="","",SUMIFS(Appointments!$I$6:$I$2005,Appointments!$D$6:$D$2005,B34)+SUMIFS(Packages!$F$6:$F$305,Packages!$C$6:$C$305,B34))</f>
        <v/>
      </c>
      <c r="L34" s="28">
        <f>IF(B34="","",IF(SUMIFS(Appointments!$K$6:$K$2005,Appointments!$D$6:$D$2005,B34)=0,"",SUMIFS(Appointments!$K$6:$K$2005,Appointments!$D$6:$D$2005,B34)))</f>
        <v/>
      </c>
      <c r="M34" s="38">
        <f>IF(OR(B34="",SUMIFS(Packages!$E$6:$E$305,Packages!$C$6:$C$305,B34)=0),"",SUMIFS(Packages!$E$6:$E$305,Packages!$C$6:$C$305,B34)-COUNTIFS(Appointments!$D$6:$D$2005,B34,Appointments!$J$6:$J$2005,"Package",Appointments!$F$6:$F$2005,"Done")+IF(Services!$I$6="Yes",COUNTIFS(Appointments!$D$6:$D$2005,B34,Appointments!$J$6:$J$2005,"Package",Appointments!$F$6:$F$2005,"No-show"),0))</f>
        <v/>
      </c>
      <c r="N34" s="18">
        <f>IF(OR(B34="",I34=""),"",IF(AND(J34="",TODAY()-I34&gt;=N(Services!$I$7)),"Not seen for "&amp;(TODAY()-I34)&amp;" days",""))</f>
        <v/>
      </c>
      <c r="O34" s="1">
        <f>IF(N(E34)=0,"",MONTH(E34))</f>
        <v/>
      </c>
    </row>
    <row r="35">
      <c r="A35" s="1" t="n"/>
      <c r="B35" s="35" t="inlineStr">
        <is>
          <t>Eli James</t>
        </is>
      </c>
      <c r="C35" s="32" t="inlineStr">
        <is>
          <t>555 0229</t>
        </is>
      </c>
      <c r="D35" s="32" t="n"/>
      <c r="E35" s="36" t="n"/>
      <c r="F35" s="30" t="n">
        <v>44429</v>
      </c>
      <c r="G35" s="32" t="n"/>
      <c r="H35" s="26">
        <f>IF(B35="","",COUNTIFS(Appointments!$D$6:$D$2005,B35,Appointments!$F$6:$F$2005,"Done"))</f>
        <v/>
      </c>
      <c r="I35" s="37">
        <f>IF(OR(B35="",N(H35)=0),"",INT(SUMIFS(Appointments!$M$6:$M$2005,Appointments!$D$6:$D$2005,B35,Appointments!$N$6:$N$2005,1)))</f>
        <v/>
      </c>
      <c r="J35" s="37">
        <f>IF(B35="","",IF(SUMIFS(Appointments!$M$6:$M$2005,Appointments!$D$6:$D$2005,B35,Appointments!$O$6:$O$2005,1)=0,"",INT(SUMIFS(Appointments!$M$6:$M$2005,Appointments!$D$6:$D$2005,B35,Appointments!$O$6:$O$2005,1))))</f>
        <v/>
      </c>
      <c r="K35" s="27">
        <f>IF(B35="","",SUMIFS(Appointments!$I$6:$I$2005,Appointments!$D$6:$D$2005,B35)+SUMIFS(Packages!$F$6:$F$305,Packages!$C$6:$C$305,B35))</f>
        <v/>
      </c>
      <c r="L35" s="28">
        <f>IF(B35="","",IF(SUMIFS(Appointments!$K$6:$K$2005,Appointments!$D$6:$D$2005,B35)=0,"",SUMIFS(Appointments!$K$6:$K$2005,Appointments!$D$6:$D$2005,B35)))</f>
        <v/>
      </c>
      <c r="M35" s="38">
        <f>IF(OR(B35="",SUMIFS(Packages!$E$6:$E$305,Packages!$C$6:$C$305,B35)=0),"",SUMIFS(Packages!$E$6:$E$305,Packages!$C$6:$C$305,B35)-COUNTIFS(Appointments!$D$6:$D$2005,B35,Appointments!$J$6:$J$2005,"Package",Appointments!$F$6:$F$2005,"Done")+IF(Services!$I$6="Yes",COUNTIFS(Appointments!$D$6:$D$2005,B35,Appointments!$J$6:$J$2005,"Package",Appointments!$F$6:$F$2005,"No-show"),0))</f>
        <v/>
      </c>
      <c r="N35" s="18">
        <f>IF(OR(B35="",I35=""),"",IF(AND(J35="",TODAY()-I35&gt;=N(Services!$I$7)),"Not seen for "&amp;(TODAY()-I35)&amp;" days",""))</f>
        <v/>
      </c>
      <c r="O35" s="1">
        <f>IF(N(E35)=0,"",MONTH(E35))</f>
        <v/>
      </c>
    </row>
    <row r="36">
      <c r="A36" s="1" t="n"/>
      <c r="B36" s="35" t="inlineStr">
        <is>
          <t>Paula Cook</t>
        </is>
      </c>
      <c r="C36" s="32" t="inlineStr">
        <is>
          <t>555 0230</t>
        </is>
      </c>
      <c r="D36" s="32" t="n"/>
      <c r="E36" s="36" t="n"/>
      <c r="F36" s="30" t="n">
        <v>44814</v>
      </c>
      <c r="G36" s="32" t="n"/>
      <c r="H36" s="26">
        <f>IF(B36="","",COUNTIFS(Appointments!$D$6:$D$2005,B36,Appointments!$F$6:$F$2005,"Done"))</f>
        <v/>
      </c>
      <c r="I36" s="37">
        <f>IF(OR(B36="",N(H36)=0),"",INT(SUMIFS(Appointments!$M$6:$M$2005,Appointments!$D$6:$D$2005,B36,Appointments!$N$6:$N$2005,1)))</f>
        <v/>
      </c>
      <c r="J36" s="37">
        <f>IF(B36="","",IF(SUMIFS(Appointments!$M$6:$M$2005,Appointments!$D$6:$D$2005,B36,Appointments!$O$6:$O$2005,1)=0,"",INT(SUMIFS(Appointments!$M$6:$M$2005,Appointments!$D$6:$D$2005,B36,Appointments!$O$6:$O$2005,1))))</f>
        <v/>
      </c>
      <c r="K36" s="27">
        <f>IF(B36="","",SUMIFS(Appointments!$I$6:$I$2005,Appointments!$D$6:$D$2005,B36)+SUMIFS(Packages!$F$6:$F$305,Packages!$C$6:$C$305,B36))</f>
        <v/>
      </c>
      <c r="L36" s="28">
        <f>IF(B36="","",IF(SUMIFS(Appointments!$K$6:$K$2005,Appointments!$D$6:$D$2005,B36)=0,"",SUMIFS(Appointments!$K$6:$K$2005,Appointments!$D$6:$D$2005,B36)))</f>
        <v/>
      </c>
      <c r="M36" s="38">
        <f>IF(OR(B36="",SUMIFS(Packages!$E$6:$E$305,Packages!$C$6:$C$305,B36)=0),"",SUMIFS(Packages!$E$6:$E$305,Packages!$C$6:$C$305,B36)-COUNTIFS(Appointments!$D$6:$D$2005,B36,Appointments!$J$6:$J$2005,"Package",Appointments!$F$6:$F$2005,"Done")+IF(Services!$I$6="Yes",COUNTIFS(Appointments!$D$6:$D$2005,B36,Appointments!$J$6:$J$2005,"Package",Appointments!$F$6:$F$2005,"No-show"),0))</f>
        <v/>
      </c>
      <c r="N36" s="18">
        <f>IF(OR(B36="",I36=""),"",IF(AND(J36="",TODAY()-I36&gt;=N(Services!$I$7)),"Not seen for "&amp;(TODAY()-I36)&amp;" days",""))</f>
        <v/>
      </c>
      <c r="O36" s="1">
        <f>IF(N(E36)=0,"",MONTH(E36))</f>
        <v/>
      </c>
    </row>
    <row r="37">
      <c r="A37" s="1" t="n"/>
      <c r="B37" s="35" t="inlineStr">
        <is>
          <t>Harry Cox</t>
        </is>
      </c>
      <c r="C37" s="32" t="inlineStr">
        <is>
          <t>555 0231</t>
        </is>
      </c>
      <c r="D37" s="32" t="n"/>
      <c r="E37" s="36" t="n"/>
      <c r="F37" s="30" t="n">
        <v>45323</v>
      </c>
      <c r="G37" s="32" t="n"/>
      <c r="H37" s="26">
        <f>IF(B37="","",COUNTIFS(Appointments!$D$6:$D$2005,B37,Appointments!$F$6:$F$2005,"Done"))</f>
        <v/>
      </c>
      <c r="I37" s="37">
        <f>IF(OR(B37="",N(H37)=0),"",INT(SUMIFS(Appointments!$M$6:$M$2005,Appointments!$D$6:$D$2005,B37,Appointments!$N$6:$N$2005,1)))</f>
        <v/>
      </c>
      <c r="J37" s="37">
        <f>IF(B37="","",IF(SUMIFS(Appointments!$M$6:$M$2005,Appointments!$D$6:$D$2005,B37,Appointments!$O$6:$O$2005,1)=0,"",INT(SUMIFS(Appointments!$M$6:$M$2005,Appointments!$D$6:$D$2005,B37,Appointments!$O$6:$O$2005,1))))</f>
        <v/>
      </c>
      <c r="K37" s="27">
        <f>IF(B37="","",SUMIFS(Appointments!$I$6:$I$2005,Appointments!$D$6:$D$2005,B37)+SUMIFS(Packages!$F$6:$F$305,Packages!$C$6:$C$305,B37))</f>
        <v/>
      </c>
      <c r="L37" s="28">
        <f>IF(B37="","",IF(SUMIFS(Appointments!$K$6:$K$2005,Appointments!$D$6:$D$2005,B37)=0,"",SUMIFS(Appointments!$K$6:$K$2005,Appointments!$D$6:$D$2005,B37)))</f>
        <v/>
      </c>
      <c r="M37" s="38">
        <f>IF(OR(B37="",SUMIFS(Packages!$E$6:$E$305,Packages!$C$6:$C$305,B37)=0),"",SUMIFS(Packages!$E$6:$E$305,Packages!$C$6:$C$305,B37)-COUNTIFS(Appointments!$D$6:$D$2005,B37,Appointments!$J$6:$J$2005,"Package",Appointments!$F$6:$F$2005,"Done")+IF(Services!$I$6="Yes",COUNTIFS(Appointments!$D$6:$D$2005,B37,Appointments!$J$6:$J$2005,"Package",Appointments!$F$6:$F$2005,"No-show"),0))</f>
        <v/>
      </c>
      <c r="N37" s="18">
        <f>IF(OR(B37="",I37=""),"",IF(AND(J37="",TODAY()-I37&gt;=N(Services!$I$7)),"Not seen for "&amp;(TODAY()-I37)&amp;" days",""))</f>
        <v/>
      </c>
      <c r="O37" s="1">
        <f>IF(N(E37)=0,"",MONTH(E37))</f>
        <v/>
      </c>
    </row>
    <row r="38">
      <c r="A38" s="1" t="n"/>
      <c r="B38" s="35" t="inlineStr">
        <is>
          <t>Amy Hughes</t>
        </is>
      </c>
      <c r="C38" s="32" t="inlineStr">
        <is>
          <t>555 0232</t>
        </is>
      </c>
      <c r="D38" s="32" t="n"/>
      <c r="E38" s="36" t="n">
        <v>32855</v>
      </c>
      <c r="F38" s="30" t="n">
        <v>45341</v>
      </c>
      <c r="G38" s="32" t="n"/>
      <c r="H38" s="26">
        <f>IF(B38="","",COUNTIFS(Appointments!$D$6:$D$2005,B38,Appointments!$F$6:$F$2005,"Done"))</f>
        <v/>
      </c>
      <c r="I38" s="37">
        <f>IF(OR(B38="",N(H38)=0),"",INT(SUMIFS(Appointments!$M$6:$M$2005,Appointments!$D$6:$D$2005,B38,Appointments!$N$6:$N$2005,1)))</f>
        <v/>
      </c>
      <c r="J38" s="37">
        <f>IF(B38="","",IF(SUMIFS(Appointments!$M$6:$M$2005,Appointments!$D$6:$D$2005,B38,Appointments!$O$6:$O$2005,1)=0,"",INT(SUMIFS(Appointments!$M$6:$M$2005,Appointments!$D$6:$D$2005,B38,Appointments!$O$6:$O$2005,1))))</f>
        <v/>
      </c>
      <c r="K38" s="27">
        <f>IF(B38="","",SUMIFS(Appointments!$I$6:$I$2005,Appointments!$D$6:$D$2005,B38)+SUMIFS(Packages!$F$6:$F$305,Packages!$C$6:$C$305,B38))</f>
        <v/>
      </c>
      <c r="L38" s="28">
        <f>IF(B38="","",IF(SUMIFS(Appointments!$K$6:$K$2005,Appointments!$D$6:$D$2005,B38)=0,"",SUMIFS(Appointments!$K$6:$K$2005,Appointments!$D$6:$D$2005,B38)))</f>
        <v/>
      </c>
      <c r="M38" s="38">
        <f>IF(OR(B38="",SUMIFS(Packages!$E$6:$E$305,Packages!$C$6:$C$305,B38)=0),"",SUMIFS(Packages!$E$6:$E$305,Packages!$C$6:$C$305,B38)-COUNTIFS(Appointments!$D$6:$D$2005,B38,Appointments!$J$6:$J$2005,"Package",Appointments!$F$6:$F$2005,"Done")+IF(Services!$I$6="Yes",COUNTIFS(Appointments!$D$6:$D$2005,B38,Appointments!$J$6:$J$2005,"Package",Appointments!$F$6:$F$2005,"No-show"),0))</f>
        <v/>
      </c>
      <c r="N38" s="18">
        <f>IF(OR(B38="",I38=""),"",IF(AND(J38="",TODAY()-I38&gt;=N(Services!$I$7)),"Not seen for "&amp;(TODAY()-I38)&amp;" days",""))</f>
        <v/>
      </c>
      <c r="O38" s="1">
        <f>IF(N(E38)=0,"",MONTH(E38))</f>
        <v/>
      </c>
    </row>
    <row r="39">
      <c r="A39" s="1" t="n"/>
      <c r="B39" s="35" t="inlineStr">
        <is>
          <t>Owen Lewis</t>
        </is>
      </c>
      <c r="C39" s="32" t="inlineStr">
        <is>
          <t>555 0233</t>
        </is>
      </c>
      <c r="D39" s="32" t="inlineStr">
        <is>
          <t>owen.l@example.com</t>
        </is>
      </c>
      <c r="E39" s="36" t="n"/>
      <c r="F39" s="30" t="n">
        <v>44402</v>
      </c>
      <c r="G39" s="32" t="n"/>
      <c r="H39" s="26">
        <f>IF(B39="","",COUNTIFS(Appointments!$D$6:$D$2005,B39,Appointments!$F$6:$F$2005,"Done"))</f>
        <v/>
      </c>
      <c r="I39" s="37">
        <f>IF(OR(B39="",N(H39)=0),"",INT(SUMIFS(Appointments!$M$6:$M$2005,Appointments!$D$6:$D$2005,B39,Appointments!$N$6:$N$2005,1)))</f>
        <v/>
      </c>
      <c r="J39" s="37">
        <f>IF(B39="","",IF(SUMIFS(Appointments!$M$6:$M$2005,Appointments!$D$6:$D$2005,B39,Appointments!$O$6:$O$2005,1)=0,"",INT(SUMIFS(Appointments!$M$6:$M$2005,Appointments!$D$6:$D$2005,B39,Appointments!$O$6:$O$2005,1))))</f>
        <v/>
      </c>
      <c r="K39" s="27">
        <f>IF(B39="","",SUMIFS(Appointments!$I$6:$I$2005,Appointments!$D$6:$D$2005,B39)+SUMIFS(Packages!$F$6:$F$305,Packages!$C$6:$C$305,B39))</f>
        <v/>
      </c>
      <c r="L39" s="28">
        <f>IF(B39="","",IF(SUMIFS(Appointments!$K$6:$K$2005,Appointments!$D$6:$D$2005,B39)=0,"",SUMIFS(Appointments!$K$6:$K$2005,Appointments!$D$6:$D$2005,B39)))</f>
        <v/>
      </c>
      <c r="M39" s="38">
        <f>IF(OR(B39="",SUMIFS(Packages!$E$6:$E$305,Packages!$C$6:$C$305,B39)=0),"",SUMIFS(Packages!$E$6:$E$305,Packages!$C$6:$C$305,B39)-COUNTIFS(Appointments!$D$6:$D$2005,B39,Appointments!$J$6:$J$2005,"Package",Appointments!$F$6:$F$2005,"Done")+IF(Services!$I$6="Yes",COUNTIFS(Appointments!$D$6:$D$2005,B39,Appointments!$J$6:$J$2005,"Package",Appointments!$F$6:$F$2005,"No-show"),0))</f>
        <v/>
      </c>
      <c r="N39" s="18">
        <f>IF(OR(B39="",I39=""),"",IF(AND(J39="",TODAY()-I39&gt;=N(Services!$I$7)),"Not seen for "&amp;(TODAY()-I39)&amp;" days",""))</f>
        <v/>
      </c>
      <c r="O39" s="1">
        <f>IF(N(E39)=0,"",MONTH(E39))</f>
        <v/>
      </c>
    </row>
    <row r="40">
      <c r="A40" s="1" t="n"/>
      <c r="B40" s="35" t="inlineStr">
        <is>
          <t>Hannah Kelly</t>
        </is>
      </c>
      <c r="C40" s="32" t="inlineStr">
        <is>
          <t>555 0234</t>
        </is>
      </c>
      <c r="D40" s="32" t="n"/>
      <c r="E40" s="36" t="n">
        <v>34552</v>
      </c>
      <c r="F40" s="30" t="n">
        <v>45762</v>
      </c>
      <c r="G40" s="32" t="n"/>
      <c r="H40" s="26">
        <f>IF(B40="","",COUNTIFS(Appointments!$D$6:$D$2005,B40,Appointments!$F$6:$F$2005,"Done"))</f>
        <v/>
      </c>
      <c r="I40" s="37">
        <f>IF(OR(B40="",N(H40)=0),"",INT(SUMIFS(Appointments!$M$6:$M$2005,Appointments!$D$6:$D$2005,B40,Appointments!$N$6:$N$2005,1)))</f>
        <v/>
      </c>
      <c r="J40" s="37">
        <f>IF(B40="","",IF(SUMIFS(Appointments!$M$6:$M$2005,Appointments!$D$6:$D$2005,B40,Appointments!$O$6:$O$2005,1)=0,"",INT(SUMIFS(Appointments!$M$6:$M$2005,Appointments!$D$6:$D$2005,B40,Appointments!$O$6:$O$2005,1))))</f>
        <v/>
      </c>
      <c r="K40" s="27">
        <f>IF(B40="","",SUMIFS(Appointments!$I$6:$I$2005,Appointments!$D$6:$D$2005,B40)+SUMIFS(Packages!$F$6:$F$305,Packages!$C$6:$C$305,B40))</f>
        <v/>
      </c>
      <c r="L40" s="28">
        <f>IF(B40="","",IF(SUMIFS(Appointments!$K$6:$K$2005,Appointments!$D$6:$D$2005,B40)=0,"",SUMIFS(Appointments!$K$6:$K$2005,Appointments!$D$6:$D$2005,B40)))</f>
        <v/>
      </c>
      <c r="M40" s="38">
        <f>IF(OR(B40="",SUMIFS(Packages!$E$6:$E$305,Packages!$C$6:$C$305,B40)=0),"",SUMIFS(Packages!$E$6:$E$305,Packages!$C$6:$C$305,B40)-COUNTIFS(Appointments!$D$6:$D$2005,B40,Appointments!$J$6:$J$2005,"Package",Appointments!$F$6:$F$2005,"Done")+IF(Services!$I$6="Yes",COUNTIFS(Appointments!$D$6:$D$2005,B40,Appointments!$J$6:$J$2005,"Package",Appointments!$F$6:$F$2005,"No-show"),0))</f>
        <v/>
      </c>
      <c r="N40" s="18">
        <f>IF(OR(B40="",I40=""),"",IF(AND(J40="",TODAY()-I40&gt;=N(Services!$I$7)),"Not seen for "&amp;(TODAY()-I40)&amp;" days",""))</f>
        <v/>
      </c>
      <c r="O40" s="1">
        <f>IF(N(E40)=0,"",MONTH(E40))</f>
        <v/>
      </c>
    </row>
    <row r="41">
      <c r="A41" s="1" t="n"/>
      <c r="B41" s="35" t="inlineStr">
        <is>
          <t>Tom Ellis</t>
        </is>
      </c>
      <c r="C41" s="32" t="inlineStr">
        <is>
          <t>555 0235</t>
        </is>
      </c>
      <c r="D41" s="32" t="n"/>
      <c r="E41" s="36" t="n"/>
      <c r="F41" s="30" t="n">
        <v>45480</v>
      </c>
      <c r="G41" s="32" t="n"/>
      <c r="H41" s="26">
        <f>IF(B41="","",COUNTIFS(Appointments!$D$6:$D$2005,B41,Appointments!$F$6:$F$2005,"Done"))</f>
        <v/>
      </c>
      <c r="I41" s="37">
        <f>IF(OR(B41="",N(H41)=0),"",INT(SUMIFS(Appointments!$M$6:$M$2005,Appointments!$D$6:$D$2005,B41,Appointments!$N$6:$N$2005,1)))</f>
        <v/>
      </c>
      <c r="J41" s="37">
        <f>IF(B41="","",IF(SUMIFS(Appointments!$M$6:$M$2005,Appointments!$D$6:$D$2005,B41,Appointments!$O$6:$O$2005,1)=0,"",INT(SUMIFS(Appointments!$M$6:$M$2005,Appointments!$D$6:$D$2005,B41,Appointments!$O$6:$O$2005,1))))</f>
        <v/>
      </c>
      <c r="K41" s="27">
        <f>IF(B41="","",SUMIFS(Appointments!$I$6:$I$2005,Appointments!$D$6:$D$2005,B41)+SUMIFS(Packages!$F$6:$F$305,Packages!$C$6:$C$305,B41))</f>
        <v/>
      </c>
      <c r="L41" s="28">
        <f>IF(B41="","",IF(SUMIFS(Appointments!$K$6:$K$2005,Appointments!$D$6:$D$2005,B41)=0,"",SUMIFS(Appointments!$K$6:$K$2005,Appointments!$D$6:$D$2005,B41)))</f>
        <v/>
      </c>
      <c r="M41" s="38">
        <f>IF(OR(B41="",SUMIFS(Packages!$E$6:$E$305,Packages!$C$6:$C$305,B41)=0),"",SUMIFS(Packages!$E$6:$E$305,Packages!$C$6:$C$305,B41)-COUNTIFS(Appointments!$D$6:$D$2005,B41,Appointments!$J$6:$J$2005,"Package",Appointments!$F$6:$F$2005,"Done")+IF(Services!$I$6="Yes",COUNTIFS(Appointments!$D$6:$D$2005,B41,Appointments!$J$6:$J$2005,"Package",Appointments!$F$6:$F$2005,"No-show"),0))</f>
        <v/>
      </c>
      <c r="N41" s="18">
        <f>IF(OR(B41="",I41=""),"",IF(AND(J41="",TODAY()-I41&gt;=N(Services!$I$7)),"Not seen for "&amp;(TODAY()-I41)&amp;" days",""))</f>
        <v/>
      </c>
      <c r="O41" s="1">
        <f>IF(N(E41)=0,"",MONTH(E41))</f>
        <v/>
      </c>
    </row>
    <row r="42">
      <c r="A42" s="1" t="n"/>
      <c r="B42" s="35" t="inlineStr">
        <is>
          <t>Eva Mills</t>
        </is>
      </c>
      <c r="C42" s="32" t="inlineStr">
        <is>
          <t>555 0236</t>
        </is>
      </c>
      <c r="D42" s="32" t="n"/>
      <c r="E42" s="36" t="n">
        <v>27969</v>
      </c>
      <c r="F42" s="30" t="n">
        <v>45980</v>
      </c>
      <c r="G42" s="32" t="n"/>
      <c r="H42" s="26">
        <f>IF(B42="","",COUNTIFS(Appointments!$D$6:$D$2005,B42,Appointments!$F$6:$F$2005,"Done"))</f>
        <v/>
      </c>
      <c r="I42" s="37">
        <f>IF(OR(B42="",N(H42)=0),"",INT(SUMIFS(Appointments!$M$6:$M$2005,Appointments!$D$6:$D$2005,B42,Appointments!$N$6:$N$2005,1)))</f>
        <v/>
      </c>
      <c r="J42" s="37">
        <f>IF(B42="","",IF(SUMIFS(Appointments!$M$6:$M$2005,Appointments!$D$6:$D$2005,B42,Appointments!$O$6:$O$2005,1)=0,"",INT(SUMIFS(Appointments!$M$6:$M$2005,Appointments!$D$6:$D$2005,B42,Appointments!$O$6:$O$2005,1))))</f>
        <v/>
      </c>
      <c r="K42" s="27">
        <f>IF(B42="","",SUMIFS(Appointments!$I$6:$I$2005,Appointments!$D$6:$D$2005,B42)+SUMIFS(Packages!$F$6:$F$305,Packages!$C$6:$C$305,B42))</f>
        <v/>
      </c>
      <c r="L42" s="28">
        <f>IF(B42="","",IF(SUMIFS(Appointments!$K$6:$K$2005,Appointments!$D$6:$D$2005,B42)=0,"",SUMIFS(Appointments!$K$6:$K$2005,Appointments!$D$6:$D$2005,B42)))</f>
        <v/>
      </c>
      <c r="M42" s="38">
        <f>IF(OR(B42="",SUMIFS(Packages!$E$6:$E$305,Packages!$C$6:$C$305,B42)=0),"",SUMIFS(Packages!$E$6:$E$305,Packages!$C$6:$C$305,B42)-COUNTIFS(Appointments!$D$6:$D$2005,B42,Appointments!$J$6:$J$2005,"Package",Appointments!$F$6:$F$2005,"Done")+IF(Services!$I$6="Yes",COUNTIFS(Appointments!$D$6:$D$2005,B42,Appointments!$J$6:$J$2005,"Package",Appointments!$F$6:$F$2005,"No-show"),0))</f>
        <v/>
      </c>
      <c r="N42" s="18">
        <f>IF(OR(B42="",I42=""),"",IF(AND(J42="",TODAY()-I42&gt;=N(Services!$I$7)),"Not seen for "&amp;(TODAY()-I42)&amp;" days",""))</f>
        <v/>
      </c>
      <c r="O42" s="1">
        <f>IF(N(E42)=0,"",MONTH(E42))</f>
        <v/>
      </c>
    </row>
    <row r="43">
      <c r="A43" s="1" t="n"/>
      <c r="B43" s="35" t="inlineStr">
        <is>
          <t>Jade Hughes</t>
        </is>
      </c>
      <c r="C43" s="32" t="inlineStr">
        <is>
          <t>555 0237</t>
        </is>
      </c>
      <c r="D43" s="32" t="n"/>
      <c r="E43" s="36" t="n">
        <v>38165</v>
      </c>
      <c r="F43" s="30" t="n">
        <v>45110</v>
      </c>
      <c r="G43" s="32" t="n"/>
      <c r="H43" s="26">
        <f>IF(B43="","",COUNTIFS(Appointments!$D$6:$D$2005,B43,Appointments!$F$6:$F$2005,"Done"))</f>
        <v/>
      </c>
      <c r="I43" s="37">
        <f>IF(OR(B43="",N(H43)=0),"",INT(SUMIFS(Appointments!$M$6:$M$2005,Appointments!$D$6:$D$2005,B43,Appointments!$N$6:$N$2005,1)))</f>
        <v/>
      </c>
      <c r="J43" s="37">
        <f>IF(B43="","",IF(SUMIFS(Appointments!$M$6:$M$2005,Appointments!$D$6:$D$2005,B43,Appointments!$O$6:$O$2005,1)=0,"",INT(SUMIFS(Appointments!$M$6:$M$2005,Appointments!$D$6:$D$2005,B43,Appointments!$O$6:$O$2005,1))))</f>
        <v/>
      </c>
      <c r="K43" s="27">
        <f>IF(B43="","",SUMIFS(Appointments!$I$6:$I$2005,Appointments!$D$6:$D$2005,B43)+SUMIFS(Packages!$F$6:$F$305,Packages!$C$6:$C$305,B43))</f>
        <v/>
      </c>
      <c r="L43" s="28">
        <f>IF(B43="","",IF(SUMIFS(Appointments!$K$6:$K$2005,Appointments!$D$6:$D$2005,B43)=0,"",SUMIFS(Appointments!$K$6:$K$2005,Appointments!$D$6:$D$2005,B43)))</f>
        <v/>
      </c>
      <c r="M43" s="38">
        <f>IF(OR(B43="",SUMIFS(Packages!$E$6:$E$305,Packages!$C$6:$C$305,B43)=0),"",SUMIFS(Packages!$E$6:$E$305,Packages!$C$6:$C$305,B43)-COUNTIFS(Appointments!$D$6:$D$2005,B43,Appointments!$J$6:$J$2005,"Package",Appointments!$F$6:$F$2005,"Done")+IF(Services!$I$6="Yes",COUNTIFS(Appointments!$D$6:$D$2005,B43,Appointments!$J$6:$J$2005,"Package",Appointments!$F$6:$F$2005,"No-show"),0))</f>
        <v/>
      </c>
      <c r="N43" s="18">
        <f>IF(OR(B43="",I43=""),"",IF(AND(J43="",TODAY()-I43&gt;=N(Services!$I$7)),"Not seen for "&amp;(TODAY()-I43)&amp;" days",""))</f>
        <v/>
      </c>
      <c r="O43" s="1">
        <f>IF(N(E43)=0,"",MONTH(E43))</f>
        <v/>
      </c>
    </row>
    <row r="44">
      <c r="A44" s="1" t="n"/>
      <c r="B44" s="35" t="inlineStr">
        <is>
          <t>Amy Kelly</t>
        </is>
      </c>
      <c r="C44" s="32" t="inlineStr">
        <is>
          <t>555 0238</t>
        </is>
      </c>
      <c r="D44" s="32" t="inlineStr">
        <is>
          <t>amy.k@example.com</t>
        </is>
      </c>
      <c r="E44" s="36" t="n"/>
      <c r="F44" s="30" t="n">
        <v>45874</v>
      </c>
      <c r="G44" s="32" t="n"/>
      <c r="H44" s="26">
        <f>IF(B44="","",COUNTIFS(Appointments!$D$6:$D$2005,B44,Appointments!$F$6:$F$2005,"Done"))</f>
        <v/>
      </c>
      <c r="I44" s="37">
        <f>IF(OR(B44="",N(H44)=0),"",INT(SUMIFS(Appointments!$M$6:$M$2005,Appointments!$D$6:$D$2005,B44,Appointments!$N$6:$N$2005,1)))</f>
        <v/>
      </c>
      <c r="J44" s="37">
        <f>IF(B44="","",IF(SUMIFS(Appointments!$M$6:$M$2005,Appointments!$D$6:$D$2005,B44,Appointments!$O$6:$O$2005,1)=0,"",INT(SUMIFS(Appointments!$M$6:$M$2005,Appointments!$D$6:$D$2005,B44,Appointments!$O$6:$O$2005,1))))</f>
        <v/>
      </c>
      <c r="K44" s="27">
        <f>IF(B44="","",SUMIFS(Appointments!$I$6:$I$2005,Appointments!$D$6:$D$2005,B44)+SUMIFS(Packages!$F$6:$F$305,Packages!$C$6:$C$305,B44))</f>
        <v/>
      </c>
      <c r="L44" s="28">
        <f>IF(B44="","",IF(SUMIFS(Appointments!$K$6:$K$2005,Appointments!$D$6:$D$2005,B44)=0,"",SUMIFS(Appointments!$K$6:$K$2005,Appointments!$D$6:$D$2005,B44)))</f>
        <v/>
      </c>
      <c r="M44" s="38">
        <f>IF(OR(B44="",SUMIFS(Packages!$E$6:$E$305,Packages!$C$6:$C$305,B44)=0),"",SUMIFS(Packages!$E$6:$E$305,Packages!$C$6:$C$305,B44)-COUNTIFS(Appointments!$D$6:$D$2005,B44,Appointments!$J$6:$J$2005,"Package",Appointments!$F$6:$F$2005,"Done")+IF(Services!$I$6="Yes",COUNTIFS(Appointments!$D$6:$D$2005,B44,Appointments!$J$6:$J$2005,"Package",Appointments!$F$6:$F$2005,"No-show"),0))</f>
        <v/>
      </c>
      <c r="N44" s="18">
        <f>IF(OR(B44="",I44=""),"",IF(AND(J44="",TODAY()-I44&gt;=N(Services!$I$7)),"Not seen for "&amp;(TODAY()-I44)&amp;" days",""))</f>
        <v/>
      </c>
      <c r="O44" s="1">
        <f>IF(N(E44)=0,"",MONTH(E44))</f>
        <v/>
      </c>
    </row>
    <row r="45">
      <c r="A45" s="1" t="n"/>
      <c r="B45" s="35" t="inlineStr">
        <is>
          <t>Harry Ellis</t>
        </is>
      </c>
      <c r="C45" s="32" t="inlineStr">
        <is>
          <t>555 0239</t>
        </is>
      </c>
      <c r="D45" s="32" t="n"/>
      <c r="E45" s="36" t="n">
        <v>27157</v>
      </c>
      <c r="F45" s="30" t="n">
        <v>45771</v>
      </c>
      <c r="G45" s="32" t="n"/>
      <c r="H45" s="26">
        <f>IF(B45="","",COUNTIFS(Appointments!$D$6:$D$2005,B45,Appointments!$F$6:$F$2005,"Done"))</f>
        <v/>
      </c>
      <c r="I45" s="37">
        <f>IF(OR(B45="",N(H45)=0),"",INT(SUMIFS(Appointments!$M$6:$M$2005,Appointments!$D$6:$D$2005,B45,Appointments!$N$6:$N$2005,1)))</f>
        <v/>
      </c>
      <c r="J45" s="37">
        <f>IF(B45="","",IF(SUMIFS(Appointments!$M$6:$M$2005,Appointments!$D$6:$D$2005,B45,Appointments!$O$6:$O$2005,1)=0,"",INT(SUMIFS(Appointments!$M$6:$M$2005,Appointments!$D$6:$D$2005,B45,Appointments!$O$6:$O$2005,1))))</f>
        <v/>
      </c>
      <c r="K45" s="27">
        <f>IF(B45="","",SUMIFS(Appointments!$I$6:$I$2005,Appointments!$D$6:$D$2005,B45)+SUMIFS(Packages!$F$6:$F$305,Packages!$C$6:$C$305,B45))</f>
        <v/>
      </c>
      <c r="L45" s="28">
        <f>IF(B45="","",IF(SUMIFS(Appointments!$K$6:$K$2005,Appointments!$D$6:$D$2005,B45)=0,"",SUMIFS(Appointments!$K$6:$K$2005,Appointments!$D$6:$D$2005,B45)))</f>
        <v/>
      </c>
      <c r="M45" s="38">
        <f>IF(OR(B45="",SUMIFS(Packages!$E$6:$E$305,Packages!$C$6:$C$305,B45)=0),"",SUMIFS(Packages!$E$6:$E$305,Packages!$C$6:$C$305,B45)-COUNTIFS(Appointments!$D$6:$D$2005,B45,Appointments!$J$6:$J$2005,"Package",Appointments!$F$6:$F$2005,"Done")+IF(Services!$I$6="Yes",COUNTIFS(Appointments!$D$6:$D$2005,B45,Appointments!$J$6:$J$2005,"Package",Appointments!$F$6:$F$2005,"No-show"),0))</f>
        <v/>
      </c>
      <c r="N45" s="18">
        <f>IF(OR(B45="",I45=""),"",IF(AND(J45="",TODAY()-I45&gt;=N(Services!$I$7)),"Not seen for "&amp;(TODAY()-I45)&amp;" days",""))</f>
        <v/>
      </c>
      <c r="O45" s="1">
        <f>IF(N(E45)=0,"",MONTH(E45))</f>
        <v/>
      </c>
    </row>
    <row r="46">
      <c r="A46" s="1" t="n"/>
      <c r="B46" s="35" t="inlineStr">
        <is>
          <t>Leah Hill</t>
        </is>
      </c>
      <c r="C46" s="32" t="inlineStr">
        <is>
          <t>555 0240</t>
        </is>
      </c>
      <c r="D46" s="32" t="n"/>
      <c r="E46" s="36" t="n"/>
      <c r="F46" s="30" t="n">
        <v>45568</v>
      </c>
      <c r="G46" s="32" t="n"/>
      <c r="H46" s="26">
        <f>IF(B46="","",COUNTIFS(Appointments!$D$6:$D$2005,B46,Appointments!$F$6:$F$2005,"Done"))</f>
        <v/>
      </c>
      <c r="I46" s="37">
        <f>IF(OR(B46="",N(H46)=0),"",INT(SUMIFS(Appointments!$M$6:$M$2005,Appointments!$D$6:$D$2005,B46,Appointments!$N$6:$N$2005,1)))</f>
        <v/>
      </c>
      <c r="J46" s="37">
        <f>IF(B46="","",IF(SUMIFS(Appointments!$M$6:$M$2005,Appointments!$D$6:$D$2005,B46,Appointments!$O$6:$O$2005,1)=0,"",INT(SUMIFS(Appointments!$M$6:$M$2005,Appointments!$D$6:$D$2005,B46,Appointments!$O$6:$O$2005,1))))</f>
        <v/>
      </c>
      <c r="K46" s="27">
        <f>IF(B46="","",SUMIFS(Appointments!$I$6:$I$2005,Appointments!$D$6:$D$2005,B46)+SUMIFS(Packages!$F$6:$F$305,Packages!$C$6:$C$305,B46))</f>
        <v/>
      </c>
      <c r="L46" s="28">
        <f>IF(B46="","",IF(SUMIFS(Appointments!$K$6:$K$2005,Appointments!$D$6:$D$2005,B46)=0,"",SUMIFS(Appointments!$K$6:$K$2005,Appointments!$D$6:$D$2005,B46)))</f>
        <v/>
      </c>
      <c r="M46" s="38">
        <f>IF(OR(B46="",SUMIFS(Packages!$E$6:$E$305,Packages!$C$6:$C$305,B46)=0),"",SUMIFS(Packages!$E$6:$E$305,Packages!$C$6:$C$305,B46)-COUNTIFS(Appointments!$D$6:$D$2005,B46,Appointments!$J$6:$J$2005,"Package",Appointments!$F$6:$F$2005,"Done")+IF(Services!$I$6="Yes",COUNTIFS(Appointments!$D$6:$D$2005,B46,Appointments!$J$6:$J$2005,"Package",Appointments!$F$6:$F$2005,"No-show"),0))</f>
        <v/>
      </c>
      <c r="N46" s="18">
        <f>IF(OR(B46="",I46=""),"",IF(AND(J46="",TODAY()-I46&gt;=N(Services!$I$7)),"Not seen for "&amp;(TODAY()-I46)&amp;" days",""))</f>
        <v/>
      </c>
      <c r="O46" s="1">
        <f>IF(N(E46)=0,"",MONTH(E46))</f>
        <v/>
      </c>
    </row>
    <row r="47">
      <c r="A47" s="1" t="n"/>
      <c r="B47" s="35" t="inlineStr">
        <is>
          <t>Lily Wood</t>
        </is>
      </c>
      <c r="C47" s="32" t="inlineStr">
        <is>
          <t>555 0241</t>
        </is>
      </c>
      <c r="D47" s="32" t="n"/>
      <c r="E47" s="36" t="n">
        <v>33007</v>
      </c>
      <c r="F47" s="30" t="n">
        <v>45879</v>
      </c>
      <c r="G47" s="32" t="n"/>
      <c r="H47" s="26">
        <f>IF(B47="","",COUNTIFS(Appointments!$D$6:$D$2005,B47,Appointments!$F$6:$F$2005,"Done"))</f>
        <v/>
      </c>
      <c r="I47" s="37">
        <f>IF(OR(B47="",N(H47)=0),"",INT(SUMIFS(Appointments!$M$6:$M$2005,Appointments!$D$6:$D$2005,B47,Appointments!$N$6:$N$2005,1)))</f>
        <v/>
      </c>
      <c r="J47" s="37">
        <f>IF(B47="","",IF(SUMIFS(Appointments!$M$6:$M$2005,Appointments!$D$6:$D$2005,B47,Appointments!$O$6:$O$2005,1)=0,"",INT(SUMIFS(Appointments!$M$6:$M$2005,Appointments!$D$6:$D$2005,B47,Appointments!$O$6:$O$2005,1))))</f>
        <v/>
      </c>
      <c r="K47" s="27">
        <f>IF(B47="","",SUMIFS(Appointments!$I$6:$I$2005,Appointments!$D$6:$D$2005,B47)+SUMIFS(Packages!$F$6:$F$305,Packages!$C$6:$C$305,B47))</f>
        <v/>
      </c>
      <c r="L47" s="28">
        <f>IF(B47="","",IF(SUMIFS(Appointments!$K$6:$K$2005,Appointments!$D$6:$D$2005,B47)=0,"",SUMIFS(Appointments!$K$6:$K$2005,Appointments!$D$6:$D$2005,B47)))</f>
        <v/>
      </c>
      <c r="M47" s="38">
        <f>IF(OR(B47="",SUMIFS(Packages!$E$6:$E$305,Packages!$C$6:$C$305,B47)=0),"",SUMIFS(Packages!$E$6:$E$305,Packages!$C$6:$C$305,B47)-COUNTIFS(Appointments!$D$6:$D$2005,B47,Appointments!$J$6:$J$2005,"Package",Appointments!$F$6:$F$2005,"Done")+IF(Services!$I$6="Yes",COUNTIFS(Appointments!$D$6:$D$2005,B47,Appointments!$J$6:$J$2005,"Package",Appointments!$F$6:$F$2005,"No-show"),0))</f>
        <v/>
      </c>
      <c r="N47" s="18">
        <f>IF(OR(B47="",I47=""),"",IF(AND(J47="",TODAY()-I47&gt;=N(Services!$I$7)),"Not seen for "&amp;(TODAY()-I47)&amp;" days",""))</f>
        <v/>
      </c>
      <c r="O47" s="1">
        <f>IF(N(E47)=0,"",MONTH(E47))</f>
        <v/>
      </c>
    </row>
    <row r="48">
      <c r="A48" s="1" t="n"/>
      <c r="B48" s="35" t="inlineStr">
        <is>
          <t>Tom Cole</t>
        </is>
      </c>
      <c r="C48" s="32" t="inlineStr">
        <is>
          <t>555 0242</t>
        </is>
      </c>
      <c r="D48" s="32" t="inlineStr">
        <is>
          <t>tom.c@example.com</t>
        </is>
      </c>
      <c r="E48" s="36" t="n"/>
      <c r="F48" s="30" t="n">
        <v>45933</v>
      </c>
      <c r="G48" s="32" t="n"/>
      <c r="H48" s="26">
        <f>IF(B48="","",COUNTIFS(Appointments!$D$6:$D$2005,B48,Appointments!$F$6:$F$2005,"Done"))</f>
        <v/>
      </c>
      <c r="I48" s="37">
        <f>IF(OR(B48="",N(H48)=0),"",INT(SUMIFS(Appointments!$M$6:$M$2005,Appointments!$D$6:$D$2005,B48,Appointments!$N$6:$N$2005,1)))</f>
        <v/>
      </c>
      <c r="J48" s="37">
        <f>IF(B48="","",IF(SUMIFS(Appointments!$M$6:$M$2005,Appointments!$D$6:$D$2005,B48,Appointments!$O$6:$O$2005,1)=0,"",INT(SUMIFS(Appointments!$M$6:$M$2005,Appointments!$D$6:$D$2005,B48,Appointments!$O$6:$O$2005,1))))</f>
        <v/>
      </c>
      <c r="K48" s="27">
        <f>IF(B48="","",SUMIFS(Appointments!$I$6:$I$2005,Appointments!$D$6:$D$2005,B48)+SUMIFS(Packages!$F$6:$F$305,Packages!$C$6:$C$305,B48))</f>
        <v/>
      </c>
      <c r="L48" s="28">
        <f>IF(B48="","",IF(SUMIFS(Appointments!$K$6:$K$2005,Appointments!$D$6:$D$2005,B48)=0,"",SUMIFS(Appointments!$K$6:$K$2005,Appointments!$D$6:$D$2005,B48)))</f>
        <v/>
      </c>
      <c r="M48" s="38">
        <f>IF(OR(B48="",SUMIFS(Packages!$E$6:$E$305,Packages!$C$6:$C$305,B48)=0),"",SUMIFS(Packages!$E$6:$E$305,Packages!$C$6:$C$305,B48)-COUNTIFS(Appointments!$D$6:$D$2005,B48,Appointments!$J$6:$J$2005,"Package",Appointments!$F$6:$F$2005,"Done")+IF(Services!$I$6="Yes",COUNTIFS(Appointments!$D$6:$D$2005,B48,Appointments!$J$6:$J$2005,"Package",Appointments!$F$6:$F$2005,"No-show"),0))</f>
        <v/>
      </c>
      <c r="N48" s="18">
        <f>IF(OR(B48="",I48=""),"",IF(AND(J48="",TODAY()-I48&gt;=N(Services!$I$7)),"Not seen for "&amp;(TODAY()-I48)&amp;" days",""))</f>
        <v/>
      </c>
      <c r="O48" s="1">
        <f>IF(N(E48)=0,"",MONTH(E48))</f>
        <v/>
      </c>
    </row>
    <row r="49">
      <c r="A49" s="1" t="n"/>
      <c r="B49" s="35" t="inlineStr">
        <is>
          <t>Will Baker</t>
        </is>
      </c>
      <c r="C49" s="32" t="inlineStr">
        <is>
          <t>555 0243</t>
        </is>
      </c>
      <c r="D49" s="32" t="inlineStr">
        <is>
          <t>will.b@example.com</t>
        </is>
      </c>
      <c r="E49" s="36" t="n"/>
      <c r="F49" s="30" t="n">
        <v>44563</v>
      </c>
      <c r="G49" s="32" t="n"/>
      <c r="H49" s="26">
        <f>IF(B49="","",COUNTIFS(Appointments!$D$6:$D$2005,B49,Appointments!$F$6:$F$2005,"Done"))</f>
        <v/>
      </c>
      <c r="I49" s="37">
        <f>IF(OR(B49="",N(H49)=0),"",INT(SUMIFS(Appointments!$M$6:$M$2005,Appointments!$D$6:$D$2005,B49,Appointments!$N$6:$N$2005,1)))</f>
        <v/>
      </c>
      <c r="J49" s="37">
        <f>IF(B49="","",IF(SUMIFS(Appointments!$M$6:$M$2005,Appointments!$D$6:$D$2005,B49,Appointments!$O$6:$O$2005,1)=0,"",INT(SUMIFS(Appointments!$M$6:$M$2005,Appointments!$D$6:$D$2005,B49,Appointments!$O$6:$O$2005,1))))</f>
        <v/>
      </c>
      <c r="K49" s="27">
        <f>IF(B49="","",SUMIFS(Appointments!$I$6:$I$2005,Appointments!$D$6:$D$2005,B49)+SUMIFS(Packages!$F$6:$F$305,Packages!$C$6:$C$305,B49))</f>
        <v/>
      </c>
      <c r="L49" s="28">
        <f>IF(B49="","",IF(SUMIFS(Appointments!$K$6:$K$2005,Appointments!$D$6:$D$2005,B49)=0,"",SUMIFS(Appointments!$K$6:$K$2005,Appointments!$D$6:$D$2005,B49)))</f>
        <v/>
      </c>
      <c r="M49" s="38">
        <f>IF(OR(B49="",SUMIFS(Packages!$E$6:$E$305,Packages!$C$6:$C$305,B49)=0),"",SUMIFS(Packages!$E$6:$E$305,Packages!$C$6:$C$305,B49)-COUNTIFS(Appointments!$D$6:$D$2005,B49,Appointments!$J$6:$J$2005,"Package",Appointments!$F$6:$F$2005,"Done")+IF(Services!$I$6="Yes",COUNTIFS(Appointments!$D$6:$D$2005,B49,Appointments!$J$6:$J$2005,"Package",Appointments!$F$6:$F$2005,"No-show"),0))</f>
        <v/>
      </c>
      <c r="N49" s="18">
        <f>IF(OR(B49="",I49=""),"",IF(AND(J49="",TODAY()-I49&gt;=N(Services!$I$7)),"Not seen for "&amp;(TODAY()-I49)&amp;" days",""))</f>
        <v/>
      </c>
      <c r="O49" s="1">
        <f>IF(N(E49)=0,"",MONTH(E49))</f>
        <v/>
      </c>
    </row>
    <row r="50">
      <c r="A50" s="1" t="n"/>
      <c r="B50" s="35" t="inlineStr">
        <is>
          <t>Fiona Price</t>
        </is>
      </c>
      <c r="C50" s="32" t="inlineStr">
        <is>
          <t>555 0244</t>
        </is>
      </c>
      <c r="D50" s="32" t="n"/>
      <c r="E50" s="36" t="n"/>
      <c r="F50" s="30" t="n">
        <v>44352</v>
      </c>
      <c r="G50" s="32" t="n"/>
      <c r="H50" s="26">
        <f>IF(B50="","",COUNTIFS(Appointments!$D$6:$D$2005,B50,Appointments!$F$6:$F$2005,"Done"))</f>
        <v/>
      </c>
      <c r="I50" s="37">
        <f>IF(OR(B50="",N(H50)=0),"",INT(SUMIFS(Appointments!$M$6:$M$2005,Appointments!$D$6:$D$2005,B50,Appointments!$N$6:$N$2005,1)))</f>
        <v/>
      </c>
      <c r="J50" s="37">
        <f>IF(B50="","",IF(SUMIFS(Appointments!$M$6:$M$2005,Appointments!$D$6:$D$2005,B50,Appointments!$O$6:$O$2005,1)=0,"",INT(SUMIFS(Appointments!$M$6:$M$2005,Appointments!$D$6:$D$2005,B50,Appointments!$O$6:$O$2005,1))))</f>
        <v/>
      </c>
      <c r="K50" s="27">
        <f>IF(B50="","",SUMIFS(Appointments!$I$6:$I$2005,Appointments!$D$6:$D$2005,B50)+SUMIFS(Packages!$F$6:$F$305,Packages!$C$6:$C$305,B50))</f>
        <v/>
      </c>
      <c r="L50" s="28">
        <f>IF(B50="","",IF(SUMIFS(Appointments!$K$6:$K$2005,Appointments!$D$6:$D$2005,B50)=0,"",SUMIFS(Appointments!$K$6:$K$2005,Appointments!$D$6:$D$2005,B50)))</f>
        <v/>
      </c>
      <c r="M50" s="38">
        <f>IF(OR(B50="",SUMIFS(Packages!$E$6:$E$305,Packages!$C$6:$C$305,B50)=0),"",SUMIFS(Packages!$E$6:$E$305,Packages!$C$6:$C$305,B50)-COUNTIFS(Appointments!$D$6:$D$2005,B50,Appointments!$J$6:$J$2005,"Package",Appointments!$F$6:$F$2005,"Done")+IF(Services!$I$6="Yes",COUNTIFS(Appointments!$D$6:$D$2005,B50,Appointments!$J$6:$J$2005,"Package",Appointments!$F$6:$F$2005,"No-show"),0))</f>
        <v/>
      </c>
      <c r="N50" s="18">
        <f>IF(OR(B50="",I50=""),"",IF(AND(J50="",TODAY()-I50&gt;=N(Services!$I$7)),"Not seen for "&amp;(TODAY()-I50)&amp;" days",""))</f>
        <v/>
      </c>
      <c r="O50" s="1">
        <f>IF(N(E50)=0,"",MONTH(E50))</f>
        <v/>
      </c>
    </row>
    <row r="51">
      <c r="A51" s="1" t="n"/>
      <c r="B51" s="35" t="inlineStr">
        <is>
          <t>Nick Young</t>
        </is>
      </c>
      <c r="C51" s="32" t="inlineStr">
        <is>
          <t>555 0245</t>
        </is>
      </c>
      <c r="D51" s="32" t="n"/>
      <c r="E51" s="36" t="n">
        <v>24488</v>
      </c>
      <c r="F51" s="30" t="n">
        <v>45270</v>
      </c>
      <c r="G51" s="32" t="n"/>
      <c r="H51" s="26">
        <f>IF(B51="","",COUNTIFS(Appointments!$D$6:$D$2005,B51,Appointments!$F$6:$F$2005,"Done"))</f>
        <v/>
      </c>
      <c r="I51" s="37">
        <f>IF(OR(B51="",N(H51)=0),"",INT(SUMIFS(Appointments!$M$6:$M$2005,Appointments!$D$6:$D$2005,B51,Appointments!$N$6:$N$2005,1)))</f>
        <v/>
      </c>
      <c r="J51" s="37">
        <f>IF(B51="","",IF(SUMIFS(Appointments!$M$6:$M$2005,Appointments!$D$6:$D$2005,B51,Appointments!$O$6:$O$2005,1)=0,"",INT(SUMIFS(Appointments!$M$6:$M$2005,Appointments!$D$6:$D$2005,B51,Appointments!$O$6:$O$2005,1))))</f>
        <v/>
      </c>
      <c r="K51" s="27">
        <f>IF(B51="","",SUMIFS(Appointments!$I$6:$I$2005,Appointments!$D$6:$D$2005,B51)+SUMIFS(Packages!$F$6:$F$305,Packages!$C$6:$C$305,B51))</f>
        <v/>
      </c>
      <c r="L51" s="28">
        <f>IF(B51="","",IF(SUMIFS(Appointments!$K$6:$K$2005,Appointments!$D$6:$D$2005,B51)=0,"",SUMIFS(Appointments!$K$6:$K$2005,Appointments!$D$6:$D$2005,B51)))</f>
        <v/>
      </c>
      <c r="M51" s="38">
        <f>IF(OR(B51="",SUMIFS(Packages!$E$6:$E$305,Packages!$C$6:$C$305,B51)=0),"",SUMIFS(Packages!$E$6:$E$305,Packages!$C$6:$C$305,B51)-COUNTIFS(Appointments!$D$6:$D$2005,B51,Appointments!$J$6:$J$2005,"Package",Appointments!$F$6:$F$2005,"Done")+IF(Services!$I$6="Yes",COUNTIFS(Appointments!$D$6:$D$2005,B51,Appointments!$J$6:$J$2005,"Package",Appointments!$F$6:$F$2005,"No-show"),0))</f>
        <v/>
      </c>
      <c r="N51" s="18">
        <f>IF(OR(B51="",I51=""),"",IF(AND(J51="",TODAY()-I51&gt;=N(Services!$I$7)),"Not seen for "&amp;(TODAY()-I51)&amp;" days",""))</f>
        <v/>
      </c>
      <c r="O51" s="1">
        <f>IF(N(E51)=0,"",MONTH(E51))</f>
        <v/>
      </c>
    </row>
    <row r="52">
      <c r="A52" s="1" t="n"/>
      <c r="B52" s="35" t="inlineStr">
        <is>
          <t>Mia Cole</t>
        </is>
      </c>
      <c r="C52" s="32" t="inlineStr">
        <is>
          <t>555 0246</t>
        </is>
      </c>
      <c r="D52" s="32" t="n"/>
      <c r="E52" s="36" t="n"/>
      <c r="F52" s="30" t="n">
        <v>44988</v>
      </c>
      <c r="G52" s="32" t="n"/>
      <c r="H52" s="26">
        <f>IF(B52="","",COUNTIFS(Appointments!$D$6:$D$2005,B52,Appointments!$F$6:$F$2005,"Done"))</f>
        <v/>
      </c>
      <c r="I52" s="37">
        <f>IF(OR(B52="",N(H52)=0),"",INT(SUMIFS(Appointments!$M$6:$M$2005,Appointments!$D$6:$D$2005,B52,Appointments!$N$6:$N$2005,1)))</f>
        <v/>
      </c>
      <c r="J52" s="37">
        <f>IF(B52="","",IF(SUMIFS(Appointments!$M$6:$M$2005,Appointments!$D$6:$D$2005,B52,Appointments!$O$6:$O$2005,1)=0,"",INT(SUMIFS(Appointments!$M$6:$M$2005,Appointments!$D$6:$D$2005,B52,Appointments!$O$6:$O$2005,1))))</f>
        <v/>
      </c>
      <c r="K52" s="27">
        <f>IF(B52="","",SUMIFS(Appointments!$I$6:$I$2005,Appointments!$D$6:$D$2005,B52)+SUMIFS(Packages!$F$6:$F$305,Packages!$C$6:$C$305,B52))</f>
        <v/>
      </c>
      <c r="L52" s="28">
        <f>IF(B52="","",IF(SUMIFS(Appointments!$K$6:$K$2005,Appointments!$D$6:$D$2005,B52)=0,"",SUMIFS(Appointments!$K$6:$K$2005,Appointments!$D$6:$D$2005,B52)))</f>
        <v/>
      </c>
      <c r="M52" s="38">
        <f>IF(OR(B52="",SUMIFS(Packages!$E$6:$E$305,Packages!$C$6:$C$305,B52)=0),"",SUMIFS(Packages!$E$6:$E$305,Packages!$C$6:$C$305,B52)-COUNTIFS(Appointments!$D$6:$D$2005,B52,Appointments!$J$6:$J$2005,"Package",Appointments!$F$6:$F$2005,"Done")+IF(Services!$I$6="Yes",COUNTIFS(Appointments!$D$6:$D$2005,B52,Appointments!$J$6:$J$2005,"Package",Appointments!$F$6:$F$2005,"No-show"),0))</f>
        <v/>
      </c>
      <c r="N52" s="18">
        <f>IF(OR(B52="",I52=""),"",IF(AND(J52="",TODAY()-I52&gt;=N(Services!$I$7)),"Not seen for "&amp;(TODAY()-I52)&amp;" days",""))</f>
        <v/>
      </c>
      <c r="O52" s="1">
        <f>IF(N(E52)=0,"",MONTH(E52))</f>
        <v/>
      </c>
    </row>
    <row r="53">
      <c r="A53" s="1" t="n"/>
      <c r="B53" s="35" t="inlineStr">
        <is>
          <t>Finn Price</t>
        </is>
      </c>
      <c r="C53" s="32" t="inlineStr">
        <is>
          <t>555 0247</t>
        </is>
      </c>
      <c r="D53" s="32" t="n"/>
      <c r="E53" s="36" t="n"/>
      <c r="F53" s="30" t="n">
        <v>44724</v>
      </c>
      <c r="G53" s="32" t="n"/>
      <c r="H53" s="26">
        <f>IF(B53="","",COUNTIFS(Appointments!$D$6:$D$2005,B53,Appointments!$F$6:$F$2005,"Done"))</f>
        <v/>
      </c>
      <c r="I53" s="37">
        <f>IF(OR(B53="",N(H53)=0),"",INT(SUMIFS(Appointments!$M$6:$M$2005,Appointments!$D$6:$D$2005,B53,Appointments!$N$6:$N$2005,1)))</f>
        <v/>
      </c>
      <c r="J53" s="37">
        <f>IF(B53="","",IF(SUMIFS(Appointments!$M$6:$M$2005,Appointments!$D$6:$D$2005,B53,Appointments!$O$6:$O$2005,1)=0,"",INT(SUMIFS(Appointments!$M$6:$M$2005,Appointments!$D$6:$D$2005,B53,Appointments!$O$6:$O$2005,1))))</f>
        <v/>
      </c>
      <c r="K53" s="27">
        <f>IF(B53="","",SUMIFS(Appointments!$I$6:$I$2005,Appointments!$D$6:$D$2005,B53)+SUMIFS(Packages!$F$6:$F$305,Packages!$C$6:$C$305,B53))</f>
        <v/>
      </c>
      <c r="L53" s="28">
        <f>IF(B53="","",IF(SUMIFS(Appointments!$K$6:$K$2005,Appointments!$D$6:$D$2005,B53)=0,"",SUMIFS(Appointments!$K$6:$K$2005,Appointments!$D$6:$D$2005,B53)))</f>
        <v/>
      </c>
      <c r="M53" s="38">
        <f>IF(OR(B53="",SUMIFS(Packages!$E$6:$E$305,Packages!$C$6:$C$305,B53)=0),"",SUMIFS(Packages!$E$6:$E$305,Packages!$C$6:$C$305,B53)-COUNTIFS(Appointments!$D$6:$D$2005,B53,Appointments!$J$6:$J$2005,"Package",Appointments!$F$6:$F$2005,"Done")+IF(Services!$I$6="Yes",COUNTIFS(Appointments!$D$6:$D$2005,B53,Appointments!$J$6:$J$2005,"Package",Appointments!$F$6:$F$2005,"No-show"),0))</f>
        <v/>
      </c>
      <c r="N53" s="18">
        <f>IF(OR(B53="",I53=""),"",IF(AND(J53="",TODAY()-I53&gt;=N(Services!$I$7)),"Not seen for "&amp;(TODAY()-I53)&amp;" days",""))</f>
        <v/>
      </c>
      <c r="O53" s="1">
        <f>IF(N(E53)=0,"",MONTH(E53))</f>
        <v/>
      </c>
    </row>
    <row r="54">
      <c r="A54" s="1" t="n"/>
      <c r="B54" s="35" t="inlineStr">
        <is>
          <t>Owen Webb</t>
        </is>
      </c>
      <c r="C54" s="32" t="inlineStr">
        <is>
          <t>555 0248</t>
        </is>
      </c>
      <c r="D54" s="32" t="n"/>
      <c r="E54" s="36" t="n"/>
      <c r="F54" s="30" t="n">
        <v>45319</v>
      </c>
      <c r="G54" s="32" t="n"/>
      <c r="H54" s="26">
        <f>IF(B54="","",COUNTIFS(Appointments!$D$6:$D$2005,B54,Appointments!$F$6:$F$2005,"Done"))</f>
        <v/>
      </c>
      <c r="I54" s="37">
        <f>IF(OR(B54="",N(H54)=0),"",INT(SUMIFS(Appointments!$M$6:$M$2005,Appointments!$D$6:$D$2005,B54,Appointments!$N$6:$N$2005,1)))</f>
        <v/>
      </c>
      <c r="J54" s="37">
        <f>IF(B54="","",IF(SUMIFS(Appointments!$M$6:$M$2005,Appointments!$D$6:$D$2005,B54,Appointments!$O$6:$O$2005,1)=0,"",INT(SUMIFS(Appointments!$M$6:$M$2005,Appointments!$D$6:$D$2005,B54,Appointments!$O$6:$O$2005,1))))</f>
        <v/>
      </c>
      <c r="K54" s="27">
        <f>IF(B54="","",SUMIFS(Appointments!$I$6:$I$2005,Appointments!$D$6:$D$2005,B54)+SUMIFS(Packages!$F$6:$F$305,Packages!$C$6:$C$305,B54))</f>
        <v/>
      </c>
      <c r="L54" s="28">
        <f>IF(B54="","",IF(SUMIFS(Appointments!$K$6:$K$2005,Appointments!$D$6:$D$2005,B54)=0,"",SUMIFS(Appointments!$K$6:$K$2005,Appointments!$D$6:$D$2005,B54)))</f>
        <v/>
      </c>
      <c r="M54" s="38">
        <f>IF(OR(B54="",SUMIFS(Packages!$E$6:$E$305,Packages!$C$6:$C$305,B54)=0),"",SUMIFS(Packages!$E$6:$E$305,Packages!$C$6:$C$305,B54)-COUNTIFS(Appointments!$D$6:$D$2005,B54,Appointments!$J$6:$J$2005,"Package",Appointments!$F$6:$F$2005,"Done")+IF(Services!$I$6="Yes",COUNTIFS(Appointments!$D$6:$D$2005,B54,Appointments!$J$6:$J$2005,"Package",Appointments!$F$6:$F$2005,"No-show"),0))</f>
        <v/>
      </c>
      <c r="N54" s="18">
        <f>IF(OR(B54="",I54=""),"",IF(AND(J54="",TODAY()-I54&gt;=N(Services!$I$7)),"Not seen for "&amp;(TODAY()-I54)&amp;" days",""))</f>
        <v/>
      </c>
      <c r="O54" s="1">
        <f>IF(N(E54)=0,"",MONTH(E54))</f>
        <v/>
      </c>
    </row>
    <row r="55">
      <c r="A55" s="1" t="n"/>
      <c r="B55" s="35" t="inlineStr">
        <is>
          <t>Harry Adams</t>
        </is>
      </c>
      <c r="C55" s="32" t="inlineStr">
        <is>
          <t>555 0249</t>
        </is>
      </c>
      <c r="D55" s="32" t="n"/>
      <c r="E55" s="36" t="n"/>
      <c r="F55" s="30" t="n">
        <v>45677</v>
      </c>
      <c r="G55" s="32" t="n"/>
      <c r="H55" s="26">
        <f>IF(B55="","",COUNTIFS(Appointments!$D$6:$D$2005,B55,Appointments!$F$6:$F$2005,"Done"))</f>
        <v/>
      </c>
      <c r="I55" s="37">
        <f>IF(OR(B55="",N(H55)=0),"",INT(SUMIFS(Appointments!$M$6:$M$2005,Appointments!$D$6:$D$2005,B55,Appointments!$N$6:$N$2005,1)))</f>
        <v/>
      </c>
      <c r="J55" s="37">
        <f>IF(B55="","",IF(SUMIFS(Appointments!$M$6:$M$2005,Appointments!$D$6:$D$2005,B55,Appointments!$O$6:$O$2005,1)=0,"",INT(SUMIFS(Appointments!$M$6:$M$2005,Appointments!$D$6:$D$2005,B55,Appointments!$O$6:$O$2005,1))))</f>
        <v/>
      </c>
      <c r="K55" s="27">
        <f>IF(B55="","",SUMIFS(Appointments!$I$6:$I$2005,Appointments!$D$6:$D$2005,B55)+SUMIFS(Packages!$F$6:$F$305,Packages!$C$6:$C$305,B55))</f>
        <v/>
      </c>
      <c r="L55" s="28">
        <f>IF(B55="","",IF(SUMIFS(Appointments!$K$6:$K$2005,Appointments!$D$6:$D$2005,B55)=0,"",SUMIFS(Appointments!$K$6:$K$2005,Appointments!$D$6:$D$2005,B55)))</f>
        <v/>
      </c>
      <c r="M55" s="38">
        <f>IF(OR(B55="",SUMIFS(Packages!$E$6:$E$305,Packages!$C$6:$C$305,B55)=0),"",SUMIFS(Packages!$E$6:$E$305,Packages!$C$6:$C$305,B55)-COUNTIFS(Appointments!$D$6:$D$2005,B55,Appointments!$J$6:$J$2005,"Package",Appointments!$F$6:$F$2005,"Done")+IF(Services!$I$6="Yes",COUNTIFS(Appointments!$D$6:$D$2005,B55,Appointments!$J$6:$J$2005,"Package",Appointments!$F$6:$F$2005,"No-show"),0))</f>
        <v/>
      </c>
      <c r="N55" s="18">
        <f>IF(OR(B55="",I55=""),"",IF(AND(J55="",TODAY()-I55&gt;=N(Services!$I$7)),"Not seen for "&amp;(TODAY()-I55)&amp;" days",""))</f>
        <v/>
      </c>
      <c r="O55" s="1">
        <f>IF(N(E55)=0,"",MONTH(E55))</f>
        <v/>
      </c>
    </row>
    <row r="56">
      <c r="A56" s="1" t="n"/>
      <c r="B56" s="35" t="inlineStr">
        <is>
          <t>Ruby Cook</t>
        </is>
      </c>
      <c r="C56" s="32" t="inlineStr">
        <is>
          <t>555 0250</t>
        </is>
      </c>
      <c r="D56" s="32" t="n"/>
      <c r="E56" s="36" t="n"/>
      <c r="F56" s="30" t="n">
        <v>45637</v>
      </c>
      <c r="G56" s="32" t="n"/>
      <c r="H56" s="26">
        <f>IF(B56="","",COUNTIFS(Appointments!$D$6:$D$2005,B56,Appointments!$F$6:$F$2005,"Done"))</f>
        <v/>
      </c>
      <c r="I56" s="37">
        <f>IF(OR(B56="",N(H56)=0),"",INT(SUMIFS(Appointments!$M$6:$M$2005,Appointments!$D$6:$D$2005,B56,Appointments!$N$6:$N$2005,1)))</f>
        <v/>
      </c>
      <c r="J56" s="37">
        <f>IF(B56="","",IF(SUMIFS(Appointments!$M$6:$M$2005,Appointments!$D$6:$D$2005,B56,Appointments!$O$6:$O$2005,1)=0,"",INT(SUMIFS(Appointments!$M$6:$M$2005,Appointments!$D$6:$D$2005,B56,Appointments!$O$6:$O$2005,1))))</f>
        <v/>
      </c>
      <c r="K56" s="27">
        <f>IF(B56="","",SUMIFS(Appointments!$I$6:$I$2005,Appointments!$D$6:$D$2005,B56)+SUMIFS(Packages!$F$6:$F$305,Packages!$C$6:$C$305,B56))</f>
        <v/>
      </c>
      <c r="L56" s="28">
        <f>IF(B56="","",IF(SUMIFS(Appointments!$K$6:$K$2005,Appointments!$D$6:$D$2005,B56)=0,"",SUMIFS(Appointments!$K$6:$K$2005,Appointments!$D$6:$D$2005,B56)))</f>
        <v/>
      </c>
      <c r="M56" s="38">
        <f>IF(OR(B56="",SUMIFS(Packages!$E$6:$E$305,Packages!$C$6:$C$305,B56)=0),"",SUMIFS(Packages!$E$6:$E$305,Packages!$C$6:$C$305,B56)-COUNTIFS(Appointments!$D$6:$D$2005,B56,Appointments!$J$6:$J$2005,"Package",Appointments!$F$6:$F$2005,"Done")+IF(Services!$I$6="Yes",COUNTIFS(Appointments!$D$6:$D$2005,B56,Appointments!$J$6:$J$2005,"Package",Appointments!$F$6:$F$2005,"No-show"),0))</f>
        <v/>
      </c>
      <c r="N56" s="18">
        <f>IF(OR(B56="",I56=""),"",IF(AND(J56="",TODAY()-I56&gt;=N(Services!$I$7)),"Not seen for "&amp;(TODAY()-I56)&amp;" days",""))</f>
        <v/>
      </c>
      <c r="O56" s="1">
        <f>IF(N(E56)=0,"",MONTH(E56))</f>
        <v/>
      </c>
    </row>
    <row r="57">
      <c r="A57" s="1" t="n"/>
      <c r="B57" s="35" t="inlineStr">
        <is>
          <t>Tina Walsh</t>
        </is>
      </c>
      <c r="C57" s="32" t="inlineStr">
        <is>
          <t>555 0251</t>
        </is>
      </c>
      <c r="D57" s="32" t="n"/>
      <c r="E57" s="36" t="n"/>
      <c r="F57" s="30" t="n">
        <v>45901</v>
      </c>
      <c r="G57" s="32" t="n"/>
      <c r="H57" s="26">
        <f>IF(B57="","",COUNTIFS(Appointments!$D$6:$D$2005,B57,Appointments!$F$6:$F$2005,"Done"))</f>
        <v/>
      </c>
      <c r="I57" s="37">
        <f>IF(OR(B57="",N(H57)=0),"",INT(SUMIFS(Appointments!$M$6:$M$2005,Appointments!$D$6:$D$2005,B57,Appointments!$N$6:$N$2005,1)))</f>
        <v/>
      </c>
      <c r="J57" s="37">
        <f>IF(B57="","",IF(SUMIFS(Appointments!$M$6:$M$2005,Appointments!$D$6:$D$2005,B57,Appointments!$O$6:$O$2005,1)=0,"",INT(SUMIFS(Appointments!$M$6:$M$2005,Appointments!$D$6:$D$2005,B57,Appointments!$O$6:$O$2005,1))))</f>
        <v/>
      </c>
      <c r="K57" s="27">
        <f>IF(B57="","",SUMIFS(Appointments!$I$6:$I$2005,Appointments!$D$6:$D$2005,B57)+SUMIFS(Packages!$F$6:$F$305,Packages!$C$6:$C$305,B57))</f>
        <v/>
      </c>
      <c r="L57" s="28">
        <f>IF(B57="","",IF(SUMIFS(Appointments!$K$6:$K$2005,Appointments!$D$6:$D$2005,B57)=0,"",SUMIFS(Appointments!$K$6:$K$2005,Appointments!$D$6:$D$2005,B57)))</f>
        <v/>
      </c>
      <c r="M57" s="38">
        <f>IF(OR(B57="",SUMIFS(Packages!$E$6:$E$305,Packages!$C$6:$C$305,B57)=0),"",SUMIFS(Packages!$E$6:$E$305,Packages!$C$6:$C$305,B57)-COUNTIFS(Appointments!$D$6:$D$2005,B57,Appointments!$J$6:$J$2005,"Package",Appointments!$F$6:$F$2005,"Done")+IF(Services!$I$6="Yes",COUNTIFS(Appointments!$D$6:$D$2005,B57,Appointments!$J$6:$J$2005,"Package",Appointments!$F$6:$F$2005,"No-show"),0))</f>
        <v/>
      </c>
      <c r="N57" s="18">
        <f>IF(OR(B57="",I57=""),"",IF(AND(J57="",TODAY()-I57&gt;=N(Services!$I$7)),"Not seen for "&amp;(TODAY()-I57)&amp;" days",""))</f>
        <v/>
      </c>
      <c r="O57" s="1">
        <f>IF(N(E57)=0,"",MONTH(E57))</f>
        <v/>
      </c>
    </row>
    <row r="58">
      <c r="A58" s="1" t="n"/>
      <c r="B58" s="35" t="inlineStr">
        <is>
          <t>Ruby Webb</t>
        </is>
      </c>
      <c r="C58" s="32" t="inlineStr">
        <is>
          <t>555 0252</t>
        </is>
      </c>
      <c r="D58" s="32" t="inlineStr">
        <is>
          <t>ruby.w@example.com</t>
        </is>
      </c>
      <c r="E58" s="36" t="n"/>
      <c r="F58" s="30" t="n">
        <v>44433</v>
      </c>
      <c r="G58" s="32" t="n"/>
      <c r="H58" s="26">
        <f>IF(B58="","",COUNTIFS(Appointments!$D$6:$D$2005,B58,Appointments!$F$6:$F$2005,"Done"))</f>
        <v/>
      </c>
      <c r="I58" s="37">
        <f>IF(OR(B58="",N(H58)=0),"",INT(SUMIFS(Appointments!$M$6:$M$2005,Appointments!$D$6:$D$2005,B58,Appointments!$N$6:$N$2005,1)))</f>
        <v/>
      </c>
      <c r="J58" s="37">
        <f>IF(B58="","",IF(SUMIFS(Appointments!$M$6:$M$2005,Appointments!$D$6:$D$2005,B58,Appointments!$O$6:$O$2005,1)=0,"",INT(SUMIFS(Appointments!$M$6:$M$2005,Appointments!$D$6:$D$2005,B58,Appointments!$O$6:$O$2005,1))))</f>
        <v/>
      </c>
      <c r="K58" s="27">
        <f>IF(B58="","",SUMIFS(Appointments!$I$6:$I$2005,Appointments!$D$6:$D$2005,B58)+SUMIFS(Packages!$F$6:$F$305,Packages!$C$6:$C$305,B58))</f>
        <v/>
      </c>
      <c r="L58" s="28">
        <f>IF(B58="","",IF(SUMIFS(Appointments!$K$6:$K$2005,Appointments!$D$6:$D$2005,B58)=0,"",SUMIFS(Appointments!$K$6:$K$2005,Appointments!$D$6:$D$2005,B58)))</f>
        <v/>
      </c>
      <c r="M58" s="38">
        <f>IF(OR(B58="",SUMIFS(Packages!$E$6:$E$305,Packages!$C$6:$C$305,B58)=0),"",SUMIFS(Packages!$E$6:$E$305,Packages!$C$6:$C$305,B58)-COUNTIFS(Appointments!$D$6:$D$2005,B58,Appointments!$J$6:$J$2005,"Package",Appointments!$F$6:$F$2005,"Done")+IF(Services!$I$6="Yes",COUNTIFS(Appointments!$D$6:$D$2005,B58,Appointments!$J$6:$J$2005,"Package",Appointments!$F$6:$F$2005,"No-show"),0))</f>
        <v/>
      </c>
      <c r="N58" s="18">
        <f>IF(OR(B58="",I58=""),"",IF(AND(J58="",TODAY()-I58&gt;=N(Services!$I$7)),"Not seen for "&amp;(TODAY()-I58)&amp;" days",""))</f>
        <v/>
      </c>
      <c r="O58" s="1">
        <f>IF(N(E58)=0,"",MONTH(E58))</f>
        <v/>
      </c>
    </row>
    <row r="59">
      <c r="A59" s="1" t="n"/>
      <c r="B59" s="35" t="inlineStr">
        <is>
          <t>Dina Adams</t>
        </is>
      </c>
      <c r="C59" s="32" t="inlineStr">
        <is>
          <t>555 0253</t>
        </is>
      </c>
      <c r="D59" s="32" t="inlineStr">
        <is>
          <t>dina.a@example.com</t>
        </is>
      </c>
      <c r="E59" s="36" t="n">
        <v>38094</v>
      </c>
      <c r="F59" s="30" t="n">
        <v>44734</v>
      </c>
      <c r="G59" s="32" t="n"/>
      <c r="H59" s="26">
        <f>IF(B59="","",COUNTIFS(Appointments!$D$6:$D$2005,B59,Appointments!$F$6:$F$2005,"Done"))</f>
        <v/>
      </c>
      <c r="I59" s="37">
        <f>IF(OR(B59="",N(H59)=0),"",INT(SUMIFS(Appointments!$M$6:$M$2005,Appointments!$D$6:$D$2005,B59,Appointments!$N$6:$N$2005,1)))</f>
        <v/>
      </c>
      <c r="J59" s="37">
        <f>IF(B59="","",IF(SUMIFS(Appointments!$M$6:$M$2005,Appointments!$D$6:$D$2005,B59,Appointments!$O$6:$O$2005,1)=0,"",INT(SUMIFS(Appointments!$M$6:$M$2005,Appointments!$D$6:$D$2005,B59,Appointments!$O$6:$O$2005,1))))</f>
        <v/>
      </c>
      <c r="K59" s="27">
        <f>IF(B59="","",SUMIFS(Appointments!$I$6:$I$2005,Appointments!$D$6:$D$2005,B59)+SUMIFS(Packages!$F$6:$F$305,Packages!$C$6:$C$305,B59))</f>
        <v/>
      </c>
      <c r="L59" s="28">
        <f>IF(B59="","",IF(SUMIFS(Appointments!$K$6:$K$2005,Appointments!$D$6:$D$2005,B59)=0,"",SUMIFS(Appointments!$K$6:$K$2005,Appointments!$D$6:$D$2005,B59)))</f>
        <v/>
      </c>
      <c r="M59" s="38">
        <f>IF(OR(B59="",SUMIFS(Packages!$E$6:$E$305,Packages!$C$6:$C$305,B59)=0),"",SUMIFS(Packages!$E$6:$E$305,Packages!$C$6:$C$305,B59)-COUNTIFS(Appointments!$D$6:$D$2005,B59,Appointments!$J$6:$J$2005,"Package",Appointments!$F$6:$F$2005,"Done")+IF(Services!$I$6="Yes",COUNTIFS(Appointments!$D$6:$D$2005,B59,Appointments!$J$6:$J$2005,"Package",Appointments!$F$6:$F$2005,"No-show"),0))</f>
        <v/>
      </c>
      <c r="N59" s="18">
        <f>IF(OR(B59="",I59=""),"",IF(AND(J59="",TODAY()-I59&gt;=N(Services!$I$7)),"Not seen for "&amp;(TODAY()-I59)&amp;" days",""))</f>
        <v/>
      </c>
      <c r="O59" s="1">
        <f>IF(N(E59)=0,"",MONTH(E59))</f>
        <v/>
      </c>
    </row>
    <row r="60">
      <c r="A60" s="1" t="n"/>
      <c r="B60" s="35" t="inlineStr">
        <is>
          <t>Clara Morgan</t>
        </is>
      </c>
      <c r="C60" s="32" t="inlineStr">
        <is>
          <t>555 0254</t>
        </is>
      </c>
      <c r="D60" s="32" t="n"/>
      <c r="E60" s="36" t="n">
        <v>33701</v>
      </c>
      <c r="F60" s="30" t="n">
        <v>45401</v>
      </c>
      <c r="G60" s="32" t="n"/>
      <c r="H60" s="26">
        <f>IF(B60="","",COUNTIFS(Appointments!$D$6:$D$2005,B60,Appointments!$F$6:$F$2005,"Done"))</f>
        <v/>
      </c>
      <c r="I60" s="37">
        <f>IF(OR(B60="",N(H60)=0),"",INT(SUMIFS(Appointments!$M$6:$M$2005,Appointments!$D$6:$D$2005,B60,Appointments!$N$6:$N$2005,1)))</f>
        <v/>
      </c>
      <c r="J60" s="37">
        <f>IF(B60="","",IF(SUMIFS(Appointments!$M$6:$M$2005,Appointments!$D$6:$D$2005,B60,Appointments!$O$6:$O$2005,1)=0,"",INT(SUMIFS(Appointments!$M$6:$M$2005,Appointments!$D$6:$D$2005,B60,Appointments!$O$6:$O$2005,1))))</f>
        <v/>
      </c>
      <c r="K60" s="27">
        <f>IF(B60="","",SUMIFS(Appointments!$I$6:$I$2005,Appointments!$D$6:$D$2005,B60)+SUMIFS(Packages!$F$6:$F$305,Packages!$C$6:$C$305,B60))</f>
        <v/>
      </c>
      <c r="L60" s="28">
        <f>IF(B60="","",IF(SUMIFS(Appointments!$K$6:$K$2005,Appointments!$D$6:$D$2005,B60)=0,"",SUMIFS(Appointments!$K$6:$K$2005,Appointments!$D$6:$D$2005,B60)))</f>
        <v/>
      </c>
      <c r="M60" s="38">
        <f>IF(OR(B60="",SUMIFS(Packages!$E$6:$E$305,Packages!$C$6:$C$305,B60)=0),"",SUMIFS(Packages!$E$6:$E$305,Packages!$C$6:$C$305,B60)-COUNTIFS(Appointments!$D$6:$D$2005,B60,Appointments!$J$6:$J$2005,"Package",Appointments!$F$6:$F$2005,"Done")+IF(Services!$I$6="Yes",COUNTIFS(Appointments!$D$6:$D$2005,B60,Appointments!$J$6:$J$2005,"Package",Appointments!$F$6:$F$2005,"No-show"),0))</f>
        <v/>
      </c>
      <c r="N60" s="18">
        <f>IF(OR(B60="",I60=""),"",IF(AND(J60="",TODAY()-I60&gt;=N(Services!$I$7)),"Not seen for "&amp;(TODAY()-I60)&amp;" days",""))</f>
        <v/>
      </c>
      <c r="O60" s="1">
        <f>IF(N(E60)=0,"",MONTH(E60))</f>
        <v/>
      </c>
    </row>
    <row r="61">
      <c r="A61" s="1" t="n"/>
      <c r="B61" s="35" t="inlineStr">
        <is>
          <t>Hannah Ellis</t>
        </is>
      </c>
      <c r="C61" s="32" t="inlineStr">
        <is>
          <t>555 0255</t>
        </is>
      </c>
      <c r="D61" s="32" t="n"/>
      <c r="E61" s="36" t="n"/>
      <c r="F61" s="30" t="n">
        <v>44533</v>
      </c>
      <c r="G61" s="32" t="n"/>
      <c r="H61" s="26">
        <f>IF(B61="","",COUNTIFS(Appointments!$D$6:$D$2005,B61,Appointments!$F$6:$F$2005,"Done"))</f>
        <v/>
      </c>
      <c r="I61" s="37">
        <f>IF(OR(B61="",N(H61)=0),"",INT(SUMIFS(Appointments!$M$6:$M$2005,Appointments!$D$6:$D$2005,B61,Appointments!$N$6:$N$2005,1)))</f>
        <v/>
      </c>
      <c r="J61" s="37">
        <f>IF(B61="","",IF(SUMIFS(Appointments!$M$6:$M$2005,Appointments!$D$6:$D$2005,B61,Appointments!$O$6:$O$2005,1)=0,"",INT(SUMIFS(Appointments!$M$6:$M$2005,Appointments!$D$6:$D$2005,B61,Appointments!$O$6:$O$2005,1))))</f>
        <v/>
      </c>
      <c r="K61" s="27">
        <f>IF(B61="","",SUMIFS(Appointments!$I$6:$I$2005,Appointments!$D$6:$D$2005,B61)+SUMIFS(Packages!$F$6:$F$305,Packages!$C$6:$C$305,B61))</f>
        <v/>
      </c>
      <c r="L61" s="28">
        <f>IF(B61="","",IF(SUMIFS(Appointments!$K$6:$K$2005,Appointments!$D$6:$D$2005,B61)=0,"",SUMIFS(Appointments!$K$6:$K$2005,Appointments!$D$6:$D$2005,B61)))</f>
        <v/>
      </c>
      <c r="M61" s="38">
        <f>IF(OR(B61="",SUMIFS(Packages!$E$6:$E$305,Packages!$C$6:$C$305,B61)=0),"",SUMIFS(Packages!$E$6:$E$305,Packages!$C$6:$C$305,B61)-COUNTIFS(Appointments!$D$6:$D$2005,B61,Appointments!$J$6:$J$2005,"Package",Appointments!$F$6:$F$2005,"Done")+IF(Services!$I$6="Yes",COUNTIFS(Appointments!$D$6:$D$2005,B61,Appointments!$J$6:$J$2005,"Package",Appointments!$F$6:$F$2005,"No-show"),0))</f>
        <v/>
      </c>
      <c r="N61" s="18">
        <f>IF(OR(B61="",I61=""),"",IF(AND(J61="",TODAY()-I61&gt;=N(Services!$I$7)),"Not seen for "&amp;(TODAY()-I61)&amp;" days",""))</f>
        <v/>
      </c>
      <c r="O61" s="1">
        <f>IF(N(E61)=0,"",MONTH(E61))</f>
        <v/>
      </c>
    </row>
    <row r="62">
      <c r="A62" s="1" t="n"/>
      <c r="B62" s="35" t="inlineStr">
        <is>
          <t>Nora Walsh</t>
        </is>
      </c>
      <c r="C62" s="32" t="inlineStr">
        <is>
          <t>555 0256</t>
        </is>
      </c>
      <c r="D62" s="32" t="n"/>
      <c r="E62" s="36" t="n"/>
      <c r="F62" s="30" t="n">
        <v>45494</v>
      </c>
      <c r="G62" s="32" t="n"/>
      <c r="H62" s="26">
        <f>IF(B62="","",COUNTIFS(Appointments!$D$6:$D$2005,B62,Appointments!$F$6:$F$2005,"Done"))</f>
        <v/>
      </c>
      <c r="I62" s="37">
        <f>IF(OR(B62="",N(H62)=0),"",INT(SUMIFS(Appointments!$M$6:$M$2005,Appointments!$D$6:$D$2005,B62,Appointments!$N$6:$N$2005,1)))</f>
        <v/>
      </c>
      <c r="J62" s="37">
        <f>IF(B62="","",IF(SUMIFS(Appointments!$M$6:$M$2005,Appointments!$D$6:$D$2005,B62,Appointments!$O$6:$O$2005,1)=0,"",INT(SUMIFS(Appointments!$M$6:$M$2005,Appointments!$D$6:$D$2005,B62,Appointments!$O$6:$O$2005,1))))</f>
        <v/>
      </c>
      <c r="K62" s="27">
        <f>IF(B62="","",SUMIFS(Appointments!$I$6:$I$2005,Appointments!$D$6:$D$2005,B62)+SUMIFS(Packages!$F$6:$F$305,Packages!$C$6:$C$305,B62))</f>
        <v/>
      </c>
      <c r="L62" s="28">
        <f>IF(B62="","",IF(SUMIFS(Appointments!$K$6:$K$2005,Appointments!$D$6:$D$2005,B62)=0,"",SUMIFS(Appointments!$K$6:$K$2005,Appointments!$D$6:$D$2005,B62)))</f>
        <v/>
      </c>
      <c r="M62" s="38">
        <f>IF(OR(B62="",SUMIFS(Packages!$E$6:$E$305,Packages!$C$6:$C$305,B62)=0),"",SUMIFS(Packages!$E$6:$E$305,Packages!$C$6:$C$305,B62)-COUNTIFS(Appointments!$D$6:$D$2005,B62,Appointments!$J$6:$J$2005,"Package",Appointments!$F$6:$F$2005,"Done")+IF(Services!$I$6="Yes",COUNTIFS(Appointments!$D$6:$D$2005,B62,Appointments!$J$6:$J$2005,"Package",Appointments!$F$6:$F$2005,"No-show"),0))</f>
        <v/>
      </c>
      <c r="N62" s="18">
        <f>IF(OR(B62="",I62=""),"",IF(AND(J62="",TODAY()-I62&gt;=N(Services!$I$7)),"Not seen for "&amp;(TODAY()-I62)&amp;" days",""))</f>
        <v/>
      </c>
      <c r="O62" s="1">
        <f>IF(N(E62)=0,"",MONTH(E62))</f>
        <v/>
      </c>
    </row>
    <row r="63">
      <c r="A63" s="1" t="n"/>
      <c r="B63" s="35" t="inlineStr">
        <is>
          <t>Owen Morgan</t>
        </is>
      </c>
      <c r="C63" s="32" t="inlineStr">
        <is>
          <t>555 0257</t>
        </is>
      </c>
      <c r="D63" s="32" t="n"/>
      <c r="E63" s="36" t="n"/>
      <c r="F63" s="30" t="n">
        <v>45880</v>
      </c>
      <c r="G63" s="32" t="n"/>
      <c r="H63" s="26">
        <f>IF(B63="","",COUNTIFS(Appointments!$D$6:$D$2005,B63,Appointments!$F$6:$F$2005,"Done"))</f>
        <v/>
      </c>
      <c r="I63" s="37">
        <f>IF(OR(B63="",N(H63)=0),"",INT(SUMIFS(Appointments!$M$6:$M$2005,Appointments!$D$6:$D$2005,B63,Appointments!$N$6:$N$2005,1)))</f>
        <v/>
      </c>
      <c r="J63" s="37">
        <f>IF(B63="","",IF(SUMIFS(Appointments!$M$6:$M$2005,Appointments!$D$6:$D$2005,B63,Appointments!$O$6:$O$2005,1)=0,"",INT(SUMIFS(Appointments!$M$6:$M$2005,Appointments!$D$6:$D$2005,B63,Appointments!$O$6:$O$2005,1))))</f>
        <v/>
      </c>
      <c r="K63" s="27">
        <f>IF(B63="","",SUMIFS(Appointments!$I$6:$I$2005,Appointments!$D$6:$D$2005,B63)+SUMIFS(Packages!$F$6:$F$305,Packages!$C$6:$C$305,B63))</f>
        <v/>
      </c>
      <c r="L63" s="28">
        <f>IF(B63="","",IF(SUMIFS(Appointments!$K$6:$K$2005,Appointments!$D$6:$D$2005,B63)=0,"",SUMIFS(Appointments!$K$6:$K$2005,Appointments!$D$6:$D$2005,B63)))</f>
        <v/>
      </c>
      <c r="M63" s="38">
        <f>IF(OR(B63="",SUMIFS(Packages!$E$6:$E$305,Packages!$C$6:$C$305,B63)=0),"",SUMIFS(Packages!$E$6:$E$305,Packages!$C$6:$C$305,B63)-COUNTIFS(Appointments!$D$6:$D$2005,B63,Appointments!$J$6:$J$2005,"Package",Appointments!$F$6:$F$2005,"Done")+IF(Services!$I$6="Yes",COUNTIFS(Appointments!$D$6:$D$2005,B63,Appointments!$J$6:$J$2005,"Package",Appointments!$F$6:$F$2005,"No-show"),0))</f>
        <v/>
      </c>
      <c r="N63" s="18">
        <f>IF(OR(B63="",I63=""),"",IF(AND(J63="",TODAY()-I63&gt;=N(Services!$I$7)),"Not seen for "&amp;(TODAY()-I63)&amp;" days",""))</f>
        <v/>
      </c>
      <c r="O63" s="1">
        <f>IF(N(E63)=0,"",MONTH(E63))</f>
        <v/>
      </c>
    </row>
    <row r="64">
      <c r="A64" s="1" t="n"/>
      <c r="B64" s="35" t="inlineStr">
        <is>
          <t>Lily Lewis</t>
        </is>
      </c>
      <c r="C64" s="32" t="inlineStr">
        <is>
          <t>555 0258</t>
        </is>
      </c>
      <c r="D64" s="32" t="n"/>
      <c r="E64" s="36" t="n">
        <v>30236</v>
      </c>
      <c r="F64" s="30" t="n">
        <v>45256</v>
      </c>
      <c r="G64" s="32" t="n"/>
      <c r="H64" s="26">
        <f>IF(B64="","",COUNTIFS(Appointments!$D$6:$D$2005,B64,Appointments!$F$6:$F$2005,"Done"))</f>
        <v/>
      </c>
      <c r="I64" s="37">
        <f>IF(OR(B64="",N(H64)=0),"",INT(SUMIFS(Appointments!$M$6:$M$2005,Appointments!$D$6:$D$2005,B64,Appointments!$N$6:$N$2005,1)))</f>
        <v/>
      </c>
      <c r="J64" s="37">
        <f>IF(B64="","",IF(SUMIFS(Appointments!$M$6:$M$2005,Appointments!$D$6:$D$2005,B64,Appointments!$O$6:$O$2005,1)=0,"",INT(SUMIFS(Appointments!$M$6:$M$2005,Appointments!$D$6:$D$2005,B64,Appointments!$O$6:$O$2005,1))))</f>
        <v/>
      </c>
      <c r="K64" s="27">
        <f>IF(B64="","",SUMIFS(Appointments!$I$6:$I$2005,Appointments!$D$6:$D$2005,B64)+SUMIFS(Packages!$F$6:$F$305,Packages!$C$6:$C$305,B64))</f>
        <v/>
      </c>
      <c r="L64" s="28">
        <f>IF(B64="","",IF(SUMIFS(Appointments!$K$6:$K$2005,Appointments!$D$6:$D$2005,B64)=0,"",SUMIFS(Appointments!$K$6:$K$2005,Appointments!$D$6:$D$2005,B64)))</f>
        <v/>
      </c>
      <c r="M64" s="38">
        <f>IF(OR(B64="",SUMIFS(Packages!$E$6:$E$305,Packages!$C$6:$C$305,B64)=0),"",SUMIFS(Packages!$E$6:$E$305,Packages!$C$6:$C$305,B64)-COUNTIFS(Appointments!$D$6:$D$2005,B64,Appointments!$J$6:$J$2005,"Package",Appointments!$F$6:$F$2005,"Done")+IF(Services!$I$6="Yes",COUNTIFS(Appointments!$D$6:$D$2005,B64,Appointments!$J$6:$J$2005,"Package",Appointments!$F$6:$F$2005,"No-show"),0))</f>
        <v/>
      </c>
      <c r="N64" s="18">
        <f>IF(OR(B64="",I64=""),"",IF(AND(J64="",TODAY()-I64&gt;=N(Services!$I$7)),"Not seen for "&amp;(TODAY()-I64)&amp;" days",""))</f>
        <v/>
      </c>
      <c r="O64" s="1">
        <f>IF(N(E64)=0,"",MONTH(E64))</f>
        <v/>
      </c>
    </row>
    <row r="65">
      <c r="A65" s="1" t="n"/>
      <c r="B65" s="35" t="inlineStr">
        <is>
          <t>Matt Ellis</t>
        </is>
      </c>
      <c r="C65" s="32" t="inlineStr">
        <is>
          <t>555 0259</t>
        </is>
      </c>
      <c r="D65" s="32" t="n"/>
      <c r="E65" s="36" t="n">
        <v>30066</v>
      </c>
      <c r="F65" s="30" t="n">
        <v>44582</v>
      </c>
      <c r="G65" s="32" t="n"/>
      <c r="H65" s="26">
        <f>IF(B65="","",COUNTIFS(Appointments!$D$6:$D$2005,B65,Appointments!$F$6:$F$2005,"Done"))</f>
        <v/>
      </c>
      <c r="I65" s="37">
        <f>IF(OR(B65="",N(H65)=0),"",INT(SUMIFS(Appointments!$M$6:$M$2005,Appointments!$D$6:$D$2005,B65,Appointments!$N$6:$N$2005,1)))</f>
        <v/>
      </c>
      <c r="J65" s="37">
        <f>IF(B65="","",IF(SUMIFS(Appointments!$M$6:$M$2005,Appointments!$D$6:$D$2005,B65,Appointments!$O$6:$O$2005,1)=0,"",INT(SUMIFS(Appointments!$M$6:$M$2005,Appointments!$D$6:$D$2005,B65,Appointments!$O$6:$O$2005,1))))</f>
        <v/>
      </c>
      <c r="K65" s="27">
        <f>IF(B65="","",SUMIFS(Appointments!$I$6:$I$2005,Appointments!$D$6:$D$2005,B65)+SUMIFS(Packages!$F$6:$F$305,Packages!$C$6:$C$305,B65))</f>
        <v/>
      </c>
      <c r="L65" s="28">
        <f>IF(B65="","",IF(SUMIFS(Appointments!$K$6:$K$2005,Appointments!$D$6:$D$2005,B65)=0,"",SUMIFS(Appointments!$K$6:$K$2005,Appointments!$D$6:$D$2005,B65)))</f>
        <v/>
      </c>
      <c r="M65" s="38">
        <f>IF(OR(B65="",SUMIFS(Packages!$E$6:$E$305,Packages!$C$6:$C$305,B65)=0),"",SUMIFS(Packages!$E$6:$E$305,Packages!$C$6:$C$305,B65)-COUNTIFS(Appointments!$D$6:$D$2005,B65,Appointments!$J$6:$J$2005,"Package",Appointments!$F$6:$F$2005,"Done")+IF(Services!$I$6="Yes",COUNTIFS(Appointments!$D$6:$D$2005,B65,Appointments!$J$6:$J$2005,"Package",Appointments!$F$6:$F$2005,"No-show"),0))</f>
        <v/>
      </c>
      <c r="N65" s="18">
        <f>IF(OR(B65="",I65=""),"",IF(AND(J65="",TODAY()-I65&gt;=N(Services!$I$7)),"Not seen for "&amp;(TODAY()-I65)&amp;" days",""))</f>
        <v/>
      </c>
      <c r="O65" s="1">
        <f>IF(N(E65)=0,"",MONTH(E65))</f>
        <v/>
      </c>
    </row>
    <row r="66">
      <c r="A66" s="1" t="n"/>
      <c r="B66" s="35" t="inlineStr">
        <is>
          <t>Sara Cox</t>
        </is>
      </c>
      <c r="C66" s="32" t="inlineStr">
        <is>
          <t>555 0260</t>
        </is>
      </c>
      <c r="D66" s="32" t="n"/>
      <c r="E66" s="36" t="n"/>
      <c r="F66" s="30" t="n">
        <v>44979</v>
      </c>
      <c r="G66" s="32" t="n"/>
      <c r="H66" s="26">
        <f>IF(B66="","",COUNTIFS(Appointments!$D$6:$D$2005,B66,Appointments!$F$6:$F$2005,"Done"))</f>
        <v/>
      </c>
      <c r="I66" s="37">
        <f>IF(OR(B66="",N(H66)=0),"",INT(SUMIFS(Appointments!$M$6:$M$2005,Appointments!$D$6:$D$2005,B66,Appointments!$N$6:$N$2005,1)))</f>
        <v/>
      </c>
      <c r="J66" s="37">
        <f>IF(B66="","",IF(SUMIFS(Appointments!$M$6:$M$2005,Appointments!$D$6:$D$2005,B66,Appointments!$O$6:$O$2005,1)=0,"",INT(SUMIFS(Appointments!$M$6:$M$2005,Appointments!$D$6:$D$2005,B66,Appointments!$O$6:$O$2005,1))))</f>
        <v/>
      </c>
      <c r="K66" s="27">
        <f>IF(B66="","",SUMIFS(Appointments!$I$6:$I$2005,Appointments!$D$6:$D$2005,B66)+SUMIFS(Packages!$F$6:$F$305,Packages!$C$6:$C$305,B66))</f>
        <v/>
      </c>
      <c r="L66" s="28">
        <f>IF(B66="","",IF(SUMIFS(Appointments!$K$6:$K$2005,Appointments!$D$6:$D$2005,B66)=0,"",SUMIFS(Appointments!$K$6:$K$2005,Appointments!$D$6:$D$2005,B66)))</f>
        <v/>
      </c>
      <c r="M66" s="38">
        <f>IF(OR(B66="",SUMIFS(Packages!$E$6:$E$305,Packages!$C$6:$C$305,B66)=0),"",SUMIFS(Packages!$E$6:$E$305,Packages!$C$6:$C$305,B66)-COUNTIFS(Appointments!$D$6:$D$2005,B66,Appointments!$J$6:$J$2005,"Package",Appointments!$F$6:$F$2005,"Done")+IF(Services!$I$6="Yes",COUNTIFS(Appointments!$D$6:$D$2005,B66,Appointments!$J$6:$J$2005,"Package",Appointments!$F$6:$F$2005,"No-show"),0))</f>
        <v/>
      </c>
      <c r="N66" s="18">
        <f>IF(OR(B66="",I66=""),"",IF(AND(J66="",TODAY()-I66&gt;=N(Services!$I$7)),"Not seen for "&amp;(TODAY()-I66)&amp;" days",""))</f>
        <v/>
      </c>
      <c r="O66" s="1">
        <f>IF(N(E66)=0,"",MONTH(E66))</f>
        <v/>
      </c>
    </row>
    <row r="67">
      <c r="A67" s="1" t="n"/>
      <c r="B67" s="35" t="inlineStr">
        <is>
          <t>Adam King</t>
        </is>
      </c>
      <c r="C67" s="32" t="inlineStr">
        <is>
          <t>555 0261</t>
        </is>
      </c>
      <c r="D67" s="32" t="inlineStr">
        <is>
          <t>adam.k@example.com</t>
        </is>
      </c>
      <c r="E67" s="36" t="n">
        <v>34965</v>
      </c>
      <c r="F67" s="30" t="n">
        <v>44263</v>
      </c>
      <c r="G67" s="32" t="n"/>
      <c r="H67" s="26">
        <f>IF(B67="","",COUNTIFS(Appointments!$D$6:$D$2005,B67,Appointments!$F$6:$F$2005,"Done"))</f>
        <v/>
      </c>
      <c r="I67" s="37">
        <f>IF(OR(B67="",N(H67)=0),"",INT(SUMIFS(Appointments!$M$6:$M$2005,Appointments!$D$6:$D$2005,B67,Appointments!$N$6:$N$2005,1)))</f>
        <v/>
      </c>
      <c r="J67" s="37">
        <f>IF(B67="","",IF(SUMIFS(Appointments!$M$6:$M$2005,Appointments!$D$6:$D$2005,B67,Appointments!$O$6:$O$2005,1)=0,"",INT(SUMIFS(Appointments!$M$6:$M$2005,Appointments!$D$6:$D$2005,B67,Appointments!$O$6:$O$2005,1))))</f>
        <v/>
      </c>
      <c r="K67" s="27">
        <f>IF(B67="","",SUMIFS(Appointments!$I$6:$I$2005,Appointments!$D$6:$D$2005,B67)+SUMIFS(Packages!$F$6:$F$305,Packages!$C$6:$C$305,B67))</f>
        <v/>
      </c>
      <c r="L67" s="28">
        <f>IF(B67="","",IF(SUMIFS(Appointments!$K$6:$K$2005,Appointments!$D$6:$D$2005,B67)=0,"",SUMIFS(Appointments!$K$6:$K$2005,Appointments!$D$6:$D$2005,B67)))</f>
        <v/>
      </c>
      <c r="M67" s="38">
        <f>IF(OR(B67="",SUMIFS(Packages!$E$6:$E$305,Packages!$C$6:$C$305,B67)=0),"",SUMIFS(Packages!$E$6:$E$305,Packages!$C$6:$C$305,B67)-COUNTIFS(Appointments!$D$6:$D$2005,B67,Appointments!$J$6:$J$2005,"Package",Appointments!$F$6:$F$2005,"Done")+IF(Services!$I$6="Yes",COUNTIFS(Appointments!$D$6:$D$2005,B67,Appointments!$J$6:$J$2005,"Package",Appointments!$F$6:$F$2005,"No-show"),0))</f>
        <v/>
      </c>
      <c r="N67" s="18">
        <f>IF(OR(B67="",I67=""),"",IF(AND(J67="",TODAY()-I67&gt;=N(Services!$I$7)),"Not seen for "&amp;(TODAY()-I67)&amp;" days",""))</f>
        <v/>
      </c>
      <c r="O67" s="1">
        <f>IF(N(E67)=0,"",MONTH(E67))</f>
        <v/>
      </c>
    </row>
    <row r="68">
      <c r="A68" s="1" t="n"/>
      <c r="B68" s="35" t="inlineStr">
        <is>
          <t>Julia Young</t>
        </is>
      </c>
      <c r="C68" s="32" t="inlineStr">
        <is>
          <t>555 0262</t>
        </is>
      </c>
      <c r="D68" s="32" t="n"/>
      <c r="E68" s="36" t="n"/>
      <c r="F68" s="30" t="n">
        <v>44770</v>
      </c>
      <c r="G68" s="32" t="n"/>
      <c r="H68" s="26">
        <f>IF(B68="","",COUNTIFS(Appointments!$D$6:$D$2005,B68,Appointments!$F$6:$F$2005,"Done"))</f>
        <v/>
      </c>
      <c r="I68" s="37">
        <f>IF(OR(B68="",N(H68)=0),"",INT(SUMIFS(Appointments!$M$6:$M$2005,Appointments!$D$6:$D$2005,B68,Appointments!$N$6:$N$2005,1)))</f>
        <v/>
      </c>
      <c r="J68" s="37">
        <f>IF(B68="","",IF(SUMIFS(Appointments!$M$6:$M$2005,Appointments!$D$6:$D$2005,B68,Appointments!$O$6:$O$2005,1)=0,"",INT(SUMIFS(Appointments!$M$6:$M$2005,Appointments!$D$6:$D$2005,B68,Appointments!$O$6:$O$2005,1))))</f>
        <v/>
      </c>
      <c r="K68" s="27">
        <f>IF(B68="","",SUMIFS(Appointments!$I$6:$I$2005,Appointments!$D$6:$D$2005,B68)+SUMIFS(Packages!$F$6:$F$305,Packages!$C$6:$C$305,B68))</f>
        <v/>
      </c>
      <c r="L68" s="28">
        <f>IF(B68="","",IF(SUMIFS(Appointments!$K$6:$K$2005,Appointments!$D$6:$D$2005,B68)=0,"",SUMIFS(Appointments!$K$6:$K$2005,Appointments!$D$6:$D$2005,B68)))</f>
        <v/>
      </c>
      <c r="M68" s="38">
        <f>IF(OR(B68="",SUMIFS(Packages!$E$6:$E$305,Packages!$C$6:$C$305,B68)=0),"",SUMIFS(Packages!$E$6:$E$305,Packages!$C$6:$C$305,B68)-COUNTIFS(Appointments!$D$6:$D$2005,B68,Appointments!$J$6:$J$2005,"Package",Appointments!$F$6:$F$2005,"Done")+IF(Services!$I$6="Yes",COUNTIFS(Appointments!$D$6:$D$2005,B68,Appointments!$J$6:$J$2005,"Package",Appointments!$F$6:$F$2005,"No-show"),0))</f>
        <v/>
      </c>
      <c r="N68" s="18">
        <f>IF(OR(B68="",I68=""),"",IF(AND(J68="",TODAY()-I68&gt;=N(Services!$I$7)),"Not seen for "&amp;(TODAY()-I68)&amp;" days",""))</f>
        <v/>
      </c>
      <c r="O68" s="1">
        <f>IF(N(E68)=0,"",MONTH(E68))</f>
        <v/>
      </c>
    </row>
    <row r="69">
      <c r="A69" s="1" t="n"/>
      <c r="B69" s="35" t="inlineStr">
        <is>
          <t>Ruby Shaw</t>
        </is>
      </c>
      <c r="C69" s="32" t="inlineStr">
        <is>
          <t>555 0263</t>
        </is>
      </c>
      <c r="D69" s="32" t="n"/>
      <c r="E69" s="36" t="n"/>
      <c r="F69" s="30" t="n">
        <v>44788</v>
      </c>
      <c r="G69" s="32" t="n"/>
      <c r="H69" s="26">
        <f>IF(B69="","",COUNTIFS(Appointments!$D$6:$D$2005,B69,Appointments!$F$6:$F$2005,"Done"))</f>
        <v/>
      </c>
      <c r="I69" s="37">
        <f>IF(OR(B69="",N(H69)=0),"",INT(SUMIFS(Appointments!$M$6:$M$2005,Appointments!$D$6:$D$2005,B69,Appointments!$N$6:$N$2005,1)))</f>
        <v/>
      </c>
      <c r="J69" s="37">
        <f>IF(B69="","",IF(SUMIFS(Appointments!$M$6:$M$2005,Appointments!$D$6:$D$2005,B69,Appointments!$O$6:$O$2005,1)=0,"",INT(SUMIFS(Appointments!$M$6:$M$2005,Appointments!$D$6:$D$2005,B69,Appointments!$O$6:$O$2005,1))))</f>
        <v/>
      </c>
      <c r="K69" s="27">
        <f>IF(B69="","",SUMIFS(Appointments!$I$6:$I$2005,Appointments!$D$6:$D$2005,B69)+SUMIFS(Packages!$F$6:$F$305,Packages!$C$6:$C$305,B69))</f>
        <v/>
      </c>
      <c r="L69" s="28">
        <f>IF(B69="","",IF(SUMIFS(Appointments!$K$6:$K$2005,Appointments!$D$6:$D$2005,B69)=0,"",SUMIFS(Appointments!$K$6:$K$2005,Appointments!$D$6:$D$2005,B69)))</f>
        <v/>
      </c>
      <c r="M69" s="38">
        <f>IF(OR(B69="",SUMIFS(Packages!$E$6:$E$305,Packages!$C$6:$C$305,B69)=0),"",SUMIFS(Packages!$E$6:$E$305,Packages!$C$6:$C$305,B69)-COUNTIFS(Appointments!$D$6:$D$2005,B69,Appointments!$J$6:$J$2005,"Package",Appointments!$F$6:$F$2005,"Done")+IF(Services!$I$6="Yes",COUNTIFS(Appointments!$D$6:$D$2005,B69,Appointments!$J$6:$J$2005,"Package",Appointments!$F$6:$F$2005,"No-show"),0))</f>
        <v/>
      </c>
      <c r="N69" s="18">
        <f>IF(OR(B69="",I69=""),"",IF(AND(J69="",TODAY()-I69&gt;=N(Services!$I$7)),"Not seen for "&amp;(TODAY()-I69)&amp;" days",""))</f>
        <v/>
      </c>
      <c r="O69" s="1">
        <f>IF(N(E69)=0,"",MONTH(E69))</f>
        <v/>
      </c>
    </row>
    <row r="70">
      <c r="A70" s="1" t="n"/>
      <c r="B70" s="35" t="inlineStr">
        <is>
          <t>Lucy Wood</t>
        </is>
      </c>
      <c r="C70" s="32" t="inlineStr">
        <is>
          <t>555 0264</t>
        </is>
      </c>
      <c r="D70" s="32" t="n"/>
      <c r="E70" s="36" t="n"/>
      <c r="F70" s="30" t="n">
        <v>45464</v>
      </c>
      <c r="G70" s="32" t="n"/>
      <c r="H70" s="26">
        <f>IF(B70="","",COUNTIFS(Appointments!$D$6:$D$2005,B70,Appointments!$F$6:$F$2005,"Done"))</f>
        <v/>
      </c>
      <c r="I70" s="37">
        <f>IF(OR(B70="",N(H70)=0),"",INT(SUMIFS(Appointments!$M$6:$M$2005,Appointments!$D$6:$D$2005,B70,Appointments!$N$6:$N$2005,1)))</f>
        <v/>
      </c>
      <c r="J70" s="37">
        <f>IF(B70="","",IF(SUMIFS(Appointments!$M$6:$M$2005,Appointments!$D$6:$D$2005,B70,Appointments!$O$6:$O$2005,1)=0,"",INT(SUMIFS(Appointments!$M$6:$M$2005,Appointments!$D$6:$D$2005,B70,Appointments!$O$6:$O$2005,1))))</f>
        <v/>
      </c>
      <c r="K70" s="27">
        <f>IF(B70="","",SUMIFS(Appointments!$I$6:$I$2005,Appointments!$D$6:$D$2005,B70)+SUMIFS(Packages!$F$6:$F$305,Packages!$C$6:$C$305,B70))</f>
        <v/>
      </c>
      <c r="L70" s="28">
        <f>IF(B70="","",IF(SUMIFS(Appointments!$K$6:$K$2005,Appointments!$D$6:$D$2005,B70)=0,"",SUMIFS(Appointments!$K$6:$K$2005,Appointments!$D$6:$D$2005,B70)))</f>
        <v/>
      </c>
      <c r="M70" s="38">
        <f>IF(OR(B70="",SUMIFS(Packages!$E$6:$E$305,Packages!$C$6:$C$305,B70)=0),"",SUMIFS(Packages!$E$6:$E$305,Packages!$C$6:$C$305,B70)-COUNTIFS(Appointments!$D$6:$D$2005,B70,Appointments!$J$6:$J$2005,"Package",Appointments!$F$6:$F$2005,"Done")+IF(Services!$I$6="Yes",COUNTIFS(Appointments!$D$6:$D$2005,B70,Appointments!$J$6:$J$2005,"Package",Appointments!$F$6:$F$2005,"No-show"),0))</f>
        <v/>
      </c>
      <c r="N70" s="18">
        <f>IF(OR(B70="",I70=""),"",IF(AND(J70="",TODAY()-I70&gt;=N(Services!$I$7)),"Not seen for "&amp;(TODAY()-I70)&amp;" days",""))</f>
        <v/>
      </c>
      <c r="O70" s="1">
        <f>IF(N(E70)=0,"",MONTH(E70))</f>
        <v/>
      </c>
    </row>
    <row r="71">
      <c r="A71" s="1" t="n"/>
      <c r="B71" s="35" t="inlineStr">
        <is>
          <t>Tom Davies</t>
        </is>
      </c>
      <c r="C71" s="32" t="inlineStr">
        <is>
          <t>555 0265</t>
        </is>
      </c>
      <c r="D71" s="32" t="inlineStr">
        <is>
          <t>tom.d@example.com</t>
        </is>
      </c>
      <c r="E71" s="36" t="n"/>
      <c r="F71" s="30" t="n">
        <v>44334</v>
      </c>
      <c r="G71" s="32" t="n"/>
      <c r="H71" s="26">
        <f>IF(B71="","",COUNTIFS(Appointments!$D$6:$D$2005,B71,Appointments!$F$6:$F$2005,"Done"))</f>
        <v/>
      </c>
      <c r="I71" s="37">
        <f>IF(OR(B71="",N(H71)=0),"",INT(SUMIFS(Appointments!$M$6:$M$2005,Appointments!$D$6:$D$2005,B71,Appointments!$N$6:$N$2005,1)))</f>
        <v/>
      </c>
      <c r="J71" s="37">
        <f>IF(B71="","",IF(SUMIFS(Appointments!$M$6:$M$2005,Appointments!$D$6:$D$2005,B71,Appointments!$O$6:$O$2005,1)=0,"",INT(SUMIFS(Appointments!$M$6:$M$2005,Appointments!$D$6:$D$2005,B71,Appointments!$O$6:$O$2005,1))))</f>
        <v/>
      </c>
      <c r="K71" s="27">
        <f>IF(B71="","",SUMIFS(Appointments!$I$6:$I$2005,Appointments!$D$6:$D$2005,B71)+SUMIFS(Packages!$F$6:$F$305,Packages!$C$6:$C$305,B71))</f>
        <v/>
      </c>
      <c r="L71" s="28">
        <f>IF(B71="","",IF(SUMIFS(Appointments!$K$6:$K$2005,Appointments!$D$6:$D$2005,B71)=0,"",SUMIFS(Appointments!$K$6:$K$2005,Appointments!$D$6:$D$2005,B71)))</f>
        <v/>
      </c>
      <c r="M71" s="38">
        <f>IF(OR(B71="",SUMIFS(Packages!$E$6:$E$305,Packages!$C$6:$C$305,B71)=0),"",SUMIFS(Packages!$E$6:$E$305,Packages!$C$6:$C$305,B71)-COUNTIFS(Appointments!$D$6:$D$2005,B71,Appointments!$J$6:$J$2005,"Package",Appointments!$F$6:$F$2005,"Done")+IF(Services!$I$6="Yes",COUNTIFS(Appointments!$D$6:$D$2005,B71,Appointments!$J$6:$J$2005,"Package",Appointments!$F$6:$F$2005,"No-show"),0))</f>
        <v/>
      </c>
      <c r="N71" s="18">
        <f>IF(OR(B71="",I71=""),"",IF(AND(J71="",TODAY()-I71&gt;=N(Services!$I$7)),"Not seen for "&amp;(TODAY()-I71)&amp;" days",""))</f>
        <v/>
      </c>
      <c r="O71" s="1">
        <f>IF(N(E71)=0,"",MONTH(E71))</f>
        <v/>
      </c>
    </row>
    <row r="72">
      <c r="A72" s="1" t="n"/>
      <c r="B72" s="35" t="inlineStr">
        <is>
          <t>Dina Baker</t>
        </is>
      </c>
      <c r="C72" s="32" t="inlineStr">
        <is>
          <t>555 0266</t>
        </is>
      </c>
      <c r="D72" s="32" t="inlineStr">
        <is>
          <t>dina.b@example.com</t>
        </is>
      </c>
      <c r="E72" s="36" t="n">
        <v>34138</v>
      </c>
      <c r="F72" s="30" t="n">
        <v>45428</v>
      </c>
      <c r="G72" s="32" t="n"/>
      <c r="H72" s="26">
        <f>IF(B72="","",COUNTIFS(Appointments!$D$6:$D$2005,B72,Appointments!$F$6:$F$2005,"Done"))</f>
        <v/>
      </c>
      <c r="I72" s="37">
        <f>IF(OR(B72="",N(H72)=0),"",INT(SUMIFS(Appointments!$M$6:$M$2005,Appointments!$D$6:$D$2005,B72,Appointments!$N$6:$N$2005,1)))</f>
        <v/>
      </c>
      <c r="J72" s="37">
        <f>IF(B72="","",IF(SUMIFS(Appointments!$M$6:$M$2005,Appointments!$D$6:$D$2005,B72,Appointments!$O$6:$O$2005,1)=0,"",INT(SUMIFS(Appointments!$M$6:$M$2005,Appointments!$D$6:$D$2005,B72,Appointments!$O$6:$O$2005,1))))</f>
        <v/>
      </c>
      <c r="K72" s="27">
        <f>IF(B72="","",SUMIFS(Appointments!$I$6:$I$2005,Appointments!$D$6:$D$2005,B72)+SUMIFS(Packages!$F$6:$F$305,Packages!$C$6:$C$305,B72))</f>
        <v/>
      </c>
      <c r="L72" s="28">
        <f>IF(B72="","",IF(SUMIFS(Appointments!$K$6:$K$2005,Appointments!$D$6:$D$2005,B72)=0,"",SUMIFS(Appointments!$K$6:$K$2005,Appointments!$D$6:$D$2005,B72)))</f>
        <v/>
      </c>
      <c r="M72" s="38">
        <f>IF(OR(B72="",SUMIFS(Packages!$E$6:$E$305,Packages!$C$6:$C$305,B72)=0),"",SUMIFS(Packages!$E$6:$E$305,Packages!$C$6:$C$305,B72)-COUNTIFS(Appointments!$D$6:$D$2005,B72,Appointments!$J$6:$J$2005,"Package",Appointments!$F$6:$F$2005,"Done")+IF(Services!$I$6="Yes",COUNTIFS(Appointments!$D$6:$D$2005,B72,Appointments!$J$6:$J$2005,"Package",Appointments!$F$6:$F$2005,"No-show"),0))</f>
        <v/>
      </c>
      <c r="N72" s="18">
        <f>IF(OR(B72="",I72=""),"",IF(AND(J72="",TODAY()-I72&gt;=N(Services!$I$7)),"Not seen for "&amp;(TODAY()-I72)&amp;" days",""))</f>
        <v/>
      </c>
      <c r="O72" s="1">
        <f>IF(N(E72)=0,"",MONTH(E72))</f>
        <v/>
      </c>
    </row>
    <row r="73">
      <c r="A73" s="1" t="n"/>
      <c r="B73" s="35" t="inlineStr">
        <is>
          <t>Sophie Stone</t>
        </is>
      </c>
      <c r="C73" s="32" t="inlineStr">
        <is>
          <t>555 0267</t>
        </is>
      </c>
      <c r="D73" s="32" t="n"/>
      <c r="E73" s="36" t="n">
        <v>31742</v>
      </c>
      <c r="F73" s="30" t="n">
        <v>44778</v>
      </c>
      <c r="G73" s="32" t="n"/>
      <c r="H73" s="26">
        <f>IF(B73="","",COUNTIFS(Appointments!$D$6:$D$2005,B73,Appointments!$F$6:$F$2005,"Done"))</f>
        <v/>
      </c>
      <c r="I73" s="37">
        <f>IF(OR(B73="",N(H73)=0),"",INT(SUMIFS(Appointments!$M$6:$M$2005,Appointments!$D$6:$D$2005,B73,Appointments!$N$6:$N$2005,1)))</f>
        <v/>
      </c>
      <c r="J73" s="37">
        <f>IF(B73="","",IF(SUMIFS(Appointments!$M$6:$M$2005,Appointments!$D$6:$D$2005,B73,Appointments!$O$6:$O$2005,1)=0,"",INT(SUMIFS(Appointments!$M$6:$M$2005,Appointments!$D$6:$D$2005,B73,Appointments!$O$6:$O$2005,1))))</f>
        <v/>
      </c>
      <c r="K73" s="27">
        <f>IF(B73="","",SUMIFS(Appointments!$I$6:$I$2005,Appointments!$D$6:$D$2005,B73)+SUMIFS(Packages!$F$6:$F$305,Packages!$C$6:$C$305,B73))</f>
        <v/>
      </c>
      <c r="L73" s="28">
        <f>IF(B73="","",IF(SUMIFS(Appointments!$K$6:$K$2005,Appointments!$D$6:$D$2005,B73)=0,"",SUMIFS(Appointments!$K$6:$K$2005,Appointments!$D$6:$D$2005,B73)))</f>
        <v/>
      </c>
      <c r="M73" s="38">
        <f>IF(OR(B73="",SUMIFS(Packages!$E$6:$E$305,Packages!$C$6:$C$305,B73)=0),"",SUMIFS(Packages!$E$6:$E$305,Packages!$C$6:$C$305,B73)-COUNTIFS(Appointments!$D$6:$D$2005,B73,Appointments!$J$6:$J$2005,"Package",Appointments!$F$6:$F$2005,"Done")+IF(Services!$I$6="Yes",COUNTIFS(Appointments!$D$6:$D$2005,B73,Appointments!$J$6:$J$2005,"Package",Appointments!$F$6:$F$2005,"No-show"),0))</f>
        <v/>
      </c>
      <c r="N73" s="18">
        <f>IF(OR(B73="",I73=""),"",IF(AND(J73="",TODAY()-I73&gt;=N(Services!$I$7)),"Not seen for "&amp;(TODAY()-I73)&amp;" days",""))</f>
        <v/>
      </c>
      <c r="O73" s="1">
        <f>IF(N(E73)=0,"",MONTH(E73))</f>
        <v/>
      </c>
    </row>
    <row r="74">
      <c r="A74" s="1" t="n"/>
      <c r="B74" s="35" t="inlineStr">
        <is>
          <t>Owen Walsh</t>
        </is>
      </c>
      <c r="C74" s="32" t="inlineStr">
        <is>
          <t>555 0268</t>
        </is>
      </c>
      <c r="D74" s="32" t="n"/>
      <c r="E74" s="36" t="n"/>
      <c r="F74" s="30" t="n">
        <v>44301</v>
      </c>
      <c r="G74" s="32" t="n"/>
      <c r="H74" s="26">
        <f>IF(B74="","",COUNTIFS(Appointments!$D$6:$D$2005,B74,Appointments!$F$6:$F$2005,"Done"))</f>
        <v/>
      </c>
      <c r="I74" s="37">
        <f>IF(OR(B74="",N(H74)=0),"",INT(SUMIFS(Appointments!$M$6:$M$2005,Appointments!$D$6:$D$2005,B74,Appointments!$N$6:$N$2005,1)))</f>
        <v/>
      </c>
      <c r="J74" s="37">
        <f>IF(B74="","",IF(SUMIFS(Appointments!$M$6:$M$2005,Appointments!$D$6:$D$2005,B74,Appointments!$O$6:$O$2005,1)=0,"",INT(SUMIFS(Appointments!$M$6:$M$2005,Appointments!$D$6:$D$2005,B74,Appointments!$O$6:$O$2005,1))))</f>
        <v/>
      </c>
      <c r="K74" s="27">
        <f>IF(B74="","",SUMIFS(Appointments!$I$6:$I$2005,Appointments!$D$6:$D$2005,B74)+SUMIFS(Packages!$F$6:$F$305,Packages!$C$6:$C$305,B74))</f>
        <v/>
      </c>
      <c r="L74" s="28">
        <f>IF(B74="","",IF(SUMIFS(Appointments!$K$6:$K$2005,Appointments!$D$6:$D$2005,B74)=0,"",SUMIFS(Appointments!$K$6:$K$2005,Appointments!$D$6:$D$2005,B74)))</f>
        <v/>
      </c>
      <c r="M74" s="38">
        <f>IF(OR(B74="",SUMIFS(Packages!$E$6:$E$305,Packages!$C$6:$C$305,B74)=0),"",SUMIFS(Packages!$E$6:$E$305,Packages!$C$6:$C$305,B74)-COUNTIFS(Appointments!$D$6:$D$2005,B74,Appointments!$J$6:$J$2005,"Package",Appointments!$F$6:$F$2005,"Done")+IF(Services!$I$6="Yes",COUNTIFS(Appointments!$D$6:$D$2005,B74,Appointments!$J$6:$J$2005,"Package",Appointments!$F$6:$F$2005,"No-show"),0))</f>
        <v/>
      </c>
      <c r="N74" s="18">
        <f>IF(OR(B74="",I74=""),"",IF(AND(J74="",TODAY()-I74&gt;=N(Services!$I$7)),"Not seen for "&amp;(TODAY()-I74)&amp;" days",""))</f>
        <v/>
      </c>
      <c r="O74" s="1">
        <f>IF(N(E74)=0,"",MONTH(E74))</f>
        <v/>
      </c>
    </row>
    <row r="75">
      <c r="A75" s="1" t="n"/>
      <c r="B75" s="35" t="inlineStr">
        <is>
          <t>Tom Gray</t>
        </is>
      </c>
      <c r="C75" s="32" t="inlineStr">
        <is>
          <t>555 0269</t>
        </is>
      </c>
      <c r="D75" s="32" t="n"/>
      <c r="E75" s="36" t="n"/>
      <c r="F75" s="30" t="n">
        <v>45787</v>
      </c>
      <c r="G75" s="32" t="n"/>
      <c r="H75" s="26">
        <f>IF(B75="","",COUNTIFS(Appointments!$D$6:$D$2005,B75,Appointments!$F$6:$F$2005,"Done"))</f>
        <v/>
      </c>
      <c r="I75" s="37">
        <f>IF(OR(B75="",N(H75)=0),"",INT(SUMIFS(Appointments!$M$6:$M$2005,Appointments!$D$6:$D$2005,B75,Appointments!$N$6:$N$2005,1)))</f>
        <v/>
      </c>
      <c r="J75" s="37">
        <f>IF(B75="","",IF(SUMIFS(Appointments!$M$6:$M$2005,Appointments!$D$6:$D$2005,B75,Appointments!$O$6:$O$2005,1)=0,"",INT(SUMIFS(Appointments!$M$6:$M$2005,Appointments!$D$6:$D$2005,B75,Appointments!$O$6:$O$2005,1))))</f>
        <v/>
      </c>
      <c r="K75" s="27">
        <f>IF(B75="","",SUMIFS(Appointments!$I$6:$I$2005,Appointments!$D$6:$D$2005,B75)+SUMIFS(Packages!$F$6:$F$305,Packages!$C$6:$C$305,B75))</f>
        <v/>
      </c>
      <c r="L75" s="28">
        <f>IF(B75="","",IF(SUMIFS(Appointments!$K$6:$K$2005,Appointments!$D$6:$D$2005,B75)=0,"",SUMIFS(Appointments!$K$6:$K$2005,Appointments!$D$6:$D$2005,B75)))</f>
        <v/>
      </c>
      <c r="M75" s="38">
        <f>IF(OR(B75="",SUMIFS(Packages!$E$6:$E$305,Packages!$C$6:$C$305,B75)=0),"",SUMIFS(Packages!$E$6:$E$305,Packages!$C$6:$C$305,B75)-COUNTIFS(Appointments!$D$6:$D$2005,B75,Appointments!$J$6:$J$2005,"Package",Appointments!$F$6:$F$2005,"Done")+IF(Services!$I$6="Yes",COUNTIFS(Appointments!$D$6:$D$2005,B75,Appointments!$J$6:$J$2005,"Package",Appointments!$F$6:$F$2005,"No-show"),0))</f>
        <v/>
      </c>
      <c r="N75" s="18">
        <f>IF(OR(B75="",I75=""),"",IF(AND(J75="",TODAY()-I75&gt;=N(Services!$I$7)),"Not seen for "&amp;(TODAY()-I75)&amp;" days",""))</f>
        <v/>
      </c>
      <c r="O75" s="1">
        <f>IF(N(E75)=0,"",MONTH(E75))</f>
        <v/>
      </c>
    </row>
    <row r="76">
      <c r="A76" s="1" t="n"/>
      <c r="B76" s="35" t="inlineStr">
        <is>
          <t>Kyle Hughes</t>
        </is>
      </c>
      <c r="C76" s="32" t="inlineStr">
        <is>
          <t>555 0270</t>
        </is>
      </c>
      <c r="D76" s="32" t="inlineStr">
        <is>
          <t>kyle.h@example.com</t>
        </is>
      </c>
      <c r="E76" s="36" t="n">
        <v>36412</v>
      </c>
      <c r="F76" s="30" t="n">
        <v>45876</v>
      </c>
      <c r="G76" s="32" t="n"/>
      <c r="H76" s="26">
        <f>IF(B76="","",COUNTIFS(Appointments!$D$6:$D$2005,B76,Appointments!$F$6:$F$2005,"Done"))</f>
        <v/>
      </c>
      <c r="I76" s="37">
        <f>IF(OR(B76="",N(H76)=0),"",INT(SUMIFS(Appointments!$M$6:$M$2005,Appointments!$D$6:$D$2005,B76,Appointments!$N$6:$N$2005,1)))</f>
        <v/>
      </c>
      <c r="J76" s="37">
        <f>IF(B76="","",IF(SUMIFS(Appointments!$M$6:$M$2005,Appointments!$D$6:$D$2005,B76,Appointments!$O$6:$O$2005,1)=0,"",INT(SUMIFS(Appointments!$M$6:$M$2005,Appointments!$D$6:$D$2005,B76,Appointments!$O$6:$O$2005,1))))</f>
        <v/>
      </c>
      <c r="K76" s="27">
        <f>IF(B76="","",SUMIFS(Appointments!$I$6:$I$2005,Appointments!$D$6:$D$2005,B76)+SUMIFS(Packages!$F$6:$F$305,Packages!$C$6:$C$305,B76))</f>
        <v/>
      </c>
      <c r="L76" s="28">
        <f>IF(B76="","",IF(SUMIFS(Appointments!$K$6:$K$2005,Appointments!$D$6:$D$2005,B76)=0,"",SUMIFS(Appointments!$K$6:$K$2005,Appointments!$D$6:$D$2005,B76)))</f>
        <v/>
      </c>
      <c r="M76" s="38">
        <f>IF(OR(B76="",SUMIFS(Packages!$E$6:$E$305,Packages!$C$6:$C$305,B76)=0),"",SUMIFS(Packages!$E$6:$E$305,Packages!$C$6:$C$305,B76)-COUNTIFS(Appointments!$D$6:$D$2005,B76,Appointments!$J$6:$J$2005,"Package",Appointments!$F$6:$F$2005,"Done")+IF(Services!$I$6="Yes",COUNTIFS(Appointments!$D$6:$D$2005,B76,Appointments!$J$6:$J$2005,"Package",Appointments!$F$6:$F$2005,"No-show"),0))</f>
        <v/>
      </c>
      <c r="N76" s="18">
        <f>IF(OR(B76="",I76=""),"",IF(AND(J76="",TODAY()-I76&gt;=N(Services!$I$7)),"Not seen for "&amp;(TODAY()-I76)&amp;" days",""))</f>
        <v/>
      </c>
      <c r="O76" s="1">
        <f>IF(N(E76)=0,"",MONTH(E76))</f>
        <v/>
      </c>
    </row>
    <row r="77">
      <c r="A77" s="1" t="n"/>
      <c r="B77" s="35" t="inlineStr">
        <is>
          <t>Finn Davies</t>
        </is>
      </c>
      <c r="C77" s="32" t="inlineStr">
        <is>
          <t>555 0271</t>
        </is>
      </c>
      <c r="D77" s="32" t="n"/>
      <c r="E77" s="36" t="n"/>
      <c r="F77" s="30" t="n">
        <v>44441</v>
      </c>
      <c r="G77" s="32" t="n"/>
      <c r="H77" s="26">
        <f>IF(B77="","",COUNTIFS(Appointments!$D$6:$D$2005,B77,Appointments!$F$6:$F$2005,"Done"))</f>
        <v/>
      </c>
      <c r="I77" s="37">
        <f>IF(OR(B77="",N(H77)=0),"",INT(SUMIFS(Appointments!$M$6:$M$2005,Appointments!$D$6:$D$2005,B77,Appointments!$N$6:$N$2005,1)))</f>
        <v/>
      </c>
      <c r="J77" s="37">
        <f>IF(B77="","",IF(SUMIFS(Appointments!$M$6:$M$2005,Appointments!$D$6:$D$2005,B77,Appointments!$O$6:$O$2005,1)=0,"",INT(SUMIFS(Appointments!$M$6:$M$2005,Appointments!$D$6:$D$2005,B77,Appointments!$O$6:$O$2005,1))))</f>
        <v/>
      </c>
      <c r="K77" s="27">
        <f>IF(B77="","",SUMIFS(Appointments!$I$6:$I$2005,Appointments!$D$6:$D$2005,B77)+SUMIFS(Packages!$F$6:$F$305,Packages!$C$6:$C$305,B77))</f>
        <v/>
      </c>
      <c r="L77" s="28">
        <f>IF(B77="","",IF(SUMIFS(Appointments!$K$6:$K$2005,Appointments!$D$6:$D$2005,B77)=0,"",SUMIFS(Appointments!$K$6:$K$2005,Appointments!$D$6:$D$2005,B77)))</f>
        <v/>
      </c>
      <c r="M77" s="38">
        <f>IF(OR(B77="",SUMIFS(Packages!$E$6:$E$305,Packages!$C$6:$C$305,B77)=0),"",SUMIFS(Packages!$E$6:$E$305,Packages!$C$6:$C$305,B77)-COUNTIFS(Appointments!$D$6:$D$2005,B77,Appointments!$J$6:$J$2005,"Package",Appointments!$F$6:$F$2005,"Done")+IF(Services!$I$6="Yes",COUNTIFS(Appointments!$D$6:$D$2005,B77,Appointments!$J$6:$J$2005,"Package",Appointments!$F$6:$F$2005,"No-show"),0))</f>
        <v/>
      </c>
      <c r="N77" s="18">
        <f>IF(OR(B77="",I77=""),"",IF(AND(J77="",TODAY()-I77&gt;=N(Services!$I$7)),"Not seen for "&amp;(TODAY()-I77)&amp;" days",""))</f>
        <v/>
      </c>
      <c r="O77" s="1">
        <f>IF(N(E77)=0,"",MONTH(E77))</f>
        <v/>
      </c>
    </row>
    <row r="78">
      <c r="A78" s="1" t="n"/>
      <c r="B78" s="35" t="inlineStr">
        <is>
          <t>Chris Cook</t>
        </is>
      </c>
      <c r="C78" s="32" t="inlineStr">
        <is>
          <t>555 0272</t>
        </is>
      </c>
      <c r="D78" s="32" t="n"/>
      <c r="E78" s="36" t="n">
        <v>36386</v>
      </c>
      <c r="F78" s="30" t="n">
        <v>45420</v>
      </c>
      <c r="G78" s="32" t="n"/>
      <c r="H78" s="26">
        <f>IF(B78="","",COUNTIFS(Appointments!$D$6:$D$2005,B78,Appointments!$F$6:$F$2005,"Done"))</f>
        <v/>
      </c>
      <c r="I78" s="37">
        <f>IF(OR(B78="",N(H78)=0),"",INT(SUMIFS(Appointments!$M$6:$M$2005,Appointments!$D$6:$D$2005,B78,Appointments!$N$6:$N$2005,1)))</f>
        <v/>
      </c>
      <c r="J78" s="37">
        <f>IF(B78="","",IF(SUMIFS(Appointments!$M$6:$M$2005,Appointments!$D$6:$D$2005,B78,Appointments!$O$6:$O$2005,1)=0,"",INT(SUMIFS(Appointments!$M$6:$M$2005,Appointments!$D$6:$D$2005,B78,Appointments!$O$6:$O$2005,1))))</f>
        <v/>
      </c>
      <c r="K78" s="27">
        <f>IF(B78="","",SUMIFS(Appointments!$I$6:$I$2005,Appointments!$D$6:$D$2005,B78)+SUMIFS(Packages!$F$6:$F$305,Packages!$C$6:$C$305,B78))</f>
        <v/>
      </c>
      <c r="L78" s="28">
        <f>IF(B78="","",IF(SUMIFS(Appointments!$K$6:$K$2005,Appointments!$D$6:$D$2005,B78)=0,"",SUMIFS(Appointments!$K$6:$K$2005,Appointments!$D$6:$D$2005,B78)))</f>
        <v/>
      </c>
      <c r="M78" s="38">
        <f>IF(OR(B78="",SUMIFS(Packages!$E$6:$E$305,Packages!$C$6:$C$305,B78)=0),"",SUMIFS(Packages!$E$6:$E$305,Packages!$C$6:$C$305,B78)-COUNTIFS(Appointments!$D$6:$D$2005,B78,Appointments!$J$6:$J$2005,"Package",Appointments!$F$6:$F$2005,"Done")+IF(Services!$I$6="Yes",COUNTIFS(Appointments!$D$6:$D$2005,B78,Appointments!$J$6:$J$2005,"Package",Appointments!$F$6:$F$2005,"No-show"),0))</f>
        <v/>
      </c>
      <c r="N78" s="18">
        <f>IF(OR(B78="",I78=""),"",IF(AND(J78="",TODAY()-I78&gt;=N(Services!$I$7)),"Not seen for "&amp;(TODAY()-I78)&amp;" days",""))</f>
        <v/>
      </c>
      <c r="O78" s="1">
        <f>IF(N(E78)=0,"",MONTH(E78))</f>
        <v/>
      </c>
    </row>
    <row r="79">
      <c r="A79" s="1" t="n"/>
      <c r="B79" s="35" t="inlineStr">
        <is>
          <t>Chris Ellis</t>
        </is>
      </c>
      <c r="C79" s="32" t="inlineStr">
        <is>
          <t>555 0273</t>
        </is>
      </c>
      <c r="D79" s="32" t="inlineStr">
        <is>
          <t>chris.e@example.com</t>
        </is>
      </c>
      <c r="E79" s="36" t="n"/>
      <c r="F79" s="30" t="n">
        <v>45546</v>
      </c>
      <c r="G79" s="32" t="n"/>
      <c r="H79" s="26">
        <f>IF(B79="","",COUNTIFS(Appointments!$D$6:$D$2005,B79,Appointments!$F$6:$F$2005,"Done"))</f>
        <v/>
      </c>
      <c r="I79" s="37">
        <f>IF(OR(B79="",N(H79)=0),"",INT(SUMIFS(Appointments!$M$6:$M$2005,Appointments!$D$6:$D$2005,B79,Appointments!$N$6:$N$2005,1)))</f>
        <v/>
      </c>
      <c r="J79" s="37">
        <f>IF(B79="","",IF(SUMIFS(Appointments!$M$6:$M$2005,Appointments!$D$6:$D$2005,B79,Appointments!$O$6:$O$2005,1)=0,"",INT(SUMIFS(Appointments!$M$6:$M$2005,Appointments!$D$6:$D$2005,B79,Appointments!$O$6:$O$2005,1))))</f>
        <v/>
      </c>
      <c r="K79" s="27">
        <f>IF(B79="","",SUMIFS(Appointments!$I$6:$I$2005,Appointments!$D$6:$D$2005,B79)+SUMIFS(Packages!$F$6:$F$305,Packages!$C$6:$C$305,B79))</f>
        <v/>
      </c>
      <c r="L79" s="28">
        <f>IF(B79="","",IF(SUMIFS(Appointments!$K$6:$K$2005,Appointments!$D$6:$D$2005,B79)=0,"",SUMIFS(Appointments!$K$6:$K$2005,Appointments!$D$6:$D$2005,B79)))</f>
        <v/>
      </c>
      <c r="M79" s="38">
        <f>IF(OR(B79="",SUMIFS(Packages!$E$6:$E$305,Packages!$C$6:$C$305,B79)=0),"",SUMIFS(Packages!$E$6:$E$305,Packages!$C$6:$C$305,B79)-COUNTIFS(Appointments!$D$6:$D$2005,B79,Appointments!$J$6:$J$2005,"Package",Appointments!$F$6:$F$2005,"Done")+IF(Services!$I$6="Yes",COUNTIFS(Appointments!$D$6:$D$2005,B79,Appointments!$J$6:$J$2005,"Package",Appointments!$F$6:$F$2005,"No-show"),0))</f>
        <v/>
      </c>
      <c r="N79" s="18">
        <f>IF(OR(B79="",I79=""),"",IF(AND(J79="",TODAY()-I79&gt;=N(Services!$I$7)),"Not seen for "&amp;(TODAY()-I79)&amp;" days",""))</f>
        <v/>
      </c>
      <c r="O79" s="1">
        <f>IF(N(E79)=0,"",MONTH(E79))</f>
        <v/>
      </c>
    </row>
    <row r="80">
      <c r="A80" s="1" t="n"/>
      <c r="B80" s="35" t="inlineStr">
        <is>
          <t>Holly Shaw</t>
        </is>
      </c>
      <c r="C80" s="32" t="inlineStr">
        <is>
          <t>555 0274</t>
        </is>
      </c>
      <c r="D80" s="32" t="n"/>
      <c r="E80" s="36" t="n"/>
      <c r="F80" s="30" t="n">
        <v>44920</v>
      </c>
      <c r="G80" s="32" t="n"/>
      <c r="H80" s="26">
        <f>IF(B80="","",COUNTIFS(Appointments!$D$6:$D$2005,B80,Appointments!$F$6:$F$2005,"Done"))</f>
        <v/>
      </c>
      <c r="I80" s="37">
        <f>IF(OR(B80="",N(H80)=0),"",INT(SUMIFS(Appointments!$M$6:$M$2005,Appointments!$D$6:$D$2005,B80,Appointments!$N$6:$N$2005,1)))</f>
        <v/>
      </c>
      <c r="J80" s="37">
        <f>IF(B80="","",IF(SUMIFS(Appointments!$M$6:$M$2005,Appointments!$D$6:$D$2005,B80,Appointments!$O$6:$O$2005,1)=0,"",INT(SUMIFS(Appointments!$M$6:$M$2005,Appointments!$D$6:$D$2005,B80,Appointments!$O$6:$O$2005,1))))</f>
        <v/>
      </c>
      <c r="K80" s="27">
        <f>IF(B80="","",SUMIFS(Appointments!$I$6:$I$2005,Appointments!$D$6:$D$2005,B80)+SUMIFS(Packages!$F$6:$F$305,Packages!$C$6:$C$305,B80))</f>
        <v/>
      </c>
      <c r="L80" s="28">
        <f>IF(B80="","",IF(SUMIFS(Appointments!$K$6:$K$2005,Appointments!$D$6:$D$2005,B80)=0,"",SUMIFS(Appointments!$K$6:$K$2005,Appointments!$D$6:$D$2005,B80)))</f>
        <v/>
      </c>
      <c r="M80" s="38">
        <f>IF(OR(B80="",SUMIFS(Packages!$E$6:$E$305,Packages!$C$6:$C$305,B80)=0),"",SUMIFS(Packages!$E$6:$E$305,Packages!$C$6:$C$305,B80)-COUNTIFS(Appointments!$D$6:$D$2005,B80,Appointments!$J$6:$J$2005,"Package",Appointments!$F$6:$F$2005,"Done")+IF(Services!$I$6="Yes",COUNTIFS(Appointments!$D$6:$D$2005,B80,Appointments!$J$6:$J$2005,"Package",Appointments!$F$6:$F$2005,"No-show"),0))</f>
        <v/>
      </c>
      <c r="N80" s="18">
        <f>IF(OR(B80="",I80=""),"",IF(AND(J80="",TODAY()-I80&gt;=N(Services!$I$7)),"Not seen for "&amp;(TODAY()-I80)&amp;" days",""))</f>
        <v/>
      </c>
      <c r="O80" s="1">
        <f>IF(N(E80)=0,"",MONTH(E80))</f>
        <v/>
      </c>
    </row>
    <row r="81">
      <c r="A81" s="1" t="n"/>
      <c r="B81" s="35" t="inlineStr">
        <is>
          <t>Holly Fox</t>
        </is>
      </c>
      <c r="C81" s="32" t="inlineStr">
        <is>
          <t>555 0275</t>
        </is>
      </c>
      <c r="D81" s="32" t="inlineStr">
        <is>
          <t>holly.f@example.com</t>
        </is>
      </c>
      <c r="E81" s="36" t="n"/>
      <c r="F81" s="30" t="n">
        <v>45272</v>
      </c>
      <c r="G81" s="32" t="n"/>
      <c r="H81" s="26">
        <f>IF(B81="","",COUNTIFS(Appointments!$D$6:$D$2005,B81,Appointments!$F$6:$F$2005,"Done"))</f>
        <v/>
      </c>
      <c r="I81" s="37">
        <f>IF(OR(B81="",N(H81)=0),"",INT(SUMIFS(Appointments!$M$6:$M$2005,Appointments!$D$6:$D$2005,B81,Appointments!$N$6:$N$2005,1)))</f>
        <v/>
      </c>
      <c r="J81" s="37">
        <f>IF(B81="","",IF(SUMIFS(Appointments!$M$6:$M$2005,Appointments!$D$6:$D$2005,B81,Appointments!$O$6:$O$2005,1)=0,"",INT(SUMIFS(Appointments!$M$6:$M$2005,Appointments!$D$6:$D$2005,B81,Appointments!$O$6:$O$2005,1))))</f>
        <v/>
      </c>
      <c r="K81" s="27">
        <f>IF(B81="","",SUMIFS(Appointments!$I$6:$I$2005,Appointments!$D$6:$D$2005,B81)+SUMIFS(Packages!$F$6:$F$305,Packages!$C$6:$C$305,B81))</f>
        <v/>
      </c>
      <c r="L81" s="28">
        <f>IF(B81="","",IF(SUMIFS(Appointments!$K$6:$K$2005,Appointments!$D$6:$D$2005,B81)=0,"",SUMIFS(Appointments!$K$6:$K$2005,Appointments!$D$6:$D$2005,B81)))</f>
        <v/>
      </c>
      <c r="M81" s="38">
        <f>IF(OR(B81="",SUMIFS(Packages!$E$6:$E$305,Packages!$C$6:$C$305,B81)=0),"",SUMIFS(Packages!$E$6:$E$305,Packages!$C$6:$C$305,B81)-COUNTIFS(Appointments!$D$6:$D$2005,B81,Appointments!$J$6:$J$2005,"Package",Appointments!$F$6:$F$2005,"Done")+IF(Services!$I$6="Yes",COUNTIFS(Appointments!$D$6:$D$2005,B81,Appointments!$J$6:$J$2005,"Package",Appointments!$F$6:$F$2005,"No-show"),0))</f>
        <v/>
      </c>
      <c r="N81" s="18">
        <f>IF(OR(B81="",I81=""),"",IF(AND(J81="",TODAY()-I81&gt;=N(Services!$I$7)),"Not seen for "&amp;(TODAY()-I81)&amp;" days",""))</f>
        <v/>
      </c>
      <c r="O81" s="1">
        <f>IF(N(E81)=0,"",MONTH(E81))</f>
        <v/>
      </c>
    </row>
    <row r="82">
      <c r="A82" s="1" t="n"/>
      <c r="B82" s="35" t="inlineStr">
        <is>
          <t>Chris Cox</t>
        </is>
      </c>
      <c r="C82" s="32" t="inlineStr">
        <is>
          <t>555 0276</t>
        </is>
      </c>
      <c r="D82" s="32" t="n"/>
      <c r="E82" s="36" t="n"/>
      <c r="F82" s="30" t="n">
        <v>45939</v>
      </c>
      <c r="G82" s="32" t="n"/>
      <c r="H82" s="26">
        <f>IF(B82="","",COUNTIFS(Appointments!$D$6:$D$2005,B82,Appointments!$F$6:$F$2005,"Done"))</f>
        <v/>
      </c>
      <c r="I82" s="37">
        <f>IF(OR(B82="",N(H82)=0),"",INT(SUMIFS(Appointments!$M$6:$M$2005,Appointments!$D$6:$D$2005,B82,Appointments!$N$6:$N$2005,1)))</f>
        <v/>
      </c>
      <c r="J82" s="37">
        <f>IF(B82="","",IF(SUMIFS(Appointments!$M$6:$M$2005,Appointments!$D$6:$D$2005,B82,Appointments!$O$6:$O$2005,1)=0,"",INT(SUMIFS(Appointments!$M$6:$M$2005,Appointments!$D$6:$D$2005,B82,Appointments!$O$6:$O$2005,1))))</f>
        <v/>
      </c>
      <c r="K82" s="27">
        <f>IF(B82="","",SUMIFS(Appointments!$I$6:$I$2005,Appointments!$D$6:$D$2005,B82)+SUMIFS(Packages!$F$6:$F$305,Packages!$C$6:$C$305,B82))</f>
        <v/>
      </c>
      <c r="L82" s="28">
        <f>IF(B82="","",IF(SUMIFS(Appointments!$K$6:$K$2005,Appointments!$D$6:$D$2005,B82)=0,"",SUMIFS(Appointments!$K$6:$K$2005,Appointments!$D$6:$D$2005,B82)))</f>
        <v/>
      </c>
      <c r="M82" s="38">
        <f>IF(OR(B82="",SUMIFS(Packages!$E$6:$E$305,Packages!$C$6:$C$305,B82)=0),"",SUMIFS(Packages!$E$6:$E$305,Packages!$C$6:$C$305,B82)-COUNTIFS(Appointments!$D$6:$D$2005,B82,Appointments!$J$6:$J$2005,"Package",Appointments!$F$6:$F$2005,"Done")+IF(Services!$I$6="Yes",COUNTIFS(Appointments!$D$6:$D$2005,B82,Appointments!$J$6:$J$2005,"Package",Appointments!$F$6:$F$2005,"No-show"),0))</f>
        <v/>
      </c>
      <c r="N82" s="18">
        <f>IF(OR(B82="",I82=""),"",IF(AND(J82="",TODAY()-I82&gt;=N(Services!$I$7)),"Not seen for "&amp;(TODAY()-I82)&amp;" days",""))</f>
        <v/>
      </c>
      <c r="O82" s="1">
        <f>IF(N(E82)=0,"",MONTH(E82))</f>
        <v/>
      </c>
    </row>
    <row r="83">
      <c r="A83" s="1" t="n"/>
      <c r="B83" s="35" t="inlineStr">
        <is>
          <t>Pete Young</t>
        </is>
      </c>
      <c r="C83" s="32" t="inlineStr">
        <is>
          <t>555 0277</t>
        </is>
      </c>
      <c r="D83" s="32" t="n"/>
      <c r="E83" s="36" t="n">
        <v>33501</v>
      </c>
      <c r="F83" s="30" t="n">
        <v>44811</v>
      </c>
      <c r="G83" s="32" t="n"/>
      <c r="H83" s="26">
        <f>IF(B83="","",COUNTIFS(Appointments!$D$6:$D$2005,B83,Appointments!$F$6:$F$2005,"Done"))</f>
        <v/>
      </c>
      <c r="I83" s="37">
        <f>IF(OR(B83="",N(H83)=0),"",INT(SUMIFS(Appointments!$M$6:$M$2005,Appointments!$D$6:$D$2005,B83,Appointments!$N$6:$N$2005,1)))</f>
        <v/>
      </c>
      <c r="J83" s="37">
        <f>IF(B83="","",IF(SUMIFS(Appointments!$M$6:$M$2005,Appointments!$D$6:$D$2005,B83,Appointments!$O$6:$O$2005,1)=0,"",INT(SUMIFS(Appointments!$M$6:$M$2005,Appointments!$D$6:$D$2005,B83,Appointments!$O$6:$O$2005,1))))</f>
        <v/>
      </c>
      <c r="K83" s="27">
        <f>IF(B83="","",SUMIFS(Appointments!$I$6:$I$2005,Appointments!$D$6:$D$2005,B83)+SUMIFS(Packages!$F$6:$F$305,Packages!$C$6:$C$305,B83))</f>
        <v/>
      </c>
      <c r="L83" s="28">
        <f>IF(B83="","",IF(SUMIFS(Appointments!$K$6:$K$2005,Appointments!$D$6:$D$2005,B83)=0,"",SUMIFS(Appointments!$K$6:$K$2005,Appointments!$D$6:$D$2005,B83)))</f>
        <v/>
      </c>
      <c r="M83" s="38">
        <f>IF(OR(B83="",SUMIFS(Packages!$E$6:$E$305,Packages!$C$6:$C$305,B83)=0),"",SUMIFS(Packages!$E$6:$E$305,Packages!$C$6:$C$305,B83)-COUNTIFS(Appointments!$D$6:$D$2005,B83,Appointments!$J$6:$J$2005,"Package",Appointments!$F$6:$F$2005,"Done")+IF(Services!$I$6="Yes",COUNTIFS(Appointments!$D$6:$D$2005,B83,Appointments!$J$6:$J$2005,"Package",Appointments!$F$6:$F$2005,"No-show"),0))</f>
        <v/>
      </c>
      <c r="N83" s="18">
        <f>IF(OR(B83="",I83=""),"",IF(AND(J83="",TODAY()-I83&gt;=N(Services!$I$7)),"Not seen for "&amp;(TODAY()-I83)&amp;" days",""))</f>
        <v/>
      </c>
      <c r="O83" s="1">
        <f>IF(N(E83)=0,"",MONTH(E83))</f>
        <v/>
      </c>
    </row>
    <row r="84">
      <c r="A84" s="1" t="n"/>
      <c r="B84" s="35" t="inlineStr">
        <is>
          <t>Eli Hughes</t>
        </is>
      </c>
      <c r="C84" s="32" t="inlineStr">
        <is>
          <t>555 0278</t>
        </is>
      </c>
      <c r="D84" s="32" t="n"/>
      <c r="E84" s="36" t="n"/>
      <c r="F84" s="30" t="n">
        <v>44675</v>
      </c>
      <c r="G84" s="32" t="n"/>
      <c r="H84" s="26">
        <f>IF(B84="","",COUNTIFS(Appointments!$D$6:$D$2005,B84,Appointments!$F$6:$F$2005,"Done"))</f>
        <v/>
      </c>
      <c r="I84" s="37">
        <f>IF(OR(B84="",N(H84)=0),"",INT(SUMIFS(Appointments!$M$6:$M$2005,Appointments!$D$6:$D$2005,B84,Appointments!$N$6:$N$2005,1)))</f>
        <v/>
      </c>
      <c r="J84" s="37">
        <f>IF(B84="","",IF(SUMIFS(Appointments!$M$6:$M$2005,Appointments!$D$6:$D$2005,B84,Appointments!$O$6:$O$2005,1)=0,"",INT(SUMIFS(Appointments!$M$6:$M$2005,Appointments!$D$6:$D$2005,B84,Appointments!$O$6:$O$2005,1))))</f>
        <v/>
      </c>
      <c r="K84" s="27">
        <f>IF(B84="","",SUMIFS(Appointments!$I$6:$I$2005,Appointments!$D$6:$D$2005,B84)+SUMIFS(Packages!$F$6:$F$305,Packages!$C$6:$C$305,B84))</f>
        <v/>
      </c>
      <c r="L84" s="28">
        <f>IF(B84="","",IF(SUMIFS(Appointments!$K$6:$K$2005,Appointments!$D$6:$D$2005,B84)=0,"",SUMIFS(Appointments!$K$6:$K$2005,Appointments!$D$6:$D$2005,B84)))</f>
        <v/>
      </c>
      <c r="M84" s="38">
        <f>IF(OR(B84="",SUMIFS(Packages!$E$6:$E$305,Packages!$C$6:$C$305,B84)=0),"",SUMIFS(Packages!$E$6:$E$305,Packages!$C$6:$C$305,B84)-COUNTIFS(Appointments!$D$6:$D$2005,B84,Appointments!$J$6:$J$2005,"Package",Appointments!$F$6:$F$2005,"Done")+IF(Services!$I$6="Yes",COUNTIFS(Appointments!$D$6:$D$2005,B84,Appointments!$J$6:$J$2005,"Package",Appointments!$F$6:$F$2005,"No-show"),0))</f>
        <v/>
      </c>
      <c r="N84" s="18">
        <f>IF(OR(B84="",I84=""),"",IF(AND(J84="",TODAY()-I84&gt;=N(Services!$I$7)),"Not seen for "&amp;(TODAY()-I84)&amp;" days",""))</f>
        <v/>
      </c>
      <c r="O84" s="1">
        <f>IF(N(E84)=0,"",MONTH(E84))</f>
        <v/>
      </c>
    </row>
    <row r="85">
      <c r="A85" s="1" t="n"/>
      <c r="B85" s="35" t="inlineStr">
        <is>
          <t>Megan Morgan</t>
        </is>
      </c>
      <c r="C85" s="32" t="inlineStr">
        <is>
          <t>555 0279</t>
        </is>
      </c>
      <c r="D85" s="32" t="n"/>
      <c r="E85" s="36" t="n"/>
      <c r="F85" s="30" t="n">
        <v>44676</v>
      </c>
      <c r="G85" s="32" t="n"/>
      <c r="H85" s="26">
        <f>IF(B85="","",COUNTIFS(Appointments!$D$6:$D$2005,B85,Appointments!$F$6:$F$2005,"Done"))</f>
        <v/>
      </c>
      <c r="I85" s="37">
        <f>IF(OR(B85="",N(H85)=0),"",INT(SUMIFS(Appointments!$M$6:$M$2005,Appointments!$D$6:$D$2005,B85,Appointments!$N$6:$N$2005,1)))</f>
        <v/>
      </c>
      <c r="J85" s="37">
        <f>IF(B85="","",IF(SUMIFS(Appointments!$M$6:$M$2005,Appointments!$D$6:$D$2005,B85,Appointments!$O$6:$O$2005,1)=0,"",INT(SUMIFS(Appointments!$M$6:$M$2005,Appointments!$D$6:$D$2005,B85,Appointments!$O$6:$O$2005,1))))</f>
        <v/>
      </c>
      <c r="K85" s="27">
        <f>IF(B85="","",SUMIFS(Appointments!$I$6:$I$2005,Appointments!$D$6:$D$2005,B85)+SUMIFS(Packages!$F$6:$F$305,Packages!$C$6:$C$305,B85))</f>
        <v/>
      </c>
      <c r="L85" s="28">
        <f>IF(B85="","",IF(SUMIFS(Appointments!$K$6:$K$2005,Appointments!$D$6:$D$2005,B85)=0,"",SUMIFS(Appointments!$K$6:$K$2005,Appointments!$D$6:$D$2005,B85)))</f>
        <v/>
      </c>
      <c r="M85" s="38">
        <f>IF(OR(B85="",SUMIFS(Packages!$E$6:$E$305,Packages!$C$6:$C$305,B85)=0),"",SUMIFS(Packages!$E$6:$E$305,Packages!$C$6:$C$305,B85)-COUNTIFS(Appointments!$D$6:$D$2005,B85,Appointments!$J$6:$J$2005,"Package",Appointments!$F$6:$F$2005,"Done")+IF(Services!$I$6="Yes",COUNTIFS(Appointments!$D$6:$D$2005,B85,Appointments!$J$6:$J$2005,"Package",Appointments!$F$6:$F$2005,"No-show"),0))</f>
        <v/>
      </c>
      <c r="N85" s="18">
        <f>IF(OR(B85="",I85=""),"",IF(AND(J85="",TODAY()-I85&gt;=N(Services!$I$7)),"Not seen for "&amp;(TODAY()-I85)&amp;" days",""))</f>
        <v/>
      </c>
      <c r="O85" s="1">
        <f>IF(N(E85)=0,"",MONTH(E85))</f>
        <v/>
      </c>
    </row>
    <row r="86">
      <c r="A86" s="1" t="n"/>
      <c r="B86" s="35" t="inlineStr">
        <is>
          <t>Hannah Cook</t>
        </is>
      </c>
      <c r="C86" s="32" t="inlineStr">
        <is>
          <t>555 0280</t>
        </is>
      </c>
      <c r="D86" s="32" t="inlineStr">
        <is>
          <t>hannah.c@example.com</t>
        </is>
      </c>
      <c r="E86" s="36" t="n">
        <v>33507</v>
      </c>
      <c r="F86" s="30" t="n">
        <v>44664</v>
      </c>
      <c r="G86" s="32" t="n"/>
      <c r="H86" s="26">
        <f>IF(B86="","",COUNTIFS(Appointments!$D$6:$D$2005,B86,Appointments!$F$6:$F$2005,"Done"))</f>
        <v/>
      </c>
      <c r="I86" s="37">
        <f>IF(OR(B86="",N(H86)=0),"",INT(SUMIFS(Appointments!$M$6:$M$2005,Appointments!$D$6:$D$2005,B86,Appointments!$N$6:$N$2005,1)))</f>
        <v/>
      </c>
      <c r="J86" s="37">
        <f>IF(B86="","",IF(SUMIFS(Appointments!$M$6:$M$2005,Appointments!$D$6:$D$2005,B86,Appointments!$O$6:$O$2005,1)=0,"",INT(SUMIFS(Appointments!$M$6:$M$2005,Appointments!$D$6:$D$2005,B86,Appointments!$O$6:$O$2005,1))))</f>
        <v/>
      </c>
      <c r="K86" s="27">
        <f>IF(B86="","",SUMIFS(Appointments!$I$6:$I$2005,Appointments!$D$6:$D$2005,B86)+SUMIFS(Packages!$F$6:$F$305,Packages!$C$6:$C$305,B86))</f>
        <v/>
      </c>
      <c r="L86" s="28">
        <f>IF(B86="","",IF(SUMIFS(Appointments!$K$6:$K$2005,Appointments!$D$6:$D$2005,B86)=0,"",SUMIFS(Appointments!$K$6:$K$2005,Appointments!$D$6:$D$2005,B86)))</f>
        <v/>
      </c>
      <c r="M86" s="38">
        <f>IF(OR(B86="",SUMIFS(Packages!$E$6:$E$305,Packages!$C$6:$C$305,B86)=0),"",SUMIFS(Packages!$E$6:$E$305,Packages!$C$6:$C$305,B86)-COUNTIFS(Appointments!$D$6:$D$2005,B86,Appointments!$J$6:$J$2005,"Package",Appointments!$F$6:$F$2005,"Done")+IF(Services!$I$6="Yes",COUNTIFS(Appointments!$D$6:$D$2005,B86,Appointments!$J$6:$J$2005,"Package",Appointments!$F$6:$F$2005,"No-show"),0))</f>
        <v/>
      </c>
      <c r="N86" s="18">
        <f>IF(OR(B86="",I86=""),"",IF(AND(J86="",TODAY()-I86&gt;=N(Services!$I$7)),"Not seen for "&amp;(TODAY()-I86)&amp;" days",""))</f>
        <v/>
      </c>
      <c r="O86" s="1">
        <f>IF(N(E86)=0,"",MONTH(E86))</f>
        <v/>
      </c>
    </row>
    <row r="87">
      <c r="A87" s="1" t="n"/>
      <c r="B87" s="35" t="inlineStr">
        <is>
          <t>Harry Owens</t>
        </is>
      </c>
      <c r="C87" s="32" t="inlineStr">
        <is>
          <t>555 0281</t>
        </is>
      </c>
      <c r="D87" s="32" t="n"/>
      <c r="E87" s="36" t="n"/>
      <c r="F87" s="30" t="n">
        <v>44547</v>
      </c>
      <c r="G87" s="32" t="n"/>
      <c r="H87" s="26">
        <f>IF(B87="","",COUNTIFS(Appointments!$D$6:$D$2005,B87,Appointments!$F$6:$F$2005,"Done"))</f>
        <v/>
      </c>
      <c r="I87" s="37">
        <f>IF(OR(B87="",N(H87)=0),"",INT(SUMIFS(Appointments!$M$6:$M$2005,Appointments!$D$6:$D$2005,B87,Appointments!$N$6:$N$2005,1)))</f>
        <v/>
      </c>
      <c r="J87" s="37">
        <f>IF(B87="","",IF(SUMIFS(Appointments!$M$6:$M$2005,Appointments!$D$6:$D$2005,B87,Appointments!$O$6:$O$2005,1)=0,"",INT(SUMIFS(Appointments!$M$6:$M$2005,Appointments!$D$6:$D$2005,B87,Appointments!$O$6:$O$2005,1))))</f>
        <v/>
      </c>
      <c r="K87" s="27">
        <f>IF(B87="","",SUMIFS(Appointments!$I$6:$I$2005,Appointments!$D$6:$D$2005,B87)+SUMIFS(Packages!$F$6:$F$305,Packages!$C$6:$C$305,B87))</f>
        <v/>
      </c>
      <c r="L87" s="28">
        <f>IF(B87="","",IF(SUMIFS(Appointments!$K$6:$K$2005,Appointments!$D$6:$D$2005,B87)=0,"",SUMIFS(Appointments!$K$6:$K$2005,Appointments!$D$6:$D$2005,B87)))</f>
        <v/>
      </c>
      <c r="M87" s="38">
        <f>IF(OR(B87="",SUMIFS(Packages!$E$6:$E$305,Packages!$C$6:$C$305,B87)=0),"",SUMIFS(Packages!$E$6:$E$305,Packages!$C$6:$C$305,B87)-COUNTIFS(Appointments!$D$6:$D$2005,B87,Appointments!$J$6:$J$2005,"Package",Appointments!$F$6:$F$2005,"Done")+IF(Services!$I$6="Yes",COUNTIFS(Appointments!$D$6:$D$2005,B87,Appointments!$J$6:$J$2005,"Package",Appointments!$F$6:$F$2005,"No-show"),0))</f>
        <v/>
      </c>
      <c r="N87" s="18">
        <f>IF(OR(B87="",I87=""),"",IF(AND(J87="",TODAY()-I87&gt;=N(Services!$I$7)),"Not seen for "&amp;(TODAY()-I87)&amp;" days",""))</f>
        <v/>
      </c>
      <c r="O87" s="1">
        <f>IF(N(E87)=0,"",MONTH(E87))</f>
        <v/>
      </c>
    </row>
    <row r="88">
      <c r="A88" s="1" t="n"/>
      <c r="B88" s="35" t="inlineStr">
        <is>
          <t>Dan Hill</t>
        </is>
      </c>
      <c r="C88" s="32" t="inlineStr">
        <is>
          <t>555 0282</t>
        </is>
      </c>
      <c r="D88" s="32" t="n"/>
      <c r="E88" s="36" t="n"/>
      <c r="F88" s="30" t="n">
        <v>44221</v>
      </c>
      <c r="G88" s="32" t="n"/>
      <c r="H88" s="26">
        <f>IF(B88="","",COUNTIFS(Appointments!$D$6:$D$2005,B88,Appointments!$F$6:$F$2005,"Done"))</f>
        <v/>
      </c>
      <c r="I88" s="37">
        <f>IF(OR(B88="",N(H88)=0),"",INT(SUMIFS(Appointments!$M$6:$M$2005,Appointments!$D$6:$D$2005,B88,Appointments!$N$6:$N$2005,1)))</f>
        <v/>
      </c>
      <c r="J88" s="37">
        <f>IF(B88="","",IF(SUMIFS(Appointments!$M$6:$M$2005,Appointments!$D$6:$D$2005,B88,Appointments!$O$6:$O$2005,1)=0,"",INT(SUMIFS(Appointments!$M$6:$M$2005,Appointments!$D$6:$D$2005,B88,Appointments!$O$6:$O$2005,1))))</f>
        <v/>
      </c>
      <c r="K88" s="27">
        <f>IF(B88="","",SUMIFS(Appointments!$I$6:$I$2005,Appointments!$D$6:$D$2005,B88)+SUMIFS(Packages!$F$6:$F$305,Packages!$C$6:$C$305,B88))</f>
        <v/>
      </c>
      <c r="L88" s="28">
        <f>IF(B88="","",IF(SUMIFS(Appointments!$K$6:$K$2005,Appointments!$D$6:$D$2005,B88)=0,"",SUMIFS(Appointments!$K$6:$K$2005,Appointments!$D$6:$D$2005,B88)))</f>
        <v/>
      </c>
      <c r="M88" s="38">
        <f>IF(OR(B88="",SUMIFS(Packages!$E$6:$E$305,Packages!$C$6:$C$305,B88)=0),"",SUMIFS(Packages!$E$6:$E$305,Packages!$C$6:$C$305,B88)-COUNTIFS(Appointments!$D$6:$D$2005,B88,Appointments!$J$6:$J$2005,"Package",Appointments!$F$6:$F$2005,"Done")+IF(Services!$I$6="Yes",COUNTIFS(Appointments!$D$6:$D$2005,B88,Appointments!$J$6:$J$2005,"Package",Appointments!$F$6:$F$2005,"No-show"),0))</f>
        <v/>
      </c>
      <c r="N88" s="18">
        <f>IF(OR(B88="",I88=""),"",IF(AND(J88="",TODAY()-I88&gt;=N(Services!$I$7)),"Not seen for "&amp;(TODAY()-I88)&amp;" days",""))</f>
        <v/>
      </c>
      <c r="O88" s="1">
        <f>IF(N(E88)=0,"",MONTH(E88))</f>
        <v/>
      </c>
    </row>
    <row r="89">
      <c r="A89" s="1" t="n"/>
      <c r="B89" s="35" t="inlineStr">
        <is>
          <t>Jade Hill</t>
        </is>
      </c>
      <c r="C89" s="32" t="inlineStr">
        <is>
          <t>555 0283</t>
        </is>
      </c>
      <c r="D89" s="32" t="inlineStr">
        <is>
          <t>jade.h@example.com</t>
        </is>
      </c>
      <c r="E89" s="36" t="n">
        <v>27536</v>
      </c>
      <c r="F89" s="30" t="n">
        <v>44471</v>
      </c>
      <c r="G89" s="32" t="n"/>
      <c r="H89" s="26">
        <f>IF(B89="","",COUNTIFS(Appointments!$D$6:$D$2005,B89,Appointments!$F$6:$F$2005,"Done"))</f>
        <v/>
      </c>
      <c r="I89" s="37">
        <f>IF(OR(B89="",N(H89)=0),"",INT(SUMIFS(Appointments!$M$6:$M$2005,Appointments!$D$6:$D$2005,B89,Appointments!$N$6:$N$2005,1)))</f>
        <v/>
      </c>
      <c r="J89" s="37">
        <f>IF(B89="","",IF(SUMIFS(Appointments!$M$6:$M$2005,Appointments!$D$6:$D$2005,B89,Appointments!$O$6:$O$2005,1)=0,"",INT(SUMIFS(Appointments!$M$6:$M$2005,Appointments!$D$6:$D$2005,B89,Appointments!$O$6:$O$2005,1))))</f>
        <v/>
      </c>
      <c r="K89" s="27">
        <f>IF(B89="","",SUMIFS(Appointments!$I$6:$I$2005,Appointments!$D$6:$D$2005,B89)+SUMIFS(Packages!$F$6:$F$305,Packages!$C$6:$C$305,B89))</f>
        <v/>
      </c>
      <c r="L89" s="28">
        <f>IF(B89="","",IF(SUMIFS(Appointments!$K$6:$K$2005,Appointments!$D$6:$D$2005,B89)=0,"",SUMIFS(Appointments!$K$6:$K$2005,Appointments!$D$6:$D$2005,B89)))</f>
        <v/>
      </c>
      <c r="M89" s="38">
        <f>IF(OR(B89="",SUMIFS(Packages!$E$6:$E$305,Packages!$C$6:$C$305,B89)=0),"",SUMIFS(Packages!$E$6:$E$305,Packages!$C$6:$C$305,B89)-COUNTIFS(Appointments!$D$6:$D$2005,B89,Appointments!$J$6:$J$2005,"Package",Appointments!$F$6:$F$2005,"Done")+IF(Services!$I$6="Yes",COUNTIFS(Appointments!$D$6:$D$2005,B89,Appointments!$J$6:$J$2005,"Package",Appointments!$F$6:$F$2005,"No-show"),0))</f>
        <v/>
      </c>
      <c r="N89" s="18">
        <f>IF(OR(B89="",I89=""),"",IF(AND(J89="",TODAY()-I89&gt;=N(Services!$I$7)),"Not seen for "&amp;(TODAY()-I89)&amp;" days",""))</f>
        <v/>
      </c>
      <c r="O89" s="1">
        <f>IF(N(E89)=0,"",MONTH(E89))</f>
        <v/>
      </c>
    </row>
    <row r="90">
      <c r="A90" s="1" t="n"/>
      <c r="B90" s="35" t="inlineStr">
        <is>
          <t>Sophie Cox</t>
        </is>
      </c>
      <c r="C90" s="32" t="inlineStr">
        <is>
          <t>555 0284</t>
        </is>
      </c>
      <c r="D90" s="32" t="inlineStr">
        <is>
          <t>sophie.c@example.com</t>
        </is>
      </c>
      <c r="E90" s="36" t="n"/>
      <c r="F90" s="30" t="n">
        <v>45822</v>
      </c>
      <c r="G90" s="32" t="n"/>
      <c r="H90" s="26">
        <f>IF(B90="","",COUNTIFS(Appointments!$D$6:$D$2005,B90,Appointments!$F$6:$F$2005,"Done"))</f>
        <v/>
      </c>
      <c r="I90" s="37">
        <f>IF(OR(B90="",N(H90)=0),"",INT(SUMIFS(Appointments!$M$6:$M$2005,Appointments!$D$6:$D$2005,B90,Appointments!$N$6:$N$2005,1)))</f>
        <v/>
      </c>
      <c r="J90" s="37">
        <f>IF(B90="","",IF(SUMIFS(Appointments!$M$6:$M$2005,Appointments!$D$6:$D$2005,B90,Appointments!$O$6:$O$2005,1)=0,"",INT(SUMIFS(Appointments!$M$6:$M$2005,Appointments!$D$6:$D$2005,B90,Appointments!$O$6:$O$2005,1))))</f>
        <v/>
      </c>
      <c r="K90" s="27">
        <f>IF(B90="","",SUMIFS(Appointments!$I$6:$I$2005,Appointments!$D$6:$D$2005,B90)+SUMIFS(Packages!$F$6:$F$305,Packages!$C$6:$C$305,B90))</f>
        <v/>
      </c>
      <c r="L90" s="28">
        <f>IF(B90="","",IF(SUMIFS(Appointments!$K$6:$K$2005,Appointments!$D$6:$D$2005,B90)=0,"",SUMIFS(Appointments!$K$6:$K$2005,Appointments!$D$6:$D$2005,B90)))</f>
        <v/>
      </c>
      <c r="M90" s="38">
        <f>IF(OR(B90="",SUMIFS(Packages!$E$6:$E$305,Packages!$C$6:$C$305,B90)=0),"",SUMIFS(Packages!$E$6:$E$305,Packages!$C$6:$C$305,B90)-COUNTIFS(Appointments!$D$6:$D$2005,B90,Appointments!$J$6:$J$2005,"Package",Appointments!$F$6:$F$2005,"Done")+IF(Services!$I$6="Yes",COUNTIFS(Appointments!$D$6:$D$2005,B90,Appointments!$J$6:$J$2005,"Package",Appointments!$F$6:$F$2005,"No-show"),0))</f>
        <v/>
      </c>
      <c r="N90" s="18">
        <f>IF(OR(B90="",I90=""),"",IF(AND(J90="",TODAY()-I90&gt;=N(Services!$I$7)),"Not seen for "&amp;(TODAY()-I90)&amp;" days",""))</f>
        <v/>
      </c>
      <c r="O90" s="1">
        <f>IF(N(E90)=0,"",MONTH(E90))</f>
        <v/>
      </c>
    </row>
    <row r="91">
      <c r="A91" s="1" t="n"/>
      <c r="B91" s="35" t="inlineStr">
        <is>
          <t>Kara Adams</t>
        </is>
      </c>
      <c r="C91" s="32" t="inlineStr">
        <is>
          <t>555 0285</t>
        </is>
      </c>
      <c r="D91" s="32" t="n"/>
      <c r="E91" s="36" t="n">
        <v>28198</v>
      </c>
      <c r="F91" s="30" t="n">
        <v>45467</v>
      </c>
      <c r="G91" s="32" t="n"/>
      <c r="H91" s="26">
        <f>IF(B91="","",COUNTIFS(Appointments!$D$6:$D$2005,B91,Appointments!$F$6:$F$2005,"Done"))</f>
        <v/>
      </c>
      <c r="I91" s="37">
        <f>IF(OR(B91="",N(H91)=0),"",INT(SUMIFS(Appointments!$M$6:$M$2005,Appointments!$D$6:$D$2005,B91,Appointments!$N$6:$N$2005,1)))</f>
        <v/>
      </c>
      <c r="J91" s="37">
        <f>IF(B91="","",IF(SUMIFS(Appointments!$M$6:$M$2005,Appointments!$D$6:$D$2005,B91,Appointments!$O$6:$O$2005,1)=0,"",INT(SUMIFS(Appointments!$M$6:$M$2005,Appointments!$D$6:$D$2005,B91,Appointments!$O$6:$O$2005,1))))</f>
        <v/>
      </c>
      <c r="K91" s="27">
        <f>IF(B91="","",SUMIFS(Appointments!$I$6:$I$2005,Appointments!$D$6:$D$2005,B91)+SUMIFS(Packages!$F$6:$F$305,Packages!$C$6:$C$305,B91))</f>
        <v/>
      </c>
      <c r="L91" s="28">
        <f>IF(B91="","",IF(SUMIFS(Appointments!$K$6:$K$2005,Appointments!$D$6:$D$2005,B91)=0,"",SUMIFS(Appointments!$K$6:$K$2005,Appointments!$D$6:$D$2005,B91)))</f>
        <v/>
      </c>
      <c r="M91" s="38">
        <f>IF(OR(B91="",SUMIFS(Packages!$E$6:$E$305,Packages!$C$6:$C$305,B91)=0),"",SUMIFS(Packages!$E$6:$E$305,Packages!$C$6:$C$305,B91)-COUNTIFS(Appointments!$D$6:$D$2005,B91,Appointments!$J$6:$J$2005,"Package",Appointments!$F$6:$F$2005,"Done")+IF(Services!$I$6="Yes",COUNTIFS(Appointments!$D$6:$D$2005,B91,Appointments!$J$6:$J$2005,"Package",Appointments!$F$6:$F$2005,"No-show"),0))</f>
        <v/>
      </c>
      <c r="N91" s="18">
        <f>IF(OR(B91="",I91=""),"",IF(AND(J91="",TODAY()-I91&gt;=N(Services!$I$7)),"Not seen for "&amp;(TODAY()-I91)&amp;" days",""))</f>
        <v/>
      </c>
      <c r="O91" s="1">
        <f>IF(N(E91)=0,"",MONTH(E91))</f>
        <v/>
      </c>
    </row>
    <row r="92">
      <c r="A92" s="1" t="n"/>
      <c r="B92" s="35" t="inlineStr">
        <is>
          <t>Holly Gray</t>
        </is>
      </c>
      <c r="C92" s="32" t="inlineStr">
        <is>
          <t>555 0286</t>
        </is>
      </c>
      <c r="D92" s="32" t="inlineStr">
        <is>
          <t>holly.g@example.com</t>
        </is>
      </c>
      <c r="E92" s="36" t="n"/>
      <c r="F92" s="30" t="n">
        <v>44983</v>
      </c>
      <c r="G92" s="32" t="n"/>
      <c r="H92" s="26">
        <f>IF(B92="","",COUNTIFS(Appointments!$D$6:$D$2005,B92,Appointments!$F$6:$F$2005,"Done"))</f>
        <v/>
      </c>
      <c r="I92" s="37">
        <f>IF(OR(B92="",N(H92)=0),"",INT(SUMIFS(Appointments!$M$6:$M$2005,Appointments!$D$6:$D$2005,B92,Appointments!$N$6:$N$2005,1)))</f>
        <v/>
      </c>
      <c r="J92" s="37">
        <f>IF(B92="","",IF(SUMIFS(Appointments!$M$6:$M$2005,Appointments!$D$6:$D$2005,B92,Appointments!$O$6:$O$2005,1)=0,"",INT(SUMIFS(Appointments!$M$6:$M$2005,Appointments!$D$6:$D$2005,B92,Appointments!$O$6:$O$2005,1))))</f>
        <v/>
      </c>
      <c r="K92" s="27">
        <f>IF(B92="","",SUMIFS(Appointments!$I$6:$I$2005,Appointments!$D$6:$D$2005,B92)+SUMIFS(Packages!$F$6:$F$305,Packages!$C$6:$C$305,B92))</f>
        <v/>
      </c>
      <c r="L92" s="28">
        <f>IF(B92="","",IF(SUMIFS(Appointments!$K$6:$K$2005,Appointments!$D$6:$D$2005,B92)=0,"",SUMIFS(Appointments!$K$6:$K$2005,Appointments!$D$6:$D$2005,B92)))</f>
        <v/>
      </c>
      <c r="M92" s="38">
        <f>IF(OR(B92="",SUMIFS(Packages!$E$6:$E$305,Packages!$C$6:$C$305,B92)=0),"",SUMIFS(Packages!$E$6:$E$305,Packages!$C$6:$C$305,B92)-COUNTIFS(Appointments!$D$6:$D$2005,B92,Appointments!$J$6:$J$2005,"Package",Appointments!$F$6:$F$2005,"Done")+IF(Services!$I$6="Yes",COUNTIFS(Appointments!$D$6:$D$2005,B92,Appointments!$J$6:$J$2005,"Package",Appointments!$F$6:$F$2005,"No-show"),0))</f>
        <v/>
      </c>
      <c r="N92" s="18">
        <f>IF(OR(B92="",I92=""),"",IF(AND(J92="",TODAY()-I92&gt;=N(Services!$I$7)),"Not seen for "&amp;(TODAY()-I92)&amp;" days",""))</f>
        <v/>
      </c>
      <c r="O92" s="1">
        <f>IF(N(E92)=0,"",MONTH(E92))</f>
        <v/>
      </c>
    </row>
    <row r="93">
      <c r="A93" s="1" t="n"/>
      <c r="B93" s="35" t="inlineStr">
        <is>
          <t>Harry Hill</t>
        </is>
      </c>
      <c r="C93" s="32" t="inlineStr">
        <is>
          <t>555 0287</t>
        </is>
      </c>
      <c r="D93" s="32" t="n"/>
      <c r="E93" s="36" t="n"/>
      <c r="F93" s="30" t="n">
        <v>45050</v>
      </c>
      <c r="G93" s="32" t="n"/>
      <c r="H93" s="26">
        <f>IF(B93="","",COUNTIFS(Appointments!$D$6:$D$2005,B93,Appointments!$F$6:$F$2005,"Done"))</f>
        <v/>
      </c>
      <c r="I93" s="37">
        <f>IF(OR(B93="",N(H93)=0),"",INT(SUMIFS(Appointments!$M$6:$M$2005,Appointments!$D$6:$D$2005,B93,Appointments!$N$6:$N$2005,1)))</f>
        <v/>
      </c>
      <c r="J93" s="37">
        <f>IF(B93="","",IF(SUMIFS(Appointments!$M$6:$M$2005,Appointments!$D$6:$D$2005,B93,Appointments!$O$6:$O$2005,1)=0,"",INT(SUMIFS(Appointments!$M$6:$M$2005,Appointments!$D$6:$D$2005,B93,Appointments!$O$6:$O$2005,1))))</f>
        <v/>
      </c>
      <c r="K93" s="27">
        <f>IF(B93="","",SUMIFS(Appointments!$I$6:$I$2005,Appointments!$D$6:$D$2005,B93)+SUMIFS(Packages!$F$6:$F$305,Packages!$C$6:$C$305,B93))</f>
        <v/>
      </c>
      <c r="L93" s="28">
        <f>IF(B93="","",IF(SUMIFS(Appointments!$K$6:$K$2005,Appointments!$D$6:$D$2005,B93)=0,"",SUMIFS(Appointments!$K$6:$K$2005,Appointments!$D$6:$D$2005,B93)))</f>
        <v/>
      </c>
      <c r="M93" s="38">
        <f>IF(OR(B93="",SUMIFS(Packages!$E$6:$E$305,Packages!$C$6:$C$305,B93)=0),"",SUMIFS(Packages!$E$6:$E$305,Packages!$C$6:$C$305,B93)-COUNTIFS(Appointments!$D$6:$D$2005,B93,Appointments!$J$6:$J$2005,"Package",Appointments!$F$6:$F$2005,"Done")+IF(Services!$I$6="Yes",COUNTIFS(Appointments!$D$6:$D$2005,B93,Appointments!$J$6:$J$2005,"Package",Appointments!$F$6:$F$2005,"No-show"),0))</f>
        <v/>
      </c>
      <c r="N93" s="18">
        <f>IF(OR(B93="",I93=""),"",IF(AND(J93="",TODAY()-I93&gt;=N(Services!$I$7)),"Not seen for "&amp;(TODAY()-I93)&amp;" days",""))</f>
        <v/>
      </c>
      <c r="O93" s="1">
        <f>IF(N(E93)=0,"",MONTH(E93))</f>
        <v/>
      </c>
    </row>
    <row r="94">
      <c r="A94" s="1" t="n"/>
      <c r="B94" s="35" t="inlineStr">
        <is>
          <t>Nina Ellis</t>
        </is>
      </c>
      <c r="C94" s="32" t="inlineStr">
        <is>
          <t>555 0288</t>
        </is>
      </c>
      <c r="D94" s="32" t="n"/>
      <c r="E94" s="36" t="n"/>
      <c r="F94" s="30" t="n">
        <v>45132</v>
      </c>
      <c r="G94" s="32" t="n"/>
      <c r="H94" s="26">
        <f>IF(B94="","",COUNTIFS(Appointments!$D$6:$D$2005,B94,Appointments!$F$6:$F$2005,"Done"))</f>
        <v/>
      </c>
      <c r="I94" s="37">
        <f>IF(OR(B94="",N(H94)=0),"",INT(SUMIFS(Appointments!$M$6:$M$2005,Appointments!$D$6:$D$2005,B94,Appointments!$N$6:$N$2005,1)))</f>
        <v/>
      </c>
      <c r="J94" s="37">
        <f>IF(B94="","",IF(SUMIFS(Appointments!$M$6:$M$2005,Appointments!$D$6:$D$2005,B94,Appointments!$O$6:$O$2005,1)=0,"",INT(SUMIFS(Appointments!$M$6:$M$2005,Appointments!$D$6:$D$2005,B94,Appointments!$O$6:$O$2005,1))))</f>
        <v/>
      </c>
      <c r="K94" s="27">
        <f>IF(B94="","",SUMIFS(Appointments!$I$6:$I$2005,Appointments!$D$6:$D$2005,B94)+SUMIFS(Packages!$F$6:$F$305,Packages!$C$6:$C$305,B94))</f>
        <v/>
      </c>
      <c r="L94" s="28">
        <f>IF(B94="","",IF(SUMIFS(Appointments!$K$6:$K$2005,Appointments!$D$6:$D$2005,B94)=0,"",SUMIFS(Appointments!$K$6:$K$2005,Appointments!$D$6:$D$2005,B94)))</f>
        <v/>
      </c>
      <c r="M94" s="38">
        <f>IF(OR(B94="",SUMIFS(Packages!$E$6:$E$305,Packages!$C$6:$C$305,B94)=0),"",SUMIFS(Packages!$E$6:$E$305,Packages!$C$6:$C$305,B94)-COUNTIFS(Appointments!$D$6:$D$2005,B94,Appointments!$J$6:$J$2005,"Package",Appointments!$F$6:$F$2005,"Done")+IF(Services!$I$6="Yes",COUNTIFS(Appointments!$D$6:$D$2005,B94,Appointments!$J$6:$J$2005,"Package",Appointments!$F$6:$F$2005,"No-show"),0))</f>
        <v/>
      </c>
      <c r="N94" s="18">
        <f>IF(OR(B94="",I94=""),"",IF(AND(J94="",TODAY()-I94&gt;=N(Services!$I$7)),"Not seen for "&amp;(TODAY()-I94)&amp;" days",""))</f>
        <v/>
      </c>
      <c r="O94" s="1">
        <f>IF(N(E94)=0,"",MONTH(E94))</f>
        <v/>
      </c>
    </row>
    <row r="95">
      <c r="A95" s="1" t="n"/>
      <c r="B95" s="35" t="inlineStr">
        <is>
          <t>Amy Hall</t>
        </is>
      </c>
      <c r="C95" s="32" t="inlineStr">
        <is>
          <t>555 0289</t>
        </is>
      </c>
      <c r="D95" s="32" t="inlineStr">
        <is>
          <t>amy.h@example.com</t>
        </is>
      </c>
      <c r="E95" s="36" t="n"/>
      <c r="F95" s="30" t="n">
        <v>45323</v>
      </c>
      <c r="G95" s="32" t="n"/>
      <c r="H95" s="26">
        <f>IF(B95="","",COUNTIFS(Appointments!$D$6:$D$2005,B95,Appointments!$F$6:$F$2005,"Done"))</f>
        <v/>
      </c>
      <c r="I95" s="37">
        <f>IF(OR(B95="",N(H95)=0),"",INT(SUMIFS(Appointments!$M$6:$M$2005,Appointments!$D$6:$D$2005,B95,Appointments!$N$6:$N$2005,1)))</f>
        <v/>
      </c>
      <c r="J95" s="37">
        <f>IF(B95="","",IF(SUMIFS(Appointments!$M$6:$M$2005,Appointments!$D$6:$D$2005,B95,Appointments!$O$6:$O$2005,1)=0,"",INT(SUMIFS(Appointments!$M$6:$M$2005,Appointments!$D$6:$D$2005,B95,Appointments!$O$6:$O$2005,1))))</f>
        <v/>
      </c>
      <c r="K95" s="27">
        <f>IF(B95="","",SUMIFS(Appointments!$I$6:$I$2005,Appointments!$D$6:$D$2005,B95)+SUMIFS(Packages!$F$6:$F$305,Packages!$C$6:$C$305,B95))</f>
        <v/>
      </c>
      <c r="L95" s="28">
        <f>IF(B95="","",IF(SUMIFS(Appointments!$K$6:$K$2005,Appointments!$D$6:$D$2005,B95)=0,"",SUMIFS(Appointments!$K$6:$K$2005,Appointments!$D$6:$D$2005,B95)))</f>
        <v/>
      </c>
      <c r="M95" s="38">
        <f>IF(OR(B95="",SUMIFS(Packages!$E$6:$E$305,Packages!$C$6:$C$305,B95)=0),"",SUMIFS(Packages!$E$6:$E$305,Packages!$C$6:$C$305,B95)-COUNTIFS(Appointments!$D$6:$D$2005,B95,Appointments!$J$6:$J$2005,"Package",Appointments!$F$6:$F$2005,"Done")+IF(Services!$I$6="Yes",COUNTIFS(Appointments!$D$6:$D$2005,B95,Appointments!$J$6:$J$2005,"Package",Appointments!$F$6:$F$2005,"No-show"),0))</f>
        <v/>
      </c>
      <c r="N95" s="18">
        <f>IF(OR(B95="",I95=""),"",IF(AND(J95="",TODAY()-I95&gt;=N(Services!$I$7)),"Not seen for "&amp;(TODAY()-I95)&amp;" days",""))</f>
        <v/>
      </c>
      <c r="O95" s="1">
        <f>IF(N(E95)=0,"",MONTH(E95))</f>
        <v/>
      </c>
    </row>
    <row r="96">
      <c r="A96" s="1" t="n"/>
      <c r="B96" s="35" t="inlineStr">
        <is>
          <t>Ella James</t>
        </is>
      </c>
      <c r="C96" s="32" t="inlineStr">
        <is>
          <t>555 0290</t>
        </is>
      </c>
      <c r="D96" s="32" t="inlineStr">
        <is>
          <t>ella.j@example.com</t>
        </is>
      </c>
      <c r="E96" s="36" t="n"/>
      <c r="F96" s="30" t="n">
        <v>45084</v>
      </c>
      <c r="G96" s="32" t="n"/>
      <c r="H96" s="26">
        <f>IF(B96="","",COUNTIFS(Appointments!$D$6:$D$2005,B96,Appointments!$F$6:$F$2005,"Done"))</f>
        <v/>
      </c>
      <c r="I96" s="37">
        <f>IF(OR(B96="",N(H96)=0),"",INT(SUMIFS(Appointments!$M$6:$M$2005,Appointments!$D$6:$D$2005,B96,Appointments!$N$6:$N$2005,1)))</f>
        <v/>
      </c>
      <c r="J96" s="37">
        <f>IF(B96="","",IF(SUMIFS(Appointments!$M$6:$M$2005,Appointments!$D$6:$D$2005,B96,Appointments!$O$6:$O$2005,1)=0,"",INT(SUMIFS(Appointments!$M$6:$M$2005,Appointments!$D$6:$D$2005,B96,Appointments!$O$6:$O$2005,1))))</f>
        <v/>
      </c>
      <c r="K96" s="27">
        <f>IF(B96="","",SUMIFS(Appointments!$I$6:$I$2005,Appointments!$D$6:$D$2005,B96)+SUMIFS(Packages!$F$6:$F$305,Packages!$C$6:$C$305,B96))</f>
        <v/>
      </c>
      <c r="L96" s="28">
        <f>IF(B96="","",IF(SUMIFS(Appointments!$K$6:$K$2005,Appointments!$D$6:$D$2005,B96)=0,"",SUMIFS(Appointments!$K$6:$K$2005,Appointments!$D$6:$D$2005,B96)))</f>
        <v/>
      </c>
      <c r="M96" s="38">
        <f>IF(OR(B96="",SUMIFS(Packages!$E$6:$E$305,Packages!$C$6:$C$305,B96)=0),"",SUMIFS(Packages!$E$6:$E$305,Packages!$C$6:$C$305,B96)-COUNTIFS(Appointments!$D$6:$D$2005,B96,Appointments!$J$6:$J$2005,"Package",Appointments!$F$6:$F$2005,"Done")+IF(Services!$I$6="Yes",COUNTIFS(Appointments!$D$6:$D$2005,B96,Appointments!$J$6:$J$2005,"Package",Appointments!$F$6:$F$2005,"No-show"),0))</f>
        <v/>
      </c>
      <c r="N96" s="18">
        <f>IF(OR(B96="",I96=""),"",IF(AND(J96="",TODAY()-I96&gt;=N(Services!$I$7)),"Not seen for "&amp;(TODAY()-I96)&amp;" days",""))</f>
        <v/>
      </c>
      <c r="O96" s="1">
        <f>IF(N(E96)=0,"",MONTH(E96))</f>
        <v/>
      </c>
    </row>
    <row r="97">
      <c r="A97" s="1" t="n"/>
      <c r="B97" s="35" t="inlineStr">
        <is>
          <t>Harry Hall</t>
        </is>
      </c>
      <c r="C97" s="32" t="inlineStr">
        <is>
          <t>555 0291</t>
        </is>
      </c>
      <c r="D97" s="32" t="n"/>
      <c r="E97" s="36" t="n"/>
      <c r="F97" s="30" t="n">
        <v>45603</v>
      </c>
      <c r="G97" s="32" t="n"/>
      <c r="H97" s="26">
        <f>IF(B97="","",COUNTIFS(Appointments!$D$6:$D$2005,B97,Appointments!$F$6:$F$2005,"Done"))</f>
        <v/>
      </c>
      <c r="I97" s="37">
        <f>IF(OR(B97="",N(H97)=0),"",INT(SUMIFS(Appointments!$M$6:$M$2005,Appointments!$D$6:$D$2005,B97,Appointments!$N$6:$N$2005,1)))</f>
        <v/>
      </c>
      <c r="J97" s="37">
        <f>IF(B97="","",IF(SUMIFS(Appointments!$M$6:$M$2005,Appointments!$D$6:$D$2005,B97,Appointments!$O$6:$O$2005,1)=0,"",INT(SUMIFS(Appointments!$M$6:$M$2005,Appointments!$D$6:$D$2005,B97,Appointments!$O$6:$O$2005,1))))</f>
        <v/>
      </c>
      <c r="K97" s="27">
        <f>IF(B97="","",SUMIFS(Appointments!$I$6:$I$2005,Appointments!$D$6:$D$2005,B97)+SUMIFS(Packages!$F$6:$F$305,Packages!$C$6:$C$305,B97))</f>
        <v/>
      </c>
      <c r="L97" s="28">
        <f>IF(B97="","",IF(SUMIFS(Appointments!$K$6:$K$2005,Appointments!$D$6:$D$2005,B97)=0,"",SUMIFS(Appointments!$K$6:$K$2005,Appointments!$D$6:$D$2005,B97)))</f>
        <v/>
      </c>
      <c r="M97" s="38">
        <f>IF(OR(B97="",SUMIFS(Packages!$E$6:$E$305,Packages!$C$6:$C$305,B97)=0),"",SUMIFS(Packages!$E$6:$E$305,Packages!$C$6:$C$305,B97)-COUNTIFS(Appointments!$D$6:$D$2005,B97,Appointments!$J$6:$J$2005,"Package",Appointments!$F$6:$F$2005,"Done")+IF(Services!$I$6="Yes",COUNTIFS(Appointments!$D$6:$D$2005,B97,Appointments!$J$6:$J$2005,"Package",Appointments!$F$6:$F$2005,"No-show"),0))</f>
        <v/>
      </c>
      <c r="N97" s="18">
        <f>IF(OR(B97="",I97=""),"",IF(AND(J97="",TODAY()-I97&gt;=N(Services!$I$7)),"Not seen for "&amp;(TODAY()-I97)&amp;" days",""))</f>
        <v/>
      </c>
      <c r="O97" s="1">
        <f>IF(N(E97)=0,"",MONTH(E97))</f>
        <v/>
      </c>
    </row>
    <row r="98">
      <c r="A98" s="1" t="n"/>
      <c r="B98" s="35" t="inlineStr">
        <is>
          <t>Nina Baker</t>
        </is>
      </c>
      <c r="C98" s="32" t="inlineStr">
        <is>
          <t>555 0292</t>
        </is>
      </c>
      <c r="D98" s="32" t="inlineStr">
        <is>
          <t>nina.b@example.com</t>
        </is>
      </c>
      <c r="E98" s="36" t="n">
        <v>29356</v>
      </c>
      <c r="F98" s="30" t="n">
        <v>45537</v>
      </c>
      <c r="G98" s="32" t="n"/>
      <c r="H98" s="26">
        <f>IF(B98="","",COUNTIFS(Appointments!$D$6:$D$2005,B98,Appointments!$F$6:$F$2005,"Done"))</f>
        <v/>
      </c>
      <c r="I98" s="37">
        <f>IF(OR(B98="",N(H98)=0),"",INT(SUMIFS(Appointments!$M$6:$M$2005,Appointments!$D$6:$D$2005,B98,Appointments!$N$6:$N$2005,1)))</f>
        <v/>
      </c>
      <c r="J98" s="37">
        <f>IF(B98="","",IF(SUMIFS(Appointments!$M$6:$M$2005,Appointments!$D$6:$D$2005,B98,Appointments!$O$6:$O$2005,1)=0,"",INT(SUMIFS(Appointments!$M$6:$M$2005,Appointments!$D$6:$D$2005,B98,Appointments!$O$6:$O$2005,1))))</f>
        <v/>
      </c>
      <c r="K98" s="27">
        <f>IF(B98="","",SUMIFS(Appointments!$I$6:$I$2005,Appointments!$D$6:$D$2005,B98)+SUMIFS(Packages!$F$6:$F$305,Packages!$C$6:$C$305,B98))</f>
        <v/>
      </c>
      <c r="L98" s="28">
        <f>IF(B98="","",IF(SUMIFS(Appointments!$K$6:$K$2005,Appointments!$D$6:$D$2005,B98)=0,"",SUMIFS(Appointments!$K$6:$K$2005,Appointments!$D$6:$D$2005,B98)))</f>
        <v/>
      </c>
      <c r="M98" s="38">
        <f>IF(OR(B98="",SUMIFS(Packages!$E$6:$E$305,Packages!$C$6:$C$305,B98)=0),"",SUMIFS(Packages!$E$6:$E$305,Packages!$C$6:$C$305,B98)-COUNTIFS(Appointments!$D$6:$D$2005,B98,Appointments!$J$6:$J$2005,"Package",Appointments!$F$6:$F$2005,"Done")+IF(Services!$I$6="Yes",COUNTIFS(Appointments!$D$6:$D$2005,B98,Appointments!$J$6:$J$2005,"Package",Appointments!$F$6:$F$2005,"No-show"),0))</f>
        <v/>
      </c>
      <c r="N98" s="18">
        <f>IF(OR(B98="",I98=""),"",IF(AND(J98="",TODAY()-I98&gt;=N(Services!$I$7)),"Not seen for "&amp;(TODAY()-I98)&amp;" days",""))</f>
        <v/>
      </c>
      <c r="O98" s="1">
        <f>IF(N(E98)=0,"",MONTH(E98))</f>
        <v/>
      </c>
    </row>
    <row r="99">
      <c r="A99" s="1" t="n"/>
      <c r="B99" s="35" t="inlineStr">
        <is>
          <t>Ava Cox</t>
        </is>
      </c>
      <c r="C99" s="32" t="inlineStr">
        <is>
          <t>555 0293</t>
        </is>
      </c>
      <c r="D99" s="32" t="inlineStr">
        <is>
          <t>ava.c@example.com</t>
        </is>
      </c>
      <c r="E99" s="36" t="n">
        <v>31673</v>
      </c>
      <c r="F99" s="30" t="n">
        <v>45855</v>
      </c>
      <c r="G99" s="32" t="n"/>
      <c r="H99" s="26">
        <f>IF(B99="","",COUNTIFS(Appointments!$D$6:$D$2005,B99,Appointments!$F$6:$F$2005,"Done"))</f>
        <v/>
      </c>
      <c r="I99" s="37">
        <f>IF(OR(B99="",N(H99)=0),"",INT(SUMIFS(Appointments!$M$6:$M$2005,Appointments!$D$6:$D$2005,B99,Appointments!$N$6:$N$2005,1)))</f>
        <v/>
      </c>
      <c r="J99" s="37">
        <f>IF(B99="","",IF(SUMIFS(Appointments!$M$6:$M$2005,Appointments!$D$6:$D$2005,B99,Appointments!$O$6:$O$2005,1)=0,"",INT(SUMIFS(Appointments!$M$6:$M$2005,Appointments!$D$6:$D$2005,B99,Appointments!$O$6:$O$2005,1))))</f>
        <v/>
      </c>
      <c r="K99" s="27">
        <f>IF(B99="","",SUMIFS(Appointments!$I$6:$I$2005,Appointments!$D$6:$D$2005,B99)+SUMIFS(Packages!$F$6:$F$305,Packages!$C$6:$C$305,B99))</f>
        <v/>
      </c>
      <c r="L99" s="28">
        <f>IF(B99="","",IF(SUMIFS(Appointments!$K$6:$K$2005,Appointments!$D$6:$D$2005,B99)=0,"",SUMIFS(Appointments!$K$6:$K$2005,Appointments!$D$6:$D$2005,B99)))</f>
        <v/>
      </c>
      <c r="M99" s="38">
        <f>IF(OR(B99="",SUMIFS(Packages!$E$6:$E$305,Packages!$C$6:$C$305,B99)=0),"",SUMIFS(Packages!$E$6:$E$305,Packages!$C$6:$C$305,B99)-COUNTIFS(Appointments!$D$6:$D$2005,B99,Appointments!$J$6:$J$2005,"Package",Appointments!$F$6:$F$2005,"Done")+IF(Services!$I$6="Yes",COUNTIFS(Appointments!$D$6:$D$2005,B99,Appointments!$J$6:$J$2005,"Package",Appointments!$F$6:$F$2005,"No-show"),0))</f>
        <v/>
      </c>
      <c r="N99" s="18">
        <f>IF(OR(B99="",I99=""),"",IF(AND(J99="",TODAY()-I99&gt;=N(Services!$I$7)),"Not seen for "&amp;(TODAY()-I99)&amp;" days",""))</f>
        <v/>
      </c>
      <c r="O99" s="1">
        <f>IF(N(E99)=0,"",MONTH(E99))</f>
        <v/>
      </c>
    </row>
    <row r="100">
      <c r="A100" s="1" t="n"/>
      <c r="B100" s="35" t="inlineStr">
        <is>
          <t>Luke Walsh</t>
        </is>
      </c>
      <c r="C100" s="32" t="inlineStr">
        <is>
          <t>555 0294</t>
        </is>
      </c>
      <c r="D100" s="32" t="n"/>
      <c r="E100" s="36" t="n">
        <v>37950</v>
      </c>
      <c r="F100" s="30" t="n">
        <v>44383</v>
      </c>
      <c r="G100" s="32" t="n"/>
      <c r="H100" s="26">
        <f>IF(B100="","",COUNTIFS(Appointments!$D$6:$D$2005,B100,Appointments!$F$6:$F$2005,"Done"))</f>
        <v/>
      </c>
      <c r="I100" s="37">
        <f>IF(OR(B100="",N(H100)=0),"",INT(SUMIFS(Appointments!$M$6:$M$2005,Appointments!$D$6:$D$2005,B100,Appointments!$N$6:$N$2005,1)))</f>
        <v/>
      </c>
      <c r="J100" s="37">
        <f>IF(B100="","",IF(SUMIFS(Appointments!$M$6:$M$2005,Appointments!$D$6:$D$2005,B100,Appointments!$O$6:$O$2005,1)=0,"",INT(SUMIFS(Appointments!$M$6:$M$2005,Appointments!$D$6:$D$2005,B100,Appointments!$O$6:$O$2005,1))))</f>
        <v/>
      </c>
      <c r="K100" s="27">
        <f>IF(B100="","",SUMIFS(Appointments!$I$6:$I$2005,Appointments!$D$6:$D$2005,B100)+SUMIFS(Packages!$F$6:$F$305,Packages!$C$6:$C$305,B100))</f>
        <v/>
      </c>
      <c r="L100" s="28">
        <f>IF(B100="","",IF(SUMIFS(Appointments!$K$6:$K$2005,Appointments!$D$6:$D$2005,B100)=0,"",SUMIFS(Appointments!$K$6:$K$2005,Appointments!$D$6:$D$2005,B100)))</f>
        <v/>
      </c>
      <c r="M100" s="38">
        <f>IF(OR(B100="",SUMIFS(Packages!$E$6:$E$305,Packages!$C$6:$C$305,B100)=0),"",SUMIFS(Packages!$E$6:$E$305,Packages!$C$6:$C$305,B100)-COUNTIFS(Appointments!$D$6:$D$2005,B100,Appointments!$J$6:$J$2005,"Package",Appointments!$F$6:$F$2005,"Done")+IF(Services!$I$6="Yes",COUNTIFS(Appointments!$D$6:$D$2005,B100,Appointments!$J$6:$J$2005,"Package",Appointments!$F$6:$F$2005,"No-show"),0))</f>
        <v/>
      </c>
      <c r="N100" s="18">
        <f>IF(OR(B100="",I100=""),"",IF(AND(J100="",TODAY()-I100&gt;=N(Services!$I$7)),"Not seen for "&amp;(TODAY()-I100)&amp;" days",""))</f>
        <v/>
      </c>
      <c r="O100" s="1">
        <f>IF(N(E100)=0,"",MONTH(E100))</f>
        <v/>
      </c>
    </row>
    <row r="101">
      <c r="A101" s="1" t="n"/>
      <c r="B101" s="35" t="inlineStr">
        <is>
          <t>Adam Gray</t>
        </is>
      </c>
      <c r="C101" s="32" t="inlineStr">
        <is>
          <t>555 0295</t>
        </is>
      </c>
      <c r="D101" s="32" t="n"/>
      <c r="E101" s="36" t="n"/>
      <c r="F101" s="30" t="n">
        <v>45671</v>
      </c>
      <c r="G101" s="32" t="n"/>
      <c r="H101" s="26">
        <f>IF(B101="","",COUNTIFS(Appointments!$D$6:$D$2005,B101,Appointments!$F$6:$F$2005,"Done"))</f>
        <v/>
      </c>
      <c r="I101" s="37">
        <f>IF(OR(B101="",N(H101)=0),"",INT(SUMIFS(Appointments!$M$6:$M$2005,Appointments!$D$6:$D$2005,B101,Appointments!$N$6:$N$2005,1)))</f>
        <v/>
      </c>
      <c r="J101" s="37">
        <f>IF(B101="","",IF(SUMIFS(Appointments!$M$6:$M$2005,Appointments!$D$6:$D$2005,B101,Appointments!$O$6:$O$2005,1)=0,"",INT(SUMIFS(Appointments!$M$6:$M$2005,Appointments!$D$6:$D$2005,B101,Appointments!$O$6:$O$2005,1))))</f>
        <v/>
      </c>
      <c r="K101" s="27">
        <f>IF(B101="","",SUMIFS(Appointments!$I$6:$I$2005,Appointments!$D$6:$D$2005,B101)+SUMIFS(Packages!$F$6:$F$305,Packages!$C$6:$C$305,B101))</f>
        <v/>
      </c>
      <c r="L101" s="28">
        <f>IF(B101="","",IF(SUMIFS(Appointments!$K$6:$K$2005,Appointments!$D$6:$D$2005,B101)=0,"",SUMIFS(Appointments!$K$6:$K$2005,Appointments!$D$6:$D$2005,B101)))</f>
        <v/>
      </c>
      <c r="M101" s="38">
        <f>IF(OR(B101="",SUMIFS(Packages!$E$6:$E$305,Packages!$C$6:$C$305,B101)=0),"",SUMIFS(Packages!$E$6:$E$305,Packages!$C$6:$C$305,B101)-COUNTIFS(Appointments!$D$6:$D$2005,B101,Appointments!$J$6:$J$2005,"Package",Appointments!$F$6:$F$2005,"Done")+IF(Services!$I$6="Yes",COUNTIFS(Appointments!$D$6:$D$2005,B101,Appointments!$J$6:$J$2005,"Package",Appointments!$F$6:$F$2005,"No-show"),0))</f>
        <v/>
      </c>
      <c r="N101" s="18">
        <f>IF(OR(B101="",I101=""),"",IF(AND(J101="",TODAY()-I101&gt;=N(Services!$I$7)),"Not seen for "&amp;(TODAY()-I101)&amp;" days",""))</f>
        <v/>
      </c>
      <c r="O101" s="1">
        <f>IF(N(E101)=0,"",MONTH(E101))</f>
        <v/>
      </c>
    </row>
    <row r="102">
      <c r="A102" s="1" t="n"/>
      <c r="B102" s="35" t="inlineStr">
        <is>
          <t>Paula Mason</t>
        </is>
      </c>
      <c r="C102" s="32" t="inlineStr">
        <is>
          <t>555 0296</t>
        </is>
      </c>
      <c r="D102" s="32" t="n"/>
      <c r="E102" s="36" t="n"/>
      <c r="F102" s="30" t="n">
        <v>45179</v>
      </c>
      <c r="G102" s="32" t="n"/>
      <c r="H102" s="26">
        <f>IF(B102="","",COUNTIFS(Appointments!$D$6:$D$2005,B102,Appointments!$F$6:$F$2005,"Done"))</f>
        <v/>
      </c>
      <c r="I102" s="37">
        <f>IF(OR(B102="",N(H102)=0),"",INT(SUMIFS(Appointments!$M$6:$M$2005,Appointments!$D$6:$D$2005,B102,Appointments!$N$6:$N$2005,1)))</f>
        <v/>
      </c>
      <c r="J102" s="37">
        <f>IF(B102="","",IF(SUMIFS(Appointments!$M$6:$M$2005,Appointments!$D$6:$D$2005,B102,Appointments!$O$6:$O$2005,1)=0,"",INT(SUMIFS(Appointments!$M$6:$M$2005,Appointments!$D$6:$D$2005,B102,Appointments!$O$6:$O$2005,1))))</f>
        <v/>
      </c>
      <c r="K102" s="27">
        <f>IF(B102="","",SUMIFS(Appointments!$I$6:$I$2005,Appointments!$D$6:$D$2005,B102)+SUMIFS(Packages!$F$6:$F$305,Packages!$C$6:$C$305,B102))</f>
        <v/>
      </c>
      <c r="L102" s="28">
        <f>IF(B102="","",IF(SUMIFS(Appointments!$K$6:$K$2005,Appointments!$D$6:$D$2005,B102)=0,"",SUMIFS(Appointments!$K$6:$K$2005,Appointments!$D$6:$D$2005,B102)))</f>
        <v/>
      </c>
      <c r="M102" s="38">
        <f>IF(OR(B102="",SUMIFS(Packages!$E$6:$E$305,Packages!$C$6:$C$305,B102)=0),"",SUMIFS(Packages!$E$6:$E$305,Packages!$C$6:$C$305,B102)-COUNTIFS(Appointments!$D$6:$D$2005,B102,Appointments!$J$6:$J$2005,"Package",Appointments!$F$6:$F$2005,"Done")+IF(Services!$I$6="Yes",COUNTIFS(Appointments!$D$6:$D$2005,B102,Appointments!$J$6:$J$2005,"Package",Appointments!$F$6:$F$2005,"No-show"),0))</f>
        <v/>
      </c>
      <c r="N102" s="18">
        <f>IF(OR(B102="",I102=""),"",IF(AND(J102="",TODAY()-I102&gt;=N(Services!$I$7)),"Not seen for "&amp;(TODAY()-I102)&amp;" days",""))</f>
        <v/>
      </c>
      <c r="O102" s="1">
        <f>IF(N(E102)=0,"",MONTH(E102))</f>
        <v/>
      </c>
    </row>
    <row r="103">
      <c r="A103" s="1" t="n"/>
      <c r="B103" s="35" t="inlineStr">
        <is>
          <t>George Mason</t>
        </is>
      </c>
      <c r="C103" s="32" t="inlineStr">
        <is>
          <t>555 0297</t>
        </is>
      </c>
      <c r="D103" s="32" t="n"/>
      <c r="E103" s="36" t="n"/>
      <c r="F103" s="30" t="n">
        <v>44221</v>
      </c>
      <c r="G103" s="32" t="n"/>
      <c r="H103" s="26">
        <f>IF(B103="","",COUNTIFS(Appointments!$D$6:$D$2005,B103,Appointments!$F$6:$F$2005,"Done"))</f>
        <v/>
      </c>
      <c r="I103" s="37">
        <f>IF(OR(B103="",N(H103)=0),"",INT(SUMIFS(Appointments!$M$6:$M$2005,Appointments!$D$6:$D$2005,B103,Appointments!$N$6:$N$2005,1)))</f>
        <v/>
      </c>
      <c r="J103" s="37">
        <f>IF(B103="","",IF(SUMIFS(Appointments!$M$6:$M$2005,Appointments!$D$6:$D$2005,B103,Appointments!$O$6:$O$2005,1)=0,"",INT(SUMIFS(Appointments!$M$6:$M$2005,Appointments!$D$6:$D$2005,B103,Appointments!$O$6:$O$2005,1))))</f>
        <v/>
      </c>
      <c r="K103" s="27">
        <f>IF(B103="","",SUMIFS(Appointments!$I$6:$I$2005,Appointments!$D$6:$D$2005,B103)+SUMIFS(Packages!$F$6:$F$305,Packages!$C$6:$C$305,B103))</f>
        <v/>
      </c>
      <c r="L103" s="28">
        <f>IF(B103="","",IF(SUMIFS(Appointments!$K$6:$K$2005,Appointments!$D$6:$D$2005,B103)=0,"",SUMIFS(Appointments!$K$6:$K$2005,Appointments!$D$6:$D$2005,B103)))</f>
        <v/>
      </c>
      <c r="M103" s="38">
        <f>IF(OR(B103="",SUMIFS(Packages!$E$6:$E$305,Packages!$C$6:$C$305,B103)=0),"",SUMIFS(Packages!$E$6:$E$305,Packages!$C$6:$C$305,B103)-COUNTIFS(Appointments!$D$6:$D$2005,B103,Appointments!$J$6:$J$2005,"Package",Appointments!$F$6:$F$2005,"Done")+IF(Services!$I$6="Yes",COUNTIFS(Appointments!$D$6:$D$2005,B103,Appointments!$J$6:$J$2005,"Package",Appointments!$F$6:$F$2005,"No-show"),0))</f>
        <v/>
      </c>
      <c r="N103" s="18">
        <f>IF(OR(B103="",I103=""),"",IF(AND(J103="",TODAY()-I103&gt;=N(Services!$I$7)),"Not seen for "&amp;(TODAY()-I103)&amp;" days",""))</f>
        <v/>
      </c>
      <c r="O103" s="1">
        <f>IF(N(E103)=0,"",MONTH(E103))</f>
        <v/>
      </c>
    </row>
    <row r="104">
      <c r="A104" s="1" t="n"/>
      <c r="B104" s="35" t="inlineStr">
        <is>
          <t>Ian Bell</t>
        </is>
      </c>
      <c r="C104" s="32" t="inlineStr">
        <is>
          <t>555 0298</t>
        </is>
      </c>
      <c r="D104" s="32" t="n"/>
      <c r="E104" s="36" t="n"/>
      <c r="F104" s="30" t="n">
        <v>45302</v>
      </c>
      <c r="G104" s="32" t="n"/>
      <c r="H104" s="26">
        <f>IF(B104="","",COUNTIFS(Appointments!$D$6:$D$2005,B104,Appointments!$F$6:$F$2005,"Done"))</f>
        <v/>
      </c>
      <c r="I104" s="37">
        <f>IF(OR(B104="",N(H104)=0),"",INT(SUMIFS(Appointments!$M$6:$M$2005,Appointments!$D$6:$D$2005,B104,Appointments!$N$6:$N$2005,1)))</f>
        <v/>
      </c>
      <c r="J104" s="37">
        <f>IF(B104="","",IF(SUMIFS(Appointments!$M$6:$M$2005,Appointments!$D$6:$D$2005,B104,Appointments!$O$6:$O$2005,1)=0,"",INT(SUMIFS(Appointments!$M$6:$M$2005,Appointments!$D$6:$D$2005,B104,Appointments!$O$6:$O$2005,1))))</f>
        <v/>
      </c>
      <c r="K104" s="27">
        <f>IF(B104="","",SUMIFS(Appointments!$I$6:$I$2005,Appointments!$D$6:$D$2005,B104)+SUMIFS(Packages!$F$6:$F$305,Packages!$C$6:$C$305,B104))</f>
        <v/>
      </c>
      <c r="L104" s="28">
        <f>IF(B104="","",IF(SUMIFS(Appointments!$K$6:$K$2005,Appointments!$D$6:$D$2005,B104)=0,"",SUMIFS(Appointments!$K$6:$K$2005,Appointments!$D$6:$D$2005,B104)))</f>
        <v/>
      </c>
      <c r="M104" s="38">
        <f>IF(OR(B104="",SUMIFS(Packages!$E$6:$E$305,Packages!$C$6:$C$305,B104)=0),"",SUMIFS(Packages!$E$6:$E$305,Packages!$C$6:$C$305,B104)-COUNTIFS(Appointments!$D$6:$D$2005,B104,Appointments!$J$6:$J$2005,"Package",Appointments!$F$6:$F$2005,"Done")+IF(Services!$I$6="Yes",COUNTIFS(Appointments!$D$6:$D$2005,B104,Appointments!$J$6:$J$2005,"Package",Appointments!$F$6:$F$2005,"No-show"),0))</f>
        <v/>
      </c>
      <c r="N104" s="18">
        <f>IF(OR(B104="",I104=""),"",IF(AND(J104="",TODAY()-I104&gt;=N(Services!$I$7)),"Not seen for "&amp;(TODAY()-I104)&amp;" days",""))</f>
        <v/>
      </c>
      <c r="O104" s="1">
        <f>IF(N(E104)=0,"",MONTH(E104))</f>
        <v/>
      </c>
    </row>
    <row r="105">
      <c r="A105" s="1" t="n"/>
      <c r="B105" s="35" t="inlineStr">
        <is>
          <t>Ella Morgan</t>
        </is>
      </c>
      <c r="C105" s="32" t="inlineStr">
        <is>
          <t>555 0299</t>
        </is>
      </c>
      <c r="D105" s="32" t="inlineStr">
        <is>
          <t>ella.m@example.com</t>
        </is>
      </c>
      <c r="E105" s="36" t="n"/>
      <c r="F105" s="30" t="n">
        <v>45642</v>
      </c>
      <c r="G105" s="32" t="n"/>
      <c r="H105" s="26">
        <f>IF(B105="","",COUNTIFS(Appointments!$D$6:$D$2005,B105,Appointments!$F$6:$F$2005,"Done"))</f>
        <v/>
      </c>
      <c r="I105" s="37">
        <f>IF(OR(B105="",N(H105)=0),"",INT(SUMIFS(Appointments!$M$6:$M$2005,Appointments!$D$6:$D$2005,B105,Appointments!$N$6:$N$2005,1)))</f>
        <v/>
      </c>
      <c r="J105" s="37">
        <f>IF(B105="","",IF(SUMIFS(Appointments!$M$6:$M$2005,Appointments!$D$6:$D$2005,B105,Appointments!$O$6:$O$2005,1)=0,"",INT(SUMIFS(Appointments!$M$6:$M$2005,Appointments!$D$6:$D$2005,B105,Appointments!$O$6:$O$2005,1))))</f>
        <v/>
      </c>
      <c r="K105" s="27">
        <f>IF(B105="","",SUMIFS(Appointments!$I$6:$I$2005,Appointments!$D$6:$D$2005,B105)+SUMIFS(Packages!$F$6:$F$305,Packages!$C$6:$C$305,B105))</f>
        <v/>
      </c>
      <c r="L105" s="28">
        <f>IF(B105="","",IF(SUMIFS(Appointments!$K$6:$K$2005,Appointments!$D$6:$D$2005,B105)=0,"",SUMIFS(Appointments!$K$6:$K$2005,Appointments!$D$6:$D$2005,B105)))</f>
        <v/>
      </c>
      <c r="M105" s="38">
        <f>IF(OR(B105="",SUMIFS(Packages!$E$6:$E$305,Packages!$C$6:$C$305,B105)=0),"",SUMIFS(Packages!$E$6:$E$305,Packages!$C$6:$C$305,B105)-COUNTIFS(Appointments!$D$6:$D$2005,B105,Appointments!$J$6:$J$2005,"Package",Appointments!$F$6:$F$2005,"Done")+IF(Services!$I$6="Yes",COUNTIFS(Appointments!$D$6:$D$2005,B105,Appointments!$J$6:$J$2005,"Package",Appointments!$F$6:$F$2005,"No-show"),0))</f>
        <v/>
      </c>
      <c r="N105" s="18">
        <f>IF(OR(B105="",I105=""),"",IF(AND(J105="",TODAY()-I105&gt;=N(Services!$I$7)),"Not seen for "&amp;(TODAY()-I105)&amp;" days",""))</f>
        <v/>
      </c>
      <c r="O105" s="1">
        <f>IF(N(E105)=0,"",MONTH(E105))</f>
        <v/>
      </c>
    </row>
    <row r="106">
      <c r="A106" s="1" t="n"/>
      <c r="B106" s="35" t="inlineStr">
        <is>
          <t>Lily Young</t>
        </is>
      </c>
      <c r="C106" s="32" t="inlineStr">
        <is>
          <t>555 0300</t>
        </is>
      </c>
      <c r="D106" s="32" t="inlineStr">
        <is>
          <t>lily.y@example.com</t>
        </is>
      </c>
      <c r="E106" s="36" t="n"/>
      <c r="F106" s="30" t="n">
        <v>45378</v>
      </c>
      <c r="G106" s="32" t="n"/>
      <c r="H106" s="26">
        <f>IF(B106="","",COUNTIFS(Appointments!$D$6:$D$2005,B106,Appointments!$F$6:$F$2005,"Done"))</f>
        <v/>
      </c>
      <c r="I106" s="37">
        <f>IF(OR(B106="",N(H106)=0),"",INT(SUMIFS(Appointments!$M$6:$M$2005,Appointments!$D$6:$D$2005,B106,Appointments!$N$6:$N$2005,1)))</f>
        <v/>
      </c>
      <c r="J106" s="37">
        <f>IF(B106="","",IF(SUMIFS(Appointments!$M$6:$M$2005,Appointments!$D$6:$D$2005,B106,Appointments!$O$6:$O$2005,1)=0,"",INT(SUMIFS(Appointments!$M$6:$M$2005,Appointments!$D$6:$D$2005,B106,Appointments!$O$6:$O$2005,1))))</f>
        <v/>
      </c>
      <c r="K106" s="27">
        <f>IF(B106="","",SUMIFS(Appointments!$I$6:$I$2005,Appointments!$D$6:$D$2005,B106)+SUMIFS(Packages!$F$6:$F$305,Packages!$C$6:$C$305,B106))</f>
        <v/>
      </c>
      <c r="L106" s="28">
        <f>IF(B106="","",IF(SUMIFS(Appointments!$K$6:$K$2005,Appointments!$D$6:$D$2005,B106)=0,"",SUMIFS(Appointments!$K$6:$K$2005,Appointments!$D$6:$D$2005,B106)))</f>
        <v/>
      </c>
      <c r="M106" s="38">
        <f>IF(OR(B106="",SUMIFS(Packages!$E$6:$E$305,Packages!$C$6:$C$305,B106)=0),"",SUMIFS(Packages!$E$6:$E$305,Packages!$C$6:$C$305,B106)-COUNTIFS(Appointments!$D$6:$D$2005,B106,Appointments!$J$6:$J$2005,"Package",Appointments!$F$6:$F$2005,"Done")+IF(Services!$I$6="Yes",COUNTIFS(Appointments!$D$6:$D$2005,B106,Appointments!$J$6:$J$2005,"Package",Appointments!$F$6:$F$2005,"No-show"),0))</f>
        <v/>
      </c>
      <c r="N106" s="18">
        <f>IF(OR(B106="",I106=""),"",IF(AND(J106="",TODAY()-I106&gt;=N(Services!$I$7)),"Not seen for "&amp;(TODAY()-I106)&amp;" days",""))</f>
        <v/>
      </c>
      <c r="O106" s="1">
        <f>IF(N(E106)=0,"",MONTH(E106))</f>
        <v/>
      </c>
    </row>
    <row r="107">
      <c r="A107" s="1" t="n"/>
      <c r="B107" s="35" t="inlineStr">
        <is>
          <t>Ryan Davies</t>
        </is>
      </c>
      <c r="C107" s="32" t="inlineStr">
        <is>
          <t>555 0301</t>
        </is>
      </c>
      <c r="D107" s="32" t="inlineStr">
        <is>
          <t>ryan.d@example.com</t>
        </is>
      </c>
      <c r="E107" s="36" t="n"/>
      <c r="F107" s="30" t="n">
        <v>44314</v>
      </c>
      <c r="G107" s="32" t="n"/>
      <c r="H107" s="26">
        <f>IF(B107="","",COUNTIFS(Appointments!$D$6:$D$2005,B107,Appointments!$F$6:$F$2005,"Done"))</f>
        <v/>
      </c>
      <c r="I107" s="37">
        <f>IF(OR(B107="",N(H107)=0),"",INT(SUMIFS(Appointments!$M$6:$M$2005,Appointments!$D$6:$D$2005,B107,Appointments!$N$6:$N$2005,1)))</f>
        <v/>
      </c>
      <c r="J107" s="37">
        <f>IF(B107="","",IF(SUMIFS(Appointments!$M$6:$M$2005,Appointments!$D$6:$D$2005,B107,Appointments!$O$6:$O$2005,1)=0,"",INT(SUMIFS(Appointments!$M$6:$M$2005,Appointments!$D$6:$D$2005,B107,Appointments!$O$6:$O$2005,1))))</f>
        <v/>
      </c>
      <c r="K107" s="27">
        <f>IF(B107="","",SUMIFS(Appointments!$I$6:$I$2005,Appointments!$D$6:$D$2005,B107)+SUMIFS(Packages!$F$6:$F$305,Packages!$C$6:$C$305,B107))</f>
        <v/>
      </c>
      <c r="L107" s="28">
        <f>IF(B107="","",IF(SUMIFS(Appointments!$K$6:$K$2005,Appointments!$D$6:$D$2005,B107)=0,"",SUMIFS(Appointments!$K$6:$K$2005,Appointments!$D$6:$D$2005,B107)))</f>
        <v/>
      </c>
      <c r="M107" s="38">
        <f>IF(OR(B107="",SUMIFS(Packages!$E$6:$E$305,Packages!$C$6:$C$305,B107)=0),"",SUMIFS(Packages!$E$6:$E$305,Packages!$C$6:$C$305,B107)-COUNTIFS(Appointments!$D$6:$D$2005,B107,Appointments!$J$6:$J$2005,"Package",Appointments!$F$6:$F$2005,"Done")+IF(Services!$I$6="Yes",COUNTIFS(Appointments!$D$6:$D$2005,B107,Appointments!$J$6:$J$2005,"Package",Appointments!$F$6:$F$2005,"No-show"),0))</f>
        <v/>
      </c>
      <c r="N107" s="18">
        <f>IF(OR(B107="",I107=""),"",IF(AND(J107="",TODAY()-I107&gt;=N(Services!$I$7)),"Not seen for "&amp;(TODAY()-I107)&amp;" days",""))</f>
        <v/>
      </c>
      <c r="O107" s="1">
        <f>IF(N(E107)=0,"",MONTH(E107))</f>
        <v/>
      </c>
    </row>
    <row r="108">
      <c r="A108" s="1" t="n"/>
      <c r="B108" s="35" t="inlineStr">
        <is>
          <t>Jade Davies</t>
        </is>
      </c>
      <c r="C108" s="32" t="inlineStr">
        <is>
          <t>555 0302</t>
        </is>
      </c>
      <c r="D108" s="32" t="inlineStr">
        <is>
          <t>jade.d@example.com</t>
        </is>
      </c>
      <c r="E108" s="36" t="n">
        <v>33470</v>
      </c>
      <c r="F108" s="30" t="n">
        <v>45249</v>
      </c>
      <c r="G108" s="32" t="n"/>
      <c r="H108" s="26">
        <f>IF(B108="","",COUNTIFS(Appointments!$D$6:$D$2005,B108,Appointments!$F$6:$F$2005,"Done"))</f>
        <v/>
      </c>
      <c r="I108" s="37">
        <f>IF(OR(B108="",N(H108)=0),"",INT(SUMIFS(Appointments!$M$6:$M$2005,Appointments!$D$6:$D$2005,B108,Appointments!$N$6:$N$2005,1)))</f>
        <v/>
      </c>
      <c r="J108" s="37">
        <f>IF(B108="","",IF(SUMIFS(Appointments!$M$6:$M$2005,Appointments!$D$6:$D$2005,B108,Appointments!$O$6:$O$2005,1)=0,"",INT(SUMIFS(Appointments!$M$6:$M$2005,Appointments!$D$6:$D$2005,B108,Appointments!$O$6:$O$2005,1))))</f>
        <v/>
      </c>
      <c r="K108" s="27">
        <f>IF(B108="","",SUMIFS(Appointments!$I$6:$I$2005,Appointments!$D$6:$D$2005,B108)+SUMIFS(Packages!$F$6:$F$305,Packages!$C$6:$C$305,B108))</f>
        <v/>
      </c>
      <c r="L108" s="28">
        <f>IF(B108="","",IF(SUMIFS(Appointments!$K$6:$K$2005,Appointments!$D$6:$D$2005,B108)=0,"",SUMIFS(Appointments!$K$6:$K$2005,Appointments!$D$6:$D$2005,B108)))</f>
        <v/>
      </c>
      <c r="M108" s="38">
        <f>IF(OR(B108="",SUMIFS(Packages!$E$6:$E$305,Packages!$C$6:$C$305,B108)=0),"",SUMIFS(Packages!$E$6:$E$305,Packages!$C$6:$C$305,B108)-COUNTIFS(Appointments!$D$6:$D$2005,B108,Appointments!$J$6:$J$2005,"Package",Appointments!$F$6:$F$2005,"Done")+IF(Services!$I$6="Yes",COUNTIFS(Appointments!$D$6:$D$2005,B108,Appointments!$J$6:$J$2005,"Package",Appointments!$F$6:$F$2005,"No-show"),0))</f>
        <v/>
      </c>
      <c r="N108" s="18">
        <f>IF(OR(B108="",I108=""),"",IF(AND(J108="",TODAY()-I108&gt;=N(Services!$I$7)),"Not seen for "&amp;(TODAY()-I108)&amp;" days",""))</f>
        <v/>
      </c>
      <c r="O108" s="1">
        <f>IF(N(E108)=0,"",MONTH(E108))</f>
        <v/>
      </c>
    </row>
    <row r="109">
      <c r="A109" s="1" t="n"/>
      <c r="B109" s="35" t="inlineStr">
        <is>
          <t>Kara Young</t>
        </is>
      </c>
      <c r="C109" s="32" t="inlineStr">
        <is>
          <t>555 0303</t>
        </is>
      </c>
      <c r="D109" s="32" t="n"/>
      <c r="E109" s="36" t="n">
        <v>30655</v>
      </c>
      <c r="F109" s="30" t="n">
        <v>44777</v>
      </c>
      <c r="G109" s="32" t="n"/>
      <c r="H109" s="26">
        <f>IF(B109="","",COUNTIFS(Appointments!$D$6:$D$2005,B109,Appointments!$F$6:$F$2005,"Done"))</f>
        <v/>
      </c>
      <c r="I109" s="37">
        <f>IF(OR(B109="",N(H109)=0),"",INT(SUMIFS(Appointments!$M$6:$M$2005,Appointments!$D$6:$D$2005,B109,Appointments!$N$6:$N$2005,1)))</f>
        <v/>
      </c>
      <c r="J109" s="37">
        <f>IF(B109="","",IF(SUMIFS(Appointments!$M$6:$M$2005,Appointments!$D$6:$D$2005,B109,Appointments!$O$6:$O$2005,1)=0,"",INT(SUMIFS(Appointments!$M$6:$M$2005,Appointments!$D$6:$D$2005,B109,Appointments!$O$6:$O$2005,1))))</f>
        <v/>
      </c>
      <c r="K109" s="27">
        <f>IF(B109="","",SUMIFS(Appointments!$I$6:$I$2005,Appointments!$D$6:$D$2005,B109)+SUMIFS(Packages!$F$6:$F$305,Packages!$C$6:$C$305,B109))</f>
        <v/>
      </c>
      <c r="L109" s="28">
        <f>IF(B109="","",IF(SUMIFS(Appointments!$K$6:$K$2005,Appointments!$D$6:$D$2005,B109)=0,"",SUMIFS(Appointments!$K$6:$K$2005,Appointments!$D$6:$D$2005,B109)))</f>
        <v/>
      </c>
      <c r="M109" s="38">
        <f>IF(OR(B109="",SUMIFS(Packages!$E$6:$E$305,Packages!$C$6:$C$305,B109)=0),"",SUMIFS(Packages!$E$6:$E$305,Packages!$C$6:$C$305,B109)-COUNTIFS(Appointments!$D$6:$D$2005,B109,Appointments!$J$6:$J$2005,"Package",Appointments!$F$6:$F$2005,"Done")+IF(Services!$I$6="Yes",COUNTIFS(Appointments!$D$6:$D$2005,B109,Appointments!$J$6:$J$2005,"Package",Appointments!$F$6:$F$2005,"No-show"),0))</f>
        <v/>
      </c>
      <c r="N109" s="18">
        <f>IF(OR(B109="",I109=""),"",IF(AND(J109="",TODAY()-I109&gt;=N(Services!$I$7)),"Not seen for "&amp;(TODAY()-I109)&amp;" days",""))</f>
        <v/>
      </c>
      <c r="O109" s="1">
        <f>IF(N(E109)=0,"",MONTH(E109))</f>
        <v/>
      </c>
    </row>
    <row r="110">
      <c r="A110" s="1" t="n"/>
      <c r="B110" s="35" t="inlineStr">
        <is>
          <t>Dan Owens</t>
        </is>
      </c>
      <c r="C110" s="32" t="inlineStr">
        <is>
          <t>555 0304</t>
        </is>
      </c>
      <c r="D110" s="32" t="inlineStr">
        <is>
          <t>dan.o@example.com</t>
        </is>
      </c>
      <c r="E110" s="36" t="n"/>
      <c r="F110" s="30" t="n">
        <v>46010</v>
      </c>
      <c r="G110" s="32" t="n"/>
      <c r="H110" s="26">
        <f>IF(B110="","",COUNTIFS(Appointments!$D$6:$D$2005,B110,Appointments!$F$6:$F$2005,"Done"))</f>
        <v/>
      </c>
      <c r="I110" s="37">
        <f>IF(OR(B110="",N(H110)=0),"",INT(SUMIFS(Appointments!$M$6:$M$2005,Appointments!$D$6:$D$2005,B110,Appointments!$N$6:$N$2005,1)))</f>
        <v/>
      </c>
      <c r="J110" s="37">
        <f>IF(B110="","",IF(SUMIFS(Appointments!$M$6:$M$2005,Appointments!$D$6:$D$2005,B110,Appointments!$O$6:$O$2005,1)=0,"",INT(SUMIFS(Appointments!$M$6:$M$2005,Appointments!$D$6:$D$2005,B110,Appointments!$O$6:$O$2005,1))))</f>
        <v/>
      </c>
      <c r="K110" s="27">
        <f>IF(B110="","",SUMIFS(Appointments!$I$6:$I$2005,Appointments!$D$6:$D$2005,B110)+SUMIFS(Packages!$F$6:$F$305,Packages!$C$6:$C$305,B110))</f>
        <v/>
      </c>
      <c r="L110" s="28">
        <f>IF(B110="","",IF(SUMIFS(Appointments!$K$6:$K$2005,Appointments!$D$6:$D$2005,B110)=0,"",SUMIFS(Appointments!$K$6:$K$2005,Appointments!$D$6:$D$2005,B110)))</f>
        <v/>
      </c>
      <c r="M110" s="38">
        <f>IF(OR(B110="",SUMIFS(Packages!$E$6:$E$305,Packages!$C$6:$C$305,B110)=0),"",SUMIFS(Packages!$E$6:$E$305,Packages!$C$6:$C$305,B110)-COUNTIFS(Appointments!$D$6:$D$2005,B110,Appointments!$J$6:$J$2005,"Package",Appointments!$F$6:$F$2005,"Done")+IF(Services!$I$6="Yes",COUNTIFS(Appointments!$D$6:$D$2005,B110,Appointments!$J$6:$J$2005,"Package",Appointments!$F$6:$F$2005,"No-show"),0))</f>
        <v/>
      </c>
      <c r="N110" s="18">
        <f>IF(OR(B110="",I110=""),"",IF(AND(J110="",TODAY()-I110&gt;=N(Services!$I$7)),"Not seen for "&amp;(TODAY()-I110)&amp;" days",""))</f>
        <v/>
      </c>
      <c r="O110" s="1">
        <f>IF(N(E110)=0,"",MONTH(E110))</f>
        <v/>
      </c>
    </row>
    <row r="111">
      <c r="A111" s="1" t="n"/>
      <c r="B111" s="35" t="inlineStr">
        <is>
          <t>Luke Lewis</t>
        </is>
      </c>
      <c r="C111" s="32" t="inlineStr">
        <is>
          <t>555 0305</t>
        </is>
      </c>
      <c r="D111" s="32" t="n"/>
      <c r="E111" s="36" t="n">
        <v>29485</v>
      </c>
      <c r="F111" s="30" t="n">
        <v>44867</v>
      </c>
      <c r="G111" s="32" t="n"/>
      <c r="H111" s="26">
        <f>IF(B111="","",COUNTIFS(Appointments!$D$6:$D$2005,B111,Appointments!$F$6:$F$2005,"Done"))</f>
        <v/>
      </c>
      <c r="I111" s="37">
        <f>IF(OR(B111="",N(H111)=0),"",INT(SUMIFS(Appointments!$M$6:$M$2005,Appointments!$D$6:$D$2005,B111,Appointments!$N$6:$N$2005,1)))</f>
        <v/>
      </c>
      <c r="J111" s="37">
        <f>IF(B111="","",IF(SUMIFS(Appointments!$M$6:$M$2005,Appointments!$D$6:$D$2005,B111,Appointments!$O$6:$O$2005,1)=0,"",INT(SUMIFS(Appointments!$M$6:$M$2005,Appointments!$D$6:$D$2005,B111,Appointments!$O$6:$O$2005,1))))</f>
        <v/>
      </c>
      <c r="K111" s="27">
        <f>IF(B111="","",SUMIFS(Appointments!$I$6:$I$2005,Appointments!$D$6:$D$2005,B111)+SUMIFS(Packages!$F$6:$F$305,Packages!$C$6:$C$305,B111))</f>
        <v/>
      </c>
      <c r="L111" s="28">
        <f>IF(B111="","",IF(SUMIFS(Appointments!$K$6:$K$2005,Appointments!$D$6:$D$2005,B111)=0,"",SUMIFS(Appointments!$K$6:$K$2005,Appointments!$D$6:$D$2005,B111)))</f>
        <v/>
      </c>
      <c r="M111" s="38">
        <f>IF(OR(B111="",SUMIFS(Packages!$E$6:$E$305,Packages!$C$6:$C$305,B111)=0),"",SUMIFS(Packages!$E$6:$E$305,Packages!$C$6:$C$305,B111)-COUNTIFS(Appointments!$D$6:$D$2005,B111,Appointments!$J$6:$J$2005,"Package",Appointments!$F$6:$F$2005,"Done")+IF(Services!$I$6="Yes",COUNTIFS(Appointments!$D$6:$D$2005,B111,Appointments!$J$6:$J$2005,"Package",Appointments!$F$6:$F$2005,"No-show"),0))</f>
        <v/>
      </c>
      <c r="N111" s="18">
        <f>IF(OR(B111="",I111=""),"",IF(AND(J111="",TODAY()-I111&gt;=N(Services!$I$7)),"Not seen for "&amp;(TODAY()-I111)&amp;" days",""))</f>
        <v/>
      </c>
      <c r="O111" s="1">
        <f>IF(N(E111)=0,"",MONTH(E111))</f>
        <v/>
      </c>
    </row>
    <row r="112">
      <c r="A112" s="1" t="n"/>
      <c r="B112" s="35" t="inlineStr">
        <is>
          <t>Ava Lewis</t>
        </is>
      </c>
      <c r="C112" s="32" t="inlineStr">
        <is>
          <t>555 0306</t>
        </is>
      </c>
      <c r="D112" s="32" t="inlineStr">
        <is>
          <t>ava.l@example.com</t>
        </is>
      </c>
      <c r="E112" s="36" t="n">
        <v>24511</v>
      </c>
      <c r="F112" s="30" t="n">
        <v>45780</v>
      </c>
      <c r="G112" s="32" t="n"/>
      <c r="H112" s="26">
        <f>IF(B112="","",COUNTIFS(Appointments!$D$6:$D$2005,B112,Appointments!$F$6:$F$2005,"Done"))</f>
        <v/>
      </c>
      <c r="I112" s="37">
        <f>IF(OR(B112="",N(H112)=0),"",INT(SUMIFS(Appointments!$M$6:$M$2005,Appointments!$D$6:$D$2005,B112,Appointments!$N$6:$N$2005,1)))</f>
        <v/>
      </c>
      <c r="J112" s="37">
        <f>IF(B112="","",IF(SUMIFS(Appointments!$M$6:$M$2005,Appointments!$D$6:$D$2005,B112,Appointments!$O$6:$O$2005,1)=0,"",INT(SUMIFS(Appointments!$M$6:$M$2005,Appointments!$D$6:$D$2005,B112,Appointments!$O$6:$O$2005,1))))</f>
        <v/>
      </c>
      <c r="K112" s="27">
        <f>IF(B112="","",SUMIFS(Appointments!$I$6:$I$2005,Appointments!$D$6:$D$2005,B112)+SUMIFS(Packages!$F$6:$F$305,Packages!$C$6:$C$305,B112))</f>
        <v/>
      </c>
      <c r="L112" s="28">
        <f>IF(B112="","",IF(SUMIFS(Appointments!$K$6:$K$2005,Appointments!$D$6:$D$2005,B112)=0,"",SUMIFS(Appointments!$K$6:$K$2005,Appointments!$D$6:$D$2005,B112)))</f>
        <v/>
      </c>
      <c r="M112" s="38">
        <f>IF(OR(B112="",SUMIFS(Packages!$E$6:$E$305,Packages!$C$6:$C$305,B112)=0),"",SUMIFS(Packages!$E$6:$E$305,Packages!$C$6:$C$305,B112)-COUNTIFS(Appointments!$D$6:$D$2005,B112,Appointments!$J$6:$J$2005,"Package",Appointments!$F$6:$F$2005,"Done")+IF(Services!$I$6="Yes",COUNTIFS(Appointments!$D$6:$D$2005,B112,Appointments!$J$6:$J$2005,"Package",Appointments!$F$6:$F$2005,"No-show"),0))</f>
        <v/>
      </c>
      <c r="N112" s="18">
        <f>IF(OR(B112="",I112=""),"",IF(AND(J112="",TODAY()-I112&gt;=N(Services!$I$7)),"Not seen for "&amp;(TODAY()-I112)&amp;" days",""))</f>
        <v/>
      </c>
      <c r="O112" s="1">
        <f>IF(N(E112)=0,"",MONTH(E112))</f>
        <v/>
      </c>
    </row>
    <row r="113">
      <c r="A113" s="1" t="n"/>
      <c r="B113" s="35" t="inlineStr">
        <is>
          <t>George Kelly</t>
        </is>
      </c>
      <c r="C113" s="32" t="inlineStr">
        <is>
          <t>555 0307</t>
        </is>
      </c>
      <c r="D113" s="32" t="n"/>
      <c r="E113" s="36" t="n"/>
      <c r="F113" s="30" t="n">
        <v>45450</v>
      </c>
      <c r="G113" s="32" t="n"/>
      <c r="H113" s="26">
        <f>IF(B113="","",COUNTIFS(Appointments!$D$6:$D$2005,B113,Appointments!$F$6:$F$2005,"Done"))</f>
        <v/>
      </c>
      <c r="I113" s="37">
        <f>IF(OR(B113="",N(H113)=0),"",INT(SUMIFS(Appointments!$M$6:$M$2005,Appointments!$D$6:$D$2005,B113,Appointments!$N$6:$N$2005,1)))</f>
        <v/>
      </c>
      <c r="J113" s="37">
        <f>IF(B113="","",IF(SUMIFS(Appointments!$M$6:$M$2005,Appointments!$D$6:$D$2005,B113,Appointments!$O$6:$O$2005,1)=0,"",INT(SUMIFS(Appointments!$M$6:$M$2005,Appointments!$D$6:$D$2005,B113,Appointments!$O$6:$O$2005,1))))</f>
        <v/>
      </c>
      <c r="K113" s="27">
        <f>IF(B113="","",SUMIFS(Appointments!$I$6:$I$2005,Appointments!$D$6:$D$2005,B113)+SUMIFS(Packages!$F$6:$F$305,Packages!$C$6:$C$305,B113))</f>
        <v/>
      </c>
      <c r="L113" s="28">
        <f>IF(B113="","",IF(SUMIFS(Appointments!$K$6:$K$2005,Appointments!$D$6:$D$2005,B113)=0,"",SUMIFS(Appointments!$K$6:$K$2005,Appointments!$D$6:$D$2005,B113)))</f>
        <v/>
      </c>
      <c r="M113" s="38">
        <f>IF(OR(B113="",SUMIFS(Packages!$E$6:$E$305,Packages!$C$6:$C$305,B113)=0),"",SUMIFS(Packages!$E$6:$E$305,Packages!$C$6:$C$305,B113)-COUNTIFS(Appointments!$D$6:$D$2005,B113,Appointments!$J$6:$J$2005,"Package",Appointments!$F$6:$F$2005,"Done")+IF(Services!$I$6="Yes",COUNTIFS(Appointments!$D$6:$D$2005,B113,Appointments!$J$6:$J$2005,"Package",Appointments!$F$6:$F$2005,"No-show"),0))</f>
        <v/>
      </c>
      <c r="N113" s="18">
        <f>IF(OR(B113="",I113=""),"",IF(AND(J113="",TODAY()-I113&gt;=N(Services!$I$7)),"Not seen for "&amp;(TODAY()-I113)&amp;" days",""))</f>
        <v/>
      </c>
      <c r="O113" s="1">
        <f>IF(N(E113)=0,"",MONTH(E113))</f>
        <v/>
      </c>
    </row>
    <row r="114">
      <c r="A114" s="1" t="n"/>
      <c r="B114" s="35" t="inlineStr">
        <is>
          <t>Iris West</t>
        </is>
      </c>
      <c r="C114" s="32" t="inlineStr">
        <is>
          <t>555 0308</t>
        </is>
      </c>
      <c r="D114" s="32" t="n"/>
      <c r="E114" s="36" t="n"/>
      <c r="F114" s="30" t="n">
        <v>44242</v>
      </c>
      <c r="G114" s="32" t="n"/>
      <c r="H114" s="26">
        <f>IF(B114="","",COUNTIFS(Appointments!$D$6:$D$2005,B114,Appointments!$F$6:$F$2005,"Done"))</f>
        <v/>
      </c>
      <c r="I114" s="37">
        <f>IF(OR(B114="",N(H114)=0),"",INT(SUMIFS(Appointments!$M$6:$M$2005,Appointments!$D$6:$D$2005,B114,Appointments!$N$6:$N$2005,1)))</f>
        <v/>
      </c>
      <c r="J114" s="37">
        <f>IF(B114="","",IF(SUMIFS(Appointments!$M$6:$M$2005,Appointments!$D$6:$D$2005,B114,Appointments!$O$6:$O$2005,1)=0,"",INT(SUMIFS(Appointments!$M$6:$M$2005,Appointments!$D$6:$D$2005,B114,Appointments!$O$6:$O$2005,1))))</f>
        <v/>
      </c>
      <c r="K114" s="27">
        <f>IF(B114="","",SUMIFS(Appointments!$I$6:$I$2005,Appointments!$D$6:$D$2005,B114)+SUMIFS(Packages!$F$6:$F$305,Packages!$C$6:$C$305,B114))</f>
        <v/>
      </c>
      <c r="L114" s="28">
        <f>IF(B114="","",IF(SUMIFS(Appointments!$K$6:$K$2005,Appointments!$D$6:$D$2005,B114)=0,"",SUMIFS(Appointments!$K$6:$K$2005,Appointments!$D$6:$D$2005,B114)))</f>
        <v/>
      </c>
      <c r="M114" s="38">
        <f>IF(OR(B114="",SUMIFS(Packages!$E$6:$E$305,Packages!$C$6:$C$305,B114)=0),"",SUMIFS(Packages!$E$6:$E$305,Packages!$C$6:$C$305,B114)-COUNTIFS(Appointments!$D$6:$D$2005,B114,Appointments!$J$6:$J$2005,"Package",Appointments!$F$6:$F$2005,"Done")+IF(Services!$I$6="Yes",COUNTIFS(Appointments!$D$6:$D$2005,B114,Appointments!$J$6:$J$2005,"Package",Appointments!$F$6:$F$2005,"No-show"),0))</f>
        <v/>
      </c>
      <c r="N114" s="18">
        <f>IF(OR(B114="",I114=""),"",IF(AND(J114="",TODAY()-I114&gt;=N(Services!$I$7)),"Not seen for "&amp;(TODAY()-I114)&amp;" days",""))</f>
        <v/>
      </c>
      <c r="O114" s="1">
        <f>IF(N(E114)=0,"",MONTH(E114))</f>
        <v/>
      </c>
    </row>
    <row r="115">
      <c r="A115" s="1" t="n"/>
      <c r="B115" s="35" t="inlineStr">
        <is>
          <t>Sara Stone</t>
        </is>
      </c>
      <c r="C115" s="32" t="inlineStr">
        <is>
          <t>555 0309</t>
        </is>
      </c>
      <c r="D115" s="32" t="n"/>
      <c r="E115" s="36" t="n"/>
      <c r="F115" s="30" t="n">
        <v>44717</v>
      </c>
      <c r="G115" s="32" t="n"/>
      <c r="H115" s="26">
        <f>IF(B115="","",COUNTIFS(Appointments!$D$6:$D$2005,B115,Appointments!$F$6:$F$2005,"Done"))</f>
        <v/>
      </c>
      <c r="I115" s="37">
        <f>IF(OR(B115="",N(H115)=0),"",INT(SUMIFS(Appointments!$M$6:$M$2005,Appointments!$D$6:$D$2005,B115,Appointments!$N$6:$N$2005,1)))</f>
        <v/>
      </c>
      <c r="J115" s="37">
        <f>IF(B115="","",IF(SUMIFS(Appointments!$M$6:$M$2005,Appointments!$D$6:$D$2005,B115,Appointments!$O$6:$O$2005,1)=0,"",INT(SUMIFS(Appointments!$M$6:$M$2005,Appointments!$D$6:$D$2005,B115,Appointments!$O$6:$O$2005,1))))</f>
        <v/>
      </c>
      <c r="K115" s="27">
        <f>IF(B115="","",SUMIFS(Appointments!$I$6:$I$2005,Appointments!$D$6:$D$2005,B115)+SUMIFS(Packages!$F$6:$F$305,Packages!$C$6:$C$305,B115))</f>
        <v/>
      </c>
      <c r="L115" s="28">
        <f>IF(B115="","",IF(SUMIFS(Appointments!$K$6:$K$2005,Appointments!$D$6:$D$2005,B115)=0,"",SUMIFS(Appointments!$K$6:$K$2005,Appointments!$D$6:$D$2005,B115)))</f>
        <v/>
      </c>
      <c r="M115" s="38">
        <f>IF(OR(B115="",SUMIFS(Packages!$E$6:$E$305,Packages!$C$6:$C$305,B115)=0),"",SUMIFS(Packages!$E$6:$E$305,Packages!$C$6:$C$305,B115)-COUNTIFS(Appointments!$D$6:$D$2005,B115,Appointments!$J$6:$J$2005,"Package",Appointments!$F$6:$F$2005,"Done")+IF(Services!$I$6="Yes",COUNTIFS(Appointments!$D$6:$D$2005,B115,Appointments!$J$6:$J$2005,"Package",Appointments!$F$6:$F$2005,"No-show"),0))</f>
        <v/>
      </c>
      <c r="N115" s="18">
        <f>IF(OR(B115="",I115=""),"",IF(AND(J115="",TODAY()-I115&gt;=N(Services!$I$7)),"Not seen for "&amp;(TODAY()-I115)&amp;" days",""))</f>
        <v/>
      </c>
      <c r="O115" s="1">
        <f>IF(N(E115)=0,"",MONTH(E115))</f>
        <v/>
      </c>
    </row>
    <row r="116">
      <c r="A116" s="1" t="n"/>
      <c r="B116" s="35" t="inlineStr">
        <is>
          <t>Helen Mason</t>
        </is>
      </c>
      <c r="C116" s="32" t="inlineStr">
        <is>
          <t>555 0310</t>
        </is>
      </c>
      <c r="D116" s="32" t="n"/>
      <c r="E116" s="36" t="n"/>
      <c r="F116" s="30" t="n">
        <v>44763</v>
      </c>
      <c r="G116" s="32" t="n"/>
      <c r="H116" s="26">
        <f>IF(B116="","",COUNTIFS(Appointments!$D$6:$D$2005,B116,Appointments!$F$6:$F$2005,"Done"))</f>
        <v/>
      </c>
      <c r="I116" s="37">
        <f>IF(OR(B116="",N(H116)=0),"",INT(SUMIFS(Appointments!$M$6:$M$2005,Appointments!$D$6:$D$2005,B116,Appointments!$N$6:$N$2005,1)))</f>
        <v/>
      </c>
      <c r="J116" s="37">
        <f>IF(B116="","",IF(SUMIFS(Appointments!$M$6:$M$2005,Appointments!$D$6:$D$2005,B116,Appointments!$O$6:$O$2005,1)=0,"",INT(SUMIFS(Appointments!$M$6:$M$2005,Appointments!$D$6:$D$2005,B116,Appointments!$O$6:$O$2005,1))))</f>
        <v/>
      </c>
      <c r="K116" s="27">
        <f>IF(B116="","",SUMIFS(Appointments!$I$6:$I$2005,Appointments!$D$6:$D$2005,B116)+SUMIFS(Packages!$F$6:$F$305,Packages!$C$6:$C$305,B116))</f>
        <v/>
      </c>
      <c r="L116" s="28">
        <f>IF(B116="","",IF(SUMIFS(Appointments!$K$6:$K$2005,Appointments!$D$6:$D$2005,B116)=0,"",SUMIFS(Appointments!$K$6:$K$2005,Appointments!$D$6:$D$2005,B116)))</f>
        <v/>
      </c>
      <c r="M116" s="38">
        <f>IF(OR(B116="",SUMIFS(Packages!$E$6:$E$305,Packages!$C$6:$C$305,B116)=0),"",SUMIFS(Packages!$E$6:$E$305,Packages!$C$6:$C$305,B116)-COUNTIFS(Appointments!$D$6:$D$2005,B116,Appointments!$J$6:$J$2005,"Package",Appointments!$F$6:$F$2005,"Done")+IF(Services!$I$6="Yes",COUNTIFS(Appointments!$D$6:$D$2005,B116,Appointments!$J$6:$J$2005,"Package",Appointments!$F$6:$F$2005,"No-show"),0))</f>
        <v/>
      </c>
      <c r="N116" s="18">
        <f>IF(OR(B116="",I116=""),"",IF(AND(J116="",TODAY()-I116&gt;=N(Services!$I$7)),"Not seen for "&amp;(TODAY()-I116)&amp;" days",""))</f>
        <v/>
      </c>
      <c r="O116" s="1">
        <f>IF(N(E116)=0,"",MONTH(E116))</f>
        <v/>
      </c>
    </row>
    <row r="117">
      <c r="A117" s="1" t="n"/>
      <c r="B117" s="35" t="inlineStr">
        <is>
          <t>Alice Ward</t>
        </is>
      </c>
      <c r="C117" s="32" t="inlineStr">
        <is>
          <t>555 0311</t>
        </is>
      </c>
      <c r="D117" s="32" t="n"/>
      <c r="E117" s="36" t="n">
        <v>25768</v>
      </c>
      <c r="F117" s="30" t="n">
        <v>45896</v>
      </c>
      <c r="G117" s="32" t="n"/>
      <c r="H117" s="26">
        <f>IF(B117="","",COUNTIFS(Appointments!$D$6:$D$2005,B117,Appointments!$F$6:$F$2005,"Done"))</f>
        <v/>
      </c>
      <c r="I117" s="37">
        <f>IF(OR(B117="",N(H117)=0),"",INT(SUMIFS(Appointments!$M$6:$M$2005,Appointments!$D$6:$D$2005,B117,Appointments!$N$6:$N$2005,1)))</f>
        <v/>
      </c>
      <c r="J117" s="37">
        <f>IF(B117="","",IF(SUMIFS(Appointments!$M$6:$M$2005,Appointments!$D$6:$D$2005,B117,Appointments!$O$6:$O$2005,1)=0,"",INT(SUMIFS(Appointments!$M$6:$M$2005,Appointments!$D$6:$D$2005,B117,Appointments!$O$6:$O$2005,1))))</f>
        <v/>
      </c>
      <c r="K117" s="27">
        <f>IF(B117="","",SUMIFS(Appointments!$I$6:$I$2005,Appointments!$D$6:$D$2005,B117)+SUMIFS(Packages!$F$6:$F$305,Packages!$C$6:$C$305,B117))</f>
        <v/>
      </c>
      <c r="L117" s="28">
        <f>IF(B117="","",IF(SUMIFS(Appointments!$K$6:$K$2005,Appointments!$D$6:$D$2005,B117)=0,"",SUMIFS(Appointments!$K$6:$K$2005,Appointments!$D$6:$D$2005,B117)))</f>
        <v/>
      </c>
      <c r="M117" s="38">
        <f>IF(OR(B117="",SUMIFS(Packages!$E$6:$E$305,Packages!$C$6:$C$305,B117)=0),"",SUMIFS(Packages!$E$6:$E$305,Packages!$C$6:$C$305,B117)-COUNTIFS(Appointments!$D$6:$D$2005,B117,Appointments!$J$6:$J$2005,"Package",Appointments!$F$6:$F$2005,"Done")+IF(Services!$I$6="Yes",COUNTIFS(Appointments!$D$6:$D$2005,B117,Appointments!$J$6:$J$2005,"Package",Appointments!$F$6:$F$2005,"No-show"),0))</f>
        <v/>
      </c>
      <c r="N117" s="18">
        <f>IF(OR(B117="",I117=""),"",IF(AND(J117="",TODAY()-I117&gt;=N(Services!$I$7)),"Not seen for "&amp;(TODAY()-I117)&amp;" days",""))</f>
        <v/>
      </c>
      <c r="O117" s="1">
        <f>IF(N(E117)=0,"",MONTH(E117))</f>
        <v/>
      </c>
    </row>
    <row r="118">
      <c r="A118" s="1" t="n"/>
      <c r="B118" s="35" t="inlineStr">
        <is>
          <t>Gina Adams</t>
        </is>
      </c>
      <c r="C118" s="32" t="inlineStr">
        <is>
          <t>555 0312</t>
        </is>
      </c>
      <c r="D118" s="32" t="inlineStr">
        <is>
          <t>gina.a@example.com</t>
        </is>
      </c>
      <c r="E118" s="36" t="n">
        <v>37675</v>
      </c>
      <c r="F118" s="30" t="n">
        <v>45162</v>
      </c>
      <c r="G118" s="32" t="n"/>
      <c r="H118" s="26">
        <f>IF(B118="","",COUNTIFS(Appointments!$D$6:$D$2005,B118,Appointments!$F$6:$F$2005,"Done"))</f>
        <v/>
      </c>
      <c r="I118" s="37">
        <f>IF(OR(B118="",N(H118)=0),"",INT(SUMIFS(Appointments!$M$6:$M$2005,Appointments!$D$6:$D$2005,B118,Appointments!$N$6:$N$2005,1)))</f>
        <v/>
      </c>
      <c r="J118" s="37">
        <f>IF(B118="","",IF(SUMIFS(Appointments!$M$6:$M$2005,Appointments!$D$6:$D$2005,B118,Appointments!$O$6:$O$2005,1)=0,"",INT(SUMIFS(Appointments!$M$6:$M$2005,Appointments!$D$6:$D$2005,B118,Appointments!$O$6:$O$2005,1))))</f>
        <v/>
      </c>
      <c r="K118" s="27">
        <f>IF(B118="","",SUMIFS(Appointments!$I$6:$I$2005,Appointments!$D$6:$D$2005,B118)+SUMIFS(Packages!$F$6:$F$305,Packages!$C$6:$C$305,B118))</f>
        <v/>
      </c>
      <c r="L118" s="28">
        <f>IF(B118="","",IF(SUMIFS(Appointments!$K$6:$K$2005,Appointments!$D$6:$D$2005,B118)=0,"",SUMIFS(Appointments!$K$6:$K$2005,Appointments!$D$6:$D$2005,B118)))</f>
        <v/>
      </c>
      <c r="M118" s="38">
        <f>IF(OR(B118="",SUMIFS(Packages!$E$6:$E$305,Packages!$C$6:$C$305,B118)=0),"",SUMIFS(Packages!$E$6:$E$305,Packages!$C$6:$C$305,B118)-COUNTIFS(Appointments!$D$6:$D$2005,B118,Appointments!$J$6:$J$2005,"Package",Appointments!$F$6:$F$2005,"Done")+IF(Services!$I$6="Yes",COUNTIFS(Appointments!$D$6:$D$2005,B118,Appointments!$J$6:$J$2005,"Package",Appointments!$F$6:$F$2005,"No-show"),0))</f>
        <v/>
      </c>
      <c r="N118" s="18">
        <f>IF(OR(B118="",I118=""),"",IF(AND(J118="",TODAY()-I118&gt;=N(Services!$I$7)),"Not seen for "&amp;(TODAY()-I118)&amp;" days",""))</f>
        <v/>
      </c>
      <c r="O118" s="1">
        <f>IF(N(E118)=0,"",MONTH(E118))</f>
        <v/>
      </c>
    </row>
    <row r="119">
      <c r="A119" s="1" t="n"/>
      <c r="B119" s="35" t="inlineStr">
        <is>
          <t>Fiona Fox</t>
        </is>
      </c>
      <c r="C119" s="32" t="inlineStr">
        <is>
          <t>555 0313</t>
        </is>
      </c>
      <c r="D119" s="32" t="inlineStr">
        <is>
          <t>fiona.f@example.com</t>
        </is>
      </c>
      <c r="E119" s="36" t="n"/>
      <c r="F119" s="30" t="n">
        <v>45081</v>
      </c>
      <c r="G119" s="32" t="n"/>
      <c r="H119" s="26">
        <f>IF(B119="","",COUNTIFS(Appointments!$D$6:$D$2005,B119,Appointments!$F$6:$F$2005,"Done"))</f>
        <v/>
      </c>
      <c r="I119" s="37">
        <f>IF(OR(B119="",N(H119)=0),"",INT(SUMIFS(Appointments!$M$6:$M$2005,Appointments!$D$6:$D$2005,B119,Appointments!$N$6:$N$2005,1)))</f>
        <v/>
      </c>
      <c r="J119" s="37">
        <f>IF(B119="","",IF(SUMIFS(Appointments!$M$6:$M$2005,Appointments!$D$6:$D$2005,B119,Appointments!$O$6:$O$2005,1)=0,"",INT(SUMIFS(Appointments!$M$6:$M$2005,Appointments!$D$6:$D$2005,B119,Appointments!$O$6:$O$2005,1))))</f>
        <v/>
      </c>
      <c r="K119" s="27">
        <f>IF(B119="","",SUMIFS(Appointments!$I$6:$I$2005,Appointments!$D$6:$D$2005,B119)+SUMIFS(Packages!$F$6:$F$305,Packages!$C$6:$C$305,B119))</f>
        <v/>
      </c>
      <c r="L119" s="28">
        <f>IF(B119="","",IF(SUMIFS(Appointments!$K$6:$K$2005,Appointments!$D$6:$D$2005,B119)=0,"",SUMIFS(Appointments!$K$6:$K$2005,Appointments!$D$6:$D$2005,B119)))</f>
        <v/>
      </c>
      <c r="M119" s="38">
        <f>IF(OR(B119="",SUMIFS(Packages!$E$6:$E$305,Packages!$C$6:$C$305,B119)=0),"",SUMIFS(Packages!$E$6:$E$305,Packages!$C$6:$C$305,B119)-COUNTIFS(Appointments!$D$6:$D$2005,B119,Appointments!$J$6:$J$2005,"Package",Appointments!$F$6:$F$2005,"Done")+IF(Services!$I$6="Yes",COUNTIFS(Appointments!$D$6:$D$2005,B119,Appointments!$J$6:$J$2005,"Package",Appointments!$F$6:$F$2005,"No-show"),0))</f>
        <v/>
      </c>
      <c r="N119" s="18">
        <f>IF(OR(B119="",I119=""),"",IF(AND(J119="",TODAY()-I119&gt;=N(Services!$I$7)),"Not seen for "&amp;(TODAY()-I119)&amp;" days",""))</f>
        <v/>
      </c>
      <c r="O119" s="1">
        <f>IF(N(E119)=0,"",MONTH(E119))</f>
        <v/>
      </c>
    </row>
    <row r="120">
      <c r="A120" s="1" t="n"/>
      <c r="B120" s="35" t="inlineStr">
        <is>
          <t>Harry Lewis</t>
        </is>
      </c>
      <c r="C120" s="32" t="inlineStr">
        <is>
          <t>555 0314</t>
        </is>
      </c>
      <c r="D120" s="32" t="n"/>
      <c r="E120" s="36" t="n"/>
      <c r="F120" s="30" t="n">
        <v>45149</v>
      </c>
      <c r="G120" s="32" t="n"/>
      <c r="H120" s="26">
        <f>IF(B120="","",COUNTIFS(Appointments!$D$6:$D$2005,B120,Appointments!$F$6:$F$2005,"Done"))</f>
        <v/>
      </c>
      <c r="I120" s="37">
        <f>IF(OR(B120="",N(H120)=0),"",INT(SUMIFS(Appointments!$M$6:$M$2005,Appointments!$D$6:$D$2005,B120,Appointments!$N$6:$N$2005,1)))</f>
        <v/>
      </c>
      <c r="J120" s="37">
        <f>IF(B120="","",IF(SUMIFS(Appointments!$M$6:$M$2005,Appointments!$D$6:$D$2005,B120,Appointments!$O$6:$O$2005,1)=0,"",INT(SUMIFS(Appointments!$M$6:$M$2005,Appointments!$D$6:$D$2005,B120,Appointments!$O$6:$O$2005,1))))</f>
        <v/>
      </c>
      <c r="K120" s="27">
        <f>IF(B120="","",SUMIFS(Appointments!$I$6:$I$2005,Appointments!$D$6:$D$2005,B120)+SUMIFS(Packages!$F$6:$F$305,Packages!$C$6:$C$305,B120))</f>
        <v/>
      </c>
      <c r="L120" s="28">
        <f>IF(B120="","",IF(SUMIFS(Appointments!$K$6:$K$2005,Appointments!$D$6:$D$2005,B120)=0,"",SUMIFS(Appointments!$K$6:$K$2005,Appointments!$D$6:$D$2005,B120)))</f>
        <v/>
      </c>
      <c r="M120" s="38">
        <f>IF(OR(B120="",SUMIFS(Packages!$E$6:$E$305,Packages!$C$6:$C$305,B120)=0),"",SUMIFS(Packages!$E$6:$E$305,Packages!$C$6:$C$305,B120)-COUNTIFS(Appointments!$D$6:$D$2005,B120,Appointments!$J$6:$J$2005,"Package",Appointments!$F$6:$F$2005,"Done")+IF(Services!$I$6="Yes",COUNTIFS(Appointments!$D$6:$D$2005,B120,Appointments!$J$6:$J$2005,"Package",Appointments!$F$6:$F$2005,"No-show"),0))</f>
        <v/>
      </c>
      <c r="N120" s="18">
        <f>IF(OR(B120="",I120=""),"",IF(AND(J120="",TODAY()-I120&gt;=N(Services!$I$7)),"Not seen for "&amp;(TODAY()-I120)&amp;" days",""))</f>
        <v/>
      </c>
      <c r="O120" s="1">
        <f>IF(N(E120)=0,"",MONTH(E120))</f>
        <v/>
      </c>
    </row>
    <row r="121">
      <c r="A121" s="1" t="n"/>
      <c r="B121" s="35" t="inlineStr">
        <is>
          <t>Nina Young</t>
        </is>
      </c>
      <c r="C121" s="32" t="inlineStr">
        <is>
          <t>555 0315</t>
        </is>
      </c>
      <c r="D121" s="32" t="inlineStr">
        <is>
          <t>nina.y@example.com</t>
        </is>
      </c>
      <c r="E121" s="36" t="n"/>
      <c r="F121" s="30" t="n">
        <v>44938</v>
      </c>
      <c r="G121" s="32" t="n"/>
      <c r="H121" s="26">
        <f>IF(B121="","",COUNTIFS(Appointments!$D$6:$D$2005,B121,Appointments!$F$6:$F$2005,"Done"))</f>
        <v/>
      </c>
      <c r="I121" s="37">
        <f>IF(OR(B121="",N(H121)=0),"",INT(SUMIFS(Appointments!$M$6:$M$2005,Appointments!$D$6:$D$2005,B121,Appointments!$N$6:$N$2005,1)))</f>
        <v/>
      </c>
      <c r="J121" s="37">
        <f>IF(B121="","",IF(SUMIFS(Appointments!$M$6:$M$2005,Appointments!$D$6:$D$2005,B121,Appointments!$O$6:$O$2005,1)=0,"",INT(SUMIFS(Appointments!$M$6:$M$2005,Appointments!$D$6:$D$2005,B121,Appointments!$O$6:$O$2005,1))))</f>
        <v/>
      </c>
      <c r="K121" s="27">
        <f>IF(B121="","",SUMIFS(Appointments!$I$6:$I$2005,Appointments!$D$6:$D$2005,B121)+SUMIFS(Packages!$F$6:$F$305,Packages!$C$6:$C$305,B121))</f>
        <v/>
      </c>
      <c r="L121" s="28">
        <f>IF(B121="","",IF(SUMIFS(Appointments!$K$6:$K$2005,Appointments!$D$6:$D$2005,B121)=0,"",SUMIFS(Appointments!$K$6:$K$2005,Appointments!$D$6:$D$2005,B121)))</f>
        <v/>
      </c>
      <c r="M121" s="38">
        <f>IF(OR(B121="",SUMIFS(Packages!$E$6:$E$305,Packages!$C$6:$C$305,B121)=0),"",SUMIFS(Packages!$E$6:$E$305,Packages!$C$6:$C$305,B121)-COUNTIFS(Appointments!$D$6:$D$2005,B121,Appointments!$J$6:$J$2005,"Package",Appointments!$F$6:$F$2005,"Done")+IF(Services!$I$6="Yes",COUNTIFS(Appointments!$D$6:$D$2005,B121,Appointments!$J$6:$J$2005,"Package",Appointments!$F$6:$F$2005,"No-show"),0))</f>
        <v/>
      </c>
      <c r="N121" s="18">
        <f>IF(OR(B121="",I121=""),"",IF(AND(J121="",TODAY()-I121&gt;=N(Services!$I$7)),"Not seen for "&amp;(TODAY()-I121)&amp;" days",""))</f>
        <v/>
      </c>
      <c r="O121" s="1">
        <f>IF(N(E121)=0,"",MONTH(E121))</f>
        <v/>
      </c>
    </row>
    <row r="122">
      <c r="A122" s="1" t="n"/>
      <c r="B122" s="35" t="inlineStr">
        <is>
          <t>Ian Reed</t>
        </is>
      </c>
      <c r="C122" s="32" t="inlineStr">
        <is>
          <t>555 0316</t>
        </is>
      </c>
      <c r="D122" s="32" t="n"/>
      <c r="E122" s="36" t="n"/>
      <c r="F122" s="30" t="n">
        <v>45125</v>
      </c>
      <c r="G122" s="32" t="n"/>
      <c r="H122" s="26">
        <f>IF(B122="","",COUNTIFS(Appointments!$D$6:$D$2005,B122,Appointments!$F$6:$F$2005,"Done"))</f>
        <v/>
      </c>
      <c r="I122" s="37">
        <f>IF(OR(B122="",N(H122)=0),"",INT(SUMIFS(Appointments!$M$6:$M$2005,Appointments!$D$6:$D$2005,B122,Appointments!$N$6:$N$2005,1)))</f>
        <v/>
      </c>
      <c r="J122" s="37">
        <f>IF(B122="","",IF(SUMIFS(Appointments!$M$6:$M$2005,Appointments!$D$6:$D$2005,B122,Appointments!$O$6:$O$2005,1)=0,"",INT(SUMIFS(Appointments!$M$6:$M$2005,Appointments!$D$6:$D$2005,B122,Appointments!$O$6:$O$2005,1))))</f>
        <v/>
      </c>
      <c r="K122" s="27">
        <f>IF(B122="","",SUMIFS(Appointments!$I$6:$I$2005,Appointments!$D$6:$D$2005,B122)+SUMIFS(Packages!$F$6:$F$305,Packages!$C$6:$C$305,B122))</f>
        <v/>
      </c>
      <c r="L122" s="28">
        <f>IF(B122="","",IF(SUMIFS(Appointments!$K$6:$K$2005,Appointments!$D$6:$D$2005,B122)=0,"",SUMIFS(Appointments!$K$6:$K$2005,Appointments!$D$6:$D$2005,B122)))</f>
        <v/>
      </c>
      <c r="M122" s="38">
        <f>IF(OR(B122="",SUMIFS(Packages!$E$6:$E$305,Packages!$C$6:$C$305,B122)=0),"",SUMIFS(Packages!$E$6:$E$305,Packages!$C$6:$C$305,B122)-COUNTIFS(Appointments!$D$6:$D$2005,B122,Appointments!$J$6:$J$2005,"Package",Appointments!$F$6:$F$2005,"Done")+IF(Services!$I$6="Yes",COUNTIFS(Appointments!$D$6:$D$2005,B122,Appointments!$J$6:$J$2005,"Package",Appointments!$F$6:$F$2005,"No-show"),0))</f>
        <v/>
      </c>
      <c r="N122" s="18">
        <f>IF(OR(B122="",I122=""),"",IF(AND(J122="",TODAY()-I122&gt;=N(Services!$I$7)),"Not seen for "&amp;(TODAY()-I122)&amp;" days",""))</f>
        <v/>
      </c>
      <c r="O122" s="1">
        <f>IF(N(E122)=0,"",MONTH(E122))</f>
        <v/>
      </c>
    </row>
    <row r="123">
      <c r="A123" s="1" t="n"/>
      <c r="B123" s="35" t="inlineStr">
        <is>
          <t>Ian Hall</t>
        </is>
      </c>
      <c r="C123" s="32" t="inlineStr">
        <is>
          <t>555 0317</t>
        </is>
      </c>
      <c r="D123" s="32" t="inlineStr">
        <is>
          <t>ian.h@example.com</t>
        </is>
      </c>
      <c r="E123" s="36" t="n"/>
      <c r="F123" s="30" t="n">
        <v>44934</v>
      </c>
      <c r="G123" s="32" t="n"/>
      <c r="H123" s="26">
        <f>IF(B123="","",COUNTIFS(Appointments!$D$6:$D$2005,B123,Appointments!$F$6:$F$2005,"Done"))</f>
        <v/>
      </c>
      <c r="I123" s="37">
        <f>IF(OR(B123="",N(H123)=0),"",INT(SUMIFS(Appointments!$M$6:$M$2005,Appointments!$D$6:$D$2005,B123,Appointments!$N$6:$N$2005,1)))</f>
        <v/>
      </c>
      <c r="J123" s="37">
        <f>IF(B123="","",IF(SUMIFS(Appointments!$M$6:$M$2005,Appointments!$D$6:$D$2005,B123,Appointments!$O$6:$O$2005,1)=0,"",INT(SUMIFS(Appointments!$M$6:$M$2005,Appointments!$D$6:$D$2005,B123,Appointments!$O$6:$O$2005,1))))</f>
        <v/>
      </c>
      <c r="K123" s="27">
        <f>IF(B123="","",SUMIFS(Appointments!$I$6:$I$2005,Appointments!$D$6:$D$2005,B123)+SUMIFS(Packages!$F$6:$F$305,Packages!$C$6:$C$305,B123))</f>
        <v/>
      </c>
      <c r="L123" s="28">
        <f>IF(B123="","",IF(SUMIFS(Appointments!$K$6:$K$2005,Appointments!$D$6:$D$2005,B123)=0,"",SUMIFS(Appointments!$K$6:$K$2005,Appointments!$D$6:$D$2005,B123)))</f>
        <v/>
      </c>
      <c r="M123" s="38">
        <f>IF(OR(B123="",SUMIFS(Packages!$E$6:$E$305,Packages!$C$6:$C$305,B123)=0),"",SUMIFS(Packages!$E$6:$E$305,Packages!$C$6:$C$305,B123)-COUNTIFS(Appointments!$D$6:$D$2005,B123,Appointments!$J$6:$J$2005,"Package",Appointments!$F$6:$F$2005,"Done")+IF(Services!$I$6="Yes",COUNTIFS(Appointments!$D$6:$D$2005,B123,Appointments!$J$6:$J$2005,"Package",Appointments!$F$6:$F$2005,"No-show"),0))</f>
        <v/>
      </c>
      <c r="N123" s="18">
        <f>IF(OR(B123="",I123=""),"",IF(AND(J123="",TODAY()-I123&gt;=N(Services!$I$7)),"Not seen for "&amp;(TODAY()-I123)&amp;" days",""))</f>
        <v/>
      </c>
      <c r="O123" s="1">
        <f>IF(N(E123)=0,"",MONTH(E123))</f>
        <v/>
      </c>
    </row>
    <row r="124">
      <c r="A124" s="1" t="n"/>
      <c r="B124" s="35" t="inlineStr">
        <is>
          <t>Finn Gray</t>
        </is>
      </c>
      <c r="C124" s="32" t="inlineStr">
        <is>
          <t>555 0318</t>
        </is>
      </c>
      <c r="D124" s="32" t="n"/>
      <c r="E124" s="36" t="n"/>
      <c r="F124" s="30" t="n">
        <v>45341</v>
      </c>
      <c r="G124" s="32" t="n"/>
      <c r="H124" s="26">
        <f>IF(B124="","",COUNTIFS(Appointments!$D$6:$D$2005,B124,Appointments!$F$6:$F$2005,"Done"))</f>
        <v/>
      </c>
      <c r="I124" s="37">
        <f>IF(OR(B124="",N(H124)=0),"",INT(SUMIFS(Appointments!$M$6:$M$2005,Appointments!$D$6:$D$2005,B124,Appointments!$N$6:$N$2005,1)))</f>
        <v/>
      </c>
      <c r="J124" s="37">
        <f>IF(B124="","",IF(SUMIFS(Appointments!$M$6:$M$2005,Appointments!$D$6:$D$2005,B124,Appointments!$O$6:$O$2005,1)=0,"",INT(SUMIFS(Appointments!$M$6:$M$2005,Appointments!$D$6:$D$2005,B124,Appointments!$O$6:$O$2005,1))))</f>
        <v/>
      </c>
      <c r="K124" s="27">
        <f>IF(B124="","",SUMIFS(Appointments!$I$6:$I$2005,Appointments!$D$6:$D$2005,B124)+SUMIFS(Packages!$F$6:$F$305,Packages!$C$6:$C$305,B124))</f>
        <v/>
      </c>
      <c r="L124" s="28">
        <f>IF(B124="","",IF(SUMIFS(Appointments!$K$6:$K$2005,Appointments!$D$6:$D$2005,B124)=0,"",SUMIFS(Appointments!$K$6:$K$2005,Appointments!$D$6:$D$2005,B124)))</f>
        <v/>
      </c>
      <c r="M124" s="38">
        <f>IF(OR(B124="",SUMIFS(Packages!$E$6:$E$305,Packages!$C$6:$C$305,B124)=0),"",SUMIFS(Packages!$E$6:$E$305,Packages!$C$6:$C$305,B124)-COUNTIFS(Appointments!$D$6:$D$2005,B124,Appointments!$J$6:$J$2005,"Package",Appointments!$F$6:$F$2005,"Done")+IF(Services!$I$6="Yes",COUNTIFS(Appointments!$D$6:$D$2005,B124,Appointments!$J$6:$J$2005,"Package",Appointments!$F$6:$F$2005,"No-show"),0))</f>
        <v/>
      </c>
      <c r="N124" s="18">
        <f>IF(OR(B124="",I124=""),"",IF(AND(J124="",TODAY()-I124&gt;=N(Services!$I$7)),"Not seen for "&amp;(TODAY()-I124)&amp;" days",""))</f>
        <v/>
      </c>
      <c r="O124" s="1">
        <f>IF(N(E124)=0,"",MONTH(E124))</f>
        <v/>
      </c>
    </row>
    <row r="125">
      <c r="A125" s="1" t="n"/>
      <c r="B125" s="35" t="inlineStr">
        <is>
          <t>Finn Cook</t>
        </is>
      </c>
      <c r="C125" s="32" t="inlineStr">
        <is>
          <t>555 0319</t>
        </is>
      </c>
      <c r="D125" s="32" t="inlineStr">
        <is>
          <t>finn.c@example.com</t>
        </is>
      </c>
      <c r="E125" s="36" t="n">
        <v>26087</v>
      </c>
      <c r="F125" s="30" t="n">
        <v>44521</v>
      </c>
      <c r="G125" s="32" t="n"/>
      <c r="H125" s="26">
        <f>IF(B125="","",COUNTIFS(Appointments!$D$6:$D$2005,B125,Appointments!$F$6:$F$2005,"Done"))</f>
        <v/>
      </c>
      <c r="I125" s="37">
        <f>IF(OR(B125="",N(H125)=0),"",INT(SUMIFS(Appointments!$M$6:$M$2005,Appointments!$D$6:$D$2005,B125,Appointments!$N$6:$N$2005,1)))</f>
        <v/>
      </c>
      <c r="J125" s="37">
        <f>IF(B125="","",IF(SUMIFS(Appointments!$M$6:$M$2005,Appointments!$D$6:$D$2005,B125,Appointments!$O$6:$O$2005,1)=0,"",INT(SUMIFS(Appointments!$M$6:$M$2005,Appointments!$D$6:$D$2005,B125,Appointments!$O$6:$O$2005,1))))</f>
        <v/>
      </c>
      <c r="K125" s="27">
        <f>IF(B125="","",SUMIFS(Appointments!$I$6:$I$2005,Appointments!$D$6:$D$2005,B125)+SUMIFS(Packages!$F$6:$F$305,Packages!$C$6:$C$305,B125))</f>
        <v/>
      </c>
      <c r="L125" s="28">
        <f>IF(B125="","",IF(SUMIFS(Appointments!$K$6:$K$2005,Appointments!$D$6:$D$2005,B125)=0,"",SUMIFS(Appointments!$K$6:$K$2005,Appointments!$D$6:$D$2005,B125)))</f>
        <v/>
      </c>
      <c r="M125" s="38">
        <f>IF(OR(B125="",SUMIFS(Packages!$E$6:$E$305,Packages!$C$6:$C$305,B125)=0),"",SUMIFS(Packages!$E$6:$E$305,Packages!$C$6:$C$305,B125)-COUNTIFS(Appointments!$D$6:$D$2005,B125,Appointments!$J$6:$J$2005,"Package",Appointments!$F$6:$F$2005,"Done")+IF(Services!$I$6="Yes",COUNTIFS(Appointments!$D$6:$D$2005,B125,Appointments!$J$6:$J$2005,"Package",Appointments!$F$6:$F$2005,"No-show"),0))</f>
        <v/>
      </c>
      <c r="N125" s="18">
        <f>IF(OR(B125="",I125=""),"",IF(AND(J125="",TODAY()-I125&gt;=N(Services!$I$7)),"Not seen for "&amp;(TODAY()-I125)&amp;" days",""))</f>
        <v/>
      </c>
      <c r="O125" s="1">
        <f>IF(N(E125)=0,"",MONTH(E125))</f>
        <v/>
      </c>
    </row>
    <row r="126">
      <c r="A126" s="1" t="n"/>
      <c r="B126" s="35" t="inlineStr">
        <is>
          <t>Alice Stone</t>
        </is>
      </c>
      <c r="C126" s="32" t="inlineStr">
        <is>
          <t>555 0320</t>
        </is>
      </c>
      <c r="D126" s="32" t="inlineStr">
        <is>
          <t>alice.s@example.com</t>
        </is>
      </c>
      <c r="E126" s="36" t="n">
        <v>35971</v>
      </c>
      <c r="F126" s="30" t="n">
        <v>45485</v>
      </c>
      <c r="G126" s="32" t="n"/>
      <c r="H126" s="26">
        <f>IF(B126="","",COUNTIFS(Appointments!$D$6:$D$2005,B126,Appointments!$F$6:$F$2005,"Done"))</f>
        <v/>
      </c>
      <c r="I126" s="37">
        <f>IF(OR(B126="",N(H126)=0),"",INT(SUMIFS(Appointments!$M$6:$M$2005,Appointments!$D$6:$D$2005,B126,Appointments!$N$6:$N$2005,1)))</f>
        <v/>
      </c>
      <c r="J126" s="37">
        <f>IF(B126="","",IF(SUMIFS(Appointments!$M$6:$M$2005,Appointments!$D$6:$D$2005,B126,Appointments!$O$6:$O$2005,1)=0,"",INT(SUMIFS(Appointments!$M$6:$M$2005,Appointments!$D$6:$D$2005,B126,Appointments!$O$6:$O$2005,1))))</f>
        <v/>
      </c>
      <c r="K126" s="27">
        <f>IF(B126="","",SUMIFS(Appointments!$I$6:$I$2005,Appointments!$D$6:$D$2005,B126)+SUMIFS(Packages!$F$6:$F$305,Packages!$C$6:$C$305,B126))</f>
        <v/>
      </c>
      <c r="L126" s="28">
        <f>IF(B126="","",IF(SUMIFS(Appointments!$K$6:$K$2005,Appointments!$D$6:$D$2005,B126)=0,"",SUMIFS(Appointments!$K$6:$K$2005,Appointments!$D$6:$D$2005,B126)))</f>
        <v/>
      </c>
      <c r="M126" s="38">
        <f>IF(OR(B126="",SUMIFS(Packages!$E$6:$E$305,Packages!$C$6:$C$305,B126)=0),"",SUMIFS(Packages!$E$6:$E$305,Packages!$C$6:$C$305,B126)-COUNTIFS(Appointments!$D$6:$D$2005,B126,Appointments!$J$6:$J$2005,"Package",Appointments!$F$6:$F$2005,"Done")+IF(Services!$I$6="Yes",COUNTIFS(Appointments!$D$6:$D$2005,B126,Appointments!$J$6:$J$2005,"Package",Appointments!$F$6:$F$2005,"No-show"),0))</f>
        <v/>
      </c>
      <c r="N126" s="18">
        <f>IF(OR(B126="",I126=""),"",IF(AND(J126="",TODAY()-I126&gt;=N(Services!$I$7)),"Not seen for "&amp;(TODAY()-I126)&amp;" days",""))</f>
        <v/>
      </c>
      <c r="O126" s="1">
        <f>IF(N(E126)=0,"",MONTH(E126))</f>
        <v/>
      </c>
    </row>
    <row r="127">
      <c r="A127" s="1" t="n"/>
      <c r="B127" s="35" t="inlineStr">
        <is>
          <t>Chris West</t>
        </is>
      </c>
      <c r="C127" s="32" t="inlineStr">
        <is>
          <t>555 0321</t>
        </is>
      </c>
      <c r="D127" s="32" t="n"/>
      <c r="E127" s="36" t="n"/>
      <c r="F127" s="30" t="n">
        <v>45671</v>
      </c>
      <c r="G127" s="32" t="n"/>
      <c r="H127" s="26">
        <f>IF(B127="","",COUNTIFS(Appointments!$D$6:$D$2005,B127,Appointments!$F$6:$F$2005,"Done"))</f>
        <v/>
      </c>
      <c r="I127" s="37">
        <f>IF(OR(B127="",N(H127)=0),"",INT(SUMIFS(Appointments!$M$6:$M$2005,Appointments!$D$6:$D$2005,B127,Appointments!$N$6:$N$2005,1)))</f>
        <v/>
      </c>
      <c r="J127" s="37">
        <f>IF(B127="","",IF(SUMIFS(Appointments!$M$6:$M$2005,Appointments!$D$6:$D$2005,B127,Appointments!$O$6:$O$2005,1)=0,"",INT(SUMIFS(Appointments!$M$6:$M$2005,Appointments!$D$6:$D$2005,B127,Appointments!$O$6:$O$2005,1))))</f>
        <v/>
      </c>
      <c r="K127" s="27">
        <f>IF(B127="","",SUMIFS(Appointments!$I$6:$I$2005,Appointments!$D$6:$D$2005,B127)+SUMIFS(Packages!$F$6:$F$305,Packages!$C$6:$C$305,B127))</f>
        <v/>
      </c>
      <c r="L127" s="28">
        <f>IF(B127="","",IF(SUMIFS(Appointments!$K$6:$K$2005,Appointments!$D$6:$D$2005,B127)=0,"",SUMIFS(Appointments!$K$6:$K$2005,Appointments!$D$6:$D$2005,B127)))</f>
        <v/>
      </c>
      <c r="M127" s="38">
        <f>IF(OR(B127="",SUMIFS(Packages!$E$6:$E$305,Packages!$C$6:$C$305,B127)=0),"",SUMIFS(Packages!$E$6:$E$305,Packages!$C$6:$C$305,B127)-COUNTIFS(Appointments!$D$6:$D$2005,B127,Appointments!$J$6:$J$2005,"Package",Appointments!$F$6:$F$2005,"Done")+IF(Services!$I$6="Yes",COUNTIFS(Appointments!$D$6:$D$2005,B127,Appointments!$J$6:$J$2005,"Package",Appointments!$F$6:$F$2005,"No-show"),0))</f>
        <v/>
      </c>
      <c r="N127" s="18">
        <f>IF(OR(B127="",I127=""),"",IF(AND(J127="",TODAY()-I127&gt;=N(Services!$I$7)),"Not seen for "&amp;(TODAY()-I127)&amp;" days",""))</f>
        <v/>
      </c>
      <c r="O127" s="1">
        <f>IF(N(E127)=0,"",MONTH(E127))</f>
        <v/>
      </c>
    </row>
    <row r="128">
      <c r="A128" s="1" t="n"/>
      <c r="B128" s="35" t="inlineStr">
        <is>
          <t>Ava Reed</t>
        </is>
      </c>
      <c r="C128" s="32" t="inlineStr">
        <is>
          <t>555 0322</t>
        </is>
      </c>
      <c r="D128" s="32" t="n"/>
      <c r="E128" s="36" t="n"/>
      <c r="F128" s="30" t="n">
        <v>45962</v>
      </c>
      <c r="G128" s="32" t="n"/>
      <c r="H128" s="26">
        <f>IF(B128="","",COUNTIFS(Appointments!$D$6:$D$2005,B128,Appointments!$F$6:$F$2005,"Done"))</f>
        <v/>
      </c>
      <c r="I128" s="37">
        <f>IF(OR(B128="",N(H128)=0),"",INT(SUMIFS(Appointments!$M$6:$M$2005,Appointments!$D$6:$D$2005,B128,Appointments!$N$6:$N$2005,1)))</f>
        <v/>
      </c>
      <c r="J128" s="37">
        <f>IF(B128="","",IF(SUMIFS(Appointments!$M$6:$M$2005,Appointments!$D$6:$D$2005,B128,Appointments!$O$6:$O$2005,1)=0,"",INT(SUMIFS(Appointments!$M$6:$M$2005,Appointments!$D$6:$D$2005,B128,Appointments!$O$6:$O$2005,1))))</f>
        <v/>
      </c>
      <c r="K128" s="27">
        <f>IF(B128="","",SUMIFS(Appointments!$I$6:$I$2005,Appointments!$D$6:$D$2005,B128)+SUMIFS(Packages!$F$6:$F$305,Packages!$C$6:$C$305,B128))</f>
        <v/>
      </c>
      <c r="L128" s="28">
        <f>IF(B128="","",IF(SUMIFS(Appointments!$K$6:$K$2005,Appointments!$D$6:$D$2005,B128)=0,"",SUMIFS(Appointments!$K$6:$K$2005,Appointments!$D$6:$D$2005,B128)))</f>
        <v/>
      </c>
      <c r="M128" s="38">
        <f>IF(OR(B128="",SUMIFS(Packages!$E$6:$E$305,Packages!$C$6:$C$305,B128)=0),"",SUMIFS(Packages!$E$6:$E$305,Packages!$C$6:$C$305,B128)-COUNTIFS(Appointments!$D$6:$D$2005,B128,Appointments!$J$6:$J$2005,"Package",Appointments!$F$6:$F$2005,"Done")+IF(Services!$I$6="Yes",COUNTIFS(Appointments!$D$6:$D$2005,B128,Appointments!$J$6:$J$2005,"Package",Appointments!$F$6:$F$2005,"No-show"),0))</f>
        <v/>
      </c>
      <c r="N128" s="18">
        <f>IF(OR(B128="",I128=""),"",IF(AND(J128="",TODAY()-I128&gt;=N(Services!$I$7)),"Not seen for "&amp;(TODAY()-I128)&amp;" days",""))</f>
        <v/>
      </c>
      <c r="O128" s="1">
        <f>IF(N(E128)=0,"",MONTH(E128))</f>
        <v/>
      </c>
    </row>
    <row r="129">
      <c r="A129" s="1" t="n"/>
      <c r="B129" s="35" t="inlineStr">
        <is>
          <t>Ryan Adams</t>
        </is>
      </c>
      <c r="C129" s="32" t="inlineStr">
        <is>
          <t>555 0323</t>
        </is>
      </c>
      <c r="D129" s="32" t="n"/>
      <c r="E129" s="36" t="n"/>
      <c r="F129" s="30" t="n">
        <v>45359</v>
      </c>
      <c r="G129" s="32" t="n"/>
      <c r="H129" s="26">
        <f>IF(B129="","",COUNTIFS(Appointments!$D$6:$D$2005,B129,Appointments!$F$6:$F$2005,"Done"))</f>
        <v/>
      </c>
      <c r="I129" s="37">
        <f>IF(OR(B129="",N(H129)=0),"",INT(SUMIFS(Appointments!$M$6:$M$2005,Appointments!$D$6:$D$2005,B129,Appointments!$N$6:$N$2005,1)))</f>
        <v/>
      </c>
      <c r="J129" s="37">
        <f>IF(B129="","",IF(SUMIFS(Appointments!$M$6:$M$2005,Appointments!$D$6:$D$2005,B129,Appointments!$O$6:$O$2005,1)=0,"",INT(SUMIFS(Appointments!$M$6:$M$2005,Appointments!$D$6:$D$2005,B129,Appointments!$O$6:$O$2005,1))))</f>
        <v/>
      </c>
      <c r="K129" s="27">
        <f>IF(B129="","",SUMIFS(Appointments!$I$6:$I$2005,Appointments!$D$6:$D$2005,B129)+SUMIFS(Packages!$F$6:$F$305,Packages!$C$6:$C$305,B129))</f>
        <v/>
      </c>
      <c r="L129" s="28">
        <f>IF(B129="","",IF(SUMIFS(Appointments!$K$6:$K$2005,Appointments!$D$6:$D$2005,B129)=0,"",SUMIFS(Appointments!$K$6:$K$2005,Appointments!$D$6:$D$2005,B129)))</f>
        <v/>
      </c>
      <c r="M129" s="38">
        <f>IF(OR(B129="",SUMIFS(Packages!$E$6:$E$305,Packages!$C$6:$C$305,B129)=0),"",SUMIFS(Packages!$E$6:$E$305,Packages!$C$6:$C$305,B129)-COUNTIFS(Appointments!$D$6:$D$2005,B129,Appointments!$J$6:$J$2005,"Package",Appointments!$F$6:$F$2005,"Done")+IF(Services!$I$6="Yes",COUNTIFS(Appointments!$D$6:$D$2005,B129,Appointments!$J$6:$J$2005,"Package",Appointments!$F$6:$F$2005,"No-show"),0))</f>
        <v/>
      </c>
      <c r="N129" s="18">
        <f>IF(OR(B129="",I129=""),"",IF(AND(J129="",TODAY()-I129&gt;=N(Services!$I$7)),"Not seen for "&amp;(TODAY()-I129)&amp;" days",""))</f>
        <v/>
      </c>
      <c r="O129" s="1">
        <f>IF(N(E129)=0,"",MONTH(E129))</f>
        <v/>
      </c>
    </row>
    <row r="130">
      <c r="A130" s="1" t="n"/>
      <c r="B130" s="35" t="inlineStr">
        <is>
          <t>Luke Reed</t>
        </is>
      </c>
      <c r="C130" s="32" t="inlineStr">
        <is>
          <t>555 0324</t>
        </is>
      </c>
      <c r="D130" s="32" t="n"/>
      <c r="E130" s="36" t="n"/>
      <c r="F130" s="30" t="n">
        <v>45490</v>
      </c>
      <c r="G130" s="32" t="n"/>
      <c r="H130" s="26">
        <f>IF(B130="","",COUNTIFS(Appointments!$D$6:$D$2005,B130,Appointments!$F$6:$F$2005,"Done"))</f>
        <v/>
      </c>
      <c r="I130" s="37">
        <f>IF(OR(B130="",N(H130)=0),"",INT(SUMIFS(Appointments!$M$6:$M$2005,Appointments!$D$6:$D$2005,B130,Appointments!$N$6:$N$2005,1)))</f>
        <v/>
      </c>
      <c r="J130" s="37">
        <f>IF(B130="","",IF(SUMIFS(Appointments!$M$6:$M$2005,Appointments!$D$6:$D$2005,B130,Appointments!$O$6:$O$2005,1)=0,"",INT(SUMIFS(Appointments!$M$6:$M$2005,Appointments!$D$6:$D$2005,B130,Appointments!$O$6:$O$2005,1))))</f>
        <v/>
      </c>
      <c r="K130" s="27">
        <f>IF(B130="","",SUMIFS(Appointments!$I$6:$I$2005,Appointments!$D$6:$D$2005,B130)+SUMIFS(Packages!$F$6:$F$305,Packages!$C$6:$C$305,B130))</f>
        <v/>
      </c>
      <c r="L130" s="28">
        <f>IF(B130="","",IF(SUMIFS(Appointments!$K$6:$K$2005,Appointments!$D$6:$D$2005,B130)=0,"",SUMIFS(Appointments!$K$6:$K$2005,Appointments!$D$6:$D$2005,B130)))</f>
        <v/>
      </c>
      <c r="M130" s="38">
        <f>IF(OR(B130="",SUMIFS(Packages!$E$6:$E$305,Packages!$C$6:$C$305,B130)=0),"",SUMIFS(Packages!$E$6:$E$305,Packages!$C$6:$C$305,B130)-COUNTIFS(Appointments!$D$6:$D$2005,B130,Appointments!$J$6:$J$2005,"Package",Appointments!$F$6:$F$2005,"Done")+IF(Services!$I$6="Yes",COUNTIFS(Appointments!$D$6:$D$2005,B130,Appointments!$J$6:$J$2005,"Package",Appointments!$F$6:$F$2005,"No-show"),0))</f>
        <v/>
      </c>
      <c r="N130" s="18">
        <f>IF(OR(B130="",I130=""),"",IF(AND(J130="",TODAY()-I130&gt;=N(Services!$I$7)),"Not seen for "&amp;(TODAY()-I130)&amp;" days",""))</f>
        <v/>
      </c>
      <c r="O130" s="1">
        <f>IF(N(E130)=0,"",MONTH(E130))</f>
        <v/>
      </c>
    </row>
    <row r="131">
      <c r="A131" s="1" t="n"/>
      <c r="B131" s="35" t="inlineStr">
        <is>
          <t>Eva Brooks</t>
        </is>
      </c>
      <c r="C131" s="32" t="inlineStr">
        <is>
          <t>555 0325</t>
        </is>
      </c>
      <c r="D131" s="32" t="n"/>
      <c r="E131" s="36" t="n"/>
      <c r="F131" s="30" t="n">
        <v>45235</v>
      </c>
      <c r="G131" s="32" t="n"/>
      <c r="H131" s="26">
        <f>IF(B131="","",COUNTIFS(Appointments!$D$6:$D$2005,B131,Appointments!$F$6:$F$2005,"Done"))</f>
        <v/>
      </c>
      <c r="I131" s="37">
        <f>IF(OR(B131="",N(H131)=0),"",INT(SUMIFS(Appointments!$M$6:$M$2005,Appointments!$D$6:$D$2005,B131,Appointments!$N$6:$N$2005,1)))</f>
        <v/>
      </c>
      <c r="J131" s="37">
        <f>IF(B131="","",IF(SUMIFS(Appointments!$M$6:$M$2005,Appointments!$D$6:$D$2005,B131,Appointments!$O$6:$O$2005,1)=0,"",INT(SUMIFS(Appointments!$M$6:$M$2005,Appointments!$D$6:$D$2005,B131,Appointments!$O$6:$O$2005,1))))</f>
        <v/>
      </c>
      <c r="K131" s="27">
        <f>IF(B131="","",SUMIFS(Appointments!$I$6:$I$2005,Appointments!$D$6:$D$2005,B131)+SUMIFS(Packages!$F$6:$F$305,Packages!$C$6:$C$305,B131))</f>
        <v/>
      </c>
      <c r="L131" s="28">
        <f>IF(B131="","",IF(SUMIFS(Appointments!$K$6:$K$2005,Appointments!$D$6:$D$2005,B131)=0,"",SUMIFS(Appointments!$K$6:$K$2005,Appointments!$D$6:$D$2005,B131)))</f>
        <v/>
      </c>
      <c r="M131" s="38">
        <f>IF(OR(B131="",SUMIFS(Packages!$E$6:$E$305,Packages!$C$6:$C$305,B131)=0),"",SUMIFS(Packages!$E$6:$E$305,Packages!$C$6:$C$305,B131)-COUNTIFS(Appointments!$D$6:$D$2005,B131,Appointments!$J$6:$J$2005,"Package",Appointments!$F$6:$F$2005,"Done")+IF(Services!$I$6="Yes",COUNTIFS(Appointments!$D$6:$D$2005,B131,Appointments!$J$6:$J$2005,"Package",Appointments!$F$6:$F$2005,"No-show"),0))</f>
        <v/>
      </c>
      <c r="N131" s="18">
        <f>IF(OR(B131="",I131=""),"",IF(AND(J131="",TODAY()-I131&gt;=N(Services!$I$7)),"Not seen for "&amp;(TODAY()-I131)&amp;" days",""))</f>
        <v/>
      </c>
      <c r="O131" s="1">
        <f>IF(N(E131)=0,"",MONTH(E131))</f>
        <v/>
      </c>
    </row>
    <row r="132">
      <c r="A132" s="1" t="n"/>
      <c r="B132" s="35" t="inlineStr">
        <is>
          <t>Tina Baker</t>
        </is>
      </c>
      <c r="C132" s="32" t="inlineStr">
        <is>
          <t>555 0326</t>
        </is>
      </c>
      <c r="D132" s="32" t="n"/>
      <c r="E132" s="36" t="n"/>
      <c r="F132" s="30" t="n">
        <v>44351</v>
      </c>
      <c r="G132" s="32" t="n"/>
      <c r="H132" s="26">
        <f>IF(B132="","",COUNTIFS(Appointments!$D$6:$D$2005,B132,Appointments!$F$6:$F$2005,"Done"))</f>
        <v/>
      </c>
      <c r="I132" s="37">
        <f>IF(OR(B132="",N(H132)=0),"",INT(SUMIFS(Appointments!$M$6:$M$2005,Appointments!$D$6:$D$2005,B132,Appointments!$N$6:$N$2005,1)))</f>
        <v/>
      </c>
      <c r="J132" s="37">
        <f>IF(B132="","",IF(SUMIFS(Appointments!$M$6:$M$2005,Appointments!$D$6:$D$2005,B132,Appointments!$O$6:$O$2005,1)=0,"",INT(SUMIFS(Appointments!$M$6:$M$2005,Appointments!$D$6:$D$2005,B132,Appointments!$O$6:$O$2005,1))))</f>
        <v/>
      </c>
      <c r="K132" s="27">
        <f>IF(B132="","",SUMIFS(Appointments!$I$6:$I$2005,Appointments!$D$6:$D$2005,B132)+SUMIFS(Packages!$F$6:$F$305,Packages!$C$6:$C$305,B132))</f>
        <v/>
      </c>
      <c r="L132" s="28">
        <f>IF(B132="","",IF(SUMIFS(Appointments!$K$6:$K$2005,Appointments!$D$6:$D$2005,B132)=0,"",SUMIFS(Appointments!$K$6:$K$2005,Appointments!$D$6:$D$2005,B132)))</f>
        <v/>
      </c>
      <c r="M132" s="38">
        <f>IF(OR(B132="",SUMIFS(Packages!$E$6:$E$305,Packages!$C$6:$C$305,B132)=0),"",SUMIFS(Packages!$E$6:$E$305,Packages!$C$6:$C$305,B132)-COUNTIFS(Appointments!$D$6:$D$2005,B132,Appointments!$J$6:$J$2005,"Package",Appointments!$F$6:$F$2005,"Done")+IF(Services!$I$6="Yes",COUNTIFS(Appointments!$D$6:$D$2005,B132,Appointments!$J$6:$J$2005,"Package",Appointments!$F$6:$F$2005,"No-show"),0))</f>
        <v/>
      </c>
      <c r="N132" s="18">
        <f>IF(OR(B132="",I132=""),"",IF(AND(J132="",TODAY()-I132&gt;=N(Services!$I$7)),"Not seen for "&amp;(TODAY()-I132)&amp;" days",""))</f>
        <v/>
      </c>
      <c r="O132" s="1">
        <f>IF(N(E132)=0,"",MONTH(E132))</f>
        <v/>
      </c>
    </row>
    <row r="133">
      <c r="A133" s="1" t="n"/>
      <c r="B133" s="35" t="inlineStr">
        <is>
          <t>Julia Hughes</t>
        </is>
      </c>
      <c r="C133" s="32" t="inlineStr">
        <is>
          <t>555 0327</t>
        </is>
      </c>
      <c r="D133" s="32" t="n"/>
      <c r="E133" s="36" t="n"/>
      <c r="F133" s="30" t="n">
        <v>45582</v>
      </c>
      <c r="G133" s="32" t="n"/>
      <c r="H133" s="26">
        <f>IF(B133="","",COUNTIFS(Appointments!$D$6:$D$2005,B133,Appointments!$F$6:$F$2005,"Done"))</f>
        <v/>
      </c>
      <c r="I133" s="37">
        <f>IF(OR(B133="",N(H133)=0),"",INT(SUMIFS(Appointments!$M$6:$M$2005,Appointments!$D$6:$D$2005,B133,Appointments!$N$6:$N$2005,1)))</f>
        <v/>
      </c>
      <c r="J133" s="37">
        <f>IF(B133="","",IF(SUMIFS(Appointments!$M$6:$M$2005,Appointments!$D$6:$D$2005,B133,Appointments!$O$6:$O$2005,1)=0,"",INT(SUMIFS(Appointments!$M$6:$M$2005,Appointments!$D$6:$D$2005,B133,Appointments!$O$6:$O$2005,1))))</f>
        <v/>
      </c>
      <c r="K133" s="27">
        <f>IF(B133="","",SUMIFS(Appointments!$I$6:$I$2005,Appointments!$D$6:$D$2005,B133)+SUMIFS(Packages!$F$6:$F$305,Packages!$C$6:$C$305,B133))</f>
        <v/>
      </c>
      <c r="L133" s="28">
        <f>IF(B133="","",IF(SUMIFS(Appointments!$K$6:$K$2005,Appointments!$D$6:$D$2005,B133)=0,"",SUMIFS(Appointments!$K$6:$K$2005,Appointments!$D$6:$D$2005,B133)))</f>
        <v/>
      </c>
      <c r="M133" s="38">
        <f>IF(OR(B133="",SUMIFS(Packages!$E$6:$E$305,Packages!$C$6:$C$305,B133)=0),"",SUMIFS(Packages!$E$6:$E$305,Packages!$C$6:$C$305,B133)-COUNTIFS(Appointments!$D$6:$D$2005,B133,Appointments!$J$6:$J$2005,"Package",Appointments!$F$6:$F$2005,"Done")+IF(Services!$I$6="Yes",COUNTIFS(Appointments!$D$6:$D$2005,B133,Appointments!$J$6:$J$2005,"Package",Appointments!$F$6:$F$2005,"No-show"),0))</f>
        <v/>
      </c>
      <c r="N133" s="18">
        <f>IF(OR(B133="",I133=""),"",IF(AND(J133="",TODAY()-I133&gt;=N(Services!$I$7)),"Not seen for "&amp;(TODAY()-I133)&amp;" days",""))</f>
        <v/>
      </c>
      <c r="O133" s="1">
        <f>IF(N(E133)=0,"",MONTH(E133))</f>
        <v/>
      </c>
    </row>
    <row r="134">
      <c r="A134" s="1" t="n"/>
      <c r="B134" s="35" t="inlineStr">
        <is>
          <t>Megan Lewis</t>
        </is>
      </c>
      <c r="C134" s="32" t="inlineStr">
        <is>
          <t>555 0328</t>
        </is>
      </c>
      <c r="D134" s="32" t="n"/>
      <c r="E134" s="36" t="n"/>
      <c r="F134" s="30" t="n">
        <v>45248</v>
      </c>
      <c r="G134" s="32" t="n"/>
      <c r="H134" s="26">
        <f>IF(B134="","",COUNTIFS(Appointments!$D$6:$D$2005,B134,Appointments!$F$6:$F$2005,"Done"))</f>
        <v/>
      </c>
      <c r="I134" s="37">
        <f>IF(OR(B134="",N(H134)=0),"",INT(SUMIFS(Appointments!$M$6:$M$2005,Appointments!$D$6:$D$2005,B134,Appointments!$N$6:$N$2005,1)))</f>
        <v/>
      </c>
      <c r="J134" s="37">
        <f>IF(B134="","",IF(SUMIFS(Appointments!$M$6:$M$2005,Appointments!$D$6:$D$2005,B134,Appointments!$O$6:$O$2005,1)=0,"",INT(SUMIFS(Appointments!$M$6:$M$2005,Appointments!$D$6:$D$2005,B134,Appointments!$O$6:$O$2005,1))))</f>
        <v/>
      </c>
      <c r="K134" s="27">
        <f>IF(B134="","",SUMIFS(Appointments!$I$6:$I$2005,Appointments!$D$6:$D$2005,B134)+SUMIFS(Packages!$F$6:$F$305,Packages!$C$6:$C$305,B134))</f>
        <v/>
      </c>
      <c r="L134" s="28">
        <f>IF(B134="","",IF(SUMIFS(Appointments!$K$6:$K$2005,Appointments!$D$6:$D$2005,B134)=0,"",SUMIFS(Appointments!$K$6:$K$2005,Appointments!$D$6:$D$2005,B134)))</f>
        <v/>
      </c>
      <c r="M134" s="38">
        <f>IF(OR(B134="",SUMIFS(Packages!$E$6:$E$305,Packages!$C$6:$C$305,B134)=0),"",SUMIFS(Packages!$E$6:$E$305,Packages!$C$6:$C$305,B134)-COUNTIFS(Appointments!$D$6:$D$2005,B134,Appointments!$J$6:$J$2005,"Package",Appointments!$F$6:$F$2005,"Done")+IF(Services!$I$6="Yes",COUNTIFS(Appointments!$D$6:$D$2005,B134,Appointments!$J$6:$J$2005,"Package",Appointments!$F$6:$F$2005,"No-show"),0))</f>
        <v/>
      </c>
      <c r="N134" s="18">
        <f>IF(OR(B134="",I134=""),"",IF(AND(J134="",TODAY()-I134&gt;=N(Services!$I$7)),"Not seen for "&amp;(TODAY()-I134)&amp;" days",""))</f>
        <v/>
      </c>
      <c r="O134" s="1">
        <f>IF(N(E134)=0,"",MONTH(E134))</f>
        <v/>
      </c>
    </row>
    <row r="135">
      <c r="A135" s="1" t="n"/>
      <c r="B135" s="35" t="inlineStr">
        <is>
          <t>Dina West</t>
        </is>
      </c>
      <c r="C135" s="32" t="inlineStr">
        <is>
          <t>555 0329</t>
        </is>
      </c>
      <c r="D135" s="32" t="n"/>
      <c r="E135" s="36" t="n"/>
      <c r="F135" s="30" t="n">
        <v>45248</v>
      </c>
      <c r="G135" s="32" t="n"/>
      <c r="H135" s="26">
        <f>IF(B135="","",COUNTIFS(Appointments!$D$6:$D$2005,B135,Appointments!$F$6:$F$2005,"Done"))</f>
        <v/>
      </c>
      <c r="I135" s="37">
        <f>IF(OR(B135="",N(H135)=0),"",INT(SUMIFS(Appointments!$M$6:$M$2005,Appointments!$D$6:$D$2005,B135,Appointments!$N$6:$N$2005,1)))</f>
        <v/>
      </c>
      <c r="J135" s="37">
        <f>IF(B135="","",IF(SUMIFS(Appointments!$M$6:$M$2005,Appointments!$D$6:$D$2005,B135,Appointments!$O$6:$O$2005,1)=0,"",INT(SUMIFS(Appointments!$M$6:$M$2005,Appointments!$D$6:$D$2005,B135,Appointments!$O$6:$O$2005,1))))</f>
        <v/>
      </c>
      <c r="K135" s="27">
        <f>IF(B135="","",SUMIFS(Appointments!$I$6:$I$2005,Appointments!$D$6:$D$2005,B135)+SUMIFS(Packages!$F$6:$F$305,Packages!$C$6:$C$305,B135))</f>
        <v/>
      </c>
      <c r="L135" s="28">
        <f>IF(B135="","",IF(SUMIFS(Appointments!$K$6:$K$2005,Appointments!$D$6:$D$2005,B135)=0,"",SUMIFS(Appointments!$K$6:$K$2005,Appointments!$D$6:$D$2005,B135)))</f>
        <v/>
      </c>
      <c r="M135" s="38">
        <f>IF(OR(B135="",SUMIFS(Packages!$E$6:$E$305,Packages!$C$6:$C$305,B135)=0),"",SUMIFS(Packages!$E$6:$E$305,Packages!$C$6:$C$305,B135)-COUNTIFS(Appointments!$D$6:$D$2005,B135,Appointments!$J$6:$J$2005,"Package",Appointments!$F$6:$F$2005,"Done")+IF(Services!$I$6="Yes",COUNTIFS(Appointments!$D$6:$D$2005,B135,Appointments!$J$6:$J$2005,"Package",Appointments!$F$6:$F$2005,"No-show"),0))</f>
        <v/>
      </c>
      <c r="N135" s="18">
        <f>IF(OR(B135="",I135=""),"",IF(AND(J135="",TODAY()-I135&gt;=N(Services!$I$7)),"Not seen for "&amp;(TODAY()-I135)&amp;" days",""))</f>
        <v/>
      </c>
      <c r="O135" s="1">
        <f>IF(N(E135)=0,"",MONTH(E135))</f>
        <v/>
      </c>
    </row>
    <row r="136">
      <c r="A136" s="1" t="n"/>
      <c r="B136" s="35" t="inlineStr">
        <is>
          <t>Beth Reid</t>
        </is>
      </c>
      <c r="C136" s="32" t="inlineStr">
        <is>
          <t>555 0330</t>
        </is>
      </c>
      <c r="D136" s="32" t="inlineStr">
        <is>
          <t>beth.r@example.com</t>
        </is>
      </c>
      <c r="E136" s="36" t="n"/>
      <c r="F136" s="30" t="n">
        <v>45561</v>
      </c>
      <c r="G136" s="32" t="n"/>
      <c r="H136" s="26">
        <f>IF(B136="","",COUNTIFS(Appointments!$D$6:$D$2005,B136,Appointments!$F$6:$F$2005,"Done"))</f>
        <v/>
      </c>
      <c r="I136" s="37">
        <f>IF(OR(B136="",N(H136)=0),"",INT(SUMIFS(Appointments!$M$6:$M$2005,Appointments!$D$6:$D$2005,B136,Appointments!$N$6:$N$2005,1)))</f>
        <v/>
      </c>
      <c r="J136" s="37">
        <f>IF(B136="","",IF(SUMIFS(Appointments!$M$6:$M$2005,Appointments!$D$6:$D$2005,B136,Appointments!$O$6:$O$2005,1)=0,"",INT(SUMIFS(Appointments!$M$6:$M$2005,Appointments!$D$6:$D$2005,B136,Appointments!$O$6:$O$2005,1))))</f>
        <v/>
      </c>
      <c r="K136" s="27">
        <f>IF(B136="","",SUMIFS(Appointments!$I$6:$I$2005,Appointments!$D$6:$D$2005,B136)+SUMIFS(Packages!$F$6:$F$305,Packages!$C$6:$C$305,B136))</f>
        <v/>
      </c>
      <c r="L136" s="28">
        <f>IF(B136="","",IF(SUMIFS(Appointments!$K$6:$K$2005,Appointments!$D$6:$D$2005,B136)=0,"",SUMIFS(Appointments!$K$6:$K$2005,Appointments!$D$6:$D$2005,B136)))</f>
        <v/>
      </c>
      <c r="M136" s="38">
        <f>IF(OR(B136="",SUMIFS(Packages!$E$6:$E$305,Packages!$C$6:$C$305,B136)=0),"",SUMIFS(Packages!$E$6:$E$305,Packages!$C$6:$C$305,B136)-COUNTIFS(Appointments!$D$6:$D$2005,B136,Appointments!$J$6:$J$2005,"Package",Appointments!$F$6:$F$2005,"Done")+IF(Services!$I$6="Yes",COUNTIFS(Appointments!$D$6:$D$2005,B136,Appointments!$J$6:$J$2005,"Package",Appointments!$F$6:$F$2005,"No-show"),0))</f>
        <v/>
      </c>
      <c r="N136" s="18">
        <f>IF(OR(B136="",I136=""),"",IF(AND(J136="",TODAY()-I136&gt;=N(Services!$I$7)),"Not seen for "&amp;(TODAY()-I136)&amp;" days",""))</f>
        <v/>
      </c>
      <c r="O136" s="1">
        <f>IF(N(E136)=0,"",MONTH(E136))</f>
        <v/>
      </c>
    </row>
    <row r="137">
      <c r="A137" s="1" t="n"/>
      <c r="B137" s="35" t="inlineStr">
        <is>
          <t>Ella Kelly</t>
        </is>
      </c>
      <c r="C137" s="32" t="inlineStr">
        <is>
          <t>555 0331</t>
        </is>
      </c>
      <c r="D137" s="32" t="n"/>
      <c r="E137" s="36" t="n"/>
      <c r="F137" s="30" t="n">
        <v>45164</v>
      </c>
      <c r="G137" s="32" t="n"/>
      <c r="H137" s="26">
        <f>IF(B137="","",COUNTIFS(Appointments!$D$6:$D$2005,B137,Appointments!$F$6:$F$2005,"Done"))</f>
        <v/>
      </c>
      <c r="I137" s="37">
        <f>IF(OR(B137="",N(H137)=0),"",INT(SUMIFS(Appointments!$M$6:$M$2005,Appointments!$D$6:$D$2005,B137,Appointments!$N$6:$N$2005,1)))</f>
        <v/>
      </c>
      <c r="J137" s="37">
        <f>IF(B137="","",IF(SUMIFS(Appointments!$M$6:$M$2005,Appointments!$D$6:$D$2005,B137,Appointments!$O$6:$O$2005,1)=0,"",INT(SUMIFS(Appointments!$M$6:$M$2005,Appointments!$D$6:$D$2005,B137,Appointments!$O$6:$O$2005,1))))</f>
        <v/>
      </c>
      <c r="K137" s="27">
        <f>IF(B137="","",SUMIFS(Appointments!$I$6:$I$2005,Appointments!$D$6:$D$2005,B137)+SUMIFS(Packages!$F$6:$F$305,Packages!$C$6:$C$305,B137))</f>
        <v/>
      </c>
      <c r="L137" s="28">
        <f>IF(B137="","",IF(SUMIFS(Appointments!$K$6:$K$2005,Appointments!$D$6:$D$2005,B137)=0,"",SUMIFS(Appointments!$K$6:$K$2005,Appointments!$D$6:$D$2005,B137)))</f>
        <v/>
      </c>
      <c r="M137" s="38">
        <f>IF(OR(B137="",SUMIFS(Packages!$E$6:$E$305,Packages!$C$6:$C$305,B137)=0),"",SUMIFS(Packages!$E$6:$E$305,Packages!$C$6:$C$305,B137)-COUNTIFS(Appointments!$D$6:$D$2005,B137,Appointments!$J$6:$J$2005,"Package",Appointments!$F$6:$F$2005,"Done")+IF(Services!$I$6="Yes",COUNTIFS(Appointments!$D$6:$D$2005,B137,Appointments!$J$6:$J$2005,"Package",Appointments!$F$6:$F$2005,"No-show"),0))</f>
        <v/>
      </c>
      <c r="N137" s="18">
        <f>IF(OR(B137="",I137=""),"",IF(AND(J137="",TODAY()-I137&gt;=N(Services!$I$7)),"Not seen for "&amp;(TODAY()-I137)&amp;" days",""))</f>
        <v/>
      </c>
      <c r="O137" s="1">
        <f>IF(N(E137)=0,"",MONTH(E137))</f>
        <v/>
      </c>
    </row>
    <row r="138">
      <c r="A138" s="1" t="n"/>
      <c r="B138" s="35" t="inlineStr">
        <is>
          <t>Jon Gray</t>
        </is>
      </c>
      <c r="C138" s="32" t="inlineStr">
        <is>
          <t>555 0332</t>
        </is>
      </c>
      <c r="D138" s="32" t="n"/>
      <c r="E138" s="36" t="n"/>
      <c r="F138" s="30" t="n">
        <v>44709</v>
      </c>
      <c r="G138" s="32" t="n"/>
      <c r="H138" s="26">
        <f>IF(B138="","",COUNTIFS(Appointments!$D$6:$D$2005,B138,Appointments!$F$6:$F$2005,"Done"))</f>
        <v/>
      </c>
      <c r="I138" s="37">
        <f>IF(OR(B138="",N(H138)=0),"",INT(SUMIFS(Appointments!$M$6:$M$2005,Appointments!$D$6:$D$2005,B138,Appointments!$N$6:$N$2005,1)))</f>
        <v/>
      </c>
      <c r="J138" s="37">
        <f>IF(B138="","",IF(SUMIFS(Appointments!$M$6:$M$2005,Appointments!$D$6:$D$2005,B138,Appointments!$O$6:$O$2005,1)=0,"",INT(SUMIFS(Appointments!$M$6:$M$2005,Appointments!$D$6:$D$2005,B138,Appointments!$O$6:$O$2005,1))))</f>
        <v/>
      </c>
      <c r="K138" s="27">
        <f>IF(B138="","",SUMIFS(Appointments!$I$6:$I$2005,Appointments!$D$6:$D$2005,B138)+SUMIFS(Packages!$F$6:$F$305,Packages!$C$6:$C$305,B138))</f>
        <v/>
      </c>
      <c r="L138" s="28">
        <f>IF(B138="","",IF(SUMIFS(Appointments!$K$6:$K$2005,Appointments!$D$6:$D$2005,B138)=0,"",SUMIFS(Appointments!$K$6:$K$2005,Appointments!$D$6:$D$2005,B138)))</f>
        <v/>
      </c>
      <c r="M138" s="38">
        <f>IF(OR(B138="",SUMIFS(Packages!$E$6:$E$305,Packages!$C$6:$C$305,B138)=0),"",SUMIFS(Packages!$E$6:$E$305,Packages!$C$6:$C$305,B138)-COUNTIFS(Appointments!$D$6:$D$2005,B138,Appointments!$J$6:$J$2005,"Package",Appointments!$F$6:$F$2005,"Done")+IF(Services!$I$6="Yes",COUNTIFS(Appointments!$D$6:$D$2005,B138,Appointments!$J$6:$J$2005,"Package",Appointments!$F$6:$F$2005,"No-show"),0))</f>
        <v/>
      </c>
      <c r="N138" s="18">
        <f>IF(OR(B138="",I138=""),"",IF(AND(J138="",TODAY()-I138&gt;=N(Services!$I$7)),"Not seen for "&amp;(TODAY()-I138)&amp;" days",""))</f>
        <v/>
      </c>
      <c r="O138" s="1">
        <f>IF(N(E138)=0,"",MONTH(E138))</f>
        <v/>
      </c>
    </row>
    <row r="139">
      <c r="A139" s="1" t="n"/>
      <c r="B139" s="35" t="inlineStr">
        <is>
          <t>Eli Brooks</t>
        </is>
      </c>
      <c r="C139" s="32" t="inlineStr">
        <is>
          <t>555 0333</t>
        </is>
      </c>
      <c r="D139" s="32" t="inlineStr">
        <is>
          <t>eli.b@example.com</t>
        </is>
      </c>
      <c r="E139" s="36" t="n"/>
      <c r="F139" s="30" t="n">
        <v>44313</v>
      </c>
      <c r="G139" s="32" t="n"/>
      <c r="H139" s="26">
        <f>IF(B139="","",COUNTIFS(Appointments!$D$6:$D$2005,B139,Appointments!$F$6:$F$2005,"Done"))</f>
        <v/>
      </c>
      <c r="I139" s="37">
        <f>IF(OR(B139="",N(H139)=0),"",INT(SUMIFS(Appointments!$M$6:$M$2005,Appointments!$D$6:$D$2005,B139,Appointments!$N$6:$N$2005,1)))</f>
        <v/>
      </c>
      <c r="J139" s="37">
        <f>IF(B139="","",IF(SUMIFS(Appointments!$M$6:$M$2005,Appointments!$D$6:$D$2005,B139,Appointments!$O$6:$O$2005,1)=0,"",INT(SUMIFS(Appointments!$M$6:$M$2005,Appointments!$D$6:$D$2005,B139,Appointments!$O$6:$O$2005,1))))</f>
        <v/>
      </c>
      <c r="K139" s="27">
        <f>IF(B139="","",SUMIFS(Appointments!$I$6:$I$2005,Appointments!$D$6:$D$2005,B139)+SUMIFS(Packages!$F$6:$F$305,Packages!$C$6:$C$305,B139))</f>
        <v/>
      </c>
      <c r="L139" s="28">
        <f>IF(B139="","",IF(SUMIFS(Appointments!$K$6:$K$2005,Appointments!$D$6:$D$2005,B139)=0,"",SUMIFS(Appointments!$K$6:$K$2005,Appointments!$D$6:$D$2005,B139)))</f>
        <v/>
      </c>
      <c r="M139" s="38">
        <f>IF(OR(B139="",SUMIFS(Packages!$E$6:$E$305,Packages!$C$6:$C$305,B139)=0),"",SUMIFS(Packages!$E$6:$E$305,Packages!$C$6:$C$305,B139)-COUNTIFS(Appointments!$D$6:$D$2005,B139,Appointments!$J$6:$J$2005,"Package",Appointments!$F$6:$F$2005,"Done")+IF(Services!$I$6="Yes",COUNTIFS(Appointments!$D$6:$D$2005,B139,Appointments!$J$6:$J$2005,"Package",Appointments!$F$6:$F$2005,"No-show"),0))</f>
        <v/>
      </c>
      <c r="N139" s="18">
        <f>IF(OR(B139="",I139=""),"",IF(AND(J139="",TODAY()-I139&gt;=N(Services!$I$7)),"Not seen for "&amp;(TODAY()-I139)&amp;" days",""))</f>
        <v/>
      </c>
      <c r="O139" s="1">
        <f>IF(N(E139)=0,"",MONTH(E139))</f>
        <v/>
      </c>
    </row>
    <row r="140">
      <c r="A140" s="1" t="n"/>
      <c r="B140" s="35" t="inlineStr">
        <is>
          <t>Julia Lewis</t>
        </is>
      </c>
      <c r="C140" s="32" t="inlineStr">
        <is>
          <t>555 0334</t>
        </is>
      </c>
      <c r="D140" s="32" t="n"/>
      <c r="E140" s="36" t="n"/>
      <c r="F140" s="30" t="n">
        <v>45641</v>
      </c>
      <c r="G140" s="32" t="n"/>
      <c r="H140" s="26">
        <f>IF(B140="","",COUNTIFS(Appointments!$D$6:$D$2005,B140,Appointments!$F$6:$F$2005,"Done"))</f>
        <v/>
      </c>
      <c r="I140" s="37">
        <f>IF(OR(B140="",N(H140)=0),"",INT(SUMIFS(Appointments!$M$6:$M$2005,Appointments!$D$6:$D$2005,B140,Appointments!$N$6:$N$2005,1)))</f>
        <v/>
      </c>
      <c r="J140" s="37">
        <f>IF(B140="","",IF(SUMIFS(Appointments!$M$6:$M$2005,Appointments!$D$6:$D$2005,B140,Appointments!$O$6:$O$2005,1)=0,"",INT(SUMIFS(Appointments!$M$6:$M$2005,Appointments!$D$6:$D$2005,B140,Appointments!$O$6:$O$2005,1))))</f>
        <v/>
      </c>
      <c r="K140" s="27">
        <f>IF(B140="","",SUMIFS(Appointments!$I$6:$I$2005,Appointments!$D$6:$D$2005,B140)+SUMIFS(Packages!$F$6:$F$305,Packages!$C$6:$C$305,B140))</f>
        <v/>
      </c>
      <c r="L140" s="28">
        <f>IF(B140="","",IF(SUMIFS(Appointments!$K$6:$K$2005,Appointments!$D$6:$D$2005,B140)=0,"",SUMIFS(Appointments!$K$6:$K$2005,Appointments!$D$6:$D$2005,B140)))</f>
        <v/>
      </c>
      <c r="M140" s="38">
        <f>IF(OR(B140="",SUMIFS(Packages!$E$6:$E$305,Packages!$C$6:$C$305,B140)=0),"",SUMIFS(Packages!$E$6:$E$305,Packages!$C$6:$C$305,B140)-COUNTIFS(Appointments!$D$6:$D$2005,B140,Appointments!$J$6:$J$2005,"Package",Appointments!$F$6:$F$2005,"Done")+IF(Services!$I$6="Yes",COUNTIFS(Appointments!$D$6:$D$2005,B140,Appointments!$J$6:$J$2005,"Package",Appointments!$F$6:$F$2005,"No-show"),0))</f>
        <v/>
      </c>
      <c r="N140" s="18">
        <f>IF(OR(B140="",I140=""),"",IF(AND(J140="",TODAY()-I140&gt;=N(Services!$I$7)),"Not seen for "&amp;(TODAY()-I140)&amp;" days",""))</f>
        <v/>
      </c>
      <c r="O140" s="1">
        <f>IF(N(E140)=0,"",MONTH(E140))</f>
        <v/>
      </c>
    </row>
    <row r="141">
      <c r="A141" s="1" t="n"/>
      <c r="B141" s="35" t="inlineStr">
        <is>
          <t>Finn Wood</t>
        </is>
      </c>
      <c r="C141" s="32" t="inlineStr">
        <is>
          <t>555 0335</t>
        </is>
      </c>
      <c r="D141" s="32" t="inlineStr">
        <is>
          <t>finn.w@example.com</t>
        </is>
      </c>
      <c r="E141" s="36" t="n"/>
      <c r="F141" s="30" t="n">
        <v>45404</v>
      </c>
      <c r="G141" s="32" t="n"/>
      <c r="H141" s="26">
        <f>IF(B141="","",COUNTIFS(Appointments!$D$6:$D$2005,B141,Appointments!$F$6:$F$2005,"Done"))</f>
        <v/>
      </c>
      <c r="I141" s="37">
        <f>IF(OR(B141="",N(H141)=0),"",INT(SUMIFS(Appointments!$M$6:$M$2005,Appointments!$D$6:$D$2005,B141,Appointments!$N$6:$N$2005,1)))</f>
        <v/>
      </c>
      <c r="J141" s="37">
        <f>IF(B141="","",IF(SUMIFS(Appointments!$M$6:$M$2005,Appointments!$D$6:$D$2005,B141,Appointments!$O$6:$O$2005,1)=0,"",INT(SUMIFS(Appointments!$M$6:$M$2005,Appointments!$D$6:$D$2005,B141,Appointments!$O$6:$O$2005,1))))</f>
        <v/>
      </c>
      <c r="K141" s="27">
        <f>IF(B141="","",SUMIFS(Appointments!$I$6:$I$2005,Appointments!$D$6:$D$2005,B141)+SUMIFS(Packages!$F$6:$F$305,Packages!$C$6:$C$305,B141))</f>
        <v/>
      </c>
      <c r="L141" s="28">
        <f>IF(B141="","",IF(SUMIFS(Appointments!$K$6:$K$2005,Appointments!$D$6:$D$2005,B141)=0,"",SUMIFS(Appointments!$K$6:$K$2005,Appointments!$D$6:$D$2005,B141)))</f>
        <v/>
      </c>
      <c r="M141" s="38">
        <f>IF(OR(B141="",SUMIFS(Packages!$E$6:$E$305,Packages!$C$6:$C$305,B141)=0),"",SUMIFS(Packages!$E$6:$E$305,Packages!$C$6:$C$305,B141)-COUNTIFS(Appointments!$D$6:$D$2005,B141,Appointments!$J$6:$J$2005,"Package",Appointments!$F$6:$F$2005,"Done")+IF(Services!$I$6="Yes",COUNTIFS(Appointments!$D$6:$D$2005,B141,Appointments!$J$6:$J$2005,"Package",Appointments!$F$6:$F$2005,"No-show"),0))</f>
        <v/>
      </c>
      <c r="N141" s="18">
        <f>IF(OR(B141="",I141=""),"",IF(AND(J141="",TODAY()-I141&gt;=N(Services!$I$7)),"Not seen for "&amp;(TODAY()-I141)&amp;" days",""))</f>
        <v/>
      </c>
      <c r="O141" s="1">
        <f>IF(N(E141)=0,"",MONTH(E141))</f>
        <v/>
      </c>
    </row>
    <row r="142">
      <c r="A142" s="1" t="n"/>
      <c r="B142" s="35" t="inlineStr">
        <is>
          <t>Sara Hughes</t>
        </is>
      </c>
      <c r="C142" s="32" t="inlineStr">
        <is>
          <t>555 0336</t>
        </is>
      </c>
      <c r="D142" s="32" t="inlineStr">
        <is>
          <t>sara.h@example.com</t>
        </is>
      </c>
      <c r="E142" s="36" t="n"/>
      <c r="F142" s="30" t="n">
        <v>45378</v>
      </c>
      <c r="G142" s="32" t="n"/>
      <c r="H142" s="26">
        <f>IF(B142="","",COUNTIFS(Appointments!$D$6:$D$2005,B142,Appointments!$F$6:$F$2005,"Done"))</f>
        <v/>
      </c>
      <c r="I142" s="37">
        <f>IF(OR(B142="",N(H142)=0),"",INT(SUMIFS(Appointments!$M$6:$M$2005,Appointments!$D$6:$D$2005,B142,Appointments!$N$6:$N$2005,1)))</f>
        <v/>
      </c>
      <c r="J142" s="37">
        <f>IF(B142="","",IF(SUMIFS(Appointments!$M$6:$M$2005,Appointments!$D$6:$D$2005,B142,Appointments!$O$6:$O$2005,1)=0,"",INT(SUMIFS(Appointments!$M$6:$M$2005,Appointments!$D$6:$D$2005,B142,Appointments!$O$6:$O$2005,1))))</f>
        <v/>
      </c>
      <c r="K142" s="27">
        <f>IF(B142="","",SUMIFS(Appointments!$I$6:$I$2005,Appointments!$D$6:$D$2005,B142)+SUMIFS(Packages!$F$6:$F$305,Packages!$C$6:$C$305,B142))</f>
        <v/>
      </c>
      <c r="L142" s="28">
        <f>IF(B142="","",IF(SUMIFS(Appointments!$K$6:$K$2005,Appointments!$D$6:$D$2005,B142)=0,"",SUMIFS(Appointments!$K$6:$K$2005,Appointments!$D$6:$D$2005,B142)))</f>
        <v/>
      </c>
      <c r="M142" s="38">
        <f>IF(OR(B142="",SUMIFS(Packages!$E$6:$E$305,Packages!$C$6:$C$305,B142)=0),"",SUMIFS(Packages!$E$6:$E$305,Packages!$C$6:$C$305,B142)-COUNTIFS(Appointments!$D$6:$D$2005,B142,Appointments!$J$6:$J$2005,"Package",Appointments!$F$6:$F$2005,"Done")+IF(Services!$I$6="Yes",COUNTIFS(Appointments!$D$6:$D$2005,B142,Appointments!$J$6:$J$2005,"Package",Appointments!$F$6:$F$2005,"No-show"),0))</f>
        <v/>
      </c>
      <c r="N142" s="18">
        <f>IF(OR(B142="",I142=""),"",IF(AND(J142="",TODAY()-I142&gt;=N(Services!$I$7)),"Not seen for "&amp;(TODAY()-I142)&amp;" days",""))</f>
        <v/>
      </c>
      <c r="O142" s="1">
        <f>IF(N(E142)=0,"",MONTH(E142))</f>
        <v/>
      </c>
    </row>
    <row r="143">
      <c r="A143" s="1" t="n"/>
      <c r="B143" s="35" t="inlineStr">
        <is>
          <t>Gina Reid</t>
        </is>
      </c>
      <c r="C143" s="32" t="inlineStr">
        <is>
          <t>555 0337</t>
        </is>
      </c>
      <c r="D143" s="32" t="inlineStr">
        <is>
          <t>gina.r@example.com</t>
        </is>
      </c>
      <c r="E143" s="36" t="n"/>
      <c r="F143" s="30" t="n">
        <v>45619</v>
      </c>
      <c r="G143" s="32" t="n"/>
      <c r="H143" s="26">
        <f>IF(B143="","",COUNTIFS(Appointments!$D$6:$D$2005,B143,Appointments!$F$6:$F$2005,"Done"))</f>
        <v/>
      </c>
      <c r="I143" s="37">
        <f>IF(OR(B143="",N(H143)=0),"",INT(SUMIFS(Appointments!$M$6:$M$2005,Appointments!$D$6:$D$2005,B143,Appointments!$N$6:$N$2005,1)))</f>
        <v/>
      </c>
      <c r="J143" s="37">
        <f>IF(B143="","",IF(SUMIFS(Appointments!$M$6:$M$2005,Appointments!$D$6:$D$2005,B143,Appointments!$O$6:$O$2005,1)=0,"",INT(SUMIFS(Appointments!$M$6:$M$2005,Appointments!$D$6:$D$2005,B143,Appointments!$O$6:$O$2005,1))))</f>
        <v/>
      </c>
      <c r="K143" s="27">
        <f>IF(B143="","",SUMIFS(Appointments!$I$6:$I$2005,Appointments!$D$6:$D$2005,B143)+SUMIFS(Packages!$F$6:$F$305,Packages!$C$6:$C$305,B143))</f>
        <v/>
      </c>
      <c r="L143" s="28">
        <f>IF(B143="","",IF(SUMIFS(Appointments!$K$6:$K$2005,Appointments!$D$6:$D$2005,B143)=0,"",SUMIFS(Appointments!$K$6:$K$2005,Appointments!$D$6:$D$2005,B143)))</f>
        <v/>
      </c>
      <c r="M143" s="38">
        <f>IF(OR(B143="",SUMIFS(Packages!$E$6:$E$305,Packages!$C$6:$C$305,B143)=0),"",SUMIFS(Packages!$E$6:$E$305,Packages!$C$6:$C$305,B143)-COUNTIFS(Appointments!$D$6:$D$2005,B143,Appointments!$J$6:$J$2005,"Package",Appointments!$F$6:$F$2005,"Done")+IF(Services!$I$6="Yes",COUNTIFS(Appointments!$D$6:$D$2005,B143,Appointments!$J$6:$J$2005,"Package",Appointments!$F$6:$F$2005,"No-show"),0))</f>
        <v/>
      </c>
      <c r="N143" s="18">
        <f>IF(OR(B143="",I143=""),"",IF(AND(J143="",TODAY()-I143&gt;=N(Services!$I$7)),"Not seen for "&amp;(TODAY()-I143)&amp;" days",""))</f>
        <v/>
      </c>
      <c r="O143" s="1">
        <f>IF(N(E143)=0,"",MONTH(E143))</f>
        <v/>
      </c>
    </row>
    <row r="144">
      <c r="A144" s="1" t="n"/>
      <c r="B144" s="35" t="inlineStr">
        <is>
          <t>Sophie Ellis</t>
        </is>
      </c>
      <c r="C144" s="32" t="inlineStr">
        <is>
          <t>555 0338</t>
        </is>
      </c>
      <c r="D144" s="32" t="inlineStr">
        <is>
          <t>sophie.e@example.com</t>
        </is>
      </c>
      <c r="E144" s="36" t="n"/>
      <c r="F144" s="30" t="n">
        <v>45652</v>
      </c>
      <c r="G144" s="32" t="n"/>
      <c r="H144" s="26">
        <f>IF(B144="","",COUNTIFS(Appointments!$D$6:$D$2005,B144,Appointments!$F$6:$F$2005,"Done"))</f>
        <v/>
      </c>
      <c r="I144" s="37">
        <f>IF(OR(B144="",N(H144)=0),"",INT(SUMIFS(Appointments!$M$6:$M$2005,Appointments!$D$6:$D$2005,B144,Appointments!$N$6:$N$2005,1)))</f>
        <v/>
      </c>
      <c r="J144" s="37">
        <f>IF(B144="","",IF(SUMIFS(Appointments!$M$6:$M$2005,Appointments!$D$6:$D$2005,B144,Appointments!$O$6:$O$2005,1)=0,"",INT(SUMIFS(Appointments!$M$6:$M$2005,Appointments!$D$6:$D$2005,B144,Appointments!$O$6:$O$2005,1))))</f>
        <v/>
      </c>
      <c r="K144" s="27">
        <f>IF(B144="","",SUMIFS(Appointments!$I$6:$I$2005,Appointments!$D$6:$D$2005,B144)+SUMIFS(Packages!$F$6:$F$305,Packages!$C$6:$C$305,B144))</f>
        <v/>
      </c>
      <c r="L144" s="28">
        <f>IF(B144="","",IF(SUMIFS(Appointments!$K$6:$K$2005,Appointments!$D$6:$D$2005,B144)=0,"",SUMIFS(Appointments!$K$6:$K$2005,Appointments!$D$6:$D$2005,B144)))</f>
        <v/>
      </c>
      <c r="M144" s="38">
        <f>IF(OR(B144="",SUMIFS(Packages!$E$6:$E$305,Packages!$C$6:$C$305,B144)=0),"",SUMIFS(Packages!$E$6:$E$305,Packages!$C$6:$C$305,B144)-COUNTIFS(Appointments!$D$6:$D$2005,B144,Appointments!$J$6:$J$2005,"Package",Appointments!$F$6:$F$2005,"Done")+IF(Services!$I$6="Yes",COUNTIFS(Appointments!$D$6:$D$2005,B144,Appointments!$J$6:$J$2005,"Package",Appointments!$F$6:$F$2005,"No-show"),0))</f>
        <v/>
      </c>
      <c r="N144" s="18">
        <f>IF(OR(B144="",I144=""),"",IF(AND(J144="",TODAY()-I144&gt;=N(Services!$I$7)),"Not seen for "&amp;(TODAY()-I144)&amp;" days",""))</f>
        <v/>
      </c>
      <c r="O144" s="1">
        <f>IF(N(E144)=0,"",MONTH(E144))</f>
        <v/>
      </c>
    </row>
    <row r="145">
      <c r="A145" s="1" t="n"/>
      <c r="B145" s="35" t="inlineStr">
        <is>
          <t>Ryan Webb</t>
        </is>
      </c>
      <c r="C145" s="32" t="inlineStr">
        <is>
          <t>555 0339</t>
        </is>
      </c>
      <c r="D145" s="32" t="inlineStr">
        <is>
          <t>ryan.w@example.com</t>
        </is>
      </c>
      <c r="E145" s="36" t="n"/>
      <c r="F145" s="30" t="n">
        <v>45319</v>
      </c>
      <c r="G145" s="32" t="n"/>
      <c r="H145" s="26">
        <f>IF(B145="","",COUNTIFS(Appointments!$D$6:$D$2005,B145,Appointments!$F$6:$F$2005,"Done"))</f>
        <v/>
      </c>
      <c r="I145" s="37">
        <f>IF(OR(B145="",N(H145)=0),"",INT(SUMIFS(Appointments!$M$6:$M$2005,Appointments!$D$6:$D$2005,B145,Appointments!$N$6:$N$2005,1)))</f>
        <v/>
      </c>
      <c r="J145" s="37">
        <f>IF(B145="","",IF(SUMIFS(Appointments!$M$6:$M$2005,Appointments!$D$6:$D$2005,B145,Appointments!$O$6:$O$2005,1)=0,"",INT(SUMIFS(Appointments!$M$6:$M$2005,Appointments!$D$6:$D$2005,B145,Appointments!$O$6:$O$2005,1))))</f>
        <v/>
      </c>
      <c r="K145" s="27">
        <f>IF(B145="","",SUMIFS(Appointments!$I$6:$I$2005,Appointments!$D$6:$D$2005,B145)+SUMIFS(Packages!$F$6:$F$305,Packages!$C$6:$C$305,B145))</f>
        <v/>
      </c>
      <c r="L145" s="28">
        <f>IF(B145="","",IF(SUMIFS(Appointments!$K$6:$K$2005,Appointments!$D$6:$D$2005,B145)=0,"",SUMIFS(Appointments!$K$6:$K$2005,Appointments!$D$6:$D$2005,B145)))</f>
        <v/>
      </c>
      <c r="M145" s="38">
        <f>IF(OR(B145="",SUMIFS(Packages!$E$6:$E$305,Packages!$C$6:$C$305,B145)=0),"",SUMIFS(Packages!$E$6:$E$305,Packages!$C$6:$C$305,B145)-COUNTIFS(Appointments!$D$6:$D$2005,B145,Appointments!$J$6:$J$2005,"Package",Appointments!$F$6:$F$2005,"Done")+IF(Services!$I$6="Yes",COUNTIFS(Appointments!$D$6:$D$2005,B145,Appointments!$J$6:$J$2005,"Package",Appointments!$F$6:$F$2005,"No-show"),0))</f>
        <v/>
      </c>
      <c r="N145" s="18">
        <f>IF(OR(B145="",I145=""),"",IF(AND(J145="",TODAY()-I145&gt;=N(Services!$I$7)),"Not seen for "&amp;(TODAY()-I145)&amp;" days",""))</f>
        <v/>
      </c>
      <c r="O145" s="1">
        <f>IF(N(E145)=0,"",MONTH(E145))</f>
        <v/>
      </c>
    </row>
    <row r="146">
      <c r="A146" s="1" t="n"/>
      <c r="B146" s="35" t="inlineStr">
        <is>
          <t>Kyle Fox</t>
        </is>
      </c>
      <c r="C146" s="32" t="inlineStr">
        <is>
          <t>555 0340</t>
        </is>
      </c>
      <c r="D146" s="32" t="inlineStr">
        <is>
          <t>kyle.f@example.com</t>
        </is>
      </c>
      <c r="E146" s="36" t="n"/>
      <c r="F146" s="30" t="n">
        <v>46001</v>
      </c>
      <c r="G146" s="32" t="n"/>
      <c r="H146" s="26">
        <f>IF(B146="","",COUNTIFS(Appointments!$D$6:$D$2005,B146,Appointments!$F$6:$F$2005,"Done"))</f>
        <v/>
      </c>
      <c r="I146" s="37">
        <f>IF(OR(B146="",N(H146)=0),"",INT(SUMIFS(Appointments!$M$6:$M$2005,Appointments!$D$6:$D$2005,B146,Appointments!$N$6:$N$2005,1)))</f>
        <v/>
      </c>
      <c r="J146" s="37">
        <f>IF(B146="","",IF(SUMIFS(Appointments!$M$6:$M$2005,Appointments!$D$6:$D$2005,B146,Appointments!$O$6:$O$2005,1)=0,"",INT(SUMIFS(Appointments!$M$6:$M$2005,Appointments!$D$6:$D$2005,B146,Appointments!$O$6:$O$2005,1))))</f>
        <v/>
      </c>
      <c r="K146" s="27">
        <f>IF(B146="","",SUMIFS(Appointments!$I$6:$I$2005,Appointments!$D$6:$D$2005,B146)+SUMIFS(Packages!$F$6:$F$305,Packages!$C$6:$C$305,B146))</f>
        <v/>
      </c>
      <c r="L146" s="28">
        <f>IF(B146="","",IF(SUMIFS(Appointments!$K$6:$K$2005,Appointments!$D$6:$D$2005,B146)=0,"",SUMIFS(Appointments!$K$6:$K$2005,Appointments!$D$6:$D$2005,B146)))</f>
        <v/>
      </c>
      <c r="M146" s="38">
        <f>IF(OR(B146="",SUMIFS(Packages!$E$6:$E$305,Packages!$C$6:$C$305,B146)=0),"",SUMIFS(Packages!$E$6:$E$305,Packages!$C$6:$C$305,B146)-COUNTIFS(Appointments!$D$6:$D$2005,B146,Appointments!$J$6:$J$2005,"Package",Appointments!$F$6:$F$2005,"Done")+IF(Services!$I$6="Yes",COUNTIFS(Appointments!$D$6:$D$2005,B146,Appointments!$J$6:$J$2005,"Package",Appointments!$F$6:$F$2005,"No-show"),0))</f>
        <v/>
      </c>
      <c r="N146" s="18">
        <f>IF(OR(B146="",I146=""),"",IF(AND(J146="",TODAY()-I146&gt;=N(Services!$I$7)),"Not seen for "&amp;(TODAY()-I146)&amp;" days",""))</f>
        <v/>
      </c>
      <c r="O146" s="1">
        <f>IF(N(E146)=0,"",MONTH(E146))</f>
        <v/>
      </c>
    </row>
    <row r="147">
      <c r="A147" s="1" t="n"/>
      <c r="B147" s="35" t="inlineStr">
        <is>
          <t>Nina Cook</t>
        </is>
      </c>
      <c r="C147" s="32" t="inlineStr">
        <is>
          <t>555 0341</t>
        </is>
      </c>
      <c r="D147" s="32" t="inlineStr">
        <is>
          <t>nina.c@example.com</t>
        </is>
      </c>
      <c r="E147" s="36" t="n">
        <v>26460</v>
      </c>
      <c r="F147" s="30" t="n">
        <v>45215</v>
      </c>
      <c r="G147" s="32" t="n"/>
      <c r="H147" s="26">
        <f>IF(B147="","",COUNTIFS(Appointments!$D$6:$D$2005,B147,Appointments!$F$6:$F$2005,"Done"))</f>
        <v/>
      </c>
      <c r="I147" s="37">
        <f>IF(OR(B147="",N(H147)=0),"",INT(SUMIFS(Appointments!$M$6:$M$2005,Appointments!$D$6:$D$2005,B147,Appointments!$N$6:$N$2005,1)))</f>
        <v/>
      </c>
      <c r="J147" s="37">
        <f>IF(B147="","",IF(SUMIFS(Appointments!$M$6:$M$2005,Appointments!$D$6:$D$2005,B147,Appointments!$O$6:$O$2005,1)=0,"",INT(SUMIFS(Appointments!$M$6:$M$2005,Appointments!$D$6:$D$2005,B147,Appointments!$O$6:$O$2005,1))))</f>
        <v/>
      </c>
      <c r="K147" s="27">
        <f>IF(B147="","",SUMIFS(Appointments!$I$6:$I$2005,Appointments!$D$6:$D$2005,B147)+SUMIFS(Packages!$F$6:$F$305,Packages!$C$6:$C$305,B147))</f>
        <v/>
      </c>
      <c r="L147" s="28">
        <f>IF(B147="","",IF(SUMIFS(Appointments!$K$6:$K$2005,Appointments!$D$6:$D$2005,B147)=0,"",SUMIFS(Appointments!$K$6:$K$2005,Appointments!$D$6:$D$2005,B147)))</f>
        <v/>
      </c>
      <c r="M147" s="38">
        <f>IF(OR(B147="",SUMIFS(Packages!$E$6:$E$305,Packages!$C$6:$C$305,B147)=0),"",SUMIFS(Packages!$E$6:$E$305,Packages!$C$6:$C$305,B147)-COUNTIFS(Appointments!$D$6:$D$2005,B147,Appointments!$J$6:$J$2005,"Package",Appointments!$F$6:$F$2005,"Done")+IF(Services!$I$6="Yes",COUNTIFS(Appointments!$D$6:$D$2005,B147,Appointments!$J$6:$J$2005,"Package",Appointments!$F$6:$F$2005,"No-show"),0))</f>
        <v/>
      </c>
      <c r="N147" s="18">
        <f>IF(OR(B147="",I147=""),"",IF(AND(J147="",TODAY()-I147&gt;=N(Services!$I$7)),"Not seen for "&amp;(TODAY()-I147)&amp;" days",""))</f>
        <v/>
      </c>
      <c r="O147" s="1">
        <f>IF(N(E147)=0,"",MONTH(E147))</f>
        <v/>
      </c>
    </row>
    <row r="148">
      <c r="A148" s="1" t="n"/>
      <c r="B148" s="35" t="inlineStr">
        <is>
          <t>Sara Reed</t>
        </is>
      </c>
      <c r="C148" s="32" t="inlineStr">
        <is>
          <t>555 0342</t>
        </is>
      </c>
      <c r="D148" s="32" t="inlineStr">
        <is>
          <t>sara.r@example.com</t>
        </is>
      </c>
      <c r="E148" s="36" t="n">
        <v>26014</v>
      </c>
      <c r="F148" s="30" t="n">
        <v>44627</v>
      </c>
      <c r="G148" s="32" t="n"/>
      <c r="H148" s="26">
        <f>IF(B148="","",COUNTIFS(Appointments!$D$6:$D$2005,B148,Appointments!$F$6:$F$2005,"Done"))</f>
        <v/>
      </c>
      <c r="I148" s="37">
        <f>IF(OR(B148="",N(H148)=0),"",INT(SUMIFS(Appointments!$M$6:$M$2005,Appointments!$D$6:$D$2005,B148,Appointments!$N$6:$N$2005,1)))</f>
        <v/>
      </c>
      <c r="J148" s="37">
        <f>IF(B148="","",IF(SUMIFS(Appointments!$M$6:$M$2005,Appointments!$D$6:$D$2005,B148,Appointments!$O$6:$O$2005,1)=0,"",INT(SUMIFS(Appointments!$M$6:$M$2005,Appointments!$D$6:$D$2005,B148,Appointments!$O$6:$O$2005,1))))</f>
        <v/>
      </c>
      <c r="K148" s="27">
        <f>IF(B148="","",SUMIFS(Appointments!$I$6:$I$2005,Appointments!$D$6:$D$2005,B148)+SUMIFS(Packages!$F$6:$F$305,Packages!$C$6:$C$305,B148))</f>
        <v/>
      </c>
      <c r="L148" s="28">
        <f>IF(B148="","",IF(SUMIFS(Appointments!$K$6:$K$2005,Appointments!$D$6:$D$2005,B148)=0,"",SUMIFS(Appointments!$K$6:$K$2005,Appointments!$D$6:$D$2005,B148)))</f>
        <v/>
      </c>
      <c r="M148" s="38">
        <f>IF(OR(B148="",SUMIFS(Packages!$E$6:$E$305,Packages!$C$6:$C$305,B148)=0),"",SUMIFS(Packages!$E$6:$E$305,Packages!$C$6:$C$305,B148)-COUNTIFS(Appointments!$D$6:$D$2005,B148,Appointments!$J$6:$J$2005,"Package",Appointments!$F$6:$F$2005,"Done")+IF(Services!$I$6="Yes",COUNTIFS(Appointments!$D$6:$D$2005,B148,Appointments!$J$6:$J$2005,"Package",Appointments!$F$6:$F$2005,"No-show"),0))</f>
        <v/>
      </c>
      <c r="N148" s="18">
        <f>IF(OR(B148="",I148=""),"",IF(AND(J148="",TODAY()-I148&gt;=N(Services!$I$7)),"Not seen for "&amp;(TODAY()-I148)&amp;" days",""))</f>
        <v/>
      </c>
      <c r="O148" s="1">
        <f>IF(N(E148)=0,"",MONTH(E148))</f>
        <v/>
      </c>
    </row>
    <row r="149">
      <c r="A149" s="1" t="n"/>
      <c r="B149" s="35" t="inlineStr">
        <is>
          <t>Tina Cook</t>
        </is>
      </c>
      <c r="C149" s="32" t="inlineStr">
        <is>
          <t>555 0343</t>
        </is>
      </c>
      <c r="D149" s="32" t="inlineStr">
        <is>
          <t>tina.c@example.com</t>
        </is>
      </c>
      <c r="E149" s="36" t="n">
        <v>26494</v>
      </c>
      <c r="F149" s="30" t="n">
        <v>44374</v>
      </c>
      <c r="G149" s="32" t="n"/>
      <c r="H149" s="26">
        <f>IF(B149="","",COUNTIFS(Appointments!$D$6:$D$2005,B149,Appointments!$F$6:$F$2005,"Done"))</f>
        <v/>
      </c>
      <c r="I149" s="37">
        <f>IF(OR(B149="",N(H149)=0),"",INT(SUMIFS(Appointments!$M$6:$M$2005,Appointments!$D$6:$D$2005,B149,Appointments!$N$6:$N$2005,1)))</f>
        <v/>
      </c>
      <c r="J149" s="37">
        <f>IF(B149="","",IF(SUMIFS(Appointments!$M$6:$M$2005,Appointments!$D$6:$D$2005,B149,Appointments!$O$6:$O$2005,1)=0,"",INT(SUMIFS(Appointments!$M$6:$M$2005,Appointments!$D$6:$D$2005,B149,Appointments!$O$6:$O$2005,1))))</f>
        <v/>
      </c>
      <c r="K149" s="27">
        <f>IF(B149="","",SUMIFS(Appointments!$I$6:$I$2005,Appointments!$D$6:$D$2005,B149)+SUMIFS(Packages!$F$6:$F$305,Packages!$C$6:$C$305,B149))</f>
        <v/>
      </c>
      <c r="L149" s="28">
        <f>IF(B149="","",IF(SUMIFS(Appointments!$K$6:$K$2005,Appointments!$D$6:$D$2005,B149)=0,"",SUMIFS(Appointments!$K$6:$K$2005,Appointments!$D$6:$D$2005,B149)))</f>
        <v/>
      </c>
      <c r="M149" s="38">
        <f>IF(OR(B149="",SUMIFS(Packages!$E$6:$E$305,Packages!$C$6:$C$305,B149)=0),"",SUMIFS(Packages!$E$6:$E$305,Packages!$C$6:$C$305,B149)-COUNTIFS(Appointments!$D$6:$D$2005,B149,Appointments!$J$6:$J$2005,"Package",Appointments!$F$6:$F$2005,"Done")+IF(Services!$I$6="Yes",COUNTIFS(Appointments!$D$6:$D$2005,B149,Appointments!$J$6:$J$2005,"Package",Appointments!$F$6:$F$2005,"No-show"),0))</f>
        <v/>
      </c>
      <c r="N149" s="18">
        <f>IF(OR(B149="",I149=""),"",IF(AND(J149="",TODAY()-I149&gt;=N(Services!$I$7)),"Not seen for "&amp;(TODAY()-I149)&amp;" days",""))</f>
        <v/>
      </c>
      <c r="O149" s="1">
        <f>IF(N(E149)=0,"",MONTH(E149))</f>
        <v/>
      </c>
    </row>
    <row r="150">
      <c r="A150" s="1" t="n"/>
      <c r="B150" s="35" t="inlineStr">
        <is>
          <t>Hannah Hughes</t>
        </is>
      </c>
      <c r="C150" s="32" t="inlineStr">
        <is>
          <t>555 0344</t>
        </is>
      </c>
      <c r="D150" s="32" t="n"/>
      <c r="E150" s="36" t="n"/>
      <c r="F150" s="30" t="n">
        <v>45515</v>
      </c>
      <c r="G150" s="32" t="n"/>
      <c r="H150" s="26">
        <f>IF(B150="","",COUNTIFS(Appointments!$D$6:$D$2005,B150,Appointments!$F$6:$F$2005,"Done"))</f>
        <v/>
      </c>
      <c r="I150" s="37">
        <f>IF(OR(B150="",N(H150)=0),"",INT(SUMIFS(Appointments!$M$6:$M$2005,Appointments!$D$6:$D$2005,B150,Appointments!$N$6:$N$2005,1)))</f>
        <v/>
      </c>
      <c r="J150" s="37">
        <f>IF(B150="","",IF(SUMIFS(Appointments!$M$6:$M$2005,Appointments!$D$6:$D$2005,B150,Appointments!$O$6:$O$2005,1)=0,"",INT(SUMIFS(Appointments!$M$6:$M$2005,Appointments!$D$6:$D$2005,B150,Appointments!$O$6:$O$2005,1))))</f>
        <v/>
      </c>
      <c r="K150" s="27">
        <f>IF(B150="","",SUMIFS(Appointments!$I$6:$I$2005,Appointments!$D$6:$D$2005,B150)+SUMIFS(Packages!$F$6:$F$305,Packages!$C$6:$C$305,B150))</f>
        <v/>
      </c>
      <c r="L150" s="28">
        <f>IF(B150="","",IF(SUMIFS(Appointments!$K$6:$K$2005,Appointments!$D$6:$D$2005,B150)=0,"",SUMIFS(Appointments!$K$6:$K$2005,Appointments!$D$6:$D$2005,B150)))</f>
        <v/>
      </c>
      <c r="M150" s="38">
        <f>IF(OR(B150="",SUMIFS(Packages!$E$6:$E$305,Packages!$C$6:$C$305,B150)=0),"",SUMIFS(Packages!$E$6:$E$305,Packages!$C$6:$C$305,B150)-COUNTIFS(Appointments!$D$6:$D$2005,B150,Appointments!$J$6:$J$2005,"Package",Appointments!$F$6:$F$2005,"Done")+IF(Services!$I$6="Yes",COUNTIFS(Appointments!$D$6:$D$2005,B150,Appointments!$J$6:$J$2005,"Package",Appointments!$F$6:$F$2005,"No-show"),0))</f>
        <v/>
      </c>
      <c r="N150" s="18">
        <f>IF(OR(B150="",I150=""),"",IF(AND(J150="",TODAY()-I150&gt;=N(Services!$I$7)),"Not seen for "&amp;(TODAY()-I150)&amp;" days",""))</f>
        <v/>
      </c>
      <c r="O150" s="1">
        <f>IF(N(E150)=0,"",MONTH(E150))</f>
        <v/>
      </c>
    </row>
    <row r="151">
      <c r="A151" s="1" t="n"/>
      <c r="B151" s="35" t="n"/>
      <c r="C151" s="32" t="n"/>
      <c r="D151" s="32" t="n"/>
      <c r="E151" s="36" t="n"/>
      <c r="F151" s="30" t="n"/>
      <c r="G151" s="32" t="n"/>
      <c r="H151" s="26">
        <f>IF(B151="","",COUNTIFS(Appointments!$D$6:$D$2005,B151,Appointments!$F$6:$F$2005,"Done"))</f>
        <v/>
      </c>
      <c r="I151" s="37">
        <f>IF(OR(B151="",N(H151)=0),"",INT(SUMIFS(Appointments!$M$6:$M$2005,Appointments!$D$6:$D$2005,B151,Appointments!$N$6:$N$2005,1)))</f>
        <v/>
      </c>
      <c r="J151" s="37">
        <f>IF(B151="","",IF(SUMIFS(Appointments!$M$6:$M$2005,Appointments!$D$6:$D$2005,B151,Appointments!$O$6:$O$2005,1)=0,"",INT(SUMIFS(Appointments!$M$6:$M$2005,Appointments!$D$6:$D$2005,B151,Appointments!$O$6:$O$2005,1))))</f>
        <v/>
      </c>
      <c r="K151" s="27">
        <f>IF(B151="","",SUMIFS(Appointments!$I$6:$I$2005,Appointments!$D$6:$D$2005,B151)+SUMIFS(Packages!$F$6:$F$305,Packages!$C$6:$C$305,B151))</f>
        <v/>
      </c>
      <c r="L151" s="28">
        <f>IF(B151="","",IF(SUMIFS(Appointments!$K$6:$K$2005,Appointments!$D$6:$D$2005,B151)=0,"",SUMIFS(Appointments!$K$6:$K$2005,Appointments!$D$6:$D$2005,B151)))</f>
        <v/>
      </c>
      <c r="M151" s="38">
        <f>IF(OR(B151="",SUMIFS(Packages!$E$6:$E$305,Packages!$C$6:$C$305,B151)=0),"",SUMIFS(Packages!$E$6:$E$305,Packages!$C$6:$C$305,B151)-COUNTIFS(Appointments!$D$6:$D$2005,B151,Appointments!$J$6:$J$2005,"Package",Appointments!$F$6:$F$2005,"Done")+IF(Services!$I$6="Yes",COUNTIFS(Appointments!$D$6:$D$2005,B151,Appointments!$J$6:$J$2005,"Package",Appointments!$F$6:$F$2005,"No-show"),0))</f>
        <v/>
      </c>
      <c r="N151" s="18">
        <f>IF(OR(B151="",I151=""),"",IF(AND(J151="",TODAY()-I151&gt;=N(Services!$I$7)),"Not seen for "&amp;(TODAY()-I151)&amp;" days",""))</f>
        <v/>
      </c>
      <c r="O151" s="1">
        <f>IF(N(E151)=0,"",MONTH(E151))</f>
        <v/>
      </c>
    </row>
    <row r="152">
      <c r="A152" s="1" t="n"/>
      <c r="B152" s="35" t="n"/>
      <c r="C152" s="32" t="n"/>
      <c r="D152" s="32" t="n"/>
      <c r="E152" s="36" t="n"/>
      <c r="F152" s="30" t="n"/>
      <c r="G152" s="32" t="n"/>
      <c r="H152" s="26">
        <f>IF(B152="","",COUNTIFS(Appointments!$D$6:$D$2005,B152,Appointments!$F$6:$F$2005,"Done"))</f>
        <v/>
      </c>
      <c r="I152" s="37">
        <f>IF(OR(B152="",N(H152)=0),"",INT(SUMIFS(Appointments!$M$6:$M$2005,Appointments!$D$6:$D$2005,B152,Appointments!$N$6:$N$2005,1)))</f>
        <v/>
      </c>
      <c r="J152" s="37">
        <f>IF(B152="","",IF(SUMIFS(Appointments!$M$6:$M$2005,Appointments!$D$6:$D$2005,B152,Appointments!$O$6:$O$2005,1)=0,"",INT(SUMIFS(Appointments!$M$6:$M$2005,Appointments!$D$6:$D$2005,B152,Appointments!$O$6:$O$2005,1))))</f>
        <v/>
      </c>
      <c r="K152" s="27">
        <f>IF(B152="","",SUMIFS(Appointments!$I$6:$I$2005,Appointments!$D$6:$D$2005,B152)+SUMIFS(Packages!$F$6:$F$305,Packages!$C$6:$C$305,B152))</f>
        <v/>
      </c>
      <c r="L152" s="28">
        <f>IF(B152="","",IF(SUMIFS(Appointments!$K$6:$K$2005,Appointments!$D$6:$D$2005,B152)=0,"",SUMIFS(Appointments!$K$6:$K$2005,Appointments!$D$6:$D$2005,B152)))</f>
        <v/>
      </c>
      <c r="M152" s="38">
        <f>IF(OR(B152="",SUMIFS(Packages!$E$6:$E$305,Packages!$C$6:$C$305,B152)=0),"",SUMIFS(Packages!$E$6:$E$305,Packages!$C$6:$C$305,B152)-COUNTIFS(Appointments!$D$6:$D$2005,B152,Appointments!$J$6:$J$2005,"Package",Appointments!$F$6:$F$2005,"Done")+IF(Services!$I$6="Yes",COUNTIFS(Appointments!$D$6:$D$2005,B152,Appointments!$J$6:$J$2005,"Package",Appointments!$F$6:$F$2005,"No-show"),0))</f>
        <v/>
      </c>
      <c r="N152" s="18">
        <f>IF(OR(B152="",I152=""),"",IF(AND(J152="",TODAY()-I152&gt;=N(Services!$I$7)),"Not seen for "&amp;(TODAY()-I152)&amp;" days",""))</f>
        <v/>
      </c>
      <c r="O152" s="1">
        <f>IF(N(E152)=0,"",MONTH(E152))</f>
        <v/>
      </c>
    </row>
    <row r="153">
      <c r="A153" s="1" t="n"/>
      <c r="B153" s="35" t="n"/>
      <c r="C153" s="32" t="n"/>
      <c r="D153" s="32" t="n"/>
      <c r="E153" s="36" t="n"/>
      <c r="F153" s="30" t="n"/>
      <c r="G153" s="32" t="n"/>
      <c r="H153" s="26">
        <f>IF(B153="","",COUNTIFS(Appointments!$D$6:$D$2005,B153,Appointments!$F$6:$F$2005,"Done"))</f>
        <v/>
      </c>
      <c r="I153" s="37">
        <f>IF(OR(B153="",N(H153)=0),"",INT(SUMIFS(Appointments!$M$6:$M$2005,Appointments!$D$6:$D$2005,B153,Appointments!$N$6:$N$2005,1)))</f>
        <v/>
      </c>
      <c r="J153" s="37">
        <f>IF(B153="","",IF(SUMIFS(Appointments!$M$6:$M$2005,Appointments!$D$6:$D$2005,B153,Appointments!$O$6:$O$2005,1)=0,"",INT(SUMIFS(Appointments!$M$6:$M$2005,Appointments!$D$6:$D$2005,B153,Appointments!$O$6:$O$2005,1))))</f>
        <v/>
      </c>
      <c r="K153" s="27">
        <f>IF(B153="","",SUMIFS(Appointments!$I$6:$I$2005,Appointments!$D$6:$D$2005,B153)+SUMIFS(Packages!$F$6:$F$305,Packages!$C$6:$C$305,B153))</f>
        <v/>
      </c>
      <c r="L153" s="28">
        <f>IF(B153="","",IF(SUMIFS(Appointments!$K$6:$K$2005,Appointments!$D$6:$D$2005,B153)=0,"",SUMIFS(Appointments!$K$6:$K$2005,Appointments!$D$6:$D$2005,B153)))</f>
        <v/>
      </c>
      <c r="M153" s="38">
        <f>IF(OR(B153="",SUMIFS(Packages!$E$6:$E$305,Packages!$C$6:$C$305,B153)=0),"",SUMIFS(Packages!$E$6:$E$305,Packages!$C$6:$C$305,B153)-COUNTIFS(Appointments!$D$6:$D$2005,B153,Appointments!$J$6:$J$2005,"Package",Appointments!$F$6:$F$2005,"Done")+IF(Services!$I$6="Yes",COUNTIFS(Appointments!$D$6:$D$2005,B153,Appointments!$J$6:$J$2005,"Package",Appointments!$F$6:$F$2005,"No-show"),0))</f>
        <v/>
      </c>
      <c r="N153" s="18">
        <f>IF(OR(B153="",I153=""),"",IF(AND(J153="",TODAY()-I153&gt;=N(Services!$I$7)),"Not seen for "&amp;(TODAY()-I153)&amp;" days",""))</f>
        <v/>
      </c>
      <c r="O153" s="1">
        <f>IF(N(E153)=0,"",MONTH(E153))</f>
        <v/>
      </c>
    </row>
    <row r="154">
      <c r="A154" s="1" t="n"/>
      <c r="B154" s="35" t="n"/>
      <c r="C154" s="32" t="n"/>
      <c r="D154" s="32" t="n"/>
      <c r="E154" s="36" t="n"/>
      <c r="F154" s="30" t="n"/>
      <c r="G154" s="32" t="n"/>
      <c r="H154" s="26">
        <f>IF(B154="","",COUNTIFS(Appointments!$D$6:$D$2005,B154,Appointments!$F$6:$F$2005,"Done"))</f>
        <v/>
      </c>
      <c r="I154" s="37">
        <f>IF(OR(B154="",N(H154)=0),"",INT(SUMIFS(Appointments!$M$6:$M$2005,Appointments!$D$6:$D$2005,B154,Appointments!$N$6:$N$2005,1)))</f>
        <v/>
      </c>
      <c r="J154" s="37">
        <f>IF(B154="","",IF(SUMIFS(Appointments!$M$6:$M$2005,Appointments!$D$6:$D$2005,B154,Appointments!$O$6:$O$2005,1)=0,"",INT(SUMIFS(Appointments!$M$6:$M$2005,Appointments!$D$6:$D$2005,B154,Appointments!$O$6:$O$2005,1))))</f>
        <v/>
      </c>
      <c r="K154" s="27">
        <f>IF(B154="","",SUMIFS(Appointments!$I$6:$I$2005,Appointments!$D$6:$D$2005,B154)+SUMIFS(Packages!$F$6:$F$305,Packages!$C$6:$C$305,B154))</f>
        <v/>
      </c>
      <c r="L154" s="28">
        <f>IF(B154="","",IF(SUMIFS(Appointments!$K$6:$K$2005,Appointments!$D$6:$D$2005,B154)=0,"",SUMIFS(Appointments!$K$6:$K$2005,Appointments!$D$6:$D$2005,B154)))</f>
        <v/>
      </c>
      <c r="M154" s="38">
        <f>IF(OR(B154="",SUMIFS(Packages!$E$6:$E$305,Packages!$C$6:$C$305,B154)=0),"",SUMIFS(Packages!$E$6:$E$305,Packages!$C$6:$C$305,B154)-COUNTIFS(Appointments!$D$6:$D$2005,B154,Appointments!$J$6:$J$2005,"Package",Appointments!$F$6:$F$2005,"Done")+IF(Services!$I$6="Yes",COUNTIFS(Appointments!$D$6:$D$2005,B154,Appointments!$J$6:$J$2005,"Package",Appointments!$F$6:$F$2005,"No-show"),0))</f>
        <v/>
      </c>
      <c r="N154" s="18">
        <f>IF(OR(B154="",I154=""),"",IF(AND(J154="",TODAY()-I154&gt;=N(Services!$I$7)),"Not seen for "&amp;(TODAY()-I154)&amp;" days",""))</f>
        <v/>
      </c>
      <c r="O154" s="1">
        <f>IF(N(E154)=0,"",MONTH(E154))</f>
        <v/>
      </c>
    </row>
    <row r="155">
      <c r="A155" s="1" t="n"/>
      <c r="B155" s="35" t="n"/>
      <c r="C155" s="32" t="n"/>
      <c r="D155" s="32" t="n"/>
      <c r="E155" s="36" t="n"/>
      <c r="F155" s="30" t="n"/>
      <c r="G155" s="32" t="n"/>
      <c r="H155" s="26">
        <f>IF(B155="","",COUNTIFS(Appointments!$D$6:$D$2005,B155,Appointments!$F$6:$F$2005,"Done"))</f>
        <v/>
      </c>
      <c r="I155" s="37">
        <f>IF(OR(B155="",N(H155)=0),"",INT(SUMIFS(Appointments!$M$6:$M$2005,Appointments!$D$6:$D$2005,B155,Appointments!$N$6:$N$2005,1)))</f>
        <v/>
      </c>
      <c r="J155" s="37">
        <f>IF(B155="","",IF(SUMIFS(Appointments!$M$6:$M$2005,Appointments!$D$6:$D$2005,B155,Appointments!$O$6:$O$2005,1)=0,"",INT(SUMIFS(Appointments!$M$6:$M$2005,Appointments!$D$6:$D$2005,B155,Appointments!$O$6:$O$2005,1))))</f>
        <v/>
      </c>
      <c r="K155" s="27">
        <f>IF(B155="","",SUMIFS(Appointments!$I$6:$I$2005,Appointments!$D$6:$D$2005,B155)+SUMIFS(Packages!$F$6:$F$305,Packages!$C$6:$C$305,B155))</f>
        <v/>
      </c>
      <c r="L155" s="28">
        <f>IF(B155="","",IF(SUMIFS(Appointments!$K$6:$K$2005,Appointments!$D$6:$D$2005,B155)=0,"",SUMIFS(Appointments!$K$6:$K$2005,Appointments!$D$6:$D$2005,B155)))</f>
        <v/>
      </c>
      <c r="M155" s="38">
        <f>IF(OR(B155="",SUMIFS(Packages!$E$6:$E$305,Packages!$C$6:$C$305,B155)=0),"",SUMIFS(Packages!$E$6:$E$305,Packages!$C$6:$C$305,B155)-COUNTIFS(Appointments!$D$6:$D$2005,B155,Appointments!$J$6:$J$2005,"Package",Appointments!$F$6:$F$2005,"Done")+IF(Services!$I$6="Yes",COUNTIFS(Appointments!$D$6:$D$2005,B155,Appointments!$J$6:$J$2005,"Package",Appointments!$F$6:$F$2005,"No-show"),0))</f>
        <v/>
      </c>
      <c r="N155" s="18">
        <f>IF(OR(B155="",I155=""),"",IF(AND(J155="",TODAY()-I155&gt;=N(Services!$I$7)),"Not seen for "&amp;(TODAY()-I155)&amp;" days",""))</f>
        <v/>
      </c>
      <c r="O155" s="1">
        <f>IF(N(E155)=0,"",MONTH(E155))</f>
        <v/>
      </c>
    </row>
    <row r="156">
      <c r="A156" s="1" t="n"/>
      <c r="B156" s="35" t="n"/>
      <c r="C156" s="32" t="n"/>
      <c r="D156" s="32" t="n"/>
      <c r="E156" s="36" t="n"/>
      <c r="F156" s="30" t="n"/>
      <c r="G156" s="32" t="n"/>
      <c r="H156" s="26">
        <f>IF(B156="","",COUNTIFS(Appointments!$D$6:$D$2005,B156,Appointments!$F$6:$F$2005,"Done"))</f>
        <v/>
      </c>
      <c r="I156" s="37">
        <f>IF(OR(B156="",N(H156)=0),"",INT(SUMIFS(Appointments!$M$6:$M$2005,Appointments!$D$6:$D$2005,B156,Appointments!$N$6:$N$2005,1)))</f>
        <v/>
      </c>
      <c r="J156" s="37">
        <f>IF(B156="","",IF(SUMIFS(Appointments!$M$6:$M$2005,Appointments!$D$6:$D$2005,B156,Appointments!$O$6:$O$2005,1)=0,"",INT(SUMIFS(Appointments!$M$6:$M$2005,Appointments!$D$6:$D$2005,B156,Appointments!$O$6:$O$2005,1))))</f>
        <v/>
      </c>
      <c r="K156" s="27">
        <f>IF(B156="","",SUMIFS(Appointments!$I$6:$I$2005,Appointments!$D$6:$D$2005,B156)+SUMIFS(Packages!$F$6:$F$305,Packages!$C$6:$C$305,B156))</f>
        <v/>
      </c>
      <c r="L156" s="28">
        <f>IF(B156="","",IF(SUMIFS(Appointments!$K$6:$K$2005,Appointments!$D$6:$D$2005,B156)=0,"",SUMIFS(Appointments!$K$6:$K$2005,Appointments!$D$6:$D$2005,B156)))</f>
        <v/>
      </c>
      <c r="M156" s="38">
        <f>IF(OR(B156="",SUMIFS(Packages!$E$6:$E$305,Packages!$C$6:$C$305,B156)=0),"",SUMIFS(Packages!$E$6:$E$305,Packages!$C$6:$C$305,B156)-COUNTIFS(Appointments!$D$6:$D$2005,B156,Appointments!$J$6:$J$2005,"Package",Appointments!$F$6:$F$2005,"Done")+IF(Services!$I$6="Yes",COUNTIFS(Appointments!$D$6:$D$2005,B156,Appointments!$J$6:$J$2005,"Package",Appointments!$F$6:$F$2005,"No-show"),0))</f>
        <v/>
      </c>
      <c r="N156" s="18">
        <f>IF(OR(B156="",I156=""),"",IF(AND(J156="",TODAY()-I156&gt;=N(Services!$I$7)),"Not seen for "&amp;(TODAY()-I156)&amp;" days",""))</f>
        <v/>
      </c>
      <c r="O156" s="1">
        <f>IF(N(E156)=0,"",MONTH(E156))</f>
        <v/>
      </c>
    </row>
    <row r="157">
      <c r="A157" s="1" t="n"/>
      <c r="B157" s="35" t="n"/>
      <c r="C157" s="32" t="n"/>
      <c r="D157" s="32" t="n"/>
      <c r="E157" s="36" t="n"/>
      <c r="F157" s="30" t="n"/>
      <c r="G157" s="32" t="n"/>
      <c r="H157" s="26">
        <f>IF(B157="","",COUNTIFS(Appointments!$D$6:$D$2005,B157,Appointments!$F$6:$F$2005,"Done"))</f>
        <v/>
      </c>
      <c r="I157" s="37">
        <f>IF(OR(B157="",N(H157)=0),"",INT(SUMIFS(Appointments!$M$6:$M$2005,Appointments!$D$6:$D$2005,B157,Appointments!$N$6:$N$2005,1)))</f>
        <v/>
      </c>
      <c r="J157" s="37">
        <f>IF(B157="","",IF(SUMIFS(Appointments!$M$6:$M$2005,Appointments!$D$6:$D$2005,B157,Appointments!$O$6:$O$2005,1)=0,"",INT(SUMIFS(Appointments!$M$6:$M$2005,Appointments!$D$6:$D$2005,B157,Appointments!$O$6:$O$2005,1))))</f>
        <v/>
      </c>
      <c r="K157" s="27">
        <f>IF(B157="","",SUMIFS(Appointments!$I$6:$I$2005,Appointments!$D$6:$D$2005,B157)+SUMIFS(Packages!$F$6:$F$305,Packages!$C$6:$C$305,B157))</f>
        <v/>
      </c>
      <c r="L157" s="28">
        <f>IF(B157="","",IF(SUMIFS(Appointments!$K$6:$K$2005,Appointments!$D$6:$D$2005,B157)=0,"",SUMIFS(Appointments!$K$6:$K$2005,Appointments!$D$6:$D$2005,B157)))</f>
        <v/>
      </c>
      <c r="M157" s="38">
        <f>IF(OR(B157="",SUMIFS(Packages!$E$6:$E$305,Packages!$C$6:$C$305,B157)=0),"",SUMIFS(Packages!$E$6:$E$305,Packages!$C$6:$C$305,B157)-COUNTIFS(Appointments!$D$6:$D$2005,B157,Appointments!$J$6:$J$2005,"Package",Appointments!$F$6:$F$2005,"Done")+IF(Services!$I$6="Yes",COUNTIFS(Appointments!$D$6:$D$2005,B157,Appointments!$J$6:$J$2005,"Package",Appointments!$F$6:$F$2005,"No-show"),0))</f>
        <v/>
      </c>
      <c r="N157" s="18">
        <f>IF(OR(B157="",I157=""),"",IF(AND(J157="",TODAY()-I157&gt;=N(Services!$I$7)),"Not seen for "&amp;(TODAY()-I157)&amp;" days",""))</f>
        <v/>
      </c>
      <c r="O157" s="1">
        <f>IF(N(E157)=0,"",MONTH(E157))</f>
        <v/>
      </c>
    </row>
    <row r="158">
      <c r="A158" s="1" t="n"/>
      <c r="B158" s="35" t="n"/>
      <c r="C158" s="32" t="n"/>
      <c r="D158" s="32" t="n"/>
      <c r="E158" s="36" t="n"/>
      <c r="F158" s="30" t="n"/>
      <c r="G158" s="32" t="n"/>
      <c r="H158" s="26">
        <f>IF(B158="","",COUNTIFS(Appointments!$D$6:$D$2005,B158,Appointments!$F$6:$F$2005,"Done"))</f>
        <v/>
      </c>
      <c r="I158" s="37">
        <f>IF(OR(B158="",N(H158)=0),"",INT(SUMIFS(Appointments!$M$6:$M$2005,Appointments!$D$6:$D$2005,B158,Appointments!$N$6:$N$2005,1)))</f>
        <v/>
      </c>
      <c r="J158" s="37">
        <f>IF(B158="","",IF(SUMIFS(Appointments!$M$6:$M$2005,Appointments!$D$6:$D$2005,B158,Appointments!$O$6:$O$2005,1)=0,"",INT(SUMIFS(Appointments!$M$6:$M$2005,Appointments!$D$6:$D$2005,B158,Appointments!$O$6:$O$2005,1))))</f>
        <v/>
      </c>
      <c r="K158" s="27">
        <f>IF(B158="","",SUMIFS(Appointments!$I$6:$I$2005,Appointments!$D$6:$D$2005,B158)+SUMIFS(Packages!$F$6:$F$305,Packages!$C$6:$C$305,B158))</f>
        <v/>
      </c>
      <c r="L158" s="28">
        <f>IF(B158="","",IF(SUMIFS(Appointments!$K$6:$K$2005,Appointments!$D$6:$D$2005,B158)=0,"",SUMIFS(Appointments!$K$6:$K$2005,Appointments!$D$6:$D$2005,B158)))</f>
        <v/>
      </c>
      <c r="M158" s="38">
        <f>IF(OR(B158="",SUMIFS(Packages!$E$6:$E$305,Packages!$C$6:$C$305,B158)=0),"",SUMIFS(Packages!$E$6:$E$305,Packages!$C$6:$C$305,B158)-COUNTIFS(Appointments!$D$6:$D$2005,B158,Appointments!$J$6:$J$2005,"Package",Appointments!$F$6:$F$2005,"Done")+IF(Services!$I$6="Yes",COUNTIFS(Appointments!$D$6:$D$2005,B158,Appointments!$J$6:$J$2005,"Package",Appointments!$F$6:$F$2005,"No-show"),0))</f>
        <v/>
      </c>
      <c r="N158" s="18">
        <f>IF(OR(B158="",I158=""),"",IF(AND(J158="",TODAY()-I158&gt;=N(Services!$I$7)),"Not seen for "&amp;(TODAY()-I158)&amp;" days",""))</f>
        <v/>
      </c>
      <c r="O158" s="1">
        <f>IF(N(E158)=0,"",MONTH(E158))</f>
        <v/>
      </c>
    </row>
    <row r="159">
      <c r="A159" s="1" t="n"/>
      <c r="B159" s="35" t="n"/>
      <c r="C159" s="32" t="n"/>
      <c r="D159" s="32" t="n"/>
      <c r="E159" s="36" t="n"/>
      <c r="F159" s="30" t="n"/>
      <c r="G159" s="32" t="n"/>
      <c r="H159" s="26">
        <f>IF(B159="","",COUNTIFS(Appointments!$D$6:$D$2005,B159,Appointments!$F$6:$F$2005,"Done"))</f>
        <v/>
      </c>
      <c r="I159" s="37">
        <f>IF(OR(B159="",N(H159)=0),"",INT(SUMIFS(Appointments!$M$6:$M$2005,Appointments!$D$6:$D$2005,B159,Appointments!$N$6:$N$2005,1)))</f>
        <v/>
      </c>
      <c r="J159" s="37">
        <f>IF(B159="","",IF(SUMIFS(Appointments!$M$6:$M$2005,Appointments!$D$6:$D$2005,B159,Appointments!$O$6:$O$2005,1)=0,"",INT(SUMIFS(Appointments!$M$6:$M$2005,Appointments!$D$6:$D$2005,B159,Appointments!$O$6:$O$2005,1))))</f>
        <v/>
      </c>
      <c r="K159" s="27">
        <f>IF(B159="","",SUMIFS(Appointments!$I$6:$I$2005,Appointments!$D$6:$D$2005,B159)+SUMIFS(Packages!$F$6:$F$305,Packages!$C$6:$C$305,B159))</f>
        <v/>
      </c>
      <c r="L159" s="28">
        <f>IF(B159="","",IF(SUMIFS(Appointments!$K$6:$K$2005,Appointments!$D$6:$D$2005,B159)=0,"",SUMIFS(Appointments!$K$6:$K$2005,Appointments!$D$6:$D$2005,B159)))</f>
        <v/>
      </c>
      <c r="M159" s="38">
        <f>IF(OR(B159="",SUMIFS(Packages!$E$6:$E$305,Packages!$C$6:$C$305,B159)=0),"",SUMIFS(Packages!$E$6:$E$305,Packages!$C$6:$C$305,B159)-COUNTIFS(Appointments!$D$6:$D$2005,B159,Appointments!$J$6:$J$2005,"Package",Appointments!$F$6:$F$2005,"Done")+IF(Services!$I$6="Yes",COUNTIFS(Appointments!$D$6:$D$2005,B159,Appointments!$J$6:$J$2005,"Package",Appointments!$F$6:$F$2005,"No-show"),0))</f>
        <v/>
      </c>
      <c r="N159" s="18">
        <f>IF(OR(B159="",I159=""),"",IF(AND(J159="",TODAY()-I159&gt;=N(Services!$I$7)),"Not seen for "&amp;(TODAY()-I159)&amp;" days",""))</f>
        <v/>
      </c>
      <c r="O159" s="1">
        <f>IF(N(E159)=0,"",MONTH(E159))</f>
        <v/>
      </c>
    </row>
    <row r="160">
      <c r="A160" s="1" t="n"/>
      <c r="B160" s="35" t="n"/>
      <c r="C160" s="32" t="n"/>
      <c r="D160" s="32" t="n"/>
      <c r="E160" s="36" t="n"/>
      <c r="F160" s="30" t="n"/>
      <c r="G160" s="32" t="n"/>
      <c r="H160" s="26">
        <f>IF(B160="","",COUNTIFS(Appointments!$D$6:$D$2005,B160,Appointments!$F$6:$F$2005,"Done"))</f>
        <v/>
      </c>
      <c r="I160" s="37">
        <f>IF(OR(B160="",N(H160)=0),"",INT(SUMIFS(Appointments!$M$6:$M$2005,Appointments!$D$6:$D$2005,B160,Appointments!$N$6:$N$2005,1)))</f>
        <v/>
      </c>
      <c r="J160" s="37">
        <f>IF(B160="","",IF(SUMIFS(Appointments!$M$6:$M$2005,Appointments!$D$6:$D$2005,B160,Appointments!$O$6:$O$2005,1)=0,"",INT(SUMIFS(Appointments!$M$6:$M$2005,Appointments!$D$6:$D$2005,B160,Appointments!$O$6:$O$2005,1))))</f>
        <v/>
      </c>
      <c r="K160" s="27">
        <f>IF(B160="","",SUMIFS(Appointments!$I$6:$I$2005,Appointments!$D$6:$D$2005,B160)+SUMIFS(Packages!$F$6:$F$305,Packages!$C$6:$C$305,B160))</f>
        <v/>
      </c>
      <c r="L160" s="28">
        <f>IF(B160="","",IF(SUMIFS(Appointments!$K$6:$K$2005,Appointments!$D$6:$D$2005,B160)=0,"",SUMIFS(Appointments!$K$6:$K$2005,Appointments!$D$6:$D$2005,B160)))</f>
        <v/>
      </c>
      <c r="M160" s="38">
        <f>IF(OR(B160="",SUMIFS(Packages!$E$6:$E$305,Packages!$C$6:$C$305,B160)=0),"",SUMIFS(Packages!$E$6:$E$305,Packages!$C$6:$C$305,B160)-COUNTIFS(Appointments!$D$6:$D$2005,B160,Appointments!$J$6:$J$2005,"Package",Appointments!$F$6:$F$2005,"Done")+IF(Services!$I$6="Yes",COUNTIFS(Appointments!$D$6:$D$2005,B160,Appointments!$J$6:$J$2005,"Package",Appointments!$F$6:$F$2005,"No-show"),0))</f>
        <v/>
      </c>
      <c r="N160" s="18">
        <f>IF(OR(B160="",I160=""),"",IF(AND(J160="",TODAY()-I160&gt;=N(Services!$I$7)),"Not seen for "&amp;(TODAY()-I160)&amp;" days",""))</f>
        <v/>
      </c>
      <c r="O160" s="1">
        <f>IF(N(E160)=0,"",MONTH(E160))</f>
        <v/>
      </c>
    </row>
    <row r="161">
      <c r="A161" s="1" t="n"/>
      <c r="B161" s="35" t="n"/>
      <c r="C161" s="32" t="n"/>
      <c r="D161" s="32" t="n"/>
      <c r="E161" s="36" t="n"/>
      <c r="F161" s="30" t="n"/>
      <c r="G161" s="32" t="n"/>
      <c r="H161" s="26">
        <f>IF(B161="","",COUNTIFS(Appointments!$D$6:$D$2005,B161,Appointments!$F$6:$F$2005,"Done"))</f>
        <v/>
      </c>
      <c r="I161" s="37">
        <f>IF(OR(B161="",N(H161)=0),"",INT(SUMIFS(Appointments!$M$6:$M$2005,Appointments!$D$6:$D$2005,B161,Appointments!$N$6:$N$2005,1)))</f>
        <v/>
      </c>
      <c r="J161" s="37">
        <f>IF(B161="","",IF(SUMIFS(Appointments!$M$6:$M$2005,Appointments!$D$6:$D$2005,B161,Appointments!$O$6:$O$2005,1)=0,"",INT(SUMIFS(Appointments!$M$6:$M$2005,Appointments!$D$6:$D$2005,B161,Appointments!$O$6:$O$2005,1))))</f>
        <v/>
      </c>
      <c r="K161" s="27">
        <f>IF(B161="","",SUMIFS(Appointments!$I$6:$I$2005,Appointments!$D$6:$D$2005,B161)+SUMIFS(Packages!$F$6:$F$305,Packages!$C$6:$C$305,B161))</f>
        <v/>
      </c>
      <c r="L161" s="28">
        <f>IF(B161="","",IF(SUMIFS(Appointments!$K$6:$K$2005,Appointments!$D$6:$D$2005,B161)=0,"",SUMIFS(Appointments!$K$6:$K$2005,Appointments!$D$6:$D$2005,B161)))</f>
        <v/>
      </c>
      <c r="M161" s="38">
        <f>IF(OR(B161="",SUMIFS(Packages!$E$6:$E$305,Packages!$C$6:$C$305,B161)=0),"",SUMIFS(Packages!$E$6:$E$305,Packages!$C$6:$C$305,B161)-COUNTIFS(Appointments!$D$6:$D$2005,B161,Appointments!$J$6:$J$2005,"Package",Appointments!$F$6:$F$2005,"Done")+IF(Services!$I$6="Yes",COUNTIFS(Appointments!$D$6:$D$2005,B161,Appointments!$J$6:$J$2005,"Package",Appointments!$F$6:$F$2005,"No-show"),0))</f>
        <v/>
      </c>
      <c r="N161" s="18">
        <f>IF(OR(B161="",I161=""),"",IF(AND(J161="",TODAY()-I161&gt;=N(Services!$I$7)),"Not seen for "&amp;(TODAY()-I161)&amp;" days",""))</f>
        <v/>
      </c>
      <c r="O161" s="1">
        <f>IF(N(E161)=0,"",MONTH(E161))</f>
        <v/>
      </c>
    </row>
    <row r="162">
      <c r="A162" s="1" t="n"/>
      <c r="B162" s="35" t="n"/>
      <c r="C162" s="32" t="n"/>
      <c r="D162" s="32" t="n"/>
      <c r="E162" s="36" t="n"/>
      <c r="F162" s="30" t="n"/>
      <c r="G162" s="32" t="n"/>
      <c r="H162" s="26">
        <f>IF(B162="","",COUNTIFS(Appointments!$D$6:$D$2005,B162,Appointments!$F$6:$F$2005,"Done"))</f>
        <v/>
      </c>
      <c r="I162" s="37">
        <f>IF(OR(B162="",N(H162)=0),"",INT(SUMIFS(Appointments!$M$6:$M$2005,Appointments!$D$6:$D$2005,B162,Appointments!$N$6:$N$2005,1)))</f>
        <v/>
      </c>
      <c r="J162" s="37">
        <f>IF(B162="","",IF(SUMIFS(Appointments!$M$6:$M$2005,Appointments!$D$6:$D$2005,B162,Appointments!$O$6:$O$2005,1)=0,"",INT(SUMIFS(Appointments!$M$6:$M$2005,Appointments!$D$6:$D$2005,B162,Appointments!$O$6:$O$2005,1))))</f>
        <v/>
      </c>
      <c r="K162" s="27">
        <f>IF(B162="","",SUMIFS(Appointments!$I$6:$I$2005,Appointments!$D$6:$D$2005,B162)+SUMIFS(Packages!$F$6:$F$305,Packages!$C$6:$C$305,B162))</f>
        <v/>
      </c>
      <c r="L162" s="28">
        <f>IF(B162="","",IF(SUMIFS(Appointments!$K$6:$K$2005,Appointments!$D$6:$D$2005,B162)=0,"",SUMIFS(Appointments!$K$6:$K$2005,Appointments!$D$6:$D$2005,B162)))</f>
        <v/>
      </c>
      <c r="M162" s="38">
        <f>IF(OR(B162="",SUMIFS(Packages!$E$6:$E$305,Packages!$C$6:$C$305,B162)=0),"",SUMIFS(Packages!$E$6:$E$305,Packages!$C$6:$C$305,B162)-COUNTIFS(Appointments!$D$6:$D$2005,B162,Appointments!$J$6:$J$2005,"Package",Appointments!$F$6:$F$2005,"Done")+IF(Services!$I$6="Yes",COUNTIFS(Appointments!$D$6:$D$2005,B162,Appointments!$J$6:$J$2005,"Package",Appointments!$F$6:$F$2005,"No-show"),0))</f>
        <v/>
      </c>
      <c r="N162" s="18">
        <f>IF(OR(B162="",I162=""),"",IF(AND(J162="",TODAY()-I162&gt;=N(Services!$I$7)),"Not seen for "&amp;(TODAY()-I162)&amp;" days",""))</f>
        <v/>
      </c>
      <c r="O162" s="1">
        <f>IF(N(E162)=0,"",MONTH(E162))</f>
        <v/>
      </c>
    </row>
    <row r="163">
      <c r="A163" s="1" t="n"/>
      <c r="B163" s="35" t="n"/>
      <c r="C163" s="32" t="n"/>
      <c r="D163" s="32" t="n"/>
      <c r="E163" s="36" t="n"/>
      <c r="F163" s="30" t="n"/>
      <c r="G163" s="32" t="n"/>
      <c r="H163" s="26">
        <f>IF(B163="","",COUNTIFS(Appointments!$D$6:$D$2005,B163,Appointments!$F$6:$F$2005,"Done"))</f>
        <v/>
      </c>
      <c r="I163" s="37">
        <f>IF(OR(B163="",N(H163)=0),"",INT(SUMIFS(Appointments!$M$6:$M$2005,Appointments!$D$6:$D$2005,B163,Appointments!$N$6:$N$2005,1)))</f>
        <v/>
      </c>
      <c r="J163" s="37">
        <f>IF(B163="","",IF(SUMIFS(Appointments!$M$6:$M$2005,Appointments!$D$6:$D$2005,B163,Appointments!$O$6:$O$2005,1)=0,"",INT(SUMIFS(Appointments!$M$6:$M$2005,Appointments!$D$6:$D$2005,B163,Appointments!$O$6:$O$2005,1))))</f>
        <v/>
      </c>
      <c r="K163" s="27">
        <f>IF(B163="","",SUMIFS(Appointments!$I$6:$I$2005,Appointments!$D$6:$D$2005,B163)+SUMIFS(Packages!$F$6:$F$305,Packages!$C$6:$C$305,B163))</f>
        <v/>
      </c>
      <c r="L163" s="28">
        <f>IF(B163="","",IF(SUMIFS(Appointments!$K$6:$K$2005,Appointments!$D$6:$D$2005,B163)=0,"",SUMIFS(Appointments!$K$6:$K$2005,Appointments!$D$6:$D$2005,B163)))</f>
        <v/>
      </c>
      <c r="M163" s="38">
        <f>IF(OR(B163="",SUMIFS(Packages!$E$6:$E$305,Packages!$C$6:$C$305,B163)=0),"",SUMIFS(Packages!$E$6:$E$305,Packages!$C$6:$C$305,B163)-COUNTIFS(Appointments!$D$6:$D$2005,B163,Appointments!$J$6:$J$2005,"Package",Appointments!$F$6:$F$2005,"Done")+IF(Services!$I$6="Yes",COUNTIFS(Appointments!$D$6:$D$2005,B163,Appointments!$J$6:$J$2005,"Package",Appointments!$F$6:$F$2005,"No-show"),0))</f>
        <v/>
      </c>
      <c r="N163" s="18">
        <f>IF(OR(B163="",I163=""),"",IF(AND(J163="",TODAY()-I163&gt;=N(Services!$I$7)),"Not seen for "&amp;(TODAY()-I163)&amp;" days",""))</f>
        <v/>
      </c>
      <c r="O163" s="1">
        <f>IF(N(E163)=0,"",MONTH(E163))</f>
        <v/>
      </c>
    </row>
    <row r="164">
      <c r="A164" s="1" t="n"/>
      <c r="B164" s="35" t="n"/>
      <c r="C164" s="32" t="n"/>
      <c r="D164" s="32" t="n"/>
      <c r="E164" s="36" t="n"/>
      <c r="F164" s="30" t="n"/>
      <c r="G164" s="32" t="n"/>
      <c r="H164" s="26">
        <f>IF(B164="","",COUNTIFS(Appointments!$D$6:$D$2005,B164,Appointments!$F$6:$F$2005,"Done"))</f>
        <v/>
      </c>
      <c r="I164" s="37">
        <f>IF(OR(B164="",N(H164)=0),"",INT(SUMIFS(Appointments!$M$6:$M$2005,Appointments!$D$6:$D$2005,B164,Appointments!$N$6:$N$2005,1)))</f>
        <v/>
      </c>
      <c r="J164" s="37">
        <f>IF(B164="","",IF(SUMIFS(Appointments!$M$6:$M$2005,Appointments!$D$6:$D$2005,B164,Appointments!$O$6:$O$2005,1)=0,"",INT(SUMIFS(Appointments!$M$6:$M$2005,Appointments!$D$6:$D$2005,B164,Appointments!$O$6:$O$2005,1))))</f>
        <v/>
      </c>
      <c r="K164" s="27">
        <f>IF(B164="","",SUMIFS(Appointments!$I$6:$I$2005,Appointments!$D$6:$D$2005,B164)+SUMIFS(Packages!$F$6:$F$305,Packages!$C$6:$C$305,B164))</f>
        <v/>
      </c>
      <c r="L164" s="28">
        <f>IF(B164="","",IF(SUMIFS(Appointments!$K$6:$K$2005,Appointments!$D$6:$D$2005,B164)=0,"",SUMIFS(Appointments!$K$6:$K$2005,Appointments!$D$6:$D$2005,B164)))</f>
        <v/>
      </c>
      <c r="M164" s="38">
        <f>IF(OR(B164="",SUMIFS(Packages!$E$6:$E$305,Packages!$C$6:$C$305,B164)=0),"",SUMIFS(Packages!$E$6:$E$305,Packages!$C$6:$C$305,B164)-COUNTIFS(Appointments!$D$6:$D$2005,B164,Appointments!$J$6:$J$2005,"Package",Appointments!$F$6:$F$2005,"Done")+IF(Services!$I$6="Yes",COUNTIFS(Appointments!$D$6:$D$2005,B164,Appointments!$J$6:$J$2005,"Package",Appointments!$F$6:$F$2005,"No-show"),0))</f>
        <v/>
      </c>
      <c r="N164" s="18">
        <f>IF(OR(B164="",I164=""),"",IF(AND(J164="",TODAY()-I164&gt;=N(Services!$I$7)),"Not seen for "&amp;(TODAY()-I164)&amp;" days",""))</f>
        <v/>
      </c>
      <c r="O164" s="1">
        <f>IF(N(E164)=0,"",MONTH(E164))</f>
        <v/>
      </c>
    </row>
    <row r="165">
      <c r="A165" s="1" t="n"/>
      <c r="B165" s="35" t="n"/>
      <c r="C165" s="32" t="n"/>
      <c r="D165" s="32" t="n"/>
      <c r="E165" s="36" t="n"/>
      <c r="F165" s="30" t="n"/>
      <c r="G165" s="32" t="n"/>
      <c r="H165" s="26">
        <f>IF(B165="","",COUNTIFS(Appointments!$D$6:$D$2005,B165,Appointments!$F$6:$F$2005,"Done"))</f>
        <v/>
      </c>
      <c r="I165" s="37">
        <f>IF(OR(B165="",N(H165)=0),"",INT(SUMIFS(Appointments!$M$6:$M$2005,Appointments!$D$6:$D$2005,B165,Appointments!$N$6:$N$2005,1)))</f>
        <v/>
      </c>
      <c r="J165" s="37">
        <f>IF(B165="","",IF(SUMIFS(Appointments!$M$6:$M$2005,Appointments!$D$6:$D$2005,B165,Appointments!$O$6:$O$2005,1)=0,"",INT(SUMIFS(Appointments!$M$6:$M$2005,Appointments!$D$6:$D$2005,B165,Appointments!$O$6:$O$2005,1))))</f>
        <v/>
      </c>
      <c r="K165" s="27">
        <f>IF(B165="","",SUMIFS(Appointments!$I$6:$I$2005,Appointments!$D$6:$D$2005,B165)+SUMIFS(Packages!$F$6:$F$305,Packages!$C$6:$C$305,B165))</f>
        <v/>
      </c>
      <c r="L165" s="28">
        <f>IF(B165="","",IF(SUMIFS(Appointments!$K$6:$K$2005,Appointments!$D$6:$D$2005,B165)=0,"",SUMIFS(Appointments!$K$6:$K$2005,Appointments!$D$6:$D$2005,B165)))</f>
        <v/>
      </c>
      <c r="M165" s="38">
        <f>IF(OR(B165="",SUMIFS(Packages!$E$6:$E$305,Packages!$C$6:$C$305,B165)=0),"",SUMIFS(Packages!$E$6:$E$305,Packages!$C$6:$C$305,B165)-COUNTIFS(Appointments!$D$6:$D$2005,B165,Appointments!$J$6:$J$2005,"Package",Appointments!$F$6:$F$2005,"Done")+IF(Services!$I$6="Yes",COUNTIFS(Appointments!$D$6:$D$2005,B165,Appointments!$J$6:$J$2005,"Package",Appointments!$F$6:$F$2005,"No-show"),0))</f>
        <v/>
      </c>
      <c r="N165" s="18">
        <f>IF(OR(B165="",I165=""),"",IF(AND(J165="",TODAY()-I165&gt;=N(Services!$I$7)),"Not seen for "&amp;(TODAY()-I165)&amp;" days",""))</f>
        <v/>
      </c>
      <c r="O165" s="1">
        <f>IF(N(E165)=0,"",MONTH(E165))</f>
        <v/>
      </c>
    </row>
    <row r="166">
      <c r="A166" s="1" t="n"/>
      <c r="B166" s="35" t="n"/>
      <c r="C166" s="32" t="n"/>
      <c r="D166" s="32" t="n"/>
      <c r="E166" s="36" t="n"/>
      <c r="F166" s="30" t="n"/>
      <c r="G166" s="32" t="n"/>
      <c r="H166" s="26">
        <f>IF(B166="","",COUNTIFS(Appointments!$D$6:$D$2005,B166,Appointments!$F$6:$F$2005,"Done"))</f>
        <v/>
      </c>
      <c r="I166" s="37">
        <f>IF(OR(B166="",N(H166)=0),"",INT(SUMIFS(Appointments!$M$6:$M$2005,Appointments!$D$6:$D$2005,B166,Appointments!$N$6:$N$2005,1)))</f>
        <v/>
      </c>
      <c r="J166" s="37">
        <f>IF(B166="","",IF(SUMIFS(Appointments!$M$6:$M$2005,Appointments!$D$6:$D$2005,B166,Appointments!$O$6:$O$2005,1)=0,"",INT(SUMIFS(Appointments!$M$6:$M$2005,Appointments!$D$6:$D$2005,B166,Appointments!$O$6:$O$2005,1))))</f>
        <v/>
      </c>
      <c r="K166" s="27">
        <f>IF(B166="","",SUMIFS(Appointments!$I$6:$I$2005,Appointments!$D$6:$D$2005,B166)+SUMIFS(Packages!$F$6:$F$305,Packages!$C$6:$C$305,B166))</f>
        <v/>
      </c>
      <c r="L166" s="28">
        <f>IF(B166="","",IF(SUMIFS(Appointments!$K$6:$K$2005,Appointments!$D$6:$D$2005,B166)=0,"",SUMIFS(Appointments!$K$6:$K$2005,Appointments!$D$6:$D$2005,B166)))</f>
        <v/>
      </c>
      <c r="M166" s="38">
        <f>IF(OR(B166="",SUMIFS(Packages!$E$6:$E$305,Packages!$C$6:$C$305,B166)=0),"",SUMIFS(Packages!$E$6:$E$305,Packages!$C$6:$C$305,B166)-COUNTIFS(Appointments!$D$6:$D$2005,B166,Appointments!$J$6:$J$2005,"Package",Appointments!$F$6:$F$2005,"Done")+IF(Services!$I$6="Yes",COUNTIFS(Appointments!$D$6:$D$2005,B166,Appointments!$J$6:$J$2005,"Package",Appointments!$F$6:$F$2005,"No-show"),0))</f>
        <v/>
      </c>
      <c r="N166" s="18">
        <f>IF(OR(B166="",I166=""),"",IF(AND(J166="",TODAY()-I166&gt;=N(Services!$I$7)),"Not seen for "&amp;(TODAY()-I166)&amp;" days",""))</f>
        <v/>
      </c>
      <c r="O166" s="1">
        <f>IF(N(E166)=0,"",MONTH(E166))</f>
        <v/>
      </c>
    </row>
    <row r="167">
      <c r="A167" s="1" t="n"/>
      <c r="B167" s="35" t="n"/>
      <c r="C167" s="32" t="n"/>
      <c r="D167" s="32" t="n"/>
      <c r="E167" s="36" t="n"/>
      <c r="F167" s="30" t="n"/>
      <c r="G167" s="32" t="n"/>
      <c r="H167" s="26">
        <f>IF(B167="","",COUNTIFS(Appointments!$D$6:$D$2005,B167,Appointments!$F$6:$F$2005,"Done"))</f>
        <v/>
      </c>
      <c r="I167" s="37">
        <f>IF(OR(B167="",N(H167)=0),"",INT(SUMIFS(Appointments!$M$6:$M$2005,Appointments!$D$6:$D$2005,B167,Appointments!$N$6:$N$2005,1)))</f>
        <v/>
      </c>
      <c r="J167" s="37">
        <f>IF(B167="","",IF(SUMIFS(Appointments!$M$6:$M$2005,Appointments!$D$6:$D$2005,B167,Appointments!$O$6:$O$2005,1)=0,"",INT(SUMIFS(Appointments!$M$6:$M$2005,Appointments!$D$6:$D$2005,B167,Appointments!$O$6:$O$2005,1))))</f>
        <v/>
      </c>
      <c r="K167" s="27">
        <f>IF(B167="","",SUMIFS(Appointments!$I$6:$I$2005,Appointments!$D$6:$D$2005,B167)+SUMIFS(Packages!$F$6:$F$305,Packages!$C$6:$C$305,B167))</f>
        <v/>
      </c>
      <c r="L167" s="28">
        <f>IF(B167="","",IF(SUMIFS(Appointments!$K$6:$K$2005,Appointments!$D$6:$D$2005,B167)=0,"",SUMIFS(Appointments!$K$6:$K$2005,Appointments!$D$6:$D$2005,B167)))</f>
        <v/>
      </c>
      <c r="M167" s="38">
        <f>IF(OR(B167="",SUMIFS(Packages!$E$6:$E$305,Packages!$C$6:$C$305,B167)=0),"",SUMIFS(Packages!$E$6:$E$305,Packages!$C$6:$C$305,B167)-COUNTIFS(Appointments!$D$6:$D$2005,B167,Appointments!$J$6:$J$2005,"Package",Appointments!$F$6:$F$2005,"Done")+IF(Services!$I$6="Yes",COUNTIFS(Appointments!$D$6:$D$2005,B167,Appointments!$J$6:$J$2005,"Package",Appointments!$F$6:$F$2005,"No-show"),0))</f>
        <v/>
      </c>
      <c r="N167" s="18">
        <f>IF(OR(B167="",I167=""),"",IF(AND(J167="",TODAY()-I167&gt;=N(Services!$I$7)),"Not seen for "&amp;(TODAY()-I167)&amp;" days",""))</f>
        <v/>
      </c>
      <c r="O167" s="1">
        <f>IF(N(E167)=0,"",MONTH(E167))</f>
        <v/>
      </c>
    </row>
    <row r="168">
      <c r="A168" s="1" t="n"/>
      <c r="B168" s="35" t="n"/>
      <c r="C168" s="32" t="n"/>
      <c r="D168" s="32" t="n"/>
      <c r="E168" s="36" t="n"/>
      <c r="F168" s="30" t="n"/>
      <c r="G168" s="32" t="n"/>
      <c r="H168" s="26">
        <f>IF(B168="","",COUNTIFS(Appointments!$D$6:$D$2005,B168,Appointments!$F$6:$F$2005,"Done"))</f>
        <v/>
      </c>
      <c r="I168" s="37">
        <f>IF(OR(B168="",N(H168)=0),"",INT(SUMIFS(Appointments!$M$6:$M$2005,Appointments!$D$6:$D$2005,B168,Appointments!$N$6:$N$2005,1)))</f>
        <v/>
      </c>
      <c r="J168" s="37">
        <f>IF(B168="","",IF(SUMIFS(Appointments!$M$6:$M$2005,Appointments!$D$6:$D$2005,B168,Appointments!$O$6:$O$2005,1)=0,"",INT(SUMIFS(Appointments!$M$6:$M$2005,Appointments!$D$6:$D$2005,B168,Appointments!$O$6:$O$2005,1))))</f>
        <v/>
      </c>
      <c r="K168" s="27">
        <f>IF(B168="","",SUMIFS(Appointments!$I$6:$I$2005,Appointments!$D$6:$D$2005,B168)+SUMIFS(Packages!$F$6:$F$305,Packages!$C$6:$C$305,B168))</f>
        <v/>
      </c>
      <c r="L168" s="28">
        <f>IF(B168="","",IF(SUMIFS(Appointments!$K$6:$K$2005,Appointments!$D$6:$D$2005,B168)=0,"",SUMIFS(Appointments!$K$6:$K$2005,Appointments!$D$6:$D$2005,B168)))</f>
        <v/>
      </c>
      <c r="M168" s="38">
        <f>IF(OR(B168="",SUMIFS(Packages!$E$6:$E$305,Packages!$C$6:$C$305,B168)=0),"",SUMIFS(Packages!$E$6:$E$305,Packages!$C$6:$C$305,B168)-COUNTIFS(Appointments!$D$6:$D$2005,B168,Appointments!$J$6:$J$2005,"Package",Appointments!$F$6:$F$2005,"Done")+IF(Services!$I$6="Yes",COUNTIFS(Appointments!$D$6:$D$2005,B168,Appointments!$J$6:$J$2005,"Package",Appointments!$F$6:$F$2005,"No-show"),0))</f>
        <v/>
      </c>
      <c r="N168" s="18">
        <f>IF(OR(B168="",I168=""),"",IF(AND(J168="",TODAY()-I168&gt;=N(Services!$I$7)),"Not seen for "&amp;(TODAY()-I168)&amp;" days",""))</f>
        <v/>
      </c>
      <c r="O168" s="1">
        <f>IF(N(E168)=0,"",MONTH(E168))</f>
        <v/>
      </c>
    </row>
    <row r="169">
      <c r="A169" s="1" t="n"/>
      <c r="B169" s="35" t="n"/>
      <c r="C169" s="32" t="n"/>
      <c r="D169" s="32" t="n"/>
      <c r="E169" s="36" t="n"/>
      <c r="F169" s="30" t="n"/>
      <c r="G169" s="32" t="n"/>
      <c r="H169" s="26">
        <f>IF(B169="","",COUNTIFS(Appointments!$D$6:$D$2005,B169,Appointments!$F$6:$F$2005,"Done"))</f>
        <v/>
      </c>
      <c r="I169" s="37">
        <f>IF(OR(B169="",N(H169)=0),"",INT(SUMIFS(Appointments!$M$6:$M$2005,Appointments!$D$6:$D$2005,B169,Appointments!$N$6:$N$2005,1)))</f>
        <v/>
      </c>
      <c r="J169" s="37">
        <f>IF(B169="","",IF(SUMIFS(Appointments!$M$6:$M$2005,Appointments!$D$6:$D$2005,B169,Appointments!$O$6:$O$2005,1)=0,"",INT(SUMIFS(Appointments!$M$6:$M$2005,Appointments!$D$6:$D$2005,B169,Appointments!$O$6:$O$2005,1))))</f>
        <v/>
      </c>
      <c r="K169" s="27">
        <f>IF(B169="","",SUMIFS(Appointments!$I$6:$I$2005,Appointments!$D$6:$D$2005,B169)+SUMIFS(Packages!$F$6:$F$305,Packages!$C$6:$C$305,B169))</f>
        <v/>
      </c>
      <c r="L169" s="28">
        <f>IF(B169="","",IF(SUMIFS(Appointments!$K$6:$K$2005,Appointments!$D$6:$D$2005,B169)=0,"",SUMIFS(Appointments!$K$6:$K$2005,Appointments!$D$6:$D$2005,B169)))</f>
        <v/>
      </c>
      <c r="M169" s="38">
        <f>IF(OR(B169="",SUMIFS(Packages!$E$6:$E$305,Packages!$C$6:$C$305,B169)=0),"",SUMIFS(Packages!$E$6:$E$305,Packages!$C$6:$C$305,B169)-COUNTIFS(Appointments!$D$6:$D$2005,B169,Appointments!$J$6:$J$2005,"Package",Appointments!$F$6:$F$2005,"Done")+IF(Services!$I$6="Yes",COUNTIFS(Appointments!$D$6:$D$2005,B169,Appointments!$J$6:$J$2005,"Package",Appointments!$F$6:$F$2005,"No-show"),0))</f>
        <v/>
      </c>
      <c r="N169" s="18">
        <f>IF(OR(B169="",I169=""),"",IF(AND(J169="",TODAY()-I169&gt;=N(Services!$I$7)),"Not seen for "&amp;(TODAY()-I169)&amp;" days",""))</f>
        <v/>
      </c>
      <c r="O169" s="1">
        <f>IF(N(E169)=0,"",MONTH(E169))</f>
        <v/>
      </c>
    </row>
    <row r="170">
      <c r="A170" s="1" t="n"/>
      <c r="B170" s="35" t="n"/>
      <c r="C170" s="32" t="n"/>
      <c r="D170" s="32" t="n"/>
      <c r="E170" s="36" t="n"/>
      <c r="F170" s="30" t="n"/>
      <c r="G170" s="32" t="n"/>
      <c r="H170" s="26">
        <f>IF(B170="","",COUNTIFS(Appointments!$D$6:$D$2005,B170,Appointments!$F$6:$F$2005,"Done"))</f>
        <v/>
      </c>
      <c r="I170" s="37">
        <f>IF(OR(B170="",N(H170)=0),"",INT(SUMIFS(Appointments!$M$6:$M$2005,Appointments!$D$6:$D$2005,B170,Appointments!$N$6:$N$2005,1)))</f>
        <v/>
      </c>
      <c r="J170" s="37">
        <f>IF(B170="","",IF(SUMIFS(Appointments!$M$6:$M$2005,Appointments!$D$6:$D$2005,B170,Appointments!$O$6:$O$2005,1)=0,"",INT(SUMIFS(Appointments!$M$6:$M$2005,Appointments!$D$6:$D$2005,B170,Appointments!$O$6:$O$2005,1))))</f>
        <v/>
      </c>
      <c r="K170" s="27">
        <f>IF(B170="","",SUMIFS(Appointments!$I$6:$I$2005,Appointments!$D$6:$D$2005,B170)+SUMIFS(Packages!$F$6:$F$305,Packages!$C$6:$C$305,B170))</f>
        <v/>
      </c>
      <c r="L170" s="28">
        <f>IF(B170="","",IF(SUMIFS(Appointments!$K$6:$K$2005,Appointments!$D$6:$D$2005,B170)=0,"",SUMIFS(Appointments!$K$6:$K$2005,Appointments!$D$6:$D$2005,B170)))</f>
        <v/>
      </c>
      <c r="M170" s="38">
        <f>IF(OR(B170="",SUMIFS(Packages!$E$6:$E$305,Packages!$C$6:$C$305,B170)=0),"",SUMIFS(Packages!$E$6:$E$305,Packages!$C$6:$C$305,B170)-COUNTIFS(Appointments!$D$6:$D$2005,B170,Appointments!$J$6:$J$2005,"Package",Appointments!$F$6:$F$2005,"Done")+IF(Services!$I$6="Yes",COUNTIFS(Appointments!$D$6:$D$2005,B170,Appointments!$J$6:$J$2005,"Package",Appointments!$F$6:$F$2005,"No-show"),0))</f>
        <v/>
      </c>
      <c r="N170" s="18">
        <f>IF(OR(B170="",I170=""),"",IF(AND(J170="",TODAY()-I170&gt;=N(Services!$I$7)),"Not seen for "&amp;(TODAY()-I170)&amp;" days",""))</f>
        <v/>
      </c>
      <c r="O170" s="1">
        <f>IF(N(E170)=0,"",MONTH(E170))</f>
        <v/>
      </c>
    </row>
    <row r="171">
      <c r="A171" s="1" t="n"/>
      <c r="B171" s="35" t="n"/>
      <c r="C171" s="32" t="n"/>
      <c r="D171" s="32" t="n"/>
      <c r="E171" s="36" t="n"/>
      <c r="F171" s="30" t="n"/>
      <c r="G171" s="32" t="n"/>
      <c r="H171" s="26">
        <f>IF(B171="","",COUNTIFS(Appointments!$D$6:$D$2005,B171,Appointments!$F$6:$F$2005,"Done"))</f>
        <v/>
      </c>
      <c r="I171" s="37">
        <f>IF(OR(B171="",N(H171)=0),"",INT(SUMIFS(Appointments!$M$6:$M$2005,Appointments!$D$6:$D$2005,B171,Appointments!$N$6:$N$2005,1)))</f>
        <v/>
      </c>
      <c r="J171" s="37">
        <f>IF(B171="","",IF(SUMIFS(Appointments!$M$6:$M$2005,Appointments!$D$6:$D$2005,B171,Appointments!$O$6:$O$2005,1)=0,"",INT(SUMIFS(Appointments!$M$6:$M$2005,Appointments!$D$6:$D$2005,B171,Appointments!$O$6:$O$2005,1))))</f>
        <v/>
      </c>
      <c r="K171" s="27">
        <f>IF(B171="","",SUMIFS(Appointments!$I$6:$I$2005,Appointments!$D$6:$D$2005,B171)+SUMIFS(Packages!$F$6:$F$305,Packages!$C$6:$C$305,B171))</f>
        <v/>
      </c>
      <c r="L171" s="28">
        <f>IF(B171="","",IF(SUMIFS(Appointments!$K$6:$K$2005,Appointments!$D$6:$D$2005,B171)=0,"",SUMIFS(Appointments!$K$6:$K$2005,Appointments!$D$6:$D$2005,B171)))</f>
        <v/>
      </c>
      <c r="M171" s="38">
        <f>IF(OR(B171="",SUMIFS(Packages!$E$6:$E$305,Packages!$C$6:$C$305,B171)=0),"",SUMIFS(Packages!$E$6:$E$305,Packages!$C$6:$C$305,B171)-COUNTIFS(Appointments!$D$6:$D$2005,B171,Appointments!$J$6:$J$2005,"Package",Appointments!$F$6:$F$2005,"Done")+IF(Services!$I$6="Yes",COUNTIFS(Appointments!$D$6:$D$2005,B171,Appointments!$J$6:$J$2005,"Package",Appointments!$F$6:$F$2005,"No-show"),0))</f>
        <v/>
      </c>
      <c r="N171" s="18">
        <f>IF(OR(B171="",I171=""),"",IF(AND(J171="",TODAY()-I171&gt;=N(Services!$I$7)),"Not seen for "&amp;(TODAY()-I171)&amp;" days",""))</f>
        <v/>
      </c>
      <c r="O171" s="1">
        <f>IF(N(E171)=0,"",MONTH(E171))</f>
        <v/>
      </c>
    </row>
    <row r="172">
      <c r="A172" s="1" t="n"/>
      <c r="B172" s="35" t="n"/>
      <c r="C172" s="32" t="n"/>
      <c r="D172" s="32" t="n"/>
      <c r="E172" s="36" t="n"/>
      <c r="F172" s="30" t="n"/>
      <c r="G172" s="32" t="n"/>
      <c r="H172" s="26">
        <f>IF(B172="","",COUNTIFS(Appointments!$D$6:$D$2005,B172,Appointments!$F$6:$F$2005,"Done"))</f>
        <v/>
      </c>
      <c r="I172" s="37">
        <f>IF(OR(B172="",N(H172)=0),"",INT(SUMIFS(Appointments!$M$6:$M$2005,Appointments!$D$6:$D$2005,B172,Appointments!$N$6:$N$2005,1)))</f>
        <v/>
      </c>
      <c r="J172" s="37">
        <f>IF(B172="","",IF(SUMIFS(Appointments!$M$6:$M$2005,Appointments!$D$6:$D$2005,B172,Appointments!$O$6:$O$2005,1)=0,"",INT(SUMIFS(Appointments!$M$6:$M$2005,Appointments!$D$6:$D$2005,B172,Appointments!$O$6:$O$2005,1))))</f>
        <v/>
      </c>
      <c r="K172" s="27">
        <f>IF(B172="","",SUMIFS(Appointments!$I$6:$I$2005,Appointments!$D$6:$D$2005,B172)+SUMIFS(Packages!$F$6:$F$305,Packages!$C$6:$C$305,B172))</f>
        <v/>
      </c>
      <c r="L172" s="28">
        <f>IF(B172="","",IF(SUMIFS(Appointments!$K$6:$K$2005,Appointments!$D$6:$D$2005,B172)=0,"",SUMIFS(Appointments!$K$6:$K$2005,Appointments!$D$6:$D$2005,B172)))</f>
        <v/>
      </c>
      <c r="M172" s="38">
        <f>IF(OR(B172="",SUMIFS(Packages!$E$6:$E$305,Packages!$C$6:$C$305,B172)=0),"",SUMIFS(Packages!$E$6:$E$305,Packages!$C$6:$C$305,B172)-COUNTIFS(Appointments!$D$6:$D$2005,B172,Appointments!$J$6:$J$2005,"Package",Appointments!$F$6:$F$2005,"Done")+IF(Services!$I$6="Yes",COUNTIFS(Appointments!$D$6:$D$2005,B172,Appointments!$J$6:$J$2005,"Package",Appointments!$F$6:$F$2005,"No-show"),0))</f>
        <v/>
      </c>
      <c r="N172" s="18">
        <f>IF(OR(B172="",I172=""),"",IF(AND(J172="",TODAY()-I172&gt;=N(Services!$I$7)),"Not seen for "&amp;(TODAY()-I172)&amp;" days",""))</f>
        <v/>
      </c>
      <c r="O172" s="1">
        <f>IF(N(E172)=0,"",MONTH(E172))</f>
        <v/>
      </c>
    </row>
    <row r="173">
      <c r="A173" s="1" t="n"/>
      <c r="B173" s="35" t="n"/>
      <c r="C173" s="32" t="n"/>
      <c r="D173" s="32" t="n"/>
      <c r="E173" s="36" t="n"/>
      <c r="F173" s="30" t="n"/>
      <c r="G173" s="32" t="n"/>
      <c r="H173" s="26">
        <f>IF(B173="","",COUNTIFS(Appointments!$D$6:$D$2005,B173,Appointments!$F$6:$F$2005,"Done"))</f>
        <v/>
      </c>
      <c r="I173" s="37">
        <f>IF(OR(B173="",N(H173)=0),"",INT(SUMIFS(Appointments!$M$6:$M$2005,Appointments!$D$6:$D$2005,B173,Appointments!$N$6:$N$2005,1)))</f>
        <v/>
      </c>
      <c r="J173" s="37">
        <f>IF(B173="","",IF(SUMIFS(Appointments!$M$6:$M$2005,Appointments!$D$6:$D$2005,B173,Appointments!$O$6:$O$2005,1)=0,"",INT(SUMIFS(Appointments!$M$6:$M$2005,Appointments!$D$6:$D$2005,B173,Appointments!$O$6:$O$2005,1))))</f>
        <v/>
      </c>
      <c r="K173" s="27">
        <f>IF(B173="","",SUMIFS(Appointments!$I$6:$I$2005,Appointments!$D$6:$D$2005,B173)+SUMIFS(Packages!$F$6:$F$305,Packages!$C$6:$C$305,B173))</f>
        <v/>
      </c>
      <c r="L173" s="28">
        <f>IF(B173="","",IF(SUMIFS(Appointments!$K$6:$K$2005,Appointments!$D$6:$D$2005,B173)=0,"",SUMIFS(Appointments!$K$6:$K$2005,Appointments!$D$6:$D$2005,B173)))</f>
        <v/>
      </c>
      <c r="M173" s="38">
        <f>IF(OR(B173="",SUMIFS(Packages!$E$6:$E$305,Packages!$C$6:$C$305,B173)=0),"",SUMIFS(Packages!$E$6:$E$305,Packages!$C$6:$C$305,B173)-COUNTIFS(Appointments!$D$6:$D$2005,B173,Appointments!$J$6:$J$2005,"Package",Appointments!$F$6:$F$2005,"Done")+IF(Services!$I$6="Yes",COUNTIFS(Appointments!$D$6:$D$2005,B173,Appointments!$J$6:$J$2005,"Package",Appointments!$F$6:$F$2005,"No-show"),0))</f>
        <v/>
      </c>
      <c r="N173" s="18">
        <f>IF(OR(B173="",I173=""),"",IF(AND(J173="",TODAY()-I173&gt;=N(Services!$I$7)),"Not seen for "&amp;(TODAY()-I173)&amp;" days",""))</f>
        <v/>
      </c>
      <c r="O173" s="1">
        <f>IF(N(E173)=0,"",MONTH(E173))</f>
        <v/>
      </c>
    </row>
    <row r="174">
      <c r="A174" s="1" t="n"/>
      <c r="B174" s="35" t="n"/>
      <c r="C174" s="32" t="n"/>
      <c r="D174" s="32" t="n"/>
      <c r="E174" s="36" t="n"/>
      <c r="F174" s="30" t="n"/>
      <c r="G174" s="32" t="n"/>
      <c r="H174" s="26">
        <f>IF(B174="","",COUNTIFS(Appointments!$D$6:$D$2005,B174,Appointments!$F$6:$F$2005,"Done"))</f>
        <v/>
      </c>
      <c r="I174" s="37">
        <f>IF(OR(B174="",N(H174)=0),"",INT(SUMIFS(Appointments!$M$6:$M$2005,Appointments!$D$6:$D$2005,B174,Appointments!$N$6:$N$2005,1)))</f>
        <v/>
      </c>
      <c r="J174" s="37">
        <f>IF(B174="","",IF(SUMIFS(Appointments!$M$6:$M$2005,Appointments!$D$6:$D$2005,B174,Appointments!$O$6:$O$2005,1)=0,"",INT(SUMIFS(Appointments!$M$6:$M$2005,Appointments!$D$6:$D$2005,B174,Appointments!$O$6:$O$2005,1))))</f>
        <v/>
      </c>
      <c r="K174" s="27">
        <f>IF(B174="","",SUMIFS(Appointments!$I$6:$I$2005,Appointments!$D$6:$D$2005,B174)+SUMIFS(Packages!$F$6:$F$305,Packages!$C$6:$C$305,B174))</f>
        <v/>
      </c>
      <c r="L174" s="28">
        <f>IF(B174="","",IF(SUMIFS(Appointments!$K$6:$K$2005,Appointments!$D$6:$D$2005,B174)=0,"",SUMIFS(Appointments!$K$6:$K$2005,Appointments!$D$6:$D$2005,B174)))</f>
        <v/>
      </c>
      <c r="M174" s="38">
        <f>IF(OR(B174="",SUMIFS(Packages!$E$6:$E$305,Packages!$C$6:$C$305,B174)=0),"",SUMIFS(Packages!$E$6:$E$305,Packages!$C$6:$C$305,B174)-COUNTIFS(Appointments!$D$6:$D$2005,B174,Appointments!$J$6:$J$2005,"Package",Appointments!$F$6:$F$2005,"Done")+IF(Services!$I$6="Yes",COUNTIFS(Appointments!$D$6:$D$2005,B174,Appointments!$J$6:$J$2005,"Package",Appointments!$F$6:$F$2005,"No-show"),0))</f>
        <v/>
      </c>
      <c r="N174" s="18">
        <f>IF(OR(B174="",I174=""),"",IF(AND(J174="",TODAY()-I174&gt;=N(Services!$I$7)),"Not seen for "&amp;(TODAY()-I174)&amp;" days",""))</f>
        <v/>
      </c>
      <c r="O174" s="1">
        <f>IF(N(E174)=0,"",MONTH(E174))</f>
        <v/>
      </c>
    </row>
    <row r="175">
      <c r="A175" s="1" t="n"/>
      <c r="B175" s="35" t="n"/>
      <c r="C175" s="32" t="n"/>
      <c r="D175" s="32" t="n"/>
      <c r="E175" s="36" t="n"/>
      <c r="F175" s="30" t="n"/>
      <c r="G175" s="32" t="n"/>
      <c r="H175" s="26">
        <f>IF(B175="","",COUNTIFS(Appointments!$D$6:$D$2005,B175,Appointments!$F$6:$F$2005,"Done"))</f>
        <v/>
      </c>
      <c r="I175" s="37">
        <f>IF(OR(B175="",N(H175)=0),"",INT(SUMIFS(Appointments!$M$6:$M$2005,Appointments!$D$6:$D$2005,B175,Appointments!$N$6:$N$2005,1)))</f>
        <v/>
      </c>
      <c r="J175" s="37">
        <f>IF(B175="","",IF(SUMIFS(Appointments!$M$6:$M$2005,Appointments!$D$6:$D$2005,B175,Appointments!$O$6:$O$2005,1)=0,"",INT(SUMIFS(Appointments!$M$6:$M$2005,Appointments!$D$6:$D$2005,B175,Appointments!$O$6:$O$2005,1))))</f>
        <v/>
      </c>
      <c r="K175" s="27">
        <f>IF(B175="","",SUMIFS(Appointments!$I$6:$I$2005,Appointments!$D$6:$D$2005,B175)+SUMIFS(Packages!$F$6:$F$305,Packages!$C$6:$C$305,B175))</f>
        <v/>
      </c>
      <c r="L175" s="28">
        <f>IF(B175="","",IF(SUMIFS(Appointments!$K$6:$K$2005,Appointments!$D$6:$D$2005,B175)=0,"",SUMIFS(Appointments!$K$6:$K$2005,Appointments!$D$6:$D$2005,B175)))</f>
        <v/>
      </c>
      <c r="M175" s="38">
        <f>IF(OR(B175="",SUMIFS(Packages!$E$6:$E$305,Packages!$C$6:$C$305,B175)=0),"",SUMIFS(Packages!$E$6:$E$305,Packages!$C$6:$C$305,B175)-COUNTIFS(Appointments!$D$6:$D$2005,B175,Appointments!$J$6:$J$2005,"Package",Appointments!$F$6:$F$2005,"Done")+IF(Services!$I$6="Yes",COUNTIFS(Appointments!$D$6:$D$2005,B175,Appointments!$J$6:$J$2005,"Package",Appointments!$F$6:$F$2005,"No-show"),0))</f>
        <v/>
      </c>
      <c r="N175" s="18">
        <f>IF(OR(B175="",I175=""),"",IF(AND(J175="",TODAY()-I175&gt;=N(Services!$I$7)),"Not seen for "&amp;(TODAY()-I175)&amp;" days",""))</f>
        <v/>
      </c>
      <c r="O175" s="1">
        <f>IF(N(E175)=0,"",MONTH(E175))</f>
        <v/>
      </c>
    </row>
    <row r="176">
      <c r="A176" s="1" t="n"/>
      <c r="B176" s="35" t="n"/>
      <c r="C176" s="32" t="n"/>
      <c r="D176" s="32" t="n"/>
      <c r="E176" s="36" t="n"/>
      <c r="F176" s="30" t="n"/>
      <c r="G176" s="32" t="n"/>
      <c r="H176" s="26">
        <f>IF(B176="","",COUNTIFS(Appointments!$D$6:$D$2005,B176,Appointments!$F$6:$F$2005,"Done"))</f>
        <v/>
      </c>
      <c r="I176" s="37">
        <f>IF(OR(B176="",N(H176)=0),"",INT(SUMIFS(Appointments!$M$6:$M$2005,Appointments!$D$6:$D$2005,B176,Appointments!$N$6:$N$2005,1)))</f>
        <v/>
      </c>
      <c r="J176" s="37">
        <f>IF(B176="","",IF(SUMIFS(Appointments!$M$6:$M$2005,Appointments!$D$6:$D$2005,B176,Appointments!$O$6:$O$2005,1)=0,"",INT(SUMIFS(Appointments!$M$6:$M$2005,Appointments!$D$6:$D$2005,B176,Appointments!$O$6:$O$2005,1))))</f>
        <v/>
      </c>
      <c r="K176" s="27">
        <f>IF(B176="","",SUMIFS(Appointments!$I$6:$I$2005,Appointments!$D$6:$D$2005,B176)+SUMIFS(Packages!$F$6:$F$305,Packages!$C$6:$C$305,B176))</f>
        <v/>
      </c>
      <c r="L176" s="28">
        <f>IF(B176="","",IF(SUMIFS(Appointments!$K$6:$K$2005,Appointments!$D$6:$D$2005,B176)=0,"",SUMIFS(Appointments!$K$6:$K$2005,Appointments!$D$6:$D$2005,B176)))</f>
        <v/>
      </c>
      <c r="M176" s="38">
        <f>IF(OR(B176="",SUMIFS(Packages!$E$6:$E$305,Packages!$C$6:$C$305,B176)=0),"",SUMIFS(Packages!$E$6:$E$305,Packages!$C$6:$C$305,B176)-COUNTIFS(Appointments!$D$6:$D$2005,B176,Appointments!$J$6:$J$2005,"Package",Appointments!$F$6:$F$2005,"Done")+IF(Services!$I$6="Yes",COUNTIFS(Appointments!$D$6:$D$2005,B176,Appointments!$J$6:$J$2005,"Package",Appointments!$F$6:$F$2005,"No-show"),0))</f>
        <v/>
      </c>
      <c r="N176" s="18">
        <f>IF(OR(B176="",I176=""),"",IF(AND(J176="",TODAY()-I176&gt;=N(Services!$I$7)),"Not seen for "&amp;(TODAY()-I176)&amp;" days",""))</f>
        <v/>
      </c>
      <c r="O176" s="1">
        <f>IF(N(E176)=0,"",MONTH(E176))</f>
        <v/>
      </c>
    </row>
    <row r="177">
      <c r="A177" s="1" t="n"/>
      <c r="B177" s="35" t="n"/>
      <c r="C177" s="32" t="n"/>
      <c r="D177" s="32" t="n"/>
      <c r="E177" s="36" t="n"/>
      <c r="F177" s="30" t="n"/>
      <c r="G177" s="32" t="n"/>
      <c r="H177" s="26">
        <f>IF(B177="","",COUNTIFS(Appointments!$D$6:$D$2005,B177,Appointments!$F$6:$F$2005,"Done"))</f>
        <v/>
      </c>
      <c r="I177" s="37">
        <f>IF(OR(B177="",N(H177)=0),"",INT(SUMIFS(Appointments!$M$6:$M$2005,Appointments!$D$6:$D$2005,B177,Appointments!$N$6:$N$2005,1)))</f>
        <v/>
      </c>
      <c r="J177" s="37">
        <f>IF(B177="","",IF(SUMIFS(Appointments!$M$6:$M$2005,Appointments!$D$6:$D$2005,B177,Appointments!$O$6:$O$2005,1)=0,"",INT(SUMIFS(Appointments!$M$6:$M$2005,Appointments!$D$6:$D$2005,B177,Appointments!$O$6:$O$2005,1))))</f>
        <v/>
      </c>
      <c r="K177" s="27">
        <f>IF(B177="","",SUMIFS(Appointments!$I$6:$I$2005,Appointments!$D$6:$D$2005,B177)+SUMIFS(Packages!$F$6:$F$305,Packages!$C$6:$C$305,B177))</f>
        <v/>
      </c>
      <c r="L177" s="28">
        <f>IF(B177="","",IF(SUMIFS(Appointments!$K$6:$K$2005,Appointments!$D$6:$D$2005,B177)=0,"",SUMIFS(Appointments!$K$6:$K$2005,Appointments!$D$6:$D$2005,B177)))</f>
        <v/>
      </c>
      <c r="M177" s="38">
        <f>IF(OR(B177="",SUMIFS(Packages!$E$6:$E$305,Packages!$C$6:$C$305,B177)=0),"",SUMIFS(Packages!$E$6:$E$305,Packages!$C$6:$C$305,B177)-COUNTIFS(Appointments!$D$6:$D$2005,B177,Appointments!$J$6:$J$2005,"Package",Appointments!$F$6:$F$2005,"Done")+IF(Services!$I$6="Yes",COUNTIFS(Appointments!$D$6:$D$2005,B177,Appointments!$J$6:$J$2005,"Package",Appointments!$F$6:$F$2005,"No-show"),0))</f>
        <v/>
      </c>
      <c r="N177" s="18">
        <f>IF(OR(B177="",I177=""),"",IF(AND(J177="",TODAY()-I177&gt;=N(Services!$I$7)),"Not seen for "&amp;(TODAY()-I177)&amp;" days",""))</f>
        <v/>
      </c>
      <c r="O177" s="1">
        <f>IF(N(E177)=0,"",MONTH(E177))</f>
        <v/>
      </c>
    </row>
    <row r="178">
      <c r="A178" s="1" t="n"/>
      <c r="B178" s="35" t="n"/>
      <c r="C178" s="32" t="n"/>
      <c r="D178" s="32" t="n"/>
      <c r="E178" s="36" t="n"/>
      <c r="F178" s="30" t="n"/>
      <c r="G178" s="32" t="n"/>
      <c r="H178" s="26">
        <f>IF(B178="","",COUNTIFS(Appointments!$D$6:$D$2005,B178,Appointments!$F$6:$F$2005,"Done"))</f>
        <v/>
      </c>
      <c r="I178" s="37">
        <f>IF(OR(B178="",N(H178)=0),"",INT(SUMIFS(Appointments!$M$6:$M$2005,Appointments!$D$6:$D$2005,B178,Appointments!$N$6:$N$2005,1)))</f>
        <v/>
      </c>
      <c r="J178" s="37">
        <f>IF(B178="","",IF(SUMIFS(Appointments!$M$6:$M$2005,Appointments!$D$6:$D$2005,B178,Appointments!$O$6:$O$2005,1)=0,"",INT(SUMIFS(Appointments!$M$6:$M$2005,Appointments!$D$6:$D$2005,B178,Appointments!$O$6:$O$2005,1))))</f>
        <v/>
      </c>
      <c r="K178" s="27">
        <f>IF(B178="","",SUMIFS(Appointments!$I$6:$I$2005,Appointments!$D$6:$D$2005,B178)+SUMIFS(Packages!$F$6:$F$305,Packages!$C$6:$C$305,B178))</f>
        <v/>
      </c>
      <c r="L178" s="28">
        <f>IF(B178="","",IF(SUMIFS(Appointments!$K$6:$K$2005,Appointments!$D$6:$D$2005,B178)=0,"",SUMIFS(Appointments!$K$6:$K$2005,Appointments!$D$6:$D$2005,B178)))</f>
        <v/>
      </c>
      <c r="M178" s="38">
        <f>IF(OR(B178="",SUMIFS(Packages!$E$6:$E$305,Packages!$C$6:$C$305,B178)=0),"",SUMIFS(Packages!$E$6:$E$305,Packages!$C$6:$C$305,B178)-COUNTIFS(Appointments!$D$6:$D$2005,B178,Appointments!$J$6:$J$2005,"Package",Appointments!$F$6:$F$2005,"Done")+IF(Services!$I$6="Yes",COUNTIFS(Appointments!$D$6:$D$2005,B178,Appointments!$J$6:$J$2005,"Package",Appointments!$F$6:$F$2005,"No-show"),0))</f>
        <v/>
      </c>
      <c r="N178" s="18">
        <f>IF(OR(B178="",I178=""),"",IF(AND(J178="",TODAY()-I178&gt;=N(Services!$I$7)),"Not seen for "&amp;(TODAY()-I178)&amp;" days",""))</f>
        <v/>
      </c>
      <c r="O178" s="1">
        <f>IF(N(E178)=0,"",MONTH(E178))</f>
        <v/>
      </c>
    </row>
    <row r="179">
      <c r="A179" s="1" t="n"/>
      <c r="B179" s="35" t="n"/>
      <c r="C179" s="32" t="n"/>
      <c r="D179" s="32" t="n"/>
      <c r="E179" s="36" t="n"/>
      <c r="F179" s="30" t="n"/>
      <c r="G179" s="32" t="n"/>
      <c r="H179" s="26">
        <f>IF(B179="","",COUNTIFS(Appointments!$D$6:$D$2005,B179,Appointments!$F$6:$F$2005,"Done"))</f>
        <v/>
      </c>
      <c r="I179" s="37">
        <f>IF(OR(B179="",N(H179)=0),"",INT(SUMIFS(Appointments!$M$6:$M$2005,Appointments!$D$6:$D$2005,B179,Appointments!$N$6:$N$2005,1)))</f>
        <v/>
      </c>
      <c r="J179" s="37">
        <f>IF(B179="","",IF(SUMIFS(Appointments!$M$6:$M$2005,Appointments!$D$6:$D$2005,B179,Appointments!$O$6:$O$2005,1)=0,"",INT(SUMIFS(Appointments!$M$6:$M$2005,Appointments!$D$6:$D$2005,B179,Appointments!$O$6:$O$2005,1))))</f>
        <v/>
      </c>
      <c r="K179" s="27">
        <f>IF(B179="","",SUMIFS(Appointments!$I$6:$I$2005,Appointments!$D$6:$D$2005,B179)+SUMIFS(Packages!$F$6:$F$305,Packages!$C$6:$C$305,B179))</f>
        <v/>
      </c>
      <c r="L179" s="28">
        <f>IF(B179="","",IF(SUMIFS(Appointments!$K$6:$K$2005,Appointments!$D$6:$D$2005,B179)=0,"",SUMIFS(Appointments!$K$6:$K$2005,Appointments!$D$6:$D$2005,B179)))</f>
        <v/>
      </c>
      <c r="M179" s="38">
        <f>IF(OR(B179="",SUMIFS(Packages!$E$6:$E$305,Packages!$C$6:$C$305,B179)=0),"",SUMIFS(Packages!$E$6:$E$305,Packages!$C$6:$C$305,B179)-COUNTIFS(Appointments!$D$6:$D$2005,B179,Appointments!$J$6:$J$2005,"Package",Appointments!$F$6:$F$2005,"Done")+IF(Services!$I$6="Yes",COUNTIFS(Appointments!$D$6:$D$2005,B179,Appointments!$J$6:$J$2005,"Package",Appointments!$F$6:$F$2005,"No-show"),0))</f>
        <v/>
      </c>
      <c r="N179" s="18">
        <f>IF(OR(B179="",I179=""),"",IF(AND(J179="",TODAY()-I179&gt;=N(Services!$I$7)),"Not seen for "&amp;(TODAY()-I179)&amp;" days",""))</f>
        <v/>
      </c>
      <c r="O179" s="1">
        <f>IF(N(E179)=0,"",MONTH(E179))</f>
        <v/>
      </c>
    </row>
    <row r="180">
      <c r="A180" s="1" t="n"/>
      <c r="B180" s="35" t="n"/>
      <c r="C180" s="32" t="n"/>
      <c r="D180" s="32" t="n"/>
      <c r="E180" s="36" t="n"/>
      <c r="F180" s="30" t="n"/>
      <c r="G180" s="32" t="n"/>
      <c r="H180" s="26">
        <f>IF(B180="","",COUNTIFS(Appointments!$D$6:$D$2005,B180,Appointments!$F$6:$F$2005,"Done"))</f>
        <v/>
      </c>
      <c r="I180" s="37">
        <f>IF(OR(B180="",N(H180)=0),"",INT(SUMIFS(Appointments!$M$6:$M$2005,Appointments!$D$6:$D$2005,B180,Appointments!$N$6:$N$2005,1)))</f>
        <v/>
      </c>
      <c r="J180" s="37">
        <f>IF(B180="","",IF(SUMIFS(Appointments!$M$6:$M$2005,Appointments!$D$6:$D$2005,B180,Appointments!$O$6:$O$2005,1)=0,"",INT(SUMIFS(Appointments!$M$6:$M$2005,Appointments!$D$6:$D$2005,B180,Appointments!$O$6:$O$2005,1))))</f>
        <v/>
      </c>
      <c r="K180" s="27">
        <f>IF(B180="","",SUMIFS(Appointments!$I$6:$I$2005,Appointments!$D$6:$D$2005,B180)+SUMIFS(Packages!$F$6:$F$305,Packages!$C$6:$C$305,B180))</f>
        <v/>
      </c>
      <c r="L180" s="28">
        <f>IF(B180="","",IF(SUMIFS(Appointments!$K$6:$K$2005,Appointments!$D$6:$D$2005,B180)=0,"",SUMIFS(Appointments!$K$6:$K$2005,Appointments!$D$6:$D$2005,B180)))</f>
        <v/>
      </c>
      <c r="M180" s="38">
        <f>IF(OR(B180="",SUMIFS(Packages!$E$6:$E$305,Packages!$C$6:$C$305,B180)=0),"",SUMIFS(Packages!$E$6:$E$305,Packages!$C$6:$C$305,B180)-COUNTIFS(Appointments!$D$6:$D$2005,B180,Appointments!$J$6:$J$2005,"Package",Appointments!$F$6:$F$2005,"Done")+IF(Services!$I$6="Yes",COUNTIFS(Appointments!$D$6:$D$2005,B180,Appointments!$J$6:$J$2005,"Package",Appointments!$F$6:$F$2005,"No-show"),0))</f>
        <v/>
      </c>
      <c r="N180" s="18">
        <f>IF(OR(B180="",I180=""),"",IF(AND(J180="",TODAY()-I180&gt;=N(Services!$I$7)),"Not seen for "&amp;(TODAY()-I180)&amp;" days",""))</f>
        <v/>
      </c>
      <c r="O180" s="1">
        <f>IF(N(E180)=0,"",MONTH(E180))</f>
        <v/>
      </c>
    </row>
    <row r="181">
      <c r="A181" s="1" t="n"/>
      <c r="B181" s="35" t="n"/>
      <c r="C181" s="32" t="n"/>
      <c r="D181" s="32" t="n"/>
      <c r="E181" s="36" t="n"/>
      <c r="F181" s="30" t="n"/>
      <c r="G181" s="32" t="n"/>
      <c r="H181" s="26">
        <f>IF(B181="","",COUNTIFS(Appointments!$D$6:$D$2005,B181,Appointments!$F$6:$F$2005,"Done"))</f>
        <v/>
      </c>
      <c r="I181" s="37">
        <f>IF(OR(B181="",N(H181)=0),"",INT(SUMIFS(Appointments!$M$6:$M$2005,Appointments!$D$6:$D$2005,B181,Appointments!$N$6:$N$2005,1)))</f>
        <v/>
      </c>
      <c r="J181" s="37">
        <f>IF(B181="","",IF(SUMIFS(Appointments!$M$6:$M$2005,Appointments!$D$6:$D$2005,B181,Appointments!$O$6:$O$2005,1)=0,"",INT(SUMIFS(Appointments!$M$6:$M$2005,Appointments!$D$6:$D$2005,B181,Appointments!$O$6:$O$2005,1))))</f>
        <v/>
      </c>
      <c r="K181" s="27">
        <f>IF(B181="","",SUMIFS(Appointments!$I$6:$I$2005,Appointments!$D$6:$D$2005,B181)+SUMIFS(Packages!$F$6:$F$305,Packages!$C$6:$C$305,B181))</f>
        <v/>
      </c>
      <c r="L181" s="28">
        <f>IF(B181="","",IF(SUMIFS(Appointments!$K$6:$K$2005,Appointments!$D$6:$D$2005,B181)=0,"",SUMIFS(Appointments!$K$6:$K$2005,Appointments!$D$6:$D$2005,B181)))</f>
        <v/>
      </c>
      <c r="M181" s="38">
        <f>IF(OR(B181="",SUMIFS(Packages!$E$6:$E$305,Packages!$C$6:$C$305,B181)=0),"",SUMIFS(Packages!$E$6:$E$305,Packages!$C$6:$C$305,B181)-COUNTIFS(Appointments!$D$6:$D$2005,B181,Appointments!$J$6:$J$2005,"Package",Appointments!$F$6:$F$2005,"Done")+IF(Services!$I$6="Yes",COUNTIFS(Appointments!$D$6:$D$2005,B181,Appointments!$J$6:$J$2005,"Package",Appointments!$F$6:$F$2005,"No-show"),0))</f>
        <v/>
      </c>
      <c r="N181" s="18">
        <f>IF(OR(B181="",I181=""),"",IF(AND(J181="",TODAY()-I181&gt;=N(Services!$I$7)),"Not seen for "&amp;(TODAY()-I181)&amp;" days",""))</f>
        <v/>
      </c>
      <c r="O181" s="1">
        <f>IF(N(E181)=0,"",MONTH(E181))</f>
        <v/>
      </c>
    </row>
    <row r="182">
      <c r="A182" s="1" t="n"/>
      <c r="B182" s="35" t="n"/>
      <c r="C182" s="32" t="n"/>
      <c r="D182" s="32" t="n"/>
      <c r="E182" s="36" t="n"/>
      <c r="F182" s="30" t="n"/>
      <c r="G182" s="32" t="n"/>
      <c r="H182" s="26">
        <f>IF(B182="","",COUNTIFS(Appointments!$D$6:$D$2005,B182,Appointments!$F$6:$F$2005,"Done"))</f>
        <v/>
      </c>
      <c r="I182" s="37">
        <f>IF(OR(B182="",N(H182)=0),"",INT(SUMIFS(Appointments!$M$6:$M$2005,Appointments!$D$6:$D$2005,B182,Appointments!$N$6:$N$2005,1)))</f>
        <v/>
      </c>
      <c r="J182" s="37">
        <f>IF(B182="","",IF(SUMIFS(Appointments!$M$6:$M$2005,Appointments!$D$6:$D$2005,B182,Appointments!$O$6:$O$2005,1)=0,"",INT(SUMIFS(Appointments!$M$6:$M$2005,Appointments!$D$6:$D$2005,B182,Appointments!$O$6:$O$2005,1))))</f>
        <v/>
      </c>
      <c r="K182" s="27">
        <f>IF(B182="","",SUMIFS(Appointments!$I$6:$I$2005,Appointments!$D$6:$D$2005,B182)+SUMIFS(Packages!$F$6:$F$305,Packages!$C$6:$C$305,B182))</f>
        <v/>
      </c>
      <c r="L182" s="28">
        <f>IF(B182="","",IF(SUMIFS(Appointments!$K$6:$K$2005,Appointments!$D$6:$D$2005,B182)=0,"",SUMIFS(Appointments!$K$6:$K$2005,Appointments!$D$6:$D$2005,B182)))</f>
        <v/>
      </c>
      <c r="M182" s="38">
        <f>IF(OR(B182="",SUMIFS(Packages!$E$6:$E$305,Packages!$C$6:$C$305,B182)=0),"",SUMIFS(Packages!$E$6:$E$305,Packages!$C$6:$C$305,B182)-COUNTIFS(Appointments!$D$6:$D$2005,B182,Appointments!$J$6:$J$2005,"Package",Appointments!$F$6:$F$2005,"Done")+IF(Services!$I$6="Yes",COUNTIFS(Appointments!$D$6:$D$2005,B182,Appointments!$J$6:$J$2005,"Package",Appointments!$F$6:$F$2005,"No-show"),0))</f>
        <v/>
      </c>
      <c r="N182" s="18">
        <f>IF(OR(B182="",I182=""),"",IF(AND(J182="",TODAY()-I182&gt;=N(Services!$I$7)),"Not seen for "&amp;(TODAY()-I182)&amp;" days",""))</f>
        <v/>
      </c>
      <c r="O182" s="1">
        <f>IF(N(E182)=0,"",MONTH(E182))</f>
        <v/>
      </c>
    </row>
    <row r="183">
      <c r="A183" s="1" t="n"/>
      <c r="B183" s="35" t="n"/>
      <c r="C183" s="32" t="n"/>
      <c r="D183" s="32" t="n"/>
      <c r="E183" s="36" t="n"/>
      <c r="F183" s="30" t="n"/>
      <c r="G183" s="32" t="n"/>
      <c r="H183" s="26">
        <f>IF(B183="","",COUNTIFS(Appointments!$D$6:$D$2005,B183,Appointments!$F$6:$F$2005,"Done"))</f>
        <v/>
      </c>
      <c r="I183" s="37">
        <f>IF(OR(B183="",N(H183)=0),"",INT(SUMIFS(Appointments!$M$6:$M$2005,Appointments!$D$6:$D$2005,B183,Appointments!$N$6:$N$2005,1)))</f>
        <v/>
      </c>
      <c r="J183" s="37">
        <f>IF(B183="","",IF(SUMIFS(Appointments!$M$6:$M$2005,Appointments!$D$6:$D$2005,B183,Appointments!$O$6:$O$2005,1)=0,"",INT(SUMIFS(Appointments!$M$6:$M$2005,Appointments!$D$6:$D$2005,B183,Appointments!$O$6:$O$2005,1))))</f>
        <v/>
      </c>
      <c r="K183" s="27">
        <f>IF(B183="","",SUMIFS(Appointments!$I$6:$I$2005,Appointments!$D$6:$D$2005,B183)+SUMIFS(Packages!$F$6:$F$305,Packages!$C$6:$C$305,B183))</f>
        <v/>
      </c>
      <c r="L183" s="28">
        <f>IF(B183="","",IF(SUMIFS(Appointments!$K$6:$K$2005,Appointments!$D$6:$D$2005,B183)=0,"",SUMIFS(Appointments!$K$6:$K$2005,Appointments!$D$6:$D$2005,B183)))</f>
        <v/>
      </c>
      <c r="M183" s="38">
        <f>IF(OR(B183="",SUMIFS(Packages!$E$6:$E$305,Packages!$C$6:$C$305,B183)=0),"",SUMIFS(Packages!$E$6:$E$305,Packages!$C$6:$C$305,B183)-COUNTIFS(Appointments!$D$6:$D$2005,B183,Appointments!$J$6:$J$2005,"Package",Appointments!$F$6:$F$2005,"Done")+IF(Services!$I$6="Yes",COUNTIFS(Appointments!$D$6:$D$2005,B183,Appointments!$J$6:$J$2005,"Package",Appointments!$F$6:$F$2005,"No-show"),0))</f>
        <v/>
      </c>
      <c r="N183" s="18">
        <f>IF(OR(B183="",I183=""),"",IF(AND(J183="",TODAY()-I183&gt;=N(Services!$I$7)),"Not seen for "&amp;(TODAY()-I183)&amp;" days",""))</f>
        <v/>
      </c>
      <c r="O183" s="1">
        <f>IF(N(E183)=0,"",MONTH(E183))</f>
        <v/>
      </c>
    </row>
    <row r="184">
      <c r="A184" s="1" t="n"/>
      <c r="B184" s="35" t="n"/>
      <c r="C184" s="32" t="n"/>
      <c r="D184" s="32" t="n"/>
      <c r="E184" s="36" t="n"/>
      <c r="F184" s="30" t="n"/>
      <c r="G184" s="32" t="n"/>
      <c r="H184" s="26">
        <f>IF(B184="","",COUNTIFS(Appointments!$D$6:$D$2005,B184,Appointments!$F$6:$F$2005,"Done"))</f>
        <v/>
      </c>
      <c r="I184" s="37">
        <f>IF(OR(B184="",N(H184)=0),"",INT(SUMIFS(Appointments!$M$6:$M$2005,Appointments!$D$6:$D$2005,B184,Appointments!$N$6:$N$2005,1)))</f>
        <v/>
      </c>
      <c r="J184" s="37">
        <f>IF(B184="","",IF(SUMIFS(Appointments!$M$6:$M$2005,Appointments!$D$6:$D$2005,B184,Appointments!$O$6:$O$2005,1)=0,"",INT(SUMIFS(Appointments!$M$6:$M$2005,Appointments!$D$6:$D$2005,B184,Appointments!$O$6:$O$2005,1))))</f>
        <v/>
      </c>
      <c r="K184" s="27">
        <f>IF(B184="","",SUMIFS(Appointments!$I$6:$I$2005,Appointments!$D$6:$D$2005,B184)+SUMIFS(Packages!$F$6:$F$305,Packages!$C$6:$C$305,B184))</f>
        <v/>
      </c>
      <c r="L184" s="28">
        <f>IF(B184="","",IF(SUMIFS(Appointments!$K$6:$K$2005,Appointments!$D$6:$D$2005,B184)=0,"",SUMIFS(Appointments!$K$6:$K$2005,Appointments!$D$6:$D$2005,B184)))</f>
        <v/>
      </c>
      <c r="M184" s="38">
        <f>IF(OR(B184="",SUMIFS(Packages!$E$6:$E$305,Packages!$C$6:$C$305,B184)=0),"",SUMIFS(Packages!$E$6:$E$305,Packages!$C$6:$C$305,B184)-COUNTIFS(Appointments!$D$6:$D$2005,B184,Appointments!$J$6:$J$2005,"Package",Appointments!$F$6:$F$2005,"Done")+IF(Services!$I$6="Yes",COUNTIFS(Appointments!$D$6:$D$2005,B184,Appointments!$J$6:$J$2005,"Package",Appointments!$F$6:$F$2005,"No-show"),0))</f>
        <v/>
      </c>
      <c r="N184" s="18">
        <f>IF(OR(B184="",I184=""),"",IF(AND(J184="",TODAY()-I184&gt;=N(Services!$I$7)),"Not seen for "&amp;(TODAY()-I184)&amp;" days",""))</f>
        <v/>
      </c>
      <c r="O184" s="1">
        <f>IF(N(E184)=0,"",MONTH(E184))</f>
        <v/>
      </c>
    </row>
    <row r="185">
      <c r="A185" s="1" t="n"/>
      <c r="B185" s="35" t="n"/>
      <c r="C185" s="32" t="n"/>
      <c r="D185" s="32" t="n"/>
      <c r="E185" s="36" t="n"/>
      <c r="F185" s="30" t="n"/>
      <c r="G185" s="32" t="n"/>
      <c r="H185" s="26">
        <f>IF(B185="","",COUNTIFS(Appointments!$D$6:$D$2005,B185,Appointments!$F$6:$F$2005,"Done"))</f>
        <v/>
      </c>
      <c r="I185" s="37">
        <f>IF(OR(B185="",N(H185)=0),"",INT(SUMIFS(Appointments!$M$6:$M$2005,Appointments!$D$6:$D$2005,B185,Appointments!$N$6:$N$2005,1)))</f>
        <v/>
      </c>
      <c r="J185" s="37">
        <f>IF(B185="","",IF(SUMIFS(Appointments!$M$6:$M$2005,Appointments!$D$6:$D$2005,B185,Appointments!$O$6:$O$2005,1)=0,"",INT(SUMIFS(Appointments!$M$6:$M$2005,Appointments!$D$6:$D$2005,B185,Appointments!$O$6:$O$2005,1))))</f>
        <v/>
      </c>
      <c r="K185" s="27">
        <f>IF(B185="","",SUMIFS(Appointments!$I$6:$I$2005,Appointments!$D$6:$D$2005,B185)+SUMIFS(Packages!$F$6:$F$305,Packages!$C$6:$C$305,B185))</f>
        <v/>
      </c>
      <c r="L185" s="28">
        <f>IF(B185="","",IF(SUMIFS(Appointments!$K$6:$K$2005,Appointments!$D$6:$D$2005,B185)=0,"",SUMIFS(Appointments!$K$6:$K$2005,Appointments!$D$6:$D$2005,B185)))</f>
        <v/>
      </c>
      <c r="M185" s="38">
        <f>IF(OR(B185="",SUMIFS(Packages!$E$6:$E$305,Packages!$C$6:$C$305,B185)=0),"",SUMIFS(Packages!$E$6:$E$305,Packages!$C$6:$C$305,B185)-COUNTIFS(Appointments!$D$6:$D$2005,B185,Appointments!$J$6:$J$2005,"Package",Appointments!$F$6:$F$2005,"Done")+IF(Services!$I$6="Yes",COUNTIFS(Appointments!$D$6:$D$2005,B185,Appointments!$J$6:$J$2005,"Package",Appointments!$F$6:$F$2005,"No-show"),0))</f>
        <v/>
      </c>
      <c r="N185" s="18">
        <f>IF(OR(B185="",I185=""),"",IF(AND(J185="",TODAY()-I185&gt;=N(Services!$I$7)),"Not seen for "&amp;(TODAY()-I185)&amp;" days",""))</f>
        <v/>
      </c>
      <c r="O185" s="1">
        <f>IF(N(E185)=0,"",MONTH(E185))</f>
        <v/>
      </c>
    </row>
    <row r="186">
      <c r="A186" s="1" t="n"/>
      <c r="B186" s="35" t="n"/>
      <c r="C186" s="32" t="n"/>
      <c r="D186" s="32" t="n"/>
      <c r="E186" s="36" t="n"/>
      <c r="F186" s="30" t="n"/>
      <c r="G186" s="32" t="n"/>
      <c r="H186" s="26">
        <f>IF(B186="","",COUNTIFS(Appointments!$D$6:$D$2005,B186,Appointments!$F$6:$F$2005,"Done"))</f>
        <v/>
      </c>
      <c r="I186" s="37">
        <f>IF(OR(B186="",N(H186)=0),"",INT(SUMIFS(Appointments!$M$6:$M$2005,Appointments!$D$6:$D$2005,B186,Appointments!$N$6:$N$2005,1)))</f>
        <v/>
      </c>
      <c r="J186" s="37">
        <f>IF(B186="","",IF(SUMIFS(Appointments!$M$6:$M$2005,Appointments!$D$6:$D$2005,B186,Appointments!$O$6:$O$2005,1)=0,"",INT(SUMIFS(Appointments!$M$6:$M$2005,Appointments!$D$6:$D$2005,B186,Appointments!$O$6:$O$2005,1))))</f>
        <v/>
      </c>
      <c r="K186" s="27">
        <f>IF(B186="","",SUMIFS(Appointments!$I$6:$I$2005,Appointments!$D$6:$D$2005,B186)+SUMIFS(Packages!$F$6:$F$305,Packages!$C$6:$C$305,B186))</f>
        <v/>
      </c>
      <c r="L186" s="28">
        <f>IF(B186="","",IF(SUMIFS(Appointments!$K$6:$K$2005,Appointments!$D$6:$D$2005,B186)=0,"",SUMIFS(Appointments!$K$6:$K$2005,Appointments!$D$6:$D$2005,B186)))</f>
        <v/>
      </c>
      <c r="M186" s="38">
        <f>IF(OR(B186="",SUMIFS(Packages!$E$6:$E$305,Packages!$C$6:$C$305,B186)=0),"",SUMIFS(Packages!$E$6:$E$305,Packages!$C$6:$C$305,B186)-COUNTIFS(Appointments!$D$6:$D$2005,B186,Appointments!$J$6:$J$2005,"Package",Appointments!$F$6:$F$2005,"Done")+IF(Services!$I$6="Yes",COUNTIFS(Appointments!$D$6:$D$2005,B186,Appointments!$J$6:$J$2005,"Package",Appointments!$F$6:$F$2005,"No-show"),0))</f>
        <v/>
      </c>
      <c r="N186" s="18">
        <f>IF(OR(B186="",I186=""),"",IF(AND(J186="",TODAY()-I186&gt;=N(Services!$I$7)),"Not seen for "&amp;(TODAY()-I186)&amp;" days",""))</f>
        <v/>
      </c>
      <c r="O186" s="1">
        <f>IF(N(E186)=0,"",MONTH(E186))</f>
        <v/>
      </c>
    </row>
    <row r="187">
      <c r="A187" s="1" t="n"/>
      <c r="B187" s="35" t="n"/>
      <c r="C187" s="32" t="n"/>
      <c r="D187" s="32" t="n"/>
      <c r="E187" s="36" t="n"/>
      <c r="F187" s="30" t="n"/>
      <c r="G187" s="32" t="n"/>
      <c r="H187" s="26">
        <f>IF(B187="","",COUNTIFS(Appointments!$D$6:$D$2005,B187,Appointments!$F$6:$F$2005,"Done"))</f>
        <v/>
      </c>
      <c r="I187" s="37">
        <f>IF(OR(B187="",N(H187)=0),"",INT(SUMIFS(Appointments!$M$6:$M$2005,Appointments!$D$6:$D$2005,B187,Appointments!$N$6:$N$2005,1)))</f>
        <v/>
      </c>
      <c r="J187" s="37">
        <f>IF(B187="","",IF(SUMIFS(Appointments!$M$6:$M$2005,Appointments!$D$6:$D$2005,B187,Appointments!$O$6:$O$2005,1)=0,"",INT(SUMIFS(Appointments!$M$6:$M$2005,Appointments!$D$6:$D$2005,B187,Appointments!$O$6:$O$2005,1))))</f>
        <v/>
      </c>
      <c r="K187" s="27">
        <f>IF(B187="","",SUMIFS(Appointments!$I$6:$I$2005,Appointments!$D$6:$D$2005,B187)+SUMIFS(Packages!$F$6:$F$305,Packages!$C$6:$C$305,B187))</f>
        <v/>
      </c>
      <c r="L187" s="28">
        <f>IF(B187="","",IF(SUMIFS(Appointments!$K$6:$K$2005,Appointments!$D$6:$D$2005,B187)=0,"",SUMIFS(Appointments!$K$6:$K$2005,Appointments!$D$6:$D$2005,B187)))</f>
        <v/>
      </c>
      <c r="M187" s="38">
        <f>IF(OR(B187="",SUMIFS(Packages!$E$6:$E$305,Packages!$C$6:$C$305,B187)=0),"",SUMIFS(Packages!$E$6:$E$305,Packages!$C$6:$C$305,B187)-COUNTIFS(Appointments!$D$6:$D$2005,B187,Appointments!$J$6:$J$2005,"Package",Appointments!$F$6:$F$2005,"Done")+IF(Services!$I$6="Yes",COUNTIFS(Appointments!$D$6:$D$2005,B187,Appointments!$J$6:$J$2005,"Package",Appointments!$F$6:$F$2005,"No-show"),0))</f>
        <v/>
      </c>
      <c r="N187" s="18">
        <f>IF(OR(B187="",I187=""),"",IF(AND(J187="",TODAY()-I187&gt;=N(Services!$I$7)),"Not seen for "&amp;(TODAY()-I187)&amp;" days",""))</f>
        <v/>
      </c>
      <c r="O187" s="1">
        <f>IF(N(E187)=0,"",MONTH(E187))</f>
        <v/>
      </c>
    </row>
    <row r="188">
      <c r="A188" s="1" t="n"/>
      <c r="B188" s="35" t="n"/>
      <c r="C188" s="32" t="n"/>
      <c r="D188" s="32" t="n"/>
      <c r="E188" s="36" t="n"/>
      <c r="F188" s="30" t="n"/>
      <c r="G188" s="32" t="n"/>
      <c r="H188" s="26">
        <f>IF(B188="","",COUNTIFS(Appointments!$D$6:$D$2005,B188,Appointments!$F$6:$F$2005,"Done"))</f>
        <v/>
      </c>
      <c r="I188" s="37">
        <f>IF(OR(B188="",N(H188)=0),"",INT(SUMIFS(Appointments!$M$6:$M$2005,Appointments!$D$6:$D$2005,B188,Appointments!$N$6:$N$2005,1)))</f>
        <v/>
      </c>
      <c r="J188" s="37">
        <f>IF(B188="","",IF(SUMIFS(Appointments!$M$6:$M$2005,Appointments!$D$6:$D$2005,B188,Appointments!$O$6:$O$2005,1)=0,"",INT(SUMIFS(Appointments!$M$6:$M$2005,Appointments!$D$6:$D$2005,B188,Appointments!$O$6:$O$2005,1))))</f>
        <v/>
      </c>
      <c r="K188" s="27">
        <f>IF(B188="","",SUMIFS(Appointments!$I$6:$I$2005,Appointments!$D$6:$D$2005,B188)+SUMIFS(Packages!$F$6:$F$305,Packages!$C$6:$C$305,B188))</f>
        <v/>
      </c>
      <c r="L188" s="28">
        <f>IF(B188="","",IF(SUMIFS(Appointments!$K$6:$K$2005,Appointments!$D$6:$D$2005,B188)=0,"",SUMIFS(Appointments!$K$6:$K$2005,Appointments!$D$6:$D$2005,B188)))</f>
        <v/>
      </c>
      <c r="M188" s="38">
        <f>IF(OR(B188="",SUMIFS(Packages!$E$6:$E$305,Packages!$C$6:$C$305,B188)=0),"",SUMIFS(Packages!$E$6:$E$305,Packages!$C$6:$C$305,B188)-COUNTIFS(Appointments!$D$6:$D$2005,B188,Appointments!$J$6:$J$2005,"Package",Appointments!$F$6:$F$2005,"Done")+IF(Services!$I$6="Yes",COUNTIFS(Appointments!$D$6:$D$2005,B188,Appointments!$J$6:$J$2005,"Package",Appointments!$F$6:$F$2005,"No-show"),0))</f>
        <v/>
      </c>
      <c r="N188" s="18">
        <f>IF(OR(B188="",I188=""),"",IF(AND(J188="",TODAY()-I188&gt;=N(Services!$I$7)),"Not seen for "&amp;(TODAY()-I188)&amp;" days",""))</f>
        <v/>
      </c>
      <c r="O188" s="1">
        <f>IF(N(E188)=0,"",MONTH(E188))</f>
        <v/>
      </c>
    </row>
    <row r="189">
      <c r="A189" s="1" t="n"/>
      <c r="B189" s="35" t="n"/>
      <c r="C189" s="32" t="n"/>
      <c r="D189" s="32" t="n"/>
      <c r="E189" s="36" t="n"/>
      <c r="F189" s="30" t="n"/>
      <c r="G189" s="32" t="n"/>
      <c r="H189" s="26">
        <f>IF(B189="","",COUNTIFS(Appointments!$D$6:$D$2005,B189,Appointments!$F$6:$F$2005,"Done"))</f>
        <v/>
      </c>
      <c r="I189" s="37">
        <f>IF(OR(B189="",N(H189)=0),"",INT(SUMIFS(Appointments!$M$6:$M$2005,Appointments!$D$6:$D$2005,B189,Appointments!$N$6:$N$2005,1)))</f>
        <v/>
      </c>
      <c r="J189" s="37">
        <f>IF(B189="","",IF(SUMIFS(Appointments!$M$6:$M$2005,Appointments!$D$6:$D$2005,B189,Appointments!$O$6:$O$2005,1)=0,"",INT(SUMIFS(Appointments!$M$6:$M$2005,Appointments!$D$6:$D$2005,B189,Appointments!$O$6:$O$2005,1))))</f>
        <v/>
      </c>
      <c r="K189" s="27">
        <f>IF(B189="","",SUMIFS(Appointments!$I$6:$I$2005,Appointments!$D$6:$D$2005,B189)+SUMIFS(Packages!$F$6:$F$305,Packages!$C$6:$C$305,B189))</f>
        <v/>
      </c>
      <c r="L189" s="28">
        <f>IF(B189="","",IF(SUMIFS(Appointments!$K$6:$K$2005,Appointments!$D$6:$D$2005,B189)=0,"",SUMIFS(Appointments!$K$6:$K$2005,Appointments!$D$6:$D$2005,B189)))</f>
        <v/>
      </c>
      <c r="M189" s="38">
        <f>IF(OR(B189="",SUMIFS(Packages!$E$6:$E$305,Packages!$C$6:$C$305,B189)=0),"",SUMIFS(Packages!$E$6:$E$305,Packages!$C$6:$C$305,B189)-COUNTIFS(Appointments!$D$6:$D$2005,B189,Appointments!$J$6:$J$2005,"Package",Appointments!$F$6:$F$2005,"Done")+IF(Services!$I$6="Yes",COUNTIFS(Appointments!$D$6:$D$2005,B189,Appointments!$J$6:$J$2005,"Package",Appointments!$F$6:$F$2005,"No-show"),0))</f>
        <v/>
      </c>
      <c r="N189" s="18">
        <f>IF(OR(B189="",I189=""),"",IF(AND(J189="",TODAY()-I189&gt;=N(Services!$I$7)),"Not seen for "&amp;(TODAY()-I189)&amp;" days",""))</f>
        <v/>
      </c>
      <c r="O189" s="1">
        <f>IF(N(E189)=0,"",MONTH(E189))</f>
        <v/>
      </c>
    </row>
    <row r="190">
      <c r="A190" s="1" t="n"/>
      <c r="B190" s="35" t="n"/>
      <c r="C190" s="32" t="n"/>
      <c r="D190" s="32" t="n"/>
      <c r="E190" s="36" t="n"/>
      <c r="F190" s="30" t="n"/>
      <c r="G190" s="32" t="n"/>
      <c r="H190" s="26">
        <f>IF(B190="","",COUNTIFS(Appointments!$D$6:$D$2005,B190,Appointments!$F$6:$F$2005,"Done"))</f>
        <v/>
      </c>
      <c r="I190" s="37">
        <f>IF(OR(B190="",N(H190)=0),"",INT(SUMIFS(Appointments!$M$6:$M$2005,Appointments!$D$6:$D$2005,B190,Appointments!$N$6:$N$2005,1)))</f>
        <v/>
      </c>
      <c r="J190" s="37">
        <f>IF(B190="","",IF(SUMIFS(Appointments!$M$6:$M$2005,Appointments!$D$6:$D$2005,B190,Appointments!$O$6:$O$2005,1)=0,"",INT(SUMIFS(Appointments!$M$6:$M$2005,Appointments!$D$6:$D$2005,B190,Appointments!$O$6:$O$2005,1))))</f>
        <v/>
      </c>
      <c r="K190" s="27">
        <f>IF(B190="","",SUMIFS(Appointments!$I$6:$I$2005,Appointments!$D$6:$D$2005,B190)+SUMIFS(Packages!$F$6:$F$305,Packages!$C$6:$C$305,B190))</f>
        <v/>
      </c>
      <c r="L190" s="28">
        <f>IF(B190="","",IF(SUMIFS(Appointments!$K$6:$K$2005,Appointments!$D$6:$D$2005,B190)=0,"",SUMIFS(Appointments!$K$6:$K$2005,Appointments!$D$6:$D$2005,B190)))</f>
        <v/>
      </c>
      <c r="M190" s="38">
        <f>IF(OR(B190="",SUMIFS(Packages!$E$6:$E$305,Packages!$C$6:$C$305,B190)=0),"",SUMIFS(Packages!$E$6:$E$305,Packages!$C$6:$C$305,B190)-COUNTIFS(Appointments!$D$6:$D$2005,B190,Appointments!$J$6:$J$2005,"Package",Appointments!$F$6:$F$2005,"Done")+IF(Services!$I$6="Yes",COUNTIFS(Appointments!$D$6:$D$2005,B190,Appointments!$J$6:$J$2005,"Package",Appointments!$F$6:$F$2005,"No-show"),0))</f>
        <v/>
      </c>
      <c r="N190" s="18">
        <f>IF(OR(B190="",I190=""),"",IF(AND(J190="",TODAY()-I190&gt;=N(Services!$I$7)),"Not seen for "&amp;(TODAY()-I190)&amp;" days",""))</f>
        <v/>
      </c>
      <c r="O190" s="1">
        <f>IF(N(E190)=0,"",MONTH(E190))</f>
        <v/>
      </c>
    </row>
    <row r="191">
      <c r="A191" s="1" t="n"/>
      <c r="B191" s="35" t="n"/>
      <c r="C191" s="32" t="n"/>
      <c r="D191" s="32" t="n"/>
      <c r="E191" s="36" t="n"/>
      <c r="F191" s="30" t="n"/>
      <c r="G191" s="32" t="n"/>
      <c r="H191" s="26">
        <f>IF(B191="","",COUNTIFS(Appointments!$D$6:$D$2005,B191,Appointments!$F$6:$F$2005,"Done"))</f>
        <v/>
      </c>
      <c r="I191" s="37">
        <f>IF(OR(B191="",N(H191)=0),"",INT(SUMIFS(Appointments!$M$6:$M$2005,Appointments!$D$6:$D$2005,B191,Appointments!$N$6:$N$2005,1)))</f>
        <v/>
      </c>
      <c r="J191" s="37">
        <f>IF(B191="","",IF(SUMIFS(Appointments!$M$6:$M$2005,Appointments!$D$6:$D$2005,B191,Appointments!$O$6:$O$2005,1)=0,"",INT(SUMIFS(Appointments!$M$6:$M$2005,Appointments!$D$6:$D$2005,B191,Appointments!$O$6:$O$2005,1))))</f>
        <v/>
      </c>
      <c r="K191" s="27">
        <f>IF(B191="","",SUMIFS(Appointments!$I$6:$I$2005,Appointments!$D$6:$D$2005,B191)+SUMIFS(Packages!$F$6:$F$305,Packages!$C$6:$C$305,B191))</f>
        <v/>
      </c>
      <c r="L191" s="28">
        <f>IF(B191="","",IF(SUMIFS(Appointments!$K$6:$K$2005,Appointments!$D$6:$D$2005,B191)=0,"",SUMIFS(Appointments!$K$6:$K$2005,Appointments!$D$6:$D$2005,B191)))</f>
        <v/>
      </c>
      <c r="M191" s="38">
        <f>IF(OR(B191="",SUMIFS(Packages!$E$6:$E$305,Packages!$C$6:$C$305,B191)=0),"",SUMIFS(Packages!$E$6:$E$305,Packages!$C$6:$C$305,B191)-COUNTIFS(Appointments!$D$6:$D$2005,B191,Appointments!$J$6:$J$2005,"Package",Appointments!$F$6:$F$2005,"Done")+IF(Services!$I$6="Yes",COUNTIFS(Appointments!$D$6:$D$2005,B191,Appointments!$J$6:$J$2005,"Package",Appointments!$F$6:$F$2005,"No-show"),0))</f>
        <v/>
      </c>
      <c r="N191" s="18">
        <f>IF(OR(B191="",I191=""),"",IF(AND(J191="",TODAY()-I191&gt;=N(Services!$I$7)),"Not seen for "&amp;(TODAY()-I191)&amp;" days",""))</f>
        <v/>
      </c>
      <c r="O191" s="1">
        <f>IF(N(E191)=0,"",MONTH(E191))</f>
        <v/>
      </c>
    </row>
    <row r="192">
      <c r="A192" s="1" t="n"/>
      <c r="B192" s="35" t="n"/>
      <c r="C192" s="32" t="n"/>
      <c r="D192" s="32" t="n"/>
      <c r="E192" s="36" t="n"/>
      <c r="F192" s="30" t="n"/>
      <c r="G192" s="32" t="n"/>
      <c r="H192" s="26">
        <f>IF(B192="","",COUNTIFS(Appointments!$D$6:$D$2005,B192,Appointments!$F$6:$F$2005,"Done"))</f>
        <v/>
      </c>
      <c r="I192" s="37">
        <f>IF(OR(B192="",N(H192)=0),"",INT(SUMIFS(Appointments!$M$6:$M$2005,Appointments!$D$6:$D$2005,B192,Appointments!$N$6:$N$2005,1)))</f>
        <v/>
      </c>
      <c r="J192" s="37">
        <f>IF(B192="","",IF(SUMIFS(Appointments!$M$6:$M$2005,Appointments!$D$6:$D$2005,B192,Appointments!$O$6:$O$2005,1)=0,"",INT(SUMIFS(Appointments!$M$6:$M$2005,Appointments!$D$6:$D$2005,B192,Appointments!$O$6:$O$2005,1))))</f>
        <v/>
      </c>
      <c r="K192" s="27">
        <f>IF(B192="","",SUMIFS(Appointments!$I$6:$I$2005,Appointments!$D$6:$D$2005,B192)+SUMIFS(Packages!$F$6:$F$305,Packages!$C$6:$C$305,B192))</f>
        <v/>
      </c>
      <c r="L192" s="28">
        <f>IF(B192="","",IF(SUMIFS(Appointments!$K$6:$K$2005,Appointments!$D$6:$D$2005,B192)=0,"",SUMIFS(Appointments!$K$6:$K$2005,Appointments!$D$6:$D$2005,B192)))</f>
        <v/>
      </c>
      <c r="M192" s="38">
        <f>IF(OR(B192="",SUMIFS(Packages!$E$6:$E$305,Packages!$C$6:$C$305,B192)=0),"",SUMIFS(Packages!$E$6:$E$305,Packages!$C$6:$C$305,B192)-COUNTIFS(Appointments!$D$6:$D$2005,B192,Appointments!$J$6:$J$2005,"Package",Appointments!$F$6:$F$2005,"Done")+IF(Services!$I$6="Yes",COUNTIFS(Appointments!$D$6:$D$2005,B192,Appointments!$J$6:$J$2005,"Package",Appointments!$F$6:$F$2005,"No-show"),0))</f>
        <v/>
      </c>
      <c r="N192" s="18">
        <f>IF(OR(B192="",I192=""),"",IF(AND(J192="",TODAY()-I192&gt;=N(Services!$I$7)),"Not seen for "&amp;(TODAY()-I192)&amp;" days",""))</f>
        <v/>
      </c>
      <c r="O192" s="1">
        <f>IF(N(E192)=0,"",MONTH(E192))</f>
        <v/>
      </c>
    </row>
    <row r="193">
      <c r="A193" s="1" t="n"/>
      <c r="B193" s="35" t="n"/>
      <c r="C193" s="32" t="n"/>
      <c r="D193" s="32" t="n"/>
      <c r="E193" s="36" t="n"/>
      <c r="F193" s="30" t="n"/>
      <c r="G193" s="32" t="n"/>
      <c r="H193" s="26">
        <f>IF(B193="","",COUNTIFS(Appointments!$D$6:$D$2005,B193,Appointments!$F$6:$F$2005,"Done"))</f>
        <v/>
      </c>
      <c r="I193" s="37">
        <f>IF(OR(B193="",N(H193)=0),"",INT(SUMIFS(Appointments!$M$6:$M$2005,Appointments!$D$6:$D$2005,B193,Appointments!$N$6:$N$2005,1)))</f>
        <v/>
      </c>
      <c r="J193" s="37">
        <f>IF(B193="","",IF(SUMIFS(Appointments!$M$6:$M$2005,Appointments!$D$6:$D$2005,B193,Appointments!$O$6:$O$2005,1)=0,"",INT(SUMIFS(Appointments!$M$6:$M$2005,Appointments!$D$6:$D$2005,B193,Appointments!$O$6:$O$2005,1))))</f>
        <v/>
      </c>
      <c r="K193" s="27">
        <f>IF(B193="","",SUMIFS(Appointments!$I$6:$I$2005,Appointments!$D$6:$D$2005,B193)+SUMIFS(Packages!$F$6:$F$305,Packages!$C$6:$C$305,B193))</f>
        <v/>
      </c>
      <c r="L193" s="28">
        <f>IF(B193="","",IF(SUMIFS(Appointments!$K$6:$K$2005,Appointments!$D$6:$D$2005,B193)=0,"",SUMIFS(Appointments!$K$6:$K$2005,Appointments!$D$6:$D$2005,B193)))</f>
        <v/>
      </c>
      <c r="M193" s="38">
        <f>IF(OR(B193="",SUMIFS(Packages!$E$6:$E$305,Packages!$C$6:$C$305,B193)=0),"",SUMIFS(Packages!$E$6:$E$305,Packages!$C$6:$C$305,B193)-COUNTIFS(Appointments!$D$6:$D$2005,B193,Appointments!$J$6:$J$2005,"Package",Appointments!$F$6:$F$2005,"Done")+IF(Services!$I$6="Yes",COUNTIFS(Appointments!$D$6:$D$2005,B193,Appointments!$J$6:$J$2005,"Package",Appointments!$F$6:$F$2005,"No-show"),0))</f>
        <v/>
      </c>
      <c r="N193" s="18">
        <f>IF(OR(B193="",I193=""),"",IF(AND(J193="",TODAY()-I193&gt;=N(Services!$I$7)),"Not seen for "&amp;(TODAY()-I193)&amp;" days",""))</f>
        <v/>
      </c>
      <c r="O193" s="1">
        <f>IF(N(E193)=0,"",MONTH(E193))</f>
        <v/>
      </c>
    </row>
    <row r="194">
      <c r="A194" s="1" t="n"/>
      <c r="B194" s="35" t="n"/>
      <c r="C194" s="32" t="n"/>
      <c r="D194" s="32" t="n"/>
      <c r="E194" s="36" t="n"/>
      <c r="F194" s="30" t="n"/>
      <c r="G194" s="32" t="n"/>
      <c r="H194" s="26">
        <f>IF(B194="","",COUNTIFS(Appointments!$D$6:$D$2005,B194,Appointments!$F$6:$F$2005,"Done"))</f>
        <v/>
      </c>
      <c r="I194" s="37">
        <f>IF(OR(B194="",N(H194)=0),"",INT(SUMIFS(Appointments!$M$6:$M$2005,Appointments!$D$6:$D$2005,B194,Appointments!$N$6:$N$2005,1)))</f>
        <v/>
      </c>
      <c r="J194" s="37">
        <f>IF(B194="","",IF(SUMIFS(Appointments!$M$6:$M$2005,Appointments!$D$6:$D$2005,B194,Appointments!$O$6:$O$2005,1)=0,"",INT(SUMIFS(Appointments!$M$6:$M$2005,Appointments!$D$6:$D$2005,B194,Appointments!$O$6:$O$2005,1))))</f>
        <v/>
      </c>
      <c r="K194" s="27">
        <f>IF(B194="","",SUMIFS(Appointments!$I$6:$I$2005,Appointments!$D$6:$D$2005,B194)+SUMIFS(Packages!$F$6:$F$305,Packages!$C$6:$C$305,B194))</f>
        <v/>
      </c>
      <c r="L194" s="28">
        <f>IF(B194="","",IF(SUMIFS(Appointments!$K$6:$K$2005,Appointments!$D$6:$D$2005,B194)=0,"",SUMIFS(Appointments!$K$6:$K$2005,Appointments!$D$6:$D$2005,B194)))</f>
        <v/>
      </c>
      <c r="M194" s="38">
        <f>IF(OR(B194="",SUMIFS(Packages!$E$6:$E$305,Packages!$C$6:$C$305,B194)=0),"",SUMIFS(Packages!$E$6:$E$305,Packages!$C$6:$C$305,B194)-COUNTIFS(Appointments!$D$6:$D$2005,B194,Appointments!$J$6:$J$2005,"Package",Appointments!$F$6:$F$2005,"Done")+IF(Services!$I$6="Yes",COUNTIFS(Appointments!$D$6:$D$2005,B194,Appointments!$J$6:$J$2005,"Package",Appointments!$F$6:$F$2005,"No-show"),0))</f>
        <v/>
      </c>
      <c r="N194" s="18">
        <f>IF(OR(B194="",I194=""),"",IF(AND(J194="",TODAY()-I194&gt;=N(Services!$I$7)),"Not seen for "&amp;(TODAY()-I194)&amp;" days",""))</f>
        <v/>
      </c>
      <c r="O194" s="1">
        <f>IF(N(E194)=0,"",MONTH(E194))</f>
        <v/>
      </c>
    </row>
    <row r="195">
      <c r="A195" s="1" t="n"/>
      <c r="B195" s="35" t="n"/>
      <c r="C195" s="32" t="n"/>
      <c r="D195" s="32" t="n"/>
      <c r="E195" s="36" t="n"/>
      <c r="F195" s="30" t="n"/>
      <c r="G195" s="32" t="n"/>
      <c r="H195" s="26">
        <f>IF(B195="","",COUNTIFS(Appointments!$D$6:$D$2005,B195,Appointments!$F$6:$F$2005,"Done"))</f>
        <v/>
      </c>
      <c r="I195" s="37">
        <f>IF(OR(B195="",N(H195)=0),"",INT(SUMIFS(Appointments!$M$6:$M$2005,Appointments!$D$6:$D$2005,B195,Appointments!$N$6:$N$2005,1)))</f>
        <v/>
      </c>
      <c r="J195" s="37">
        <f>IF(B195="","",IF(SUMIFS(Appointments!$M$6:$M$2005,Appointments!$D$6:$D$2005,B195,Appointments!$O$6:$O$2005,1)=0,"",INT(SUMIFS(Appointments!$M$6:$M$2005,Appointments!$D$6:$D$2005,B195,Appointments!$O$6:$O$2005,1))))</f>
        <v/>
      </c>
      <c r="K195" s="27">
        <f>IF(B195="","",SUMIFS(Appointments!$I$6:$I$2005,Appointments!$D$6:$D$2005,B195)+SUMIFS(Packages!$F$6:$F$305,Packages!$C$6:$C$305,B195))</f>
        <v/>
      </c>
      <c r="L195" s="28">
        <f>IF(B195="","",IF(SUMIFS(Appointments!$K$6:$K$2005,Appointments!$D$6:$D$2005,B195)=0,"",SUMIFS(Appointments!$K$6:$K$2005,Appointments!$D$6:$D$2005,B195)))</f>
        <v/>
      </c>
      <c r="M195" s="38">
        <f>IF(OR(B195="",SUMIFS(Packages!$E$6:$E$305,Packages!$C$6:$C$305,B195)=0),"",SUMIFS(Packages!$E$6:$E$305,Packages!$C$6:$C$305,B195)-COUNTIFS(Appointments!$D$6:$D$2005,B195,Appointments!$J$6:$J$2005,"Package",Appointments!$F$6:$F$2005,"Done")+IF(Services!$I$6="Yes",COUNTIFS(Appointments!$D$6:$D$2005,B195,Appointments!$J$6:$J$2005,"Package",Appointments!$F$6:$F$2005,"No-show"),0))</f>
        <v/>
      </c>
      <c r="N195" s="18">
        <f>IF(OR(B195="",I195=""),"",IF(AND(J195="",TODAY()-I195&gt;=N(Services!$I$7)),"Not seen for "&amp;(TODAY()-I195)&amp;" days",""))</f>
        <v/>
      </c>
      <c r="O195" s="1">
        <f>IF(N(E195)=0,"",MONTH(E195))</f>
        <v/>
      </c>
    </row>
    <row r="196">
      <c r="A196" s="1" t="n"/>
      <c r="B196" s="35" t="n"/>
      <c r="C196" s="32" t="n"/>
      <c r="D196" s="32" t="n"/>
      <c r="E196" s="36" t="n"/>
      <c r="F196" s="30" t="n"/>
      <c r="G196" s="32" t="n"/>
      <c r="H196" s="26">
        <f>IF(B196="","",COUNTIFS(Appointments!$D$6:$D$2005,B196,Appointments!$F$6:$F$2005,"Done"))</f>
        <v/>
      </c>
      <c r="I196" s="37">
        <f>IF(OR(B196="",N(H196)=0),"",INT(SUMIFS(Appointments!$M$6:$M$2005,Appointments!$D$6:$D$2005,B196,Appointments!$N$6:$N$2005,1)))</f>
        <v/>
      </c>
      <c r="J196" s="37">
        <f>IF(B196="","",IF(SUMIFS(Appointments!$M$6:$M$2005,Appointments!$D$6:$D$2005,B196,Appointments!$O$6:$O$2005,1)=0,"",INT(SUMIFS(Appointments!$M$6:$M$2005,Appointments!$D$6:$D$2005,B196,Appointments!$O$6:$O$2005,1))))</f>
        <v/>
      </c>
      <c r="K196" s="27">
        <f>IF(B196="","",SUMIFS(Appointments!$I$6:$I$2005,Appointments!$D$6:$D$2005,B196)+SUMIFS(Packages!$F$6:$F$305,Packages!$C$6:$C$305,B196))</f>
        <v/>
      </c>
      <c r="L196" s="28">
        <f>IF(B196="","",IF(SUMIFS(Appointments!$K$6:$K$2005,Appointments!$D$6:$D$2005,B196)=0,"",SUMIFS(Appointments!$K$6:$K$2005,Appointments!$D$6:$D$2005,B196)))</f>
        <v/>
      </c>
      <c r="M196" s="38">
        <f>IF(OR(B196="",SUMIFS(Packages!$E$6:$E$305,Packages!$C$6:$C$305,B196)=0),"",SUMIFS(Packages!$E$6:$E$305,Packages!$C$6:$C$305,B196)-COUNTIFS(Appointments!$D$6:$D$2005,B196,Appointments!$J$6:$J$2005,"Package",Appointments!$F$6:$F$2005,"Done")+IF(Services!$I$6="Yes",COUNTIFS(Appointments!$D$6:$D$2005,B196,Appointments!$J$6:$J$2005,"Package",Appointments!$F$6:$F$2005,"No-show"),0))</f>
        <v/>
      </c>
      <c r="N196" s="18">
        <f>IF(OR(B196="",I196=""),"",IF(AND(J196="",TODAY()-I196&gt;=N(Services!$I$7)),"Not seen for "&amp;(TODAY()-I196)&amp;" days",""))</f>
        <v/>
      </c>
      <c r="O196" s="1">
        <f>IF(N(E196)=0,"",MONTH(E196))</f>
        <v/>
      </c>
    </row>
    <row r="197">
      <c r="A197" s="1" t="n"/>
      <c r="B197" s="35" t="n"/>
      <c r="C197" s="32" t="n"/>
      <c r="D197" s="32" t="n"/>
      <c r="E197" s="36" t="n"/>
      <c r="F197" s="30" t="n"/>
      <c r="G197" s="32" t="n"/>
      <c r="H197" s="26">
        <f>IF(B197="","",COUNTIFS(Appointments!$D$6:$D$2005,B197,Appointments!$F$6:$F$2005,"Done"))</f>
        <v/>
      </c>
      <c r="I197" s="37">
        <f>IF(OR(B197="",N(H197)=0),"",INT(SUMIFS(Appointments!$M$6:$M$2005,Appointments!$D$6:$D$2005,B197,Appointments!$N$6:$N$2005,1)))</f>
        <v/>
      </c>
      <c r="J197" s="37">
        <f>IF(B197="","",IF(SUMIFS(Appointments!$M$6:$M$2005,Appointments!$D$6:$D$2005,B197,Appointments!$O$6:$O$2005,1)=0,"",INT(SUMIFS(Appointments!$M$6:$M$2005,Appointments!$D$6:$D$2005,B197,Appointments!$O$6:$O$2005,1))))</f>
        <v/>
      </c>
      <c r="K197" s="27">
        <f>IF(B197="","",SUMIFS(Appointments!$I$6:$I$2005,Appointments!$D$6:$D$2005,B197)+SUMIFS(Packages!$F$6:$F$305,Packages!$C$6:$C$305,B197))</f>
        <v/>
      </c>
      <c r="L197" s="28">
        <f>IF(B197="","",IF(SUMIFS(Appointments!$K$6:$K$2005,Appointments!$D$6:$D$2005,B197)=0,"",SUMIFS(Appointments!$K$6:$K$2005,Appointments!$D$6:$D$2005,B197)))</f>
        <v/>
      </c>
      <c r="M197" s="38">
        <f>IF(OR(B197="",SUMIFS(Packages!$E$6:$E$305,Packages!$C$6:$C$305,B197)=0),"",SUMIFS(Packages!$E$6:$E$305,Packages!$C$6:$C$305,B197)-COUNTIFS(Appointments!$D$6:$D$2005,B197,Appointments!$J$6:$J$2005,"Package",Appointments!$F$6:$F$2005,"Done")+IF(Services!$I$6="Yes",COUNTIFS(Appointments!$D$6:$D$2005,B197,Appointments!$J$6:$J$2005,"Package",Appointments!$F$6:$F$2005,"No-show"),0))</f>
        <v/>
      </c>
      <c r="N197" s="18">
        <f>IF(OR(B197="",I197=""),"",IF(AND(J197="",TODAY()-I197&gt;=N(Services!$I$7)),"Not seen for "&amp;(TODAY()-I197)&amp;" days",""))</f>
        <v/>
      </c>
      <c r="O197" s="1">
        <f>IF(N(E197)=0,"",MONTH(E197))</f>
        <v/>
      </c>
    </row>
    <row r="198">
      <c r="A198" s="1" t="n"/>
      <c r="B198" s="35" t="n"/>
      <c r="C198" s="32" t="n"/>
      <c r="D198" s="32" t="n"/>
      <c r="E198" s="36" t="n"/>
      <c r="F198" s="30" t="n"/>
      <c r="G198" s="32" t="n"/>
      <c r="H198" s="26">
        <f>IF(B198="","",COUNTIFS(Appointments!$D$6:$D$2005,B198,Appointments!$F$6:$F$2005,"Done"))</f>
        <v/>
      </c>
      <c r="I198" s="37">
        <f>IF(OR(B198="",N(H198)=0),"",INT(SUMIFS(Appointments!$M$6:$M$2005,Appointments!$D$6:$D$2005,B198,Appointments!$N$6:$N$2005,1)))</f>
        <v/>
      </c>
      <c r="J198" s="37">
        <f>IF(B198="","",IF(SUMIFS(Appointments!$M$6:$M$2005,Appointments!$D$6:$D$2005,B198,Appointments!$O$6:$O$2005,1)=0,"",INT(SUMIFS(Appointments!$M$6:$M$2005,Appointments!$D$6:$D$2005,B198,Appointments!$O$6:$O$2005,1))))</f>
        <v/>
      </c>
      <c r="K198" s="27">
        <f>IF(B198="","",SUMIFS(Appointments!$I$6:$I$2005,Appointments!$D$6:$D$2005,B198)+SUMIFS(Packages!$F$6:$F$305,Packages!$C$6:$C$305,B198))</f>
        <v/>
      </c>
      <c r="L198" s="28">
        <f>IF(B198="","",IF(SUMIFS(Appointments!$K$6:$K$2005,Appointments!$D$6:$D$2005,B198)=0,"",SUMIFS(Appointments!$K$6:$K$2005,Appointments!$D$6:$D$2005,B198)))</f>
        <v/>
      </c>
      <c r="M198" s="38">
        <f>IF(OR(B198="",SUMIFS(Packages!$E$6:$E$305,Packages!$C$6:$C$305,B198)=0),"",SUMIFS(Packages!$E$6:$E$305,Packages!$C$6:$C$305,B198)-COUNTIFS(Appointments!$D$6:$D$2005,B198,Appointments!$J$6:$J$2005,"Package",Appointments!$F$6:$F$2005,"Done")+IF(Services!$I$6="Yes",COUNTIFS(Appointments!$D$6:$D$2005,B198,Appointments!$J$6:$J$2005,"Package",Appointments!$F$6:$F$2005,"No-show"),0))</f>
        <v/>
      </c>
      <c r="N198" s="18">
        <f>IF(OR(B198="",I198=""),"",IF(AND(J198="",TODAY()-I198&gt;=N(Services!$I$7)),"Not seen for "&amp;(TODAY()-I198)&amp;" days",""))</f>
        <v/>
      </c>
      <c r="O198" s="1">
        <f>IF(N(E198)=0,"",MONTH(E198))</f>
        <v/>
      </c>
    </row>
    <row r="199">
      <c r="A199" s="1" t="n"/>
      <c r="B199" s="35" t="n"/>
      <c r="C199" s="32" t="n"/>
      <c r="D199" s="32" t="n"/>
      <c r="E199" s="36" t="n"/>
      <c r="F199" s="30" t="n"/>
      <c r="G199" s="32" t="n"/>
      <c r="H199" s="26">
        <f>IF(B199="","",COUNTIFS(Appointments!$D$6:$D$2005,B199,Appointments!$F$6:$F$2005,"Done"))</f>
        <v/>
      </c>
      <c r="I199" s="37">
        <f>IF(OR(B199="",N(H199)=0),"",INT(SUMIFS(Appointments!$M$6:$M$2005,Appointments!$D$6:$D$2005,B199,Appointments!$N$6:$N$2005,1)))</f>
        <v/>
      </c>
      <c r="J199" s="37">
        <f>IF(B199="","",IF(SUMIFS(Appointments!$M$6:$M$2005,Appointments!$D$6:$D$2005,B199,Appointments!$O$6:$O$2005,1)=0,"",INT(SUMIFS(Appointments!$M$6:$M$2005,Appointments!$D$6:$D$2005,B199,Appointments!$O$6:$O$2005,1))))</f>
        <v/>
      </c>
      <c r="K199" s="27">
        <f>IF(B199="","",SUMIFS(Appointments!$I$6:$I$2005,Appointments!$D$6:$D$2005,B199)+SUMIFS(Packages!$F$6:$F$305,Packages!$C$6:$C$305,B199))</f>
        <v/>
      </c>
      <c r="L199" s="28">
        <f>IF(B199="","",IF(SUMIFS(Appointments!$K$6:$K$2005,Appointments!$D$6:$D$2005,B199)=0,"",SUMIFS(Appointments!$K$6:$K$2005,Appointments!$D$6:$D$2005,B199)))</f>
        <v/>
      </c>
      <c r="M199" s="38">
        <f>IF(OR(B199="",SUMIFS(Packages!$E$6:$E$305,Packages!$C$6:$C$305,B199)=0),"",SUMIFS(Packages!$E$6:$E$305,Packages!$C$6:$C$305,B199)-COUNTIFS(Appointments!$D$6:$D$2005,B199,Appointments!$J$6:$J$2005,"Package",Appointments!$F$6:$F$2005,"Done")+IF(Services!$I$6="Yes",COUNTIFS(Appointments!$D$6:$D$2005,B199,Appointments!$J$6:$J$2005,"Package",Appointments!$F$6:$F$2005,"No-show"),0))</f>
        <v/>
      </c>
      <c r="N199" s="18">
        <f>IF(OR(B199="",I199=""),"",IF(AND(J199="",TODAY()-I199&gt;=N(Services!$I$7)),"Not seen for "&amp;(TODAY()-I199)&amp;" days",""))</f>
        <v/>
      </c>
      <c r="O199" s="1">
        <f>IF(N(E199)=0,"",MONTH(E199))</f>
        <v/>
      </c>
    </row>
    <row r="200">
      <c r="A200" s="1" t="n"/>
      <c r="B200" s="35" t="n"/>
      <c r="C200" s="32" t="n"/>
      <c r="D200" s="32" t="n"/>
      <c r="E200" s="36" t="n"/>
      <c r="F200" s="30" t="n"/>
      <c r="G200" s="32" t="n"/>
      <c r="H200" s="26">
        <f>IF(B200="","",COUNTIFS(Appointments!$D$6:$D$2005,B200,Appointments!$F$6:$F$2005,"Done"))</f>
        <v/>
      </c>
      <c r="I200" s="37">
        <f>IF(OR(B200="",N(H200)=0),"",INT(SUMIFS(Appointments!$M$6:$M$2005,Appointments!$D$6:$D$2005,B200,Appointments!$N$6:$N$2005,1)))</f>
        <v/>
      </c>
      <c r="J200" s="37">
        <f>IF(B200="","",IF(SUMIFS(Appointments!$M$6:$M$2005,Appointments!$D$6:$D$2005,B200,Appointments!$O$6:$O$2005,1)=0,"",INT(SUMIFS(Appointments!$M$6:$M$2005,Appointments!$D$6:$D$2005,B200,Appointments!$O$6:$O$2005,1))))</f>
        <v/>
      </c>
      <c r="K200" s="27">
        <f>IF(B200="","",SUMIFS(Appointments!$I$6:$I$2005,Appointments!$D$6:$D$2005,B200)+SUMIFS(Packages!$F$6:$F$305,Packages!$C$6:$C$305,B200))</f>
        <v/>
      </c>
      <c r="L200" s="28">
        <f>IF(B200="","",IF(SUMIFS(Appointments!$K$6:$K$2005,Appointments!$D$6:$D$2005,B200)=0,"",SUMIFS(Appointments!$K$6:$K$2005,Appointments!$D$6:$D$2005,B200)))</f>
        <v/>
      </c>
      <c r="M200" s="38">
        <f>IF(OR(B200="",SUMIFS(Packages!$E$6:$E$305,Packages!$C$6:$C$305,B200)=0),"",SUMIFS(Packages!$E$6:$E$305,Packages!$C$6:$C$305,B200)-COUNTIFS(Appointments!$D$6:$D$2005,B200,Appointments!$J$6:$J$2005,"Package",Appointments!$F$6:$F$2005,"Done")+IF(Services!$I$6="Yes",COUNTIFS(Appointments!$D$6:$D$2005,B200,Appointments!$J$6:$J$2005,"Package",Appointments!$F$6:$F$2005,"No-show"),0))</f>
        <v/>
      </c>
      <c r="N200" s="18">
        <f>IF(OR(B200="",I200=""),"",IF(AND(J200="",TODAY()-I200&gt;=N(Services!$I$7)),"Not seen for "&amp;(TODAY()-I200)&amp;" days",""))</f>
        <v/>
      </c>
      <c r="O200" s="1">
        <f>IF(N(E200)=0,"",MONTH(E200))</f>
        <v/>
      </c>
    </row>
    <row r="201">
      <c r="A201" s="1" t="n"/>
      <c r="B201" s="35" t="n"/>
      <c r="C201" s="32" t="n"/>
      <c r="D201" s="32" t="n"/>
      <c r="E201" s="36" t="n"/>
      <c r="F201" s="30" t="n"/>
      <c r="G201" s="32" t="n"/>
      <c r="H201" s="26">
        <f>IF(B201="","",COUNTIFS(Appointments!$D$6:$D$2005,B201,Appointments!$F$6:$F$2005,"Done"))</f>
        <v/>
      </c>
      <c r="I201" s="37">
        <f>IF(OR(B201="",N(H201)=0),"",INT(SUMIFS(Appointments!$M$6:$M$2005,Appointments!$D$6:$D$2005,B201,Appointments!$N$6:$N$2005,1)))</f>
        <v/>
      </c>
      <c r="J201" s="37">
        <f>IF(B201="","",IF(SUMIFS(Appointments!$M$6:$M$2005,Appointments!$D$6:$D$2005,B201,Appointments!$O$6:$O$2005,1)=0,"",INT(SUMIFS(Appointments!$M$6:$M$2005,Appointments!$D$6:$D$2005,B201,Appointments!$O$6:$O$2005,1))))</f>
        <v/>
      </c>
      <c r="K201" s="27">
        <f>IF(B201="","",SUMIFS(Appointments!$I$6:$I$2005,Appointments!$D$6:$D$2005,B201)+SUMIFS(Packages!$F$6:$F$305,Packages!$C$6:$C$305,B201))</f>
        <v/>
      </c>
      <c r="L201" s="28">
        <f>IF(B201="","",IF(SUMIFS(Appointments!$K$6:$K$2005,Appointments!$D$6:$D$2005,B201)=0,"",SUMIFS(Appointments!$K$6:$K$2005,Appointments!$D$6:$D$2005,B201)))</f>
        <v/>
      </c>
      <c r="M201" s="38">
        <f>IF(OR(B201="",SUMIFS(Packages!$E$6:$E$305,Packages!$C$6:$C$305,B201)=0),"",SUMIFS(Packages!$E$6:$E$305,Packages!$C$6:$C$305,B201)-COUNTIFS(Appointments!$D$6:$D$2005,B201,Appointments!$J$6:$J$2005,"Package",Appointments!$F$6:$F$2005,"Done")+IF(Services!$I$6="Yes",COUNTIFS(Appointments!$D$6:$D$2005,B201,Appointments!$J$6:$J$2005,"Package",Appointments!$F$6:$F$2005,"No-show"),0))</f>
        <v/>
      </c>
      <c r="N201" s="18">
        <f>IF(OR(B201="",I201=""),"",IF(AND(J201="",TODAY()-I201&gt;=N(Services!$I$7)),"Not seen for "&amp;(TODAY()-I201)&amp;" days",""))</f>
        <v/>
      </c>
      <c r="O201" s="1">
        <f>IF(N(E201)=0,"",MONTH(E201))</f>
        <v/>
      </c>
    </row>
    <row r="202">
      <c r="A202" s="1" t="n"/>
      <c r="B202" s="35" t="n"/>
      <c r="C202" s="32" t="n"/>
      <c r="D202" s="32" t="n"/>
      <c r="E202" s="36" t="n"/>
      <c r="F202" s="30" t="n"/>
      <c r="G202" s="32" t="n"/>
      <c r="H202" s="26">
        <f>IF(B202="","",COUNTIFS(Appointments!$D$6:$D$2005,B202,Appointments!$F$6:$F$2005,"Done"))</f>
        <v/>
      </c>
      <c r="I202" s="37">
        <f>IF(OR(B202="",N(H202)=0),"",INT(SUMIFS(Appointments!$M$6:$M$2005,Appointments!$D$6:$D$2005,B202,Appointments!$N$6:$N$2005,1)))</f>
        <v/>
      </c>
      <c r="J202" s="37">
        <f>IF(B202="","",IF(SUMIFS(Appointments!$M$6:$M$2005,Appointments!$D$6:$D$2005,B202,Appointments!$O$6:$O$2005,1)=0,"",INT(SUMIFS(Appointments!$M$6:$M$2005,Appointments!$D$6:$D$2005,B202,Appointments!$O$6:$O$2005,1))))</f>
        <v/>
      </c>
      <c r="K202" s="27">
        <f>IF(B202="","",SUMIFS(Appointments!$I$6:$I$2005,Appointments!$D$6:$D$2005,B202)+SUMIFS(Packages!$F$6:$F$305,Packages!$C$6:$C$305,B202))</f>
        <v/>
      </c>
      <c r="L202" s="28">
        <f>IF(B202="","",IF(SUMIFS(Appointments!$K$6:$K$2005,Appointments!$D$6:$D$2005,B202)=0,"",SUMIFS(Appointments!$K$6:$K$2005,Appointments!$D$6:$D$2005,B202)))</f>
        <v/>
      </c>
      <c r="M202" s="38">
        <f>IF(OR(B202="",SUMIFS(Packages!$E$6:$E$305,Packages!$C$6:$C$305,B202)=0),"",SUMIFS(Packages!$E$6:$E$305,Packages!$C$6:$C$305,B202)-COUNTIFS(Appointments!$D$6:$D$2005,B202,Appointments!$J$6:$J$2005,"Package",Appointments!$F$6:$F$2005,"Done")+IF(Services!$I$6="Yes",COUNTIFS(Appointments!$D$6:$D$2005,B202,Appointments!$J$6:$J$2005,"Package",Appointments!$F$6:$F$2005,"No-show"),0))</f>
        <v/>
      </c>
      <c r="N202" s="18">
        <f>IF(OR(B202="",I202=""),"",IF(AND(J202="",TODAY()-I202&gt;=N(Services!$I$7)),"Not seen for "&amp;(TODAY()-I202)&amp;" days",""))</f>
        <v/>
      </c>
      <c r="O202" s="1">
        <f>IF(N(E202)=0,"",MONTH(E202))</f>
        <v/>
      </c>
    </row>
    <row r="203">
      <c r="A203" s="1" t="n"/>
      <c r="B203" s="35" t="n"/>
      <c r="C203" s="32" t="n"/>
      <c r="D203" s="32" t="n"/>
      <c r="E203" s="36" t="n"/>
      <c r="F203" s="30" t="n"/>
      <c r="G203" s="32" t="n"/>
      <c r="H203" s="26">
        <f>IF(B203="","",COUNTIFS(Appointments!$D$6:$D$2005,B203,Appointments!$F$6:$F$2005,"Done"))</f>
        <v/>
      </c>
      <c r="I203" s="37">
        <f>IF(OR(B203="",N(H203)=0),"",INT(SUMIFS(Appointments!$M$6:$M$2005,Appointments!$D$6:$D$2005,B203,Appointments!$N$6:$N$2005,1)))</f>
        <v/>
      </c>
      <c r="J203" s="37">
        <f>IF(B203="","",IF(SUMIFS(Appointments!$M$6:$M$2005,Appointments!$D$6:$D$2005,B203,Appointments!$O$6:$O$2005,1)=0,"",INT(SUMIFS(Appointments!$M$6:$M$2005,Appointments!$D$6:$D$2005,B203,Appointments!$O$6:$O$2005,1))))</f>
        <v/>
      </c>
      <c r="K203" s="27">
        <f>IF(B203="","",SUMIFS(Appointments!$I$6:$I$2005,Appointments!$D$6:$D$2005,B203)+SUMIFS(Packages!$F$6:$F$305,Packages!$C$6:$C$305,B203))</f>
        <v/>
      </c>
      <c r="L203" s="28">
        <f>IF(B203="","",IF(SUMIFS(Appointments!$K$6:$K$2005,Appointments!$D$6:$D$2005,B203)=0,"",SUMIFS(Appointments!$K$6:$K$2005,Appointments!$D$6:$D$2005,B203)))</f>
        <v/>
      </c>
      <c r="M203" s="38">
        <f>IF(OR(B203="",SUMIFS(Packages!$E$6:$E$305,Packages!$C$6:$C$305,B203)=0),"",SUMIFS(Packages!$E$6:$E$305,Packages!$C$6:$C$305,B203)-COUNTIFS(Appointments!$D$6:$D$2005,B203,Appointments!$J$6:$J$2005,"Package",Appointments!$F$6:$F$2005,"Done")+IF(Services!$I$6="Yes",COUNTIFS(Appointments!$D$6:$D$2005,B203,Appointments!$J$6:$J$2005,"Package",Appointments!$F$6:$F$2005,"No-show"),0))</f>
        <v/>
      </c>
      <c r="N203" s="18">
        <f>IF(OR(B203="",I203=""),"",IF(AND(J203="",TODAY()-I203&gt;=N(Services!$I$7)),"Not seen for "&amp;(TODAY()-I203)&amp;" days",""))</f>
        <v/>
      </c>
      <c r="O203" s="1">
        <f>IF(N(E203)=0,"",MONTH(E203))</f>
        <v/>
      </c>
    </row>
    <row r="204">
      <c r="A204" s="1" t="n"/>
      <c r="B204" s="35" t="n"/>
      <c r="C204" s="32" t="n"/>
      <c r="D204" s="32" t="n"/>
      <c r="E204" s="36" t="n"/>
      <c r="F204" s="30" t="n"/>
      <c r="G204" s="32" t="n"/>
      <c r="H204" s="26">
        <f>IF(B204="","",COUNTIFS(Appointments!$D$6:$D$2005,B204,Appointments!$F$6:$F$2005,"Done"))</f>
        <v/>
      </c>
      <c r="I204" s="37">
        <f>IF(OR(B204="",N(H204)=0),"",INT(SUMIFS(Appointments!$M$6:$M$2005,Appointments!$D$6:$D$2005,B204,Appointments!$N$6:$N$2005,1)))</f>
        <v/>
      </c>
      <c r="J204" s="37">
        <f>IF(B204="","",IF(SUMIFS(Appointments!$M$6:$M$2005,Appointments!$D$6:$D$2005,B204,Appointments!$O$6:$O$2005,1)=0,"",INT(SUMIFS(Appointments!$M$6:$M$2005,Appointments!$D$6:$D$2005,B204,Appointments!$O$6:$O$2005,1))))</f>
        <v/>
      </c>
      <c r="K204" s="27">
        <f>IF(B204="","",SUMIFS(Appointments!$I$6:$I$2005,Appointments!$D$6:$D$2005,B204)+SUMIFS(Packages!$F$6:$F$305,Packages!$C$6:$C$305,B204))</f>
        <v/>
      </c>
      <c r="L204" s="28">
        <f>IF(B204="","",IF(SUMIFS(Appointments!$K$6:$K$2005,Appointments!$D$6:$D$2005,B204)=0,"",SUMIFS(Appointments!$K$6:$K$2005,Appointments!$D$6:$D$2005,B204)))</f>
        <v/>
      </c>
      <c r="M204" s="38">
        <f>IF(OR(B204="",SUMIFS(Packages!$E$6:$E$305,Packages!$C$6:$C$305,B204)=0),"",SUMIFS(Packages!$E$6:$E$305,Packages!$C$6:$C$305,B204)-COUNTIFS(Appointments!$D$6:$D$2005,B204,Appointments!$J$6:$J$2005,"Package",Appointments!$F$6:$F$2005,"Done")+IF(Services!$I$6="Yes",COUNTIFS(Appointments!$D$6:$D$2005,B204,Appointments!$J$6:$J$2005,"Package",Appointments!$F$6:$F$2005,"No-show"),0))</f>
        <v/>
      </c>
      <c r="N204" s="18">
        <f>IF(OR(B204="",I204=""),"",IF(AND(J204="",TODAY()-I204&gt;=N(Services!$I$7)),"Not seen for "&amp;(TODAY()-I204)&amp;" days",""))</f>
        <v/>
      </c>
      <c r="O204" s="1">
        <f>IF(N(E204)=0,"",MONTH(E204))</f>
        <v/>
      </c>
    </row>
    <row r="205">
      <c r="A205" s="1" t="n"/>
      <c r="B205" s="35" t="n"/>
      <c r="C205" s="32" t="n"/>
      <c r="D205" s="32" t="n"/>
      <c r="E205" s="36" t="n"/>
      <c r="F205" s="30" t="n"/>
      <c r="G205" s="32" t="n"/>
      <c r="H205" s="26">
        <f>IF(B205="","",COUNTIFS(Appointments!$D$6:$D$2005,B205,Appointments!$F$6:$F$2005,"Done"))</f>
        <v/>
      </c>
      <c r="I205" s="37">
        <f>IF(OR(B205="",N(H205)=0),"",INT(SUMIFS(Appointments!$M$6:$M$2005,Appointments!$D$6:$D$2005,B205,Appointments!$N$6:$N$2005,1)))</f>
        <v/>
      </c>
      <c r="J205" s="37">
        <f>IF(B205="","",IF(SUMIFS(Appointments!$M$6:$M$2005,Appointments!$D$6:$D$2005,B205,Appointments!$O$6:$O$2005,1)=0,"",INT(SUMIFS(Appointments!$M$6:$M$2005,Appointments!$D$6:$D$2005,B205,Appointments!$O$6:$O$2005,1))))</f>
        <v/>
      </c>
      <c r="K205" s="27">
        <f>IF(B205="","",SUMIFS(Appointments!$I$6:$I$2005,Appointments!$D$6:$D$2005,B205)+SUMIFS(Packages!$F$6:$F$305,Packages!$C$6:$C$305,B205))</f>
        <v/>
      </c>
      <c r="L205" s="28">
        <f>IF(B205="","",IF(SUMIFS(Appointments!$K$6:$K$2005,Appointments!$D$6:$D$2005,B205)=0,"",SUMIFS(Appointments!$K$6:$K$2005,Appointments!$D$6:$D$2005,B205)))</f>
        <v/>
      </c>
      <c r="M205" s="38">
        <f>IF(OR(B205="",SUMIFS(Packages!$E$6:$E$305,Packages!$C$6:$C$305,B205)=0),"",SUMIFS(Packages!$E$6:$E$305,Packages!$C$6:$C$305,B205)-COUNTIFS(Appointments!$D$6:$D$2005,B205,Appointments!$J$6:$J$2005,"Package",Appointments!$F$6:$F$2005,"Done")+IF(Services!$I$6="Yes",COUNTIFS(Appointments!$D$6:$D$2005,B205,Appointments!$J$6:$J$2005,"Package",Appointments!$F$6:$F$2005,"No-show"),0))</f>
        <v/>
      </c>
      <c r="N205" s="18">
        <f>IF(OR(B205="",I205=""),"",IF(AND(J205="",TODAY()-I205&gt;=N(Services!$I$7)),"Not seen for "&amp;(TODAY()-I205)&amp;" days",""))</f>
        <v/>
      </c>
      <c r="O205" s="1">
        <f>IF(N(E205)=0,"",MONTH(E205))</f>
        <v/>
      </c>
    </row>
    <row r="206">
      <c r="A206" s="1" t="n"/>
      <c r="B206" s="35" t="n"/>
      <c r="C206" s="32" t="n"/>
      <c r="D206" s="32" t="n"/>
      <c r="E206" s="36" t="n"/>
      <c r="F206" s="30" t="n"/>
      <c r="G206" s="32" t="n"/>
      <c r="H206" s="26">
        <f>IF(B206="","",COUNTIFS(Appointments!$D$6:$D$2005,B206,Appointments!$F$6:$F$2005,"Done"))</f>
        <v/>
      </c>
      <c r="I206" s="37">
        <f>IF(OR(B206="",N(H206)=0),"",INT(SUMIFS(Appointments!$M$6:$M$2005,Appointments!$D$6:$D$2005,B206,Appointments!$N$6:$N$2005,1)))</f>
        <v/>
      </c>
      <c r="J206" s="37">
        <f>IF(B206="","",IF(SUMIFS(Appointments!$M$6:$M$2005,Appointments!$D$6:$D$2005,B206,Appointments!$O$6:$O$2005,1)=0,"",INT(SUMIFS(Appointments!$M$6:$M$2005,Appointments!$D$6:$D$2005,B206,Appointments!$O$6:$O$2005,1))))</f>
        <v/>
      </c>
      <c r="K206" s="27">
        <f>IF(B206="","",SUMIFS(Appointments!$I$6:$I$2005,Appointments!$D$6:$D$2005,B206)+SUMIFS(Packages!$F$6:$F$305,Packages!$C$6:$C$305,B206))</f>
        <v/>
      </c>
      <c r="L206" s="28">
        <f>IF(B206="","",IF(SUMIFS(Appointments!$K$6:$K$2005,Appointments!$D$6:$D$2005,B206)=0,"",SUMIFS(Appointments!$K$6:$K$2005,Appointments!$D$6:$D$2005,B206)))</f>
        <v/>
      </c>
      <c r="M206" s="38">
        <f>IF(OR(B206="",SUMIFS(Packages!$E$6:$E$305,Packages!$C$6:$C$305,B206)=0),"",SUMIFS(Packages!$E$6:$E$305,Packages!$C$6:$C$305,B206)-COUNTIFS(Appointments!$D$6:$D$2005,B206,Appointments!$J$6:$J$2005,"Package",Appointments!$F$6:$F$2005,"Done")+IF(Services!$I$6="Yes",COUNTIFS(Appointments!$D$6:$D$2005,B206,Appointments!$J$6:$J$2005,"Package",Appointments!$F$6:$F$2005,"No-show"),0))</f>
        <v/>
      </c>
      <c r="N206" s="18">
        <f>IF(OR(B206="",I206=""),"",IF(AND(J206="",TODAY()-I206&gt;=N(Services!$I$7)),"Not seen for "&amp;(TODAY()-I206)&amp;" days",""))</f>
        <v/>
      </c>
      <c r="O206" s="1">
        <f>IF(N(E206)=0,"",MONTH(E206))</f>
        <v/>
      </c>
    </row>
    <row r="207">
      <c r="A207" s="1" t="n"/>
      <c r="B207" s="35" t="n"/>
      <c r="C207" s="32" t="n"/>
      <c r="D207" s="32" t="n"/>
      <c r="E207" s="36" t="n"/>
      <c r="F207" s="30" t="n"/>
      <c r="G207" s="32" t="n"/>
      <c r="H207" s="26">
        <f>IF(B207="","",COUNTIFS(Appointments!$D$6:$D$2005,B207,Appointments!$F$6:$F$2005,"Done"))</f>
        <v/>
      </c>
      <c r="I207" s="37">
        <f>IF(OR(B207="",N(H207)=0),"",INT(SUMIFS(Appointments!$M$6:$M$2005,Appointments!$D$6:$D$2005,B207,Appointments!$N$6:$N$2005,1)))</f>
        <v/>
      </c>
      <c r="J207" s="37">
        <f>IF(B207="","",IF(SUMIFS(Appointments!$M$6:$M$2005,Appointments!$D$6:$D$2005,B207,Appointments!$O$6:$O$2005,1)=0,"",INT(SUMIFS(Appointments!$M$6:$M$2005,Appointments!$D$6:$D$2005,B207,Appointments!$O$6:$O$2005,1))))</f>
        <v/>
      </c>
      <c r="K207" s="27">
        <f>IF(B207="","",SUMIFS(Appointments!$I$6:$I$2005,Appointments!$D$6:$D$2005,B207)+SUMIFS(Packages!$F$6:$F$305,Packages!$C$6:$C$305,B207))</f>
        <v/>
      </c>
      <c r="L207" s="28">
        <f>IF(B207="","",IF(SUMIFS(Appointments!$K$6:$K$2005,Appointments!$D$6:$D$2005,B207)=0,"",SUMIFS(Appointments!$K$6:$K$2005,Appointments!$D$6:$D$2005,B207)))</f>
        <v/>
      </c>
      <c r="M207" s="38">
        <f>IF(OR(B207="",SUMIFS(Packages!$E$6:$E$305,Packages!$C$6:$C$305,B207)=0),"",SUMIFS(Packages!$E$6:$E$305,Packages!$C$6:$C$305,B207)-COUNTIFS(Appointments!$D$6:$D$2005,B207,Appointments!$J$6:$J$2005,"Package",Appointments!$F$6:$F$2005,"Done")+IF(Services!$I$6="Yes",COUNTIFS(Appointments!$D$6:$D$2005,B207,Appointments!$J$6:$J$2005,"Package",Appointments!$F$6:$F$2005,"No-show"),0))</f>
        <v/>
      </c>
      <c r="N207" s="18">
        <f>IF(OR(B207="",I207=""),"",IF(AND(J207="",TODAY()-I207&gt;=N(Services!$I$7)),"Not seen for "&amp;(TODAY()-I207)&amp;" days",""))</f>
        <v/>
      </c>
      <c r="O207" s="1">
        <f>IF(N(E207)=0,"",MONTH(E207))</f>
        <v/>
      </c>
    </row>
    <row r="208">
      <c r="A208" s="1" t="n"/>
      <c r="B208" s="35" t="n"/>
      <c r="C208" s="32" t="n"/>
      <c r="D208" s="32" t="n"/>
      <c r="E208" s="36" t="n"/>
      <c r="F208" s="30" t="n"/>
      <c r="G208" s="32" t="n"/>
      <c r="H208" s="26">
        <f>IF(B208="","",COUNTIFS(Appointments!$D$6:$D$2005,B208,Appointments!$F$6:$F$2005,"Done"))</f>
        <v/>
      </c>
      <c r="I208" s="37">
        <f>IF(OR(B208="",N(H208)=0),"",INT(SUMIFS(Appointments!$M$6:$M$2005,Appointments!$D$6:$D$2005,B208,Appointments!$N$6:$N$2005,1)))</f>
        <v/>
      </c>
      <c r="J208" s="37">
        <f>IF(B208="","",IF(SUMIFS(Appointments!$M$6:$M$2005,Appointments!$D$6:$D$2005,B208,Appointments!$O$6:$O$2005,1)=0,"",INT(SUMIFS(Appointments!$M$6:$M$2005,Appointments!$D$6:$D$2005,B208,Appointments!$O$6:$O$2005,1))))</f>
        <v/>
      </c>
      <c r="K208" s="27">
        <f>IF(B208="","",SUMIFS(Appointments!$I$6:$I$2005,Appointments!$D$6:$D$2005,B208)+SUMIFS(Packages!$F$6:$F$305,Packages!$C$6:$C$305,B208))</f>
        <v/>
      </c>
      <c r="L208" s="28">
        <f>IF(B208="","",IF(SUMIFS(Appointments!$K$6:$K$2005,Appointments!$D$6:$D$2005,B208)=0,"",SUMIFS(Appointments!$K$6:$K$2005,Appointments!$D$6:$D$2005,B208)))</f>
        <v/>
      </c>
      <c r="M208" s="38">
        <f>IF(OR(B208="",SUMIFS(Packages!$E$6:$E$305,Packages!$C$6:$C$305,B208)=0),"",SUMIFS(Packages!$E$6:$E$305,Packages!$C$6:$C$305,B208)-COUNTIFS(Appointments!$D$6:$D$2005,B208,Appointments!$J$6:$J$2005,"Package",Appointments!$F$6:$F$2005,"Done")+IF(Services!$I$6="Yes",COUNTIFS(Appointments!$D$6:$D$2005,B208,Appointments!$J$6:$J$2005,"Package",Appointments!$F$6:$F$2005,"No-show"),0))</f>
        <v/>
      </c>
      <c r="N208" s="18">
        <f>IF(OR(B208="",I208=""),"",IF(AND(J208="",TODAY()-I208&gt;=N(Services!$I$7)),"Not seen for "&amp;(TODAY()-I208)&amp;" days",""))</f>
        <v/>
      </c>
      <c r="O208" s="1">
        <f>IF(N(E208)=0,"",MONTH(E208))</f>
        <v/>
      </c>
    </row>
    <row r="209">
      <c r="A209" s="1" t="n"/>
      <c r="B209" s="35" t="n"/>
      <c r="C209" s="32" t="n"/>
      <c r="D209" s="32" t="n"/>
      <c r="E209" s="36" t="n"/>
      <c r="F209" s="30" t="n"/>
      <c r="G209" s="32" t="n"/>
      <c r="H209" s="26">
        <f>IF(B209="","",COUNTIFS(Appointments!$D$6:$D$2005,B209,Appointments!$F$6:$F$2005,"Done"))</f>
        <v/>
      </c>
      <c r="I209" s="37">
        <f>IF(OR(B209="",N(H209)=0),"",INT(SUMIFS(Appointments!$M$6:$M$2005,Appointments!$D$6:$D$2005,B209,Appointments!$N$6:$N$2005,1)))</f>
        <v/>
      </c>
      <c r="J209" s="37">
        <f>IF(B209="","",IF(SUMIFS(Appointments!$M$6:$M$2005,Appointments!$D$6:$D$2005,B209,Appointments!$O$6:$O$2005,1)=0,"",INT(SUMIFS(Appointments!$M$6:$M$2005,Appointments!$D$6:$D$2005,B209,Appointments!$O$6:$O$2005,1))))</f>
        <v/>
      </c>
      <c r="K209" s="27">
        <f>IF(B209="","",SUMIFS(Appointments!$I$6:$I$2005,Appointments!$D$6:$D$2005,B209)+SUMIFS(Packages!$F$6:$F$305,Packages!$C$6:$C$305,B209))</f>
        <v/>
      </c>
      <c r="L209" s="28">
        <f>IF(B209="","",IF(SUMIFS(Appointments!$K$6:$K$2005,Appointments!$D$6:$D$2005,B209)=0,"",SUMIFS(Appointments!$K$6:$K$2005,Appointments!$D$6:$D$2005,B209)))</f>
        <v/>
      </c>
      <c r="M209" s="38">
        <f>IF(OR(B209="",SUMIFS(Packages!$E$6:$E$305,Packages!$C$6:$C$305,B209)=0),"",SUMIFS(Packages!$E$6:$E$305,Packages!$C$6:$C$305,B209)-COUNTIFS(Appointments!$D$6:$D$2005,B209,Appointments!$J$6:$J$2005,"Package",Appointments!$F$6:$F$2005,"Done")+IF(Services!$I$6="Yes",COUNTIFS(Appointments!$D$6:$D$2005,B209,Appointments!$J$6:$J$2005,"Package",Appointments!$F$6:$F$2005,"No-show"),0))</f>
        <v/>
      </c>
      <c r="N209" s="18">
        <f>IF(OR(B209="",I209=""),"",IF(AND(J209="",TODAY()-I209&gt;=N(Services!$I$7)),"Not seen for "&amp;(TODAY()-I209)&amp;" days",""))</f>
        <v/>
      </c>
      <c r="O209" s="1">
        <f>IF(N(E209)=0,"",MONTH(E209))</f>
        <v/>
      </c>
    </row>
    <row r="210">
      <c r="A210" s="1" t="n"/>
      <c r="B210" s="35" t="n"/>
      <c r="C210" s="32" t="n"/>
      <c r="D210" s="32" t="n"/>
      <c r="E210" s="36" t="n"/>
      <c r="F210" s="30" t="n"/>
      <c r="G210" s="32" t="n"/>
      <c r="H210" s="26">
        <f>IF(B210="","",COUNTIFS(Appointments!$D$6:$D$2005,B210,Appointments!$F$6:$F$2005,"Done"))</f>
        <v/>
      </c>
      <c r="I210" s="37">
        <f>IF(OR(B210="",N(H210)=0),"",INT(SUMIFS(Appointments!$M$6:$M$2005,Appointments!$D$6:$D$2005,B210,Appointments!$N$6:$N$2005,1)))</f>
        <v/>
      </c>
      <c r="J210" s="37">
        <f>IF(B210="","",IF(SUMIFS(Appointments!$M$6:$M$2005,Appointments!$D$6:$D$2005,B210,Appointments!$O$6:$O$2005,1)=0,"",INT(SUMIFS(Appointments!$M$6:$M$2005,Appointments!$D$6:$D$2005,B210,Appointments!$O$6:$O$2005,1))))</f>
        <v/>
      </c>
      <c r="K210" s="27">
        <f>IF(B210="","",SUMIFS(Appointments!$I$6:$I$2005,Appointments!$D$6:$D$2005,B210)+SUMIFS(Packages!$F$6:$F$305,Packages!$C$6:$C$305,B210))</f>
        <v/>
      </c>
      <c r="L210" s="28">
        <f>IF(B210="","",IF(SUMIFS(Appointments!$K$6:$K$2005,Appointments!$D$6:$D$2005,B210)=0,"",SUMIFS(Appointments!$K$6:$K$2005,Appointments!$D$6:$D$2005,B210)))</f>
        <v/>
      </c>
      <c r="M210" s="38">
        <f>IF(OR(B210="",SUMIFS(Packages!$E$6:$E$305,Packages!$C$6:$C$305,B210)=0),"",SUMIFS(Packages!$E$6:$E$305,Packages!$C$6:$C$305,B210)-COUNTIFS(Appointments!$D$6:$D$2005,B210,Appointments!$J$6:$J$2005,"Package",Appointments!$F$6:$F$2005,"Done")+IF(Services!$I$6="Yes",COUNTIFS(Appointments!$D$6:$D$2005,B210,Appointments!$J$6:$J$2005,"Package",Appointments!$F$6:$F$2005,"No-show"),0))</f>
        <v/>
      </c>
      <c r="N210" s="18">
        <f>IF(OR(B210="",I210=""),"",IF(AND(J210="",TODAY()-I210&gt;=N(Services!$I$7)),"Not seen for "&amp;(TODAY()-I210)&amp;" days",""))</f>
        <v/>
      </c>
      <c r="O210" s="1">
        <f>IF(N(E210)=0,"",MONTH(E210))</f>
        <v/>
      </c>
    </row>
    <row r="211">
      <c r="A211" s="1" t="n"/>
      <c r="B211" s="35" t="n"/>
      <c r="C211" s="32" t="n"/>
      <c r="D211" s="32" t="n"/>
      <c r="E211" s="36" t="n"/>
      <c r="F211" s="30" t="n"/>
      <c r="G211" s="32" t="n"/>
      <c r="H211" s="26">
        <f>IF(B211="","",COUNTIFS(Appointments!$D$6:$D$2005,B211,Appointments!$F$6:$F$2005,"Done"))</f>
        <v/>
      </c>
      <c r="I211" s="37">
        <f>IF(OR(B211="",N(H211)=0),"",INT(SUMIFS(Appointments!$M$6:$M$2005,Appointments!$D$6:$D$2005,B211,Appointments!$N$6:$N$2005,1)))</f>
        <v/>
      </c>
      <c r="J211" s="37">
        <f>IF(B211="","",IF(SUMIFS(Appointments!$M$6:$M$2005,Appointments!$D$6:$D$2005,B211,Appointments!$O$6:$O$2005,1)=0,"",INT(SUMIFS(Appointments!$M$6:$M$2005,Appointments!$D$6:$D$2005,B211,Appointments!$O$6:$O$2005,1))))</f>
        <v/>
      </c>
      <c r="K211" s="27">
        <f>IF(B211="","",SUMIFS(Appointments!$I$6:$I$2005,Appointments!$D$6:$D$2005,B211)+SUMIFS(Packages!$F$6:$F$305,Packages!$C$6:$C$305,B211))</f>
        <v/>
      </c>
      <c r="L211" s="28">
        <f>IF(B211="","",IF(SUMIFS(Appointments!$K$6:$K$2005,Appointments!$D$6:$D$2005,B211)=0,"",SUMIFS(Appointments!$K$6:$K$2005,Appointments!$D$6:$D$2005,B211)))</f>
        <v/>
      </c>
      <c r="M211" s="38">
        <f>IF(OR(B211="",SUMIFS(Packages!$E$6:$E$305,Packages!$C$6:$C$305,B211)=0),"",SUMIFS(Packages!$E$6:$E$305,Packages!$C$6:$C$305,B211)-COUNTIFS(Appointments!$D$6:$D$2005,B211,Appointments!$J$6:$J$2005,"Package",Appointments!$F$6:$F$2005,"Done")+IF(Services!$I$6="Yes",COUNTIFS(Appointments!$D$6:$D$2005,B211,Appointments!$J$6:$J$2005,"Package",Appointments!$F$6:$F$2005,"No-show"),0))</f>
        <v/>
      </c>
      <c r="N211" s="18">
        <f>IF(OR(B211="",I211=""),"",IF(AND(J211="",TODAY()-I211&gt;=N(Services!$I$7)),"Not seen for "&amp;(TODAY()-I211)&amp;" days",""))</f>
        <v/>
      </c>
      <c r="O211" s="1">
        <f>IF(N(E211)=0,"",MONTH(E211))</f>
        <v/>
      </c>
    </row>
    <row r="212">
      <c r="A212" s="1" t="n"/>
      <c r="B212" s="35" t="n"/>
      <c r="C212" s="32" t="n"/>
      <c r="D212" s="32" t="n"/>
      <c r="E212" s="36" t="n"/>
      <c r="F212" s="30" t="n"/>
      <c r="G212" s="32" t="n"/>
      <c r="H212" s="26">
        <f>IF(B212="","",COUNTIFS(Appointments!$D$6:$D$2005,B212,Appointments!$F$6:$F$2005,"Done"))</f>
        <v/>
      </c>
      <c r="I212" s="37">
        <f>IF(OR(B212="",N(H212)=0),"",INT(SUMIFS(Appointments!$M$6:$M$2005,Appointments!$D$6:$D$2005,B212,Appointments!$N$6:$N$2005,1)))</f>
        <v/>
      </c>
      <c r="J212" s="37">
        <f>IF(B212="","",IF(SUMIFS(Appointments!$M$6:$M$2005,Appointments!$D$6:$D$2005,B212,Appointments!$O$6:$O$2005,1)=0,"",INT(SUMIFS(Appointments!$M$6:$M$2005,Appointments!$D$6:$D$2005,B212,Appointments!$O$6:$O$2005,1))))</f>
        <v/>
      </c>
      <c r="K212" s="27">
        <f>IF(B212="","",SUMIFS(Appointments!$I$6:$I$2005,Appointments!$D$6:$D$2005,B212)+SUMIFS(Packages!$F$6:$F$305,Packages!$C$6:$C$305,B212))</f>
        <v/>
      </c>
      <c r="L212" s="28">
        <f>IF(B212="","",IF(SUMIFS(Appointments!$K$6:$K$2005,Appointments!$D$6:$D$2005,B212)=0,"",SUMIFS(Appointments!$K$6:$K$2005,Appointments!$D$6:$D$2005,B212)))</f>
        <v/>
      </c>
      <c r="M212" s="38">
        <f>IF(OR(B212="",SUMIFS(Packages!$E$6:$E$305,Packages!$C$6:$C$305,B212)=0),"",SUMIFS(Packages!$E$6:$E$305,Packages!$C$6:$C$305,B212)-COUNTIFS(Appointments!$D$6:$D$2005,B212,Appointments!$J$6:$J$2005,"Package",Appointments!$F$6:$F$2005,"Done")+IF(Services!$I$6="Yes",COUNTIFS(Appointments!$D$6:$D$2005,B212,Appointments!$J$6:$J$2005,"Package",Appointments!$F$6:$F$2005,"No-show"),0))</f>
        <v/>
      </c>
      <c r="N212" s="18">
        <f>IF(OR(B212="",I212=""),"",IF(AND(J212="",TODAY()-I212&gt;=N(Services!$I$7)),"Not seen for "&amp;(TODAY()-I212)&amp;" days",""))</f>
        <v/>
      </c>
      <c r="O212" s="1">
        <f>IF(N(E212)=0,"",MONTH(E212))</f>
        <v/>
      </c>
    </row>
    <row r="213">
      <c r="A213" s="1" t="n"/>
      <c r="B213" s="35" t="n"/>
      <c r="C213" s="32" t="n"/>
      <c r="D213" s="32" t="n"/>
      <c r="E213" s="36" t="n"/>
      <c r="F213" s="30" t="n"/>
      <c r="G213" s="32" t="n"/>
      <c r="H213" s="26">
        <f>IF(B213="","",COUNTIFS(Appointments!$D$6:$D$2005,B213,Appointments!$F$6:$F$2005,"Done"))</f>
        <v/>
      </c>
      <c r="I213" s="37">
        <f>IF(OR(B213="",N(H213)=0),"",INT(SUMIFS(Appointments!$M$6:$M$2005,Appointments!$D$6:$D$2005,B213,Appointments!$N$6:$N$2005,1)))</f>
        <v/>
      </c>
      <c r="J213" s="37">
        <f>IF(B213="","",IF(SUMIFS(Appointments!$M$6:$M$2005,Appointments!$D$6:$D$2005,B213,Appointments!$O$6:$O$2005,1)=0,"",INT(SUMIFS(Appointments!$M$6:$M$2005,Appointments!$D$6:$D$2005,B213,Appointments!$O$6:$O$2005,1))))</f>
        <v/>
      </c>
      <c r="K213" s="27">
        <f>IF(B213="","",SUMIFS(Appointments!$I$6:$I$2005,Appointments!$D$6:$D$2005,B213)+SUMIFS(Packages!$F$6:$F$305,Packages!$C$6:$C$305,B213))</f>
        <v/>
      </c>
      <c r="L213" s="28">
        <f>IF(B213="","",IF(SUMIFS(Appointments!$K$6:$K$2005,Appointments!$D$6:$D$2005,B213)=0,"",SUMIFS(Appointments!$K$6:$K$2005,Appointments!$D$6:$D$2005,B213)))</f>
        <v/>
      </c>
      <c r="M213" s="38">
        <f>IF(OR(B213="",SUMIFS(Packages!$E$6:$E$305,Packages!$C$6:$C$305,B213)=0),"",SUMIFS(Packages!$E$6:$E$305,Packages!$C$6:$C$305,B213)-COUNTIFS(Appointments!$D$6:$D$2005,B213,Appointments!$J$6:$J$2005,"Package",Appointments!$F$6:$F$2005,"Done")+IF(Services!$I$6="Yes",COUNTIFS(Appointments!$D$6:$D$2005,B213,Appointments!$J$6:$J$2005,"Package",Appointments!$F$6:$F$2005,"No-show"),0))</f>
        <v/>
      </c>
      <c r="N213" s="18">
        <f>IF(OR(B213="",I213=""),"",IF(AND(J213="",TODAY()-I213&gt;=N(Services!$I$7)),"Not seen for "&amp;(TODAY()-I213)&amp;" days",""))</f>
        <v/>
      </c>
      <c r="O213" s="1">
        <f>IF(N(E213)=0,"",MONTH(E213))</f>
        <v/>
      </c>
    </row>
    <row r="214">
      <c r="A214" s="1" t="n"/>
      <c r="B214" s="35" t="n"/>
      <c r="C214" s="32" t="n"/>
      <c r="D214" s="32" t="n"/>
      <c r="E214" s="36" t="n"/>
      <c r="F214" s="30" t="n"/>
      <c r="G214" s="32" t="n"/>
      <c r="H214" s="26">
        <f>IF(B214="","",COUNTIFS(Appointments!$D$6:$D$2005,B214,Appointments!$F$6:$F$2005,"Done"))</f>
        <v/>
      </c>
      <c r="I214" s="37">
        <f>IF(OR(B214="",N(H214)=0),"",INT(SUMIFS(Appointments!$M$6:$M$2005,Appointments!$D$6:$D$2005,B214,Appointments!$N$6:$N$2005,1)))</f>
        <v/>
      </c>
      <c r="J214" s="37">
        <f>IF(B214="","",IF(SUMIFS(Appointments!$M$6:$M$2005,Appointments!$D$6:$D$2005,B214,Appointments!$O$6:$O$2005,1)=0,"",INT(SUMIFS(Appointments!$M$6:$M$2005,Appointments!$D$6:$D$2005,B214,Appointments!$O$6:$O$2005,1))))</f>
        <v/>
      </c>
      <c r="K214" s="27">
        <f>IF(B214="","",SUMIFS(Appointments!$I$6:$I$2005,Appointments!$D$6:$D$2005,B214)+SUMIFS(Packages!$F$6:$F$305,Packages!$C$6:$C$305,B214))</f>
        <v/>
      </c>
      <c r="L214" s="28">
        <f>IF(B214="","",IF(SUMIFS(Appointments!$K$6:$K$2005,Appointments!$D$6:$D$2005,B214)=0,"",SUMIFS(Appointments!$K$6:$K$2005,Appointments!$D$6:$D$2005,B214)))</f>
        <v/>
      </c>
      <c r="M214" s="38">
        <f>IF(OR(B214="",SUMIFS(Packages!$E$6:$E$305,Packages!$C$6:$C$305,B214)=0),"",SUMIFS(Packages!$E$6:$E$305,Packages!$C$6:$C$305,B214)-COUNTIFS(Appointments!$D$6:$D$2005,B214,Appointments!$J$6:$J$2005,"Package",Appointments!$F$6:$F$2005,"Done")+IF(Services!$I$6="Yes",COUNTIFS(Appointments!$D$6:$D$2005,B214,Appointments!$J$6:$J$2005,"Package",Appointments!$F$6:$F$2005,"No-show"),0))</f>
        <v/>
      </c>
      <c r="N214" s="18">
        <f>IF(OR(B214="",I214=""),"",IF(AND(J214="",TODAY()-I214&gt;=N(Services!$I$7)),"Not seen for "&amp;(TODAY()-I214)&amp;" days",""))</f>
        <v/>
      </c>
      <c r="O214" s="1">
        <f>IF(N(E214)=0,"",MONTH(E214))</f>
        <v/>
      </c>
    </row>
    <row r="215">
      <c r="A215" s="1" t="n"/>
      <c r="B215" s="35" t="n"/>
      <c r="C215" s="32" t="n"/>
      <c r="D215" s="32" t="n"/>
      <c r="E215" s="36" t="n"/>
      <c r="F215" s="30" t="n"/>
      <c r="G215" s="32" t="n"/>
      <c r="H215" s="26">
        <f>IF(B215="","",COUNTIFS(Appointments!$D$6:$D$2005,B215,Appointments!$F$6:$F$2005,"Done"))</f>
        <v/>
      </c>
      <c r="I215" s="37">
        <f>IF(OR(B215="",N(H215)=0),"",INT(SUMIFS(Appointments!$M$6:$M$2005,Appointments!$D$6:$D$2005,B215,Appointments!$N$6:$N$2005,1)))</f>
        <v/>
      </c>
      <c r="J215" s="37">
        <f>IF(B215="","",IF(SUMIFS(Appointments!$M$6:$M$2005,Appointments!$D$6:$D$2005,B215,Appointments!$O$6:$O$2005,1)=0,"",INT(SUMIFS(Appointments!$M$6:$M$2005,Appointments!$D$6:$D$2005,B215,Appointments!$O$6:$O$2005,1))))</f>
        <v/>
      </c>
      <c r="K215" s="27">
        <f>IF(B215="","",SUMIFS(Appointments!$I$6:$I$2005,Appointments!$D$6:$D$2005,B215)+SUMIFS(Packages!$F$6:$F$305,Packages!$C$6:$C$305,B215))</f>
        <v/>
      </c>
      <c r="L215" s="28">
        <f>IF(B215="","",IF(SUMIFS(Appointments!$K$6:$K$2005,Appointments!$D$6:$D$2005,B215)=0,"",SUMIFS(Appointments!$K$6:$K$2005,Appointments!$D$6:$D$2005,B215)))</f>
        <v/>
      </c>
      <c r="M215" s="38">
        <f>IF(OR(B215="",SUMIFS(Packages!$E$6:$E$305,Packages!$C$6:$C$305,B215)=0),"",SUMIFS(Packages!$E$6:$E$305,Packages!$C$6:$C$305,B215)-COUNTIFS(Appointments!$D$6:$D$2005,B215,Appointments!$J$6:$J$2005,"Package",Appointments!$F$6:$F$2005,"Done")+IF(Services!$I$6="Yes",COUNTIFS(Appointments!$D$6:$D$2005,B215,Appointments!$J$6:$J$2005,"Package",Appointments!$F$6:$F$2005,"No-show"),0))</f>
        <v/>
      </c>
      <c r="N215" s="18">
        <f>IF(OR(B215="",I215=""),"",IF(AND(J215="",TODAY()-I215&gt;=N(Services!$I$7)),"Not seen for "&amp;(TODAY()-I215)&amp;" days",""))</f>
        <v/>
      </c>
      <c r="O215" s="1">
        <f>IF(N(E215)=0,"",MONTH(E215))</f>
        <v/>
      </c>
    </row>
    <row r="216">
      <c r="A216" s="1" t="n"/>
      <c r="B216" s="35" t="n"/>
      <c r="C216" s="32" t="n"/>
      <c r="D216" s="32" t="n"/>
      <c r="E216" s="36" t="n"/>
      <c r="F216" s="30" t="n"/>
      <c r="G216" s="32" t="n"/>
      <c r="H216" s="26">
        <f>IF(B216="","",COUNTIFS(Appointments!$D$6:$D$2005,B216,Appointments!$F$6:$F$2005,"Done"))</f>
        <v/>
      </c>
      <c r="I216" s="37">
        <f>IF(OR(B216="",N(H216)=0),"",INT(SUMIFS(Appointments!$M$6:$M$2005,Appointments!$D$6:$D$2005,B216,Appointments!$N$6:$N$2005,1)))</f>
        <v/>
      </c>
      <c r="J216" s="37">
        <f>IF(B216="","",IF(SUMIFS(Appointments!$M$6:$M$2005,Appointments!$D$6:$D$2005,B216,Appointments!$O$6:$O$2005,1)=0,"",INT(SUMIFS(Appointments!$M$6:$M$2005,Appointments!$D$6:$D$2005,B216,Appointments!$O$6:$O$2005,1))))</f>
        <v/>
      </c>
      <c r="K216" s="27">
        <f>IF(B216="","",SUMIFS(Appointments!$I$6:$I$2005,Appointments!$D$6:$D$2005,B216)+SUMIFS(Packages!$F$6:$F$305,Packages!$C$6:$C$305,B216))</f>
        <v/>
      </c>
      <c r="L216" s="28">
        <f>IF(B216="","",IF(SUMIFS(Appointments!$K$6:$K$2005,Appointments!$D$6:$D$2005,B216)=0,"",SUMIFS(Appointments!$K$6:$K$2005,Appointments!$D$6:$D$2005,B216)))</f>
        <v/>
      </c>
      <c r="M216" s="38">
        <f>IF(OR(B216="",SUMIFS(Packages!$E$6:$E$305,Packages!$C$6:$C$305,B216)=0),"",SUMIFS(Packages!$E$6:$E$305,Packages!$C$6:$C$305,B216)-COUNTIFS(Appointments!$D$6:$D$2005,B216,Appointments!$J$6:$J$2005,"Package",Appointments!$F$6:$F$2005,"Done")+IF(Services!$I$6="Yes",COUNTIFS(Appointments!$D$6:$D$2005,B216,Appointments!$J$6:$J$2005,"Package",Appointments!$F$6:$F$2005,"No-show"),0))</f>
        <v/>
      </c>
      <c r="N216" s="18">
        <f>IF(OR(B216="",I216=""),"",IF(AND(J216="",TODAY()-I216&gt;=N(Services!$I$7)),"Not seen for "&amp;(TODAY()-I216)&amp;" days",""))</f>
        <v/>
      </c>
      <c r="O216" s="1">
        <f>IF(N(E216)=0,"",MONTH(E216))</f>
        <v/>
      </c>
    </row>
    <row r="217">
      <c r="A217" s="1" t="n"/>
      <c r="B217" s="35" t="n"/>
      <c r="C217" s="32" t="n"/>
      <c r="D217" s="32" t="n"/>
      <c r="E217" s="36" t="n"/>
      <c r="F217" s="30" t="n"/>
      <c r="G217" s="32" t="n"/>
      <c r="H217" s="26">
        <f>IF(B217="","",COUNTIFS(Appointments!$D$6:$D$2005,B217,Appointments!$F$6:$F$2005,"Done"))</f>
        <v/>
      </c>
      <c r="I217" s="37">
        <f>IF(OR(B217="",N(H217)=0),"",INT(SUMIFS(Appointments!$M$6:$M$2005,Appointments!$D$6:$D$2005,B217,Appointments!$N$6:$N$2005,1)))</f>
        <v/>
      </c>
      <c r="J217" s="37">
        <f>IF(B217="","",IF(SUMIFS(Appointments!$M$6:$M$2005,Appointments!$D$6:$D$2005,B217,Appointments!$O$6:$O$2005,1)=0,"",INT(SUMIFS(Appointments!$M$6:$M$2005,Appointments!$D$6:$D$2005,B217,Appointments!$O$6:$O$2005,1))))</f>
        <v/>
      </c>
      <c r="K217" s="27">
        <f>IF(B217="","",SUMIFS(Appointments!$I$6:$I$2005,Appointments!$D$6:$D$2005,B217)+SUMIFS(Packages!$F$6:$F$305,Packages!$C$6:$C$305,B217))</f>
        <v/>
      </c>
      <c r="L217" s="28">
        <f>IF(B217="","",IF(SUMIFS(Appointments!$K$6:$K$2005,Appointments!$D$6:$D$2005,B217)=0,"",SUMIFS(Appointments!$K$6:$K$2005,Appointments!$D$6:$D$2005,B217)))</f>
        <v/>
      </c>
      <c r="M217" s="38">
        <f>IF(OR(B217="",SUMIFS(Packages!$E$6:$E$305,Packages!$C$6:$C$305,B217)=0),"",SUMIFS(Packages!$E$6:$E$305,Packages!$C$6:$C$305,B217)-COUNTIFS(Appointments!$D$6:$D$2005,B217,Appointments!$J$6:$J$2005,"Package",Appointments!$F$6:$F$2005,"Done")+IF(Services!$I$6="Yes",COUNTIFS(Appointments!$D$6:$D$2005,B217,Appointments!$J$6:$J$2005,"Package",Appointments!$F$6:$F$2005,"No-show"),0))</f>
        <v/>
      </c>
      <c r="N217" s="18">
        <f>IF(OR(B217="",I217=""),"",IF(AND(J217="",TODAY()-I217&gt;=N(Services!$I$7)),"Not seen for "&amp;(TODAY()-I217)&amp;" days",""))</f>
        <v/>
      </c>
      <c r="O217" s="1">
        <f>IF(N(E217)=0,"",MONTH(E217))</f>
        <v/>
      </c>
    </row>
    <row r="218">
      <c r="A218" s="1" t="n"/>
      <c r="B218" s="35" t="n"/>
      <c r="C218" s="32" t="n"/>
      <c r="D218" s="32" t="n"/>
      <c r="E218" s="36" t="n"/>
      <c r="F218" s="30" t="n"/>
      <c r="G218" s="32" t="n"/>
      <c r="H218" s="26">
        <f>IF(B218="","",COUNTIFS(Appointments!$D$6:$D$2005,B218,Appointments!$F$6:$F$2005,"Done"))</f>
        <v/>
      </c>
      <c r="I218" s="37">
        <f>IF(OR(B218="",N(H218)=0),"",INT(SUMIFS(Appointments!$M$6:$M$2005,Appointments!$D$6:$D$2005,B218,Appointments!$N$6:$N$2005,1)))</f>
        <v/>
      </c>
      <c r="J218" s="37">
        <f>IF(B218="","",IF(SUMIFS(Appointments!$M$6:$M$2005,Appointments!$D$6:$D$2005,B218,Appointments!$O$6:$O$2005,1)=0,"",INT(SUMIFS(Appointments!$M$6:$M$2005,Appointments!$D$6:$D$2005,B218,Appointments!$O$6:$O$2005,1))))</f>
        <v/>
      </c>
      <c r="K218" s="27">
        <f>IF(B218="","",SUMIFS(Appointments!$I$6:$I$2005,Appointments!$D$6:$D$2005,B218)+SUMIFS(Packages!$F$6:$F$305,Packages!$C$6:$C$305,B218))</f>
        <v/>
      </c>
      <c r="L218" s="28">
        <f>IF(B218="","",IF(SUMIFS(Appointments!$K$6:$K$2005,Appointments!$D$6:$D$2005,B218)=0,"",SUMIFS(Appointments!$K$6:$K$2005,Appointments!$D$6:$D$2005,B218)))</f>
        <v/>
      </c>
      <c r="M218" s="38">
        <f>IF(OR(B218="",SUMIFS(Packages!$E$6:$E$305,Packages!$C$6:$C$305,B218)=0),"",SUMIFS(Packages!$E$6:$E$305,Packages!$C$6:$C$305,B218)-COUNTIFS(Appointments!$D$6:$D$2005,B218,Appointments!$J$6:$J$2005,"Package",Appointments!$F$6:$F$2005,"Done")+IF(Services!$I$6="Yes",COUNTIFS(Appointments!$D$6:$D$2005,B218,Appointments!$J$6:$J$2005,"Package",Appointments!$F$6:$F$2005,"No-show"),0))</f>
        <v/>
      </c>
      <c r="N218" s="18">
        <f>IF(OR(B218="",I218=""),"",IF(AND(J218="",TODAY()-I218&gt;=N(Services!$I$7)),"Not seen for "&amp;(TODAY()-I218)&amp;" days",""))</f>
        <v/>
      </c>
      <c r="O218" s="1">
        <f>IF(N(E218)=0,"",MONTH(E218))</f>
        <v/>
      </c>
    </row>
    <row r="219">
      <c r="A219" s="1" t="n"/>
      <c r="B219" s="35" t="n"/>
      <c r="C219" s="32" t="n"/>
      <c r="D219" s="32" t="n"/>
      <c r="E219" s="36" t="n"/>
      <c r="F219" s="30" t="n"/>
      <c r="G219" s="32" t="n"/>
      <c r="H219" s="26">
        <f>IF(B219="","",COUNTIFS(Appointments!$D$6:$D$2005,B219,Appointments!$F$6:$F$2005,"Done"))</f>
        <v/>
      </c>
      <c r="I219" s="37">
        <f>IF(OR(B219="",N(H219)=0),"",INT(SUMIFS(Appointments!$M$6:$M$2005,Appointments!$D$6:$D$2005,B219,Appointments!$N$6:$N$2005,1)))</f>
        <v/>
      </c>
      <c r="J219" s="37">
        <f>IF(B219="","",IF(SUMIFS(Appointments!$M$6:$M$2005,Appointments!$D$6:$D$2005,B219,Appointments!$O$6:$O$2005,1)=0,"",INT(SUMIFS(Appointments!$M$6:$M$2005,Appointments!$D$6:$D$2005,B219,Appointments!$O$6:$O$2005,1))))</f>
        <v/>
      </c>
      <c r="K219" s="27">
        <f>IF(B219="","",SUMIFS(Appointments!$I$6:$I$2005,Appointments!$D$6:$D$2005,B219)+SUMIFS(Packages!$F$6:$F$305,Packages!$C$6:$C$305,B219))</f>
        <v/>
      </c>
      <c r="L219" s="28">
        <f>IF(B219="","",IF(SUMIFS(Appointments!$K$6:$K$2005,Appointments!$D$6:$D$2005,B219)=0,"",SUMIFS(Appointments!$K$6:$K$2005,Appointments!$D$6:$D$2005,B219)))</f>
        <v/>
      </c>
      <c r="M219" s="38">
        <f>IF(OR(B219="",SUMIFS(Packages!$E$6:$E$305,Packages!$C$6:$C$305,B219)=0),"",SUMIFS(Packages!$E$6:$E$305,Packages!$C$6:$C$305,B219)-COUNTIFS(Appointments!$D$6:$D$2005,B219,Appointments!$J$6:$J$2005,"Package",Appointments!$F$6:$F$2005,"Done")+IF(Services!$I$6="Yes",COUNTIFS(Appointments!$D$6:$D$2005,B219,Appointments!$J$6:$J$2005,"Package",Appointments!$F$6:$F$2005,"No-show"),0))</f>
        <v/>
      </c>
      <c r="N219" s="18">
        <f>IF(OR(B219="",I219=""),"",IF(AND(J219="",TODAY()-I219&gt;=N(Services!$I$7)),"Not seen for "&amp;(TODAY()-I219)&amp;" days",""))</f>
        <v/>
      </c>
      <c r="O219" s="1">
        <f>IF(N(E219)=0,"",MONTH(E219))</f>
        <v/>
      </c>
    </row>
    <row r="220">
      <c r="A220" s="1" t="n"/>
      <c r="B220" s="35" t="n"/>
      <c r="C220" s="32" t="n"/>
      <c r="D220" s="32" t="n"/>
      <c r="E220" s="36" t="n"/>
      <c r="F220" s="30" t="n"/>
      <c r="G220" s="32" t="n"/>
      <c r="H220" s="26">
        <f>IF(B220="","",COUNTIFS(Appointments!$D$6:$D$2005,B220,Appointments!$F$6:$F$2005,"Done"))</f>
        <v/>
      </c>
      <c r="I220" s="37">
        <f>IF(OR(B220="",N(H220)=0),"",INT(SUMIFS(Appointments!$M$6:$M$2005,Appointments!$D$6:$D$2005,B220,Appointments!$N$6:$N$2005,1)))</f>
        <v/>
      </c>
      <c r="J220" s="37">
        <f>IF(B220="","",IF(SUMIFS(Appointments!$M$6:$M$2005,Appointments!$D$6:$D$2005,B220,Appointments!$O$6:$O$2005,1)=0,"",INT(SUMIFS(Appointments!$M$6:$M$2005,Appointments!$D$6:$D$2005,B220,Appointments!$O$6:$O$2005,1))))</f>
        <v/>
      </c>
      <c r="K220" s="27">
        <f>IF(B220="","",SUMIFS(Appointments!$I$6:$I$2005,Appointments!$D$6:$D$2005,B220)+SUMIFS(Packages!$F$6:$F$305,Packages!$C$6:$C$305,B220))</f>
        <v/>
      </c>
      <c r="L220" s="28">
        <f>IF(B220="","",IF(SUMIFS(Appointments!$K$6:$K$2005,Appointments!$D$6:$D$2005,B220)=0,"",SUMIFS(Appointments!$K$6:$K$2005,Appointments!$D$6:$D$2005,B220)))</f>
        <v/>
      </c>
      <c r="M220" s="38">
        <f>IF(OR(B220="",SUMIFS(Packages!$E$6:$E$305,Packages!$C$6:$C$305,B220)=0),"",SUMIFS(Packages!$E$6:$E$305,Packages!$C$6:$C$305,B220)-COUNTIFS(Appointments!$D$6:$D$2005,B220,Appointments!$J$6:$J$2005,"Package",Appointments!$F$6:$F$2005,"Done")+IF(Services!$I$6="Yes",COUNTIFS(Appointments!$D$6:$D$2005,B220,Appointments!$J$6:$J$2005,"Package",Appointments!$F$6:$F$2005,"No-show"),0))</f>
        <v/>
      </c>
      <c r="N220" s="18">
        <f>IF(OR(B220="",I220=""),"",IF(AND(J220="",TODAY()-I220&gt;=N(Services!$I$7)),"Not seen for "&amp;(TODAY()-I220)&amp;" days",""))</f>
        <v/>
      </c>
      <c r="O220" s="1">
        <f>IF(N(E220)=0,"",MONTH(E220))</f>
        <v/>
      </c>
    </row>
    <row r="221">
      <c r="A221" s="1" t="n"/>
      <c r="B221" s="35" t="n"/>
      <c r="C221" s="32" t="n"/>
      <c r="D221" s="32" t="n"/>
      <c r="E221" s="36" t="n"/>
      <c r="F221" s="30" t="n"/>
      <c r="G221" s="32" t="n"/>
      <c r="H221" s="26">
        <f>IF(B221="","",COUNTIFS(Appointments!$D$6:$D$2005,B221,Appointments!$F$6:$F$2005,"Done"))</f>
        <v/>
      </c>
      <c r="I221" s="37">
        <f>IF(OR(B221="",N(H221)=0),"",INT(SUMIFS(Appointments!$M$6:$M$2005,Appointments!$D$6:$D$2005,B221,Appointments!$N$6:$N$2005,1)))</f>
        <v/>
      </c>
      <c r="J221" s="37">
        <f>IF(B221="","",IF(SUMIFS(Appointments!$M$6:$M$2005,Appointments!$D$6:$D$2005,B221,Appointments!$O$6:$O$2005,1)=0,"",INT(SUMIFS(Appointments!$M$6:$M$2005,Appointments!$D$6:$D$2005,B221,Appointments!$O$6:$O$2005,1))))</f>
        <v/>
      </c>
      <c r="K221" s="27">
        <f>IF(B221="","",SUMIFS(Appointments!$I$6:$I$2005,Appointments!$D$6:$D$2005,B221)+SUMIFS(Packages!$F$6:$F$305,Packages!$C$6:$C$305,B221))</f>
        <v/>
      </c>
      <c r="L221" s="28">
        <f>IF(B221="","",IF(SUMIFS(Appointments!$K$6:$K$2005,Appointments!$D$6:$D$2005,B221)=0,"",SUMIFS(Appointments!$K$6:$K$2005,Appointments!$D$6:$D$2005,B221)))</f>
        <v/>
      </c>
      <c r="M221" s="38">
        <f>IF(OR(B221="",SUMIFS(Packages!$E$6:$E$305,Packages!$C$6:$C$305,B221)=0),"",SUMIFS(Packages!$E$6:$E$305,Packages!$C$6:$C$305,B221)-COUNTIFS(Appointments!$D$6:$D$2005,B221,Appointments!$J$6:$J$2005,"Package",Appointments!$F$6:$F$2005,"Done")+IF(Services!$I$6="Yes",COUNTIFS(Appointments!$D$6:$D$2005,B221,Appointments!$J$6:$J$2005,"Package",Appointments!$F$6:$F$2005,"No-show"),0))</f>
        <v/>
      </c>
      <c r="N221" s="18">
        <f>IF(OR(B221="",I221=""),"",IF(AND(J221="",TODAY()-I221&gt;=N(Services!$I$7)),"Not seen for "&amp;(TODAY()-I221)&amp;" days",""))</f>
        <v/>
      </c>
      <c r="O221" s="1">
        <f>IF(N(E221)=0,"",MONTH(E221))</f>
        <v/>
      </c>
    </row>
    <row r="222">
      <c r="A222" s="1" t="n"/>
      <c r="B222" s="35" t="n"/>
      <c r="C222" s="32" t="n"/>
      <c r="D222" s="32" t="n"/>
      <c r="E222" s="36" t="n"/>
      <c r="F222" s="30" t="n"/>
      <c r="G222" s="32" t="n"/>
      <c r="H222" s="26">
        <f>IF(B222="","",COUNTIFS(Appointments!$D$6:$D$2005,B222,Appointments!$F$6:$F$2005,"Done"))</f>
        <v/>
      </c>
      <c r="I222" s="37">
        <f>IF(OR(B222="",N(H222)=0),"",INT(SUMIFS(Appointments!$M$6:$M$2005,Appointments!$D$6:$D$2005,B222,Appointments!$N$6:$N$2005,1)))</f>
        <v/>
      </c>
      <c r="J222" s="37">
        <f>IF(B222="","",IF(SUMIFS(Appointments!$M$6:$M$2005,Appointments!$D$6:$D$2005,B222,Appointments!$O$6:$O$2005,1)=0,"",INT(SUMIFS(Appointments!$M$6:$M$2005,Appointments!$D$6:$D$2005,B222,Appointments!$O$6:$O$2005,1))))</f>
        <v/>
      </c>
      <c r="K222" s="27">
        <f>IF(B222="","",SUMIFS(Appointments!$I$6:$I$2005,Appointments!$D$6:$D$2005,B222)+SUMIFS(Packages!$F$6:$F$305,Packages!$C$6:$C$305,B222))</f>
        <v/>
      </c>
      <c r="L222" s="28">
        <f>IF(B222="","",IF(SUMIFS(Appointments!$K$6:$K$2005,Appointments!$D$6:$D$2005,B222)=0,"",SUMIFS(Appointments!$K$6:$K$2005,Appointments!$D$6:$D$2005,B222)))</f>
        <v/>
      </c>
      <c r="M222" s="38">
        <f>IF(OR(B222="",SUMIFS(Packages!$E$6:$E$305,Packages!$C$6:$C$305,B222)=0),"",SUMIFS(Packages!$E$6:$E$305,Packages!$C$6:$C$305,B222)-COUNTIFS(Appointments!$D$6:$D$2005,B222,Appointments!$J$6:$J$2005,"Package",Appointments!$F$6:$F$2005,"Done")+IF(Services!$I$6="Yes",COUNTIFS(Appointments!$D$6:$D$2005,B222,Appointments!$J$6:$J$2005,"Package",Appointments!$F$6:$F$2005,"No-show"),0))</f>
        <v/>
      </c>
      <c r="N222" s="18">
        <f>IF(OR(B222="",I222=""),"",IF(AND(J222="",TODAY()-I222&gt;=N(Services!$I$7)),"Not seen for "&amp;(TODAY()-I222)&amp;" days",""))</f>
        <v/>
      </c>
      <c r="O222" s="1">
        <f>IF(N(E222)=0,"",MONTH(E222))</f>
        <v/>
      </c>
    </row>
    <row r="223">
      <c r="A223" s="1" t="n"/>
      <c r="B223" s="35" t="n"/>
      <c r="C223" s="32" t="n"/>
      <c r="D223" s="32" t="n"/>
      <c r="E223" s="36" t="n"/>
      <c r="F223" s="30" t="n"/>
      <c r="G223" s="32" t="n"/>
      <c r="H223" s="26">
        <f>IF(B223="","",COUNTIFS(Appointments!$D$6:$D$2005,B223,Appointments!$F$6:$F$2005,"Done"))</f>
        <v/>
      </c>
      <c r="I223" s="37">
        <f>IF(OR(B223="",N(H223)=0),"",INT(SUMIFS(Appointments!$M$6:$M$2005,Appointments!$D$6:$D$2005,B223,Appointments!$N$6:$N$2005,1)))</f>
        <v/>
      </c>
      <c r="J223" s="37">
        <f>IF(B223="","",IF(SUMIFS(Appointments!$M$6:$M$2005,Appointments!$D$6:$D$2005,B223,Appointments!$O$6:$O$2005,1)=0,"",INT(SUMIFS(Appointments!$M$6:$M$2005,Appointments!$D$6:$D$2005,B223,Appointments!$O$6:$O$2005,1))))</f>
        <v/>
      </c>
      <c r="K223" s="27">
        <f>IF(B223="","",SUMIFS(Appointments!$I$6:$I$2005,Appointments!$D$6:$D$2005,B223)+SUMIFS(Packages!$F$6:$F$305,Packages!$C$6:$C$305,B223))</f>
        <v/>
      </c>
      <c r="L223" s="28">
        <f>IF(B223="","",IF(SUMIFS(Appointments!$K$6:$K$2005,Appointments!$D$6:$D$2005,B223)=0,"",SUMIFS(Appointments!$K$6:$K$2005,Appointments!$D$6:$D$2005,B223)))</f>
        <v/>
      </c>
      <c r="M223" s="38">
        <f>IF(OR(B223="",SUMIFS(Packages!$E$6:$E$305,Packages!$C$6:$C$305,B223)=0),"",SUMIFS(Packages!$E$6:$E$305,Packages!$C$6:$C$305,B223)-COUNTIFS(Appointments!$D$6:$D$2005,B223,Appointments!$J$6:$J$2005,"Package",Appointments!$F$6:$F$2005,"Done")+IF(Services!$I$6="Yes",COUNTIFS(Appointments!$D$6:$D$2005,B223,Appointments!$J$6:$J$2005,"Package",Appointments!$F$6:$F$2005,"No-show"),0))</f>
        <v/>
      </c>
      <c r="N223" s="18">
        <f>IF(OR(B223="",I223=""),"",IF(AND(J223="",TODAY()-I223&gt;=N(Services!$I$7)),"Not seen for "&amp;(TODAY()-I223)&amp;" days",""))</f>
        <v/>
      </c>
      <c r="O223" s="1">
        <f>IF(N(E223)=0,"",MONTH(E223))</f>
        <v/>
      </c>
    </row>
    <row r="224">
      <c r="A224" s="1" t="n"/>
      <c r="B224" s="35" t="n"/>
      <c r="C224" s="32" t="n"/>
      <c r="D224" s="32" t="n"/>
      <c r="E224" s="36" t="n"/>
      <c r="F224" s="30" t="n"/>
      <c r="G224" s="32" t="n"/>
      <c r="H224" s="26">
        <f>IF(B224="","",COUNTIFS(Appointments!$D$6:$D$2005,B224,Appointments!$F$6:$F$2005,"Done"))</f>
        <v/>
      </c>
      <c r="I224" s="37">
        <f>IF(OR(B224="",N(H224)=0),"",INT(SUMIFS(Appointments!$M$6:$M$2005,Appointments!$D$6:$D$2005,B224,Appointments!$N$6:$N$2005,1)))</f>
        <v/>
      </c>
      <c r="J224" s="37">
        <f>IF(B224="","",IF(SUMIFS(Appointments!$M$6:$M$2005,Appointments!$D$6:$D$2005,B224,Appointments!$O$6:$O$2005,1)=0,"",INT(SUMIFS(Appointments!$M$6:$M$2005,Appointments!$D$6:$D$2005,B224,Appointments!$O$6:$O$2005,1))))</f>
        <v/>
      </c>
      <c r="K224" s="27">
        <f>IF(B224="","",SUMIFS(Appointments!$I$6:$I$2005,Appointments!$D$6:$D$2005,B224)+SUMIFS(Packages!$F$6:$F$305,Packages!$C$6:$C$305,B224))</f>
        <v/>
      </c>
      <c r="L224" s="28">
        <f>IF(B224="","",IF(SUMIFS(Appointments!$K$6:$K$2005,Appointments!$D$6:$D$2005,B224)=0,"",SUMIFS(Appointments!$K$6:$K$2005,Appointments!$D$6:$D$2005,B224)))</f>
        <v/>
      </c>
      <c r="M224" s="38">
        <f>IF(OR(B224="",SUMIFS(Packages!$E$6:$E$305,Packages!$C$6:$C$305,B224)=0),"",SUMIFS(Packages!$E$6:$E$305,Packages!$C$6:$C$305,B224)-COUNTIFS(Appointments!$D$6:$D$2005,B224,Appointments!$J$6:$J$2005,"Package",Appointments!$F$6:$F$2005,"Done")+IF(Services!$I$6="Yes",COUNTIFS(Appointments!$D$6:$D$2005,B224,Appointments!$J$6:$J$2005,"Package",Appointments!$F$6:$F$2005,"No-show"),0))</f>
        <v/>
      </c>
      <c r="N224" s="18">
        <f>IF(OR(B224="",I224=""),"",IF(AND(J224="",TODAY()-I224&gt;=N(Services!$I$7)),"Not seen for "&amp;(TODAY()-I224)&amp;" days",""))</f>
        <v/>
      </c>
      <c r="O224" s="1">
        <f>IF(N(E224)=0,"",MONTH(E224))</f>
        <v/>
      </c>
    </row>
    <row r="225">
      <c r="A225" s="1" t="n"/>
      <c r="B225" s="35" t="n"/>
      <c r="C225" s="32" t="n"/>
      <c r="D225" s="32" t="n"/>
      <c r="E225" s="36" t="n"/>
      <c r="F225" s="30" t="n"/>
      <c r="G225" s="32" t="n"/>
      <c r="H225" s="26">
        <f>IF(B225="","",COUNTIFS(Appointments!$D$6:$D$2005,B225,Appointments!$F$6:$F$2005,"Done"))</f>
        <v/>
      </c>
      <c r="I225" s="37">
        <f>IF(OR(B225="",N(H225)=0),"",INT(SUMIFS(Appointments!$M$6:$M$2005,Appointments!$D$6:$D$2005,B225,Appointments!$N$6:$N$2005,1)))</f>
        <v/>
      </c>
      <c r="J225" s="37">
        <f>IF(B225="","",IF(SUMIFS(Appointments!$M$6:$M$2005,Appointments!$D$6:$D$2005,B225,Appointments!$O$6:$O$2005,1)=0,"",INT(SUMIFS(Appointments!$M$6:$M$2005,Appointments!$D$6:$D$2005,B225,Appointments!$O$6:$O$2005,1))))</f>
        <v/>
      </c>
      <c r="K225" s="27">
        <f>IF(B225="","",SUMIFS(Appointments!$I$6:$I$2005,Appointments!$D$6:$D$2005,B225)+SUMIFS(Packages!$F$6:$F$305,Packages!$C$6:$C$305,B225))</f>
        <v/>
      </c>
      <c r="L225" s="28">
        <f>IF(B225="","",IF(SUMIFS(Appointments!$K$6:$K$2005,Appointments!$D$6:$D$2005,B225)=0,"",SUMIFS(Appointments!$K$6:$K$2005,Appointments!$D$6:$D$2005,B225)))</f>
        <v/>
      </c>
      <c r="M225" s="38">
        <f>IF(OR(B225="",SUMIFS(Packages!$E$6:$E$305,Packages!$C$6:$C$305,B225)=0),"",SUMIFS(Packages!$E$6:$E$305,Packages!$C$6:$C$305,B225)-COUNTIFS(Appointments!$D$6:$D$2005,B225,Appointments!$J$6:$J$2005,"Package",Appointments!$F$6:$F$2005,"Done")+IF(Services!$I$6="Yes",COUNTIFS(Appointments!$D$6:$D$2005,B225,Appointments!$J$6:$J$2005,"Package",Appointments!$F$6:$F$2005,"No-show"),0))</f>
        <v/>
      </c>
      <c r="N225" s="18">
        <f>IF(OR(B225="",I225=""),"",IF(AND(J225="",TODAY()-I225&gt;=N(Services!$I$7)),"Not seen for "&amp;(TODAY()-I225)&amp;" days",""))</f>
        <v/>
      </c>
      <c r="O225" s="1">
        <f>IF(N(E225)=0,"",MONTH(E225))</f>
        <v/>
      </c>
    </row>
    <row r="226">
      <c r="A226" s="1" t="n"/>
      <c r="B226" s="35" t="n"/>
      <c r="C226" s="32" t="n"/>
      <c r="D226" s="32" t="n"/>
      <c r="E226" s="36" t="n"/>
      <c r="F226" s="30" t="n"/>
      <c r="G226" s="32" t="n"/>
      <c r="H226" s="26">
        <f>IF(B226="","",COUNTIFS(Appointments!$D$6:$D$2005,B226,Appointments!$F$6:$F$2005,"Done"))</f>
        <v/>
      </c>
      <c r="I226" s="37">
        <f>IF(OR(B226="",N(H226)=0),"",INT(SUMIFS(Appointments!$M$6:$M$2005,Appointments!$D$6:$D$2005,B226,Appointments!$N$6:$N$2005,1)))</f>
        <v/>
      </c>
      <c r="J226" s="37">
        <f>IF(B226="","",IF(SUMIFS(Appointments!$M$6:$M$2005,Appointments!$D$6:$D$2005,B226,Appointments!$O$6:$O$2005,1)=0,"",INT(SUMIFS(Appointments!$M$6:$M$2005,Appointments!$D$6:$D$2005,B226,Appointments!$O$6:$O$2005,1))))</f>
        <v/>
      </c>
      <c r="K226" s="27">
        <f>IF(B226="","",SUMIFS(Appointments!$I$6:$I$2005,Appointments!$D$6:$D$2005,B226)+SUMIFS(Packages!$F$6:$F$305,Packages!$C$6:$C$305,B226))</f>
        <v/>
      </c>
      <c r="L226" s="28">
        <f>IF(B226="","",IF(SUMIFS(Appointments!$K$6:$K$2005,Appointments!$D$6:$D$2005,B226)=0,"",SUMIFS(Appointments!$K$6:$K$2005,Appointments!$D$6:$D$2005,B226)))</f>
        <v/>
      </c>
      <c r="M226" s="38">
        <f>IF(OR(B226="",SUMIFS(Packages!$E$6:$E$305,Packages!$C$6:$C$305,B226)=0),"",SUMIFS(Packages!$E$6:$E$305,Packages!$C$6:$C$305,B226)-COUNTIFS(Appointments!$D$6:$D$2005,B226,Appointments!$J$6:$J$2005,"Package",Appointments!$F$6:$F$2005,"Done")+IF(Services!$I$6="Yes",COUNTIFS(Appointments!$D$6:$D$2005,B226,Appointments!$J$6:$J$2005,"Package",Appointments!$F$6:$F$2005,"No-show"),0))</f>
        <v/>
      </c>
      <c r="N226" s="18">
        <f>IF(OR(B226="",I226=""),"",IF(AND(J226="",TODAY()-I226&gt;=N(Services!$I$7)),"Not seen for "&amp;(TODAY()-I226)&amp;" days",""))</f>
        <v/>
      </c>
      <c r="O226" s="1">
        <f>IF(N(E226)=0,"",MONTH(E226))</f>
        <v/>
      </c>
    </row>
    <row r="227">
      <c r="A227" s="1" t="n"/>
      <c r="B227" s="35" t="n"/>
      <c r="C227" s="32" t="n"/>
      <c r="D227" s="32" t="n"/>
      <c r="E227" s="36" t="n"/>
      <c r="F227" s="30" t="n"/>
      <c r="G227" s="32" t="n"/>
      <c r="H227" s="26">
        <f>IF(B227="","",COUNTIFS(Appointments!$D$6:$D$2005,B227,Appointments!$F$6:$F$2005,"Done"))</f>
        <v/>
      </c>
      <c r="I227" s="37">
        <f>IF(OR(B227="",N(H227)=0),"",INT(SUMIFS(Appointments!$M$6:$M$2005,Appointments!$D$6:$D$2005,B227,Appointments!$N$6:$N$2005,1)))</f>
        <v/>
      </c>
      <c r="J227" s="37">
        <f>IF(B227="","",IF(SUMIFS(Appointments!$M$6:$M$2005,Appointments!$D$6:$D$2005,B227,Appointments!$O$6:$O$2005,1)=0,"",INT(SUMIFS(Appointments!$M$6:$M$2005,Appointments!$D$6:$D$2005,B227,Appointments!$O$6:$O$2005,1))))</f>
        <v/>
      </c>
      <c r="K227" s="27">
        <f>IF(B227="","",SUMIFS(Appointments!$I$6:$I$2005,Appointments!$D$6:$D$2005,B227)+SUMIFS(Packages!$F$6:$F$305,Packages!$C$6:$C$305,B227))</f>
        <v/>
      </c>
      <c r="L227" s="28">
        <f>IF(B227="","",IF(SUMIFS(Appointments!$K$6:$K$2005,Appointments!$D$6:$D$2005,B227)=0,"",SUMIFS(Appointments!$K$6:$K$2005,Appointments!$D$6:$D$2005,B227)))</f>
        <v/>
      </c>
      <c r="M227" s="38">
        <f>IF(OR(B227="",SUMIFS(Packages!$E$6:$E$305,Packages!$C$6:$C$305,B227)=0),"",SUMIFS(Packages!$E$6:$E$305,Packages!$C$6:$C$305,B227)-COUNTIFS(Appointments!$D$6:$D$2005,B227,Appointments!$J$6:$J$2005,"Package",Appointments!$F$6:$F$2005,"Done")+IF(Services!$I$6="Yes",COUNTIFS(Appointments!$D$6:$D$2005,B227,Appointments!$J$6:$J$2005,"Package",Appointments!$F$6:$F$2005,"No-show"),0))</f>
        <v/>
      </c>
      <c r="N227" s="18">
        <f>IF(OR(B227="",I227=""),"",IF(AND(J227="",TODAY()-I227&gt;=N(Services!$I$7)),"Not seen for "&amp;(TODAY()-I227)&amp;" days",""))</f>
        <v/>
      </c>
      <c r="O227" s="1">
        <f>IF(N(E227)=0,"",MONTH(E227))</f>
        <v/>
      </c>
    </row>
    <row r="228">
      <c r="A228" s="1" t="n"/>
      <c r="B228" s="35" t="n"/>
      <c r="C228" s="32" t="n"/>
      <c r="D228" s="32" t="n"/>
      <c r="E228" s="36" t="n"/>
      <c r="F228" s="30" t="n"/>
      <c r="G228" s="32" t="n"/>
      <c r="H228" s="26">
        <f>IF(B228="","",COUNTIFS(Appointments!$D$6:$D$2005,B228,Appointments!$F$6:$F$2005,"Done"))</f>
        <v/>
      </c>
      <c r="I228" s="37">
        <f>IF(OR(B228="",N(H228)=0),"",INT(SUMIFS(Appointments!$M$6:$M$2005,Appointments!$D$6:$D$2005,B228,Appointments!$N$6:$N$2005,1)))</f>
        <v/>
      </c>
      <c r="J228" s="37">
        <f>IF(B228="","",IF(SUMIFS(Appointments!$M$6:$M$2005,Appointments!$D$6:$D$2005,B228,Appointments!$O$6:$O$2005,1)=0,"",INT(SUMIFS(Appointments!$M$6:$M$2005,Appointments!$D$6:$D$2005,B228,Appointments!$O$6:$O$2005,1))))</f>
        <v/>
      </c>
      <c r="K228" s="27">
        <f>IF(B228="","",SUMIFS(Appointments!$I$6:$I$2005,Appointments!$D$6:$D$2005,B228)+SUMIFS(Packages!$F$6:$F$305,Packages!$C$6:$C$305,B228))</f>
        <v/>
      </c>
      <c r="L228" s="28">
        <f>IF(B228="","",IF(SUMIFS(Appointments!$K$6:$K$2005,Appointments!$D$6:$D$2005,B228)=0,"",SUMIFS(Appointments!$K$6:$K$2005,Appointments!$D$6:$D$2005,B228)))</f>
        <v/>
      </c>
      <c r="M228" s="38">
        <f>IF(OR(B228="",SUMIFS(Packages!$E$6:$E$305,Packages!$C$6:$C$305,B228)=0),"",SUMIFS(Packages!$E$6:$E$305,Packages!$C$6:$C$305,B228)-COUNTIFS(Appointments!$D$6:$D$2005,B228,Appointments!$J$6:$J$2005,"Package",Appointments!$F$6:$F$2005,"Done")+IF(Services!$I$6="Yes",COUNTIFS(Appointments!$D$6:$D$2005,B228,Appointments!$J$6:$J$2005,"Package",Appointments!$F$6:$F$2005,"No-show"),0))</f>
        <v/>
      </c>
      <c r="N228" s="18">
        <f>IF(OR(B228="",I228=""),"",IF(AND(J228="",TODAY()-I228&gt;=N(Services!$I$7)),"Not seen for "&amp;(TODAY()-I228)&amp;" days",""))</f>
        <v/>
      </c>
      <c r="O228" s="1">
        <f>IF(N(E228)=0,"",MONTH(E228))</f>
        <v/>
      </c>
    </row>
    <row r="229">
      <c r="A229" s="1" t="n"/>
      <c r="B229" s="35" t="n"/>
      <c r="C229" s="32" t="n"/>
      <c r="D229" s="32" t="n"/>
      <c r="E229" s="36" t="n"/>
      <c r="F229" s="30" t="n"/>
      <c r="G229" s="32" t="n"/>
      <c r="H229" s="26">
        <f>IF(B229="","",COUNTIFS(Appointments!$D$6:$D$2005,B229,Appointments!$F$6:$F$2005,"Done"))</f>
        <v/>
      </c>
      <c r="I229" s="37">
        <f>IF(OR(B229="",N(H229)=0),"",INT(SUMIFS(Appointments!$M$6:$M$2005,Appointments!$D$6:$D$2005,B229,Appointments!$N$6:$N$2005,1)))</f>
        <v/>
      </c>
      <c r="J229" s="37">
        <f>IF(B229="","",IF(SUMIFS(Appointments!$M$6:$M$2005,Appointments!$D$6:$D$2005,B229,Appointments!$O$6:$O$2005,1)=0,"",INT(SUMIFS(Appointments!$M$6:$M$2005,Appointments!$D$6:$D$2005,B229,Appointments!$O$6:$O$2005,1))))</f>
        <v/>
      </c>
      <c r="K229" s="27">
        <f>IF(B229="","",SUMIFS(Appointments!$I$6:$I$2005,Appointments!$D$6:$D$2005,B229)+SUMIFS(Packages!$F$6:$F$305,Packages!$C$6:$C$305,B229))</f>
        <v/>
      </c>
      <c r="L229" s="28">
        <f>IF(B229="","",IF(SUMIFS(Appointments!$K$6:$K$2005,Appointments!$D$6:$D$2005,B229)=0,"",SUMIFS(Appointments!$K$6:$K$2005,Appointments!$D$6:$D$2005,B229)))</f>
        <v/>
      </c>
      <c r="M229" s="38">
        <f>IF(OR(B229="",SUMIFS(Packages!$E$6:$E$305,Packages!$C$6:$C$305,B229)=0),"",SUMIFS(Packages!$E$6:$E$305,Packages!$C$6:$C$305,B229)-COUNTIFS(Appointments!$D$6:$D$2005,B229,Appointments!$J$6:$J$2005,"Package",Appointments!$F$6:$F$2005,"Done")+IF(Services!$I$6="Yes",COUNTIFS(Appointments!$D$6:$D$2005,B229,Appointments!$J$6:$J$2005,"Package",Appointments!$F$6:$F$2005,"No-show"),0))</f>
        <v/>
      </c>
      <c r="N229" s="18">
        <f>IF(OR(B229="",I229=""),"",IF(AND(J229="",TODAY()-I229&gt;=N(Services!$I$7)),"Not seen for "&amp;(TODAY()-I229)&amp;" days",""))</f>
        <v/>
      </c>
      <c r="O229" s="1">
        <f>IF(N(E229)=0,"",MONTH(E229))</f>
        <v/>
      </c>
    </row>
    <row r="230">
      <c r="A230" s="1" t="n"/>
      <c r="B230" s="35" t="n"/>
      <c r="C230" s="32" t="n"/>
      <c r="D230" s="32" t="n"/>
      <c r="E230" s="36" t="n"/>
      <c r="F230" s="30" t="n"/>
      <c r="G230" s="32" t="n"/>
      <c r="H230" s="26">
        <f>IF(B230="","",COUNTIFS(Appointments!$D$6:$D$2005,B230,Appointments!$F$6:$F$2005,"Done"))</f>
        <v/>
      </c>
      <c r="I230" s="37">
        <f>IF(OR(B230="",N(H230)=0),"",INT(SUMIFS(Appointments!$M$6:$M$2005,Appointments!$D$6:$D$2005,B230,Appointments!$N$6:$N$2005,1)))</f>
        <v/>
      </c>
      <c r="J230" s="37">
        <f>IF(B230="","",IF(SUMIFS(Appointments!$M$6:$M$2005,Appointments!$D$6:$D$2005,B230,Appointments!$O$6:$O$2005,1)=0,"",INT(SUMIFS(Appointments!$M$6:$M$2005,Appointments!$D$6:$D$2005,B230,Appointments!$O$6:$O$2005,1))))</f>
        <v/>
      </c>
      <c r="K230" s="27">
        <f>IF(B230="","",SUMIFS(Appointments!$I$6:$I$2005,Appointments!$D$6:$D$2005,B230)+SUMIFS(Packages!$F$6:$F$305,Packages!$C$6:$C$305,B230))</f>
        <v/>
      </c>
      <c r="L230" s="28">
        <f>IF(B230="","",IF(SUMIFS(Appointments!$K$6:$K$2005,Appointments!$D$6:$D$2005,B230)=0,"",SUMIFS(Appointments!$K$6:$K$2005,Appointments!$D$6:$D$2005,B230)))</f>
        <v/>
      </c>
      <c r="M230" s="38">
        <f>IF(OR(B230="",SUMIFS(Packages!$E$6:$E$305,Packages!$C$6:$C$305,B230)=0),"",SUMIFS(Packages!$E$6:$E$305,Packages!$C$6:$C$305,B230)-COUNTIFS(Appointments!$D$6:$D$2005,B230,Appointments!$J$6:$J$2005,"Package",Appointments!$F$6:$F$2005,"Done")+IF(Services!$I$6="Yes",COUNTIFS(Appointments!$D$6:$D$2005,B230,Appointments!$J$6:$J$2005,"Package",Appointments!$F$6:$F$2005,"No-show"),0))</f>
        <v/>
      </c>
      <c r="N230" s="18">
        <f>IF(OR(B230="",I230=""),"",IF(AND(J230="",TODAY()-I230&gt;=N(Services!$I$7)),"Not seen for "&amp;(TODAY()-I230)&amp;" days",""))</f>
        <v/>
      </c>
      <c r="O230" s="1">
        <f>IF(N(E230)=0,"",MONTH(E230))</f>
        <v/>
      </c>
    </row>
    <row r="231">
      <c r="A231" s="1" t="n"/>
      <c r="B231" s="35" t="n"/>
      <c r="C231" s="32" t="n"/>
      <c r="D231" s="32" t="n"/>
      <c r="E231" s="36" t="n"/>
      <c r="F231" s="30" t="n"/>
      <c r="G231" s="32" t="n"/>
      <c r="H231" s="26">
        <f>IF(B231="","",COUNTIFS(Appointments!$D$6:$D$2005,B231,Appointments!$F$6:$F$2005,"Done"))</f>
        <v/>
      </c>
      <c r="I231" s="37">
        <f>IF(OR(B231="",N(H231)=0),"",INT(SUMIFS(Appointments!$M$6:$M$2005,Appointments!$D$6:$D$2005,B231,Appointments!$N$6:$N$2005,1)))</f>
        <v/>
      </c>
      <c r="J231" s="37">
        <f>IF(B231="","",IF(SUMIFS(Appointments!$M$6:$M$2005,Appointments!$D$6:$D$2005,B231,Appointments!$O$6:$O$2005,1)=0,"",INT(SUMIFS(Appointments!$M$6:$M$2005,Appointments!$D$6:$D$2005,B231,Appointments!$O$6:$O$2005,1))))</f>
        <v/>
      </c>
      <c r="K231" s="27">
        <f>IF(B231="","",SUMIFS(Appointments!$I$6:$I$2005,Appointments!$D$6:$D$2005,B231)+SUMIFS(Packages!$F$6:$F$305,Packages!$C$6:$C$305,B231))</f>
        <v/>
      </c>
      <c r="L231" s="28">
        <f>IF(B231="","",IF(SUMIFS(Appointments!$K$6:$K$2005,Appointments!$D$6:$D$2005,B231)=0,"",SUMIFS(Appointments!$K$6:$K$2005,Appointments!$D$6:$D$2005,B231)))</f>
        <v/>
      </c>
      <c r="M231" s="38">
        <f>IF(OR(B231="",SUMIFS(Packages!$E$6:$E$305,Packages!$C$6:$C$305,B231)=0),"",SUMIFS(Packages!$E$6:$E$305,Packages!$C$6:$C$305,B231)-COUNTIFS(Appointments!$D$6:$D$2005,B231,Appointments!$J$6:$J$2005,"Package",Appointments!$F$6:$F$2005,"Done")+IF(Services!$I$6="Yes",COUNTIFS(Appointments!$D$6:$D$2005,B231,Appointments!$J$6:$J$2005,"Package",Appointments!$F$6:$F$2005,"No-show"),0))</f>
        <v/>
      </c>
      <c r="N231" s="18">
        <f>IF(OR(B231="",I231=""),"",IF(AND(J231="",TODAY()-I231&gt;=N(Services!$I$7)),"Not seen for "&amp;(TODAY()-I231)&amp;" days",""))</f>
        <v/>
      </c>
      <c r="O231" s="1">
        <f>IF(N(E231)=0,"",MONTH(E231))</f>
        <v/>
      </c>
    </row>
    <row r="232">
      <c r="A232" s="1" t="n"/>
      <c r="B232" s="35" t="n"/>
      <c r="C232" s="32" t="n"/>
      <c r="D232" s="32" t="n"/>
      <c r="E232" s="36" t="n"/>
      <c r="F232" s="30" t="n"/>
      <c r="G232" s="32" t="n"/>
      <c r="H232" s="26">
        <f>IF(B232="","",COUNTIFS(Appointments!$D$6:$D$2005,B232,Appointments!$F$6:$F$2005,"Done"))</f>
        <v/>
      </c>
      <c r="I232" s="37">
        <f>IF(OR(B232="",N(H232)=0),"",INT(SUMIFS(Appointments!$M$6:$M$2005,Appointments!$D$6:$D$2005,B232,Appointments!$N$6:$N$2005,1)))</f>
        <v/>
      </c>
      <c r="J232" s="37">
        <f>IF(B232="","",IF(SUMIFS(Appointments!$M$6:$M$2005,Appointments!$D$6:$D$2005,B232,Appointments!$O$6:$O$2005,1)=0,"",INT(SUMIFS(Appointments!$M$6:$M$2005,Appointments!$D$6:$D$2005,B232,Appointments!$O$6:$O$2005,1))))</f>
        <v/>
      </c>
      <c r="K232" s="27">
        <f>IF(B232="","",SUMIFS(Appointments!$I$6:$I$2005,Appointments!$D$6:$D$2005,B232)+SUMIFS(Packages!$F$6:$F$305,Packages!$C$6:$C$305,B232))</f>
        <v/>
      </c>
      <c r="L232" s="28">
        <f>IF(B232="","",IF(SUMIFS(Appointments!$K$6:$K$2005,Appointments!$D$6:$D$2005,B232)=0,"",SUMIFS(Appointments!$K$6:$K$2005,Appointments!$D$6:$D$2005,B232)))</f>
        <v/>
      </c>
      <c r="M232" s="38">
        <f>IF(OR(B232="",SUMIFS(Packages!$E$6:$E$305,Packages!$C$6:$C$305,B232)=0),"",SUMIFS(Packages!$E$6:$E$305,Packages!$C$6:$C$305,B232)-COUNTIFS(Appointments!$D$6:$D$2005,B232,Appointments!$J$6:$J$2005,"Package",Appointments!$F$6:$F$2005,"Done")+IF(Services!$I$6="Yes",COUNTIFS(Appointments!$D$6:$D$2005,B232,Appointments!$J$6:$J$2005,"Package",Appointments!$F$6:$F$2005,"No-show"),0))</f>
        <v/>
      </c>
      <c r="N232" s="18">
        <f>IF(OR(B232="",I232=""),"",IF(AND(J232="",TODAY()-I232&gt;=N(Services!$I$7)),"Not seen for "&amp;(TODAY()-I232)&amp;" days",""))</f>
        <v/>
      </c>
      <c r="O232" s="1">
        <f>IF(N(E232)=0,"",MONTH(E232))</f>
        <v/>
      </c>
    </row>
    <row r="233">
      <c r="A233" s="1" t="n"/>
      <c r="B233" s="35" t="n"/>
      <c r="C233" s="32" t="n"/>
      <c r="D233" s="32" t="n"/>
      <c r="E233" s="36" t="n"/>
      <c r="F233" s="30" t="n"/>
      <c r="G233" s="32" t="n"/>
      <c r="H233" s="26">
        <f>IF(B233="","",COUNTIFS(Appointments!$D$6:$D$2005,B233,Appointments!$F$6:$F$2005,"Done"))</f>
        <v/>
      </c>
      <c r="I233" s="37">
        <f>IF(OR(B233="",N(H233)=0),"",INT(SUMIFS(Appointments!$M$6:$M$2005,Appointments!$D$6:$D$2005,B233,Appointments!$N$6:$N$2005,1)))</f>
        <v/>
      </c>
      <c r="J233" s="37">
        <f>IF(B233="","",IF(SUMIFS(Appointments!$M$6:$M$2005,Appointments!$D$6:$D$2005,B233,Appointments!$O$6:$O$2005,1)=0,"",INT(SUMIFS(Appointments!$M$6:$M$2005,Appointments!$D$6:$D$2005,B233,Appointments!$O$6:$O$2005,1))))</f>
        <v/>
      </c>
      <c r="K233" s="27">
        <f>IF(B233="","",SUMIFS(Appointments!$I$6:$I$2005,Appointments!$D$6:$D$2005,B233)+SUMIFS(Packages!$F$6:$F$305,Packages!$C$6:$C$305,B233))</f>
        <v/>
      </c>
      <c r="L233" s="28">
        <f>IF(B233="","",IF(SUMIFS(Appointments!$K$6:$K$2005,Appointments!$D$6:$D$2005,B233)=0,"",SUMIFS(Appointments!$K$6:$K$2005,Appointments!$D$6:$D$2005,B233)))</f>
        <v/>
      </c>
      <c r="M233" s="38">
        <f>IF(OR(B233="",SUMIFS(Packages!$E$6:$E$305,Packages!$C$6:$C$305,B233)=0),"",SUMIFS(Packages!$E$6:$E$305,Packages!$C$6:$C$305,B233)-COUNTIFS(Appointments!$D$6:$D$2005,B233,Appointments!$J$6:$J$2005,"Package",Appointments!$F$6:$F$2005,"Done")+IF(Services!$I$6="Yes",COUNTIFS(Appointments!$D$6:$D$2005,B233,Appointments!$J$6:$J$2005,"Package",Appointments!$F$6:$F$2005,"No-show"),0))</f>
        <v/>
      </c>
      <c r="N233" s="18">
        <f>IF(OR(B233="",I233=""),"",IF(AND(J233="",TODAY()-I233&gt;=N(Services!$I$7)),"Not seen for "&amp;(TODAY()-I233)&amp;" days",""))</f>
        <v/>
      </c>
      <c r="O233" s="1">
        <f>IF(N(E233)=0,"",MONTH(E233))</f>
        <v/>
      </c>
    </row>
    <row r="234">
      <c r="A234" s="1" t="n"/>
      <c r="B234" s="35" t="n"/>
      <c r="C234" s="32" t="n"/>
      <c r="D234" s="32" t="n"/>
      <c r="E234" s="36" t="n"/>
      <c r="F234" s="30" t="n"/>
      <c r="G234" s="32" t="n"/>
      <c r="H234" s="26">
        <f>IF(B234="","",COUNTIFS(Appointments!$D$6:$D$2005,B234,Appointments!$F$6:$F$2005,"Done"))</f>
        <v/>
      </c>
      <c r="I234" s="37">
        <f>IF(OR(B234="",N(H234)=0),"",INT(SUMIFS(Appointments!$M$6:$M$2005,Appointments!$D$6:$D$2005,B234,Appointments!$N$6:$N$2005,1)))</f>
        <v/>
      </c>
      <c r="J234" s="37">
        <f>IF(B234="","",IF(SUMIFS(Appointments!$M$6:$M$2005,Appointments!$D$6:$D$2005,B234,Appointments!$O$6:$O$2005,1)=0,"",INT(SUMIFS(Appointments!$M$6:$M$2005,Appointments!$D$6:$D$2005,B234,Appointments!$O$6:$O$2005,1))))</f>
        <v/>
      </c>
      <c r="K234" s="27">
        <f>IF(B234="","",SUMIFS(Appointments!$I$6:$I$2005,Appointments!$D$6:$D$2005,B234)+SUMIFS(Packages!$F$6:$F$305,Packages!$C$6:$C$305,B234))</f>
        <v/>
      </c>
      <c r="L234" s="28">
        <f>IF(B234="","",IF(SUMIFS(Appointments!$K$6:$K$2005,Appointments!$D$6:$D$2005,B234)=0,"",SUMIFS(Appointments!$K$6:$K$2005,Appointments!$D$6:$D$2005,B234)))</f>
        <v/>
      </c>
      <c r="M234" s="38">
        <f>IF(OR(B234="",SUMIFS(Packages!$E$6:$E$305,Packages!$C$6:$C$305,B234)=0),"",SUMIFS(Packages!$E$6:$E$305,Packages!$C$6:$C$305,B234)-COUNTIFS(Appointments!$D$6:$D$2005,B234,Appointments!$J$6:$J$2005,"Package",Appointments!$F$6:$F$2005,"Done")+IF(Services!$I$6="Yes",COUNTIFS(Appointments!$D$6:$D$2005,B234,Appointments!$J$6:$J$2005,"Package",Appointments!$F$6:$F$2005,"No-show"),0))</f>
        <v/>
      </c>
      <c r="N234" s="18">
        <f>IF(OR(B234="",I234=""),"",IF(AND(J234="",TODAY()-I234&gt;=N(Services!$I$7)),"Not seen for "&amp;(TODAY()-I234)&amp;" days",""))</f>
        <v/>
      </c>
      <c r="O234" s="1">
        <f>IF(N(E234)=0,"",MONTH(E234))</f>
        <v/>
      </c>
    </row>
    <row r="235">
      <c r="A235" s="1" t="n"/>
      <c r="B235" s="35" t="n"/>
      <c r="C235" s="32" t="n"/>
      <c r="D235" s="32" t="n"/>
      <c r="E235" s="36" t="n"/>
      <c r="F235" s="30" t="n"/>
      <c r="G235" s="32" t="n"/>
      <c r="H235" s="26">
        <f>IF(B235="","",COUNTIFS(Appointments!$D$6:$D$2005,B235,Appointments!$F$6:$F$2005,"Done"))</f>
        <v/>
      </c>
      <c r="I235" s="37">
        <f>IF(OR(B235="",N(H235)=0),"",INT(SUMIFS(Appointments!$M$6:$M$2005,Appointments!$D$6:$D$2005,B235,Appointments!$N$6:$N$2005,1)))</f>
        <v/>
      </c>
      <c r="J235" s="37">
        <f>IF(B235="","",IF(SUMIFS(Appointments!$M$6:$M$2005,Appointments!$D$6:$D$2005,B235,Appointments!$O$6:$O$2005,1)=0,"",INT(SUMIFS(Appointments!$M$6:$M$2005,Appointments!$D$6:$D$2005,B235,Appointments!$O$6:$O$2005,1))))</f>
        <v/>
      </c>
      <c r="K235" s="27">
        <f>IF(B235="","",SUMIFS(Appointments!$I$6:$I$2005,Appointments!$D$6:$D$2005,B235)+SUMIFS(Packages!$F$6:$F$305,Packages!$C$6:$C$305,B235))</f>
        <v/>
      </c>
      <c r="L235" s="28">
        <f>IF(B235="","",IF(SUMIFS(Appointments!$K$6:$K$2005,Appointments!$D$6:$D$2005,B235)=0,"",SUMIFS(Appointments!$K$6:$K$2005,Appointments!$D$6:$D$2005,B235)))</f>
        <v/>
      </c>
      <c r="M235" s="38">
        <f>IF(OR(B235="",SUMIFS(Packages!$E$6:$E$305,Packages!$C$6:$C$305,B235)=0),"",SUMIFS(Packages!$E$6:$E$305,Packages!$C$6:$C$305,B235)-COUNTIFS(Appointments!$D$6:$D$2005,B235,Appointments!$J$6:$J$2005,"Package",Appointments!$F$6:$F$2005,"Done")+IF(Services!$I$6="Yes",COUNTIFS(Appointments!$D$6:$D$2005,B235,Appointments!$J$6:$J$2005,"Package",Appointments!$F$6:$F$2005,"No-show"),0))</f>
        <v/>
      </c>
      <c r="N235" s="18">
        <f>IF(OR(B235="",I235=""),"",IF(AND(J235="",TODAY()-I235&gt;=N(Services!$I$7)),"Not seen for "&amp;(TODAY()-I235)&amp;" days",""))</f>
        <v/>
      </c>
      <c r="O235" s="1">
        <f>IF(N(E235)=0,"",MONTH(E235))</f>
        <v/>
      </c>
    </row>
    <row r="236">
      <c r="A236" s="1" t="n"/>
      <c r="B236" s="35" t="n"/>
      <c r="C236" s="32" t="n"/>
      <c r="D236" s="32" t="n"/>
      <c r="E236" s="36" t="n"/>
      <c r="F236" s="30" t="n"/>
      <c r="G236" s="32" t="n"/>
      <c r="H236" s="26">
        <f>IF(B236="","",COUNTIFS(Appointments!$D$6:$D$2005,B236,Appointments!$F$6:$F$2005,"Done"))</f>
        <v/>
      </c>
      <c r="I236" s="37">
        <f>IF(OR(B236="",N(H236)=0),"",INT(SUMIFS(Appointments!$M$6:$M$2005,Appointments!$D$6:$D$2005,B236,Appointments!$N$6:$N$2005,1)))</f>
        <v/>
      </c>
      <c r="J236" s="37">
        <f>IF(B236="","",IF(SUMIFS(Appointments!$M$6:$M$2005,Appointments!$D$6:$D$2005,B236,Appointments!$O$6:$O$2005,1)=0,"",INT(SUMIFS(Appointments!$M$6:$M$2005,Appointments!$D$6:$D$2005,B236,Appointments!$O$6:$O$2005,1))))</f>
        <v/>
      </c>
      <c r="K236" s="27">
        <f>IF(B236="","",SUMIFS(Appointments!$I$6:$I$2005,Appointments!$D$6:$D$2005,B236)+SUMIFS(Packages!$F$6:$F$305,Packages!$C$6:$C$305,B236))</f>
        <v/>
      </c>
      <c r="L236" s="28">
        <f>IF(B236="","",IF(SUMIFS(Appointments!$K$6:$K$2005,Appointments!$D$6:$D$2005,B236)=0,"",SUMIFS(Appointments!$K$6:$K$2005,Appointments!$D$6:$D$2005,B236)))</f>
        <v/>
      </c>
      <c r="M236" s="38">
        <f>IF(OR(B236="",SUMIFS(Packages!$E$6:$E$305,Packages!$C$6:$C$305,B236)=0),"",SUMIFS(Packages!$E$6:$E$305,Packages!$C$6:$C$305,B236)-COUNTIFS(Appointments!$D$6:$D$2005,B236,Appointments!$J$6:$J$2005,"Package",Appointments!$F$6:$F$2005,"Done")+IF(Services!$I$6="Yes",COUNTIFS(Appointments!$D$6:$D$2005,B236,Appointments!$J$6:$J$2005,"Package",Appointments!$F$6:$F$2005,"No-show"),0))</f>
        <v/>
      </c>
      <c r="N236" s="18">
        <f>IF(OR(B236="",I236=""),"",IF(AND(J236="",TODAY()-I236&gt;=N(Services!$I$7)),"Not seen for "&amp;(TODAY()-I236)&amp;" days",""))</f>
        <v/>
      </c>
      <c r="O236" s="1">
        <f>IF(N(E236)=0,"",MONTH(E236))</f>
        <v/>
      </c>
    </row>
    <row r="237">
      <c r="A237" s="1" t="n"/>
      <c r="B237" s="35" t="n"/>
      <c r="C237" s="32" t="n"/>
      <c r="D237" s="32" t="n"/>
      <c r="E237" s="36" t="n"/>
      <c r="F237" s="30" t="n"/>
      <c r="G237" s="32" t="n"/>
      <c r="H237" s="26">
        <f>IF(B237="","",COUNTIFS(Appointments!$D$6:$D$2005,B237,Appointments!$F$6:$F$2005,"Done"))</f>
        <v/>
      </c>
      <c r="I237" s="37">
        <f>IF(OR(B237="",N(H237)=0),"",INT(SUMIFS(Appointments!$M$6:$M$2005,Appointments!$D$6:$D$2005,B237,Appointments!$N$6:$N$2005,1)))</f>
        <v/>
      </c>
      <c r="J237" s="37">
        <f>IF(B237="","",IF(SUMIFS(Appointments!$M$6:$M$2005,Appointments!$D$6:$D$2005,B237,Appointments!$O$6:$O$2005,1)=0,"",INT(SUMIFS(Appointments!$M$6:$M$2005,Appointments!$D$6:$D$2005,B237,Appointments!$O$6:$O$2005,1))))</f>
        <v/>
      </c>
      <c r="K237" s="27">
        <f>IF(B237="","",SUMIFS(Appointments!$I$6:$I$2005,Appointments!$D$6:$D$2005,B237)+SUMIFS(Packages!$F$6:$F$305,Packages!$C$6:$C$305,B237))</f>
        <v/>
      </c>
      <c r="L237" s="28">
        <f>IF(B237="","",IF(SUMIFS(Appointments!$K$6:$K$2005,Appointments!$D$6:$D$2005,B237)=0,"",SUMIFS(Appointments!$K$6:$K$2005,Appointments!$D$6:$D$2005,B237)))</f>
        <v/>
      </c>
      <c r="M237" s="38">
        <f>IF(OR(B237="",SUMIFS(Packages!$E$6:$E$305,Packages!$C$6:$C$305,B237)=0),"",SUMIFS(Packages!$E$6:$E$305,Packages!$C$6:$C$305,B237)-COUNTIFS(Appointments!$D$6:$D$2005,B237,Appointments!$J$6:$J$2005,"Package",Appointments!$F$6:$F$2005,"Done")+IF(Services!$I$6="Yes",COUNTIFS(Appointments!$D$6:$D$2005,B237,Appointments!$J$6:$J$2005,"Package",Appointments!$F$6:$F$2005,"No-show"),0))</f>
        <v/>
      </c>
      <c r="N237" s="18">
        <f>IF(OR(B237="",I237=""),"",IF(AND(J237="",TODAY()-I237&gt;=N(Services!$I$7)),"Not seen for "&amp;(TODAY()-I237)&amp;" days",""))</f>
        <v/>
      </c>
      <c r="O237" s="1">
        <f>IF(N(E237)=0,"",MONTH(E237))</f>
        <v/>
      </c>
    </row>
    <row r="238">
      <c r="A238" s="1" t="n"/>
      <c r="B238" s="35" t="n"/>
      <c r="C238" s="32" t="n"/>
      <c r="D238" s="32" t="n"/>
      <c r="E238" s="36" t="n"/>
      <c r="F238" s="30" t="n"/>
      <c r="G238" s="32" t="n"/>
      <c r="H238" s="26">
        <f>IF(B238="","",COUNTIFS(Appointments!$D$6:$D$2005,B238,Appointments!$F$6:$F$2005,"Done"))</f>
        <v/>
      </c>
      <c r="I238" s="37">
        <f>IF(OR(B238="",N(H238)=0),"",INT(SUMIFS(Appointments!$M$6:$M$2005,Appointments!$D$6:$D$2005,B238,Appointments!$N$6:$N$2005,1)))</f>
        <v/>
      </c>
      <c r="J238" s="37">
        <f>IF(B238="","",IF(SUMIFS(Appointments!$M$6:$M$2005,Appointments!$D$6:$D$2005,B238,Appointments!$O$6:$O$2005,1)=0,"",INT(SUMIFS(Appointments!$M$6:$M$2005,Appointments!$D$6:$D$2005,B238,Appointments!$O$6:$O$2005,1))))</f>
        <v/>
      </c>
      <c r="K238" s="27">
        <f>IF(B238="","",SUMIFS(Appointments!$I$6:$I$2005,Appointments!$D$6:$D$2005,B238)+SUMIFS(Packages!$F$6:$F$305,Packages!$C$6:$C$305,B238))</f>
        <v/>
      </c>
      <c r="L238" s="28">
        <f>IF(B238="","",IF(SUMIFS(Appointments!$K$6:$K$2005,Appointments!$D$6:$D$2005,B238)=0,"",SUMIFS(Appointments!$K$6:$K$2005,Appointments!$D$6:$D$2005,B238)))</f>
        <v/>
      </c>
      <c r="M238" s="38">
        <f>IF(OR(B238="",SUMIFS(Packages!$E$6:$E$305,Packages!$C$6:$C$305,B238)=0),"",SUMIFS(Packages!$E$6:$E$305,Packages!$C$6:$C$305,B238)-COUNTIFS(Appointments!$D$6:$D$2005,B238,Appointments!$J$6:$J$2005,"Package",Appointments!$F$6:$F$2005,"Done")+IF(Services!$I$6="Yes",COUNTIFS(Appointments!$D$6:$D$2005,B238,Appointments!$J$6:$J$2005,"Package",Appointments!$F$6:$F$2005,"No-show"),0))</f>
        <v/>
      </c>
      <c r="N238" s="18">
        <f>IF(OR(B238="",I238=""),"",IF(AND(J238="",TODAY()-I238&gt;=N(Services!$I$7)),"Not seen for "&amp;(TODAY()-I238)&amp;" days",""))</f>
        <v/>
      </c>
      <c r="O238" s="1">
        <f>IF(N(E238)=0,"",MONTH(E238))</f>
        <v/>
      </c>
    </row>
    <row r="239">
      <c r="A239" s="1" t="n"/>
      <c r="B239" s="35" t="n"/>
      <c r="C239" s="32" t="n"/>
      <c r="D239" s="32" t="n"/>
      <c r="E239" s="36" t="n"/>
      <c r="F239" s="30" t="n"/>
      <c r="G239" s="32" t="n"/>
      <c r="H239" s="26">
        <f>IF(B239="","",COUNTIFS(Appointments!$D$6:$D$2005,B239,Appointments!$F$6:$F$2005,"Done"))</f>
        <v/>
      </c>
      <c r="I239" s="37">
        <f>IF(OR(B239="",N(H239)=0),"",INT(SUMIFS(Appointments!$M$6:$M$2005,Appointments!$D$6:$D$2005,B239,Appointments!$N$6:$N$2005,1)))</f>
        <v/>
      </c>
      <c r="J239" s="37">
        <f>IF(B239="","",IF(SUMIFS(Appointments!$M$6:$M$2005,Appointments!$D$6:$D$2005,B239,Appointments!$O$6:$O$2005,1)=0,"",INT(SUMIFS(Appointments!$M$6:$M$2005,Appointments!$D$6:$D$2005,B239,Appointments!$O$6:$O$2005,1))))</f>
        <v/>
      </c>
      <c r="K239" s="27">
        <f>IF(B239="","",SUMIFS(Appointments!$I$6:$I$2005,Appointments!$D$6:$D$2005,B239)+SUMIFS(Packages!$F$6:$F$305,Packages!$C$6:$C$305,B239))</f>
        <v/>
      </c>
      <c r="L239" s="28">
        <f>IF(B239="","",IF(SUMIFS(Appointments!$K$6:$K$2005,Appointments!$D$6:$D$2005,B239)=0,"",SUMIFS(Appointments!$K$6:$K$2005,Appointments!$D$6:$D$2005,B239)))</f>
        <v/>
      </c>
      <c r="M239" s="38">
        <f>IF(OR(B239="",SUMIFS(Packages!$E$6:$E$305,Packages!$C$6:$C$305,B239)=0),"",SUMIFS(Packages!$E$6:$E$305,Packages!$C$6:$C$305,B239)-COUNTIFS(Appointments!$D$6:$D$2005,B239,Appointments!$J$6:$J$2005,"Package",Appointments!$F$6:$F$2005,"Done")+IF(Services!$I$6="Yes",COUNTIFS(Appointments!$D$6:$D$2005,B239,Appointments!$J$6:$J$2005,"Package",Appointments!$F$6:$F$2005,"No-show"),0))</f>
        <v/>
      </c>
      <c r="N239" s="18">
        <f>IF(OR(B239="",I239=""),"",IF(AND(J239="",TODAY()-I239&gt;=N(Services!$I$7)),"Not seen for "&amp;(TODAY()-I239)&amp;" days",""))</f>
        <v/>
      </c>
      <c r="O239" s="1">
        <f>IF(N(E239)=0,"",MONTH(E239))</f>
        <v/>
      </c>
    </row>
    <row r="240">
      <c r="A240" s="1" t="n"/>
      <c r="B240" s="35" t="n"/>
      <c r="C240" s="32" t="n"/>
      <c r="D240" s="32" t="n"/>
      <c r="E240" s="36" t="n"/>
      <c r="F240" s="30" t="n"/>
      <c r="G240" s="32" t="n"/>
      <c r="H240" s="26">
        <f>IF(B240="","",COUNTIFS(Appointments!$D$6:$D$2005,B240,Appointments!$F$6:$F$2005,"Done"))</f>
        <v/>
      </c>
      <c r="I240" s="37">
        <f>IF(OR(B240="",N(H240)=0),"",INT(SUMIFS(Appointments!$M$6:$M$2005,Appointments!$D$6:$D$2005,B240,Appointments!$N$6:$N$2005,1)))</f>
        <v/>
      </c>
      <c r="J240" s="37">
        <f>IF(B240="","",IF(SUMIFS(Appointments!$M$6:$M$2005,Appointments!$D$6:$D$2005,B240,Appointments!$O$6:$O$2005,1)=0,"",INT(SUMIFS(Appointments!$M$6:$M$2005,Appointments!$D$6:$D$2005,B240,Appointments!$O$6:$O$2005,1))))</f>
        <v/>
      </c>
      <c r="K240" s="27">
        <f>IF(B240="","",SUMIFS(Appointments!$I$6:$I$2005,Appointments!$D$6:$D$2005,B240)+SUMIFS(Packages!$F$6:$F$305,Packages!$C$6:$C$305,B240))</f>
        <v/>
      </c>
      <c r="L240" s="28">
        <f>IF(B240="","",IF(SUMIFS(Appointments!$K$6:$K$2005,Appointments!$D$6:$D$2005,B240)=0,"",SUMIFS(Appointments!$K$6:$K$2005,Appointments!$D$6:$D$2005,B240)))</f>
        <v/>
      </c>
      <c r="M240" s="38">
        <f>IF(OR(B240="",SUMIFS(Packages!$E$6:$E$305,Packages!$C$6:$C$305,B240)=0),"",SUMIFS(Packages!$E$6:$E$305,Packages!$C$6:$C$305,B240)-COUNTIFS(Appointments!$D$6:$D$2005,B240,Appointments!$J$6:$J$2005,"Package",Appointments!$F$6:$F$2005,"Done")+IF(Services!$I$6="Yes",COUNTIFS(Appointments!$D$6:$D$2005,B240,Appointments!$J$6:$J$2005,"Package",Appointments!$F$6:$F$2005,"No-show"),0))</f>
        <v/>
      </c>
      <c r="N240" s="18">
        <f>IF(OR(B240="",I240=""),"",IF(AND(J240="",TODAY()-I240&gt;=N(Services!$I$7)),"Not seen for "&amp;(TODAY()-I240)&amp;" days",""))</f>
        <v/>
      </c>
      <c r="O240" s="1">
        <f>IF(N(E240)=0,"",MONTH(E240))</f>
        <v/>
      </c>
    </row>
    <row r="241">
      <c r="A241" s="1" t="n"/>
      <c r="B241" s="35" t="n"/>
      <c r="C241" s="32" t="n"/>
      <c r="D241" s="32" t="n"/>
      <c r="E241" s="36" t="n"/>
      <c r="F241" s="30" t="n"/>
      <c r="G241" s="32" t="n"/>
      <c r="H241" s="26">
        <f>IF(B241="","",COUNTIFS(Appointments!$D$6:$D$2005,B241,Appointments!$F$6:$F$2005,"Done"))</f>
        <v/>
      </c>
      <c r="I241" s="37">
        <f>IF(OR(B241="",N(H241)=0),"",INT(SUMIFS(Appointments!$M$6:$M$2005,Appointments!$D$6:$D$2005,B241,Appointments!$N$6:$N$2005,1)))</f>
        <v/>
      </c>
      <c r="J241" s="37">
        <f>IF(B241="","",IF(SUMIFS(Appointments!$M$6:$M$2005,Appointments!$D$6:$D$2005,B241,Appointments!$O$6:$O$2005,1)=0,"",INT(SUMIFS(Appointments!$M$6:$M$2005,Appointments!$D$6:$D$2005,B241,Appointments!$O$6:$O$2005,1))))</f>
        <v/>
      </c>
      <c r="K241" s="27">
        <f>IF(B241="","",SUMIFS(Appointments!$I$6:$I$2005,Appointments!$D$6:$D$2005,B241)+SUMIFS(Packages!$F$6:$F$305,Packages!$C$6:$C$305,B241))</f>
        <v/>
      </c>
      <c r="L241" s="28">
        <f>IF(B241="","",IF(SUMIFS(Appointments!$K$6:$K$2005,Appointments!$D$6:$D$2005,B241)=0,"",SUMIFS(Appointments!$K$6:$K$2005,Appointments!$D$6:$D$2005,B241)))</f>
        <v/>
      </c>
      <c r="M241" s="38">
        <f>IF(OR(B241="",SUMIFS(Packages!$E$6:$E$305,Packages!$C$6:$C$305,B241)=0),"",SUMIFS(Packages!$E$6:$E$305,Packages!$C$6:$C$305,B241)-COUNTIFS(Appointments!$D$6:$D$2005,B241,Appointments!$J$6:$J$2005,"Package",Appointments!$F$6:$F$2005,"Done")+IF(Services!$I$6="Yes",COUNTIFS(Appointments!$D$6:$D$2005,B241,Appointments!$J$6:$J$2005,"Package",Appointments!$F$6:$F$2005,"No-show"),0))</f>
        <v/>
      </c>
      <c r="N241" s="18">
        <f>IF(OR(B241="",I241=""),"",IF(AND(J241="",TODAY()-I241&gt;=N(Services!$I$7)),"Not seen for "&amp;(TODAY()-I241)&amp;" days",""))</f>
        <v/>
      </c>
      <c r="O241" s="1">
        <f>IF(N(E241)=0,"",MONTH(E241))</f>
        <v/>
      </c>
    </row>
    <row r="242">
      <c r="A242" s="1" t="n"/>
      <c r="B242" s="35" t="n"/>
      <c r="C242" s="32" t="n"/>
      <c r="D242" s="32" t="n"/>
      <c r="E242" s="36" t="n"/>
      <c r="F242" s="30" t="n"/>
      <c r="G242" s="32" t="n"/>
      <c r="H242" s="26">
        <f>IF(B242="","",COUNTIFS(Appointments!$D$6:$D$2005,B242,Appointments!$F$6:$F$2005,"Done"))</f>
        <v/>
      </c>
      <c r="I242" s="37">
        <f>IF(OR(B242="",N(H242)=0),"",INT(SUMIFS(Appointments!$M$6:$M$2005,Appointments!$D$6:$D$2005,B242,Appointments!$N$6:$N$2005,1)))</f>
        <v/>
      </c>
      <c r="J242" s="37">
        <f>IF(B242="","",IF(SUMIFS(Appointments!$M$6:$M$2005,Appointments!$D$6:$D$2005,B242,Appointments!$O$6:$O$2005,1)=0,"",INT(SUMIFS(Appointments!$M$6:$M$2005,Appointments!$D$6:$D$2005,B242,Appointments!$O$6:$O$2005,1))))</f>
        <v/>
      </c>
      <c r="K242" s="27">
        <f>IF(B242="","",SUMIFS(Appointments!$I$6:$I$2005,Appointments!$D$6:$D$2005,B242)+SUMIFS(Packages!$F$6:$F$305,Packages!$C$6:$C$305,B242))</f>
        <v/>
      </c>
      <c r="L242" s="28">
        <f>IF(B242="","",IF(SUMIFS(Appointments!$K$6:$K$2005,Appointments!$D$6:$D$2005,B242)=0,"",SUMIFS(Appointments!$K$6:$K$2005,Appointments!$D$6:$D$2005,B242)))</f>
        <v/>
      </c>
      <c r="M242" s="38">
        <f>IF(OR(B242="",SUMIFS(Packages!$E$6:$E$305,Packages!$C$6:$C$305,B242)=0),"",SUMIFS(Packages!$E$6:$E$305,Packages!$C$6:$C$305,B242)-COUNTIFS(Appointments!$D$6:$D$2005,B242,Appointments!$J$6:$J$2005,"Package",Appointments!$F$6:$F$2005,"Done")+IF(Services!$I$6="Yes",COUNTIFS(Appointments!$D$6:$D$2005,B242,Appointments!$J$6:$J$2005,"Package",Appointments!$F$6:$F$2005,"No-show"),0))</f>
        <v/>
      </c>
      <c r="N242" s="18">
        <f>IF(OR(B242="",I242=""),"",IF(AND(J242="",TODAY()-I242&gt;=N(Services!$I$7)),"Not seen for "&amp;(TODAY()-I242)&amp;" days",""))</f>
        <v/>
      </c>
      <c r="O242" s="1">
        <f>IF(N(E242)=0,"",MONTH(E242))</f>
        <v/>
      </c>
    </row>
    <row r="243">
      <c r="A243" s="1" t="n"/>
      <c r="B243" s="35" t="n"/>
      <c r="C243" s="32" t="n"/>
      <c r="D243" s="32" t="n"/>
      <c r="E243" s="36" t="n"/>
      <c r="F243" s="30" t="n"/>
      <c r="G243" s="32" t="n"/>
      <c r="H243" s="26">
        <f>IF(B243="","",COUNTIFS(Appointments!$D$6:$D$2005,B243,Appointments!$F$6:$F$2005,"Done"))</f>
        <v/>
      </c>
      <c r="I243" s="37">
        <f>IF(OR(B243="",N(H243)=0),"",INT(SUMIFS(Appointments!$M$6:$M$2005,Appointments!$D$6:$D$2005,B243,Appointments!$N$6:$N$2005,1)))</f>
        <v/>
      </c>
      <c r="J243" s="37">
        <f>IF(B243="","",IF(SUMIFS(Appointments!$M$6:$M$2005,Appointments!$D$6:$D$2005,B243,Appointments!$O$6:$O$2005,1)=0,"",INT(SUMIFS(Appointments!$M$6:$M$2005,Appointments!$D$6:$D$2005,B243,Appointments!$O$6:$O$2005,1))))</f>
        <v/>
      </c>
      <c r="K243" s="27">
        <f>IF(B243="","",SUMIFS(Appointments!$I$6:$I$2005,Appointments!$D$6:$D$2005,B243)+SUMIFS(Packages!$F$6:$F$305,Packages!$C$6:$C$305,B243))</f>
        <v/>
      </c>
      <c r="L243" s="28">
        <f>IF(B243="","",IF(SUMIFS(Appointments!$K$6:$K$2005,Appointments!$D$6:$D$2005,B243)=0,"",SUMIFS(Appointments!$K$6:$K$2005,Appointments!$D$6:$D$2005,B243)))</f>
        <v/>
      </c>
      <c r="M243" s="38">
        <f>IF(OR(B243="",SUMIFS(Packages!$E$6:$E$305,Packages!$C$6:$C$305,B243)=0),"",SUMIFS(Packages!$E$6:$E$305,Packages!$C$6:$C$305,B243)-COUNTIFS(Appointments!$D$6:$D$2005,B243,Appointments!$J$6:$J$2005,"Package",Appointments!$F$6:$F$2005,"Done")+IF(Services!$I$6="Yes",COUNTIFS(Appointments!$D$6:$D$2005,B243,Appointments!$J$6:$J$2005,"Package",Appointments!$F$6:$F$2005,"No-show"),0))</f>
        <v/>
      </c>
      <c r="N243" s="18">
        <f>IF(OR(B243="",I243=""),"",IF(AND(J243="",TODAY()-I243&gt;=N(Services!$I$7)),"Not seen for "&amp;(TODAY()-I243)&amp;" days",""))</f>
        <v/>
      </c>
      <c r="O243" s="1">
        <f>IF(N(E243)=0,"",MONTH(E243))</f>
        <v/>
      </c>
    </row>
    <row r="244">
      <c r="A244" s="1" t="n"/>
      <c r="B244" s="35" t="n"/>
      <c r="C244" s="32" t="n"/>
      <c r="D244" s="32" t="n"/>
      <c r="E244" s="36" t="n"/>
      <c r="F244" s="30" t="n"/>
      <c r="G244" s="32" t="n"/>
      <c r="H244" s="26">
        <f>IF(B244="","",COUNTIFS(Appointments!$D$6:$D$2005,B244,Appointments!$F$6:$F$2005,"Done"))</f>
        <v/>
      </c>
      <c r="I244" s="37">
        <f>IF(OR(B244="",N(H244)=0),"",INT(SUMIFS(Appointments!$M$6:$M$2005,Appointments!$D$6:$D$2005,B244,Appointments!$N$6:$N$2005,1)))</f>
        <v/>
      </c>
      <c r="J244" s="37">
        <f>IF(B244="","",IF(SUMIFS(Appointments!$M$6:$M$2005,Appointments!$D$6:$D$2005,B244,Appointments!$O$6:$O$2005,1)=0,"",INT(SUMIFS(Appointments!$M$6:$M$2005,Appointments!$D$6:$D$2005,B244,Appointments!$O$6:$O$2005,1))))</f>
        <v/>
      </c>
      <c r="K244" s="27">
        <f>IF(B244="","",SUMIFS(Appointments!$I$6:$I$2005,Appointments!$D$6:$D$2005,B244)+SUMIFS(Packages!$F$6:$F$305,Packages!$C$6:$C$305,B244))</f>
        <v/>
      </c>
      <c r="L244" s="28">
        <f>IF(B244="","",IF(SUMIFS(Appointments!$K$6:$K$2005,Appointments!$D$6:$D$2005,B244)=0,"",SUMIFS(Appointments!$K$6:$K$2005,Appointments!$D$6:$D$2005,B244)))</f>
        <v/>
      </c>
      <c r="M244" s="38">
        <f>IF(OR(B244="",SUMIFS(Packages!$E$6:$E$305,Packages!$C$6:$C$305,B244)=0),"",SUMIFS(Packages!$E$6:$E$305,Packages!$C$6:$C$305,B244)-COUNTIFS(Appointments!$D$6:$D$2005,B244,Appointments!$J$6:$J$2005,"Package",Appointments!$F$6:$F$2005,"Done")+IF(Services!$I$6="Yes",COUNTIFS(Appointments!$D$6:$D$2005,B244,Appointments!$J$6:$J$2005,"Package",Appointments!$F$6:$F$2005,"No-show"),0))</f>
        <v/>
      </c>
      <c r="N244" s="18">
        <f>IF(OR(B244="",I244=""),"",IF(AND(J244="",TODAY()-I244&gt;=N(Services!$I$7)),"Not seen for "&amp;(TODAY()-I244)&amp;" days",""))</f>
        <v/>
      </c>
      <c r="O244" s="1">
        <f>IF(N(E244)=0,"",MONTH(E244))</f>
        <v/>
      </c>
    </row>
    <row r="245">
      <c r="A245" s="1" t="n"/>
      <c r="B245" s="35" t="n"/>
      <c r="C245" s="32" t="n"/>
      <c r="D245" s="32" t="n"/>
      <c r="E245" s="36" t="n"/>
      <c r="F245" s="30" t="n"/>
      <c r="G245" s="32" t="n"/>
      <c r="H245" s="26">
        <f>IF(B245="","",COUNTIFS(Appointments!$D$6:$D$2005,B245,Appointments!$F$6:$F$2005,"Done"))</f>
        <v/>
      </c>
      <c r="I245" s="37">
        <f>IF(OR(B245="",N(H245)=0),"",INT(SUMIFS(Appointments!$M$6:$M$2005,Appointments!$D$6:$D$2005,B245,Appointments!$N$6:$N$2005,1)))</f>
        <v/>
      </c>
      <c r="J245" s="37">
        <f>IF(B245="","",IF(SUMIFS(Appointments!$M$6:$M$2005,Appointments!$D$6:$D$2005,B245,Appointments!$O$6:$O$2005,1)=0,"",INT(SUMIFS(Appointments!$M$6:$M$2005,Appointments!$D$6:$D$2005,B245,Appointments!$O$6:$O$2005,1))))</f>
        <v/>
      </c>
      <c r="K245" s="27">
        <f>IF(B245="","",SUMIFS(Appointments!$I$6:$I$2005,Appointments!$D$6:$D$2005,B245)+SUMIFS(Packages!$F$6:$F$305,Packages!$C$6:$C$305,B245))</f>
        <v/>
      </c>
      <c r="L245" s="28">
        <f>IF(B245="","",IF(SUMIFS(Appointments!$K$6:$K$2005,Appointments!$D$6:$D$2005,B245)=0,"",SUMIFS(Appointments!$K$6:$K$2005,Appointments!$D$6:$D$2005,B245)))</f>
        <v/>
      </c>
      <c r="M245" s="38">
        <f>IF(OR(B245="",SUMIFS(Packages!$E$6:$E$305,Packages!$C$6:$C$305,B245)=0),"",SUMIFS(Packages!$E$6:$E$305,Packages!$C$6:$C$305,B245)-COUNTIFS(Appointments!$D$6:$D$2005,B245,Appointments!$J$6:$J$2005,"Package",Appointments!$F$6:$F$2005,"Done")+IF(Services!$I$6="Yes",COUNTIFS(Appointments!$D$6:$D$2005,B245,Appointments!$J$6:$J$2005,"Package",Appointments!$F$6:$F$2005,"No-show"),0))</f>
        <v/>
      </c>
      <c r="N245" s="18">
        <f>IF(OR(B245="",I245=""),"",IF(AND(J245="",TODAY()-I245&gt;=N(Services!$I$7)),"Not seen for "&amp;(TODAY()-I245)&amp;" days",""))</f>
        <v/>
      </c>
      <c r="O245" s="1">
        <f>IF(N(E245)=0,"",MONTH(E245))</f>
        <v/>
      </c>
    </row>
    <row r="246">
      <c r="A246" s="1" t="n"/>
      <c r="B246" s="35" t="n"/>
      <c r="C246" s="32" t="n"/>
      <c r="D246" s="32" t="n"/>
      <c r="E246" s="36" t="n"/>
      <c r="F246" s="30" t="n"/>
      <c r="G246" s="32" t="n"/>
      <c r="H246" s="26">
        <f>IF(B246="","",COUNTIFS(Appointments!$D$6:$D$2005,B246,Appointments!$F$6:$F$2005,"Done"))</f>
        <v/>
      </c>
      <c r="I246" s="37">
        <f>IF(OR(B246="",N(H246)=0),"",INT(SUMIFS(Appointments!$M$6:$M$2005,Appointments!$D$6:$D$2005,B246,Appointments!$N$6:$N$2005,1)))</f>
        <v/>
      </c>
      <c r="J246" s="37">
        <f>IF(B246="","",IF(SUMIFS(Appointments!$M$6:$M$2005,Appointments!$D$6:$D$2005,B246,Appointments!$O$6:$O$2005,1)=0,"",INT(SUMIFS(Appointments!$M$6:$M$2005,Appointments!$D$6:$D$2005,B246,Appointments!$O$6:$O$2005,1))))</f>
        <v/>
      </c>
      <c r="K246" s="27">
        <f>IF(B246="","",SUMIFS(Appointments!$I$6:$I$2005,Appointments!$D$6:$D$2005,B246)+SUMIFS(Packages!$F$6:$F$305,Packages!$C$6:$C$305,B246))</f>
        <v/>
      </c>
      <c r="L246" s="28">
        <f>IF(B246="","",IF(SUMIFS(Appointments!$K$6:$K$2005,Appointments!$D$6:$D$2005,B246)=0,"",SUMIFS(Appointments!$K$6:$K$2005,Appointments!$D$6:$D$2005,B246)))</f>
        <v/>
      </c>
      <c r="M246" s="38">
        <f>IF(OR(B246="",SUMIFS(Packages!$E$6:$E$305,Packages!$C$6:$C$305,B246)=0),"",SUMIFS(Packages!$E$6:$E$305,Packages!$C$6:$C$305,B246)-COUNTIFS(Appointments!$D$6:$D$2005,B246,Appointments!$J$6:$J$2005,"Package",Appointments!$F$6:$F$2005,"Done")+IF(Services!$I$6="Yes",COUNTIFS(Appointments!$D$6:$D$2005,B246,Appointments!$J$6:$J$2005,"Package",Appointments!$F$6:$F$2005,"No-show"),0))</f>
        <v/>
      </c>
      <c r="N246" s="18">
        <f>IF(OR(B246="",I246=""),"",IF(AND(J246="",TODAY()-I246&gt;=N(Services!$I$7)),"Not seen for "&amp;(TODAY()-I246)&amp;" days",""))</f>
        <v/>
      </c>
      <c r="O246" s="1">
        <f>IF(N(E246)=0,"",MONTH(E246))</f>
        <v/>
      </c>
    </row>
    <row r="247">
      <c r="A247" s="1" t="n"/>
      <c r="B247" s="35" t="n"/>
      <c r="C247" s="32" t="n"/>
      <c r="D247" s="32" t="n"/>
      <c r="E247" s="36" t="n"/>
      <c r="F247" s="30" t="n"/>
      <c r="G247" s="32" t="n"/>
      <c r="H247" s="26">
        <f>IF(B247="","",COUNTIFS(Appointments!$D$6:$D$2005,B247,Appointments!$F$6:$F$2005,"Done"))</f>
        <v/>
      </c>
      <c r="I247" s="37">
        <f>IF(OR(B247="",N(H247)=0),"",INT(SUMIFS(Appointments!$M$6:$M$2005,Appointments!$D$6:$D$2005,B247,Appointments!$N$6:$N$2005,1)))</f>
        <v/>
      </c>
      <c r="J247" s="37">
        <f>IF(B247="","",IF(SUMIFS(Appointments!$M$6:$M$2005,Appointments!$D$6:$D$2005,B247,Appointments!$O$6:$O$2005,1)=0,"",INT(SUMIFS(Appointments!$M$6:$M$2005,Appointments!$D$6:$D$2005,B247,Appointments!$O$6:$O$2005,1))))</f>
        <v/>
      </c>
      <c r="K247" s="27">
        <f>IF(B247="","",SUMIFS(Appointments!$I$6:$I$2005,Appointments!$D$6:$D$2005,B247)+SUMIFS(Packages!$F$6:$F$305,Packages!$C$6:$C$305,B247))</f>
        <v/>
      </c>
      <c r="L247" s="28">
        <f>IF(B247="","",IF(SUMIFS(Appointments!$K$6:$K$2005,Appointments!$D$6:$D$2005,B247)=0,"",SUMIFS(Appointments!$K$6:$K$2005,Appointments!$D$6:$D$2005,B247)))</f>
        <v/>
      </c>
      <c r="M247" s="38">
        <f>IF(OR(B247="",SUMIFS(Packages!$E$6:$E$305,Packages!$C$6:$C$305,B247)=0),"",SUMIFS(Packages!$E$6:$E$305,Packages!$C$6:$C$305,B247)-COUNTIFS(Appointments!$D$6:$D$2005,B247,Appointments!$J$6:$J$2005,"Package",Appointments!$F$6:$F$2005,"Done")+IF(Services!$I$6="Yes",COUNTIFS(Appointments!$D$6:$D$2005,B247,Appointments!$J$6:$J$2005,"Package",Appointments!$F$6:$F$2005,"No-show"),0))</f>
        <v/>
      </c>
      <c r="N247" s="18">
        <f>IF(OR(B247="",I247=""),"",IF(AND(J247="",TODAY()-I247&gt;=N(Services!$I$7)),"Not seen for "&amp;(TODAY()-I247)&amp;" days",""))</f>
        <v/>
      </c>
      <c r="O247" s="1">
        <f>IF(N(E247)=0,"",MONTH(E247))</f>
        <v/>
      </c>
    </row>
    <row r="248">
      <c r="A248" s="1" t="n"/>
      <c r="B248" s="35" t="n"/>
      <c r="C248" s="32" t="n"/>
      <c r="D248" s="32" t="n"/>
      <c r="E248" s="36" t="n"/>
      <c r="F248" s="30" t="n"/>
      <c r="G248" s="32" t="n"/>
      <c r="H248" s="26">
        <f>IF(B248="","",COUNTIFS(Appointments!$D$6:$D$2005,B248,Appointments!$F$6:$F$2005,"Done"))</f>
        <v/>
      </c>
      <c r="I248" s="37">
        <f>IF(OR(B248="",N(H248)=0),"",INT(SUMIFS(Appointments!$M$6:$M$2005,Appointments!$D$6:$D$2005,B248,Appointments!$N$6:$N$2005,1)))</f>
        <v/>
      </c>
      <c r="J248" s="37">
        <f>IF(B248="","",IF(SUMIFS(Appointments!$M$6:$M$2005,Appointments!$D$6:$D$2005,B248,Appointments!$O$6:$O$2005,1)=0,"",INT(SUMIFS(Appointments!$M$6:$M$2005,Appointments!$D$6:$D$2005,B248,Appointments!$O$6:$O$2005,1))))</f>
        <v/>
      </c>
      <c r="K248" s="27">
        <f>IF(B248="","",SUMIFS(Appointments!$I$6:$I$2005,Appointments!$D$6:$D$2005,B248)+SUMIFS(Packages!$F$6:$F$305,Packages!$C$6:$C$305,B248))</f>
        <v/>
      </c>
      <c r="L248" s="28">
        <f>IF(B248="","",IF(SUMIFS(Appointments!$K$6:$K$2005,Appointments!$D$6:$D$2005,B248)=0,"",SUMIFS(Appointments!$K$6:$K$2005,Appointments!$D$6:$D$2005,B248)))</f>
        <v/>
      </c>
      <c r="M248" s="38">
        <f>IF(OR(B248="",SUMIFS(Packages!$E$6:$E$305,Packages!$C$6:$C$305,B248)=0),"",SUMIFS(Packages!$E$6:$E$305,Packages!$C$6:$C$305,B248)-COUNTIFS(Appointments!$D$6:$D$2005,B248,Appointments!$J$6:$J$2005,"Package",Appointments!$F$6:$F$2005,"Done")+IF(Services!$I$6="Yes",COUNTIFS(Appointments!$D$6:$D$2005,B248,Appointments!$J$6:$J$2005,"Package",Appointments!$F$6:$F$2005,"No-show"),0))</f>
        <v/>
      </c>
      <c r="N248" s="18">
        <f>IF(OR(B248="",I248=""),"",IF(AND(J248="",TODAY()-I248&gt;=N(Services!$I$7)),"Not seen for "&amp;(TODAY()-I248)&amp;" days",""))</f>
        <v/>
      </c>
      <c r="O248" s="1">
        <f>IF(N(E248)=0,"",MONTH(E248))</f>
        <v/>
      </c>
    </row>
    <row r="249">
      <c r="A249" s="1" t="n"/>
      <c r="B249" s="35" t="n"/>
      <c r="C249" s="32" t="n"/>
      <c r="D249" s="32" t="n"/>
      <c r="E249" s="36" t="n"/>
      <c r="F249" s="30" t="n"/>
      <c r="G249" s="32" t="n"/>
      <c r="H249" s="26">
        <f>IF(B249="","",COUNTIFS(Appointments!$D$6:$D$2005,B249,Appointments!$F$6:$F$2005,"Done"))</f>
        <v/>
      </c>
      <c r="I249" s="37">
        <f>IF(OR(B249="",N(H249)=0),"",INT(SUMIFS(Appointments!$M$6:$M$2005,Appointments!$D$6:$D$2005,B249,Appointments!$N$6:$N$2005,1)))</f>
        <v/>
      </c>
      <c r="J249" s="37">
        <f>IF(B249="","",IF(SUMIFS(Appointments!$M$6:$M$2005,Appointments!$D$6:$D$2005,B249,Appointments!$O$6:$O$2005,1)=0,"",INT(SUMIFS(Appointments!$M$6:$M$2005,Appointments!$D$6:$D$2005,B249,Appointments!$O$6:$O$2005,1))))</f>
        <v/>
      </c>
      <c r="K249" s="27">
        <f>IF(B249="","",SUMIFS(Appointments!$I$6:$I$2005,Appointments!$D$6:$D$2005,B249)+SUMIFS(Packages!$F$6:$F$305,Packages!$C$6:$C$305,B249))</f>
        <v/>
      </c>
      <c r="L249" s="28">
        <f>IF(B249="","",IF(SUMIFS(Appointments!$K$6:$K$2005,Appointments!$D$6:$D$2005,B249)=0,"",SUMIFS(Appointments!$K$6:$K$2005,Appointments!$D$6:$D$2005,B249)))</f>
        <v/>
      </c>
      <c r="M249" s="38">
        <f>IF(OR(B249="",SUMIFS(Packages!$E$6:$E$305,Packages!$C$6:$C$305,B249)=0),"",SUMIFS(Packages!$E$6:$E$305,Packages!$C$6:$C$305,B249)-COUNTIFS(Appointments!$D$6:$D$2005,B249,Appointments!$J$6:$J$2005,"Package",Appointments!$F$6:$F$2005,"Done")+IF(Services!$I$6="Yes",COUNTIFS(Appointments!$D$6:$D$2005,B249,Appointments!$J$6:$J$2005,"Package",Appointments!$F$6:$F$2005,"No-show"),0))</f>
        <v/>
      </c>
      <c r="N249" s="18">
        <f>IF(OR(B249="",I249=""),"",IF(AND(J249="",TODAY()-I249&gt;=N(Services!$I$7)),"Not seen for "&amp;(TODAY()-I249)&amp;" days",""))</f>
        <v/>
      </c>
      <c r="O249" s="1">
        <f>IF(N(E249)=0,"",MONTH(E249))</f>
        <v/>
      </c>
    </row>
    <row r="250">
      <c r="A250" s="1" t="n"/>
      <c r="B250" s="35" t="n"/>
      <c r="C250" s="32" t="n"/>
      <c r="D250" s="32" t="n"/>
      <c r="E250" s="36" t="n"/>
      <c r="F250" s="30" t="n"/>
      <c r="G250" s="32" t="n"/>
      <c r="H250" s="26">
        <f>IF(B250="","",COUNTIFS(Appointments!$D$6:$D$2005,B250,Appointments!$F$6:$F$2005,"Done"))</f>
        <v/>
      </c>
      <c r="I250" s="37">
        <f>IF(OR(B250="",N(H250)=0),"",INT(SUMIFS(Appointments!$M$6:$M$2005,Appointments!$D$6:$D$2005,B250,Appointments!$N$6:$N$2005,1)))</f>
        <v/>
      </c>
      <c r="J250" s="37">
        <f>IF(B250="","",IF(SUMIFS(Appointments!$M$6:$M$2005,Appointments!$D$6:$D$2005,B250,Appointments!$O$6:$O$2005,1)=0,"",INT(SUMIFS(Appointments!$M$6:$M$2005,Appointments!$D$6:$D$2005,B250,Appointments!$O$6:$O$2005,1))))</f>
        <v/>
      </c>
      <c r="K250" s="27">
        <f>IF(B250="","",SUMIFS(Appointments!$I$6:$I$2005,Appointments!$D$6:$D$2005,B250)+SUMIFS(Packages!$F$6:$F$305,Packages!$C$6:$C$305,B250))</f>
        <v/>
      </c>
      <c r="L250" s="28">
        <f>IF(B250="","",IF(SUMIFS(Appointments!$K$6:$K$2005,Appointments!$D$6:$D$2005,B250)=0,"",SUMIFS(Appointments!$K$6:$K$2005,Appointments!$D$6:$D$2005,B250)))</f>
        <v/>
      </c>
      <c r="M250" s="38">
        <f>IF(OR(B250="",SUMIFS(Packages!$E$6:$E$305,Packages!$C$6:$C$305,B250)=0),"",SUMIFS(Packages!$E$6:$E$305,Packages!$C$6:$C$305,B250)-COUNTIFS(Appointments!$D$6:$D$2005,B250,Appointments!$J$6:$J$2005,"Package",Appointments!$F$6:$F$2005,"Done")+IF(Services!$I$6="Yes",COUNTIFS(Appointments!$D$6:$D$2005,B250,Appointments!$J$6:$J$2005,"Package",Appointments!$F$6:$F$2005,"No-show"),0))</f>
        <v/>
      </c>
      <c r="N250" s="18">
        <f>IF(OR(B250="",I250=""),"",IF(AND(J250="",TODAY()-I250&gt;=N(Services!$I$7)),"Not seen for "&amp;(TODAY()-I250)&amp;" days",""))</f>
        <v/>
      </c>
      <c r="O250" s="1">
        <f>IF(N(E250)=0,"",MONTH(E250))</f>
        <v/>
      </c>
    </row>
    <row r="251">
      <c r="A251" s="1" t="n"/>
      <c r="B251" s="35" t="n"/>
      <c r="C251" s="32" t="n"/>
      <c r="D251" s="32" t="n"/>
      <c r="E251" s="36" t="n"/>
      <c r="F251" s="30" t="n"/>
      <c r="G251" s="32" t="n"/>
      <c r="H251" s="26">
        <f>IF(B251="","",COUNTIFS(Appointments!$D$6:$D$2005,B251,Appointments!$F$6:$F$2005,"Done"))</f>
        <v/>
      </c>
      <c r="I251" s="37">
        <f>IF(OR(B251="",N(H251)=0),"",INT(SUMIFS(Appointments!$M$6:$M$2005,Appointments!$D$6:$D$2005,B251,Appointments!$N$6:$N$2005,1)))</f>
        <v/>
      </c>
      <c r="J251" s="37">
        <f>IF(B251="","",IF(SUMIFS(Appointments!$M$6:$M$2005,Appointments!$D$6:$D$2005,B251,Appointments!$O$6:$O$2005,1)=0,"",INT(SUMIFS(Appointments!$M$6:$M$2005,Appointments!$D$6:$D$2005,B251,Appointments!$O$6:$O$2005,1))))</f>
        <v/>
      </c>
      <c r="K251" s="27">
        <f>IF(B251="","",SUMIFS(Appointments!$I$6:$I$2005,Appointments!$D$6:$D$2005,B251)+SUMIFS(Packages!$F$6:$F$305,Packages!$C$6:$C$305,B251))</f>
        <v/>
      </c>
      <c r="L251" s="28">
        <f>IF(B251="","",IF(SUMIFS(Appointments!$K$6:$K$2005,Appointments!$D$6:$D$2005,B251)=0,"",SUMIFS(Appointments!$K$6:$K$2005,Appointments!$D$6:$D$2005,B251)))</f>
        <v/>
      </c>
      <c r="M251" s="38">
        <f>IF(OR(B251="",SUMIFS(Packages!$E$6:$E$305,Packages!$C$6:$C$305,B251)=0),"",SUMIFS(Packages!$E$6:$E$305,Packages!$C$6:$C$305,B251)-COUNTIFS(Appointments!$D$6:$D$2005,B251,Appointments!$J$6:$J$2005,"Package",Appointments!$F$6:$F$2005,"Done")+IF(Services!$I$6="Yes",COUNTIFS(Appointments!$D$6:$D$2005,B251,Appointments!$J$6:$J$2005,"Package",Appointments!$F$6:$F$2005,"No-show"),0))</f>
        <v/>
      </c>
      <c r="N251" s="18">
        <f>IF(OR(B251="",I251=""),"",IF(AND(J251="",TODAY()-I251&gt;=N(Services!$I$7)),"Not seen for "&amp;(TODAY()-I251)&amp;" days",""))</f>
        <v/>
      </c>
      <c r="O251" s="1">
        <f>IF(N(E251)=0,"",MONTH(E251))</f>
        <v/>
      </c>
    </row>
    <row r="252">
      <c r="A252" s="1" t="n"/>
      <c r="B252" s="35" t="n"/>
      <c r="C252" s="32" t="n"/>
      <c r="D252" s="32" t="n"/>
      <c r="E252" s="36" t="n"/>
      <c r="F252" s="30" t="n"/>
      <c r="G252" s="32" t="n"/>
      <c r="H252" s="26">
        <f>IF(B252="","",COUNTIFS(Appointments!$D$6:$D$2005,B252,Appointments!$F$6:$F$2005,"Done"))</f>
        <v/>
      </c>
      <c r="I252" s="37">
        <f>IF(OR(B252="",N(H252)=0),"",INT(SUMIFS(Appointments!$M$6:$M$2005,Appointments!$D$6:$D$2005,B252,Appointments!$N$6:$N$2005,1)))</f>
        <v/>
      </c>
      <c r="J252" s="37">
        <f>IF(B252="","",IF(SUMIFS(Appointments!$M$6:$M$2005,Appointments!$D$6:$D$2005,B252,Appointments!$O$6:$O$2005,1)=0,"",INT(SUMIFS(Appointments!$M$6:$M$2005,Appointments!$D$6:$D$2005,B252,Appointments!$O$6:$O$2005,1))))</f>
        <v/>
      </c>
      <c r="K252" s="27">
        <f>IF(B252="","",SUMIFS(Appointments!$I$6:$I$2005,Appointments!$D$6:$D$2005,B252)+SUMIFS(Packages!$F$6:$F$305,Packages!$C$6:$C$305,B252))</f>
        <v/>
      </c>
      <c r="L252" s="28">
        <f>IF(B252="","",IF(SUMIFS(Appointments!$K$6:$K$2005,Appointments!$D$6:$D$2005,B252)=0,"",SUMIFS(Appointments!$K$6:$K$2005,Appointments!$D$6:$D$2005,B252)))</f>
        <v/>
      </c>
      <c r="M252" s="38">
        <f>IF(OR(B252="",SUMIFS(Packages!$E$6:$E$305,Packages!$C$6:$C$305,B252)=0),"",SUMIFS(Packages!$E$6:$E$305,Packages!$C$6:$C$305,B252)-COUNTIFS(Appointments!$D$6:$D$2005,B252,Appointments!$J$6:$J$2005,"Package",Appointments!$F$6:$F$2005,"Done")+IF(Services!$I$6="Yes",COUNTIFS(Appointments!$D$6:$D$2005,B252,Appointments!$J$6:$J$2005,"Package",Appointments!$F$6:$F$2005,"No-show"),0))</f>
        <v/>
      </c>
      <c r="N252" s="18">
        <f>IF(OR(B252="",I252=""),"",IF(AND(J252="",TODAY()-I252&gt;=N(Services!$I$7)),"Not seen for "&amp;(TODAY()-I252)&amp;" days",""))</f>
        <v/>
      </c>
      <c r="O252" s="1">
        <f>IF(N(E252)=0,"",MONTH(E252))</f>
        <v/>
      </c>
    </row>
    <row r="253">
      <c r="A253" s="1" t="n"/>
      <c r="B253" s="35" t="n"/>
      <c r="C253" s="32" t="n"/>
      <c r="D253" s="32" t="n"/>
      <c r="E253" s="36" t="n"/>
      <c r="F253" s="30" t="n"/>
      <c r="G253" s="32" t="n"/>
      <c r="H253" s="26">
        <f>IF(B253="","",COUNTIFS(Appointments!$D$6:$D$2005,B253,Appointments!$F$6:$F$2005,"Done"))</f>
        <v/>
      </c>
      <c r="I253" s="37">
        <f>IF(OR(B253="",N(H253)=0),"",INT(SUMIFS(Appointments!$M$6:$M$2005,Appointments!$D$6:$D$2005,B253,Appointments!$N$6:$N$2005,1)))</f>
        <v/>
      </c>
      <c r="J253" s="37">
        <f>IF(B253="","",IF(SUMIFS(Appointments!$M$6:$M$2005,Appointments!$D$6:$D$2005,B253,Appointments!$O$6:$O$2005,1)=0,"",INT(SUMIFS(Appointments!$M$6:$M$2005,Appointments!$D$6:$D$2005,B253,Appointments!$O$6:$O$2005,1))))</f>
        <v/>
      </c>
      <c r="K253" s="27">
        <f>IF(B253="","",SUMIFS(Appointments!$I$6:$I$2005,Appointments!$D$6:$D$2005,B253)+SUMIFS(Packages!$F$6:$F$305,Packages!$C$6:$C$305,B253))</f>
        <v/>
      </c>
      <c r="L253" s="28">
        <f>IF(B253="","",IF(SUMIFS(Appointments!$K$6:$K$2005,Appointments!$D$6:$D$2005,B253)=0,"",SUMIFS(Appointments!$K$6:$K$2005,Appointments!$D$6:$D$2005,B253)))</f>
        <v/>
      </c>
      <c r="M253" s="38">
        <f>IF(OR(B253="",SUMIFS(Packages!$E$6:$E$305,Packages!$C$6:$C$305,B253)=0),"",SUMIFS(Packages!$E$6:$E$305,Packages!$C$6:$C$305,B253)-COUNTIFS(Appointments!$D$6:$D$2005,B253,Appointments!$J$6:$J$2005,"Package",Appointments!$F$6:$F$2005,"Done")+IF(Services!$I$6="Yes",COUNTIFS(Appointments!$D$6:$D$2005,B253,Appointments!$J$6:$J$2005,"Package",Appointments!$F$6:$F$2005,"No-show"),0))</f>
        <v/>
      </c>
      <c r="N253" s="18">
        <f>IF(OR(B253="",I253=""),"",IF(AND(J253="",TODAY()-I253&gt;=N(Services!$I$7)),"Not seen for "&amp;(TODAY()-I253)&amp;" days",""))</f>
        <v/>
      </c>
      <c r="O253" s="1">
        <f>IF(N(E253)=0,"",MONTH(E253))</f>
        <v/>
      </c>
    </row>
    <row r="254">
      <c r="A254" s="1" t="n"/>
      <c r="B254" s="35" t="n"/>
      <c r="C254" s="32" t="n"/>
      <c r="D254" s="32" t="n"/>
      <c r="E254" s="36" t="n"/>
      <c r="F254" s="30" t="n"/>
      <c r="G254" s="32" t="n"/>
      <c r="H254" s="26">
        <f>IF(B254="","",COUNTIFS(Appointments!$D$6:$D$2005,B254,Appointments!$F$6:$F$2005,"Done"))</f>
        <v/>
      </c>
      <c r="I254" s="37">
        <f>IF(OR(B254="",N(H254)=0),"",INT(SUMIFS(Appointments!$M$6:$M$2005,Appointments!$D$6:$D$2005,B254,Appointments!$N$6:$N$2005,1)))</f>
        <v/>
      </c>
      <c r="J254" s="37">
        <f>IF(B254="","",IF(SUMIFS(Appointments!$M$6:$M$2005,Appointments!$D$6:$D$2005,B254,Appointments!$O$6:$O$2005,1)=0,"",INT(SUMIFS(Appointments!$M$6:$M$2005,Appointments!$D$6:$D$2005,B254,Appointments!$O$6:$O$2005,1))))</f>
        <v/>
      </c>
      <c r="K254" s="27">
        <f>IF(B254="","",SUMIFS(Appointments!$I$6:$I$2005,Appointments!$D$6:$D$2005,B254)+SUMIFS(Packages!$F$6:$F$305,Packages!$C$6:$C$305,B254))</f>
        <v/>
      </c>
      <c r="L254" s="28">
        <f>IF(B254="","",IF(SUMIFS(Appointments!$K$6:$K$2005,Appointments!$D$6:$D$2005,B254)=0,"",SUMIFS(Appointments!$K$6:$K$2005,Appointments!$D$6:$D$2005,B254)))</f>
        <v/>
      </c>
      <c r="M254" s="38">
        <f>IF(OR(B254="",SUMIFS(Packages!$E$6:$E$305,Packages!$C$6:$C$305,B254)=0),"",SUMIFS(Packages!$E$6:$E$305,Packages!$C$6:$C$305,B254)-COUNTIFS(Appointments!$D$6:$D$2005,B254,Appointments!$J$6:$J$2005,"Package",Appointments!$F$6:$F$2005,"Done")+IF(Services!$I$6="Yes",COUNTIFS(Appointments!$D$6:$D$2005,B254,Appointments!$J$6:$J$2005,"Package",Appointments!$F$6:$F$2005,"No-show"),0))</f>
        <v/>
      </c>
      <c r="N254" s="18">
        <f>IF(OR(B254="",I254=""),"",IF(AND(J254="",TODAY()-I254&gt;=N(Services!$I$7)),"Not seen for "&amp;(TODAY()-I254)&amp;" days",""))</f>
        <v/>
      </c>
      <c r="O254" s="1">
        <f>IF(N(E254)=0,"",MONTH(E254))</f>
        <v/>
      </c>
    </row>
    <row r="255">
      <c r="A255" s="1" t="n"/>
      <c r="B255" s="35" t="n"/>
      <c r="C255" s="32" t="n"/>
      <c r="D255" s="32" t="n"/>
      <c r="E255" s="36" t="n"/>
      <c r="F255" s="30" t="n"/>
      <c r="G255" s="32" t="n"/>
      <c r="H255" s="26">
        <f>IF(B255="","",COUNTIFS(Appointments!$D$6:$D$2005,B255,Appointments!$F$6:$F$2005,"Done"))</f>
        <v/>
      </c>
      <c r="I255" s="37">
        <f>IF(OR(B255="",N(H255)=0),"",INT(SUMIFS(Appointments!$M$6:$M$2005,Appointments!$D$6:$D$2005,B255,Appointments!$N$6:$N$2005,1)))</f>
        <v/>
      </c>
      <c r="J255" s="37">
        <f>IF(B255="","",IF(SUMIFS(Appointments!$M$6:$M$2005,Appointments!$D$6:$D$2005,B255,Appointments!$O$6:$O$2005,1)=0,"",INT(SUMIFS(Appointments!$M$6:$M$2005,Appointments!$D$6:$D$2005,B255,Appointments!$O$6:$O$2005,1))))</f>
        <v/>
      </c>
      <c r="K255" s="27">
        <f>IF(B255="","",SUMIFS(Appointments!$I$6:$I$2005,Appointments!$D$6:$D$2005,B255)+SUMIFS(Packages!$F$6:$F$305,Packages!$C$6:$C$305,B255))</f>
        <v/>
      </c>
      <c r="L255" s="28">
        <f>IF(B255="","",IF(SUMIFS(Appointments!$K$6:$K$2005,Appointments!$D$6:$D$2005,B255)=0,"",SUMIFS(Appointments!$K$6:$K$2005,Appointments!$D$6:$D$2005,B255)))</f>
        <v/>
      </c>
      <c r="M255" s="38">
        <f>IF(OR(B255="",SUMIFS(Packages!$E$6:$E$305,Packages!$C$6:$C$305,B255)=0),"",SUMIFS(Packages!$E$6:$E$305,Packages!$C$6:$C$305,B255)-COUNTIFS(Appointments!$D$6:$D$2005,B255,Appointments!$J$6:$J$2005,"Package",Appointments!$F$6:$F$2005,"Done")+IF(Services!$I$6="Yes",COUNTIFS(Appointments!$D$6:$D$2005,B255,Appointments!$J$6:$J$2005,"Package",Appointments!$F$6:$F$2005,"No-show"),0))</f>
        <v/>
      </c>
      <c r="N255" s="18">
        <f>IF(OR(B255="",I255=""),"",IF(AND(J255="",TODAY()-I255&gt;=N(Services!$I$7)),"Not seen for "&amp;(TODAY()-I255)&amp;" days",""))</f>
        <v/>
      </c>
      <c r="O255" s="1">
        <f>IF(N(E255)=0,"",MONTH(E255))</f>
        <v/>
      </c>
    </row>
    <row r="256">
      <c r="A256" s="1" t="n"/>
      <c r="B256" s="35" t="n"/>
      <c r="C256" s="32" t="n"/>
      <c r="D256" s="32" t="n"/>
      <c r="E256" s="36" t="n"/>
      <c r="F256" s="30" t="n"/>
      <c r="G256" s="32" t="n"/>
      <c r="H256" s="26">
        <f>IF(B256="","",COUNTIFS(Appointments!$D$6:$D$2005,B256,Appointments!$F$6:$F$2005,"Done"))</f>
        <v/>
      </c>
      <c r="I256" s="37">
        <f>IF(OR(B256="",N(H256)=0),"",INT(SUMIFS(Appointments!$M$6:$M$2005,Appointments!$D$6:$D$2005,B256,Appointments!$N$6:$N$2005,1)))</f>
        <v/>
      </c>
      <c r="J256" s="37">
        <f>IF(B256="","",IF(SUMIFS(Appointments!$M$6:$M$2005,Appointments!$D$6:$D$2005,B256,Appointments!$O$6:$O$2005,1)=0,"",INT(SUMIFS(Appointments!$M$6:$M$2005,Appointments!$D$6:$D$2005,B256,Appointments!$O$6:$O$2005,1))))</f>
        <v/>
      </c>
      <c r="K256" s="27">
        <f>IF(B256="","",SUMIFS(Appointments!$I$6:$I$2005,Appointments!$D$6:$D$2005,B256)+SUMIFS(Packages!$F$6:$F$305,Packages!$C$6:$C$305,B256))</f>
        <v/>
      </c>
      <c r="L256" s="28">
        <f>IF(B256="","",IF(SUMIFS(Appointments!$K$6:$K$2005,Appointments!$D$6:$D$2005,B256)=0,"",SUMIFS(Appointments!$K$6:$K$2005,Appointments!$D$6:$D$2005,B256)))</f>
        <v/>
      </c>
      <c r="M256" s="38">
        <f>IF(OR(B256="",SUMIFS(Packages!$E$6:$E$305,Packages!$C$6:$C$305,B256)=0),"",SUMIFS(Packages!$E$6:$E$305,Packages!$C$6:$C$305,B256)-COUNTIFS(Appointments!$D$6:$D$2005,B256,Appointments!$J$6:$J$2005,"Package",Appointments!$F$6:$F$2005,"Done")+IF(Services!$I$6="Yes",COUNTIFS(Appointments!$D$6:$D$2005,B256,Appointments!$J$6:$J$2005,"Package",Appointments!$F$6:$F$2005,"No-show"),0))</f>
        <v/>
      </c>
      <c r="N256" s="18">
        <f>IF(OR(B256="",I256=""),"",IF(AND(J256="",TODAY()-I256&gt;=N(Services!$I$7)),"Not seen for "&amp;(TODAY()-I256)&amp;" days",""))</f>
        <v/>
      </c>
      <c r="O256" s="1">
        <f>IF(N(E256)=0,"",MONTH(E256))</f>
        <v/>
      </c>
    </row>
    <row r="257">
      <c r="A257" s="1" t="n"/>
      <c r="B257" s="35" t="n"/>
      <c r="C257" s="32" t="n"/>
      <c r="D257" s="32" t="n"/>
      <c r="E257" s="36" t="n"/>
      <c r="F257" s="30" t="n"/>
      <c r="G257" s="32" t="n"/>
      <c r="H257" s="26">
        <f>IF(B257="","",COUNTIFS(Appointments!$D$6:$D$2005,B257,Appointments!$F$6:$F$2005,"Done"))</f>
        <v/>
      </c>
      <c r="I257" s="37">
        <f>IF(OR(B257="",N(H257)=0),"",INT(SUMIFS(Appointments!$M$6:$M$2005,Appointments!$D$6:$D$2005,B257,Appointments!$N$6:$N$2005,1)))</f>
        <v/>
      </c>
      <c r="J257" s="37">
        <f>IF(B257="","",IF(SUMIFS(Appointments!$M$6:$M$2005,Appointments!$D$6:$D$2005,B257,Appointments!$O$6:$O$2005,1)=0,"",INT(SUMIFS(Appointments!$M$6:$M$2005,Appointments!$D$6:$D$2005,B257,Appointments!$O$6:$O$2005,1))))</f>
        <v/>
      </c>
      <c r="K257" s="27">
        <f>IF(B257="","",SUMIFS(Appointments!$I$6:$I$2005,Appointments!$D$6:$D$2005,B257)+SUMIFS(Packages!$F$6:$F$305,Packages!$C$6:$C$305,B257))</f>
        <v/>
      </c>
      <c r="L257" s="28">
        <f>IF(B257="","",IF(SUMIFS(Appointments!$K$6:$K$2005,Appointments!$D$6:$D$2005,B257)=0,"",SUMIFS(Appointments!$K$6:$K$2005,Appointments!$D$6:$D$2005,B257)))</f>
        <v/>
      </c>
      <c r="M257" s="38">
        <f>IF(OR(B257="",SUMIFS(Packages!$E$6:$E$305,Packages!$C$6:$C$305,B257)=0),"",SUMIFS(Packages!$E$6:$E$305,Packages!$C$6:$C$305,B257)-COUNTIFS(Appointments!$D$6:$D$2005,B257,Appointments!$J$6:$J$2005,"Package",Appointments!$F$6:$F$2005,"Done")+IF(Services!$I$6="Yes",COUNTIFS(Appointments!$D$6:$D$2005,B257,Appointments!$J$6:$J$2005,"Package",Appointments!$F$6:$F$2005,"No-show"),0))</f>
        <v/>
      </c>
      <c r="N257" s="18">
        <f>IF(OR(B257="",I257=""),"",IF(AND(J257="",TODAY()-I257&gt;=N(Services!$I$7)),"Not seen for "&amp;(TODAY()-I257)&amp;" days",""))</f>
        <v/>
      </c>
      <c r="O257" s="1">
        <f>IF(N(E257)=0,"",MONTH(E257))</f>
        <v/>
      </c>
    </row>
    <row r="258">
      <c r="A258" s="1" t="n"/>
      <c r="B258" s="35" t="n"/>
      <c r="C258" s="32" t="n"/>
      <c r="D258" s="32" t="n"/>
      <c r="E258" s="36" t="n"/>
      <c r="F258" s="30" t="n"/>
      <c r="G258" s="32" t="n"/>
      <c r="H258" s="26">
        <f>IF(B258="","",COUNTIFS(Appointments!$D$6:$D$2005,B258,Appointments!$F$6:$F$2005,"Done"))</f>
        <v/>
      </c>
      <c r="I258" s="37">
        <f>IF(OR(B258="",N(H258)=0),"",INT(SUMIFS(Appointments!$M$6:$M$2005,Appointments!$D$6:$D$2005,B258,Appointments!$N$6:$N$2005,1)))</f>
        <v/>
      </c>
      <c r="J258" s="37">
        <f>IF(B258="","",IF(SUMIFS(Appointments!$M$6:$M$2005,Appointments!$D$6:$D$2005,B258,Appointments!$O$6:$O$2005,1)=0,"",INT(SUMIFS(Appointments!$M$6:$M$2005,Appointments!$D$6:$D$2005,B258,Appointments!$O$6:$O$2005,1))))</f>
        <v/>
      </c>
      <c r="K258" s="27">
        <f>IF(B258="","",SUMIFS(Appointments!$I$6:$I$2005,Appointments!$D$6:$D$2005,B258)+SUMIFS(Packages!$F$6:$F$305,Packages!$C$6:$C$305,B258))</f>
        <v/>
      </c>
      <c r="L258" s="28">
        <f>IF(B258="","",IF(SUMIFS(Appointments!$K$6:$K$2005,Appointments!$D$6:$D$2005,B258)=0,"",SUMIFS(Appointments!$K$6:$K$2005,Appointments!$D$6:$D$2005,B258)))</f>
        <v/>
      </c>
      <c r="M258" s="38">
        <f>IF(OR(B258="",SUMIFS(Packages!$E$6:$E$305,Packages!$C$6:$C$305,B258)=0),"",SUMIFS(Packages!$E$6:$E$305,Packages!$C$6:$C$305,B258)-COUNTIFS(Appointments!$D$6:$D$2005,B258,Appointments!$J$6:$J$2005,"Package",Appointments!$F$6:$F$2005,"Done")+IF(Services!$I$6="Yes",COUNTIFS(Appointments!$D$6:$D$2005,B258,Appointments!$J$6:$J$2005,"Package",Appointments!$F$6:$F$2005,"No-show"),0))</f>
        <v/>
      </c>
      <c r="N258" s="18">
        <f>IF(OR(B258="",I258=""),"",IF(AND(J258="",TODAY()-I258&gt;=N(Services!$I$7)),"Not seen for "&amp;(TODAY()-I258)&amp;" days",""))</f>
        <v/>
      </c>
      <c r="O258" s="1">
        <f>IF(N(E258)=0,"",MONTH(E258))</f>
        <v/>
      </c>
    </row>
    <row r="259">
      <c r="A259" s="1" t="n"/>
      <c r="B259" s="35" t="n"/>
      <c r="C259" s="32" t="n"/>
      <c r="D259" s="32" t="n"/>
      <c r="E259" s="36" t="n"/>
      <c r="F259" s="30" t="n"/>
      <c r="G259" s="32" t="n"/>
      <c r="H259" s="26">
        <f>IF(B259="","",COUNTIFS(Appointments!$D$6:$D$2005,B259,Appointments!$F$6:$F$2005,"Done"))</f>
        <v/>
      </c>
      <c r="I259" s="37">
        <f>IF(OR(B259="",N(H259)=0),"",INT(SUMIFS(Appointments!$M$6:$M$2005,Appointments!$D$6:$D$2005,B259,Appointments!$N$6:$N$2005,1)))</f>
        <v/>
      </c>
      <c r="J259" s="37">
        <f>IF(B259="","",IF(SUMIFS(Appointments!$M$6:$M$2005,Appointments!$D$6:$D$2005,B259,Appointments!$O$6:$O$2005,1)=0,"",INT(SUMIFS(Appointments!$M$6:$M$2005,Appointments!$D$6:$D$2005,B259,Appointments!$O$6:$O$2005,1))))</f>
        <v/>
      </c>
      <c r="K259" s="27">
        <f>IF(B259="","",SUMIFS(Appointments!$I$6:$I$2005,Appointments!$D$6:$D$2005,B259)+SUMIFS(Packages!$F$6:$F$305,Packages!$C$6:$C$305,B259))</f>
        <v/>
      </c>
      <c r="L259" s="28">
        <f>IF(B259="","",IF(SUMIFS(Appointments!$K$6:$K$2005,Appointments!$D$6:$D$2005,B259)=0,"",SUMIFS(Appointments!$K$6:$K$2005,Appointments!$D$6:$D$2005,B259)))</f>
        <v/>
      </c>
      <c r="M259" s="38">
        <f>IF(OR(B259="",SUMIFS(Packages!$E$6:$E$305,Packages!$C$6:$C$305,B259)=0),"",SUMIFS(Packages!$E$6:$E$305,Packages!$C$6:$C$305,B259)-COUNTIFS(Appointments!$D$6:$D$2005,B259,Appointments!$J$6:$J$2005,"Package",Appointments!$F$6:$F$2005,"Done")+IF(Services!$I$6="Yes",COUNTIFS(Appointments!$D$6:$D$2005,B259,Appointments!$J$6:$J$2005,"Package",Appointments!$F$6:$F$2005,"No-show"),0))</f>
        <v/>
      </c>
      <c r="N259" s="18">
        <f>IF(OR(B259="",I259=""),"",IF(AND(J259="",TODAY()-I259&gt;=N(Services!$I$7)),"Not seen for "&amp;(TODAY()-I259)&amp;" days",""))</f>
        <v/>
      </c>
      <c r="O259" s="1">
        <f>IF(N(E259)=0,"",MONTH(E259))</f>
        <v/>
      </c>
    </row>
    <row r="260">
      <c r="A260" s="1" t="n"/>
      <c r="B260" s="35" t="n"/>
      <c r="C260" s="32" t="n"/>
      <c r="D260" s="32" t="n"/>
      <c r="E260" s="36" t="n"/>
      <c r="F260" s="30" t="n"/>
      <c r="G260" s="32" t="n"/>
      <c r="H260" s="26">
        <f>IF(B260="","",COUNTIFS(Appointments!$D$6:$D$2005,B260,Appointments!$F$6:$F$2005,"Done"))</f>
        <v/>
      </c>
      <c r="I260" s="37">
        <f>IF(OR(B260="",N(H260)=0),"",INT(SUMIFS(Appointments!$M$6:$M$2005,Appointments!$D$6:$D$2005,B260,Appointments!$N$6:$N$2005,1)))</f>
        <v/>
      </c>
      <c r="J260" s="37">
        <f>IF(B260="","",IF(SUMIFS(Appointments!$M$6:$M$2005,Appointments!$D$6:$D$2005,B260,Appointments!$O$6:$O$2005,1)=0,"",INT(SUMIFS(Appointments!$M$6:$M$2005,Appointments!$D$6:$D$2005,B260,Appointments!$O$6:$O$2005,1))))</f>
        <v/>
      </c>
      <c r="K260" s="27">
        <f>IF(B260="","",SUMIFS(Appointments!$I$6:$I$2005,Appointments!$D$6:$D$2005,B260)+SUMIFS(Packages!$F$6:$F$305,Packages!$C$6:$C$305,B260))</f>
        <v/>
      </c>
      <c r="L260" s="28">
        <f>IF(B260="","",IF(SUMIFS(Appointments!$K$6:$K$2005,Appointments!$D$6:$D$2005,B260)=0,"",SUMIFS(Appointments!$K$6:$K$2005,Appointments!$D$6:$D$2005,B260)))</f>
        <v/>
      </c>
      <c r="M260" s="38">
        <f>IF(OR(B260="",SUMIFS(Packages!$E$6:$E$305,Packages!$C$6:$C$305,B260)=0),"",SUMIFS(Packages!$E$6:$E$305,Packages!$C$6:$C$305,B260)-COUNTIFS(Appointments!$D$6:$D$2005,B260,Appointments!$J$6:$J$2005,"Package",Appointments!$F$6:$F$2005,"Done")+IF(Services!$I$6="Yes",COUNTIFS(Appointments!$D$6:$D$2005,B260,Appointments!$J$6:$J$2005,"Package",Appointments!$F$6:$F$2005,"No-show"),0))</f>
        <v/>
      </c>
      <c r="N260" s="18">
        <f>IF(OR(B260="",I260=""),"",IF(AND(J260="",TODAY()-I260&gt;=N(Services!$I$7)),"Not seen for "&amp;(TODAY()-I260)&amp;" days",""))</f>
        <v/>
      </c>
      <c r="O260" s="1">
        <f>IF(N(E260)=0,"",MONTH(E260))</f>
        <v/>
      </c>
    </row>
    <row r="261">
      <c r="A261" s="1" t="n"/>
      <c r="B261" s="35" t="n"/>
      <c r="C261" s="32" t="n"/>
      <c r="D261" s="32" t="n"/>
      <c r="E261" s="36" t="n"/>
      <c r="F261" s="30" t="n"/>
      <c r="G261" s="32" t="n"/>
      <c r="H261" s="26">
        <f>IF(B261="","",COUNTIFS(Appointments!$D$6:$D$2005,B261,Appointments!$F$6:$F$2005,"Done"))</f>
        <v/>
      </c>
      <c r="I261" s="37">
        <f>IF(OR(B261="",N(H261)=0),"",INT(SUMIFS(Appointments!$M$6:$M$2005,Appointments!$D$6:$D$2005,B261,Appointments!$N$6:$N$2005,1)))</f>
        <v/>
      </c>
      <c r="J261" s="37">
        <f>IF(B261="","",IF(SUMIFS(Appointments!$M$6:$M$2005,Appointments!$D$6:$D$2005,B261,Appointments!$O$6:$O$2005,1)=0,"",INT(SUMIFS(Appointments!$M$6:$M$2005,Appointments!$D$6:$D$2005,B261,Appointments!$O$6:$O$2005,1))))</f>
        <v/>
      </c>
      <c r="K261" s="27">
        <f>IF(B261="","",SUMIFS(Appointments!$I$6:$I$2005,Appointments!$D$6:$D$2005,B261)+SUMIFS(Packages!$F$6:$F$305,Packages!$C$6:$C$305,B261))</f>
        <v/>
      </c>
      <c r="L261" s="28">
        <f>IF(B261="","",IF(SUMIFS(Appointments!$K$6:$K$2005,Appointments!$D$6:$D$2005,B261)=0,"",SUMIFS(Appointments!$K$6:$K$2005,Appointments!$D$6:$D$2005,B261)))</f>
        <v/>
      </c>
      <c r="M261" s="38">
        <f>IF(OR(B261="",SUMIFS(Packages!$E$6:$E$305,Packages!$C$6:$C$305,B261)=0),"",SUMIFS(Packages!$E$6:$E$305,Packages!$C$6:$C$305,B261)-COUNTIFS(Appointments!$D$6:$D$2005,B261,Appointments!$J$6:$J$2005,"Package",Appointments!$F$6:$F$2005,"Done")+IF(Services!$I$6="Yes",COUNTIFS(Appointments!$D$6:$D$2005,B261,Appointments!$J$6:$J$2005,"Package",Appointments!$F$6:$F$2005,"No-show"),0))</f>
        <v/>
      </c>
      <c r="N261" s="18">
        <f>IF(OR(B261="",I261=""),"",IF(AND(J261="",TODAY()-I261&gt;=N(Services!$I$7)),"Not seen for "&amp;(TODAY()-I261)&amp;" days",""))</f>
        <v/>
      </c>
      <c r="O261" s="1">
        <f>IF(N(E261)=0,"",MONTH(E261))</f>
        <v/>
      </c>
    </row>
    <row r="262">
      <c r="A262" s="1" t="n"/>
      <c r="B262" s="35" t="n"/>
      <c r="C262" s="32" t="n"/>
      <c r="D262" s="32" t="n"/>
      <c r="E262" s="36" t="n"/>
      <c r="F262" s="30" t="n"/>
      <c r="G262" s="32" t="n"/>
      <c r="H262" s="26">
        <f>IF(B262="","",COUNTIFS(Appointments!$D$6:$D$2005,B262,Appointments!$F$6:$F$2005,"Done"))</f>
        <v/>
      </c>
      <c r="I262" s="37">
        <f>IF(OR(B262="",N(H262)=0),"",INT(SUMIFS(Appointments!$M$6:$M$2005,Appointments!$D$6:$D$2005,B262,Appointments!$N$6:$N$2005,1)))</f>
        <v/>
      </c>
      <c r="J262" s="37">
        <f>IF(B262="","",IF(SUMIFS(Appointments!$M$6:$M$2005,Appointments!$D$6:$D$2005,B262,Appointments!$O$6:$O$2005,1)=0,"",INT(SUMIFS(Appointments!$M$6:$M$2005,Appointments!$D$6:$D$2005,B262,Appointments!$O$6:$O$2005,1))))</f>
        <v/>
      </c>
      <c r="K262" s="27">
        <f>IF(B262="","",SUMIFS(Appointments!$I$6:$I$2005,Appointments!$D$6:$D$2005,B262)+SUMIFS(Packages!$F$6:$F$305,Packages!$C$6:$C$305,B262))</f>
        <v/>
      </c>
      <c r="L262" s="28">
        <f>IF(B262="","",IF(SUMIFS(Appointments!$K$6:$K$2005,Appointments!$D$6:$D$2005,B262)=0,"",SUMIFS(Appointments!$K$6:$K$2005,Appointments!$D$6:$D$2005,B262)))</f>
        <v/>
      </c>
      <c r="M262" s="38">
        <f>IF(OR(B262="",SUMIFS(Packages!$E$6:$E$305,Packages!$C$6:$C$305,B262)=0),"",SUMIFS(Packages!$E$6:$E$305,Packages!$C$6:$C$305,B262)-COUNTIFS(Appointments!$D$6:$D$2005,B262,Appointments!$J$6:$J$2005,"Package",Appointments!$F$6:$F$2005,"Done")+IF(Services!$I$6="Yes",COUNTIFS(Appointments!$D$6:$D$2005,B262,Appointments!$J$6:$J$2005,"Package",Appointments!$F$6:$F$2005,"No-show"),0))</f>
        <v/>
      </c>
      <c r="N262" s="18">
        <f>IF(OR(B262="",I262=""),"",IF(AND(J262="",TODAY()-I262&gt;=N(Services!$I$7)),"Not seen for "&amp;(TODAY()-I262)&amp;" days",""))</f>
        <v/>
      </c>
      <c r="O262" s="1">
        <f>IF(N(E262)=0,"",MONTH(E262))</f>
        <v/>
      </c>
    </row>
    <row r="263">
      <c r="A263" s="1" t="n"/>
      <c r="B263" s="35" t="n"/>
      <c r="C263" s="32" t="n"/>
      <c r="D263" s="32" t="n"/>
      <c r="E263" s="36" t="n"/>
      <c r="F263" s="30" t="n"/>
      <c r="G263" s="32" t="n"/>
      <c r="H263" s="26">
        <f>IF(B263="","",COUNTIFS(Appointments!$D$6:$D$2005,B263,Appointments!$F$6:$F$2005,"Done"))</f>
        <v/>
      </c>
      <c r="I263" s="37">
        <f>IF(OR(B263="",N(H263)=0),"",INT(SUMIFS(Appointments!$M$6:$M$2005,Appointments!$D$6:$D$2005,B263,Appointments!$N$6:$N$2005,1)))</f>
        <v/>
      </c>
      <c r="J263" s="37">
        <f>IF(B263="","",IF(SUMIFS(Appointments!$M$6:$M$2005,Appointments!$D$6:$D$2005,B263,Appointments!$O$6:$O$2005,1)=0,"",INT(SUMIFS(Appointments!$M$6:$M$2005,Appointments!$D$6:$D$2005,B263,Appointments!$O$6:$O$2005,1))))</f>
        <v/>
      </c>
      <c r="K263" s="27">
        <f>IF(B263="","",SUMIFS(Appointments!$I$6:$I$2005,Appointments!$D$6:$D$2005,B263)+SUMIFS(Packages!$F$6:$F$305,Packages!$C$6:$C$305,B263))</f>
        <v/>
      </c>
      <c r="L263" s="28">
        <f>IF(B263="","",IF(SUMIFS(Appointments!$K$6:$K$2005,Appointments!$D$6:$D$2005,B263)=0,"",SUMIFS(Appointments!$K$6:$K$2005,Appointments!$D$6:$D$2005,B263)))</f>
        <v/>
      </c>
      <c r="M263" s="38">
        <f>IF(OR(B263="",SUMIFS(Packages!$E$6:$E$305,Packages!$C$6:$C$305,B263)=0),"",SUMIFS(Packages!$E$6:$E$305,Packages!$C$6:$C$305,B263)-COUNTIFS(Appointments!$D$6:$D$2005,B263,Appointments!$J$6:$J$2005,"Package",Appointments!$F$6:$F$2005,"Done")+IF(Services!$I$6="Yes",COUNTIFS(Appointments!$D$6:$D$2005,B263,Appointments!$J$6:$J$2005,"Package",Appointments!$F$6:$F$2005,"No-show"),0))</f>
        <v/>
      </c>
      <c r="N263" s="18">
        <f>IF(OR(B263="",I263=""),"",IF(AND(J263="",TODAY()-I263&gt;=N(Services!$I$7)),"Not seen for "&amp;(TODAY()-I263)&amp;" days",""))</f>
        <v/>
      </c>
      <c r="O263" s="1">
        <f>IF(N(E263)=0,"",MONTH(E263))</f>
        <v/>
      </c>
    </row>
    <row r="264">
      <c r="A264" s="1" t="n"/>
      <c r="B264" s="35" t="n"/>
      <c r="C264" s="32" t="n"/>
      <c r="D264" s="32" t="n"/>
      <c r="E264" s="36" t="n"/>
      <c r="F264" s="30" t="n"/>
      <c r="G264" s="32" t="n"/>
      <c r="H264" s="26">
        <f>IF(B264="","",COUNTIFS(Appointments!$D$6:$D$2005,B264,Appointments!$F$6:$F$2005,"Done"))</f>
        <v/>
      </c>
      <c r="I264" s="37">
        <f>IF(OR(B264="",N(H264)=0),"",INT(SUMIFS(Appointments!$M$6:$M$2005,Appointments!$D$6:$D$2005,B264,Appointments!$N$6:$N$2005,1)))</f>
        <v/>
      </c>
      <c r="J264" s="37">
        <f>IF(B264="","",IF(SUMIFS(Appointments!$M$6:$M$2005,Appointments!$D$6:$D$2005,B264,Appointments!$O$6:$O$2005,1)=0,"",INT(SUMIFS(Appointments!$M$6:$M$2005,Appointments!$D$6:$D$2005,B264,Appointments!$O$6:$O$2005,1))))</f>
        <v/>
      </c>
      <c r="K264" s="27">
        <f>IF(B264="","",SUMIFS(Appointments!$I$6:$I$2005,Appointments!$D$6:$D$2005,B264)+SUMIFS(Packages!$F$6:$F$305,Packages!$C$6:$C$305,B264))</f>
        <v/>
      </c>
      <c r="L264" s="28">
        <f>IF(B264="","",IF(SUMIFS(Appointments!$K$6:$K$2005,Appointments!$D$6:$D$2005,B264)=0,"",SUMIFS(Appointments!$K$6:$K$2005,Appointments!$D$6:$D$2005,B264)))</f>
        <v/>
      </c>
      <c r="M264" s="38">
        <f>IF(OR(B264="",SUMIFS(Packages!$E$6:$E$305,Packages!$C$6:$C$305,B264)=0),"",SUMIFS(Packages!$E$6:$E$305,Packages!$C$6:$C$305,B264)-COUNTIFS(Appointments!$D$6:$D$2005,B264,Appointments!$J$6:$J$2005,"Package",Appointments!$F$6:$F$2005,"Done")+IF(Services!$I$6="Yes",COUNTIFS(Appointments!$D$6:$D$2005,B264,Appointments!$J$6:$J$2005,"Package",Appointments!$F$6:$F$2005,"No-show"),0))</f>
        <v/>
      </c>
      <c r="N264" s="18">
        <f>IF(OR(B264="",I264=""),"",IF(AND(J264="",TODAY()-I264&gt;=N(Services!$I$7)),"Not seen for "&amp;(TODAY()-I264)&amp;" days",""))</f>
        <v/>
      </c>
      <c r="O264" s="1">
        <f>IF(N(E264)=0,"",MONTH(E264))</f>
        <v/>
      </c>
    </row>
    <row r="265">
      <c r="A265" s="1" t="n"/>
      <c r="B265" s="35" t="n"/>
      <c r="C265" s="32" t="n"/>
      <c r="D265" s="32" t="n"/>
      <c r="E265" s="36" t="n"/>
      <c r="F265" s="30" t="n"/>
      <c r="G265" s="32" t="n"/>
      <c r="H265" s="26">
        <f>IF(B265="","",COUNTIFS(Appointments!$D$6:$D$2005,B265,Appointments!$F$6:$F$2005,"Done"))</f>
        <v/>
      </c>
      <c r="I265" s="37">
        <f>IF(OR(B265="",N(H265)=0),"",INT(SUMIFS(Appointments!$M$6:$M$2005,Appointments!$D$6:$D$2005,B265,Appointments!$N$6:$N$2005,1)))</f>
        <v/>
      </c>
      <c r="J265" s="37">
        <f>IF(B265="","",IF(SUMIFS(Appointments!$M$6:$M$2005,Appointments!$D$6:$D$2005,B265,Appointments!$O$6:$O$2005,1)=0,"",INT(SUMIFS(Appointments!$M$6:$M$2005,Appointments!$D$6:$D$2005,B265,Appointments!$O$6:$O$2005,1))))</f>
        <v/>
      </c>
      <c r="K265" s="27">
        <f>IF(B265="","",SUMIFS(Appointments!$I$6:$I$2005,Appointments!$D$6:$D$2005,B265)+SUMIFS(Packages!$F$6:$F$305,Packages!$C$6:$C$305,B265))</f>
        <v/>
      </c>
      <c r="L265" s="28">
        <f>IF(B265="","",IF(SUMIFS(Appointments!$K$6:$K$2005,Appointments!$D$6:$D$2005,B265)=0,"",SUMIFS(Appointments!$K$6:$K$2005,Appointments!$D$6:$D$2005,B265)))</f>
        <v/>
      </c>
      <c r="M265" s="38">
        <f>IF(OR(B265="",SUMIFS(Packages!$E$6:$E$305,Packages!$C$6:$C$305,B265)=0),"",SUMIFS(Packages!$E$6:$E$305,Packages!$C$6:$C$305,B265)-COUNTIFS(Appointments!$D$6:$D$2005,B265,Appointments!$J$6:$J$2005,"Package",Appointments!$F$6:$F$2005,"Done")+IF(Services!$I$6="Yes",COUNTIFS(Appointments!$D$6:$D$2005,B265,Appointments!$J$6:$J$2005,"Package",Appointments!$F$6:$F$2005,"No-show"),0))</f>
        <v/>
      </c>
      <c r="N265" s="18">
        <f>IF(OR(B265="",I265=""),"",IF(AND(J265="",TODAY()-I265&gt;=N(Services!$I$7)),"Not seen for "&amp;(TODAY()-I265)&amp;" days",""))</f>
        <v/>
      </c>
      <c r="O265" s="1">
        <f>IF(N(E265)=0,"",MONTH(E265))</f>
        <v/>
      </c>
    </row>
    <row r="266">
      <c r="A266" s="1" t="n"/>
      <c r="B266" s="35" t="n"/>
      <c r="C266" s="32" t="n"/>
      <c r="D266" s="32" t="n"/>
      <c r="E266" s="36" t="n"/>
      <c r="F266" s="30" t="n"/>
      <c r="G266" s="32" t="n"/>
      <c r="H266" s="26">
        <f>IF(B266="","",COUNTIFS(Appointments!$D$6:$D$2005,B266,Appointments!$F$6:$F$2005,"Done"))</f>
        <v/>
      </c>
      <c r="I266" s="37">
        <f>IF(OR(B266="",N(H266)=0),"",INT(SUMIFS(Appointments!$M$6:$M$2005,Appointments!$D$6:$D$2005,B266,Appointments!$N$6:$N$2005,1)))</f>
        <v/>
      </c>
      <c r="J266" s="37">
        <f>IF(B266="","",IF(SUMIFS(Appointments!$M$6:$M$2005,Appointments!$D$6:$D$2005,B266,Appointments!$O$6:$O$2005,1)=0,"",INT(SUMIFS(Appointments!$M$6:$M$2005,Appointments!$D$6:$D$2005,B266,Appointments!$O$6:$O$2005,1))))</f>
        <v/>
      </c>
      <c r="K266" s="27">
        <f>IF(B266="","",SUMIFS(Appointments!$I$6:$I$2005,Appointments!$D$6:$D$2005,B266)+SUMIFS(Packages!$F$6:$F$305,Packages!$C$6:$C$305,B266))</f>
        <v/>
      </c>
      <c r="L266" s="28">
        <f>IF(B266="","",IF(SUMIFS(Appointments!$K$6:$K$2005,Appointments!$D$6:$D$2005,B266)=0,"",SUMIFS(Appointments!$K$6:$K$2005,Appointments!$D$6:$D$2005,B266)))</f>
        <v/>
      </c>
      <c r="M266" s="38">
        <f>IF(OR(B266="",SUMIFS(Packages!$E$6:$E$305,Packages!$C$6:$C$305,B266)=0),"",SUMIFS(Packages!$E$6:$E$305,Packages!$C$6:$C$305,B266)-COUNTIFS(Appointments!$D$6:$D$2005,B266,Appointments!$J$6:$J$2005,"Package",Appointments!$F$6:$F$2005,"Done")+IF(Services!$I$6="Yes",COUNTIFS(Appointments!$D$6:$D$2005,B266,Appointments!$J$6:$J$2005,"Package",Appointments!$F$6:$F$2005,"No-show"),0))</f>
        <v/>
      </c>
      <c r="N266" s="18">
        <f>IF(OR(B266="",I266=""),"",IF(AND(J266="",TODAY()-I266&gt;=N(Services!$I$7)),"Not seen for "&amp;(TODAY()-I266)&amp;" days",""))</f>
        <v/>
      </c>
      <c r="O266" s="1">
        <f>IF(N(E266)=0,"",MONTH(E266))</f>
        <v/>
      </c>
    </row>
    <row r="267">
      <c r="A267" s="1" t="n"/>
      <c r="B267" s="35" t="n"/>
      <c r="C267" s="32" t="n"/>
      <c r="D267" s="32" t="n"/>
      <c r="E267" s="36" t="n"/>
      <c r="F267" s="30" t="n"/>
      <c r="G267" s="32" t="n"/>
      <c r="H267" s="26">
        <f>IF(B267="","",COUNTIFS(Appointments!$D$6:$D$2005,B267,Appointments!$F$6:$F$2005,"Done"))</f>
        <v/>
      </c>
      <c r="I267" s="37">
        <f>IF(OR(B267="",N(H267)=0),"",INT(SUMIFS(Appointments!$M$6:$M$2005,Appointments!$D$6:$D$2005,B267,Appointments!$N$6:$N$2005,1)))</f>
        <v/>
      </c>
      <c r="J267" s="37">
        <f>IF(B267="","",IF(SUMIFS(Appointments!$M$6:$M$2005,Appointments!$D$6:$D$2005,B267,Appointments!$O$6:$O$2005,1)=0,"",INT(SUMIFS(Appointments!$M$6:$M$2005,Appointments!$D$6:$D$2005,B267,Appointments!$O$6:$O$2005,1))))</f>
        <v/>
      </c>
      <c r="K267" s="27">
        <f>IF(B267="","",SUMIFS(Appointments!$I$6:$I$2005,Appointments!$D$6:$D$2005,B267)+SUMIFS(Packages!$F$6:$F$305,Packages!$C$6:$C$305,B267))</f>
        <v/>
      </c>
      <c r="L267" s="28">
        <f>IF(B267="","",IF(SUMIFS(Appointments!$K$6:$K$2005,Appointments!$D$6:$D$2005,B267)=0,"",SUMIFS(Appointments!$K$6:$K$2005,Appointments!$D$6:$D$2005,B267)))</f>
        <v/>
      </c>
      <c r="M267" s="38">
        <f>IF(OR(B267="",SUMIFS(Packages!$E$6:$E$305,Packages!$C$6:$C$305,B267)=0),"",SUMIFS(Packages!$E$6:$E$305,Packages!$C$6:$C$305,B267)-COUNTIFS(Appointments!$D$6:$D$2005,B267,Appointments!$J$6:$J$2005,"Package",Appointments!$F$6:$F$2005,"Done")+IF(Services!$I$6="Yes",COUNTIFS(Appointments!$D$6:$D$2005,B267,Appointments!$J$6:$J$2005,"Package",Appointments!$F$6:$F$2005,"No-show"),0))</f>
        <v/>
      </c>
      <c r="N267" s="18">
        <f>IF(OR(B267="",I267=""),"",IF(AND(J267="",TODAY()-I267&gt;=N(Services!$I$7)),"Not seen for "&amp;(TODAY()-I267)&amp;" days",""))</f>
        <v/>
      </c>
      <c r="O267" s="1">
        <f>IF(N(E267)=0,"",MONTH(E267))</f>
        <v/>
      </c>
    </row>
    <row r="268">
      <c r="A268" s="1" t="n"/>
      <c r="B268" s="35" t="n"/>
      <c r="C268" s="32" t="n"/>
      <c r="D268" s="32" t="n"/>
      <c r="E268" s="36" t="n"/>
      <c r="F268" s="30" t="n"/>
      <c r="G268" s="32" t="n"/>
      <c r="H268" s="26">
        <f>IF(B268="","",COUNTIFS(Appointments!$D$6:$D$2005,B268,Appointments!$F$6:$F$2005,"Done"))</f>
        <v/>
      </c>
      <c r="I268" s="37">
        <f>IF(OR(B268="",N(H268)=0),"",INT(SUMIFS(Appointments!$M$6:$M$2005,Appointments!$D$6:$D$2005,B268,Appointments!$N$6:$N$2005,1)))</f>
        <v/>
      </c>
      <c r="J268" s="37">
        <f>IF(B268="","",IF(SUMIFS(Appointments!$M$6:$M$2005,Appointments!$D$6:$D$2005,B268,Appointments!$O$6:$O$2005,1)=0,"",INT(SUMIFS(Appointments!$M$6:$M$2005,Appointments!$D$6:$D$2005,B268,Appointments!$O$6:$O$2005,1))))</f>
        <v/>
      </c>
      <c r="K268" s="27">
        <f>IF(B268="","",SUMIFS(Appointments!$I$6:$I$2005,Appointments!$D$6:$D$2005,B268)+SUMIFS(Packages!$F$6:$F$305,Packages!$C$6:$C$305,B268))</f>
        <v/>
      </c>
      <c r="L268" s="28">
        <f>IF(B268="","",IF(SUMIFS(Appointments!$K$6:$K$2005,Appointments!$D$6:$D$2005,B268)=0,"",SUMIFS(Appointments!$K$6:$K$2005,Appointments!$D$6:$D$2005,B268)))</f>
        <v/>
      </c>
      <c r="M268" s="38">
        <f>IF(OR(B268="",SUMIFS(Packages!$E$6:$E$305,Packages!$C$6:$C$305,B268)=0),"",SUMIFS(Packages!$E$6:$E$305,Packages!$C$6:$C$305,B268)-COUNTIFS(Appointments!$D$6:$D$2005,B268,Appointments!$J$6:$J$2005,"Package",Appointments!$F$6:$F$2005,"Done")+IF(Services!$I$6="Yes",COUNTIFS(Appointments!$D$6:$D$2005,B268,Appointments!$J$6:$J$2005,"Package",Appointments!$F$6:$F$2005,"No-show"),0))</f>
        <v/>
      </c>
      <c r="N268" s="18">
        <f>IF(OR(B268="",I268=""),"",IF(AND(J268="",TODAY()-I268&gt;=N(Services!$I$7)),"Not seen for "&amp;(TODAY()-I268)&amp;" days",""))</f>
        <v/>
      </c>
      <c r="O268" s="1">
        <f>IF(N(E268)=0,"",MONTH(E268))</f>
        <v/>
      </c>
    </row>
    <row r="269">
      <c r="A269" s="1" t="n"/>
      <c r="B269" s="35" t="n"/>
      <c r="C269" s="32" t="n"/>
      <c r="D269" s="32" t="n"/>
      <c r="E269" s="36" t="n"/>
      <c r="F269" s="30" t="n"/>
      <c r="G269" s="32" t="n"/>
      <c r="H269" s="26">
        <f>IF(B269="","",COUNTIFS(Appointments!$D$6:$D$2005,B269,Appointments!$F$6:$F$2005,"Done"))</f>
        <v/>
      </c>
      <c r="I269" s="37">
        <f>IF(OR(B269="",N(H269)=0),"",INT(SUMIFS(Appointments!$M$6:$M$2005,Appointments!$D$6:$D$2005,B269,Appointments!$N$6:$N$2005,1)))</f>
        <v/>
      </c>
      <c r="J269" s="37">
        <f>IF(B269="","",IF(SUMIFS(Appointments!$M$6:$M$2005,Appointments!$D$6:$D$2005,B269,Appointments!$O$6:$O$2005,1)=0,"",INT(SUMIFS(Appointments!$M$6:$M$2005,Appointments!$D$6:$D$2005,B269,Appointments!$O$6:$O$2005,1))))</f>
        <v/>
      </c>
      <c r="K269" s="27">
        <f>IF(B269="","",SUMIFS(Appointments!$I$6:$I$2005,Appointments!$D$6:$D$2005,B269)+SUMIFS(Packages!$F$6:$F$305,Packages!$C$6:$C$305,B269))</f>
        <v/>
      </c>
      <c r="L269" s="28">
        <f>IF(B269="","",IF(SUMIFS(Appointments!$K$6:$K$2005,Appointments!$D$6:$D$2005,B269)=0,"",SUMIFS(Appointments!$K$6:$K$2005,Appointments!$D$6:$D$2005,B269)))</f>
        <v/>
      </c>
      <c r="M269" s="38">
        <f>IF(OR(B269="",SUMIFS(Packages!$E$6:$E$305,Packages!$C$6:$C$305,B269)=0),"",SUMIFS(Packages!$E$6:$E$305,Packages!$C$6:$C$305,B269)-COUNTIFS(Appointments!$D$6:$D$2005,B269,Appointments!$J$6:$J$2005,"Package",Appointments!$F$6:$F$2005,"Done")+IF(Services!$I$6="Yes",COUNTIFS(Appointments!$D$6:$D$2005,B269,Appointments!$J$6:$J$2005,"Package",Appointments!$F$6:$F$2005,"No-show"),0))</f>
        <v/>
      </c>
      <c r="N269" s="18">
        <f>IF(OR(B269="",I269=""),"",IF(AND(J269="",TODAY()-I269&gt;=N(Services!$I$7)),"Not seen for "&amp;(TODAY()-I269)&amp;" days",""))</f>
        <v/>
      </c>
      <c r="O269" s="1">
        <f>IF(N(E269)=0,"",MONTH(E269))</f>
        <v/>
      </c>
    </row>
    <row r="270">
      <c r="A270" s="1" t="n"/>
      <c r="B270" s="35" t="n"/>
      <c r="C270" s="32" t="n"/>
      <c r="D270" s="32" t="n"/>
      <c r="E270" s="36" t="n"/>
      <c r="F270" s="30" t="n"/>
      <c r="G270" s="32" t="n"/>
      <c r="H270" s="26">
        <f>IF(B270="","",COUNTIFS(Appointments!$D$6:$D$2005,B270,Appointments!$F$6:$F$2005,"Done"))</f>
        <v/>
      </c>
      <c r="I270" s="37">
        <f>IF(OR(B270="",N(H270)=0),"",INT(SUMIFS(Appointments!$M$6:$M$2005,Appointments!$D$6:$D$2005,B270,Appointments!$N$6:$N$2005,1)))</f>
        <v/>
      </c>
      <c r="J270" s="37">
        <f>IF(B270="","",IF(SUMIFS(Appointments!$M$6:$M$2005,Appointments!$D$6:$D$2005,B270,Appointments!$O$6:$O$2005,1)=0,"",INT(SUMIFS(Appointments!$M$6:$M$2005,Appointments!$D$6:$D$2005,B270,Appointments!$O$6:$O$2005,1))))</f>
        <v/>
      </c>
      <c r="K270" s="27">
        <f>IF(B270="","",SUMIFS(Appointments!$I$6:$I$2005,Appointments!$D$6:$D$2005,B270)+SUMIFS(Packages!$F$6:$F$305,Packages!$C$6:$C$305,B270))</f>
        <v/>
      </c>
      <c r="L270" s="28">
        <f>IF(B270="","",IF(SUMIFS(Appointments!$K$6:$K$2005,Appointments!$D$6:$D$2005,B270)=0,"",SUMIFS(Appointments!$K$6:$K$2005,Appointments!$D$6:$D$2005,B270)))</f>
        <v/>
      </c>
      <c r="M270" s="38">
        <f>IF(OR(B270="",SUMIFS(Packages!$E$6:$E$305,Packages!$C$6:$C$305,B270)=0),"",SUMIFS(Packages!$E$6:$E$305,Packages!$C$6:$C$305,B270)-COUNTIFS(Appointments!$D$6:$D$2005,B270,Appointments!$J$6:$J$2005,"Package",Appointments!$F$6:$F$2005,"Done")+IF(Services!$I$6="Yes",COUNTIFS(Appointments!$D$6:$D$2005,B270,Appointments!$J$6:$J$2005,"Package",Appointments!$F$6:$F$2005,"No-show"),0))</f>
        <v/>
      </c>
      <c r="N270" s="18">
        <f>IF(OR(B270="",I270=""),"",IF(AND(J270="",TODAY()-I270&gt;=N(Services!$I$7)),"Not seen for "&amp;(TODAY()-I270)&amp;" days",""))</f>
        <v/>
      </c>
      <c r="O270" s="1">
        <f>IF(N(E270)=0,"",MONTH(E270))</f>
        <v/>
      </c>
    </row>
    <row r="271">
      <c r="A271" s="1" t="n"/>
      <c r="B271" s="35" t="n"/>
      <c r="C271" s="32" t="n"/>
      <c r="D271" s="32" t="n"/>
      <c r="E271" s="36" t="n"/>
      <c r="F271" s="30" t="n"/>
      <c r="G271" s="32" t="n"/>
      <c r="H271" s="26">
        <f>IF(B271="","",COUNTIFS(Appointments!$D$6:$D$2005,B271,Appointments!$F$6:$F$2005,"Done"))</f>
        <v/>
      </c>
      <c r="I271" s="37">
        <f>IF(OR(B271="",N(H271)=0),"",INT(SUMIFS(Appointments!$M$6:$M$2005,Appointments!$D$6:$D$2005,B271,Appointments!$N$6:$N$2005,1)))</f>
        <v/>
      </c>
      <c r="J271" s="37">
        <f>IF(B271="","",IF(SUMIFS(Appointments!$M$6:$M$2005,Appointments!$D$6:$D$2005,B271,Appointments!$O$6:$O$2005,1)=0,"",INT(SUMIFS(Appointments!$M$6:$M$2005,Appointments!$D$6:$D$2005,B271,Appointments!$O$6:$O$2005,1))))</f>
        <v/>
      </c>
      <c r="K271" s="27">
        <f>IF(B271="","",SUMIFS(Appointments!$I$6:$I$2005,Appointments!$D$6:$D$2005,B271)+SUMIFS(Packages!$F$6:$F$305,Packages!$C$6:$C$305,B271))</f>
        <v/>
      </c>
      <c r="L271" s="28">
        <f>IF(B271="","",IF(SUMIFS(Appointments!$K$6:$K$2005,Appointments!$D$6:$D$2005,B271)=0,"",SUMIFS(Appointments!$K$6:$K$2005,Appointments!$D$6:$D$2005,B271)))</f>
        <v/>
      </c>
      <c r="M271" s="38">
        <f>IF(OR(B271="",SUMIFS(Packages!$E$6:$E$305,Packages!$C$6:$C$305,B271)=0),"",SUMIFS(Packages!$E$6:$E$305,Packages!$C$6:$C$305,B271)-COUNTIFS(Appointments!$D$6:$D$2005,B271,Appointments!$J$6:$J$2005,"Package",Appointments!$F$6:$F$2005,"Done")+IF(Services!$I$6="Yes",COUNTIFS(Appointments!$D$6:$D$2005,B271,Appointments!$J$6:$J$2005,"Package",Appointments!$F$6:$F$2005,"No-show"),0))</f>
        <v/>
      </c>
      <c r="N271" s="18">
        <f>IF(OR(B271="",I271=""),"",IF(AND(J271="",TODAY()-I271&gt;=N(Services!$I$7)),"Not seen for "&amp;(TODAY()-I271)&amp;" days",""))</f>
        <v/>
      </c>
      <c r="O271" s="1">
        <f>IF(N(E271)=0,"",MONTH(E271))</f>
        <v/>
      </c>
    </row>
    <row r="272">
      <c r="A272" s="1" t="n"/>
      <c r="B272" s="35" t="n"/>
      <c r="C272" s="32" t="n"/>
      <c r="D272" s="32" t="n"/>
      <c r="E272" s="36" t="n"/>
      <c r="F272" s="30" t="n"/>
      <c r="G272" s="32" t="n"/>
      <c r="H272" s="26">
        <f>IF(B272="","",COUNTIFS(Appointments!$D$6:$D$2005,B272,Appointments!$F$6:$F$2005,"Done"))</f>
        <v/>
      </c>
      <c r="I272" s="37">
        <f>IF(OR(B272="",N(H272)=0),"",INT(SUMIFS(Appointments!$M$6:$M$2005,Appointments!$D$6:$D$2005,B272,Appointments!$N$6:$N$2005,1)))</f>
        <v/>
      </c>
      <c r="J272" s="37">
        <f>IF(B272="","",IF(SUMIFS(Appointments!$M$6:$M$2005,Appointments!$D$6:$D$2005,B272,Appointments!$O$6:$O$2005,1)=0,"",INT(SUMIFS(Appointments!$M$6:$M$2005,Appointments!$D$6:$D$2005,B272,Appointments!$O$6:$O$2005,1))))</f>
        <v/>
      </c>
      <c r="K272" s="27">
        <f>IF(B272="","",SUMIFS(Appointments!$I$6:$I$2005,Appointments!$D$6:$D$2005,B272)+SUMIFS(Packages!$F$6:$F$305,Packages!$C$6:$C$305,B272))</f>
        <v/>
      </c>
      <c r="L272" s="28">
        <f>IF(B272="","",IF(SUMIFS(Appointments!$K$6:$K$2005,Appointments!$D$6:$D$2005,B272)=0,"",SUMIFS(Appointments!$K$6:$K$2005,Appointments!$D$6:$D$2005,B272)))</f>
        <v/>
      </c>
      <c r="M272" s="38">
        <f>IF(OR(B272="",SUMIFS(Packages!$E$6:$E$305,Packages!$C$6:$C$305,B272)=0),"",SUMIFS(Packages!$E$6:$E$305,Packages!$C$6:$C$305,B272)-COUNTIFS(Appointments!$D$6:$D$2005,B272,Appointments!$J$6:$J$2005,"Package",Appointments!$F$6:$F$2005,"Done")+IF(Services!$I$6="Yes",COUNTIFS(Appointments!$D$6:$D$2005,B272,Appointments!$J$6:$J$2005,"Package",Appointments!$F$6:$F$2005,"No-show"),0))</f>
        <v/>
      </c>
      <c r="N272" s="18">
        <f>IF(OR(B272="",I272=""),"",IF(AND(J272="",TODAY()-I272&gt;=N(Services!$I$7)),"Not seen for "&amp;(TODAY()-I272)&amp;" days",""))</f>
        <v/>
      </c>
      <c r="O272" s="1">
        <f>IF(N(E272)=0,"",MONTH(E272))</f>
        <v/>
      </c>
    </row>
    <row r="273">
      <c r="A273" s="1" t="n"/>
      <c r="B273" s="35" t="n"/>
      <c r="C273" s="32" t="n"/>
      <c r="D273" s="32" t="n"/>
      <c r="E273" s="36" t="n"/>
      <c r="F273" s="30" t="n"/>
      <c r="G273" s="32" t="n"/>
      <c r="H273" s="26">
        <f>IF(B273="","",COUNTIFS(Appointments!$D$6:$D$2005,B273,Appointments!$F$6:$F$2005,"Done"))</f>
        <v/>
      </c>
      <c r="I273" s="37">
        <f>IF(OR(B273="",N(H273)=0),"",INT(SUMIFS(Appointments!$M$6:$M$2005,Appointments!$D$6:$D$2005,B273,Appointments!$N$6:$N$2005,1)))</f>
        <v/>
      </c>
      <c r="J273" s="37">
        <f>IF(B273="","",IF(SUMIFS(Appointments!$M$6:$M$2005,Appointments!$D$6:$D$2005,B273,Appointments!$O$6:$O$2005,1)=0,"",INT(SUMIFS(Appointments!$M$6:$M$2005,Appointments!$D$6:$D$2005,B273,Appointments!$O$6:$O$2005,1))))</f>
        <v/>
      </c>
      <c r="K273" s="27">
        <f>IF(B273="","",SUMIFS(Appointments!$I$6:$I$2005,Appointments!$D$6:$D$2005,B273)+SUMIFS(Packages!$F$6:$F$305,Packages!$C$6:$C$305,B273))</f>
        <v/>
      </c>
      <c r="L273" s="28">
        <f>IF(B273="","",IF(SUMIFS(Appointments!$K$6:$K$2005,Appointments!$D$6:$D$2005,B273)=0,"",SUMIFS(Appointments!$K$6:$K$2005,Appointments!$D$6:$D$2005,B273)))</f>
        <v/>
      </c>
      <c r="M273" s="38">
        <f>IF(OR(B273="",SUMIFS(Packages!$E$6:$E$305,Packages!$C$6:$C$305,B273)=0),"",SUMIFS(Packages!$E$6:$E$305,Packages!$C$6:$C$305,B273)-COUNTIFS(Appointments!$D$6:$D$2005,B273,Appointments!$J$6:$J$2005,"Package",Appointments!$F$6:$F$2005,"Done")+IF(Services!$I$6="Yes",COUNTIFS(Appointments!$D$6:$D$2005,B273,Appointments!$J$6:$J$2005,"Package",Appointments!$F$6:$F$2005,"No-show"),0))</f>
        <v/>
      </c>
      <c r="N273" s="18">
        <f>IF(OR(B273="",I273=""),"",IF(AND(J273="",TODAY()-I273&gt;=N(Services!$I$7)),"Not seen for "&amp;(TODAY()-I273)&amp;" days",""))</f>
        <v/>
      </c>
      <c r="O273" s="1">
        <f>IF(N(E273)=0,"",MONTH(E273))</f>
        <v/>
      </c>
    </row>
    <row r="274">
      <c r="A274" s="1" t="n"/>
      <c r="B274" s="35" t="n"/>
      <c r="C274" s="32" t="n"/>
      <c r="D274" s="32" t="n"/>
      <c r="E274" s="36" t="n"/>
      <c r="F274" s="30" t="n"/>
      <c r="G274" s="32" t="n"/>
      <c r="H274" s="26">
        <f>IF(B274="","",COUNTIFS(Appointments!$D$6:$D$2005,B274,Appointments!$F$6:$F$2005,"Done"))</f>
        <v/>
      </c>
      <c r="I274" s="37">
        <f>IF(OR(B274="",N(H274)=0),"",INT(SUMIFS(Appointments!$M$6:$M$2005,Appointments!$D$6:$D$2005,B274,Appointments!$N$6:$N$2005,1)))</f>
        <v/>
      </c>
      <c r="J274" s="37">
        <f>IF(B274="","",IF(SUMIFS(Appointments!$M$6:$M$2005,Appointments!$D$6:$D$2005,B274,Appointments!$O$6:$O$2005,1)=0,"",INT(SUMIFS(Appointments!$M$6:$M$2005,Appointments!$D$6:$D$2005,B274,Appointments!$O$6:$O$2005,1))))</f>
        <v/>
      </c>
      <c r="K274" s="27">
        <f>IF(B274="","",SUMIFS(Appointments!$I$6:$I$2005,Appointments!$D$6:$D$2005,B274)+SUMIFS(Packages!$F$6:$F$305,Packages!$C$6:$C$305,B274))</f>
        <v/>
      </c>
      <c r="L274" s="28">
        <f>IF(B274="","",IF(SUMIFS(Appointments!$K$6:$K$2005,Appointments!$D$6:$D$2005,B274)=0,"",SUMIFS(Appointments!$K$6:$K$2005,Appointments!$D$6:$D$2005,B274)))</f>
        <v/>
      </c>
      <c r="M274" s="38">
        <f>IF(OR(B274="",SUMIFS(Packages!$E$6:$E$305,Packages!$C$6:$C$305,B274)=0),"",SUMIFS(Packages!$E$6:$E$305,Packages!$C$6:$C$305,B274)-COUNTIFS(Appointments!$D$6:$D$2005,B274,Appointments!$J$6:$J$2005,"Package",Appointments!$F$6:$F$2005,"Done")+IF(Services!$I$6="Yes",COUNTIFS(Appointments!$D$6:$D$2005,B274,Appointments!$J$6:$J$2005,"Package",Appointments!$F$6:$F$2005,"No-show"),0))</f>
        <v/>
      </c>
      <c r="N274" s="18">
        <f>IF(OR(B274="",I274=""),"",IF(AND(J274="",TODAY()-I274&gt;=N(Services!$I$7)),"Not seen for "&amp;(TODAY()-I274)&amp;" days",""))</f>
        <v/>
      </c>
      <c r="O274" s="1">
        <f>IF(N(E274)=0,"",MONTH(E274))</f>
        <v/>
      </c>
    </row>
    <row r="275">
      <c r="A275" s="1" t="n"/>
      <c r="B275" s="35" t="n"/>
      <c r="C275" s="32" t="n"/>
      <c r="D275" s="32" t="n"/>
      <c r="E275" s="36" t="n"/>
      <c r="F275" s="30" t="n"/>
      <c r="G275" s="32" t="n"/>
      <c r="H275" s="26">
        <f>IF(B275="","",COUNTIFS(Appointments!$D$6:$D$2005,B275,Appointments!$F$6:$F$2005,"Done"))</f>
        <v/>
      </c>
      <c r="I275" s="37">
        <f>IF(OR(B275="",N(H275)=0),"",INT(SUMIFS(Appointments!$M$6:$M$2005,Appointments!$D$6:$D$2005,B275,Appointments!$N$6:$N$2005,1)))</f>
        <v/>
      </c>
      <c r="J275" s="37">
        <f>IF(B275="","",IF(SUMIFS(Appointments!$M$6:$M$2005,Appointments!$D$6:$D$2005,B275,Appointments!$O$6:$O$2005,1)=0,"",INT(SUMIFS(Appointments!$M$6:$M$2005,Appointments!$D$6:$D$2005,B275,Appointments!$O$6:$O$2005,1))))</f>
        <v/>
      </c>
      <c r="K275" s="27">
        <f>IF(B275="","",SUMIFS(Appointments!$I$6:$I$2005,Appointments!$D$6:$D$2005,B275)+SUMIFS(Packages!$F$6:$F$305,Packages!$C$6:$C$305,B275))</f>
        <v/>
      </c>
      <c r="L275" s="28">
        <f>IF(B275="","",IF(SUMIFS(Appointments!$K$6:$K$2005,Appointments!$D$6:$D$2005,B275)=0,"",SUMIFS(Appointments!$K$6:$K$2005,Appointments!$D$6:$D$2005,B275)))</f>
        <v/>
      </c>
      <c r="M275" s="38">
        <f>IF(OR(B275="",SUMIFS(Packages!$E$6:$E$305,Packages!$C$6:$C$305,B275)=0),"",SUMIFS(Packages!$E$6:$E$305,Packages!$C$6:$C$305,B275)-COUNTIFS(Appointments!$D$6:$D$2005,B275,Appointments!$J$6:$J$2005,"Package",Appointments!$F$6:$F$2005,"Done")+IF(Services!$I$6="Yes",COUNTIFS(Appointments!$D$6:$D$2005,B275,Appointments!$J$6:$J$2005,"Package",Appointments!$F$6:$F$2005,"No-show"),0))</f>
        <v/>
      </c>
      <c r="N275" s="18">
        <f>IF(OR(B275="",I275=""),"",IF(AND(J275="",TODAY()-I275&gt;=N(Services!$I$7)),"Not seen for "&amp;(TODAY()-I275)&amp;" days",""))</f>
        <v/>
      </c>
      <c r="O275" s="1">
        <f>IF(N(E275)=0,"",MONTH(E275))</f>
        <v/>
      </c>
    </row>
    <row r="276">
      <c r="A276" s="1" t="n"/>
      <c r="B276" s="35" t="n"/>
      <c r="C276" s="32" t="n"/>
      <c r="D276" s="32" t="n"/>
      <c r="E276" s="36" t="n"/>
      <c r="F276" s="30" t="n"/>
      <c r="G276" s="32" t="n"/>
      <c r="H276" s="26">
        <f>IF(B276="","",COUNTIFS(Appointments!$D$6:$D$2005,B276,Appointments!$F$6:$F$2005,"Done"))</f>
        <v/>
      </c>
      <c r="I276" s="37">
        <f>IF(OR(B276="",N(H276)=0),"",INT(SUMIFS(Appointments!$M$6:$M$2005,Appointments!$D$6:$D$2005,B276,Appointments!$N$6:$N$2005,1)))</f>
        <v/>
      </c>
      <c r="J276" s="37">
        <f>IF(B276="","",IF(SUMIFS(Appointments!$M$6:$M$2005,Appointments!$D$6:$D$2005,B276,Appointments!$O$6:$O$2005,1)=0,"",INT(SUMIFS(Appointments!$M$6:$M$2005,Appointments!$D$6:$D$2005,B276,Appointments!$O$6:$O$2005,1))))</f>
        <v/>
      </c>
      <c r="K276" s="27">
        <f>IF(B276="","",SUMIFS(Appointments!$I$6:$I$2005,Appointments!$D$6:$D$2005,B276)+SUMIFS(Packages!$F$6:$F$305,Packages!$C$6:$C$305,B276))</f>
        <v/>
      </c>
      <c r="L276" s="28">
        <f>IF(B276="","",IF(SUMIFS(Appointments!$K$6:$K$2005,Appointments!$D$6:$D$2005,B276)=0,"",SUMIFS(Appointments!$K$6:$K$2005,Appointments!$D$6:$D$2005,B276)))</f>
        <v/>
      </c>
      <c r="M276" s="38">
        <f>IF(OR(B276="",SUMIFS(Packages!$E$6:$E$305,Packages!$C$6:$C$305,B276)=0),"",SUMIFS(Packages!$E$6:$E$305,Packages!$C$6:$C$305,B276)-COUNTIFS(Appointments!$D$6:$D$2005,B276,Appointments!$J$6:$J$2005,"Package",Appointments!$F$6:$F$2005,"Done")+IF(Services!$I$6="Yes",COUNTIFS(Appointments!$D$6:$D$2005,B276,Appointments!$J$6:$J$2005,"Package",Appointments!$F$6:$F$2005,"No-show"),0))</f>
        <v/>
      </c>
      <c r="N276" s="18">
        <f>IF(OR(B276="",I276=""),"",IF(AND(J276="",TODAY()-I276&gt;=N(Services!$I$7)),"Not seen for "&amp;(TODAY()-I276)&amp;" days",""))</f>
        <v/>
      </c>
      <c r="O276" s="1">
        <f>IF(N(E276)=0,"",MONTH(E276))</f>
        <v/>
      </c>
    </row>
    <row r="277">
      <c r="A277" s="1" t="n"/>
      <c r="B277" s="35" t="n"/>
      <c r="C277" s="32" t="n"/>
      <c r="D277" s="32" t="n"/>
      <c r="E277" s="36" t="n"/>
      <c r="F277" s="30" t="n"/>
      <c r="G277" s="32" t="n"/>
      <c r="H277" s="26">
        <f>IF(B277="","",COUNTIFS(Appointments!$D$6:$D$2005,B277,Appointments!$F$6:$F$2005,"Done"))</f>
        <v/>
      </c>
      <c r="I277" s="37">
        <f>IF(OR(B277="",N(H277)=0),"",INT(SUMIFS(Appointments!$M$6:$M$2005,Appointments!$D$6:$D$2005,B277,Appointments!$N$6:$N$2005,1)))</f>
        <v/>
      </c>
      <c r="J277" s="37">
        <f>IF(B277="","",IF(SUMIFS(Appointments!$M$6:$M$2005,Appointments!$D$6:$D$2005,B277,Appointments!$O$6:$O$2005,1)=0,"",INT(SUMIFS(Appointments!$M$6:$M$2005,Appointments!$D$6:$D$2005,B277,Appointments!$O$6:$O$2005,1))))</f>
        <v/>
      </c>
      <c r="K277" s="27">
        <f>IF(B277="","",SUMIFS(Appointments!$I$6:$I$2005,Appointments!$D$6:$D$2005,B277)+SUMIFS(Packages!$F$6:$F$305,Packages!$C$6:$C$305,B277))</f>
        <v/>
      </c>
      <c r="L277" s="28">
        <f>IF(B277="","",IF(SUMIFS(Appointments!$K$6:$K$2005,Appointments!$D$6:$D$2005,B277)=0,"",SUMIFS(Appointments!$K$6:$K$2005,Appointments!$D$6:$D$2005,B277)))</f>
        <v/>
      </c>
      <c r="M277" s="38">
        <f>IF(OR(B277="",SUMIFS(Packages!$E$6:$E$305,Packages!$C$6:$C$305,B277)=0),"",SUMIFS(Packages!$E$6:$E$305,Packages!$C$6:$C$305,B277)-COUNTIFS(Appointments!$D$6:$D$2005,B277,Appointments!$J$6:$J$2005,"Package",Appointments!$F$6:$F$2005,"Done")+IF(Services!$I$6="Yes",COUNTIFS(Appointments!$D$6:$D$2005,B277,Appointments!$J$6:$J$2005,"Package",Appointments!$F$6:$F$2005,"No-show"),0))</f>
        <v/>
      </c>
      <c r="N277" s="18">
        <f>IF(OR(B277="",I277=""),"",IF(AND(J277="",TODAY()-I277&gt;=N(Services!$I$7)),"Not seen for "&amp;(TODAY()-I277)&amp;" days",""))</f>
        <v/>
      </c>
      <c r="O277" s="1">
        <f>IF(N(E277)=0,"",MONTH(E277))</f>
        <v/>
      </c>
    </row>
    <row r="278">
      <c r="A278" s="1" t="n"/>
      <c r="B278" s="35" t="n"/>
      <c r="C278" s="32" t="n"/>
      <c r="D278" s="32" t="n"/>
      <c r="E278" s="36" t="n"/>
      <c r="F278" s="30" t="n"/>
      <c r="G278" s="32" t="n"/>
      <c r="H278" s="26">
        <f>IF(B278="","",COUNTIFS(Appointments!$D$6:$D$2005,B278,Appointments!$F$6:$F$2005,"Done"))</f>
        <v/>
      </c>
      <c r="I278" s="37">
        <f>IF(OR(B278="",N(H278)=0),"",INT(SUMIFS(Appointments!$M$6:$M$2005,Appointments!$D$6:$D$2005,B278,Appointments!$N$6:$N$2005,1)))</f>
        <v/>
      </c>
      <c r="J278" s="37">
        <f>IF(B278="","",IF(SUMIFS(Appointments!$M$6:$M$2005,Appointments!$D$6:$D$2005,B278,Appointments!$O$6:$O$2005,1)=0,"",INT(SUMIFS(Appointments!$M$6:$M$2005,Appointments!$D$6:$D$2005,B278,Appointments!$O$6:$O$2005,1))))</f>
        <v/>
      </c>
      <c r="K278" s="27">
        <f>IF(B278="","",SUMIFS(Appointments!$I$6:$I$2005,Appointments!$D$6:$D$2005,B278)+SUMIFS(Packages!$F$6:$F$305,Packages!$C$6:$C$305,B278))</f>
        <v/>
      </c>
      <c r="L278" s="28">
        <f>IF(B278="","",IF(SUMIFS(Appointments!$K$6:$K$2005,Appointments!$D$6:$D$2005,B278)=0,"",SUMIFS(Appointments!$K$6:$K$2005,Appointments!$D$6:$D$2005,B278)))</f>
        <v/>
      </c>
      <c r="M278" s="38">
        <f>IF(OR(B278="",SUMIFS(Packages!$E$6:$E$305,Packages!$C$6:$C$305,B278)=0),"",SUMIFS(Packages!$E$6:$E$305,Packages!$C$6:$C$305,B278)-COUNTIFS(Appointments!$D$6:$D$2005,B278,Appointments!$J$6:$J$2005,"Package",Appointments!$F$6:$F$2005,"Done")+IF(Services!$I$6="Yes",COUNTIFS(Appointments!$D$6:$D$2005,B278,Appointments!$J$6:$J$2005,"Package",Appointments!$F$6:$F$2005,"No-show"),0))</f>
        <v/>
      </c>
      <c r="N278" s="18">
        <f>IF(OR(B278="",I278=""),"",IF(AND(J278="",TODAY()-I278&gt;=N(Services!$I$7)),"Not seen for "&amp;(TODAY()-I278)&amp;" days",""))</f>
        <v/>
      </c>
      <c r="O278" s="1">
        <f>IF(N(E278)=0,"",MONTH(E278))</f>
        <v/>
      </c>
    </row>
    <row r="279">
      <c r="A279" s="1" t="n"/>
      <c r="B279" s="35" t="n"/>
      <c r="C279" s="32" t="n"/>
      <c r="D279" s="32" t="n"/>
      <c r="E279" s="36" t="n"/>
      <c r="F279" s="30" t="n"/>
      <c r="G279" s="32" t="n"/>
      <c r="H279" s="26">
        <f>IF(B279="","",COUNTIFS(Appointments!$D$6:$D$2005,B279,Appointments!$F$6:$F$2005,"Done"))</f>
        <v/>
      </c>
      <c r="I279" s="37">
        <f>IF(OR(B279="",N(H279)=0),"",INT(SUMIFS(Appointments!$M$6:$M$2005,Appointments!$D$6:$D$2005,B279,Appointments!$N$6:$N$2005,1)))</f>
        <v/>
      </c>
      <c r="J279" s="37">
        <f>IF(B279="","",IF(SUMIFS(Appointments!$M$6:$M$2005,Appointments!$D$6:$D$2005,B279,Appointments!$O$6:$O$2005,1)=0,"",INT(SUMIFS(Appointments!$M$6:$M$2005,Appointments!$D$6:$D$2005,B279,Appointments!$O$6:$O$2005,1))))</f>
        <v/>
      </c>
      <c r="K279" s="27">
        <f>IF(B279="","",SUMIFS(Appointments!$I$6:$I$2005,Appointments!$D$6:$D$2005,B279)+SUMIFS(Packages!$F$6:$F$305,Packages!$C$6:$C$305,B279))</f>
        <v/>
      </c>
      <c r="L279" s="28">
        <f>IF(B279="","",IF(SUMIFS(Appointments!$K$6:$K$2005,Appointments!$D$6:$D$2005,B279)=0,"",SUMIFS(Appointments!$K$6:$K$2005,Appointments!$D$6:$D$2005,B279)))</f>
        <v/>
      </c>
      <c r="M279" s="38">
        <f>IF(OR(B279="",SUMIFS(Packages!$E$6:$E$305,Packages!$C$6:$C$305,B279)=0),"",SUMIFS(Packages!$E$6:$E$305,Packages!$C$6:$C$305,B279)-COUNTIFS(Appointments!$D$6:$D$2005,B279,Appointments!$J$6:$J$2005,"Package",Appointments!$F$6:$F$2005,"Done")+IF(Services!$I$6="Yes",COUNTIFS(Appointments!$D$6:$D$2005,B279,Appointments!$J$6:$J$2005,"Package",Appointments!$F$6:$F$2005,"No-show"),0))</f>
        <v/>
      </c>
      <c r="N279" s="18">
        <f>IF(OR(B279="",I279=""),"",IF(AND(J279="",TODAY()-I279&gt;=N(Services!$I$7)),"Not seen for "&amp;(TODAY()-I279)&amp;" days",""))</f>
        <v/>
      </c>
      <c r="O279" s="1">
        <f>IF(N(E279)=0,"",MONTH(E279))</f>
        <v/>
      </c>
    </row>
    <row r="280">
      <c r="A280" s="1" t="n"/>
      <c r="B280" s="35" t="n"/>
      <c r="C280" s="32" t="n"/>
      <c r="D280" s="32" t="n"/>
      <c r="E280" s="36" t="n"/>
      <c r="F280" s="30" t="n"/>
      <c r="G280" s="32" t="n"/>
      <c r="H280" s="26">
        <f>IF(B280="","",COUNTIFS(Appointments!$D$6:$D$2005,B280,Appointments!$F$6:$F$2005,"Done"))</f>
        <v/>
      </c>
      <c r="I280" s="37">
        <f>IF(OR(B280="",N(H280)=0),"",INT(SUMIFS(Appointments!$M$6:$M$2005,Appointments!$D$6:$D$2005,B280,Appointments!$N$6:$N$2005,1)))</f>
        <v/>
      </c>
      <c r="J280" s="37">
        <f>IF(B280="","",IF(SUMIFS(Appointments!$M$6:$M$2005,Appointments!$D$6:$D$2005,B280,Appointments!$O$6:$O$2005,1)=0,"",INT(SUMIFS(Appointments!$M$6:$M$2005,Appointments!$D$6:$D$2005,B280,Appointments!$O$6:$O$2005,1))))</f>
        <v/>
      </c>
      <c r="K280" s="27">
        <f>IF(B280="","",SUMIFS(Appointments!$I$6:$I$2005,Appointments!$D$6:$D$2005,B280)+SUMIFS(Packages!$F$6:$F$305,Packages!$C$6:$C$305,B280))</f>
        <v/>
      </c>
      <c r="L280" s="28">
        <f>IF(B280="","",IF(SUMIFS(Appointments!$K$6:$K$2005,Appointments!$D$6:$D$2005,B280)=0,"",SUMIFS(Appointments!$K$6:$K$2005,Appointments!$D$6:$D$2005,B280)))</f>
        <v/>
      </c>
      <c r="M280" s="38">
        <f>IF(OR(B280="",SUMIFS(Packages!$E$6:$E$305,Packages!$C$6:$C$305,B280)=0),"",SUMIFS(Packages!$E$6:$E$305,Packages!$C$6:$C$305,B280)-COUNTIFS(Appointments!$D$6:$D$2005,B280,Appointments!$J$6:$J$2005,"Package",Appointments!$F$6:$F$2005,"Done")+IF(Services!$I$6="Yes",COUNTIFS(Appointments!$D$6:$D$2005,B280,Appointments!$J$6:$J$2005,"Package",Appointments!$F$6:$F$2005,"No-show"),0))</f>
        <v/>
      </c>
      <c r="N280" s="18">
        <f>IF(OR(B280="",I280=""),"",IF(AND(J280="",TODAY()-I280&gt;=N(Services!$I$7)),"Not seen for "&amp;(TODAY()-I280)&amp;" days",""))</f>
        <v/>
      </c>
      <c r="O280" s="1">
        <f>IF(N(E280)=0,"",MONTH(E280))</f>
        <v/>
      </c>
    </row>
    <row r="281">
      <c r="A281" s="1" t="n"/>
      <c r="B281" s="35" t="n"/>
      <c r="C281" s="32" t="n"/>
      <c r="D281" s="32" t="n"/>
      <c r="E281" s="36" t="n"/>
      <c r="F281" s="30" t="n"/>
      <c r="G281" s="32" t="n"/>
      <c r="H281" s="26">
        <f>IF(B281="","",COUNTIFS(Appointments!$D$6:$D$2005,B281,Appointments!$F$6:$F$2005,"Done"))</f>
        <v/>
      </c>
      <c r="I281" s="37">
        <f>IF(OR(B281="",N(H281)=0),"",INT(SUMIFS(Appointments!$M$6:$M$2005,Appointments!$D$6:$D$2005,B281,Appointments!$N$6:$N$2005,1)))</f>
        <v/>
      </c>
      <c r="J281" s="37">
        <f>IF(B281="","",IF(SUMIFS(Appointments!$M$6:$M$2005,Appointments!$D$6:$D$2005,B281,Appointments!$O$6:$O$2005,1)=0,"",INT(SUMIFS(Appointments!$M$6:$M$2005,Appointments!$D$6:$D$2005,B281,Appointments!$O$6:$O$2005,1))))</f>
        <v/>
      </c>
      <c r="K281" s="27">
        <f>IF(B281="","",SUMIFS(Appointments!$I$6:$I$2005,Appointments!$D$6:$D$2005,B281)+SUMIFS(Packages!$F$6:$F$305,Packages!$C$6:$C$305,B281))</f>
        <v/>
      </c>
      <c r="L281" s="28">
        <f>IF(B281="","",IF(SUMIFS(Appointments!$K$6:$K$2005,Appointments!$D$6:$D$2005,B281)=0,"",SUMIFS(Appointments!$K$6:$K$2005,Appointments!$D$6:$D$2005,B281)))</f>
        <v/>
      </c>
      <c r="M281" s="38">
        <f>IF(OR(B281="",SUMIFS(Packages!$E$6:$E$305,Packages!$C$6:$C$305,B281)=0),"",SUMIFS(Packages!$E$6:$E$305,Packages!$C$6:$C$305,B281)-COUNTIFS(Appointments!$D$6:$D$2005,B281,Appointments!$J$6:$J$2005,"Package",Appointments!$F$6:$F$2005,"Done")+IF(Services!$I$6="Yes",COUNTIFS(Appointments!$D$6:$D$2005,B281,Appointments!$J$6:$J$2005,"Package",Appointments!$F$6:$F$2005,"No-show"),0))</f>
        <v/>
      </c>
      <c r="N281" s="18">
        <f>IF(OR(B281="",I281=""),"",IF(AND(J281="",TODAY()-I281&gt;=N(Services!$I$7)),"Not seen for "&amp;(TODAY()-I281)&amp;" days",""))</f>
        <v/>
      </c>
      <c r="O281" s="1">
        <f>IF(N(E281)=0,"",MONTH(E281))</f>
        <v/>
      </c>
    </row>
    <row r="282">
      <c r="A282" s="1" t="n"/>
      <c r="B282" s="35" t="n"/>
      <c r="C282" s="32" t="n"/>
      <c r="D282" s="32" t="n"/>
      <c r="E282" s="36" t="n"/>
      <c r="F282" s="30" t="n"/>
      <c r="G282" s="32" t="n"/>
      <c r="H282" s="26">
        <f>IF(B282="","",COUNTIFS(Appointments!$D$6:$D$2005,B282,Appointments!$F$6:$F$2005,"Done"))</f>
        <v/>
      </c>
      <c r="I282" s="37">
        <f>IF(OR(B282="",N(H282)=0),"",INT(SUMIFS(Appointments!$M$6:$M$2005,Appointments!$D$6:$D$2005,B282,Appointments!$N$6:$N$2005,1)))</f>
        <v/>
      </c>
      <c r="J282" s="37">
        <f>IF(B282="","",IF(SUMIFS(Appointments!$M$6:$M$2005,Appointments!$D$6:$D$2005,B282,Appointments!$O$6:$O$2005,1)=0,"",INT(SUMIFS(Appointments!$M$6:$M$2005,Appointments!$D$6:$D$2005,B282,Appointments!$O$6:$O$2005,1))))</f>
        <v/>
      </c>
      <c r="K282" s="27">
        <f>IF(B282="","",SUMIFS(Appointments!$I$6:$I$2005,Appointments!$D$6:$D$2005,B282)+SUMIFS(Packages!$F$6:$F$305,Packages!$C$6:$C$305,B282))</f>
        <v/>
      </c>
      <c r="L282" s="28">
        <f>IF(B282="","",IF(SUMIFS(Appointments!$K$6:$K$2005,Appointments!$D$6:$D$2005,B282)=0,"",SUMIFS(Appointments!$K$6:$K$2005,Appointments!$D$6:$D$2005,B282)))</f>
        <v/>
      </c>
      <c r="M282" s="38">
        <f>IF(OR(B282="",SUMIFS(Packages!$E$6:$E$305,Packages!$C$6:$C$305,B282)=0),"",SUMIFS(Packages!$E$6:$E$305,Packages!$C$6:$C$305,B282)-COUNTIFS(Appointments!$D$6:$D$2005,B282,Appointments!$J$6:$J$2005,"Package",Appointments!$F$6:$F$2005,"Done")+IF(Services!$I$6="Yes",COUNTIFS(Appointments!$D$6:$D$2005,B282,Appointments!$J$6:$J$2005,"Package",Appointments!$F$6:$F$2005,"No-show"),0))</f>
        <v/>
      </c>
      <c r="N282" s="18">
        <f>IF(OR(B282="",I282=""),"",IF(AND(J282="",TODAY()-I282&gt;=N(Services!$I$7)),"Not seen for "&amp;(TODAY()-I282)&amp;" days",""))</f>
        <v/>
      </c>
      <c r="O282" s="1">
        <f>IF(N(E282)=0,"",MONTH(E282))</f>
        <v/>
      </c>
    </row>
    <row r="283">
      <c r="A283" s="1" t="n"/>
      <c r="B283" s="35" t="n"/>
      <c r="C283" s="32" t="n"/>
      <c r="D283" s="32" t="n"/>
      <c r="E283" s="36" t="n"/>
      <c r="F283" s="30" t="n"/>
      <c r="G283" s="32" t="n"/>
      <c r="H283" s="26">
        <f>IF(B283="","",COUNTIFS(Appointments!$D$6:$D$2005,B283,Appointments!$F$6:$F$2005,"Done"))</f>
        <v/>
      </c>
      <c r="I283" s="37">
        <f>IF(OR(B283="",N(H283)=0),"",INT(SUMIFS(Appointments!$M$6:$M$2005,Appointments!$D$6:$D$2005,B283,Appointments!$N$6:$N$2005,1)))</f>
        <v/>
      </c>
      <c r="J283" s="37">
        <f>IF(B283="","",IF(SUMIFS(Appointments!$M$6:$M$2005,Appointments!$D$6:$D$2005,B283,Appointments!$O$6:$O$2005,1)=0,"",INT(SUMIFS(Appointments!$M$6:$M$2005,Appointments!$D$6:$D$2005,B283,Appointments!$O$6:$O$2005,1))))</f>
        <v/>
      </c>
      <c r="K283" s="27">
        <f>IF(B283="","",SUMIFS(Appointments!$I$6:$I$2005,Appointments!$D$6:$D$2005,B283)+SUMIFS(Packages!$F$6:$F$305,Packages!$C$6:$C$305,B283))</f>
        <v/>
      </c>
      <c r="L283" s="28">
        <f>IF(B283="","",IF(SUMIFS(Appointments!$K$6:$K$2005,Appointments!$D$6:$D$2005,B283)=0,"",SUMIFS(Appointments!$K$6:$K$2005,Appointments!$D$6:$D$2005,B283)))</f>
        <v/>
      </c>
      <c r="M283" s="38">
        <f>IF(OR(B283="",SUMIFS(Packages!$E$6:$E$305,Packages!$C$6:$C$305,B283)=0),"",SUMIFS(Packages!$E$6:$E$305,Packages!$C$6:$C$305,B283)-COUNTIFS(Appointments!$D$6:$D$2005,B283,Appointments!$J$6:$J$2005,"Package",Appointments!$F$6:$F$2005,"Done")+IF(Services!$I$6="Yes",COUNTIFS(Appointments!$D$6:$D$2005,B283,Appointments!$J$6:$J$2005,"Package",Appointments!$F$6:$F$2005,"No-show"),0))</f>
        <v/>
      </c>
      <c r="N283" s="18">
        <f>IF(OR(B283="",I283=""),"",IF(AND(J283="",TODAY()-I283&gt;=N(Services!$I$7)),"Not seen for "&amp;(TODAY()-I283)&amp;" days",""))</f>
        <v/>
      </c>
      <c r="O283" s="1">
        <f>IF(N(E283)=0,"",MONTH(E283))</f>
        <v/>
      </c>
    </row>
    <row r="284">
      <c r="A284" s="1" t="n"/>
      <c r="B284" s="35" t="n"/>
      <c r="C284" s="32" t="n"/>
      <c r="D284" s="32" t="n"/>
      <c r="E284" s="36" t="n"/>
      <c r="F284" s="30" t="n"/>
      <c r="G284" s="32" t="n"/>
      <c r="H284" s="26">
        <f>IF(B284="","",COUNTIFS(Appointments!$D$6:$D$2005,B284,Appointments!$F$6:$F$2005,"Done"))</f>
        <v/>
      </c>
      <c r="I284" s="37">
        <f>IF(OR(B284="",N(H284)=0),"",INT(SUMIFS(Appointments!$M$6:$M$2005,Appointments!$D$6:$D$2005,B284,Appointments!$N$6:$N$2005,1)))</f>
        <v/>
      </c>
      <c r="J284" s="37">
        <f>IF(B284="","",IF(SUMIFS(Appointments!$M$6:$M$2005,Appointments!$D$6:$D$2005,B284,Appointments!$O$6:$O$2005,1)=0,"",INT(SUMIFS(Appointments!$M$6:$M$2005,Appointments!$D$6:$D$2005,B284,Appointments!$O$6:$O$2005,1))))</f>
        <v/>
      </c>
      <c r="K284" s="27">
        <f>IF(B284="","",SUMIFS(Appointments!$I$6:$I$2005,Appointments!$D$6:$D$2005,B284)+SUMIFS(Packages!$F$6:$F$305,Packages!$C$6:$C$305,B284))</f>
        <v/>
      </c>
      <c r="L284" s="28">
        <f>IF(B284="","",IF(SUMIFS(Appointments!$K$6:$K$2005,Appointments!$D$6:$D$2005,B284)=0,"",SUMIFS(Appointments!$K$6:$K$2005,Appointments!$D$6:$D$2005,B284)))</f>
        <v/>
      </c>
      <c r="M284" s="38">
        <f>IF(OR(B284="",SUMIFS(Packages!$E$6:$E$305,Packages!$C$6:$C$305,B284)=0),"",SUMIFS(Packages!$E$6:$E$305,Packages!$C$6:$C$305,B284)-COUNTIFS(Appointments!$D$6:$D$2005,B284,Appointments!$J$6:$J$2005,"Package",Appointments!$F$6:$F$2005,"Done")+IF(Services!$I$6="Yes",COUNTIFS(Appointments!$D$6:$D$2005,B284,Appointments!$J$6:$J$2005,"Package",Appointments!$F$6:$F$2005,"No-show"),0))</f>
        <v/>
      </c>
      <c r="N284" s="18">
        <f>IF(OR(B284="",I284=""),"",IF(AND(J284="",TODAY()-I284&gt;=N(Services!$I$7)),"Not seen for "&amp;(TODAY()-I284)&amp;" days",""))</f>
        <v/>
      </c>
      <c r="O284" s="1">
        <f>IF(N(E284)=0,"",MONTH(E284))</f>
        <v/>
      </c>
    </row>
    <row r="285">
      <c r="A285" s="1" t="n"/>
      <c r="B285" s="35" t="n"/>
      <c r="C285" s="32" t="n"/>
      <c r="D285" s="32" t="n"/>
      <c r="E285" s="36" t="n"/>
      <c r="F285" s="30" t="n"/>
      <c r="G285" s="32" t="n"/>
      <c r="H285" s="26">
        <f>IF(B285="","",COUNTIFS(Appointments!$D$6:$D$2005,B285,Appointments!$F$6:$F$2005,"Done"))</f>
        <v/>
      </c>
      <c r="I285" s="37">
        <f>IF(OR(B285="",N(H285)=0),"",INT(SUMIFS(Appointments!$M$6:$M$2005,Appointments!$D$6:$D$2005,B285,Appointments!$N$6:$N$2005,1)))</f>
        <v/>
      </c>
      <c r="J285" s="37">
        <f>IF(B285="","",IF(SUMIFS(Appointments!$M$6:$M$2005,Appointments!$D$6:$D$2005,B285,Appointments!$O$6:$O$2005,1)=0,"",INT(SUMIFS(Appointments!$M$6:$M$2005,Appointments!$D$6:$D$2005,B285,Appointments!$O$6:$O$2005,1))))</f>
        <v/>
      </c>
      <c r="K285" s="27">
        <f>IF(B285="","",SUMIFS(Appointments!$I$6:$I$2005,Appointments!$D$6:$D$2005,B285)+SUMIFS(Packages!$F$6:$F$305,Packages!$C$6:$C$305,B285))</f>
        <v/>
      </c>
      <c r="L285" s="28">
        <f>IF(B285="","",IF(SUMIFS(Appointments!$K$6:$K$2005,Appointments!$D$6:$D$2005,B285)=0,"",SUMIFS(Appointments!$K$6:$K$2005,Appointments!$D$6:$D$2005,B285)))</f>
        <v/>
      </c>
      <c r="M285" s="38">
        <f>IF(OR(B285="",SUMIFS(Packages!$E$6:$E$305,Packages!$C$6:$C$305,B285)=0),"",SUMIFS(Packages!$E$6:$E$305,Packages!$C$6:$C$305,B285)-COUNTIFS(Appointments!$D$6:$D$2005,B285,Appointments!$J$6:$J$2005,"Package",Appointments!$F$6:$F$2005,"Done")+IF(Services!$I$6="Yes",COUNTIFS(Appointments!$D$6:$D$2005,B285,Appointments!$J$6:$J$2005,"Package",Appointments!$F$6:$F$2005,"No-show"),0))</f>
        <v/>
      </c>
      <c r="N285" s="18">
        <f>IF(OR(B285="",I285=""),"",IF(AND(J285="",TODAY()-I285&gt;=N(Services!$I$7)),"Not seen for "&amp;(TODAY()-I285)&amp;" days",""))</f>
        <v/>
      </c>
      <c r="O285" s="1">
        <f>IF(N(E285)=0,"",MONTH(E285))</f>
        <v/>
      </c>
    </row>
    <row r="286">
      <c r="A286" s="1" t="n"/>
      <c r="B286" s="35" t="n"/>
      <c r="C286" s="32" t="n"/>
      <c r="D286" s="32" t="n"/>
      <c r="E286" s="36" t="n"/>
      <c r="F286" s="30" t="n"/>
      <c r="G286" s="32" t="n"/>
      <c r="H286" s="26">
        <f>IF(B286="","",COUNTIFS(Appointments!$D$6:$D$2005,B286,Appointments!$F$6:$F$2005,"Done"))</f>
        <v/>
      </c>
      <c r="I286" s="37">
        <f>IF(OR(B286="",N(H286)=0),"",INT(SUMIFS(Appointments!$M$6:$M$2005,Appointments!$D$6:$D$2005,B286,Appointments!$N$6:$N$2005,1)))</f>
        <v/>
      </c>
      <c r="J286" s="37">
        <f>IF(B286="","",IF(SUMIFS(Appointments!$M$6:$M$2005,Appointments!$D$6:$D$2005,B286,Appointments!$O$6:$O$2005,1)=0,"",INT(SUMIFS(Appointments!$M$6:$M$2005,Appointments!$D$6:$D$2005,B286,Appointments!$O$6:$O$2005,1))))</f>
        <v/>
      </c>
      <c r="K286" s="27">
        <f>IF(B286="","",SUMIFS(Appointments!$I$6:$I$2005,Appointments!$D$6:$D$2005,B286)+SUMIFS(Packages!$F$6:$F$305,Packages!$C$6:$C$305,B286))</f>
        <v/>
      </c>
      <c r="L286" s="28">
        <f>IF(B286="","",IF(SUMIFS(Appointments!$K$6:$K$2005,Appointments!$D$6:$D$2005,B286)=0,"",SUMIFS(Appointments!$K$6:$K$2005,Appointments!$D$6:$D$2005,B286)))</f>
        <v/>
      </c>
      <c r="M286" s="38">
        <f>IF(OR(B286="",SUMIFS(Packages!$E$6:$E$305,Packages!$C$6:$C$305,B286)=0),"",SUMIFS(Packages!$E$6:$E$305,Packages!$C$6:$C$305,B286)-COUNTIFS(Appointments!$D$6:$D$2005,B286,Appointments!$J$6:$J$2005,"Package",Appointments!$F$6:$F$2005,"Done")+IF(Services!$I$6="Yes",COUNTIFS(Appointments!$D$6:$D$2005,B286,Appointments!$J$6:$J$2005,"Package",Appointments!$F$6:$F$2005,"No-show"),0))</f>
        <v/>
      </c>
      <c r="N286" s="18">
        <f>IF(OR(B286="",I286=""),"",IF(AND(J286="",TODAY()-I286&gt;=N(Services!$I$7)),"Not seen for "&amp;(TODAY()-I286)&amp;" days",""))</f>
        <v/>
      </c>
      <c r="O286" s="1">
        <f>IF(N(E286)=0,"",MONTH(E286))</f>
        <v/>
      </c>
    </row>
    <row r="287">
      <c r="A287" s="1" t="n"/>
      <c r="B287" s="35" t="n"/>
      <c r="C287" s="32" t="n"/>
      <c r="D287" s="32" t="n"/>
      <c r="E287" s="36" t="n"/>
      <c r="F287" s="30" t="n"/>
      <c r="G287" s="32" t="n"/>
      <c r="H287" s="26">
        <f>IF(B287="","",COUNTIFS(Appointments!$D$6:$D$2005,B287,Appointments!$F$6:$F$2005,"Done"))</f>
        <v/>
      </c>
      <c r="I287" s="37">
        <f>IF(OR(B287="",N(H287)=0),"",INT(SUMIFS(Appointments!$M$6:$M$2005,Appointments!$D$6:$D$2005,B287,Appointments!$N$6:$N$2005,1)))</f>
        <v/>
      </c>
      <c r="J287" s="37">
        <f>IF(B287="","",IF(SUMIFS(Appointments!$M$6:$M$2005,Appointments!$D$6:$D$2005,B287,Appointments!$O$6:$O$2005,1)=0,"",INT(SUMIFS(Appointments!$M$6:$M$2005,Appointments!$D$6:$D$2005,B287,Appointments!$O$6:$O$2005,1))))</f>
        <v/>
      </c>
      <c r="K287" s="27">
        <f>IF(B287="","",SUMIFS(Appointments!$I$6:$I$2005,Appointments!$D$6:$D$2005,B287)+SUMIFS(Packages!$F$6:$F$305,Packages!$C$6:$C$305,B287))</f>
        <v/>
      </c>
      <c r="L287" s="28">
        <f>IF(B287="","",IF(SUMIFS(Appointments!$K$6:$K$2005,Appointments!$D$6:$D$2005,B287)=0,"",SUMIFS(Appointments!$K$6:$K$2005,Appointments!$D$6:$D$2005,B287)))</f>
        <v/>
      </c>
      <c r="M287" s="38">
        <f>IF(OR(B287="",SUMIFS(Packages!$E$6:$E$305,Packages!$C$6:$C$305,B287)=0),"",SUMIFS(Packages!$E$6:$E$305,Packages!$C$6:$C$305,B287)-COUNTIFS(Appointments!$D$6:$D$2005,B287,Appointments!$J$6:$J$2005,"Package",Appointments!$F$6:$F$2005,"Done")+IF(Services!$I$6="Yes",COUNTIFS(Appointments!$D$6:$D$2005,B287,Appointments!$J$6:$J$2005,"Package",Appointments!$F$6:$F$2005,"No-show"),0))</f>
        <v/>
      </c>
      <c r="N287" s="18">
        <f>IF(OR(B287="",I287=""),"",IF(AND(J287="",TODAY()-I287&gt;=N(Services!$I$7)),"Not seen for "&amp;(TODAY()-I287)&amp;" days",""))</f>
        <v/>
      </c>
      <c r="O287" s="1">
        <f>IF(N(E287)=0,"",MONTH(E287))</f>
        <v/>
      </c>
    </row>
    <row r="288">
      <c r="A288" s="1" t="n"/>
      <c r="B288" s="35" t="n"/>
      <c r="C288" s="32" t="n"/>
      <c r="D288" s="32" t="n"/>
      <c r="E288" s="36" t="n"/>
      <c r="F288" s="30" t="n"/>
      <c r="G288" s="32" t="n"/>
      <c r="H288" s="26">
        <f>IF(B288="","",COUNTIFS(Appointments!$D$6:$D$2005,B288,Appointments!$F$6:$F$2005,"Done"))</f>
        <v/>
      </c>
      <c r="I288" s="37">
        <f>IF(OR(B288="",N(H288)=0),"",INT(SUMIFS(Appointments!$M$6:$M$2005,Appointments!$D$6:$D$2005,B288,Appointments!$N$6:$N$2005,1)))</f>
        <v/>
      </c>
      <c r="J288" s="37">
        <f>IF(B288="","",IF(SUMIFS(Appointments!$M$6:$M$2005,Appointments!$D$6:$D$2005,B288,Appointments!$O$6:$O$2005,1)=0,"",INT(SUMIFS(Appointments!$M$6:$M$2005,Appointments!$D$6:$D$2005,B288,Appointments!$O$6:$O$2005,1))))</f>
        <v/>
      </c>
      <c r="K288" s="27">
        <f>IF(B288="","",SUMIFS(Appointments!$I$6:$I$2005,Appointments!$D$6:$D$2005,B288)+SUMIFS(Packages!$F$6:$F$305,Packages!$C$6:$C$305,B288))</f>
        <v/>
      </c>
      <c r="L288" s="28">
        <f>IF(B288="","",IF(SUMIFS(Appointments!$K$6:$K$2005,Appointments!$D$6:$D$2005,B288)=0,"",SUMIFS(Appointments!$K$6:$K$2005,Appointments!$D$6:$D$2005,B288)))</f>
        <v/>
      </c>
      <c r="M288" s="38">
        <f>IF(OR(B288="",SUMIFS(Packages!$E$6:$E$305,Packages!$C$6:$C$305,B288)=0),"",SUMIFS(Packages!$E$6:$E$305,Packages!$C$6:$C$305,B288)-COUNTIFS(Appointments!$D$6:$D$2005,B288,Appointments!$J$6:$J$2005,"Package",Appointments!$F$6:$F$2005,"Done")+IF(Services!$I$6="Yes",COUNTIFS(Appointments!$D$6:$D$2005,B288,Appointments!$J$6:$J$2005,"Package",Appointments!$F$6:$F$2005,"No-show"),0))</f>
        <v/>
      </c>
      <c r="N288" s="18">
        <f>IF(OR(B288="",I288=""),"",IF(AND(J288="",TODAY()-I288&gt;=N(Services!$I$7)),"Not seen for "&amp;(TODAY()-I288)&amp;" days",""))</f>
        <v/>
      </c>
      <c r="O288" s="1">
        <f>IF(N(E288)=0,"",MONTH(E288))</f>
        <v/>
      </c>
    </row>
    <row r="289">
      <c r="A289" s="1" t="n"/>
      <c r="B289" s="35" t="n"/>
      <c r="C289" s="32" t="n"/>
      <c r="D289" s="32" t="n"/>
      <c r="E289" s="36" t="n"/>
      <c r="F289" s="30" t="n"/>
      <c r="G289" s="32" t="n"/>
      <c r="H289" s="26">
        <f>IF(B289="","",COUNTIFS(Appointments!$D$6:$D$2005,B289,Appointments!$F$6:$F$2005,"Done"))</f>
        <v/>
      </c>
      <c r="I289" s="37">
        <f>IF(OR(B289="",N(H289)=0),"",INT(SUMIFS(Appointments!$M$6:$M$2005,Appointments!$D$6:$D$2005,B289,Appointments!$N$6:$N$2005,1)))</f>
        <v/>
      </c>
      <c r="J289" s="37">
        <f>IF(B289="","",IF(SUMIFS(Appointments!$M$6:$M$2005,Appointments!$D$6:$D$2005,B289,Appointments!$O$6:$O$2005,1)=0,"",INT(SUMIFS(Appointments!$M$6:$M$2005,Appointments!$D$6:$D$2005,B289,Appointments!$O$6:$O$2005,1))))</f>
        <v/>
      </c>
      <c r="K289" s="27">
        <f>IF(B289="","",SUMIFS(Appointments!$I$6:$I$2005,Appointments!$D$6:$D$2005,B289)+SUMIFS(Packages!$F$6:$F$305,Packages!$C$6:$C$305,B289))</f>
        <v/>
      </c>
      <c r="L289" s="28">
        <f>IF(B289="","",IF(SUMIFS(Appointments!$K$6:$K$2005,Appointments!$D$6:$D$2005,B289)=0,"",SUMIFS(Appointments!$K$6:$K$2005,Appointments!$D$6:$D$2005,B289)))</f>
        <v/>
      </c>
      <c r="M289" s="38">
        <f>IF(OR(B289="",SUMIFS(Packages!$E$6:$E$305,Packages!$C$6:$C$305,B289)=0),"",SUMIFS(Packages!$E$6:$E$305,Packages!$C$6:$C$305,B289)-COUNTIFS(Appointments!$D$6:$D$2005,B289,Appointments!$J$6:$J$2005,"Package",Appointments!$F$6:$F$2005,"Done")+IF(Services!$I$6="Yes",COUNTIFS(Appointments!$D$6:$D$2005,B289,Appointments!$J$6:$J$2005,"Package",Appointments!$F$6:$F$2005,"No-show"),0))</f>
        <v/>
      </c>
      <c r="N289" s="18">
        <f>IF(OR(B289="",I289=""),"",IF(AND(J289="",TODAY()-I289&gt;=N(Services!$I$7)),"Not seen for "&amp;(TODAY()-I289)&amp;" days",""))</f>
        <v/>
      </c>
      <c r="O289" s="1">
        <f>IF(N(E289)=0,"",MONTH(E289))</f>
        <v/>
      </c>
    </row>
    <row r="290">
      <c r="A290" s="1" t="n"/>
      <c r="B290" s="35" t="n"/>
      <c r="C290" s="32" t="n"/>
      <c r="D290" s="32" t="n"/>
      <c r="E290" s="36" t="n"/>
      <c r="F290" s="30" t="n"/>
      <c r="G290" s="32" t="n"/>
      <c r="H290" s="26">
        <f>IF(B290="","",COUNTIFS(Appointments!$D$6:$D$2005,B290,Appointments!$F$6:$F$2005,"Done"))</f>
        <v/>
      </c>
      <c r="I290" s="37">
        <f>IF(OR(B290="",N(H290)=0),"",INT(SUMIFS(Appointments!$M$6:$M$2005,Appointments!$D$6:$D$2005,B290,Appointments!$N$6:$N$2005,1)))</f>
        <v/>
      </c>
      <c r="J290" s="37">
        <f>IF(B290="","",IF(SUMIFS(Appointments!$M$6:$M$2005,Appointments!$D$6:$D$2005,B290,Appointments!$O$6:$O$2005,1)=0,"",INT(SUMIFS(Appointments!$M$6:$M$2005,Appointments!$D$6:$D$2005,B290,Appointments!$O$6:$O$2005,1))))</f>
        <v/>
      </c>
      <c r="K290" s="27">
        <f>IF(B290="","",SUMIFS(Appointments!$I$6:$I$2005,Appointments!$D$6:$D$2005,B290)+SUMIFS(Packages!$F$6:$F$305,Packages!$C$6:$C$305,B290))</f>
        <v/>
      </c>
      <c r="L290" s="28">
        <f>IF(B290="","",IF(SUMIFS(Appointments!$K$6:$K$2005,Appointments!$D$6:$D$2005,B290)=0,"",SUMIFS(Appointments!$K$6:$K$2005,Appointments!$D$6:$D$2005,B290)))</f>
        <v/>
      </c>
      <c r="M290" s="38">
        <f>IF(OR(B290="",SUMIFS(Packages!$E$6:$E$305,Packages!$C$6:$C$305,B290)=0),"",SUMIFS(Packages!$E$6:$E$305,Packages!$C$6:$C$305,B290)-COUNTIFS(Appointments!$D$6:$D$2005,B290,Appointments!$J$6:$J$2005,"Package",Appointments!$F$6:$F$2005,"Done")+IF(Services!$I$6="Yes",COUNTIFS(Appointments!$D$6:$D$2005,B290,Appointments!$J$6:$J$2005,"Package",Appointments!$F$6:$F$2005,"No-show"),0))</f>
        <v/>
      </c>
      <c r="N290" s="18">
        <f>IF(OR(B290="",I290=""),"",IF(AND(J290="",TODAY()-I290&gt;=N(Services!$I$7)),"Not seen for "&amp;(TODAY()-I290)&amp;" days",""))</f>
        <v/>
      </c>
      <c r="O290" s="1">
        <f>IF(N(E290)=0,"",MONTH(E290))</f>
        <v/>
      </c>
    </row>
    <row r="291">
      <c r="A291" s="1" t="n"/>
      <c r="B291" s="35" t="n"/>
      <c r="C291" s="32" t="n"/>
      <c r="D291" s="32" t="n"/>
      <c r="E291" s="36" t="n"/>
      <c r="F291" s="30" t="n"/>
      <c r="G291" s="32" t="n"/>
      <c r="H291" s="26">
        <f>IF(B291="","",COUNTIFS(Appointments!$D$6:$D$2005,B291,Appointments!$F$6:$F$2005,"Done"))</f>
        <v/>
      </c>
      <c r="I291" s="37">
        <f>IF(OR(B291="",N(H291)=0),"",INT(SUMIFS(Appointments!$M$6:$M$2005,Appointments!$D$6:$D$2005,B291,Appointments!$N$6:$N$2005,1)))</f>
        <v/>
      </c>
      <c r="J291" s="37">
        <f>IF(B291="","",IF(SUMIFS(Appointments!$M$6:$M$2005,Appointments!$D$6:$D$2005,B291,Appointments!$O$6:$O$2005,1)=0,"",INT(SUMIFS(Appointments!$M$6:$M$2005,Appointments!$D$6:$D$2005,B291,Appointments!$O$6:$O$2005,1))))</f>
        <v/>
      </c>
      <c r="K291" s="27">
        <f>IF(B291="","",SUMIFS(Appointments!$I$6:$I$2005,Appointments!$D$6:$D$2005,B291)+SUMIFS(Packages!$F$6:$F$305,Packages!$C$6:$C$305,B291))</f>
        <v/>
      </c>
      <c r="L291" s="28">
        <f>IF(B291="","",IF(SUMIFS(Appointments!$K$6:$K$2005,Appointments!$D$6:$D$2005,B291)=0,"",SUMIFS(Appointments!$K$6:$K$2005,Appointments!$D$6:$D$2005,B291)))</f>
        <v/>
      </c>
      <c r="M291" s="38">
        <f>IF(OR(B291="",SUMIFS(Packages!$E$6:$E$305,Packages!$C$6:$C$305,B291)=0),"",SUMIFS(Packages!$E$6:$E$305,Packages!$C$6:$C$305,B291)-COUNTIFS(Appointments!$D$6:$D$2005,B291,Appointments!$J$6:$J$2005,"Package",Appointments!$F$6:$F$2005,"Done")+IF(Services!$I$6="Yes",COUNTIFS(Appointments!$D$6:$D$2005,B291,Appointments!$J$6:$J$2005,"Package",Appointments!$F$6:$F$2005,"No-show"),0))</f>
        <v/>
      </c>
      <c r="N291" s="18">
        <f>IF(OR(B291="",I291=""),"",IF(AND(J291="",TODAY()-I291&gt;=N(Services!$I$7)),"Not seen for "&amp;(TODAY()-I291)&amp;" days",""))</f>
        <v/>
      </c>
      <c r="O291" s="1">
        <f>IF(N(E291)=0,"",MONTH(E291))</f>
        <v/>
      </c>
    </row>
    <row r="292">
      <c r="A292" s="1" t="n"/>
      <c r="B292" s="35" t="n"/>
      <c r="C292" s="32" t="n"/>
      <c r="D292" s="32" t="n"/>
      <c r="E292" s="36" t="n"/>
      <c r="F292" s="30" t="n"/>
      <c r="G292" s="32" t="n"/>
      <c r="H292" s="26">
        <f>IF(B292="","",COUNTIFS(Appointments!$D$6:$D$2005,B292,Appointments!$F$6:$F$2005,"Done"))</f>
        <v/>
      </c>
      <c r="I292" s="37">
        <f>IF(OR(B292="",N(H292)=0),"",INT(SUMIFS(Appointments!$M$6:$M$2005,Appointments!$D$6:$D$2005,B292,Appointments!$N$6:$N$2005,1)))</f>
        <v/>
      </c>
      <c r="J292" s="37">
        <f>IF(B292="","",IF(SUMIFS(Appointments!$M$6:$M$2005,Appointments!$D$6:$D$2005,B292,Appointments!$O$6:$O$2005,1)=0,"",INT(SUMIFS(Appointments!$M$6:$M$2005,Appointments!$D$6:$D$2005,B292,Appointments!$O$6:$O$2005,1))))</f>
        <v/>
      </c>
      <c r="K292" s="27">
        <f>IF(B292="","",SUMIFS(Appointments!$I$6:$I$2005,Appointments!$D$6:$D$2005,B292)+SUMIFS(Packages!$F$6:$F$305,Packages!$C$6:$C$305,B292))</f>
        <v/>
      </c>
      <c r="L292" s="28">
        <f>IF(B292="","",IF(SUMIFS(Appointments!$K$6:$K$2005,Appointments!$D$6:$D$2005,B292)=0,"",SUMIFS(Appointments!$K$6:$K$2005,Appointments!$D$6:$D$2005,B292)))</f>
        <v/>
      </c>
      <c r="M292" s="38">
        <f>IF(OR(B292="",SUMIFS(Packages!$E$6:$E$305,Packages!$C$6:$C$305,B292)=0),"",SUMIFS(Packages!$E$6:$E$305,Packages!$C$6:$C$305,B292)-COUNTIFS(Appointments!$D$6:$D$2005,B292,Appointments!$J$6:$J$2005,"Package",Appointments!$F$6:$F$2005,"Done")+IF(Services!$I$6="Yes",COUNTIFS(Appointments!$D$6:$D$2005,B292,Appointments!$J$6:$J$2005,"Package",Appointments!$F$6:$F$2005,"No-show"),0))</f>
        <v/>
      </c>
      <c r="N292" s="18">
        <f>IF(OR(B292="",I292=""),"",IF(AND(J292="",TODAY()-I292&gt;=N(Services!$I$7)),"Not seen for "&amp;(TODAY()-I292)&amp;" days",""))</f>
        <v/>
      </c>
      <c r="O292" s="1">
        <f>IF(N(E292)=0,"",MONTH(E292))</f>
        <v/>
      </c>
    </row>
    <row r="293">
      <c r="A293" s="1" t="n"/>
      <c r="B293" s="35" t="n"/>
      <c r="C293" s="32" t="n"/>
      <c r="D293" s="32" t="n"/>
      <c r="E293" s="36" t="n"/>
      <c r="F293" s="30" t="n"/>
      <c r="G293" s="32" t="n"/>
      <c r="H293" s="26">
        <f>IF(B293="","",COUNTIFS(Appointments!$D$6:$D$2005,B293,Appointments!$F$6:$F$2005,"Done"))</f>
        <v/>
      </c>
      <c r="I293" s="37">
        <f>IF(OR(B293="",N(H293)=0),"",INT(SUMIFS(Appointments!$M$6:$M$2005,Appointments!$D$6:$D$2005,B293,Appointments!$N$6:$N$2005,1)))</f>
        <v/>
      </c>
      <c r="J293" s="37">
        <f>IF(B293="","",IF(SUMIFS(Appointments!$M$6:$M$2005,Appointments!$D$6:$D$2005,B293,Appointments!$O$6:$O$2005,1)=0,"",INT(SUMIFS(Appointments!$M$6:$M$2005,Appointments!$D$6:$D$2005,B293,Appointments!$O$6:$O$2005,1))))</f>
        <v/>
      </c>
      <c r="K293" s="27">
        <f>IF(B293="","",SUMIFS(Appointments!$I$6:$I$2005,Appointments!$D$6:$D$2005,B293)+SUMIFS(Packages!$F$6:$F$305,Packages!$C$6:$C$305,B293))</f>
        <v/>
      </c>
      <c r="L293" s="28">
        <f>IF(B293="","",IF(SUMIFS(Appointments!$K$6:$K$2005,Appointments!$D$6:$D$2005,B293)=0,"",SUMIFS(Appointments!$K$6:$K$2005,Appointments!$D$6:$D$2005,B293)))</f>
        <v/>
      </c>
      <c r="M293" s="38">
        <f>IF(OR(B293="",SUMIFS(Packages!$E$6:$E$305,Packages!$C$6:$C$305,B293)=0),"",SUMIFS(Packages!$E$6:$E$305,Packages!$C$6:$C$305,B293)-COUNTIFS(Appointments!$D$6:$D$2005,B293,Appointments!$J$6:$J$2005,"Package",Appointments!$F$6:$F$2005,"Done")+IF(Services!$I$6="Yes",COUNTIFS(Appointments!$D$6:$D$2005,B293,Appointments!$J$6:$J$2005,"Package",Appointments!$F$6:$F$2005,"No-show"),0))</f>
        <v/>
      </c>
      <c r="N293" s="18">
        <f>IF(OR(B293="",I293=""),"",IF(AND(J293="",TODAY()-I293&gt;=N(Services!$I$7)),"Not seen for "&amp;(TODAY()-I293)&amp;" days",""))</f>
        <v/>
      </c>
      <c r="O293" s="1">
        <f>IF(N(E293)=0,"",MONTH(E293))</f>
        <v/>
      </c>
    </row>
    <row r="294">
      <c r="A294" s="1" t="n"/>
      <c r="B294" s="35" t="n"/>
      <c r="C294" s="32" t="n"/>
      <c r="D294" s="32" t="n"/>
      <c r="E294" s="36" t="n"/>
      <c r="F294" s="30" t="n"/>
      <c r="G294" s="32" t="n"/>
      <c r="H294" s="26">
        <f>IF(B294="","",COUNTIFS(Appointments!$D$6:$D$2005,B294,Appointments!$F$6:$F$2005,"Done"))</f>
        <v/>
      </c>
      <c r="I294" s="37">
        <f>IF(OR(B294="",N(H294)=0),"",INT(SUMIFS(Appointments!$M$6:$M$2005,Appointments!$D$6:$D$2005,B294,Appointments!$N$6:$N$2005,1)))</f>
        <v/>
      </c>
      <c r="J294" s="37">
        <f>IF(B294="","",IF(SUMIFS(Appointments!$M$6:$M$2005,Appointments!$D$6:$D$2005,B294,Appointments!$O$6:$O$2005,1)=0,"",INT(SUMIFS(Appointments!$M$6:$M$2005,Appointments!$D$6:$D$2005,B294,Appointments!$O$6:$O$2005,1))))</f>
        <v/>
      </c>
      <c r="K294" s="27">
        <f>IF(B294="","",SUMIFS(Appointments!$I$6:$I$2005,Appointments!$D$6:$D$2005,B294)+SUMIFS(Packages!$F$6:$F$305,Packages!$C$6:$C$305,B294))</f>
        <v/>
      </c>
      <c r="L294" s="28">
        <f>IF(B294="","",IF(SUMIFS(Appointments!$K$6:$K$2005,Appointments!$D$6:$D$2005,B294)=0,"",SUMIFS(Appointments!$K$6:$K$2005,Appointments!$D$6:$D$2005,B294)))</f>
        <v/>
      </c>
      <c r="M294" s="38">
        <f>IF(OR(B294="",SUMIFS(Packages!$E$6:$E$305,Packages!$C$6:$C$305,B294)=0),"",SUMIFS(Packages!$E$6:$E$305,Packages!$C$6:$C$305,B294)-COUNTIFS(Appointments!$D$6:$D$2005,B294,Appointments!$J$6:$J$2005,"Package",Appointments!$F$6:$F$2005,"Done")+IF(Services!$I$6="Yes",COUNTIFS(Appointments!$D$6:$D$2005,B294,Appointments!$J$6:$J$2005,"Package",Appointments!$F$6:$F$2005,"No-show"),0))</f>
        <v/>
      </c>
      <c r="N294" s="18">
        <f>IF(OR(B294="",I294=""),"",IF(AND(J294="",TODAY()-I294&gt;=N(Services!$I$7)),"Not seen for "&amp;(TODAY()-I294)&amp;" days",""))</f>
        <v/>
      </c>
      <c r="O294" s="1">
        <f>IF(N(E294)=0,"",MONTH(E294))</f>
        <v/>
      </c>
    </row>
    <row r="295">
      <c r="A295" s="1" t="n"/>
      <c r="B295" s="35" t="n"/>
      <c r="C295" s="32" t="n"/>
      <c r="D295" s="32" t="n"/>
      <c r="E295" s="36" t="n"/>
      <c r="F295" s="30" t="n"/>
      <c r="G295" s="32" t="n"/>
      <c r="H295" s="26">
        <f>IF(B295="","",COUNTIFS(Appointments!$D$6:$D$2005,B295,Appointments!$F$6:$F$2005,"Done"))</f>
        <v/>
      </c>
      <c r="I295" s="37">
        <f>IF(OR(B295="",N(H295)=0),"",INT(SUMIFS(Appointments!$M$6:$M$2005,Appointments!$D$6:$D$2005,B295,Appointments!$N$6:$N$2005,1)))</f>
        <v/>
      </c>
      <c r="J295" s="37">
        <f>IF(B295="","",IF(SUMIFS(Appointments!$M$6:$M$2005,Appointments!$D$6:$D$2005,B295,Appointments!$O$6:$O$2005,1)=0,"",INT(SUMIFS(Appointments!$M$6:$M$2005,Appointments!$D$6:$D$2005,B295,Appointments!$O$6:$O$2005,1))))</f>
        <v/>
      </c>
      <c r="K295" s="27">
        <f>IF(B295="","",SUMIFS(Appointments!$I$6:$I$2005,Appointments!$D$6:$D$2005,B295)+SUMIFS(Packages!$F$6:$F$305,Packages!$C$6:$C$305,B295))</f>
        <v/>
      </c>
      <c r="L295" s="28">
        <f>IF(B295="","",IF(SUMIFS(Appointments!$K$6:$K$2005,Appointments!$D$6:$D$2005,B295)=0,"",SUMIFS(Appointments!$K$6:$K$2005,Appointments!$D$6:$D$2005,B295)))</f>
        <v/>
      </c>
      <c r="M295" s="38">
        <f>IF(OR(B295="",SUMIFS(Packages!$E$6:$E$305,Packages!$C$6:$C$305,B295)=0),"",SUMIFS(Packages!$E$6:$E$305,Packages!$C$6:$C$305,B295)-COUNTIFS(Appointments!$D$6:$D$2005,B295,Appointments!$J$6:$J$2005,"Package",Appointments!$F$6:$F$2005,"Done")+IF(Services!$I$6="Yes",COUNTIFS(Appointments!$D$6:$D$2005,B295,Appointments!$J$6:$J$2005,"Package",Appointments!$F$6:$F$2005,"No-show"),0))</f>
        <v/>
      </c>
      <c r="N295" s="18">
        <f>IF(OR(B295="",I295=""),"",IF(AND(J295="",TODAY()-I295&gt;=N(Services!$I$7)),"Not seen for "&amp;(TODAY()-I295)&amp;" days",""))</f>
        <v/>
      </c>
      <c r="O295" s="1">
        <f>IF(N(E295)=0,"",MONTH(E295))</f>
        <v/>
      </c>
    </row>
    <row r="296">
      <c r="A296" s="1" t="n"/>
      <c r="B296" s="35" t="n"/>
      <c r="C296" s="32" t="n"/>
      <c r="D296" s="32" t="n"/>
      <c r="E296" s="36" t="n"/>
      <c r="F296" s="30" t="n"/>
      <c r="G296" s="32" t="n"/>
      <c r="H296" s="26">
        <f>IF(B296="","",COUNTIFS(Appointments!$D$6:$D$2005,B296,Appointments!$F$6:$F$2005,"Done"))</f>
        <v/>
      </c>
      <c r="I296" s="37">
        <f>IF(OR(B296="",N(H296)=0),"",INT(SUMIFS(Appointments!$M$6:$M$2005,Appointments!$D$6:$D$2005,B296,Appointments!$N$6:$N$2005,1)))</f>
        <v/>
      </c>
      <c r="J296" s="37">
        <f>IF(B296="","",IF(SUMIFS(Appointments!$M$6:$M$2005,Appointments!$D$6:$D$2005,B296,Appointments!$O$6:$O$2005,1)=0,"",INT(SUMIFS(Appointments!$M$6:$M$2005,Appointments!$D$6:$D$2005,B296,Appointments!$O$6:$O$2005,1))))</f>
        <v/>
      </c>
      <c r="K296" s="27">
        <f>IF(B296="","",SUMIFS(Appointments!$I$6:$I$2005,Appointments!$D$6:$D$2005,B296)+SUMIFS(Packages!$F$6:$F$305,Packages!$C$6:$C$305,B296))</f>
        <v/>
      </c>
      <c r="L296" s="28">
        <f>IF(B296="","",IF(SUMIFS(Appointments!$K$6:$K$2005,Appointments!$D$6:$D$2005,B296)=0,"",SUMIFS(Appointments!$K$6:$K$2005,Appointments!$D$6:$D$2005,B296)))</f>
        <v/>
      </c>
      <c r="M296" s="38">
        <f>IF(OR(B296="",SUMIFS(Packages!$E$6:$E$305,Packages!$C$6:$C$305,B296)=0),"",SUMIFS(Packages!$E$6:$E$305,Packages!$C$6:$C$305,B296)-COUNTIFS(Appointments!$D$6:$D$2005,B296,Appointments!$J$6:$J$2005,"Package",Appointments!$F$6:$F$2005,"Done")+IF(Services!$I$6="Yes",COUNTIFS(Appointments!$D$6:$D$2005,B296,Appointments!$J$6:$J$2005,"Package",Appointments!$F$6:$F$2005,"No-show"),0))</f>
        <v/>
      </c>
      <c r="N296" s="18">
        <f>IF(OR(B296="",I296=""),"",IF(AND(J296="",TODAY()-I296&gt;=N(Services!$I$7)),"Not seen for "&amp;(TODAY()-I296)&amp;" days",""))</f>
        <v/>
      </c>
      <c r="O296" s="1">
        <f>IF(N(E296)=0,"",MONTH(E296))</f>
        <v/>
      </c>
    </row>
    <row r="297">
      <c r="A297" s="1" t="n"/>
      <c r="B297" s="35" t="n"/>
      <c r="C297" s="32" t="n"/>
      <c r="D297" s="32" t="n"/>
      <c r="E297" s="36" t="n"/>
      <c r="F297" s="30" t="n"/>
      <c r="G297" s="32" t="n"/>
      <c r="H297" s="26">
        <f>IF(B297="","",COUNTIFS(Appointments!$D$6:$D$2005,B297,Appointments!$F$6:$F$2005,"Done"))</f>
        <v/>
      </c>
      <c r="I297" s="37">
        <f>IF(OR(B297="",N(H297)=0),"",INT(SUMIFS(Appointments!$M$6:$M$2005,Appointments!$D$6:$D$2005,B297,Appointments!$N$6:$N$2005,1)))</f>
        <v/>
      </c>
      <c r="J297" s="37">
        <f>IF(B297="","",IF(SUMIFS(Appointments!$M$6:$M$2005,Appointments!$D$6:$D$2005,B297,Appointments!$O$6:$O$2005,1)=0,"",INT(SUMIFS(Appointments!$M$6:$M$2005,Appointments!$D$6:$D$2005,B297,Appointments!$O$6:$O$2005,1))))</f>
        <v/>
      </c>
      <c r="K297" s="27">
        <f>IF(B297="","",SUMIFS(Appointments!$I$6:$I$2005,Appointments!$D$6:$D$2005,B297)+SUMIFS(Packages!$F$6:$F$305,Packages!$C$6:$C$305,B297))</f>
        <v/>
      </c>
      <c r="L297" s="28">
        <f>IF(B297="","",IF(SUMIFS(Appointments!$K$6:$K$2005,Appointments!$D$6:$D$2005,B297)=0,"",SUMIFS(Appointments!$K$6:$K$2005,Appointments!$D$6:$D$2005,B297)))</f>
        <v/>
      </c>
      <c r="M297" s="38">
        <f>IF(OR(B297="",SUMIFS(Packages!$E$6:$E$305,Packages!$C$6:$C$305,B297)=0),"",SUMIFS(Packages!$E$6:$E$305,Packages!$C$6:$C$305,B297)-COUNTIFS(Appointments!$D$6:$D$2005,B297,Appointments!$J$6:$J$2005,"Package",Appointments!$F$6:$F$2005,"Done")+IF(Services!$I$6="Yes",COUNTIFS(Appointments!$D$6:$D$2005,B297,Appointments!$J$6:$J$2005,"Package",Appointments!$F$6:$F$2005,"No-show"),0))</f>
        <v/>
      </c>
      <c r="N297" s="18">
        <f>IF(OR(B297="",I297=""),"",IF(AND(J297="",TODAY()-I297&gt;=N(Services!$I$7)),"Not seen for "&amp;(TODAY()-I297)&amp;" days",""))</f>
        <v/>
      </c>
      <c r="O297" s="1">
        <f>IF(N(E297)=0,"",MONTH(E297))</f>
        <v/>
      </c>
    </row>
    <row r="298">
      <c r="A298" s="1" t="n"/>
      <c r="B298" s="35" t="n"/>
      <c r="C298" s="32" t="n"/>
      <c r="D298" s="32" t="n"/>
      <c r="E298" s="36" t="n"/>
      <c r="F298" s="30" t="n"/>
      <c r="G298" s="32" t="n"/>
      <c r="H298" s="26">
        <f>IF(B298="","",COUNTIFS(Appointments!$D$6:$D$2005,B298,Appointments!$F$6:$F$2005,"Done"))</f>
        <v/>
      </c>
      <c r="I298" s="37">
        <f>IF(OR(B298="",N(H298)=0),"",INT(SUMIFS(Appointments!$M$6:$M$2005,Appointments!$D$6:$D$2005,B298,Appointments!$N$6:$N$2005,1)))</f>
        <v/>
      </c>
      <c r="J298" s="37">
        <f>IF(B298="","",IF(SUMIFS(Appointments!$M$6:$M$2005,Appointments!$D$6:$D$2005,B298,Appointments!$O$6:$O$2005,1)=0,"",INT(SUMIFS(Appointments!$M$6:$M$2005,Appointments!$D$6:$D$2005,B298,Appointments!$O$6:$O$2005,1))))</f>
        <v/>
      </c>
      <c r="K298" s="27">
        <f>IF(B298="","",SUMIFS(Appointments!$I$6:$I$2005,Appointments!$D$6:$D$2005,B298)+SUMIFS(Packages!$F$6:$F$305,Packages!$C$6:$C$305,B298))</f>
        <v/>
      </c>
      <c r="L298" s="28">
        <f>IF(B298="","",IF(SUMIFS(Appointments!$K$6:$K$2005,Appointments!$D$6:$D$2005,B298)=0,"",SUMIFS(Appointments!$K$6:$K$2005,Appointments!$D$6:$D$2005,B298)))</f>
        <v/>
      </c>
      <c r="M298" s="38">
        <f>IF(OR(B298="",SUMIFS(Packages!$E$6:$E$305,Packages!$C$6:$C$305,B298)=0),"",SUMIFS(Packages!$E$6:$E$305,Packages!$C$6:$C$305,B298)-COUNTIFS(Appointments!$D$6:$D$2005,B298,Appointments!$J$6:$J$2005,"Package",Appointments!$F$6:$F$2005,"Done")+IF(Services!$I$6="Yes",COUNTIFS(Appointments!$D$6:$D$2005,B298,Appointments!$J$6:$J$2005,"Package",Appointments!$F$6:$F$2005,"No-show"),0))</f>
        <v/>
      </c>
      <c r="N298" s="18">
        <f>IF(OR(B298="",I298=""),"",IF(AND(J298="",TODAY()-I298&gt;=N(Services!$I$7)),"Not seen for "&amp;(TODAY()-I298)&amp;" days",""))</f>
        <v/>
      </c>
      <c r="O298" s="1">
        <f>IF(N(E298)=0,"",MONTH(E298))</f>
        <v/>
      </c>
    </row>
    <row r="299">
      <c r="A299" s="1" t="n"/>
      <c r="B299" s="35" t="n"/>
      <c r="C299" s="32" t="n"/>
      <c r="D299" s="32" t="n"/>
      <c r="E299" s="36" t="n"/>
      <c r="F299" s="30" t="n"/>
      <c r="G299" s="32" t="n"/>
      <c r="H299" s="26">
        <f>IF(B299="","",COUNTIFS(Appointments!$D$6:$D$2005,B299,Appointments!$F$6:$F$2005,"Done"))</f>
        <v/>
      </c>
      <c r="I299" s="37">
        <f>IF(OR(B299="",N(H299)=0),"",INT(SUMIFS(Appointments!$M$6:$M$2005,Appointments!$D$6:$D$2005,B299,Appointments!$N$6:$N$2005,1)))</f>
        <v/>
      </c>
      <c r="J299" s="37">
        <f>IF(B299="","",IF(SUMIFS(Appointments!$M$6:$M$2005,Appointments!$D$6:$D$2005,B299,Appointments!$O$6:$O$2005,1)=0,"",INT(SUMIFS(Appointments!$M$6:$M$2005,Appointments!$D$6:$D$2005,B299,Appointments!$O$6:$O$2005,1))))</f>
        <v/>
      </c>
      <c r="K299" s="27">
        <f>IF(B299="","",SUMIFS(Appointments!$I$6:$I$2005,Appointments!$D$6:$D$2005,B299)+SUMIFS(Packages!$F$6:$F$305,Packages!$C$6:$C$305,B299))</f>
        <v/>
      </c>
      <c r="L299" s="28">
        <f>IF(B299="","",IF(SUMIFS(Appointments!$K$6:$K$2005,Appointments!$D$6:$D$2005,B299)=0,"",SUMIFS(Appointments!$K$6:$K$2005,Appointments!$D$6:$D$2005,B299)))</f>
        <v/>
      </c>
      <c r="M299" s="38">
        <f>IF(OR(B299="",SUMIFS(Packages!$E$6:$E$305,Packages!$C$6:$C$305,B299)=0),"",SUMIFS(Packages!$E$6:$E$305,Packages!$C$6:$C$305,B299)-COUNTIFS(Appointments!$D$6:$D$2005,B299,Appointments!$J$6:$J$2005,"Package",Appointments!$F$6:$F$2005,"Done")+IF(Services!$I$6="Yes",COUNTIFS(Appointments!$D$6:$D$2005,B299,Appointments!$J$6:$J$2005,"Package",Appointments!$F$6:$F$2005,"No-show"),0))</f>
        <v/>
      </c>
      <c r="N299" s="18">
        <f>IF(OR(B299="",I299=""),"",IF(AND(J299="",TODAY()-I299&gt;=N(Services!$I$7)),"Not seen for "&amp;(TODAY()-I299)&amp;" days",""))</f>
        <v/>
      </c>
      <c r="O299" s="1">
        <f>IF(N(E299)=0,"",MONTH(E299))</f>
        <v/>
      </c>
    </row>
    <row r="300">
      <c r="A300" s="1" t="n"/>
      <c r="B300" s="35" t="n"/>
      <c r="C300" s="32" t="n"/>
      <c r="D300" s="32" t="n"/>
      <c r="E300" s="36" t="n"/>
      <c r="F300" s="30" t="n"/>
      <c r="G300" s="32" t="n"/>
      <c r="H300" s="26">
        <f>IF(B300="","",COUNTIFS(Appointments!$D$6:$D$2005,B300,Appointments!$F$6:$F$2005,"Done"))</f>
        <v/>
      </c>
      <c r="I300" s="37">
        <f>IF(OR(B300="",N(H300)=0),"",INT(SUMIFS(Appointments!$M$6:$M$2005,Appointments!$D$6:$D$2005,B300,Appointments!$N$6:$N$2005,1)))</f>
        <v/>
      </c>
      <c r="J300" s="37">
        <f>IF(B300="","",IF(SUMIFS(Appointments!$M$6:$M$2005,Appointments!$D$6:$D$2005,B300,Appointments!$O$6:$O$2005,1)=0,"",INT(SUMIFS(Appointments!$M$6:$M$2005,Appointments!$D$6:$D$2005,B300,Appointments!$O$6:$O$2005,1))))</f>
        <v/>
      </c>
      <c r="K300" s="27">
        <f>IF(B300="","",SUMIFS(Appointments!$I$6:$I$2005,Appointments!$D$6:$D$2005,B300)+SUMIFS(Packages!$F$6:$F$305,Packages!$C$6:$C$305,B300))</f>
        <v/>
      </c>
      <c r="L300" s="28">
        <f>IF(B300="","",IF(SUMIFS(Appointments!$K$6:$K$2005,Appointments!$D$6:$D$2005,B300)=0,"",SUMIFS(Appointments!$K$6:$K$2005,Appointments!$D$6:$D$2005,B300)))</f>
        <v/>
      </c>
      <c r="M300" s="38">
        <f>IF(OR(B300="",SUMIFS(Packages!$E$6:$E$305,Packages!$C$6:$C$305,B300)=0),"",SUMIFS(Packages!$E$6:$E$305,Packages!$C$6:$C$305,B300)-COUNTIFS(Appointments!$D$6:$D$2005,B300,Appointments!$J$6:$J$2005,"Package",Appointments!$F$6:$F$2005,"Done")+IF(Services!$I$6="Yes",COUNTIFS(Appointments!$D$6:$D$2005,B300,Appointments!$J$6:$J$2005,"Package",Appointments!$F$6:$F$2005,"No-show"),0))</f>
        <v/>
      </c>
      <c r="N300" s="18">
        <f>IF(OR(B300="",I300=""),"",IF(AND(J300="",TODAY()-I300&gt;=N(Services!$I$7)),"Not seen for "&amp;(TODAY()-I300)&amp;" days",""))</f>
        <v/>
      </c>
      <c r="O300" s="1">
        <f>IF(N(E300)=0,"",MONTH(E300))</f>
        <v/>
      </c>
    </row>
    <row r="301">
      <c r="A301" s="1" t="n"/>
      <c r="B301" s="35" t="n"/>
      <c r="C301" s="32" t="n"/>
      <c r="D301" s="32" t="n"/>
      <c r="E301" s="36" t="n"/>
      <c r="F301" s="30" t="n"/>
      <c r="G301" s="32" t="n"/>
      <c r="H301" s="26">
        <f>IF(B301="","",COUNTIFS(Appointments!$D$6:$D$2005,B301,Appointments!$F$6:$F$2005,"Done"))</f>
        <v/>
      </c>
      <c r="I301" s="37">
        <f>IF(OR(B301="",N(H301)=0),"",INT(SUMIFS(Appointments!$M$6:$M$2005,Appointments!$D$6:$D$2005,B301,Appointments!$N$6:$N$2005,1)))</f>
        <v/>
      </c>
      <c r="J301" s="37">
        <f>IF(B301="","",IF(SUMIFS(Appointments!$M$6:$M$2005,Appointments!$D$6:$D$2005,B301,Appointments!$O$6:$O$2005,1)=0,"",INT(SUMIFS(Appointments!$M$6:$M$2005,Appointments!$D$6:$D$2005,B301,Appointments!$O$6:$O$2005,1))))</f>
        <v/>
      </c>
      <c r="K301" s="27">
        <f>IF(B301="","",SUMIFS(Appointments!$I$6:$I$2005,Appointments!$D$6:$D$2005,B301)+SUMIFS(Packages!$F$6:$F$305,Packages!$C$6:$C$305,B301))</f>
        <v/>
      </c>
      <c r="L301" s="28">
        <f>IF(B301="","",IF(SUMIFS(Appointments!$K$6:$K$2005,Appointments!$D$6:$D$2005,B301)=0,"",SUMIFS(Appointments!$K$6:$K$2005,Appointments!$D$6:$D$2005,B301)))</f>
        <v/>
      </c>
      <c r="M301" s="38">
        <f>IF(OR(B301="",SUMIFS(Packages!$E$6:$E$305,Packages!$C$6:$C$305,B301)=0),"",SUMIFS(Packages!$E$6:$E$305,Packages!$C$6:$C$305,B301)-COUNTIFS(Appointments!$D$6:$D$2005,B301,Appointments!$J$6:$J$2005,"Package",Appointments!$F$6:$F$2005,"Done")+IF(Services!$I$6="Yes",COUNTIFS(Appointments!$D$6:$D$2005,B301,Appointments!$J$6:$J$2005,"Package",Appointments!$F$6:$F$2005,"No-show"),0))</f>
        <v/>
      </c>
      <c r="N301" s="18">
        <f>IF(OR(B301="",I301=""),"",IF(AND(J301="",TODAY()-I301&gt;=N(Services!$I$7)),"Not seen for "&amp;(TODAY()-I301)&amp;" days",""))</f>
        <v/>
      </c>
      <c r="O301" s="1">
        <f>IF(N(E301)=0,"",MONTH(E301))</f>
        <v/>
      </c>
    </row>
    <row r="302">
      <c r="A302" s="1" t="n"/>
      <c r="B302" s="35" t="n"/>
      <c r="C302" s="32" t="n"/>
      <c r="D302" s="32" t="n"/>
      <c r="E302" s="36" t="n"/>
      <c r="F302" s="30" t="n"/>
      <c r="G302" s="32" t="n"/>
      <c r="H302" s="26">
        <f>IF(B302="","",COUNTIFS(Appointments!$D$6:$D$2005,B302,Appointments!$F$6:$F$2005,"Done"))</f>
        <v/>
      </c>
      <c r="I302" s="37">
        <f>IF(OR(B302="",N(H302)=0),"",INT(SUMIFS(Appointments!$M$6:$M$2005,Appointments!$D$6:$D$2005,B302,Appointments!$N$6:$N$2005,1)))</f>
        <v/>
      </c>
      <c r="J302" s="37">
        <f>IF(B302="","",IF(SUMIFS(Appointments!$M$6:$M$2005,Appointments!$D$6:$D$2005,B302,Appointments!$O$6:$O$2005,1)=0,"",INT(SUMIFS(Appointments!$M$6:$M$2005,Appointments!$D$6:$D$2005,B302,Appointments!$O$6:$O$2005,1))))</f>
        <v/>
      </c>
      <c r="K302" s="27">
        <f>IF(B302="","",SUMIFS(Appointments!$I$6:$I$2005,Appointments!$D$6:$D$2005,B302)+SUMIFS(Packages!$F$6:$F$305,Packages!$C$6:$C$305,B302))</f>
        <v/>
      </c>
      <c r="L302" s="28">
        <f>IF(B302="","",IF(SUMIFS(Appointments!$K$6:$K$2005,Appointments!$D$6:$D$2005,B302)=0,"",SUMIFS(Appointments!$K$6:$K$2005,Appointments!$D$6:$D$2005,B302)))</f>
        <v/>
      </c>
      <c r="M302" s="38">
        <f>IF(OR(B302="",SUMIFS(Packages!$E$6:$E$305,Packages!$C$6:$C$305,B302)=0),"",SUMIFS(Packages!$E$6:$E$305,Packages!$C$6:$C$305,B302)-COUNTIFS(Appointments!$D$6:$D$2005,B302,Appointments!$J$6:$J$2005,"Package",Appointments!$F$6:$F$2005,"Done")+IF(Services!$I$6="Yes",COUNTIFS(Appointments!$D$6:$D$2005,B302,Appointments!$J$6:$J$2005,"Package",Appointments!$F$6:$F$2005,"No-show"),0))</f>
        <v/>
      </c>
      <c r="N302" s="18">
        <f>IF(OR(B302="",I302=""),"",IF(AND(J302="",TODAY()-I302&gt;=N(Services!$I$7)),"Not seen for "&amp;(TODAY()-I302)&amp;" days",""))</f>
        <v/>
      </c>
      <c r="O302" s="1">
        <f>IF(N(E302)=0,"",MONTH(E302))</f>
        <v/>
      </c>
    </row>
    <row r="303">
      <c r="A303" s="1" t="n"/>
      <c r="B303" s="35" t="n"/>
      <c r="C303" s="32" t="n"/>
      <c r="D303" s="32" t="n"/>
      <c r="E303" s="36" t="n"/>
      <c r="F303" s="30" t="n"/>
      <c r="G303" s="32" t="n"/>
      <c r="H303" s="26">
        <f>IF(B303="","",COUNTIFS(Appointments!$D$6:$D$2005,B303,Appointments!$F$6:$F$2005,"Done"))</f>
        <v/>
      </c>
      <c r="I303" s="37">
        <f>IF(OR(B303="",N(H303)=0),"",INT(SUMIFS(Appointments!$M$6:$M$2005,Appointments!$D$6:$D$2005,B303,Appointments!$N$6:$N$2005,1)))</f>
        <v/>
      </c>
      <c r="J303" s="37">
        <f>IF(B303="","",IF(SUMIFS(Appointments!$M$6:$M$2005,Appointments!$D$6:$D$2005,B303,Appointments!$O$6:$O$2005,1)=0,"",INT(SUMIFS(Appointments!$M$6:$M$2005,Appointments!$D$6:$D$2005,B303,Appointments!$O$6:$O$2005,1))))</f>
        <v/>
      </c>
      <c r="K303" s="27">
        <f>IF(B303="","",SUMIFS(Appointments!$I$6:$I$2005,Appointments!$D$6:$D$2005,B303)+SUMIFS(Packages!$F$6:$F$305,Packages!$C$6:$C$305,B303))</f>
        <v/>
      </c>
      <c r="L303" s="28">
        <f>IF(B303="","",IF(SUMIFS(Appointments!$K$6:$K$2005,Appointments!$D$6:$D$2005,B303)=0,"",SUMIFS(Appointments!$K$6:$K$2005,Appointments!$D$6:$D$2005,B303)))</f>
        <v/>
      </c>
      <c r="M303" s="38">
        <f>IF(OR(B303="",SUMIFS(Packages!$E$6:$E$305,Packages!$C$6:$C$305,B303)=0),"",SUMIFS(Packages!$E$6:$E$305,Packages!$C$6:$C$305,B303)-COUNTIFS(Appointments!$D$6:$D$2005,B303,Appointments!$J$6:$J$2005,"Package",Appointments!$F$6:$F$2005,"Done")+IF(Services!$I$6="Yes",COUNTIFS(Appointments!$D$6:$D$2005,B303,Appointments!$J$6:$J$2005,"Package",Appointments!$F$6:$F$2005,"No-show"),0))</f>
        <v/>
      </c>
      <c r="N303" s="18">
        <f>IF(OR(B303="",I303=""),"",IF(AND(J303="",TODAY()-I303&gt;=N(Services!$I$7)),"Not seen for "&amp;(TODAY()-I303)&amp;" days",""))</f>
        <v/>
      </c>
      <c r="O303" s="1">
        <f>IF(N(E303)=0,"",MONTH(E303))</f>
        <v/>
      </c>
    </row>
    <row r="304">
      <c r="A304" s="1" t="n"/>
      <c r="B304" s="35" t="n"/>
      <c r="C304" s="32" t="n"/>
      <c r="D304" s="32" t="n"/>
      <c r="E304" s="36" t="n"/>
      <c r="F304" s="30" t="n"/>
      <c r="G304" s="32" t="n"/>
      <c r="H304" s="26">
        <f>IF(B304="","",COUNTIFS(Appointments!$D$6:$D$2005,B304,Appointments!$F$6:$F$2005,"Done"))</f>
        <v/>
      </c>
      <c r="I304" s="37">
        <f>IF(OR(B304="",N(H304)=0),"",INT(SUMIFS(Appointments!$M$6:$M$2005,Appointments!$D$6:$D$2005,B304,Appointments!$N$6:$N$2005,1)))</f>
        <v/>
      </c>
      <c r="J304" s="37">
        <f>IF(B304="","",IF(SUMIFS(Appointments!$M$6:$M$2005,Appointments!$D$6:$D$2005,B304,Appointments!$O$6:$O$2005,1)=0,"",INT(SUMIFS(Appointments!$M$6:$M$2005,Appointments!$D$6:$D$2005,B304,Appointments!$O$6:$O$2005,1))))</f>
        <v/>
      </c>
      <c r="K304" s="27">
        <f>IF(B304="","",SUMIFS(Appointments!$I$6:$I$2005,Appointments!$D$6:$D$2005,B304)+SUMIFS(Packages!$F$6:$F$305,Packages!$C$6:$C$305,B304))</f>
        <v/>
      </c>
      <c r="L304" s="28">
        <f>IF(B304="","",IF(SUMIFS(Appointments!$K$6:$K$2005,Appointments!$D$6:$D$2005,B304)=0,"",SUMIFS(Appointments!$K$6:$K$2005,Appointments!$D$6:$D$2005,B304)))</f>
        <v/>
      </c>
      <c r="M304" s="38">
        <f>IF(OR(B304="",SUMIFS(Packages!$E$6:$E$305,Packages!$C$6:$C$305,B304)=0),"",SUMIFS(Packages!$E$6:$E$305,Packages!$C$6:$C$305,B304)-COUNTIFS(Appointments!$D$6:$D$2005,B304,Appointments!$J$6:$J$2005,"Package",Appointments!$F$6:$F$2005,"Done")+IF(Services!$I$6="Yes",COUNTIFS(Appointments!$D$6:$D$2005,B304,Appointments!$J$6:$J$2005,"Package",Appointments!$F$6:$F$2005,"No-show"),0))</f>
        <v/>
      </c>
      <c r="N304" s="18">
        <f>IF(OR(B304="",I304=""),"",IF(AND(J304="",TODAY()-I304&gt;=N(Services!$I$7)),"Not seen for "&amp;(TODAY()-I304)&amp;" days",""))</f>
        <v/>
      </c>
      <c r="O304" s="1">
        <f>IF(N(E304)=0,"",MONTH(E304))</f>
        <v/>
      </c>
    </row>
    <row r="305">
      <c r="A305" s="1" t="n"/>
      <c r="B305" s="35" t="n"/>
      <c r="C305" s="32" t="n"/>
      <c r="D305" s="32" t="n"/>
      <c r="E305" s="36" t="n"/>
      <c r="F305" s="30" t="n"/>
      <c r="G305" s="32" t="n"/>
      <c r="H305" s="26">
        <f>IF(B305="","",COUNTIFS(Appointments!$D$6:$D$2005,B305,Appointments!$F$6:$F$2005,"Done"))</f>
        <v/>
      </c>
      <c r="I305" s="37">
        <f>IF(OR(B305="",N(H305)=0),"",INT(SUMIFS(Appointments!$M$6:$M$2005,Appointments!$D$6:$D$2005,B305,Appointments!$N$6:$N$2005,1)))</f>
        <v/>
      </c>
      <c r="J305" s="37">
        <f>IF(B305="","",IF(SUMIFS(Appointments!$M$6:$M$2005,Appointments!$D$6:$D$2005,B305,Appointments!$O$6:$O$2005,1)=0,"",INT(SUMIFS(Appointments!$M$6:$M$2005,Appointments!$D$6:$D$2005,B305,Appointments!$O$6:$O$2005,1))))</f>
        <v/>
      </c>
      <c r="K305" s="27">
        <f>IF(B305="","",SUMIFS(Appointments!$I$6:$I$2005,Appointments!$D$6:$D$2005,B305)+SUMIFS(Packages!$F$6:$F$305,Packages!$C$6:$C$305,B305))</f>
        <v/>
      </c>
      <c r="L305" s="28">
        <f>IF(B305="","",IF(SUMIFS(Appointments!$K$6:$K$2005,Appointments!$D$6:$D$2005,B305)=0,"",SUMIFS(Appointments!$K$6:$K$2005,Appointments!$D$6:$D$2005,B305)))</f>
        <v/>
      </c>
      <c r="M305" s="38">
        <f>IF(OR(B305="",SUMIFS(Packages!$E$6:$E$305,Packages!$C$6:$C$305,B305)=0),"",SUMIFS(Packages!$E$6:$E$305,Packages!$C$6:$C$305,B305)-COUNTIFS(Appointments!$D$6:$D$2005,B305,Appointments!$J$6:$J$2005,"Package",Appointments!$F$6:$F$2005,"Done")+IF(Services!$I$6="Yes",COUNTIFS(Appointments!$D$6:$D$2005,B305,Appointments!$J$6:$J$2005,"Package",Appointments!$F$6:$F$2005,"No-show"),0))</f>
        <v/>
      </c>
      <c r="N305" s="18">
        <f>IF(OR(B305="",I305=""),"",IF(AND(J305="",TODAY()-I305&gt;=N(Services!$I$7)),"Not seen for "&amp;(TODAY()-I305)&amp;" days",""))</f>
        <v/>
      </c>
      <c r="O305" s="1">
        <f>IF(N(E305)=0,"",MONTH(E305))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</sheetData>
  <conditionalFormatting sqref="L6:L305">
    <cfRule type="expression" priority="1" dxfId="6">
      <formula>N($L6)&gt;0</formula>
    </cfRule>
  </conditionalFormatting>
  <conditionalFormatting sqref="M6:M305">
    <cfRule type="expression" priority="2" dxfId="7">
      <formula>AND($M6&lt;&gt;"",N($M6)&lt;=1)</formula>
    </cfRule>
  </conditionalFormatting>
  <conditionalFormatting sqref="N6:N305">
    <cfRule type="expression" priority="3" dxfId="3">
      <formula>$N6&lt;&gt;""</formula>
    </cfRule>
  </conditionalFormatting>
  <conditionalFormatting sqref="E6:E305">
    <cfRule type="expression" priority="4" dxfId="8">
      <formula>AND(N($E6)&gt;0,$O6=MONTH(TODAY()))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28" customWidth="1" min="4" max="4"/>
    <col width="10" customWidth="1" min="5" max="5"/>
    <col width="11" customWidth="1" min="6" max="6"/>
    <col width="11" customWidth="1" min="7" max="7"/>
    <col width="12" customWidth="1" min="8" max="8"/>
    <col width="2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Packages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Prepaid sessions. Each appointment paid with Package uses one.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2" t="inlineStr">
        <is>
          <t>Date bought</t>
        </is>
      </c>
      <c r="C5" s="12" t="inlineStr">
        <is>
          <t>Client</t>
        </is>
      </c>
      <c r="D5" s="12" t="inlineStr">
        <is>
          <t>Package</t>
        </is>
      </c>
      <c r="E5" s="12" t="inlineStr">
        <is>
          <t>Sessions</t>
        </is>
      </c>
      <c r="F5" s="12" t="inlineStr">
        <is>
          <t>Price paid</t>
        </is>
      </c>
      <c r="G5" s="12" t="inlineStr">
        <is>
          <t>Paid with</t>
        </is>
      </c>
      <c r="H5" s="12" t="inlineStr">
        <is>
          <t>Client has left</t>
        </is>
      </c>
      <c r="I5" s="12" t="inlineStr">
        <is>
          <t>Note</t>
        </is>
      </c>
      <c r="J5" s="1" t="n"/>
    </row>
    <row r="6">
      <c r="A6" s="1" t="n"/>
      <c r="B6" s="30" t="n">
        <v>46172</v>
      </c>
      <c r="C6" s="32" t="inlineStr">
        <is>
          <t>Maya Patel</t>
        </is>
      </c>
      <c r="D6" s="32" t="inlineStr">
        <is>
          <t>Treatment card, 4 sessions</t>
        </is>
      </c>
      <c r="E6" s="39" t="n">
        <v>4</v>
      </c>
      <c r="F6" s="34" t="n">
        <v>100</v>
      </c>
      <c r="G6" s="33" t="inlineStr">
        <is>
          <t>Card</t>
        </is>
      </c>
      <c r="H6" s="38">
        <f>IF(C6="","",IFERROR(INDEX(Clients!$M$6:$M$305,MATCH(C6,Clients!$B$6:$B$305,0)),""))</f>
        <v/>
      </c>
      <c r="I6" s="32" t="n"/>
      <c r="J6" s="1" t="n"/>
    </row>
    <row r="7">
      <c r="A7" s="1" t="n"/>
      <c r="B7" s="30" t="n">
        <v>46221</v>
      </c>
      <c r="C7" s="32" t="inlineStr">
        <is>
          <t>Emma Johnson</t>
        </is>
      </c>
      <c r="D7" s="32" t="inlineStr">
        <is>
          <t>Blow dry card, 5 sessions</t>
        </is>
      </c>
      <c r="E7" s="39" t="n">
        <v>5</v>
      </c>
      <c r="F7" s="34" t="n">
        <v>150</v>
      </c>
      <c r="G7" s="33" t="inlineStr">
        <is>
          <t>Transfer</t>
        </is>
      </c>
      <c r="H7" s="38">
        <f>IF(C7="","",IFERROR(INDEX(Clients!$M$6:$M$305,MATCH(C7,Clients!$B$6:$B$305,0)),""))</f>
        <v/>
      </c>
      <c r="I7" s="32" t="n"/>
      <c r="J7" s="1" t="n"/>
    </row>
    <row r="8">
      <c r="A8" s="1" t="n"/>
      <c r="B8" s="30" t="n">
        <v>46266</v>
      </c>
      <c r="C8" s="32" t="inlineStr">
        <is>
          <t>Chloe Martin</t>
        </is>
      </c>
      <c r="D8" s="32" t="inlineStr">
        <is>
          <t>Blow dry card, 5 sessions</t>
        </is>
      </c>
      <c r="E8" s="39" t="n">
        <v>5</v>
      </c>
      <c r="F8" s="34" t="n">
        <v>150</v>
      </c>
      <c r="G8" s="33" t="inlineStr">
        <is>
          <t>Card</t>
        </is>
      </c>
      <c r="H8" s="38">
        <f>IF(C8="","",IFERROR(INDEX(Clients!$M$6:$M$305,MATCH(C8,Clients!$B$6:$B$305,0)),""))</f>
        <v/>
      </c>
      <c r="I8" s="32" t="n"/>
      <c r="J8" s="1" t="n"/>
    </row>
    <row r="9">
      <c r="A9" s="1" t="n"/>
      <c r="B9" s="30" t="n"/>
      <c r="C9" s="32" t="n"/>
      <c r="D9" s="32" t="n"/>
      <c r="E9" s="39" t="n"/>
      <c r="F9" s="34" t="n"/>
      <c r="G9" s="33" t="n"/>
      <c r="H9" s="38">
        <f>IF(C9="","",IFERROR(INDEX(Clients!$M$6:$M$305,MATCH(C9,Clients!$B$6:$B$305,0)),""))</f>
        <v/>
      </c>
      <c r="I9" s="32" t="n"/>
      <c r="J9" s="1" t="n"/>
    </row>
    <row r="10">
      <c r="A10" s="1" t="n"/>
      <c r="B10" s="30" t="n"/>
      <c r="C10" s="32" t="n"/>
      <c r="D10" s="32" t="n"/>
      <c r="E10" s="39" t="n"/>
      <c r="F10" s="34" t="n"/>
      <c r="G10" s="33" t="n"/>
      <c r="H10" s="38">
        <f>IF(C10="","",IFERROR(INDEX(Clients!$M$6:$M$305,MATCH(C10,Clients!$B$6:$B$305,0)),""))</f>
        <v/>
      </c>
      <c r="I10" s="32" t="n"/>
      <c r="J10" s="1" t="n"/>
    </row>
    <row r="11">
      <c r="A11" s="1" t="n"/>
      <c r="B11" s="30" t="n"/>
      <c r="C11" s="32" t="n"/>
      <c r="D11" s="32" t="n"/>
      <c r="E11" s="39" t="n"/>
      <c r="F11" s="34" t="n"/>
      <c r="G11" s="33" t="n"/>
      <c r="H11" s="38">
        <f>IF(C11="","",IFERROR(INDEX(Clients!$M$6:$M$305,MATCH(C11,Clients!$B$6:$B$305,0)),""))</f>
        <v/>
      </c>
      <c r="I11" s="32" t="n"/>
      <c r="J11" s="1" t="n"/>
    </row>
    <row r="12">
      <c r="A12" s="1" t="n"/>
      <c r="B12" s="30" t="n"/>
      <c r="C12" s="32" t="n"/>
      <c r="D12" s="32" t="n"/>
      <c r="E12" s="39" t="n"/>
      <c r="F12" s="34" t="n"/>
      <c r="G12" s="33" t="n"/>
      <c r="H12" s="38">
        <f>IF(C12="","",IFERROR(INDEX(Clients!$M$6:$M$305,MATCH(C12,Clients!$B$6:$B$305,0)),""))</f>
        <v/>
      </c>
      <c r="I12" s="32" t="n"/>
      <c r="J12" s="1" t="n"/>
    </row>
    <row r="13">
      <c r="A13" s="1" t="n"/>
      <c r="B13" s="30" t="n"/>
      <c r="C13" s="32" t="n"/>
      <c r="D13" s="32" t="n"/>
      <c r="E13" s="39" t="n"/>
      <c r="F13" s="34" t="n"/>
      <c r="G13" s="33" t="n"/>
      <c r="H13" s="38">
        <f>IF(C13="","",IFERROR(INDEX(Clients!$M$6:$M$305,MATCH(C13,Clients!$B$6:$B$305,0)),""))</f>
        <v/>
      </c>
      <c r="I13" s="32" t="n"/>
      <c r="J13" s="1" t="n"/>
    </row>
    <row r="14">
      <c r="A14" s="1" t="n"/>
      <c r="B14" s="30" t="n"/>
      <c r="C14" s="32" t="n"/>
      <c r="D14" s="32" t="n"/>
      <c r="E14" s="39" t="n"/>
      <c r="F14" s="34" t="n"/>
      <c r="G14" s="33" t="n"/>
      <c r="H14" s="38">
        <f>IF(C14="","",IFERROR(INDEX(Clients!$M$6:$M$305,MATCH(C14,Clients!$B$6:$B$305,0)),""))</f>
        <v/>
      </c>
      <c r="I14" s="32" t="n"/>
      <c r="J14" s="1" t="n"/>
    </row>
    <row r="15">
      <c r="A15" s="1" t="n"/>
      <c r="B15" s="30" t="n"/>
      <c r="C15" s="32" t="n"/>
      <c r="D15" s="32" t="n"/>
      <c r="E15" s="39" t="n"/>
      <c r="F15" s="34" t="n"/>
      <c r="G15" s="33" t="n"/>
      <c r="H15" s="38">
        <f>IF(C15="","",IFERROR(INDEX(Clients!$M$6:$M$305,MATCH(C15,Clients!$B$6:$B$305,0)),""))</f>
        <v/>
      </c>
      <c r="I15" s="32" t="n"/>
      <c r="J15" s="1" t="n"/>
    </row>
    <row r="16">
      <c r="A16" s="1" t="n"/>
      <c r="B16" s="30" t="n"/>
      <c r="C16" s="32" t="n"/>
      <c r="D16" s="32" t="n"/>
      <c r="E16" s="39" t="n"/>
      <c r="F16" s="34" t="n"/>
      <c r="G16" s="33" t="n"/>
      <c r="H16" s="38">
        <f>IF(C16="","",IFERROR(INDEX(Clients!$M$6:$M$305,MATCH(C16,Clients!$B$6:$B$305,0)),""))</f>
        <v/>
      </c>
      <c r="I16" s="32" t="n"/>
      <c r="J16" s="1" t="n"/>
    </row>
    <row r="17">
      <c r="A17" s="1" t="n"/>
      <c r="B17" s="30" t="n"/>
      <c r="C17" s="32" t="n"/>
      <c r="D17" s="32" t="n"/>
      <c r="E17" s="39" t="n"/>
      <c r="F17" s="34" t="n"/>
      <c r="G17" s="33" t="n"/>
      <c r="H17" s="38">
        <f>IF(C17="","",IFERROR(INDEX(Clients!$M$6:$M$305,MATCH(C17,Clients!$B$6:$B$305,0)),""))</f>
        <v/>
      </c>
      <c r="I17" s="32" t="n"/>
      <c r="J17" s="1" t="n"/>
    </row>
    <row r="18">
      <c r="A18" s="1" t="n"/>
      <c r="B18" s="30" t="n"/>
      <c r="C18" s="32" t="n"/>
      <c r="D18" s="32" t="n"/>
      <c r="E18" s="39" t="n"/>
      <c r="F18" s="34" t="n"/>
      <c r="G18" s="33" t="n"/>
      <c r="H18" s="38">
        <f>IF(C18="","",IFERROR(INDEX(Clients!$M$6:$M$305,MATCH(C18,Clients!$B$6:$B$305,0)),""))</f>
        <v/>
      </c>
      <c r="I18" s="32" t="n"/>
      <c r="J18" s="1" t="n"/>
    </row>
    <row r="19">
      <c r="A19" s="1" t="n"/>
      <c r="B19" s="30" t="n"/>
      <c r="C19" s="32" t="n"/>
      <c r="D19" s="32" t="n"/>
      <c r="E19" s="39" t="n"/>
      <c r="F19" s="34" t="n"/>
      <c r="G19" s="33" t="n"/>
      <c r="H19" s="38">
        <f>IF(C19="","",IFERROR(INDEX(Clients!$M$6:$M$305,MATCH(C19,Clients!$B$6:$B$305,0)),""))</f>
        <v/>
      </c>
      <c r="I19" s="32" t="n"/>
      <c r="J19" s="1" t="n"/>
    </row>
    <row r="20">
      <c r="A20" s="1" t="n"/>
      <c r="B20" s="30" t="n"/>
      <c r="C20" s="32" t="n"/>
      <c r="D20" s="32" t="n"/>
      <c r="E20" s="39" t="n"/>
      <c r="F20" s="34" t="n"/>
      <c r="G20" s="33" t="n"/>
      <c r="H20" s="38">
        <f>IF(C20="","",IFERROR(INDEX(Clients!$M$6:$M$305,MATCH(C20,Clients!$B$6:$B$305,0)),""))</f>
        <v/>
      </c>
      <c r="I20" s="32" t="n"/>
      <c r="J20" s="1" t="n"/>
    </row>
    <row r="21">
      <c r="A21" s="1" t="n"/>
      <c r="B21" s="30" t="n"/>
      <c r="C21" s="32" t="n"/>
      <c r="D21" s="32" t="n"/>
      <c r="E21" s="39" t="n"/>
      <c r="F21" s="34" t="n"/>
      <c r="G21" s="33" t="n"/>
      <c r="H21" s="38">
        <f>IF(C21="","",IFERROR(INDEX(Clients!$M$6:$M$305,MATCH(C21,Clients!$B$6:$B$305,0)),""))</f>
        <v/>
      </c>
      <c r="I21" s="32" t="n"/>
      <c r="J21" s="1" t="n"/>
    </row>
    <row r="22">
      <c r="A22" s="1" t="n"/>
      <c r="B22" s="30" t="n"/>
      <c r="C22" s="32" t="n"/>
      <c r="D22" s="32" t="n"/>
      <c r="E22" s="39" t="n"/>
      <c r="F22" s="34" t="n"/>
      <c r="G22" s="33" t="n"/>
      <c r="H22" s="38">
        <f>IF(C22="","",IFERROR(INDEX(Clients!$M$6:$M$305,MATCH(C22,Clients!$B$6:$B$305,0)),""))</f>
        <v/>
      </c>
      <c r="I22" s="32" t="n"/>
      <c r="J22" s="1" t="n"/>
    </row>
    <row r="23">
      <c r="A23" s="1" t="n"/>
      <c r="B23" s="30" t="n"/>
      <c r="C23" s="32" t="n"/>
      <c r="D23" s="32" t="n"/>
      <c r="E23" s="39" t="n"/>
      <c r="F23" s="34" t="n"/>
      <c r="G23" s="33" t="n"/>
      <c r="H23" s="38">
        <f>IF(C23="","",IFERROR(INDEX(Clients!$M$6:$M$305,MATCH(C23,Clients!$B$6:$B$305,0)),""))</f>
        <v/>
      </c>
      <c r="I23" s="32" t="n"/>
      <c r="J23" s="1" t="n"/>
    </row>
    <row r="24">
      <c r="A24" s="1" t="n"/>
      <c r="B24" s="30" t="n"/>
      <c r="C24" s="32" t="n"/>
      <c r="D24" s="32" t="n"/>
      <c r="E24" s="39" t="n"/>
      <c r="F24" s="34" t="n"/>
      <c r="G24" s="33" t="n"/>
      <c r="H24" s="38">
        <f>IF(C24="","",IFERROR(INDEX(Clients!$M$6:$M$305,MATCH(C24,Clients!$B$6:$B$305,0)),""))</f>
        <v/>
      </c>
      <c r="I24" s="32" t="n"/>
      <c r="J24" s="1" t="n"/>
    </row>
    <row r="25">
      <c r="A25" s="1" t="n"/>
      <c r="B25" s="30" t="n"/>
      <c r="C25" s="32" t="n"/>
      <c r="D25" s="32" t="n"/>
      <c r="E25" s="39" t="n"/>
      <c r="F25" s="34" t="n"/>
      <c r="G25" s="33" t="n"/>
      <c r="H25" s="38">
        <f>IF(C25="","",IFERROR(INDEX(Clients!$M$6:$M$305,MATCH(C25,Clients!$B$6:$B$305,0)),""))</f>
        <v/>
      </c>
      <c r="I25" s="32" t="n"/>
      <c r="J25" s="1" t="n"/>
    </row>
    <row r="26">
      <c r="A26" s="1" t="n"/>
      <c r="B26" s="30" t="n"/>
      <c r="C26" s="32" t="n"/>
      <c r="D26" s="32" t="n"/>
      <c r="E26" s="39" t="n"/>
      <c r="F26" s="34" t="n"/>
      <c r="G26" s="33" t="n"/>
      <c r="H26" s="38">
        <f>IF(C26="","",IFERROR(INDEX(Clients!$M$6:$M$305,MATCH(C26,Clients!$B$6:$B$305,0)),""))</f>
        <v/>
      </c>
      <c r="I26" s="32" t="n"/>
      <c r="J26" s="1" t="n"/>
    </row>
    <row r="27">
      <c r="A27" s="1" t="n"/>
      <c r="B27" s="30" t="n"/>
      <c r="C27" s="32" t="n"/>
      <c r="D27" s="32" t="n"/>
      <c r="E27" s="39" t="n"/>
      <c r="F27" s="34" t="n"/>
      <c r="G27" s="33" t="n"/>
      <c r="H27" s="38">
        <f>IF(C27="","",IFERROR(INDEX(Clients!$M$6:$M$305,MATCH(C27,Clients!$B$6:$B$305,0)),""))</f>
        <v/>
      </c>
      <c r="I27" s="32" t="n"/>
      <c r="J27" s="1" t="n"/>
    </row>
    <row r="28">
      <c r="A28" s="1" t="n"/>
      <c r="B28" s="30" t="n"/>
      <c r="C28" s="32" t="n"/>
      <c r="D28" s="32" t="n"/>
      <c r="E28" s="39" t="n"/>
      <c r="F28" s="34" t="n"/>
      <c r="G28" s="33" t="n"/>
      <c r="H28" s="38">
        <f>IF(C28="","",IFERROR(INDEX(Clients!$M$6:$M$305,MATCH(C28,Clients!$B$6:$B$305,0)),""))</f>
        <v/>
      </c>
      <c r="I28" s="32" t="n"/>
      <c r="J28" s="1" t="n"/>
    </row>
    <row r="29">
      <c r="A29" s="1" t="n"/>
      <c r="B29" s="30" t="n"/>
      <c r="C29" s="32" t="n"/>
      <c r="D29" s="32" t="n"/>
      <c r="E29" s="39" t="n"/>
      <c r="F29" s="34" t="n"/>
      <c r="G29" s="33" t="n"/>
      <c r="H29" s="38">
        <f>IF(C29="","",IFERROR(INDEX(Clients!$M$6:$M$305,MATCH(C29,Clients!$B$6:$B$305,0)),""))</f>
        <v/>
      </c>
      <c r="I29" s="32" t="n"/>
      <c r="J29" s="1" t="n"/>
    </row>
    <row r="30">
      <c r="A30" s="1" t="n"/>
      <c r="B30" s="30" t="n"/>
      <c r="C30" s="32" t="n"/>
      <c r="D30" s="32" t="n"/>
      <c r="E30" s="39" t="n"/>
      <c r="F30" s="34" t="n"/>
      <c r="G30" s="33" t="n"/>
      <c r="H30" s="38">
        <f>IF(C30="","",IFERROR(INDEX(Clients!$M$6:$M$305,MATCH(C30,Clients!$B$6:$B$305,0)),""))</f>
        <v/>
      </c>
      <c r="I30" s="32" t="n"/>
      <c r="J30" s="1" t="n"/>
    </row>
    <row r="31">
      <c r="A31" s="1" t="n"/>
      <c r="B31" s="30" t="n"/>
      <c r="C31" s="32" t="n"/>
      <c r="D31" s="32" t="n"/>
      <c r="E31" s="39" t="n"/>
      <c r="F31" s="34" t="n"/>
      <c r="G31" s="33" t="n"/>
      <c r="H31" s="38">
        <f>IF(C31="","",IFERROR(INDEX(Clients!$M$6:$M$305,MATCH(C31,Clients!$B$6:$B$305,0)),""))</f>
        <v/>
      </c>
      <c r="I31" s="32" t="n"/>
      <c r="J31" s="1" t="n"/>
    </row>
    <row r="32">
      <c r="A32" s="1" t="n"/>
      <c r="B32" s="30" t="n"/>
      <c r="C32" s="32" t="n"/>
      <c r="D32" s="32" t="n"/>
      <c r="E32" s="39" t="n"/>
      <c r="F32" s="34" t="n"/>
      <c r="G32" s="33" t="n"/>
      <c r="H32" s="38">
        <f>IF(C32="","",IFERROR(INDEX(Clients!$M$6:$M$305,MATCH(C32,Clients!$B$6:$B$305,0)),""))</f>
        <v/>
      </c>
      <c r="I32" s="32" t="n"/>
      <c r="J32" s="1" t="n"/>
    </row>
    <row r="33">
      <c r="A33" s="1" t="n"/>
      <c r="B33" s="30" t="n"/>
      <c r="C33" s="32" t="n"/>
      <c r="D33" s="32" t="n"/>
      <c r="E33" s="39" t="n"/>
      <c r="F33" s="34" t="n"/>
      <c r="G33" s="33" t="n"/>
      <c r="H33" s="38">
        <f>IF(C33="","",IFERROR(INDEX(Clients!$M$6:$M$305,MATCH(C33,Clients!$B$6:$B$305,0)),""))</f>
        <v/>
      </c>
      <c r="I33" s="32" t="n"/>
      <c r="J33" s="1" t="n"/>
    </row>
    <row r="34">
      <c r="A34" s="1" t="n"/>
      <c r="B34" s="30" t="n"/>
      <c r="C34" s="32" t="n"/>
      <c r="D34" s="32" t="n"/>
      <c r="E34" s="39" t="n"/>
      <c r="F34" s="34" t="n"/>
      <c r="G34" s="33" t="n"/>
      <c r="H34" s="38">
        <f>IF(C34="","",IFERROR(INDEX(Clients!$M$6:$M$305,MATCH(C34,Clients!$B$6:$B$305,0)),""))</f>
        <v/>
      </c>
      <c r="I34" s="32" t="n"/>
      <c r="J34" s="1" t="n"/>
    </row>
    <row r="35">
      <c r="A35" s="1" t="n"/>
      <c r="B35" s="30" t="n"/>
      <c r="C35" s="32" t="n"/>
      <c r="D35" s="32" t="n"/>
      <c r="E35" s="39" t="n"/>
      <c r="F35" s="34" t="n"/>
      <c r="G35" s="33" t="n"/>
      <c r="H35" s="38">
        <f>IF(C35="","",IFERROR(INDEX(Clients!$M$6:$M$305,MATCH(C35,Clients!$B$6:$B$305,0)),""))</f>
        <v/>
      </c>
      <c r="I35" s="32" t="n"/>
      <c r="J35" s="1" t="n"/>
    </row>
    <row r="36">
      <c r="A36" s="1" t="n"/>
      <c r="B36" s="30" t="n"/>
      <c r="C36" s="32" t="n"/>
      <c r="D36" s="32" t="n"/>
      <c r="E36" s="39" t="n"/>
      <c r="F36" s="34" t="n"/>
      <c r="G36" s="33" t="n"/>
      <c r="H36" s="38">
        <f>IF(C36="","",IFERROR(INDEX(Clients!$M$6:$M$305,MATCH(C36,Clients!$B$6:$B$305,0)),""))</f>
        <v/>
      </c>
      <c r="I36" s="32" t="n"/>
      <c r="J36" s="1" t="n"/>
    </row>
    <row r="37">
      <c r="A37" s="1" t="n"/>
      <c r="B37" s="30" t="n"/>
      <c r="C37" s="32" t="n"/>
      <c r="D37" s="32" t="n"/>
      <c r="E37" s="39" t="n"/>
      <c r="F37" s="34" t="n"/>
      <c r="G37" s="33" t="n"/>
      <c r="H37" s="38">
        <f>IF(C37="","",IFERROR(INDEX(Clients!$M$6:$M$305,MATCH(C37,Clients!$B$6:$B$305,0)),""))</f>
        <v/>
      </c>
      <c r="I37" s="32" t="n"/>
      <c r="J37" s="1" t="n"/>
    </row>
    <row r="38">
      <c r="A38" s="1" t="n"/>
      <c r="B38" s="30" t="n"/>
      <c r="C38" s="32" t="n"/>
      <c r="D38" s="32" t="n"/>
      <c r="E38" s="39" t="n"/>
      <c r="F38" s="34" t="n"/>
      <c r="G38" s="33" t="n"/>
      <c r="H38" s="38">
        <f>IF(C38="","",IFERROR(INDEX(Clients!$M$6:$M$305,MATCH(C38,Clients!$B$6:$B$305,0)),""))</f>
        <v/>
      </c>
      <c r="I38" s="32" t="n"/>
      <c r="J38" s="1" t="n"/>
    </row>
    <row r="39">
      <c r="A39" s="1" t="n"/>
      <c r="B39" s="30" t="n"/>
      <c r="C39" s="32" t="n"/>
      <c r="D39" s="32" t="n"/>
      <c r="E39" s="39" t="n"/>
      <c r="F39" s="34" t="n"/>
      <c r="G39" s="33" t="n"/>
      <c r="H39" s="38">
        <f>IF(C39="","",IFERROR(INDEX(Clients!$M$6:$M$305,MATCH(C39,Clients!$B$6:$B$305,0)),""))</f>
        <v/>
      </c>
      <c r="I39" s="32" t="n"/>
      <c r="J39" s="1" t="n"/>
    </row>
    <row r="40">
      <c r="A40" s="1" t="n"/>
      <c r="B40" s="30" t="n"/>
      <c r="C40" s="32" t="n"/>
      <c r="D40" s="32" t="n"/>
      <c r="E40" s="39" t="n"/>
      <c r="F40" s="34" t="n"/>
      <c r="G40" s="33" t="n"/>
      <c r="H40" s="38">
        <f>IF(C40="","",IFERROR(INDEX(Clients!$M$6:$M$305,MATCH(C40,Clients!$B$6:$B$305,0)),""))</f>
        <v/>
      </c>
      <c r="I40" s="32" t="n"/>
      <c r="J40" s="1" t="n"/>
    </row>
    <row r="41">
      <c r="A41" s="1" t="n"/>
      <c r="B41" s="30" t="n"/>
      <c r="C41" s="32" t="n"/>
      <c r="D41" s="32" t="n"/>
      <c r="E41" s="39" t="n"/>
      <c r="F41" s="34" t="n"/>
      <c r="G41" s="33" t="n"/>
      <c r="H41" s="38">
        <f>IF(C41="","",IFERROR(INDEX(Clients!$M$6:$M$305,MATCH(C41,Clients!$B$6:$B$305,0)),""))</f>
        <v/>
      </c>
      <c r="I41" s="32" t="n"/>
      <c r="J41" s="1" t="n"/>
    </row>
    <row r="42">
      <c r="A42" s="1" t="n"/>
      <c r="B42" s="30" t="n"/>
      <c r="C42" s="32" t="n"/>
      <c r="D42" s="32" t="n"/>
      <c r="E42" s="39" t="n"/>
      <c r="F42" s="34" t="n"/>
      <c r="G42" s="33" t="n"/>
      <c r="H42" s="38">
        <f>IF(C42="","",IFERROR(INDEX(Clients!$M$6:$M$305,MATCH(C42,Clients!$B$6:$B$305,0)),""))</f>
        <v/>
      </c>
      <c r="I42" s="32" t="n"/>
      <c r="J42" s="1" t="n"/>
    </row>
    <row r="43">
      <c r="A43" s="1" t="n"/>
      <c r="B43" s="30" t="n"/>
      <c r="C43" s="32" t="n"/>
      <c r="D43" s="32" t="n"/>
      <c r="E43" s="39" t="n"/>
      <c r="F43" s="34" t="n"/>
      <c r="G43" s="33" t="n"/>
      <c r="H43" s="38">
        <f>IF(C43="","",IFERROR(INDEX(Clients!$M$6:$M$305,MATCH(C43,Clients!$B$6:$B$305,0)),""))</f>
        <v/>
      </c>
      <c r="I43" s="32" t="n"/>
      <c r="J43" s="1" t="n"/>
    </row>
    <row r="44">
      <c r="A44" s="1" t="n"/>
      <c r="B44" s="30" t="n"/>
      <c r="C44" s="32" t="n"/>
      <c r="D44" s="32" t="n"/>
      <c r="E44" s="39" t="n"/>
      <c r="F44" s="34" t="n"/>
      <c r="G44" s="33" t="n"/>
      <c r="H44" s="38">
        <f>IF(C44="","",IFERROR(INDEX(Clients!$M$6:$M$305,MATCH(C44,Clients!$B$6:$B$305,0)),""))</f>
        <v/>
      </c>
      <c r="I44" s="32" t="n"/>
      <c r="J44" s="1" t="n"/>
    </row>
    <row r="45">
      <c r="A45" s="1" t="n"/>
      <c r="B45" s="30" t="n"/>
      <c r="C45" s="32" t="n"/>
      <c r="D45" s="32" t="n"/>
      <c r="E45" s="39" t="n"/>
      <c r="F45" s="34" t="n"/>
      <c r="G45" s="33" t="n"/>
      <c r="H45" s="38">
        <f>IF(C45="","",IFERROR(INDEX(Clients!$M$6:$M$305,MATCH(C45,Clients!$B$6:$B$305,0)),""))</f>
        <v/>
      </c>
      <c r="I45" s="32" t="n"/>
      <c r="J45" s="1" t="n"/>
    </row>
    <row r="46">
      <c r="A46" s="1" t="n"/>
      <c r="B46" s="30" t="n"/>
      <c r="C46" s="32" t="n"/>
      <c r="D46" s="32" t="n"/>
      <c r="E46" s="39" t="n"/>
      <c r="F46" s="34" t="n"/>
      <c r="G46" s="33" t="n"/>
      <c r="H46" s="38">
        <f>IF(C46="","",IFERROR(INDEX(Clients!$M$6:$M$305,MATCH(C46,Clients!$B$6:$B$305,0)),""))</f>
        <v/>
      </c>
      <c r="I46" s="32" t="n"/>
      <c r="J46" s="1" t="n"/>
    </row>
    <row r="47">
      <c r="A47" s="1" t="n"/>
      <c r="B47" s="30" t="n"/>
      <c r="C47" s="32" t="n"/>
      <c r="D47" s="32" t="n"/>
      <c r="E47" s="39" t="n"/>
      <c r="F47" s="34" t="n"/>
      <c r="G47" s="33" t="n"/>
      <c r="H47" s="38">
        <f>IF(C47="","",IFERROR(INDEX(Clients!$M$6:$M$305,MATCH(C47,Clients!$B$6:$B$305,0)),""))</f>
        <v/>
      </c>
      <c r="I47" s="32" t="n"/>
      <c r="J47" s="1" t="n"/>
    </row>
    <row r="48">
      <c r="A48" s="1" t="n"/>
      <c r="B48" s="30" t="n"/>
      <c r="C48" s="32" t="n"/>
      <c r="D48" s="32" t="n"/>
      <c r="E48" s="39" t="n"/>
      <c r="F48" s="34" t="n"/>
      <c r="G48" s="33" t="n"/>
      <c r="H48" s="38">
        <f>IF(C48="","",IFERROR(INDEX(Clients!$M$6:$M$305,MATCH(C48,Clients!$B$6:$B$305,0)),""))</f>
        <v/>
      </c>
      <c r="I48" s="32" t="n"/>
      <c r="J48" s="1" t="n"/>
    </row>
    <row r="49">
      <c r="A49" s="1" t="n"/>
      <c r="B49" s="30" t="n"/>
      <c r="C49" s="32" t="n"/>
      <c r="D49" s="32" t="n"/>
      <c r="E49" s="39" t="n"/>
      <c r="F49" s="34" t="n"/>
      <c r="G49" s="33" t="n"/>
      <c r="H49" s="38">
        <f>IF(C49="","",IFERROR(INDEX(Clients!$M$6:$M$305,MATCH(C49,Clients!$B$6:$B$305,0)),""))</f>
        <v/>
      </c>
      <c r="I49" s="32" t="n"/>
      <c r="J49" s="1" t="n"/>
    </row>
    <row r="50">
      <c r="A50" s="1" t="n"/>
      <c r="B50" s="30" t="n"/>
      <c r="C50" s="32" t="n"/>
      <c r="D50" s="32" t="n"/>
      <c r="E50" s="39" t="n"/>
      <c r="F50" s="34" t="n"/>
      <c r="G50" s="33" t="n"/>
      <c r="H50" s="38">
        <f>IF(C50="","",IFERROR(INDEX(Clients!$M$6:$M$305,MATCH(C50,Clients!$B$6:$B$305,0)),""))</f>
        <v/>
      </c>
      <c r="I50" s="32" t="n"/>
      <c r="J50" s="1" t="n"/>
    </row>
    <row r="51">
      <c r="A51" s="1" t="n"/>
      <c r="B51" s="30" t="n"/>
      <c r="C51" s="32" t="n"/>
      <c r="D51" s="32" t="n"/>
      <c r="E51" s="39" t="n"/>
      <c r="F51" s="34" t="n"/>
      <c r="G51" s="33" t="n"/>
      <c r="H51" s="38">
        <f>IF(C51="","",IFERROR(INDEX(Clients!$M$6:$M$305,MATCH(C51,Clients!$B$6:$B$305,0)),""))</f>
        <v/>
      </c>
      <c r="I51" s="32" t="n"/>
      <c r="J51" s="1" t="n"/>
    </row>
    <row r="52">
      <c r="A52" s="1" t="n"/>
      <c r="B52" s="30" t="n"/>
      <c r="C52" s="32" t="n"/>
      <c r="D52" s="32" t="n"/>
      <c r="E52" s="39" t="n"/>
      <c r="F52" s="34" t="n"/>
      <c r="G52" s="33" t="n"/>
      <c r="H52" s="38">
        <f>IF(C52="","",IFERROR(INDEX(Clients!$M$6:$M$305,MATCH(C52,Clients!$B$6:$B$305,0)),""))</f>
        <v/>
      </c>
      <c r="I52" s="32" t="n"/>
      <c r="J52" s="1" t="n"/>
    </row>
    <row r="53">
      <c r="A53" s="1" t="n"/>
      <c r="B53" s="30" t="n"/>
      <c r="C53" s="32" t="n"/>
      <c r="D53" s="32" t="n"/>
      <c r="E53" s="39" t="n"/>
      <c r="F53" s="34" t="n"/>
      <c r="G53" s="33" t="n"/>
      <c r="H53" s="38">
        <f>IF(C53="","",IFERROR(INDEX(Clients!$M$6:$M$305,MATCH(C53,Clients!$B$6:$B$305,0)),""))</f>
        <v/>
      </c>
      <c r="I53" s="32" t="n"/>
      <c r="J53" s="1" t="n"/>
    </row>
    <row r="54">
      <c r="A54" s="1" t="n"/>
      <c r="B54" s="30" t="n"/>
      <c r="C54" s="32" t="n"/>
      <c r="D54" s="32" t="n"/>
      <c r="E54" s="39" t="n"/>
      <c r="F54" s="34" t="n"/>
      <c r="G54" s="33" t="n"/>
      <c r="H54" s="38">
        <f>IF(C54="","",IFERROR(INDEX(Clients!$M$6:$M$305,MATCH(C54,Clients!$B$6:$B$305,0)),""))</f>
        <v/>
      </c>
      <c r="I54" s="32" t="n"/>
      <c r="J54" s="1" t="n"/>
    </row>
    <row r="55">
      <c r="A55" s="1" t="n"/>
      <c r="B55" s="30" t="n"/>
      <c r="C55" s="32" t="n"/>
      <c r="D55" s="32" t="n"/>
      <c r="E55" s="39" t="n"/>
      <c r="F55" s="34" t="n"/>
      <c r="G55" s="33" t="n"/>
      <c r="H55" s="38">
        <f>IF(C55="","",IFERROR(INDEX(Clients!$M$6:$M$305,MATCH(C55,Clients!$B$6:$B$305,0)),""))</f>
        <v/>
      </c>
      <c r="I55" s="32" t="n"/>
      <c r="J55" s="1" t="n"/>
    </row>
    <row r="56">
      <c r="A56" s="1" t="n"/>
      <c r="B56" s="30" t="n"/>
      <c r="C56" s="32" t="n"/>
      <c r="D56" s="32" t="n"/>
      <c r="E56" s="39" t="n"/>
      <c r="F56" s="34" t="n"/>
      <c r="G56" s="33" t="n"/>
      <c r="H56" s="38">
        <f>IF(C56="","",IFERROR(INDEX(Clients!$M$6:$M$305,MATCH(C56,Clients!$B$6:$B$305,0)),""))</f>
        <v/>
      </c>
      <c r="I56" s="32" t="n"/>
      <c r="J56" s="1" t="n"/>
    </row>
    <row r="57">
      <c r="A57" s="1" t="n"/>
      <c r="B57" s="30" t="n"/>
      <c r="C57" s="32" t="n"/>
      <c r="D57" s="32" t="n"/>
      <c r="E57" s="39" t="n"/>
      <c r="F57" s="34" t="n"/>
      <c r="G57" s="33" t="n"/>
      <c r="H57" s="38">
        <f>IF(C57="","",IFERROR(INDEX(Clients!$M$6:$M$305,MATCH(C57,Clients!$B$6:$B$305,0)),""))</f>
        <v/>
      </c>
      <c r="I57" s="32" t="n"/>
      <c r="J57" s="1" t="n"/>
    </row>
    <row r="58">
      <c r="A58" s="1" t="n"/>
      <c r="B58" s="30" t="n"/>
      <c r="C58" s="32" t="n"/>
      <c r="D58" s="32" t="n"/>
      <c r="E58" s="39" t="n"/>
      <c r="F58" s="34" t="n"/>
      <c r="G58" s="33" t="n"/>
      <c r="H58" s="38">
        <f>IF(C58="","",IFERROR(INDEX(Clients!$M$6:$M$305,MATCH(C58,Clients!$B$6:$B$305,0)),""))</f>
        <v/>
      </c>
      <c r="I58" s="32" t="n"/>
      <c r="J58" s="1" t="n"/>
    </row>
    <row r="59">
      <c r="A59" s="1" t="n"/>
      <c r="B59" s="30" t="n"/>
      <c r="C59" s="32" t="n"/>
      <c r="D59" s="32" t="n"/>
      <c r="E59" s="39" t="n"/>
      <c r="F59" s="34" t="n"/>
      <c r="G59" s="33" t="n"/>
      <c r="H59" s="38">
        <f>IF(C59="","",IFERROR(INDEX(Clients!$M$6:$M$305,MATCH(C59,Clients!$B$6:$B$305,0)),""))</f>
        <v/>
      </c>
      <c r="I59" s="32" t="n"/>
      <c r="J59" s="1" t="n"/>
    </row>
    <row r="60">
      <c r="A60" s="1" t="n"/>
      <c r="B60" s="30" t="n"/>
      <c r="C60" s="32" t="n"/>
      <c r="D60" s="32" t="n"/>
      <c r="E60" s="39" t="n"/>
      <c r="F60" s="34" t="n"/>
      <c r="G60" s="33" t="n"/>
      <c r="H60" s="38">
        <f>IF(C60="","",IFERROR(INDEX(Clients!$M$6:$M$305,MATCH(C60,Clients!$B$6:$B$305,0)),""))</f>
        <v/>
      </c>
      <c r="I60" s="32" t="n"/>
      <c r="J60" s="1" t="n"/>
    </row>
    <row r="61">
      <c r="A61" s="1" t="n"/>
      <c r="B61" s="30" t="n"/>
      <c r="C61" s="32" t="n"/>
      <c r="D61" s="32" t="n"/>
      <c r="E61" s="39" t="n"/>
      <c r="F61" s="34" t="n"/>
      <c r="G61" s="33" t="n"/>
      <c r="H61" s="38">
        <f>IF(C61="","",IFERROR(INDEX(Clients!$M$6:$M$305,MATCH(C61,Clients!$B$6:$B$305,0)),""))</f>
        <v/>
      </c>
      <c r="I61" s="32" t="n"/>
      <c r="J61" s="1" t="n"/>
    </row>
    <row r="62">
      <c r="A62" s="1" t="n"/>
      <c r="B62" s="30" t="n"/>
      <c r="C62" s="32" t="n"/>
      <c r="D62" s="32" t="n"/>
      <c r="E62" s="39" t="n"/>
      <c r="F62" s="34" t="n"/>
      <c r="G62" s="33" t="n"/>
      <c r="H62" s="38">
        <f>IF(C62="","",IFERROR(INDEX(Clients!$M$6:$M$305,MATCH(C62,Clients!$B$6:$B$305,0)),""))</f>
        <v/>
      </c>
      <c r="I62" s="32" t="n"/>
      <c r="J62" s="1" t="n"/>
    </row>
    <row r="63">
      <c r="A63" s="1" t="n"/>
      <c r="B63" s="30" t="n"/>
      <c r="C63" s="32" t="n"/>
      <c r="D63" s="32" t="n"/>
      <c r="E63" s="39" t="n"/>
      <c r="F63" s="34" t="n"/>
      <c r="G63" s="33" t="n"/>
      <c r="H63" s="38">
        <f>IF(C63="","",IFERROR(INDEX(Clients!$M$6:$M$305,MATCH(C63,Clients!$B$6:$B$305,0)),""))</f>
        <v/>
      </c>
      <c r="I63" s="32" t="n"/>
      <c r="J63" s="1" t="n"/>
    </row>
    <row r="64">
      <c r="A64" s="1" t="n"/>
      <c r="B64" s="30" t="n"/>
      <c r="C64" s="32" t="n"/>
      <c r="D64" s="32" t="n"/>
      <c r="E64" s="39" t="n"/>
      <c r="F64" s="34" t="n"/>
      <c r="G64" s="33" t="n"/>
      <c r="H64" s="38">
        <f>IF(C64="","",IFERROR(INDEX(Clients!$M$6:$M$305,MATCH(C64,Clients!$B$6:$B$305,0)),""))</f>
        <v/>
      </c>
      <c r="I64" s="32" t="n"/>
      <c r="J64" s="1" t="n"/>
    </row>
    <row r="65">
      <c r="A65" s="1" t="n"/>
      <c r="B65" s="30" t="n"/>
      <c r="C65" s="32" t="n"/>
      <c r="D65" s="32" t="n"/>
      <c r="E65" s="39" t="n"/>
      <c r="F65" s="34" t="n"/>
      <c r="G65" s="33" t="n"/>
      <c r="H65" s="38">
        <f>IF(C65="","",IFERROR(INDEX(Clients!$M$6:$M$305,MATCH(C65,Clients!$B$6:$B$305,0)),""))</f>
        <v/>
      </c>
      <c r="I65" s="32" t="n"/>
      <c r="J65" s="1" t="n"/>
    </row>
    <row r="66">
      <c r="A66" s="1" t="n"/>
      <c r="B66" s="30" t="n"/>
      <c r="C66" s="32" t="n"/>
      <c r="D66" s="32" t="n"/>
      <c r="E66" s="39" t="n"/>
      <c r="F66" s="34" t="n"/>
      <c r="G66" s="33" t="n"/>
      <c r="H66" s="38">
        <f>IF(C66="","",IFERROR(INDEX(Clients!$M$6:$M$305,MATCH(C66,Clients!$B$6:$B$305,0)),""))</f>
        <v/>
      </c>
      <c r="I66" s="32" t="n"/>
      <c r="J66" s="1" t="n"/>
    </row>
    <row r="67">
      <c r="A67" s="1" t="n"/>
      <c r="B67" s="30" t="n"/>
      <c r="C67" s="32" t="n"/>
      <c r="D67" s="32" t="n"/>
      <c r="E67" s="39" t="n"/>
      <c r="F67" s="34" t="n"/>
      <c r="G67" s="33" t="n"/>
      <c r="H67" s="38">
        <f>IF(C67="","",IFERROR(INDEX(Clients!$M$6:$M$305,MATCH(C67,Clients!$B$6:$B$305,0)),""))</f>
        <v/>
      </c>
      <c r="I67" s="32" t="n"/>
      <c r="J67" s="1" t="n"/>
    </row>
    <row r="68">
      <c r="A68" s="1" t="n"/>
      <c r="B68" s="30" t="n"/>
      <c r="C68" s="32" t="n"/>
      <c r="D68" s="32" t="n"/>
      <c r="E68" s="39" t="n"/>
      <c r="F68" s="34" t="n"/>
      <c r="G68" s="33" t="n"/>
      <c r="H68" s="38">
        <f>IF(C68="","",IFERROR(INDEX(Clients!$M$6:$M$305,MATCH(C68,Clients!$B$6:$B$305,0)),""))</f>
        <v/>
      </c>
      <c r="I68" s="32" t="n"/>
      <c r="J68" s="1" t="n"/>
    </row>
    <row r="69">
      <c r="A69" s="1" t="n"/>
      <c r="B69" s="30" t="n"/>
      <c r="C69" s="32" t="n"/>
      <c r="D69" s="32" t="n"/>
      <c r="E69" s="39" t="n"/>
      <c r="F69" s="34" t="n"/>
      <c r="G69" s="33" t="n"/>
      <c r="H69" s="38">
        <f>IF(C69="","",IFERROR(INDEX(Clients!$M$6:$M$305,MATCH(C69,Clients!$B$6:$B$305,0)),""))</f>
        <v/>
      </c>
      <c r="I69" s="32" t="n"/>
      <c r="J69" s="1" t="n"/>
    </row>
    <row r="70">
      <c r="A70" s="1" t="n"/>
      <c r="B70" s="30" t="n"/>
      <c r="C70" s="32" t="n"/>
      <c r="D70" s="32" t="n"/>
      <c r="E70" s="39" t="n"/>
      <c r="F70" s="34" t="n"/>
      <c r="G70" s="33" t="n"/>
      <c r="H70" s="38">
        <f>IF(C70="","",IFERROR(INDEX(Clients!$M$6:$M$305,MATCH(C70,Clients!$B$6:$B$305,0)),""))</f>
        <v/>
      </c>
      <c r="I70" s="32" t="n"/>
      <c r="J70" s="1" t="n"/>
    </row>
    <row r="71">
      <c r="A71" s="1" t="n"/>
      <c r="B71" s="30" t="n"/>
      <c r="C71" s="32" t="n"/>
      <c r="D71" s="32" t="n"/>
      <c r="E71" s="39" t="n"/>
      <c r="F71" s="34" t="n"/>
      <c r="G71" s="33" t="n"/>
      <c r="H71" s="38">
        <f>IF(C71="","",IFERROR(INDEX(Clients!$M$6:$M$305,MATCH(C71,Clients!$B$6:$B$305,0)),""))</f>
        <v/>
      </c>
      <c r="I71" s="32" t="n"/>
      <c r="J71" s="1" t="n"/>
    </row>
    <row r="72">
      <c r="A72" s="1" t="n"/>
      <c r="B72" s="30" t="n"/>
      <c r="C72" s="32" t="n"/>
      <c r="D72" s="32" t="n"/>
      <c r="E72" s="39" t="n"/>
      <c r="F72" s="34" t="n"/>
      <c r="G72" s="33" t="n"/>
      <c r="H72" s="38">
        <f>IF(C72="","",IFERROR(INDEX(Clients!$M$6:$M$305,MATCH(C72,Clients!$B$6:$B$305,0)),""))</f>
        <v/>
      </c>
      <c r="I72" s="32" t="n"/>
      <c r="J72" s="1" t="n"/>
    </row>
    <row r="73">
      <c r="A73" s="1" t="n"/>
      <c r="B73" s="30" t="n"/>
      <c r="C73" s="32" t="n"/>
      <c r="D73" s="32" t="n"/>
      <c r="E73" s="39" t="n"/>
      <c r="F73" s="34" t="n"/>
      <c r="G73" s="33" t="n"/>
      <c r="H73" s="38">
        <f>IF(C73="","",IFERROR(INDEX(Clients!$M$6:$M$305,MATCH(C73,Clients!$B$6:$B$305,0)),""))</f>
        <v/>
      </c>
      <c r="I73" s="32" t="n"/>
      <c r="J73" s="1" t="n"/>
    </row>
    <row r="74">
      <c r="A74" s="1" t="n"/>
      <c r="B74" s="30" t="n"/>
      <c r="C74" s="32" t="n"/>
      <c r="D74" s="32" t="n"/>
      <c r="E74" s="39" t="n"/>
      <c r="F74" s="34" t="n"/>
      <c r="G74" s="33" t="n"/>
      <c r="H74" s="38">
        <f>IF(C74="","",IFERROR(INDEX(Clients!$M$6:$M$305,MATCH(C74,Clients!$B$6:$B$305,0)),""))</f>
        <v/>
      </c>
      <c r="I74" s="32" t="n"/>
      <c r="J74" s="1" t="n"/>
    </row>
    <row r="75">
      <c r="A75" s="1" t="n"/>
      <c r="B75" s="30" t="n"/>
      <c r="C75" s="32" t="n"/>
      <c r="D75" s="32" t="n"/>
      <c r="E75" s="39" t="n"/>
      <c r="F75" s="34" t="n"/>
      <c r="G75" s="33" t="n"/>
      <c r="H75" s="38">
        <f>IF(C75="","",IFERROR(INDEX(Clients!$M$6:$M$305,MATCH(C75,Clients!$B$6:$B$305,0)),""))</f>
        <v/>
      </c>
      <c r="I75" s="32" t="n"/>
      <c r="J75" s="1" t="n"/>
    </row>
    <row r="76">
      <c r="A76" s="1" t="n"/>
      <c r="B76" s="30" t="n"/>
      <c r="C76" s="32" t="n"/>
      <c r="D76" s="32" t="n"/>
      <c r="E76" s="39" t="n"/>
      <c r="F76" s="34" t="n"/>
      <c r="G76" s="33" t="n"/>
      <c r="H76" s="38">
        <f>IF(C76="","",IFERROR(INDEX(Clients!$M$6:$M$305,MATCH(C76,Clients!$B$6:$B$305,0)),""))</f>
        <v/>
      </c>
      <c r="I76" s="32" t="n"/>
      <c r="J76" s="1" t="n"/>
    </row>
    <row r="77">
      <c r="A77" s="1" t="n"/>
      <c r="B77" s="30" t="n"/>
      <c r="C77" s="32" t="n"/>
      <c r="D77" s="32" t="n"/>
      <c r="E77" s="39" t="n"/>
      <c r="F77" s="34" t="n"/>
      <c r="G77" s="33" t="n"/>
      <c r="H77" s="38">
        <f>IF(C77="","",IFERROR(INDEX(Clients!$M$6:$M$305,MATCH(C77,Clients!$B$6:$B$305,0)),""))</f>
        <v/>
      </c>
      <c r="I77" s="32" t="n"/>
      <c r="J77" s="1" t="n"/>
    </row>
    <row r="78">
      <c r="A78" s="1" t="n"/>
      <c r="B78" s="30" t="n"/>
      <c r="C78" s="32" t="n"/>
      <c r="D78" s="32" t="n"/>
      <c r="E78" s="39" t="n"/>
      <c r="F78" s="34" t="n"/>
      <c r="G78" s="33" t="n"/>
      <c r="H78" s="38">
        <f>IF(C78="","",IFERROR(INDEX(Clients!$M$6:$M$305,MATCH(C78,Clients!$B$6:$B$305,0)),""))</f>
        <v/>
      </c>
      <c r="I78" s="32" t="n"/>
      <c r="J78" s="1" t="n"/>
    </row>
    <row r="79">
      <c r="A79" s="1" t="n"/>
      <c r="B79" s="30" t="n"/>
      <c r="C79" s="32" t="n"/>
      <c r="D79" s="32" t="n"/>
      <c r="E79" s="39" t="n"/>
      <c r="F79" s="34" t="n"/>
      <c r="G79" s="33" t="n"/>
      <c r="H79" s="38">
        <f>IF(C79="","",IFERROR(INDEX(Clients!$M$6:$M$305,MATCH(C79,Clients!$B$6:$B$305,0)),""))</f>
        <v/>
      </c>
      <c r="I79" s="32" t="n"/>
      <c r="J79" s="1" t="n"/>
    </row>
    <row r="80">
      <c r="A80" s="1" t="n"/>
      <c r="B80" s="30" t="n"/>
      <c r="C80" s="32" t="n"/>
      <c r="D80" s="32" t="n"/>
      <c r="E80" s="39" t="n"/>
      <c r="F80" s="34" t="n"/>
      <c r="G80" s="33" t="n"/>
      <c r="H80" s="38">
        <f>IF(C80="","",IFERROR(INDEX(Clients!$M$6:$M$305,MATCH(C80,Clients!$B$6:$B$305,0)),""))</f>
        <v/>
      </c>
      <c r="I80" s="32" t="n"/>
      <c r="J80" s="1" t="n"/>
    </row>
    <row r="81">
      <c r="A81" s="1" t="n"/>
      <c r="B81" s="30" t="n"/>
      <c r="C81" s="32" t="n"/>
      <c r="D81" s="32" t="n"/>
      <c r="E81" s="39" t="n"/>
      <c r="F81" s="34" t="n"/>
      <c r="G81" s="33" t="n"/>
      <c r="H81" s="38">
        <f>IF(C81="","",IFERROR(INDEX(Clients!$M$6:$M$305,MATCH(C81,Clients!$B$6:$B$305,0)),""))</f>
        <v/>
      </c>
      <c r="I81" s="32" t="n"/>
      <c r="J81" s="1" t="n"/>
    </row>
    <row r="82">
      <c r="A82" s="1" t="n"/>
      <c r="B82" s="30" t="n"/>
      <c r="C82" s="32" t="n"/>
      <c r="D82" s="32" t="n"/>
      <c r="E82" s="39" t="n"/>
      <c r="F82" s="34" t="n"/>
      <c r="G82" s="33" t="n"/>
      <c r="H82" s="38">
        <f>IF(C82="","",IFERROR(INDEX(Clients!$M$6:$M$305,MATCH(C82,Clients!$B$6:$B$305,0)),""))</f>
        <v/>
      </c>
      <c r="I82" s="32" t="n"/>
      <c r="J82" s="1" t="n"/>
    </row>
    <row r="83">
      <c r="A83" s="1" t="n"/>
      <c r="B83" s="30" t="n"/>
      <c r="C83" s="32" t="n"/>
      <c r="D83" s="32" t="n"/>
      <c r="E83" s="39" t="n"/>
      <c r="F83" s="34" t="n"/>
      <c r="G83" s="33" t="n"/>
      <c r="H83" s="38">
        <f>IF(C83="","",IFERROR(INDEX(Clients!$M$6:$M$305,MATCH(C83,Clients!$B$6:$B$305,0)),""))</f>
        <v/>
      </c>
      <c r="I83" s="32" t="n"/>
      <c r="J83" s="1" t="n"/>
    </row>
    <row r="84">
      <c r="A84" s="1" t="n"/>
      <c r="B84" s="30" t="n"/>
      <c r="C84" s="32" t="n"/>
      <c r="D84" s="32" t="n"/>
      <c r="E84" s="39" t="n"/>
      <c r="F84" s="34" t="n"/>
      <c r="G84" s="33" t="n"/>
      <c r="H84" s="38">
        <f>IF(C84="","",IFERROR(INDEX(Clients!$M$6:$M$305,MATCH(C84,Clients!$B$6:$B$305,0)),""))</f>
        <v/>
      </c>
      <c r="I84" s="32" t="n"/>
      <c r="J84" s="1" t="n"/>
    </row>
    <row r="85">
      <c r="A85" s="1" t="n"/>
      <c r="B85" s="30" t="n"/>
      <c r="C85" s="32" t="n"/>
      <c r="D85" s="32" t="n"/>
      <c r="E85" s="39" t="n"/>
      <c r="F85" s="34" t="n"/>
      <c r="G85" s="33" t="n"/>
      <c r="H85" s="38">
        <f>IF(C85="","",IFERROR(INDEX(Clients!$M$6:$M$305,MATCH(C85,Clients!$B$6:$B$305,0)),""))</f>
        <v/>
      </c>
      <c r="I85" s="32" t="n"/>
      <c r="J85" s="1" t="n"/>
    </row>
    <row r="86">
      <c r="A86" s="1" t="n"/>
      <c r="B86" s="30" t="n"/>
      <c r="C86" s="32" t="n"/>
      <c r="D86" s="32" t="n"/>
      <c r="E86" s="39" t="n"/>
      <c r="F86" s="34" t="n"/>
      <c r="G86" s="33" t="n"/>
      <c r="H86" s="38">
        <f>IF(C86="","",IFERROR(INDEX(Clients!$M$6:$M$305,MATCH(C86,Clients!$B$6:$B$305,0)),""))</f>
        <v/>
      </c>
      <c r="I86" s="32" t="n"/>
      <c r="J86" s="1" t="n"/>
    </row>
    <row r="87">
      <c r="A87" s="1" t="n"/>
      <c r="B87" s="30" t="n"/>
      <c r="C87" s="32" t="n"/>
      <c r="D87" s="32" t="n"/>
      <c r="E87" s="39" t="n"/>
      <c r="F87" s="34" t="n"/>
      <c r="G87" s="33" t="n"/>
      <c r="H87" s="38">
        <f>IF(C87="","",IFERROR(INDEX(Clients!$M$6:$M$305,MATCH(C87,Clients!$B$6:$B$305,0)),""))</f>
        <v/>
      </c>
      <c r="I87" s="32" t="n"/>
      <c r="J87" s="1" t="n"/>
    </row>
    <row r="88">
      <c r="A88" s="1" t="n"/>
      <c r="B88" s="30" t="n"/>
      <c r="C88" s="32" t="n"/>
      <c r="D88" s="32" t="n"/>
      <c r="E88" s="39" t="n"/>
      <c r="F88" s="34" t="n"/>
      <c r="G88" s="33" t="n"/>
      <c r="H88" s="38">
        <f>IF(C88="","",IFERROR(INDEX(Clients!$M$6:$M$305,MATCH(C88,Clients!$B$6:$B$305,0)),""))</f>
        <v/>
      </c>
      <c r="I88" s="32" t="n"/>
      <c r="J88" s="1" t="n"/>
    </row>
    <row r="89">
      <c r="A89" s="1" t="n"/>
      <c r="B89" s="30" t="n"/>
      <c r="C89" s="32" t="n"/>
      <c r="D89" s="32" t="n"/>
      <c r="E89" s="39" t="n"/>
      <c r="F89" s="34" t="n"/>
      <c r="G89" s="33" t="n"/>
      <c r="H89" s="38">
        <f>IF(C89="","",IFERROR(INDEX(Clients!$M$6:$M$305,MATCH(C89,Clients!$B$6:$B$305,0)),""))</f>
        <v/>
      </c>
      <c r="I89" s="32" t="n"/>
      <c r="J89" s="1" t="n"/>
    </row>
    <row r="90">
      <c r="A90" s="1" t="n"/>
      <c r="B90" s="30" t="n"/>
      <c r="C90" s="32" t="n"/>
      <c r="D90" s="32" t="n"/>
      <c r="E90" s="39" t="n"/>
      <c r="F90" s="34" t="n"/>
      <c r="G90" s="33" t="n"/>
      <c r="H90" s="38">
        <f>IF(C90="","",IFERROR(INDEX(Clients!$M$6:$M$305,MATCH(C90,Clients!$B$6:$B$305,0)),""))</f>
        <v/>
      </c>
      <c r="I90" s="32" t="n"/>
      <c r="J90" s="1" t="n"/>
    </row>
    <row r="91">
      <c r="A91" s="1" t="n"/>
      <c r="B91" s="30" t="n"/>
      <c r="C91" s="32" t="n"/>
      <c r="D91" s="32" t="n"/>
      <c r="E91" s="39" t="n"/>
      <c r="F91" s="34" t="n"/>
      <c r="G91" s="33" t="n"/>
      <c r="H91" s="38">
        <f>IF(C91="","",IFERROR(INDEX(Clients!$M$6:$M$305,MATCH(C91,Clients!$B$6:$B$305,0)),""))</f>
        <v/>
      </c>
      <c r="I91" s="32" t="n"/>
      <c r="J91" s="1" t="n"/>
    </row>
    <row r="92">
      <c r="A92" s="1" t="n"/>
      <c r="B92" s="30" t="n"/>
      <c r="C92" s="32" t="n"/>
      <c r="D92" s="32" t="n"/>
      <c r="E92" s="39" t="n"/>
      <c r="F92" s="34" t="n"/>
      <c r="G92" s="33" t="n"/>
      <c r="H92" s="38">
        <f>IF(C92="","",IFERROR(INDEX(Clients!$M$6:$M$305,MATCH(C92,Clients!$B$6:$B$305,0)),""))</f>
        <v/>
      </c>
      <c r="I92" s="32" t="n"/>
      <c r="J92" s="1" t="n"/>
    </row>
    <row r="93">
      <c r="A93" s="1" t="n"/>
      <c r="B93" s="30" t="n"/>
      <c r="C93" s="32" t="n"/>
      <c r="D93" s="32" t="n"/>
      <c r="E93" s="39" t="n"/>
      <c r="F93" s="34" t="n"/>
      <c r="G93" s="33" t="n"/>
      <c r="H93" s="38">
        <f>IF(C93="","",IFERROR(INDEX(Clients!$M$6:$M$305,MATCH(C93,Clients!$B$6:$B$305,0)),""))</f>
        <v/>
      </c>
      <c r="I93" s="32" t="n"/>
      <c r="J93" s="1" t="n"/>
    </row>
    <row r="94">
      <c r="A94" s="1" t="n"/>
      <c r="B94" s="30" t="n"/>
      <c r="C94" s="32" t="n"/>
      <c r="D94" s="32" t="n"/>
      <c r="E94" s="39" t="n"/>
      <c r="F94" s="34" t="n"/>
      <c r="G94" s="33" t="n"/>
      <c r="H94" s="38">
        <f>IF(C94="","",IFERROR(INDEX(Clients!$M$6:$M$305,MATCH(C94,Clients!$B$6:$B$305,0)),""))</f>
        <v/>
      </c>
      <c r="I94" s="32" t="n"/>
      <c r="J94" s="1" t="n"/>
    </row>
    <row r="95">
      <c r="A95" s="1" t="n"/>
      <c r="B95" s="30" t="n"/>
      <c r="C95" s="32" t="n"/>
      <c r="D95" s="32" t="n"/>
      <c r="E95" s="39" t="n"/>
      <c r="F95" s="34" t="n"/>
      <c r="G95" s="33" t="n"/>
      <c r="H95" s="38">
        <f>IF(C95="","",IFERROR(INDEX(Clients!$M$6:$M$305,MATCH(C95,Clients!$B$6:$B$305,0)),""))</f>
        <v/>
      </c>
      <c r="I95" s="32" t="n"/>
      <c r="J95" s="1" t="n"/>
    </row>
    <row r="96">
      <c r="A96" s="1" t="n"/>
      <c r="B96" s="30" t="n"/>
      <c r="C96" s="32" t="n"/>
      <c r="D96" s="32" t="n"/>
      <c r="E96" s="39" t="n"/>
      <c r="F96" s="34" t="n"/>
      <c r="G96" s="33" t="n"/>
      <c r="H96" s="38">
        <f>IF(C96="","",IFERROR(INDEX(Clients!$M$6:$M$305,MATCH(C96,Clients!$B$6:$B$305,0)),""))</f>
        <v/>
      </c>
      <c r="I96" s="32" t="n"/>
      <c r="J96" s="1" t="n"/>
    </row>
    <row r="97">
      <c r="A97" s="1" t="n"/>
      <c r="B97" s="30" t="n"/>
      <c r="C97" s="32" t="n"/>
      <c r="D97" s="32" t="n"/>
      <c r="E97" s="39" t="n"/>
      <c r="F97" s="34" t="n"/>
      <c r="G97" s="33" t="n"/>
      <c r="H97" s="38">
        <f>IF(C97="","",IFERROR(INDEX(Clients!$M$6:$M$305,MATCH(C97,Clients!$B$6:$B$305,0)),""))</f>
        <v/>
      </c>
      <c r="I97" s="32" t="n"/>
      <c r="J97" s="1" t="n"/>
    </row>
    <row r="98">
      <c r="A98" s="1" t="n"/>
      <c r="B98" s="30" t="n"/>
      <c r="C98" s="32" t="n"/>
      <c r="D98" s="32" t="n"/>
      <c r="E98" s="39" t="n"/>
      <c r="F98" s="34" t="n"/>
      <c r="G98" s="33" t="n"/>
      <c r="H98" s="38">
        <f>IF(C98="","",IFERROR(INDEX(Clients!$M$6:$M$305,MATCH(C98,Clients!$B$6:$B$305,0)),""))</f>
        <v/>
      </c>
      <c r="I98" s="32" t="n"/>
      <c r="J98" s="1" t="n"/>
    </row>
    <row r="99">
      <c r="A99" s="1" t="n"/>
      <c r="B99" s="30" t="n"/>
      <c r="C99" s="32" t="n"/>
      <c r="D99" s="32" t="n"/>
      <c r="E99" s="39" t="n"/>
      <c r="F99" s="34" t="n"/>
      <c r="G99" s="33" t="n"/>
      <c r="H99" s="38">
        <f>IF(C99="","",IFERROR(INDEX(Clients!$M$6:$M$305,MATCH(C99,Clients!$B$6:$B$305,0)),""))</f>
        <v/>
      </c>
      <c r="I99" s="32" t="n"/>
      <c r="J99" s="1" t="n"/>
    </row>
    <row r="100">
      <c r="A100" s="1" t="n"/>
      <c r="B100" s="30" t="n"/>
      <c r="C100" s="32" t="n"/>
      <c r="D100" s="32" t="n"/>
      <c r="E100" s="39" t="n"/>
      <c r="F100" s="34" t="n"/>
      <c r="G100" s="33" t="n"/>
      <c r="H100" s="38">
        <f>IF(C100="","",IFERROR(INDEX(Clients!$M$6:$M$305,MATCH(C100,Clients!$B$6:$B$305,0)),""))</f>
        <v/>
      </c>
      <c r="I100" s="32" t="n"/>
      <c r="J100" s="1" t="n"/>
    </row>
    <row r="101">
      <c r="A101" s="1" t="n"/>
      <c r="B101" s="30" t="n"/>
      <c r="C101" s="32" t="n"/>
      <c r="D101" s="32" t="n"/>
      <c r="E101" s="39" t="n"/>
      <c r="F101" s="34" t="n"/>
      <c r="G101" s="33" t="n"/>
      <c r="H101" s="38">
        <f>IF(C101="","",IFERROR(INDEX(Clients!$M$6:$M$305,MATCH(C101,Clients!$B$6:$B$305,0)),""))</f>
        <v/>
      </c>
      <c r="I101" s="32" t="n"/>
      <c r="J101" s="1" t="n"/>
    </row>
    <row r="102">
      <c r="A102" s="1" t="n"/>
      <c r="B102" s="30" t="n"/>
      <c r="C102" s="32" t="n"/>
      <c r="D102" s="32" t="n"/>
      <c r="E102" s="39" t="n"/>
      <c r="F102" s="34" t="n"/>
      <c r="G102" s="33" t="n"/>
      <c r="H102" s="38">
        <f>IF(C102="","",IFERROR(INDEX(Clients!$M$6:$M$305,MATCH(C102,Clients!$B$6:$B$305,0)),""))</f>
        <v/>
      </c>
      <c r="I102" s="32" t="n"/>
      <c r="J102" s="1" t="n"/>
    </row>
    <row r="103">
      <c r="A103" s="1" t="n"/>
      <c r="B103" s="30" t="n"/>
      <c r="C103" s="32" t="n"/>
      <c r="D103" s="32" t="n"/>
      <c r="E103" s="39" t="n"/>
      <c r="F103" s="34" t="n"/>
      <c r="G103" s="33" t="n"/>
      <c r="H103" s="38">
        <f>IF(C103="","",IFERROR(INDEX(Clients!$M$6:$M$305,MATCH(C103,Clients!$B$6:$B$305,0)),""))</f>
        <v/>
      </c>
      <c r="I103" s="32" t="n"/>
      <c r="J103" s="1" t="n"/>
    </row>
    <row r="104">
      <c r="A104" s="1" t="n"/>
      <c r="B104" s="30" t="n"/>
      <c r="C104" s="32" t="n"/>
      <c r="D104" s="32" t="n"/>
      <c r="E104" s="39" t="n"/>
      <c r="F104" s="34" t="n"/>
      <c r="G104" s="33" t="n"/>
      <c r="H104" s="38">
        <f>IF(C104="","",IFERROR(INDEX(Clients!$M$6:$M$305,MATCH(C104,Clients!$B$6:$B$305,0)),""))</f>
        <v/>
      </c>
      <c r="I104" s="32" t="n"/>
      <c r="J104" s="1" t="n"/>
    </row>
    <row r="105">
      <c r="A105" s="1" t="n"/>
      <c r="B105" s="30" t="n"/>
      <c r="C105" s="32" t="n"/>
      <c r="D105" s="32" t="n"/>
      <c r="E105" s="39" t="n"/>
      <c r="F105" s="34" t="n"/>
      <c r="G105" s="33" t="n"/>
      <c r="H105" s="38">
        <f>IF(C105="","",IFERROR(INDEX(Clients!$M$6:$M$305,MATCH(C105,Clients!$B$6:$B$305,0)),""))</f>
        <v/>
      </c>
      <c r="I105" s="32" t="n"/>
      <c r="J105" s="1" t="n"/>
    </row>
    <row r="106">
      <c r="A106" s="1" t="n"/>
      <c r="B106" s="30" t="n"/>
      <c r="C106" s="32" t="n"/>
      <c r="D106" s="32" t="n"/>
      <c r="E106" s="39" t="n"/>
      <c r="F106" s="34" t="n"/>
      <c r="G106" s="33" t="n"/>
      <c r="H106" s="38">
        <f>IF(C106="","",IFERROR(INDEX(Clients!$M$6:$M$305,MATCH(C106,Clients!$B$6:$B$305,0)),""))</f>
        <v/>
      </c>
      <c r="I106" s="32" t="n"/>
      <c r="J106" s="1" t="n"/>
    </row>
    <row r="107">
      <c r="A107" s="1" t="n"/>
      <c r="B107" s="30" t="n"/>
      <c r="C107" s="32" t="n"/>
      <c r="D107" s="32" t="n"/>
      <c r="E107" s="39" t="n"/>
      <c r="F107" s="34" t="n"/>
      <c r="G107" s="33" t="n"/>
      <c r="H107" s="38">
        <f>IF(C107="","",IFERROR(INDEX(Clients!$M$6:$M$305,MATCH(C107,Clients!$B$6:$B$305,0)),""))</f>
        <v/>
      </c>
      <c r="I107" s="32" t="n"/>
      <c r="J107" s="1" t="n"/>
    </row>
    <row r="108">
      <c r="A108" s="1" t="n"/>
      <c r="B108" s="30" t="n"/>
      <c r="C108" s="32" t="n"/>
      <c r="D108" s="32" t="n"/>
      <c r="E108" s="39" t="n"/>
      <c r="F108" s="34" t="n"/>
      <c r="G108" s="33" t="n"/>
      <c r="H108" s="38">
        <f>IF(C108="","",IFERROR(INDEX(Clients!$M$6:$M$305,MATCH(C108,Clients!$B$6:$B$305,0)),""))</f>
        <v/>
      </c>
      <c r="I108" s="32" t="n"/>
      <c r="J108" s="1" t="n"/>
    </row>
    <row r="109">
      <c r="A109" s="1" t="n"/>
      <c r="B109" s="30" t="n"/>
      <c r="C109" s="32" t="n"/>
      <c r="D109" s="32" t="n"/>
      <c r="E109" s="39" t="n"/>
      <c r="F109" s="34" t="n"/>
      <c r="G109" s="33" t="n"/>
      <c r="H109" s="38">
        <f>IF(C109="","",IFERROR(INDEX(Clients!$M$6:$M$305,MATCH(C109,Clients!$B$6:$B$305,0)),""))</f>
        <v/>
      </c>
      <c r="I109" s="32" t="n"/>
      <c r="J109" s="1" t="n"/>
    </row>
    <row r="110">
      <c r="A110" s="1" t="n"/>
      <c r="B110" s="30" t="n"/>
      <c r="C110" s="32" t="n"/>
      <c r="D110" s="32" t="n"/>
      <c r="E110" s="39" t="n"/>
      <c r="F110" s="34" t="n"/>
      <c r="G110" s="33" t="n"/>
      <c r="H110" s="38">
        <f>IF(C110="","",IFERROR(INDEX(Clients!$M$6:$M$305,MATCH(C110,Clients!$B$6:$B$305,0)),""))</f>
        <v/>
      </c>
      <c r="I110" s="32" t="n"/>
      <c r="J110" s="1" t="n"/>
    </row>
    <row r="111">
      <c r="A111" s="1" t="n"/>
      <c r="B111" s="30" t="n"/>
      <c r="C111" s="32" t="n"/>
      <c r="D111" s="32" t="n"/>
      <c r="E111" s="39" t="n"/>
      <c r="F111" s="34" t="n"/>
      <c r="G111" s="33" t="n"/>
      <c r="H111" s="38">
        <f>IF(C111="","",IFERROR(INDEX(Clients!$M$6:$M$305,MATCH(C111,Clients!$B$6:$B$305,0)),""))</f>
        <v/>
      </c>
      <c r="I111" s="32" t="n"/>
      <c r="J111" s="1" t="n"/>
    </row>
    <row r="112">
      <c r="A112" s="1" t="n"/>
      <c r="B112" s="30" t="n"/>
      <c r="C112" s="32" t="n"/>
      <c r="D112" s="32" t="n"/>
      <c r="E112" s="39" t="n"/>
      <c r="F112" s="34" t="n"/>
      <c r="G112" s="33" t="n"/>
      <c r="H112" s="38">
        <f>IF(C112="","",IFERROR(INDEX(Clients!$M$6:$M$305,MATCH(C112,Clients!$B$6:$B$305,0)),""))</f>
        <v/>
      </c>
      <c r="I112" s="32" t="n"/>
      <c r="J112" s="1" t="n"/>
    </row>
    <row r="113">
      <c r="A113" s="1" t="n"/>
      <c r="B113" s="30" t="n"/>
      <c r="C113" s="32" t="n"/>
      <c r="D113" s="32" t="n"/>
      <c r="E113" s="39" t="n"/>
      <c r="F113" s="34" t="n"/>
      <c r="G113" s="33" t="n"/>
      <c r="H113" s="38">
        <f>IF(C113="","",IFERROR(INDEX(Clients!$M$6:$M$305,MATCH(C113,Clients!$B$6:$B$305,0)),""))</f>
        <v/>
      </c>
      <c r="I113" s="32" t="n"/>
      <c r="J113" s="1" t="n"/>
    </row>
    <row r="114">
      <c r="A114" s="1" t="n"/>
      <c r="B114" s="30" t="n"/>
      <c r="C114" s="32" t="n"/>
      <c r="D114" s="32" t="n"/>
      <c r="E114" s="39" t="n"/>
      <c r="F114" s="34" t="n"/>
      <c r="G114" s="33" t="n"/>
      <c r="H114" s="38">
        <f>IF(C114="","",IFERROR(INDEX(Clients!$M$6:$M$305,MATCH(C114,Clients!$B$6:$B$305,0)),""))</f>
        <v/>
      </c>
      <c r="I114" s="32" t="n"/>
      <c r="J114" s="1" t="n"/>
    </row>
    <row r="115">
      <c r="A115" s="1" t="n"/>
      <c r="B115" s="30" t="n"/>
      <c r="C115" s="32" t="n"/>
      <c r="D115" s="32" t="n"/>
      <c r="E115" s="39" t="n"/>
      <c r="F115" s="34" t="n"/>
      <c r="G115" s="33" t="n"/>
      <c r="H115" s="38">
        <f>IF(C115="","",IFERROR(INDEX(Clients!$M$6:$M$305,MATCH(C115,Clients!$B$6:$B$305,0)),""))</f>
        <v/>
      </c>
      <c r="I115" s="32" t="n"/>
      <c r="J115" s="1" t="n"/>
    </row>
    <row r="116">
      <c r="A116" s="1" t="n"/>
      <c r="B116" s="30" t="n"/>
      <c r="C116" s="32" t="n"/>
      <c r="D116" s="32" t="n"/>
      <c r="E116" s="39" t="n"/>
      <c r="F116" s="34" t="n"/>
      <c r="G116" s="33" t="n"/>
      <c r="H116" s="38">
        <f>IF(C116="","",IFERROR(INDEX(Clients!$M$6:$M$305,MATCH(C116,Clients!$B$6:$B$305,0)),""))</f>
        <v/>
      </c>
      <c r="I116" s="32" t="n"/>
      <c r="J116" s="1" t="n"/>
    </row>
    <row r="117">
      <c r="A117" s="1" t="n"/>
      <c r="B117" s="30" t="n"/>
      <c r="C117" s="32" t="n"/>
      <c r="D117" s="32" t="n"/>
      <c r="E117" s="39" t="n"/>
      <c r="F117" s="34" t="n"/>
      <c r="G117" s="33" t="n"/>
      <c r="H117" s="38">
        <f>IF(C117="","",IFERROR(INDEX(Clients!$M$6:$M$305,MATCH(C117,Clients!$B$6:$B$305,0)),""))</f>
        <v/>
      </c>
      <c r="I117" s="32" t="n"/>
      <c r="J117" s="1" t="n"/>
    </row>
    <row r="118">
      <c r="A118" s="1" t="n"/>
      <c r="B118" s="30" t="n"/>
      <c r="C118" s="32" t="n"/>
      <c r="D118" s="32" t="n"/>
      <c r="E118" s="39" t="n"/>
      <c r="F118" s="34" t="n"/>
      <c r="G118" s="33" t="n"/>
      <c r="H118" s="38">
        <f>IF(C118="","",IFERROR(INDEX(Clients!$M$6:$M$305,MATCH(C118,Clients!$B$6:$B$305,0)),""))</f>
        <v/>
      </c>
      <c r="I118" s="32" t="n"/>
      <c r="J118" s="1" t="n"/>
    </row>
    <row r="119">
      <c r="A119" s="1" t="n"/>
      <c r="B119" s="30" t="n"/>
      <c r="C119" s="32" t="n"/>
      <c r="D119" s="32" t="n"/>
      <c r="E119" s="39" t="n"/>
      <c r="F119" s="34" t="n"/>
      <c r="G119" s="33" t="n"/>
      <c r="H119" s="38">
        <f>IF(C119="","",IFERROR(INDEX(Clients!$M$6:$M$305,MATCH(C119,Clients!$B$6:$B$305,0)),""))</f>
        <v/>
      </c>
      <c r="I119" s="32" t="n"/>
      <c r="J119" s="1" t="n"/>
    </row>
    <row r="120">
      <c r="A120" s="1" t="n"/>
      <c r="B120" s="30" t="n"/>
      <c r="C120" s="32" t="n"/>
      <c r="D120" s="32" t="n"/>
      <c r="E120" s="39" t="n"/>
      <c r="F120" s="34" t="n"/>
      <c r="G120" s="33" t="n"/>
      <c r="H120" s="38">
        <f>IF(C120="","",IFERROR(INDEX(Clients!$M$6:$M$305,MATCH(C120,Clients!$B$6:$B$305,0)),""))</f>
        <v/>
      </c>
      <c r="I120" s="32" t="n"/>
      <c r="J120" s="1" t="n"/>
    </row>
    <row r="121">
      <c r="A121" s="1" t="n"/>
      <c r="B121" s="30" t="n"/>
      <c r="C121" s="32" t="n"/>
      <c r="D121" s="32" t="n"/>
      <c r="E121" s="39" t="n"/>
      <c r="F121" s="34" t="n"/>
      <c r="G121" s="33" t="n"/>
      <c r="H121" s="38">
        <f>IF(C121="","",IFERROR(INDEX(Clients!$M$6:$M$305,MATCH(C121,Clients!$B$6:$B$305,0)),""))</f>
        <v/>
      </c>
      <c r="I121" s="32" t="n"/>
      <c r="J121" s="1" t="n"/>
    </row>
    <row r="122">
      <c r="A122" s="1" t="n"/>
      <c r="B122" s="30" t="n"/>
      <c r="C122" s="32" t="n"/>
      <c r="D122" s="32" t="n"/>
      <c r="E122" s="39" t="n"/>
      <c r="F122" s="34" t="n"/>
      <c r="G122" s="33" t="n"/>
      <c r="H122" s="38">
        <f>IF(C122="","",IFERROR(INDEX(Clients!$M$6:$M$305,MATCH(C122,Clients!$B$6:$B$305,0)),""))</f>
        <v/>
      </c>
      <c r="I122" s="32" t="n"/>
      <c r="J122" s="1" t="n"/>
    </row>
    <row r="123">
      <c r="A123" s="1" t="n"/>
      <c r="B123" s="30" t="n"/>
      <c r="C123" s="32" t="n"/>
      <c r="D123" s="32" t="n"/>
      <c r="E123" s="39" t="n"/>
      <c r="F123" s="34" t="n"/>
      <c r="G123" s="33" t="n"/>
      <c r="H123" s="38">
        <f>IF(C123="","",IFERROR(INDEX(Clients!$M$6:$M$305,MATCH(C123,Clients!$B$6:$B$305,0)),""))</f>
        <v/>
      </c>
      <c r="I123" s="32" t="n"/>
      <c r="J123" s="1" t="n"/>
    </row>
    <row r="124">
      <c r="A124" s="1" t="n"/>
      <c r="B124" s="30" t="n"/>
      <c r="C124" s="32" t="n"/>
      <c r="D124" s="32" t="n"/>
      <c r="E124" s="39" t="n"/>
      <c r="F124" s="34" t="n"/>
      <c r="G124" s="33" t="n"/>
      <c r="H124" s="38">
        <f>IF(C124="","",IFERROR(INDEX(Clients!$M$6:$M$305,MATCH(C124,Clients!$B$6:$B$305,0)),""))</f>
        <v/>
      </c>
      <c r="I124" s="32" t="n"/>
      <c r="J124" s="1" t="n"/>
    </row>
    <row r="125">
      <c r="A125" s="1" t="n"/>
      <c r="B125" s="30" t="n"/>
      <c r="C125" s="32" t="n"/>
      <c r="D125" s="32" t="n"/>
      <c r="E125" s="39" t="n"/>
      <c r="F125" s="34" t="n"/>
      <c r="G125" s="33" t="n"/>
      <c r="H125" s="38">
        <f>IF(C125="","",IFERROR(INDEX(Clients!$M$6:$M$305,MATCH(C125,Clients!$B$6:$B$305,0)),""))</f>
        <v/>
      </c>
      <c r="I125" s="32" t="n"/>
      <c r="J125" s="1" t="n"/>
    </row>
    <row r="126">
      <c r="A126" s="1" t="n"/>
      <c r="B126" s="30" t="n"/>
      <c r="C126" s="32" t="n"/>
      <c r="D126" s="32" t="n"/>
      <c r="E126" s="39" t="n"/>
      <c r="F126" s="34" t="n"/>
      <c r="G126" s="33" t="n"/>
      <c r="H126" s="38">
        <f>IF(C126="","",IFERROR(INDEX(Clients!$M$6:$M$305,MATCH(C126,Clients!$B$6:$B$305,0)),""))</f>
        <v/>
      </c>
      <c r="I126" s="32" t="n"/>
      <c r="J126" s="1" t="n"/>
    </row>
    <row r="127">
      <c r="A127" s="1" t="n"/>
      <c r="B127" s="30" t="n"/>
      <c r="C127" s="32" t="n"/>
      <c r="D127" s="32" t="n"/>
      <c r="E127" s="39" t="n"/>
      <c r="F127" s="34" t="n"/>
      <c r="G127" s="33" t="n"/>
      <c r="H127" s="38">
        <f>IF(C127="","",IFERROR(INDEX(Clients!$M$6:$M$305,MATCH(C127,Clients!$B$6:$B$305,0)),""))</f>
        <v/>
      </c>
      <c r="I127" s="32" t="n"/>
      <c r="J127" s="1" t="n"/>
    </row>
    <row r="128">
      <c r="A128" s="1" t="n"/>
      <c r="B128" s="30" t="n"/>
      <c r="C128" s="32" t="n"/>
      <c r="D128" s="32" t="n"/>
      <c r="E128" s="39" t="n"/>
      <c r="F128" s="34" t="n"/>
      <c r="G128" s="33" t="n"/>
      <c r="H128" s="38">
        <f>IF(C128="","",IFERROR(INDEX(Clients!$M$6:$M$305,MATCH(C128,Clients!$B$6:$B$305,0)),""))</f>
        <v/>
      </c>
      <c r="I128" s="32" t="n"/>
      <c r="J128" s="1" t="n"/>
    </row>
    <row r="129">
      <c r="A129" s="1" t="n"/>
      <c r="B129" s="30" t="n"/>
      <c r="C129" s="32" t="n"/>
      <c r="D129" s="32" t="n"/>
      <c r="E129" s="39" t="n"/>
      <c r="F129" s="34" t="n"/>
      <c r="G129" s="33" t="n"/>
      <c r="H129" s="38">
        <f>IF(C129="","",IFERROR(INDEX(Clients!$M$6:$M$305,MATCH(C129,Clients!$B$6:$B$305,0)),""))</f>
        <v/>
      </c>
      <c r="I129" s="32" t="n"/>
      <c r="J129" s="1" t="n"/>
    </row>
    <row r="130">
      <c r="A130" s="1" t="n"/>
      <c r="B130" s="30" t="n"/>
      <c r="C130" s="32" t="n"/>
      <c r="D130" s="32" t="n"/>
      <c r="E130" s="39" t="n"/>
      <c r="F130" s="34" t="n"/>
      <c r="G130" s="33" t="n"/>
      <c r="H130" s="38">
        <f>IF(C130="","",IFERROR(INDEX(Clients!$M$6:$M$305,MATCH(C130,Clients!$B$6:$B$305,0)),""))</f>
        <v/>
      </c>
      <c r="I130" s="32" t="n"/>
      <c r="J130" s="1" t="n"/>
    </row>
    <row r="131">
      <c r="A131" s="1" t="n"/>
      <c r="B131" s="30" t="n"/>
      <c r="C131" s="32" t="n"/>
      <c r="D131" s="32" t="n"/>
      <c r="E131" s="39" t="n"/>
      <c r="F131" s="34" t="n"/>
      <c r="G131" s="33" t="n"/>
      <c r="H131" s="38">
        <f>IF(C131="","",IFERROR(INDEX(Clients!$M$6:$M$305,MATCH(C131,Clients!$B$6:$B$305,0)),""))</f>
        <v/>
      </c>
      <c r="I131" s="32" t="n"/>
      <c r="J131" s="1" t="n"/>
    </row>
    <row r="132">
      <c r="A132" s="1" t="n"/>
      <c r="B132" s="30" t="n"/>
      <c r="C132" s="32" t="n"/>
      <c r="D132" s="32" t="n"/>
      <c r="E132" s="39" t="n"/>
      <c r="F132" s="34" t="n"/>
      <c r="G132" s="33" t="n"/>
      <c r="H132" s="38">
        <f>IF(C132="","",IFERROR(INDEX(Clients!$M$6:$M$305,MATCH(C132,Clients!$B$6:$B$305,0)),""))</f>
        <v/>
      </c>
      <c r="I132" s="32" t="n"/>
      <c r="J132" s="1" t="n"/>
    </row>
    <row r="133">
      <c r="A133" s="1" t="n"/>
      <c r="B133" s="30" t="n"/>
      <c r="C133" s="32" t="n"/>
      <c r="D133" s="32" t="n"/>
      <c r="E133" s="39" t="n"/>
      <c r="F133" s="34" t="n"/>
      <c r="G133" s="33" t="n"/>
      <c r="H133" s="38">
        <f>IF(C133="","",IFERROR(INDEX(Clients!$M$6:$M$305,MATCH(C133,Clients!$B$6:$B$305,0)),""))</f>
        <v/>
      </c>
      <c r="I133" s="32" t="n"/>
      <c r="J133" s="1" t="n"/>
    </row>
    <row r="134">
      <c r="A134" s="1" t="n"/>
      <c r="B134" s="30" t="n"/>
      <c r="C134" s="32" t="n"/>
      <c r="D134" s="32" t="n"/>
      <c r="E134" s="39" t="n"/>
      <c r="F134" s="34" t="n"/>
      <c r="G134" s="33" t="n"/>
      <c r="H134" s="38">
        <f>IF(C134="","",IFERROR(INDEX(Clients!$M$6:$M$305,MATCH(C134,Clients!$B$6:$B$305,0)),""))</f>
        <v/>
      </c>
      <c r="I134" s="32" t="n"/>
      <c r="J134" s="1" t="n"/>
    </row>
    <row r="135">
      <c r="A135" s="1" t="n"/>
      <c r="B135" s="30" t="n"/>
      <c r="C135" s="32" t="n"/>
      <c r="D135" s="32" t="n"/>
      <c r="E135" s="39" t="n"/>
      <c r="F135" s="34" t="n"/>
      <c r="G135" s="33" t="n"/>
      <c r="H135" s="38">
        <f>IF(C135="","",IFERROR(INDEX(Clients!$M$6:$M$305,MATCH(C135,Clients!$B$6:$B$305,0)),""))</f>
        <v/>
      </c>
      <c r="I135" s="32" t="n"/>
      <c r="J135" s="1" t="n"/>
    </row>
    <row r="136">
      <c r="A136" s="1" t="n"/>
      <c r="B136" s="30" t="n"/>
      <c r="C136" s="32" t="n"/>
      <c r="D136" s="32" t="n"/>
      <c r="E136" s="39" t="n"/>
      <c r="F136" s="34" t="n"/>
      <c r="G136" s="33" t="n"/>
      <c r="H136" s="38">
        <f>IF(C136="","",IFERROR(INDEX(Clients!$M$6:$M$305,MATCH(C136,Clients!$B$6:$B$305,0)),""))</f>
        <v/>
      </c>
      <c r="I136" s="32" t="n"/>
      <c r="J136" s="1" t="n"/>
    </row>
    <row r="137">
      <c r="A137" s="1" t="n"/>
      <c r="B137" s="30" t="n"/>
      <c r="C137" s="32" t="n"/>
      <c r="D137" s="32" t="n"/>
      <c r="E137" s="39" t="n"/>
      <c r="F137" s="34" t="n"/>
      <c r="G137" s="33" t="n"/>
      <c r="H137" s="38">
        <f>IF(C137="","",IFERROR(INDEX(Clients!$M$6:$M$305,MATCH(C137,Clients!$B$6:$B$305,0)),""))</f>
        <v/>
      </c>
      <c r="I137" s="32" t="n"/>
      <c r="J137" s="1" t="n"/>
    </row>
    <row r="138">
      <c r="A138" s="1" t="n"/>
      <c r="B138" s="30" t="n"/>
      <c r="C138" s="32" t="n"/>
      <c r="D138" s="32" t="n"/>
      <c r="E138" s="39" t="n"/>
      <c r="F138" s="34" t="n"/>
      <c r="G138" s="33" t="n"/>
      <c r="H138" s="38">
        <f>IF(C138="","",IFERROR(INDEX(Clients!$M$6:$M$305,MATCH(C138,Clients!$B$6:$B$305,0)),""))</f>
        <v/>
      </c>
      <c r="I138" s="32" t="n"/>
      <c r="J138" s="1" t="n"/>
    </row>
    <row r="139">
      <c r="A139" s="1" t="n"/>
      <c r="B139" s="30" t="n"/>
      <c r="C139" s="32" t="n"/>
      <c r="D139" s="32" t="n"/>
      <c r="E139" s="39" t="n"/>
      <c r="F139" s="34" t="n"/>
      <c r="G139" s="33" t="n"/>
      <c r="H139" s="38">
        <f>IF(C139="","",IFERROR(INDEX(Clients!$M$6:$M$305,MATCH(C139,Clients!$B$6:$B$305,0)),""))</f>
        <v/>
      </c>
      <c r="I139" s="32" t="n"/>
      <c r="J139" s="1" t="n"/>
    </row>
    <row r="140">
      <c r="A140" s="1" t="n"/>
      <c r="B140" s="30" t="n"/>
      <c r="C140" s="32" t="n"/>
      <c r="D140" s="32" t="n"/>
      <c r="E140" s="39" t="n"/>
      <c r="F140" s="34" t="n"/>
      <c r="G140" s="33" t="n"/>
      <c r="H140" s="38">
        <f>IF(C140="","",IFERROR(INDEX(Clients!$M$6:$M$305,MATCH(C140,Clients!$B$6:$B$305,0)),""))</f>
        <v/>
      </c>
      <c r="I140" s="32" t="n"/>
      <c r="J140" s="1" t="n"/>
    </row>
    <row r="141">
      <c r="A141" s="1" t="n"/>
      <c r="B141" s="30" t="n"/>
      <c r="C141" s="32" t="n"/>
      <c r="D141" s="32" t="n"/>
      <c r="E141" s="39" t="n"/>
      <c r="F141" s="34" t="n"/>
      <c r="G141" s="33" t="n"/>
      <c r="H141" s="38">
        <f>IF(C141="","",IFERROR(INDEX(Clients!$M$6:$M$305,MATCH(C141,Clients!$B$6:$B$305,0)),""))</f>
        <v/>
      </c>
      <c r="I141" s="32" t="n"/>
      <c r="J141" s="1" t="n"/>
    </row>
    <row r="142">
      <c r="A142" s="1" t="n"/>
      <c r="B142" s="30" t="n"/>
      <c r="C142" s="32" t="n"/>
      <c r="D142" s="32" t="n"/>
      <c r="E142" s="39" t="n"/>
      <c r="F142" s="34" t="n"/>
      <c r="G142" s="33" t="n"/>
      <c r="H142" s="38">
        <f>IF(C142="","",IFERROR(INDEX(Clients!$M$6:$M$305,MATCH(C142,Clients!$B$6:$B$305,0)),""))</f>
        <v/>
      </c>
      <c r="I142" s="32" t="n"/>
      <c r="J142" s="1" t="n"/>
    </row>
    <row r="143">
      <c r="A143" s="1" t="n"/>
      <c r="B143" s="30" t="n"/>
      <c r="C143" s="32" t="n"/>
      <c r="D143" s="32" t="n"/>
      <c r="E143" s="39" t="n"/>
      <c r="F143" s="34" t="n"/>
      <c r="G143" s="33" t="n"/>
      <c r="H143" s="38">
        <f>IF(C143="","",IFERROR(INDEX(Clients!$M$6:$M$305,MATCH(C143,Clients!$B$6:$B$305,0)),""))</f>
        <v/>
      </c>
      <c r="I143" s="32" t="n"/>
      <c r="J143" s="1" t="n"/>
    </row>
    <row r="144">
      <c r="A144" s="1" t="n"/>
      <c r="B144" s="30" t="n"/>
      <c r="C144" s="32" t="n"/>
      <c r="D144" s="32" t="n"/>
      <c r="E144" s="39" t="n"/>
      <c r="F144" s="34" t="n"/>
      <c r="G144" s="33" t="n"/>
      <c r="H144" s="38">
        <f>IF(C144="","",IFERROR(INDEX(Clients!$M$6:$M$305,MATCH(C144,Clients!$B$6:$B$305,0)),""))</f>
        <v/>
      </c>
      <c r="I144" s="32" t="n"/>
      <c r="J144" s="1" t="n"/>
    </row>
    <row r="145">
      <c r="A145" s="1" t="n"/>
      <c r="B145" s="30" t="n"/>
      <c r="C145" s="32" t="n"/>
      <c r="D145" s="32" t="n"/>
      <c r="E145" s="39" t="n"/>
      <c r="F145" s="34" t="n"/>
      <c r="G145" s="33" t="n"/>
      <c r="H145" s="38">
        <f>IF(C145="","",IFERROR(INDEX(Clients!$M$6:$M$305,MATCH(C145,Clients!$B$6:$B$305,0)),""))</f>
        <v/>
      </c>
      <c r="I145" s="32" t="n"/>
      <c r="J145" s="1" t="n"/>
    </row>
    <row r="146">
      <c r="A146" s="1" t="n"/>
      <c r="B146" s="30" t="n"/>
      <c r="C146" s="32" t="n"/>
      <c r="D146" s="32" t="n"/>
      <c r="E146" s="39" t="n"/>
      <c r="F146" s="34" t="n"/>
      <c r="G146" s="33" t="n"/>
      <c r="H146" s="38">
        <f>IF(C146="","",IFERROR(INDEX(Clients!$M$6:$M$305,MATCH(C146,Clients!$B$6:$B$305,0)),""))</f>
        <v/>
      </c>
      <c r="I146" s="32" t="n"/>
      <c r="J146" s="1" t="n"/>
    </row>
    <row r="147">
      <c r="A147" s="1" t="n"/>
      <c r="B147" s="30" t="n"/>
      <c r="C147" s="32" t="n"/>
      <c r="D147" s="32" t="n"/>
      <c r="E147" s="39" t="n"/>
      <c r="F147" s="34" t="n"/>
      <c r="G147" s="33" t="n"/>
      <c r="H147" s="38">
        <f>IF(C147="","",IFERROR(INDEX(Clients!$M$6:$M$305,MATCH(C147,Clients!$B$6:$B$305,0)),""))</f>
        <v/>
      </c>
      <c r="I147" s="32" t="n"/>
      <c r="J147" s="1" t="n"/>
    </row>
    <row r="148">
      <c r="A148" s="1" t="n"/>
      <c r="B148" s="30" t="n"/>
      <c r="C148" s="32" t="n"/>
      <c r="D148" s="32" t="n"/>
      <c r="E148" s="39" t="n"/>
      <c r="F148" s="34" t="n"/>
      <c r="G148" s="33" t="n"/>
      <c r="H148" s="38">
        <f>IF(C148="","",IFERROR(INDEX(Clients!$M$6:$M$305,MATCH(C148,Clients!$B$6:$B$305,0)),""))</f>
        <v/>
      </c>
      <c r="I148" s="32" t="n"/>
      <c r="J148" s="1" t="n"/>
    </row>
    <row r="149">
      <c r="A149" s="1" t="n"/>
      <c r="B149" s="30" t="n"/>
      <c r="C149" s="32" t="n"/>
      <c r="D149" s="32" t="n"/>
      <c r="E149" s="39" t="n"/>
      <c r="F149" s="34" t="n"/>
      <c r="G149" s="33" t="n"/>
      <c r="H149" s="38">
        <f>IF(C149="","",IFERROR(INDEX(Clients!$M$6:$M$305,MATCH(C149,Clients!$B$6:$B$305,0)),""))</f>
        <v/>
      </c>
      <c r="I149" s="32" t="n"/>
      <c r="J149" s="1" t="n"/>
    </row>
    <row r="150">
      <c r="A150" s="1" t="n"/>
      <c r="B150" s="30" t="n"/>
      <c r="C150" s="32" t="n"/>
      <c r="D150" s="32" t="n"/>
      <c r="E150" s="39" t="n"/>
      <c r="F150" s="34" t="n"/>
      <c r="G150" s="33" t="n"/>
      <c r="H150" s="38">
        <f>IF(C150="","",IFERROR(INDEX(Clients!$M$6:$M$305,MATCH(C150,Clients!$B$6:$B$305,0)),""))</f>
        <v/>
      </c>
      <c r="I150" s="32" t="n"/>
      <c r="J150" s="1" t="n"/>
    </row>
    <row r="151">
      <c r="A151" s="1" t="n"/>
      <c r="B151" s="30" t="n"/>
      <c r="C151" s="32" t="n"/>
      <c r="D151" s="32" t="n"/>
      <c r="E151" s="39" t="n"/>
      <c r="F151" s="34" t="n"/>
      <c r="G151" s="33" t="n"/>
      <c r="H151" s="38">
        <f>IF(C151="","",IFERROR(INDEX(Clients!$M$6:$M$305,MATCH(C151,Clients!$B$6:$B$305,0)),""))</f>
        <v/>
      </c>
      <c r="I151" s="32" t="n"/>
      <c r="J151" s="1" t="n"/>
    </row>
    <row r="152">
      <c r="A152" s="1" t="n"/>
      <c r="B152" s="30" t="n"/>
      <c r="C152" s="32" t="n"/>
      <c r="D152" s="32" t="n"/>
      <c r="E152" s="39" t="n"/>
      <c r="F152" s="34" t="n"/>
      <c r="G152" s="33" t="n"/>
      <c r="H152" s="38">
        <f>IF(C152="","",IFERROR(INDEX(Clients!$M$6:$M$305,MATCH(C152,Clients!$B$6:$B$305,0)),""))</f>
        <v/>
      </c>
      <c r="I152" s="32" t="n"/>
      <c r="J152" s="1" t="n"/>
    </row>
    <row r="153">
      <c r="A153" s="1" t="n"/>
      <c r="B153" s="30" t="n"/>
      <c r="C153" s="32" t="n"/>
      <c r="D153" s="32" t="n"/>
      <c r="E153" s="39" t="n"/>
      <c r="F153" s="34" t="n"/>
      <c r="G153" s="33" t="n"/>
      <c r="H153" s="38">
        <f>IF(C153="","",IFERROR(INDEX(Clients!$M$6:$M$305,MATCH(C153,Clients!$B$6:$B$305,0)),""))</f>
        <v/>
      </c>
      <c r="I153" s="32" t="n"/>
      <c r="J153" s="1" t="n"/>
    </row>
    <row r="154">
      <c r="A154" s="1" t="n"/>
      <c r="B154" s="30" t="n"/>
      <c r="C154" s="32" t="n"/>
      <c r="D154" s="32" t="n"/>
      <c r="E154" s="39" t="n"/>
      <c r="F154" s="34" t="n"/>
      <c r="G154" s="33" t="n"/>
      <c r="H154" s="38">
        <f>IF(C154="","",IFERROR(INDEX(Clients!$M$6:$M$305,MATCH(C154,Clients!$B$6:$B$305,0)),""))</f>
        <v/>
      </c>
      <c r="I154" s="32" t="n"/>
      <c r="J154" s="1" t="n"/>
    </row>
    <row r="155">
      <c r="A155" s="1" t="n"/>
      <c r="B155" s="30" t="n"/>
      <c r="C155" s="32" t="n"/>
      <c r="D155" s="32" t="n"/>
      <c r="E155" s="39" t="n"/>
      <c r="F155" s="34" t="n"/>
      <c r="G155" s="33" t="n"/>
      <c r="H155" s="38">
        <f>IF(C155="","",IFERROR(INDEX(Clients!$M$6:$M$305,MATCH(C155,Clients!$B$6:$B$305,0)),""))</f>
        <v/>
      </c>
      <c r="I155" s="32" t="n"/>
      <c r="J155" s="1" t="n"/>
    </row>
    <row r="156">
      <c r="A156" s="1" t="n"/>
      <c r="B156" s="30" t="n"/>
      <c r="C156" s="32" t="n"/>
      <c r="D156" s="32" t="n"/>
      <c r="E156" s="39" t="n"/>
      <c r="F156" s="34" t="n"/>
      <c r="G156" s="33" t="n"/>
      <c r="H156" s="38">
        <f>IF(C156="","",IFERROR(INDEX(Clients!$M$6:$M$305,MATCH(C156,Clients!$B$6:$B$305,0)),""))</f>
        <v/>
      </c>
      <c r="I156" s="32" t="n"/>
      <c r="J156" s="1" t="n"/>
    </row>
    <row r="157">
      <c r="A157" s="1" t="n"/>
      <c r="B157" s="30" t="n"/>
      <c r="C157" s="32" t="n"/>
      <c r="D157" s="32" t="n"/>
      <c r="E157" s="39" t="n"/>
      <c r="F157" s="34" t="n"/>
      <c r="G157" s="33" t="n"/>
      <c r="H157" s="38">
        <f>IF(C157="","",IFERROR(INDEX(Clients!$M$6:$M$305,MATCH(C157,Clients!$B$6:$B$305,0)),""))</f>
        <v/>
      </c>
      <c r="I157" s="32" t="n"/>
      <c r="J157" s="1" t="n"/>
    </row>
    <row r="158">
      <c r="A158" s="1" t="n"/>
      <c r="B158" s="30" t="n"/>
      <c r="C158" s="32" t="n"/>
      <c r="D158" s="32" t="n"/>
      <c r="E158" s="39" t="n"/>
      <c r="F158" s="34" t="n"/>
      <c r="G158" s="33" t="n"/>
      <c r="H158" s="38">
        <f>IF(C158="","",IFERROR(INDEX(Clients!$M$6:$M$305,MATCH(C158,Clients!$B$6:$B$305,0)),""))</f>
        <v/>
      </c>
      <c r="I158" s="32" t="n"/>
      <c r="J158" s="1" t="n"/>
    </row>
    <row r="159">
      <c r="A159" s="1" t="n"/>
      <c r="B159" s="30" t="n"/>
      <c r="C159" s="32" t="n"/>
      <c r="D159" s="32" t="n"/>
      <c r="E159" s="39" t="n"/>
      <c r="F159" s="34" t="n"/>
      <c r="G159" s="33" t="n"/>
      <c r="H159" s="38">
        <f>IF(C159="","",IFERROR(INDEX(Clients!$M$6:$M$305,MATCH(C159,Clients!$B$6:$B$305,0)),""))</f>
        <v/>
      </c>
      <c r="I159" s="32" t="n"/>
      <c r="J159" s="1" t="n"/>
    </row>
    <row r="160">
      <c r="A160" s="1" t="n"/>
      <c r="B160" s="30" t="n"/>
      <c r="C160" s="32" t="n"/>
      <c r="D160" s="32" t="n"/>
      <c r="E160" s="39" t="n"/>
      <c r="F160" s="34" t="n"/>
      <c r="G160" s="33" t="n"/>
      <c r="H160" s="38">
        <f>IF(C160="","",IFERROR(INDEX(Clients!$M$6:$M$305,MATCH(C160,Clients!$B$6:$B$305,0)),""))</f>
        <v/>
      </c>
      <c r="I160" s="32" t="n"/>
      <c r="J160" s="1" t="n"/>
    </row>
    <row r="161">
      <c r="A161" s="1" t="n"/>
      <c r="B161" s="30" t="n"/>
      <c r="C161" s="32" t="n"/>
      <c r="D161" s="32" t="n"/>
      <c r="E161" s="39" t="n"/>
      <c r="F161" s="34" t="n"/>
      <c r="G161" s="33" t="n"/>
      <c r="H161" s="38">
        <f>IF(C161="","",IFERROR(INDEX(Clients!$M$6:$M$305,MATCH(C161,Clients!$B$6:$B$305,0)),""))</f>
        <v/>
      </c>
      <c r="I161" s="32" t="n"/>
      <c r="J161" s="1" t="n"/>
    </row>
    <row r="162">
      <c r="A162" s="1" t="n"/>
      <c r="B162" s="30" t="n"/>
      <c r="C162" s="32" t="n"/>
      <c r="D162" s="32" t="n"/>
      <c r="E162" s="39" t="n"/>
      <c r="F162" s="34" t="n"/>
      <c r="G162" s="33" t="n"/>
      <c r="H162" s="38">
        <f>IF(C162="","",IFERROR(INDEX(Clients!$M$6:$M$305,MATCH(C162,Clients!$B$6:$B$305,0)),""))</f>
        <v/>
      </c>
      <c r="I162" s="32" t="n"/>
      <c r="J162" s="1" t="n"/>
    </row>
    <row r="163">
      <c r="A163" s="1" t="n"/>
      <c r="B163" s="30" t="n"/>
      <c r="C163" s="32" t="n"/>
      <c r="D163" s="32" t="n"/>
      <c r="E163" s="39" t="n"/>
      <c r="F163" s="34" t="n"/>
      <c r="G163" s="33" t="n"/>
      <c r="H163" s="38">
        <f>IF(C163="","",IFERROR(INDEX(Clients!$M$6:$M$305,MATCH(C163,Clients!$B$6:$B$305,0)),""))</f>
        <v/>
      </c>
      <c r="I163" s="32" t="n"/>
      <c r="J163" s="1" t="n"/>
    </row>
    <row r="164">
      <c r="A164" s="1" t="n"/>
      <c r="B164" s="30" t="n"/>
      <c r="C164" s="32" t="n"/>
      <c r="D164" s="32" t="n"/>
      <c r="E164" s="39" t="n"/>
      <c r="F164" s="34" t="n"/>
      <c r="G164" s="33" t="n"/>
      <c r="H164" s="38">
        <f>IF(C164="","",IFERROR(INDEX(Clients!$M$6:$M$305,MATCH(C164,Clients!$B$6:$B$305,0)),""))</f>
        <v/>
      </c>
      <c r="I164" s="32" t="n"/>
      <c r="J164" s="1" t="n"/>
    </row>
    <row r="165">
      <c r="A165" s="1" t="n"/>
      <c r="B165" s="30" t="n"/>
      <c r="C165" s="32" t="n"/>
      <c r="D165" s="32" t="n"/>
      <c r="E165" s="39" t="n"/>
      <c r="F165" s="34" t="n"/>
      <c r="G165" s="33" t="n"/>
      <c r="H165" s="38">
        <f>IF(C165="","",IFERROR(INDEX(Clients!$M$6:$M$305,MATCH(C165,Clients!$B$6:$B$305,0)),""))</f>
        <v/>
      </c>
      <c r="I165" s="32" t="n"/>
      <c r="J165" s="1" t="n"/>
    </row>
    <row r="166">
      <c r="A166" s="1" t="n"/>
      <c r="B166" s="30" t="n"/>
      <c r="C166" s="32" t="n"/>
      <c r="D166" s="32" t="n"/>
      <c r="E166" s="39" t="n"/>
      <c r="F166" s="34" t="n"/>
      <c r="G166" s="33" t="n"/>
      <c r="H166" s="38">
        <f>IF(C166="","",IFERROR(INDEX(Clients!$M$6:$M$305,MATCH(C166,Clients!$B$6:$B$305,0)),""))</f>
        <v/>
      </c>
      <c r="I166" s="32" t="n"/>
      <c r="J166" s="1" t="n"/>
    </row>
    <row r="167">
      <c r="A167" s="1" t="n"/>
      <c r="B167" s="30" t="n"/>
      <c r="C167" s="32" t="n"/>
      <c r="D167" s="32" t="n"/>
      <c r="E167" s="39" t="n"/>
      <c r="F167" s="34" t="n"/>
      <c r="G167" s="33" t="n"/>
      <c r="H167" s="38">
        <f>IF(C167="","",IFERROR(INDEX(Clients!$M$6:$M$305,MATCH(C167,Clients!$B$6:$B$305,0)),""))</f>
        <v/>
      </c>
      <c r="I167" s="32" t="n"/>
      <c r="J167" s="1" t="n"/>
    </row>
    <row r="168">
      <c r="A168" s="1" t="n"/>
      <c r="B168" s="30" t="n"/>
      <c r="C168" s="32" t="n"/>
      <c r="D168" s="32" t="n"/>
      <c r="E168" s="39" t="n"/>
      <c r="F168" s="34" t="n"/>
      <c r="G168" s="33" t="n"/>
      <c r="H168" s="38">
        <f>IF(C168="","",IFERROR(INDEX(Clients!$M$6:$M$305,MATCH(C168,Clients!$B$6:$B$305,0)),""))</f>
        <v/>
      </c>
      <c r="I168" s="32" t="n"/>
      <c r="J168" s="1" t="n"/>
    </row>
    <row r="169">
      <c r="A169" s="1" t="n"/>
      <c r="B169" s="30" t="n"/>
      <c r="C169" s="32" t="n"/>
      <c r="D169" s="32" t="n"/>
      <c r="E169" s="39" t="n"/>
      <c r="F169" s="34" t="n"/>
      <c r="G169" s="33" t="n"/>
      <c r="H169" s="38">
        <f>IF(C169="","",IFERROR(INDEX(Clients!$M$6:$M$305,MATCH(C169,Clients!$B$6:$B$305,0)),""))</f>
        <v/>
      </c>
      <c r="I169" s="32" t="n"/>
      <c r="J169" s="1" t="n"/>
    </row>
    <row r="170">
      <c r="A170" s="1" t="n"/>
      <c r="B170" s="30" t="n"/>
      <c r="C170" s="32" t="n"/>
      <c r="D170" s="32" t="n"/>
      <c r="E170" s="39" t="n"/>
      <c r="F170" s="34" t="n"/>
      <c r="G170" s="33" t="n"/>
      <c r="H170" s="38">
        <f>IF(C170="","",IFERROR(INDEX(Clients!$M$6:$M$305,MATCH(C170,Clients!$B$6:$B$305,0)),""))</f>
        <v/>
      </c>
      <c r="I170" s="32" t="n"/>
      <c r="J170" s="1" t="n"/>
    </row>
    <row r="171">
      <c r="A171" s="1" t="n"/>
      <c r="B171" s="30" t="n"/>
      <c r="C171" s="32" t="n"/>
      <c r="D171" s="32" t="n"/>
      <c r="E171" s="39" t="n"/>
      <c r="F171" s="34" t="n"/>
      <c r="G171" s="33" t="n"/>
      <c r="H171" s="38">
        <f>IF(C171="","",IFERROR(INDEX(Clients!$M$6:$M$305,MATCH(C171,Clients!$B$6:$B$305,0)),""))</f>
        <v/>
      </c>
      <c r="I171" s="32" t="n"/>
      <c r="J171" s="1" t="n"/>
    </row>
    <row r="172">
      <c r="A172" s="1" t="n"/>
      <c r="B172" s="30" t="n"/>
      <c r="C172" s="32" t="n"/>
      <c r="D172" s="32" t="n"/>
      <c r="E172" s="39" t="n"/>
      <c r="F172" s="34" t="n"/>
      <c r="G172" s="33" t="n"/>
      <c r="H172" s="38">
        <f>IF(C172="","",IFERROR(INDEX(Clients!$M$6:$M$305,MATCH(C172,Clients!$B$6:$B$305,0)),""))</f>
        <v/>
      </c>
      <c r="I172" s="32" t="n"/>
      <c r="J172" s="1" t="n"/>
    </row>
    <row r="173">
      <c r="A173" s="1" t="n"/>
      <c r="B173" s="30" t="n"/>
      <c r="C173" s="32" t="n"/>
      <c r="D173" s="32" t="n"/>
      <c r="E173" s="39" t="n"/>
      <c r="F173" s="34" t="n"/>
      <c r="G173" s="33" t="n"/>
      <c r="H173" s="38">
        <f>IF(C173="","",IFERROR(INDEX(Clients!$M$6:$M$305,MATCH(C173,Clients!$B$6:$B$305,0)),""))</f>
        <v/>
      </c>
      <c r="I173" s="32" t="n"/>
      <c r="J173" s="1" t="n"/>
    </row>
    <row r="174">
      <c r="A174" s="1" t="n"/>
      <c r="B174" s="30" t="n"/>
      <c r="C174" s="32" t="n"/>
      <c r="D174" s="32" t="n"/>
      <c r="E174" s="39" t="n"/>
      <c r="F174" s="34" t="n"/>
      <c r="G174" s="33" t="n"/>
      <c r="H174" s="38">
        <f>IF(C174="","",IFERROR(INDEX(Clients!$M$6:$M$305,MATCH(C174,Clients!$B$6:$B$305,0)),""))</f>
        <v/>
      </c>
      <c r="I174" s="32" t="n"/>
      <c r="J174" s="1" t="n"/>
    </row>
    <row r="175">
      <c r="A175" s="1" t="n"/>
      <c r="B175" s="30" t="n"/>
      <c r="C175" s="32" t="n"/>
      <c r="D175" s="32" t="n"/>
      <c r="E175" s="39" t="n"/>
      <c r="F175" s="34" t="n"/>
      <c r="G175" s="33" t="n"/>
      <c r="H175" s="38">
        <f>IF(C175="","",IFERROR(INDEX(Clients!$M$6:$M$305,MATCH(C175,Clients!$B$6:$B$305,0)),""))</f>
        <v/>
      </c>
      <c r="I175" s="32" t="n"/>
      <c r="J175" s="1" t="n"/>
    </row>
    <row r="176">
      <c r="A176" s="1" t="n"/>
      <c r="B176" s="30" t="n"/>
      <c r="C176" s="32" t="n"/>
      <c r="D176" s="32" t="n"/>
      <c r="E176" s="39" t="n"/>
      <c r="F176" s="34" t="n"/>
      <c r="G176" s="33" t="n"/>
      <c r="H176" s="38">
        <f>IF(C176="","",IFERROR(INDEX(Clients!$M$6:$M$305,MATCH(C176,Clients!$B$6:$B$305,0)),""))</f>
        <v/>
      </c>
      <c r="I176" s="32" t="n"/>
      <c r="J176" s="1" t="n"/>
    </row>
    <row r="177">
      <c r="A177" s="1" t="n"/>
      <c r="B177" s="30" t="n"/>
      <c r="C177" s="32" t="n"/>
      <c r="D177" s="32" t="n"/>
      <c r="E177" s="39" t="n"/>
      <c r="F177" s="34" t="n"/>
      <c r="G177" s="33" t="n"/>
      <c r="H177" s="38">
        <f>IF(C177="","",IFERROR(INDEX(Clients!$M$6:$M$305,MATCH(C177,Clients!$B$6:$B$305,0)),""))</f>
        <v/>
      </c>
      <c r="I177" s="32" t="n"/>
      <c r="J177" s="1" t="n"/>
    </row>
    <row r="178">
      <c r="A178" s="1" t="n"/>
      <c r="B178" s="30" t="n"/>
      <c r="C178" s="32" t="n"/>
      <c r="D178" s="32" t="n"/>
      <c r="E178" s="39" t="n"/>
      <c r="F178" s="34" t="n"/>
      <c r="G178" s="33" t="n"/>
      <c r="H178" s="38">
        <f>IF(C178="","",IFERROR(INDEX(Clients!$M$6:$M$305,MATCH(C178,Clients!$B$6:$B$305,0)),""))</f>
        <v/>
      </c>
      <c r="I178" s="32" t="n"/>
      <c r="J178" s="1" t="n"/>
    </row>
    <row r="179">
      <c r="A179" s="1" t="n"/>
      <c r="B179" s="30" t="n"/>
      <c r="C179" s="32" t="n"/>
      <c r="D179" s="32" t="n"/>
      <c r="E179" s="39" t="n"/>
      <c r="F179" s="34" t="n"/>
      <c r="G179" s="33" t="n"/>
      <c r="H179" s="38">
        <f>IF(C179="","",IFERROR(INDEX(Clients!$M$6:$M$305,MATCH(C179,Clients!$B$6:$B$305,0)),""))</f>
        <v/>
      </c>
      <c r="I179" s="32" t="n"/>
      <c r="J179" s="1" t="n"/>
    </row>
    <row r="180">
      <c r="A180" s="1" t="n"/>
      <c r="B180" s="30" t="n"/>
      <c r="C180" s="32" t="n"/>
      <c r="D180" s="32" t="n"/>
      <c r="E180" s="39" t="n"/>
      <c r="F180" s="34" t="n"/>
      <c r="G180" s="33" t="n"/>
      <c r="H180" s="38">
        <f>IF(C180="","",IFERROR(INDEX(Clients!$M$6:$M$305,MATCH(C180,Clients!$B$6:$B$305,0)),""))</f>
        <v/>
      </c>
      <c r="I180" s="32" t="n"/>
      <c r="J180" s="1" t="n"/>
    </row>
    <row r="181">
      <c r="A181" s="1" t="n"/>
      <c r="B181" s="30" t="n"/>
      <c r="C181" s="32" t="n"/>
      <c r="D181" s="32" t="n"/>
      <c r="E181" s="39" t="n"/>
      <c r="F181" s="34" t="n"/>
      <c r="G181" s="33" t="n"/>
      <c r="H181" s="38">
        <f>IF(C181="","",IFERROR(INDEX(Clients!$M$6:$M$305,MATCH(C181,Clients!$B$6:$B$305,0)),""))</f>
        <v/>
      </c>
      <c r="I181" s="32" t="n"/>
      <c r="J181" s="1" t="n"/>
    </row>
    <row r="182">
      <c r="A182" s="1" t="n"/>
      <c r="B182" s="30" t="n"/>
      <c r="C182" s="32" t="n"/>
      <c r="D182" s="32" t="n"/>
      <c r="E182" s="39" t="n"/>
      <c r="F182" s="34" t="n"/>
      <c r="G182" s="33" t="n"/>
      <c r="H182" s="38">
        <f>IF(C182="","",IFERROR(INDEX(Clients!$M$6:$M$305,MATCH(C182,Clients!$B$6:$B$305,0)),""))</f>
        <v/>
      </c>
      <c r="I182" s="32" t="n"/>
      <c r="J182" s="1" t="n"/>
    </row>
    <row r="183">
      <c r="A183" s="1" t="n"/>
      <c r="B183" s="30" t="n"/>
      <c r="C183" s="32" t="n"/>
      <c r="D183" s="32" t="n"/>
      <c r="E183" s="39" t="n"/>
      <c r="F183" s="34" t="n"/>
      <c r="G183" s="33" t="n"/>
      <c r="H183" s="38">
        <f>IF(C183="","",IFERROR(INDEX(Clients!$M$6:$M$305,MATCH(C183,Clients!$B$6:$B$305,0)),""))</f>
        <v/>
      </c>
      <c r="I183" s="32" t="n"/>
      <c r="J183" s="1" t="n"/>
    </row>
    <row r="184">
      <c r="A184" s="1" t="n"/>
      <c r="B184" s="30" t="n"/>
      <c r="C184" s="32" t="n"/>
      <c r="D184" s="32" t="n"/>
      <c r="E184" s="39" t="n"/>
      <c r="F184" s="34" t="n"/>
      <c r="G184" s="33" t="n"/>
      <c r="H184" s="38">
        <f>IF(C184="","",IFERROR(INDEX(Clients!$M$6:$M$305,MATCH(C184,Clients!$B$6:$B$305,0)),""))</f>
        <v/>
      </c>
      <c r="I184" s="32" t="n"/>
      <c r="J184" s="1" t="n"/>
    </row>
    <row r="185">
      <c r="A185" s="1" t="n"/>
      <c r="B185" s="30" t="n"/>
      <c r="C185" s="32" t="n"/>
      <c r="D185" s="32" t="n"/>
      <c r="E185" s="39" t="n"/>
      <c r="F185" s="34" t="n"/>
      <c r="G185" s="33" t="n"/>
      <c r="H185" s="38">
        <f>IF(C185="","",IFERROR(INDEX(Clients!$M$6:$M$305,MATCH(C185,Clients!$B$6:$B$305,0)),""))</f>
        <v/>
      </c>
      <c r="I185" s="32" t="n"/>
      <c r="J185" s="1" t="n"/>
    </row>
    <row r="186">
      <c r="A186" s="1" t="n"/>
      <c r="B186" s="30" t="n"/>
      <c r="C186" s="32" t="n"/>
      <c r="D186" s="32" t="n"/>
      <c r="E186" s="39" t="n"/>
      <c r="F186" s="34" t="n"/>
      <c r="G186" s="33" t="n"/>
      <c r="H186" s="38">
        <f>IF(C186="","",IFERROR(INDEX(Clients!$M$6:$M$305,MATCH(C186,Clients!$B$6:$B$305,0)),""))</f>
        <v/>
      </c>
      <c r="I186" s="32" t="n"/>
      <c r="J186" s="1" t="n"/>
    </row>
    <row r="187">
      <c r="A187" s="1" t="n"/>
      <c r="B187" s="30" t="n"/>
      <c r="C187" s="32" t="n"/>
      <c r="D187" s="32" t="n"/>
      <c r="E187" s="39" t="n"/>
      <c r="F187" s="34" t="n"/>
      <c r="G187" s="33" t="n"/>
      <c r="H187" s="38">
        <f>IF(C187="","",IFERROR(INDEX(Clients!$M$6:$M$305,MATCH(C187,Clients!$B$6:$B$305,0)),""))</f>
        <v/>
      </c>
      <c r="I187" s="32" t="n"/>
      <c r="J187" s="1" t="n"/>
    </row>
    <row r="188">
      <c r="A188" s="1" t="n"/>
      <c r="B188" s="30" t="n"/>
      <c r="C188" s="32" t="n"/>
      <c r="D188" s="32" t="n"/>
      <c r="E188" s="39" t="n"/>
      <c r="F188" s="34" t="n"/>
      <c r="G188" s="33" t="n"/>
      <c r="H188" s="38">
        <f>IF(C188="","",IFERROR(INDEX(Clients!$M$6:$M$305,MATCH(C188,Clients!$B$6:$B$305,0)),""))</f>
        <v/>
      </c>
      <c r="I188" s="32" t="n"/>
      <c r="J188" s="1" t="n"/>
    </row>
    <row r="189">
      <c r="A189" s="1" t="n"/>
      <c r="B189" s="30" t="n"/>
      <c r="C189" s="32" t="n"/>
      <c r="D189" s="32" t="n"/>
      <c r="E189" s="39" t="n"/>
      <c r="F189" s="34" t="n"/>
      <c r="G189" s="33" t="n"/>
      <c r="H189" s="38">
        <f>IF(C189="","",IFERROR(INDEX(Clients!$M$6:$M$305,MATCH(C189,Clients!$B$6:$B$305,0)),""))</f>
        <v/>
      </c>
      <c r="I189" s="32" t="n"/>
      <c r="J189" s="1" t="n"/>
    </row>
    <row r="190">
      <c r="A190" s="1" t="n"/>
      <c r="B190" s="30" t="n"/>
      <c r="C190" s="32" t="n"/>
      <c r="D190" s="32" t="n"/>
      <c r="E190" s="39" t="n"/>
      <c r="F190" s="34" t="n"/>
      <c r="G190" s="33" t="n"/>
      <c r="H190" s="38">
        <f>IF(C190="","",IFERROR(INDEX(Clients!$M$6:$M$305,MATCH(C190,Clients!$B$6:$B$305,0)),""))</f>
        <v/>
      </c>
      <c r="I190" s="32" t="n"/>
      <c r="J190" s="1" t="n"/>
    </row>
    <row r="191">
      <c r="A191" s="1" t="n"/>
      <c r="B191" s="30" t="n"/>
      <c r="C191" s="32" t="n"/>
      <c r="D191" s="32" t="n"/>
      <c r="E191" s="39" t="n"/>
      <c r="F191" s="34" t="n"/>
      <c r="G191" s="33" t="n"/>
      <c r="H191" s="38">
        <f>IF(C191="","",IFERROR(INDEX(Clients!$M$6:$M$305,MATCH(C191,Clients!$B$6:$B$305,0)),""))</f>
        <v/>
      </c>
      <c r="I191" s="32" t="n"/>
      <c r="J191" s="1" t="n"/>
    </row>
    <row r="192">
      <c r="A192" s="1" t="n"/>
      <c r="B192" s="30" t="n"/>
      <c r="C192" s="32" t="n"/>
      <c r="D192" s="32" t="n"/>
      <c r="E192" s="39" t="n"/>
      <c r="F192" s="34" t="n"/>
      <c r="G192" s="33" t="n"/>
      <c r="H192" s="38">
        <f>IF(C192="","",IFERROR(INDEX(Clients!$M$6:$M$305,MATCH(C192,Clients!$B$6:$B$305,0)),""))</f>
        <v/>
      </c>
      <c r="I192" s="32" t="n"/>
      <c r="J192" s="1" t="n"/>
    </row>
    <row r="193">
      <c r="A193" s="1" t="n"/>
      <c r="B193" s="30" t="n"/>
      <c r="C193" s="32" t="n"/>
      <c r="D193" s="32" t="n"/>
      <c r="E193" s="39" t="n"/>
      <c r="F193" s="34" t="n"/>
      <c r="G193" s="33" t="n"/>
      <c r="H193" s="38">
        <f>IF(C193="","",IFERROR(INDEX(Clients!$M$6:$M$305,MATCH(C193,Clients!$B$6:$B$305,0)),""))</f>
        <v/>
      </c>
      <c r="I193" s="32" t="n"/>
      <c r="J193" s="1" t="n"/>
    </row>
    <row r="194">
      <c r="A194" s="1" t="n"/>
      <c r="B194" s="30" t="n"/>
      <c r="C194" s="32" t="n"/>
      <c r="D194" s="32" t="n"/>
      <c r="E194" s="39" t="n"/>
      <c r="F194" s="34" t="n"/>
      <c r="G194" s="33" t="n"/>
      <c r="H194" s="38">
        <f>IF(C194="","",IFERROR(INDEX(Clients!$M$6:$M$305,MATCH(C194,Clients!$B$6:$B$305,0)),""))</f>
        <v/>
      </c>
      <c r="I194" s="32" t="n"/>
      <c r="J194" s="1" t="n"/>
    </row>
    <row r="195">
      <c r="A195" s="1" t="n"/>
      <c r="B195" s="30" t="n"/>
      <c r="C195" s="32" t="n"/>
      <c r="D195" s="32" t="n"/>
      <c r="E195" s="39" t="n"/>
      <c r="F195" s="34" t="n"/>
      <c r="G195" s="33" t="n"/>
      <c r="H195" s="38">
        <f>IF(C195="","",IFERROR(INDEX(Clients!$M$6:$M$305,MATCH(C195,Clients!$B$6:$B$305,0)),""))</f>
        <v/>
      </c>
      <c r="I195" s="32" t="n"/>
      <c r="J195" s="1" t="n"/>
    </row>
    <row r="196">
      <c r="A196" s="1" t="n"/>
      <c r="B196" s="30" t="n"/>
      <c r="C196" s="32" t="n"/>
      <c r="D196" s="32" t="n"/>
      <c r="E196" s="39" t="n"/>
      <c r="F196" s="34" t="n"/>
      <c r="G196" s="33" t="n"/>
      <c r="H196" s="38">
        <f>IF(C196="","",IFERROR(INDEX(Clients!$M$6:$M$305,MATCH(C196,Clients!$B$6:$B$305,0)),""))</f>
        <v/>
      </c>
      <c r="I196" s="32" t="n"/>
      <c r="J196" s="1" t="n"/>
    </row>
    <row r="197">
      <c r="A197" s="1" t="n"/>
      <c r="B197" s="30" t="n"/>
      <c r="C197" s="32" t="n"/>
      <c r="D197" s="32" t="n"/>
      <c r="E197" s="39" t="n"/>
      <c r="F197" s="34" t="n"/>
      <c r="G197" s="33" t="n"/>
      <c r="H197" s="38">
        <f>IF(C197="","",IFERROR(INDEX(Clients!$M$6:$M$305,MATCH(C197,Clients!$B$6:$B$305,0)),""))</f>
        <v/>
      </c>
      <c r="I197" s="32" t="n"/>
      <c r="J197" s="1" t="n"/>
    </row>
    <row r="198">
      <c r="A198" s="1" t="n"/>
      <c r="B198" s="30" t="n"/>
      <c r="C198" s="32" t="n"/>
      <c r="D198" s="32" t="n"/>
      <c r="E198" s="39" t="n"/>
      <c r="F198" s="34" t="n"/>
      <c r="G198" s="33" t="n"/>
      <c r="H198" s="38">
        <f>IF(C198="","",IFERROR(INDEX(Clients!$M$6:$M$305,MATCH(C198,Clients!$B$6:$B$305,0)),""))</f>
        <v/>
      </c>
      <c r="I198" s="32" t="n"/>
      <c r="J198" s="1" t="n"/>
    </row>
    <row r="199">
      <c r="A199" s="1" t="n"/>
      <c r="B199" s="30" t="n"/>
      <c r="C199" s="32" t="n"/>
      <c r="D199" s="32" t="n"/>
      <c r="E199" s="39" t="n"/>
      <c r="F199" s="34" t="n"/>
      <c r="G199" s="33" t="n"/>
      <c r="H199" s="38">
        <f>IF(C199="","",IFERROR(INDEX(Clients!$M$6:$M$305,MATCH(C199,Clients!$B$6:$B$305,0)),""))</f>
        <v/>
      </c>
      <c r="I199" s="32" t="n"/>
      <c r="J199" s="1" t="n"/>
    </row>
    <row r="200">
      <c r="A200" s="1" t="n"/>
      <c r="B200" s="30" t="n"/>
      <c r="C200" s="32" t="n"/>
      <c r="D200" s="32" t="n"/>
      <c r="E200" s="39" t="n"/>
      <c r="F200" s="34" t="n"/>
      <c r="G200" s="33" t="n"/>
      <c r="H200" s="38">
        <f>IF(C200="","",IFERROR(INDEX(Clients!$M$6:$M$305,MATCH(C200,Clients!$B$6:$B$305,0)),""))</f>
        <v/>
      </c>
      <c r="I200" s="32" t="n"/>
      <c r="J200" s="1" t="n"/>
    </row>
    <row r="201">
      <c r="A201" s="1" t="n"/>
      <c r="B201" s="30" t="n"/>
      <c r="C201" s="32" t="n"/>
      <c r="D201" s="32" t="n"/>
      <c r="E201" s="39" t="n"/>
      <c r="F201" s="34" t="n"/>
      <c r="G201" s="33" t="n"/>
      <c r="H201" s="38">
        <f>IF(C201="","",IFERROR(INDEX(Clients!$M$6:$M$305,MATCH(C201,Clients!$B$6:$B$305,0)),""))</f>
        <v/>
      </c>
      <c r="I201" s="32" t="n"/>
      <c r="J201" s="1" t="n"/>
    </row>
    <row r="202">
      <c r="A202" s="1" t="n"/>
      <c r="B202" s="30" t="n"/>
      <c r="C202" s="32" t="n"/>
      <c r="D202" s="32" t="n"/>
      <c r="E202" s="39" t="n"/>
      <c r="F202" s="34" t="n"/>
      <c r="G202" s="33" t="n"/>
      <c r="H202" s="38">
        <f>IF(C202="","",IFERROR(INDEX(Clients!$M$6:$M$305,MATCH(C202,Clients!$B$6:$B$305,0)),""))</f>
        <v/>
      </c>
      <c r="I202" s="32" t="n"/>
      <c r="J202" s="1" t="n"/>
    </row>
    <row r="203">
      <c r="A203" s="1" t="n"/>
      <c r="B203" s="30" t="n"/>
      <c r="C203" s="32" t="n"/>
      <c r="D203" s="32" t="n"/>
      <c r="E203" s="39" t="n"/>
      <c r="F203" s="34" t="n"/>
      <c r="G203" s="33" t="n"/>
      <c r="H203" s="38">
        <f>IF(C203="","",IFERROR(INDEX(Clients!$M$6:$M$305,MATCH(C203,Clients!$B$6:$B$305,0)),""))</f>
        <v/>
      </c>
      <c r="I203" s="32" t="n"/>
      <c r="J203" s="1" t="n"/>
    </row>
    <row r="204">
      <c r="A204" s="1" t="n"/>
      <c r="B204" s="30" t="n"/>
      <c r="C204" s="32" t="n"/>
      <c r="D204" s="32" t="n"/>
      <c r="E204" s="39" t="n"/>
      <c r="F204" s="34" t="n"/>
      <c r="G204" s="33" t="n"/>
      <c r="H204" s="38">
        <f>IF(C204="","",IFERROR(INDEX(Clients!$M$6:$M$305,MATCH(C204,Clients!$B$6:$B$305,0)),""))</f>
        <v/>
      </c>
      <c r="I204" s="32" t="n"/>
      <c r="J204" s="1" t="n"/>
    </row>
    <row r="205">
      <c r="A205" s="1" t="n"/>
      <c r="B205" s="30" t="n"/>
      <c r="C205" s="32" t="n"/>
      <c r="D205" s="32" t="n"/>
      <c r="E205" s="39" t="n"/>
      <c r="F205" s="34" t="n"/>
      <c r="G205" s="33" t="n"/>
      <c r="H205" s="38">
        <f>IF(C205="","",IFERROR(INDEX(Clients!$M$6:$M$305,MATCH(C205,Clients!$B$6:$B$305,0)),""))</f>
        <v/>
      </c>
      <c r="I205" s="32" t="n"/>
      <c r="J205" s="1" t="n"/>
    </row>
    <row r="206">
      <c r="A206" s="1" t="n"/>
      <c r="B206" s="30" t="n"/>
      <c r="C206" s="32" t="n"/>
      <c r="D206" s="32" t="n"/>
      <c r="E206" s="39" t="n"/>
      <c r="F206" s="34" t="n"/>
      <c r="G206" s="33" t="n"/>
      <c r="H206" s="38">
        <f>IF(C206="","",IFERROR(INDEX(Clients!$M$6:$M$305,MATCH(C206,Clients!$B$6:$B$305,0)),""))</f>
        <v/>
      </c>
      <c r="I206" s="32" t="n"/>
      <c r="J206" s="1" t="n"/>
    </row>
    <row r="207">
      <c r="A207" s="1" t="n"/>
      <c r="B207" s="30" t="n"/>
      <c r="C207" s="32" t="n"/>
      <c r="D207" s="32" t="n"/>
      <c r="E207" s="39" t="n"/>
      <c r="F207" s="34" t="n"/>
      <c r="G207" s="33" t="n"/>
      <c r="H207" s="38">
        <f>IF(C207="","",IFERROR(INDEX(Clients!$M$6:$M$305,MATCH(C207,Clients!$B$6:$B$305,0)),""))</f>
        <v/>
      </c>
      <c r="I207" s="32" t="n"/>
      <c r="J207" s="1" t="n"/>
    </row>
    <row r="208">
      <c r="A208" s="1" t="n"/>
      <c r="B208" s="30" t="n"/>
      <c r="C208" s="32" t="n"/>
      <c r="D208" s="32" t="n"/>
      <c r="E208" s="39" t="n"/>
      <c r="F208" s="34" t="n"/>
      <c r="G208" s="33" t="n"/>
      <c r="H208" s="38">
        <f>IF(C208="","",IFERROR(INDEX(Clients!$M$6:$M$305,MATCH(C208,Clients!$B$6:$B$305,0)),""))</f>
        <v/>
      </c>
      <c r="I208" s="32" t="n"/>
      <c r="J208" s="1" t="n"/>
    </row>
    <row r="209">
      <c r="A209" s="1" t="n"/>
      <c r="B209" s="30" t="n"/>
      <c r="C209" s="32" t="n"/>
      <c r="D209" s="32" t="n"/>
      <c r="E209" s="39" t="n"/>
      <c r="F209" s="34" t="n"/>
      <c r="G209" s="33" t="n"/>
      <c r="H209" s="38">
        <f>IF(C209="","",IFERROR(INDEX(Clients!$M$6:$M$305,MATCH(C209,Clients!$B$6:$B$305,0)),""))</f>
        <v/>
      </c>
      <c r="I209" s="32" t="n"/>
      <c r="J209" s="1" t="n"/>
    </row>
    <row r="210">
      <c r="A210" s="1" t="n"/>
      <c r="B210" s="30" t="n"/>
      <c r="C210" s="32" t="n"/>
      <c r="D210" s="32" t="n"/>
      <c r="E210" s="39" t="n"/>
      <c r="F210" s="34" t="n"/>
      <c r="G210" s="33" t="n"/>
      <c r="H210" s="38">
        <f>IF(C210="","",IFERROR(INDEX(Clients!$M$6:$M$305,MATCH(C210,Clients!$B$6:$B$305,0)),""))</f>
        <v/>
      </c>
      <c r="I210" s="32" t="n"/>
      <c r="J210" s="1" t="n"/>
    </row>
    <row r="211">
      <c r="A211" s="1" t="n"/>
      <c r="B211" s="30" t="n"/>
      <c r="C211" s="32" t="n"/>
      <c r="D211" s="32" t="n"/>
      <c r="E211" s="39" t="n"/>
      <c r="F211" s="34" t="n"/>
      <c r="G211" s="33" t="n"/>
      <c r="H211" s="38">
        <f>IF(C211="","",IFERROR(INDEX(Clients!$M$6:$M$305,MATCH(C211,Clients!$B$6:$B$305,0)),""))</f>
        <v/>
      </c>
      <c r="I211" s="32" t="n"/>
      <c r="J211" s="1" t="n"/>
    </row>
    <row r="212">
      <c r="A212" s="1" t="n"/>
      <c r="B212" s="30" t="n"/>
      <c r="C212" s="32" t="n"/>
      <c r="D212" s="32" t="n"/>
      <c r="E212" s="39" t="n"/>
      <c r="F212" s="34" t="n"/>
      <c r="G212" s="33" t="n"/>
      <c r="H212" s="38">
        <f>IF(C212="","",IFERROR(INDEX(Clients!$M$6:$M$305,MATCH(C212,Clients!$B$6:$B$305,0)),""))</f>
        <v/>
      </c>
      <c r="I212" s="32" t="n"/>
      <c r="J212" s="1" t="n"/>
    </row>
    <row r="213">
      <c r="A213" s="1" t="n"/>
      <c r="B213" s="30" t="n"/>
      <c r="C213" s="32" t="n"/>
      <c r="D213" s="32" t="n"/>
      <c r="E213" s="39" t="n"/>
      <c r="F213" s="34" t="n"/>
      <c r="G213" s="33" t="n"/>
      <c r="H213" s="38">
        <f>IF(C213="","",IFERROR(INDEX(Clients!$M$6:$M$305,MATCH(C213,Clients!$B$6:$B$305,0)),""))</f>
        <v/>
      </c>
      <c r="I213" s="32" t="n"/>
      <c r="J213" s="1" t="n"/>
    </row>
    <row r="214">
      <c r="A214" s="1" t="n"/>
      <c r="B214" s="30" t="n"/>
      <c r="C214" s="32" t="n"/>
      <c r="D214" s="32" t="n"/>
      <c r="E214" s="39" t="n"/>
      <c r="F214" s="34" t="n"/>
      <c r="G214" s="33" t="n"/>
      <c r="H214" s="38">
        <f>IF(C214="","",IFERROR(INDEX(Clients!$M$6:$M$305,MATCH(C214,Clients!$B$6:$B$305,0)),""))</f>
        <v/>
      </c>
      <c r="I214" s="32" t="n"/>
      <c r="J214" s="1" t="n"/>
    </row>
    <row r="215">
      <c r="A215" s="1" t="n"/>
      <c r="B215" s="30" t="n"/>
      <c r="C215" s="32" t="n"/>
      <c r="D215" s="32" t="n"/>
      <c r="E215" s="39" t="n"/>
      <c r="F215" s="34" t="n"/>
      <c r="G215" s="33" t="n"/>
      <c r="H215" s="38">
        <f>IF(C215="","",IFERROR(INDEX(Clients!$M$6:$M$305,MATCH(C215,Clients!$B$6:$B$305,0)),""))</f>
        <v/>
      </c>
      <c r="I215" s="32" t="n"/>
      <c r="J215" s="1" t="n"/>
    </row>
    <row r="216">
      <c r="A216" s="1" t="n"/>
      <c r="B216" s="30" t="n"/>
      <c r="C216" s="32" t="n"/>
      <c r="D216" s="32" t="n"/>
      <c r="E216" s="39" t="n"/>
      <c r="F216" s="34" t="n"/>
      <c r="G216" s="33" t="n"/>
      <c r="H216" s="38">
        <f>IF(C216="","",IFERROR(INDEX(Clients!$M$6:$M$305,MATCH(C216,Clients!$B$6:$B$305,0)),""))</f>
        <v/>
      </c>
      <c r="I216" s="32" t="n"/>
      <c r="J216" s="1" t="n"/>
    </row>
    <row r="217">
      <c r="A217" s="1" t="n"/>
      <c r="B217" s="30" t="n"/>
      <c r="C217" s="32" t="n"/>
      <c r="D217" s="32" t="n"/>
      <c r="E217" s="39" t="n"/>
      <c r="F217" s="34" t="n"/>
      <c r="G217" s="33" t="n"/>
      <c r="H217" s="38">
        <f>IF(C217="","",IFERROR(INDEX(Clients!$M$6:$M$305,MATCH(C217,Clients!$B$6:$B$305,0)),""))</f>
        <v/>
      </c>
      <c r="I217" s="32" t="n"/>
      <c r="J217" s="1" t="n"/>
    </row>
    <row r="218">
      <c r="A218" s="1" t="n"/>
      <c r="B218" s="30" t="n"/>
      <c r="C218" s="32" t="n"/>
      <c r="D218" s="32" t="n"/>
      <c r="E218" s="39" t="n"/>
      <c r="F218" s="34" t="n"/>
      <c r="G218" s="33" t="n"/>
      <c r="H218" s="38">
        <f>IF(C218="","",IFERROR(INDEX(Clients!$M$6:$M$305,MATCH(C218,Clients!$B$6:$B$305,0)),""))</f>
        <v/>
      </c>
      <c r="I218" s="32" t="n"/>
      <c r="J218" s="1" t="n"/>
    </row>
    <row r="219">
      <c r="A219" s="1" t="n"/>
      <c r="B219" s="30" t="n"/>
      <c r="C219" s="32" t="n"/>
      <c r="D219" s="32" t="n"/>
      <c r="E219" s="39" t="n"/>
      <c r="F219" s="34" t="n"/>
      <c r="G219" s="33" t="n"/>
      <c r="H219" s="38">
        <f>IF(C219="","",IFERROR(INDEX(Clients!$M$6:$M$305,MATCH(C219,Clients!$B$6:$B$305,0)),""))</f>
        <v/>
      </c>
      <c r="I219" s="32" t="n"/>
      <c r="J219" s="1" t="n"/>
    </row>
    <row r="220">
      <c r="A220" s="1" t="n"/>
      <c r="B220" s="30" t="n"/>
      <c r="C220" s="32" t="n"/>
      <c r="D220" s="32" t="n"/>
      <c r="E220" s="39" t="n"/>
      <c r="F220" s="34" t="n"/>
      <c r="G220" s="33" t="n"/>
      <c r="H220" s="38">
        <f>IF(C220="","",IFERROR(INDEX(Clients!$M$6:$M$305,MATCH(C220,Clients!$B$6:$B$305,0)),""))</f>
        <v/>
      </c>
      <c r="I220" s="32" t="n"/>
      <c r="J220" s="1" t="n"/>
    </row>
    <row r="221">
      <c r="A221" s="1" t="n"/>
      <c r="B221" s="30" t="n"/>
      <c r="C221" s="32" t="n"/>
      <c r="D221" s="32" t="n"/>
      <c r="E221" s="39" t="n"/>
      <c r="F221" s="34" t="n"/>
      <c r="G221" s="33" t="n"/>
      <c r="H221" s="38">
        <f>IF(C221="","",IFERROR(INDEX(Clients!$M$6:$M$305,MATCH(C221,Clients!$B$6:$B$305,0)),""))</f>
        <v/>
      </c>
      <c r="I221" s="32" t="n"/>
      <c r="J221" s="1" t="n"/>
    </row>
    <row r="222">
      <c r="A222" s="1" t="n"/>
      <c r="B222" s="30" t="n"/>
      <c r="C222" s="32" t="n"/>
      <c r="D222" s="32" t="n"/>
      <c r="E222" s="39" t="n"/>
      <c r="F222" s="34" t="n"/>
      <c r="G222" s="33" t="n"/>
      <c r="H222" s="38">
        <f>IF(C222="","",IFERROR(INDEX(Clients!$M$6:$M$305,MATCH(C222,Clients!$B$6:$B$305,0)),""))</f>
        <v/>
      </c>
      <c r="I222" s="32" t="n"/>
      <c r="J222" s="1" t="n"/>
    </row>
    <row r="223">
      <c r="A223" s="1" t="n"/>
      <c r="B223" s="30" t="n"/>
      <c r="C223" s="32" t="n"/>
      <c r="D223" s="32" t="n"/>
      <c r="E223" s="39" t="n"/>
      <c r="F223" s="34" t="n"/>
      <c r="G223" s="33" t="n"/>
      <c r="H223" s="38">
        <f>IF(C223="","",IFERROR(INDEX(Clients!$M$6:$M$305,MATCH(C223,Clients!$B$6:$B$305,0)),""))</f>
        <v/>
      </c>
      <c r="I223" s="32" t="n"/>
      <c r="J223" s="1" t="n"/>
    </row>
    <row r="224">
      <c r="A224" s="1" t="n"/>
      <c r="B224" s="30" t="n"/>
      <c r="C224" s="32" t="n"/>
      <c r="D224" s="32" t="n"/>
      <c r="E224" s="39" t="n"/>
      <c r="F224" s="34" t="n"/>
      <c r="G224" s="33" t="n"/>
      <c r="H224" s="38">
        <f>IF(C224="","",IFERROR(INDEX(Clients!$M$6:$M$305,MATCH(C224,Clients!$B$6:$B$305,0)),""))</f>
        <v/>
      </c>
      <c r="I224" s="32" t="n"/>
      <c r="J224" s="1" t="n"/>
    </row>
    <row r="225">
      <c r="A225" s="1" t="n"/>
      <c r="B225" s="30" t="n"/>
      <c r="C225" s="32" t="n"/>
      <c r="D225" s="32" t="n"/>
      <c r="E225" s="39" t="n"/>
      <c r="F225" s="34" t="n"/>
      <c r="G225" s="33" t="n"/>
      <c r="H225" s="38">
        <f>IF(C225="","",IFERROR(INDEX(Clients!$M$6:$M$305,MATCH(C225,Clients!$B$6:$B$305,0)),""))</f>
        <v/>
      </c>
      <c r="I225" s="32" t="n"/>
      <c r="J225" s="1" t="n"/>
    </row>
    <row r="226">
      <c r="A226" s="1" t="n"/>
      <c r="B226" s="30" t="n"/>
      <c r="C226" s="32" t="n"/>
      <c r="D226" s="32" t="n"/>
      <c r="E226" s="39" t="n"/>
      <c r="F226" s="34" t="n"/>
      <c r="G226" s="33" t="n"/>
      <c r="H226" s="38">
        <f>IF(C226="","",IFERROR(INDEX(Clients!$M$6:$M$305,MATCH(C226,Clients!$B$6:$B$305,0)),""))</f>
        <v/>
      </c>
      <c r="I226" s="32" t="n"/>
      <c r="J226" s="1" t="n"/>
    </row>
    <row r="227">
      <c r="A227" s="1" t="n"/>
      <c r="B227" s="30" t="n"/>
      <c r="C227" s="32" t="n"/>
      <c r="D227" s="32" t="n"/>
      <c r="E227" s="39" t="n"/>
      <c r="F227" s="34" t="n"/>
      <c r="G227" s="33" t="n"/>
      <c r="H227" s="38">
        <f>IF(C227="","",IFERROR(INDEX(Clients!$M$6:$M$305,MATCH(C227,Clients!$B$6:$B$305,0)),""))</f>
        <v/>
      </c>
      <c r="I227" s="32" t="n"/>
      <c r="J227" s="1" t="n"/>
    </row>
    <row r="228">
      <c r="A228" s="1" t="n"/>
      <c r="B228" s="30" t="n"/>
      <c r="C228" s="32" t="n"/>
      <c r="D228" s="32" t="n"/>
      <c r="E228" s="39" t="n"/>
      <c r="F228" s="34" t="n"/>
      <c r="G228" s="33" t="n"/>
      <c r="H228" s="38">
        <f>IF(C228="","",IFERROR(INDEX(Clients!$M$6:$M$305,MATCH(C228,Clients!$B$6:$B$305,0)),""))</f>
        <v/>
      </c>
      <c r="I228" s="32" t="n"/>
      <c r="J228" s="1" t="n"/>
    </row>
    <row r="229">
      <c r="A229" s="1" t="n"/>
      <c r="B229" s="30" t="n"/>
      <c r="C229" s="32" t="n"/>
      <c r="D229" s="32" t="n"/>
      <c r="E229" s="39" t="n"/>
      <c r="F229" s="34" t="n"/>
      <c r="G229" s="33" t="n"/>
      <c r="H229" s="38">
        <f>IF(C229="","",IFERROR(INDEX(Clients!$M$6:$M$305,MATCH(C229,Clients!$B$6:$B$305,0)),""))</f>
        <v/>
      </c>
      <c r="I229" s="32" t="n"/>
      <c r="J229" s="1" t="n"/>
    </row>
    <row r="230">
      <c r="A230" s="1" t="n"/>
      <c r="B230" s="30" t="n"/>
      <c r="C230" s="32" t="n"/>
      <c r="D230" s="32" t="n"/>
      <c r="E230" s="39" t="n"/>
      <c r="F230" s="34" t="n"/>
      <c r="G230" s="33" t="n"/>
      <c r="H230" s="38">
        <f>IF(C230="","",IFERROR(INDEX(Clients!$M$6:$M$305,MATCH(C230,Clients!$B$6:$B$305,0)),""))</f>
        <v/>
      </c>
      <c r="I230" s="32" t="n"/>
      <c r="J230" s="1" t="n"/>
    </row>
    <row r="231">
      <c r="A231" s="1" t="n"/>
      <c r="B231" s="30" t="n"/>
      <c r="C231" s="32" t="n"/>
      <c r="D231" s="32" t="n"/>
      <c r="E231" s="39" t="n"/>
      <c r="F231" s="34" t="n"/>
      <c r="G231" s="33" t="n"/>
      <c r="H231" s="38">
        <f>IF(C231="","",IFERROR(INDEX(Clients!$M$6:$M$305,MATCH(C231,Clients!$B$6:$B$305,0)),""))</f>
        <v/>
      </c>
      <c r="I231" s="32" t="n"/>
      <c r="J231" s="1" t="n"/>
    </row>
    <row r="232">
      <c r="A232" s="1" t="n"/>
      <c r="B232" s="30" t="n"/>
      <c r="C232" s="32" t="n"/>
      <c r="D232" s="32" t="n"/>
      <c r="E232" s="39" t="n"/>
      <c r="F232" s="34" t="n"/>
      <c r="G232" s="33" t="n"/>
      <c r="H232" s="38">
        <f>IF(C232="","",IFERROR(INDEX(Clients!$M$6:$M$305,MATCH(C232,Clients!$B$6:$B$305,0)),""))</f>
        <v/>
      </c>
      <c r="I232" s="32" t="n"/>
      <c r="J232" s="1" t="n"/>
    </row>
    <row r="233">
      <c r="A233" s="1" t="n"/>
      <c r="B233" s="30" t="n"/>
      <c r="C233" s="32" t="n"/>
      <c r="D233" s="32" t="n"/>
      <c r="E233" s="39" t="n"/>
      <c r="F233" s="34" t="n"/>
      <c r="G233" s="33" t="n"/>
      <c r="H233" s="38">
        <f>IF(C233="","",IFERROR(INDEX(Clients!$M$6:$M$305,MATCH(C233,Clients!$B$6:$B$305,0)),""))</f>
        <v/>
      </c>
      <c r="I233" s="32" t="n"/>
      <c r="J233" s="1" t="n"/>
    </row>
    <row r="234">
      <c r="A234" s="1" t="n"/>
      <c r="B234" s="30" t="n"/>
      <c r="C234" s="32" t="n"/>
      <c r="D234" s="32" t="n"/>
      <c r="E234" s="39" t="n"/>
      <c r="F234" s="34" t="n"/>
      <c r="G234" s="33" t="n"/>
      <c r="H234" s="38">
        <f>IF(C234="","",IFERROR(INDEX(Clients!$M$6:$M$305,MATCH(C234,Clients!$B$6:$B$305,0)),""))</f>
        <v/>
      </c>
      <c r="I234" s="32" t="n"/>
      <c r="J234" s="1" t="n"/>
    </row>
    <row r="235">
      <c r="A235" s="1" t="n"/>
      <c r="B235" s="30" t="n"/>
      <c r="C235" s="32" t="n"/>
      <c r="D235" s="32" t="n"/>
      <c r="E235" s="39" t="n"/>
      <c r="F235" s="34" t="n"/>
      <c r="G235" s="33" t="n"/>
      <c r="H235" s="38">
        <f>IF(C235="","",IFERROR(INDEX(Clients!$M$6:$M$305,MATCH(C235,Clients!$B$6:$B$305,0)),""))</f>
        <v/>
      </c>
      <c r="I235" s="32" t="n"/>
      <c r="J235" s="1" t="n"/>
    </row>
    <row r="236">
      <c r="A236" s="1" t="n"/>
      <c r="B236" s="30" t="n"/>
      <c r="C236" s="32" t="n"/>
      <c r="D236" s="32" t="n"/>
      <c r="E236" s="39" t="n"/>
      <c r="F236" s="34" t="n"/>
      <c r="G236" s="33" t="n"/>
      <c r="H236" s="38">
        <f>IF(C236="","",IFERROR(INDEX(Clients!$M$6:$M$305,MATCH(C236,Clients!$B$6:$B$305,0)),""))</f>
        <v/>
      </c>
      <c r="I236" s="32" t="n"/>
      <c r="J236" s="1" t="n"/>
    </row>
    <row r="237">
      <c r="A237" s="1" t="n"/>
      <c r="B237" s="30" t="n"/>
      <c r="C237" s="32" t="n"/>
      <c r="D237" s="32" t="n"/>
      <c r="E237" s="39" t="n"/>
      <c r="F237" s="34" t="n"/>
      <c r="G237" s="33" t="n"/>
      <c r="H237" s="38">
        <f>IF(C237="","",IFERROR(INDEX(Clients!$M$6:$M$305,MATCH(C237,Clients!$B$6:$B$305,0)),""))</f>
        <v/>
      </c>
      <c r="I237" s="32" t="n"/>
      <c r="J237" s="1" t="n"/>
    </row>
    <row r="238">
      <c r="A238" s="1" t="n"/>
      <c r="B238" s="30" t="n"/>
      <c r="C238" s="32" t="n"/>
      <c r="D238" s="32" t="n"/>
      <c r="E238" s="39" t="n"/>
      <c r="F238" s="34" t="n"/>
      <c r="G238" s="33" t="n"/>
      <c r="H238" s="38">
        <f>IF(C238="","",IFERROR(INDEX(Clients!$M$6:$M$305,MATCH(C238,Clients!$B$6:$B$305,0)),""))</f>
        <v/>
      </c>
      <c r="I238" s="32" t="n"/>
      <c r="J238" s="1" t="n"/>
    </row>
    <row r="239">
      <c r="A239" s="1" t="n"/>
      <c r="B239" s="30" t="n"/>
      <c r="C239" s="32" t="n"/>
      <c r="D239" s="32" t="n"/>
      <c r="E239" s="39" t="n"/>
      <c r="F239" s="34" t="n"/>
      <c r="G239" s="33" t="n"/>
      <c r="H239" s="38">
        <f>IF(C239="","",IFERROR(INDEX(Clients!$M$6:$M$305,MATCH(C239,Clients!$B$6:$B$305,0)),""))</f>
        <v/>
      </c>
      <c r="I239" s="32" t="n"/>
      <c r="J239" s="1" t="n"/>
    </row>
    <row r="240">
      <c r="A240" s="1" t="n"/>
      <c r="B240" s="30" t="n"/>
      <c r="C240" s="32" t="n"/>
      <c r="D240" s="32" t="n"/>
      <c r="E240" s="39" t="n"/>
      <c r="F240" s="34" t="n"/>
      <c r="G240" s="33" t="n"/>
      <c r="H240" s="38">
        <f>IF(C240="","",IFERROR(INDEX(Clients!$M$6:$M$305,MATCH(C240,Clients!$B$6:$B$305,0)),""))</f>
        <v/>
      </c>
      <c r="I240" s="32" t="n"/>
      <c r="J240" s="1" t="n"/>
    </row>
    <row r="241">
      <c r="A241" s="1" t="n"/>
      <c r="B241" s="30" t="n"/>
      <c r="C241" s="32" t="n"/>
      <c r="D241" s="32" t="n"/>
      <c r="E241" s="39" t="n"/>
      <c r="F241" s="34" t="n"/>
      <c r="G241" s="33" t="n"/>
      <c r="H241" s="38">
        <f>IF(C241="","",IFERROR(INDEX(Clients!$M$6:$M$305,MATCH(C241,Clients!$B$6:$B$305,0)),""))</f>
        <v/>
      </c>
      <c r="I241" s="32" t="n"/>
      <c r="J241" s="1" t="n"/>
    </row>
    <row r="242">
      <c r="A242" s="1" t="n"/>
      <c r="B242" s="30" t="n"/>
      <c r="C242" s="32" t="n"/>
      <c r="D242" s="32" t="n"/>
      <c r="E242" s="39" t="n"/>
      <c r="F242" s="34" t="n"/>
      <c r="G242" s="33" t="n"/>
      <c r="H242" s="38">
        <f>IF(C242="","",IFERROR(INDEX(Clients!$M$6:$M$305,MATCH(C242,Clients!$B$6:$B$305,0)),""))</f>
        <v/>
      </c>
      <c r="I242" s="32" t="n"/>
      <c r="J242" s="1" t="n"/>
    </row>
    <row r="243">
      <c r="A243" s="1" t="n"/>
      <c r="B243" s="30" t="n"/>
      <c r="C243" s="32" t="n"/>
      <c r="D243" s="32" t="n"/>
      <c r="E243" s="39" t="n"/>
      <c r="F243" s="34" t="n"/>
      <c r="G243" s="33" t="n"/>
      <c r="H243" s="38">
        <f>IF(C243="","",IFERROR(INDEX(Clients!$M$6:$M$305,MATCH(C243,Clients!$B$6:$B$305,0)),""))</f>
        <v/>
      </c>
      <c r="I243" s="32" t="n"/>
      <c r="J243" s="1" t="n"/>
    </row>
    <row r="244">
      <c r="A244" s="1" t="n"/>
      <c r="B244" s="30" t="n"/>
      <c r="C244" s="32" t="n"/>
      <c r="D244" s="32" t="n"/>
      <c r="E244" s="39" t="n"/>
      <c r="F244" s="34" t="n"/>
      <c r="G244" s="33" t="n"/>
      <c r="H244" s="38">
        <f>IF(C244="","",IFERROR(INDEX(Clients!$M$6:$M$305,MATCH(C244,Clients!$B$6:$B$305,0)),""))</f>
        <v/>
      </c>
      <c r="I244" s="32" t="n"/>
      <c r="J244" s="1" t="n"/>
    </row>
    <row r="245">
      <c r="A245" s="1" t="n"/>
      <c r="B245" s="30" t="n"/>
      <c r="C245" s="32" t="n"/>
      <c r="D245" s="32" t="n"/>
      <c r="E245" s="39" t="n"/>
      <c r="F245" s="34" t="n"/>
      <c r="G245" s="33" t="n"/>
      <c r="H245" s="38">
        <f>IF(C245="","",IFERROR(INDEX(Clients!$M$6:$M$305,MATCH(C245,Clients!$B$6:$B$305,0)),""))</f>
        <v/>
      </c>
      <c r="I245" s="32" t="n"/>
      <c r="J245" s="1" t="n"/>
    </row>
    <row r="246">
      <c r="A246" s="1" t="n"/>
      <c r="B246" s="30" t="n"/>
      <c r="C246" s="32" t="n"/>
      <c r="D246" s="32" t="n"/>
      <c r="E246" s="39" t="n"/>
      <c r="F246" s="34" t="n"/>
      <c r="G246" s="33" t="n"/>
      <c r="H246" s="38">
        <f>IF(C246="","",IFERROR(INDEX(Clients!$M$6:$M$305,MATCH(C246,Clients!$B$6:$B$305,0)),""))</f>
        <v/>
      </c>
      <c r="I246" s="32" t="n"/>
      <c r="J246" s="1" t="n"/>
    </row>
    <row r="247">
      <c r="A247" s="1" t="n"/>
      <c r="B247" s="30" t="n"/>
      <c r="C247" s="32" t="n"/>
      <c r="D247" s="32" t="n"/>
      <c r="E247" s="39" t="n"/>
      <c r="F247" s="34" t="n"/>
      <c r="G247" s="33" t="n"/>
      <c r="H247" s="38">
        <f>IF(C247="","",IFERROR(INDEX(Clients!$M$6:$M$305,MATCH(C247,Clients!$B$6:$B$305,0)),""))</f>
        <v/>
      </c>
      <c r="I247" s="32" t="n"/>
      <c r="J247" s="1" t="n"/>
    </row>
    <row r="248">
      <c r="A248" s="1" t="n"/>
      <c r="B248" s="30" t="n"/>
      <c r="C248" s="32" t="n"/>
      <c r="D248" s="32" t="n"/>
      <c r="E248" s="39" t="n"/>
      <c r="F248" s="34" t="n"/>
      <c r="G248" s="33" t="n"/>
      <c r="H248" s="38">
        <f>IF(C248="","",IFERROR(INDEX(Clients!$M$6:$M$305,MATCH(C248,Clients!$B$6:$B$305,0)),""))</f>
        <v/>
      </c>
      <c r="I248" s="32" t="n"/>
      <c r="J248" s="1" t="n"/>
    </row>
    <row r="249">
      <c r="A249" s="1" t="n"/>
      <c r="B249" s="30" t="n"/>
      <c r="C249" s="32" t="n"/>
      <c r="D249" s="32" t="n"/>
      <c r="E249" s="39" t="n"/>
      <c r="F249" s="34" t="n"/>
      <c r="G249" s="33" t="n"/>
      <c r="H249" s="38">
        <f>IF(C249="","",IFERROR(INDEX(Clients!$M$6:$M$305,MATCH(C249,Clients!$B$6:$B$305,0)),""))</f>
        <v/>
      </c>
      <c r="I249" s="32" t="n"/>
      <c r="J249" s="1" t="n"/>
    </row>
    <row r="250">
      <c r="A250" s="1" t="n"/>
      <c r="B250" s="30" t="n"/>
      <c r="C250" s="32" t="n"/>
      <c r="D250" s="32" t="n"/>
      <c r="E250" s="39" t="n"/>
      <c r="F250" s="34" t="n"/>
      <c r="G250" s="33" t="n"/>
      <c r="H250" s="38">
        <f>IF(C250="","",IFERROR(INDEX(Clients!$M$6:$M$305,MATCH(C250,Clients!$B$6:$B$305,0)),""))</f>
        <v/>
      </c>
      <c r="I250" s="32" t="n"/>
      <c r="J250" s="1" t="n"/>
    </row>
    <row r="251">
      <c r="A251" s="1" t="n"/>
      <c r="B251" s="30" t="n"/>
      <c r="C251" s="32" t="n"/>
      <c r="D251" s="32" t="n"/>
      <c r="E251" s="39" t="n"/>
      <c r="F251" s="34" t="n"/>
      <c r="G251" s="33" t="n"/>
      <c r="H251" s="38">
        <f>IF(C251="","",IFERROR(INDEX(Clients!$M$6:$M$305,MATCH(C251,Clients!$B$6:$B$305,0)),""))</f>
        <v/>
      </c>
      <c r="I251" s="32" t="n"/>
      <c r="J251" s="1" t="n"/>
    </row>
    <row r="252">
      <c r="A252" s="1" t="n"/>
      <c r="B252" s="30" t="n"/>
      <c r="C252" s="32" t="n"/>
      <c r="D252" s="32" t="n"/>
      <c r="E252" s="39" t="n"/>
      <c r="F252" s="34" t="n"/>
      <c r="G252" s="33" t="n"/>
      <c r="H252" s="38">
        <f>IF(C252="","",IFERROR(INDEX(Clients!$M$6:$M$305,MATCH(C252,Clients!$B$6:$B$305,0)),""))</f>
        <v/>
      </c>
      <c r="I252" s="32" t="n"/>
      <c r="J252" s="1" t="n"/>
    </row>
    <row r="253">
      <c r="A253" s="1" t="n"/>
      <c r="B253" s="30" t="n"/>
      <c r="C253" s="32" t="n"/>
      <c r="D253" s="32" t="n"/>
      <c r="E253" s="39" t="n"/>
      <c r="F253" s="34" t="n"/>
      <c r="G253" s="33" t="n"/>
      <c r="H253" s="38">
        <f>IF(C253="","",IFERROR(INDEX(Clients!$M$6:$M$305,MATCH(C253,Clients!$B$6:$B$305,0)),""))</f>
        <v/>
      </c>
      <c r="I253" s="32" t="n"/>
      <c r="J253" s="1" t="n"/>
    </row>
    <row r="254">
      <c r="A254" s="1" t="n"/>
      <c r="B254" s="30" t="n"/>
      <c r="C254" s="32" t="n"/>
      <c r="D254" s="32" t="n"/>
      <c r="E254" s="39" t="n"/>
      <c r="F254" s="34" t="n"/>
      <c r="G254" s="33" t="n"/>
      <c r="H254" s="38">
        <f>IF(C254="","",IFERROR(INDEX(Clients!$M$6:$M$305,MATCH(C254,Clients!$B$6:$B$305,0)),""))</f>
        <v/>
      </c>
      <c r="I254" s="32" t="n"/>
      <c r="J254" s="1" t="n"/>
    </row>
    <row r="255">
      <c r="A255" s="1" t="n"/>
      <c r="B255" s="30" t="n"/>
      <c r="C255" s="32" t="n"/>
      <c r="D255" s="32" t="n"/>
      <c r="E255" s="39" t="n"/>
      <c r="F255" s="34" t="n"/>
      <c r="G255" s="33" t="n"/>
      <c r="H255" s="38">
        <f>IF(C255="","",IFERROR(INDEX(Clients!$M$6:$M$305,MATCH(C255,Clients!$B$6:$B$305,0)),""))</f>
        <v/>
      </c>
      <c r="I255" s="32" t="n"/>
      <c r="J255" s="1" t="n"/>
    </row>
    <row r="256">
      <c r="A256" s="1" t="n"/>
      <c r="B256" s="30" t="n"/>
      <c r="C256" s="32" t="n"/>
      <c r="D256" s="32" t="n"/>
      <c r="E256" s="39" t="n"/>
      <c r="F256" s="34" t="n"/>
      <c r="G256" s="33" t="n"/>
      <c r="H256" s="38">
        <f>IF(C256="","",IFERROR(INDEX(Clients!$M$6:$M$305,MATCH(C256,Clients!$B$6:$B$305,0)),""))</f>
        <v/>
      </c>
      <c r="I256" s="32" t="n"/>
      <c r="J256" s="1" t="n"/>
    </row>
    <row r="257">
      <c r="A257" s="1" t="n"/>
      <c r="B257" s="30" t="n"/>
      <c r="C257" s="32" t="n"/>
      <c r="D257" s="32" t="n"/>
      <c r="E257" s="39" t="n"/>
      <c r="F257" s="34" t="n"/>
      <c r="G257" s="33" t="n"/>
      <c r="H257" s="38">
        <f>IF(C257="","",IFERROR(INDEX(Clients!$M$6:$M$305,MATCH(C257,Clients!$B$6:$B$305,0)),""))</f>
        <v/>
      </c>
      <c r="I257" s="32" t="n"/>
      <c r="J257" s="1" t="n"/>
    </row>
    <row r="258">
      <c r="A258" s="1" t="n"/>
      <c r="B258" s="30" t="n"/>
      <c r="C258" s="32" t="n"/>
      <c r="D258" s="32" t="n"/>
      <c r="E258" s="39" t="n"/>
      <c r="F258" s="34" t="n"/>
      <c r="G258" s="33" t="n"/>
      <c r="H258" s="38">
        <f>IF(C258="","",IFERROR(INDEX(Clients!$M$6:$M$305,MATCH(C258,Clients!$B$6:$B$305,0)),""))</f>
        <v/>
      </c>
      <c r="I258" s="32" t="n"/>
      <c r="J258" s="1" t="n"/>
    </row>
    <row r="259">
      <c r="A259" s="1" t="n"/>
      <c r="B259" s="30" t="n"/>
      <c r="C259" s="32" t="n"/>
      <c r="D259" s="32" t="n"/>
      <c r="E259" s="39" t="n"/>
      <c r="F259" s="34" t="n"/>
      <c r="G259" s="33" t="n"/>
      <c r="H259" s="38">
        <f>IF(C259="","",IFERROR(INDEX(Clients!$M$6:$M$305,MATCH(C259,Clients!$B$6:$B$305,0)),""))</f>
        <v/>
      </c>
      <c r="I259" s="32" t="n"/>
      <c r="J259" s="1" t="n"/>
    </row>
    <row r="260">
      <c r="A260" s="1" t="n"/>
      <c r="B260" s="30" t="n"/>
      <c r="C260" s="32" t="n"/>
      <c r="D260" s="32" t="n"/>
      <c r="E260" s="39" t="n"/>
      <c r="F260" s="34" t="n"/>
      <c r="G260" s="33" t="n"/>
      <c r="H260" s="38">
        <f>IF(C260="","",IFERROR(INDEX(Clients!$M$6:$M$305,MATCH(C260,Clients!$B$6:$B$305,0)),""))</f>
        <v/>
      </c>
      <c r="I260" s="32" t="n"/>
      <c r="J260" s="1" t="n"/>
    </row>
    <row r="261">
      <c r="A261" s="1" t="n"/>
      <c r="B261" s="30" t="n"/>
      <c r="C261" s="32" t="n"/>
      <c r="D261" s="32" t="n"/>
      <c r="E261" s="39" t="n"/>
      <c r="F261" s="34" t="n"/>
      <c r="G261" s="33" t="n"/>
      <c r="H261" s="38">
        <f>IF(C261="","",IFERROR(INDEX(Clients!$M$6:$M$305,MATCH(C261,Clients!$B$6:$B$305,0)),""))</f>
        <v/>
      </c>
      <c r="I261" s="32" t="n"/>
      <c r="J261" s="1" t="n"/>
    </row>
    <row r="262">
      <c r="A262" s="1" t="n"/>
      <c r="B262" s="30" t="n"/>
      <c r="C262" s="32" t="n"/>
      <c r="D262" s="32" t="n"/>
      <c r="E262" s="39" t="n"/>
      <c r="F262" s="34" t="n"/>
      <c r="G262" s="33" t="n"/>
      <c r="H262" s="38">
        <f>IF(C262="","",IFERROR(INDEX(Clients!$M$6:$M$305,MATCH(C262,Clients!$B$6:$B$305,0)),""))</f>
        <v/>
      </c>
      <c r="I262" s="32" t="n"/>
      <c r="J262" s="1" t="n"/>
    </row>
    <row r="263">
      <c r="A263" s="1" t="n"/>
      <c r="B263" s="30" t="n"/>
      <c r="C263" s="32" t="n"/>
      <c r="D263" s="32" t="n"/>
      <c r="E263" s="39" t="n"/>
      <c r="F263" s="34" t="n"/>
      <c r="G263" s="33" t="n"/>
      <c r="H263" s="38">
        <f>IF(C263="","",IFERROR(INDEX(Clients!$M$6:$M$305,MATCH(C263,Clients!$B$6:$B$305,0)),""))</f>
        <v/>
      </c>
      <c r="I263" s="32" t="n"/>
      <c r="J263" s="1" t="n"/>
    </row>
    <row r="264">
      <c r="A264" s="1" t="n"/>
      <c r="B264" s="30" t="n"/>
      <c r="C264" s="32" t="n"/>
      <c r="D264" s="32" t="n"/>
      <c r="E264" s="39" t="n"/>
      <c r="F264" s="34" t="n"/>
      <c r="G264" s="33" t="n"/>
      <c r="H264" s="38">
        <f>IF(C264="","",IFERROR(INDEX(Clients!$M$6:$M$305,MATCH(C264,Clients!$B$6:$B$305,0)),""))</f>
        <v/>
      </c>
      <c r="I264" s="32" t="n"/>
      <c r="J264" s="1" t="n"/>
    </row>
    <row r="265">
      <c r="A265" s="1" t="n"/>
      <c r="B265" s="30" t="n"/>
      <c r="C265" s="32" t="n"/>
      <c r="D265" s="32" t="n"/>
      <c r="E265" s="39" t="n"/>
      <c r="F265" s="34" t="n"/>
      <c r="G265" s="33" t="n"/>
      <c r="H265" s="38">
        <f>IF(C265="","",IFERROR(INDEX(Clients!$M$6:$M$305,MATCH(C265,Clients!$B$6:$B$305,0)),""))</f>
        <v/>
      </c>
      <c r="I265" s="32" t="n"/>
      <c r="J265" s="1" t="n"/>
    </row>
    <row r="266">
      <c r="A266" s="1" t="n"/>
      <c r="B266" s="30" t="n"/>
      <c r="C266" s="32" t="n"/>
      <c r="D266" s="32" t="n"/>
      <c r="E266" s="39" t="n"/>
      <c r="F266" s="34" t="n"/>
      <c r="G266" s="33" t="n"/>
      <c r="H266" s="38">
        <f>IF(C266="","",IFERROR(INDEX(Clients!$M$6:$M$305,MATCH(C266,Clients!$B$6:$B$305,0)),""))</f>
        <v/>
      </c>
      <c r="I266" s="32" t="n"/>
      <c r="J266" s="1" t="n"/>
    </row>
    <row r="267">
      <c r="A267" s="1" t="n"/>
      <c r="B267" s="30" t="n"/>
      <c r="C267" s="32" t="n"/>
      <c r="D267" s="32" t="n"/>
      <c r="E267" s="39" t="n"/>
      <c r="F267" s="34" t="n"/>
      <c r="G267" s="33" t="n"/>
      <c r="H267" s="38">
        <f>IF(C267="","",IFERROR(INDEX(Clients!$M$6:$M$305,MATCH(C267,Clients!$B$6:$B$305,0)),""))</f>
        <v/>
      </c>
      <c r="I267" s="32" t="n"/>
      <c r="J267" s="1" t="n"/>
    </row>
    <row r="268">
      <c r="A268" s="1" t="n"/>
      <c r="B268" s="30" t="n"/>
      <c r="C268" s="32" t="n"/>
      <c r="D268" s="32" t="n"/>
      <c r="E268" s="39" t="n"/>
      <c r="F268" s="34" t="n"/>
      <c r="G268" s="33" t="n"/>
      <c r="H268" s="38">
        <f>IF(C268="","",IFERROR(INDEX(Clients!$M$6:$M$305,MATCH(C268,Clients!$B$6:$B$305,0)),""))</f>
        <v/>
      </c>
      <c r="I268" s="32" t="n"/>
      <c r="J268" s="1" t="n"/>
    </row>
    <row r="269">
      <c r="A269" s="1" t="n"/>
      <c r="B269" s="30" t="n"/>
      <c r="C269" s="32" t="n"/>
      <c r="D269" s="32" t="n"/>
      <c r="E269" s="39" t="n"/>
      <c r="F269" s="34" t="n"/>
      <c r="G269" s="33" t="n"/>
      <c r="H269" s="38">
        <f>IF(C269="","",IFERROR(INDEX(Clients!$M$6:$M$305,MATCH(C269,Clients!$B$6:$B$305,0)),""))</f>
        <v/>
      </c>
      <c r="I269" s="32" t="n"/>
      <c r="J269" s="1" t="n"/>
    </row>
    <row r="270">
      <c r="A270" s="1" t="n"/>
      <c r="B270" s="30" t="n"/>
      <c r="C270" s="32" t="n"/>
      <c r="D270" s="32" t="n"/>
      <c r="E270" s="39" t="n"/>
      <c r="F270" s="34" t="n"/>
      <c r="G270" s="33" t="n"/>
      <c r="H270" s="38">
        <f>IF(C270="","",IFERROR(INDEX(Clients!$M$6:$M$305,MATCH(C270,Clients!$B$6:$B$305,0)),""))</f>
        <v/>
      </c>
      <c r="I270" s="32" t="n"/>
      <c r="J270" s="1" t="n"/>
    </row>
    <row r="271">
      <c r="A271" s="1" t="n"/>
      <c r="B271" s="30" t="n"/>
      <c r="C271" s="32" t="n"/>
      <c r="D271" s="32" t="n"/>
      <c r="E271" s="39" t="n"/>
      <c r="F271" s="34" t="n"/>
      <c r="G271" s="33" t="n"/>
      <c r="H271" s="38">
        <f>IF(C271="","",IFERROR(INDEX(Clients!$M$6:$M$305,MATCH(C271,Clients!$B$6:$B$305,0)),""))</f>
        <v/>
      </c>
      <c r="I271" s="32" t="n"/>
      <c r="J271" s="1" t="n"/>
    </row>
    <row r="272">
      <c r="A272" s="1" t="n"/>
      <c r="B272" s="30" t="n"/>
      <c r="C272" s="32" t="n"/>
      <c r="D272" s="32" t="n"/>
      <c r="E272" s="39" t="n"/>
      <c r="F272" s="34" t="n"/>
      <c r="G272" s="33" t="n"/>
      <c r="H272" s="38">
        <f>IF(C272="","",IFERROR(INDEX(Clients!$M$6:$M$305,MATCH(C272,Clients!$B$6:$B$305,0)),""))</f>
        <v/>
      </c>
      <c r="I272" s="32" t="n"/>
      <c r="J272" s="1" t="n"/>
    </row>
    <row r="273">
      <c r="A273" s="1" t="n"/>
      <c r="B273" s="30" t="n"/>
      <c r="C273" s="32" t="n"/>
      <c r="D273" s="32" t="n"/>
      <c r="E273" s="39" t="n"/>
      <c r="F273" s="34" t="n"/>
      <c r="G273" s="33" t="n"/>
      <c r="H273" s="38">
        <f>IF(C273="","",IFERROR(INDEX(Clients!$M$6:$M$305,MATCH(C273,Clients!$B$6:$B$305,0)),""))</f>
        <v/>
      </c>
      <c r="I273" s="32" t="n"/>
      <c r="J273" s="1" t="n"/>
    </row>
    <row r="274">
      <c r="A274" s="1" t="n"/>
      <c r="B274" s="30" t="n"/>
      <c r="C274" s="32" t="n"/>
      <c r="D274" s="32" t="n"/>
      <c r="E274" s="39" t="n"/>
      <c r="F274" s="34" t="n"/>
      <c r="G274" s="33" t="n"/>
      <c r="H274" s="38">
        <f>IF(C274="","",IFERROR(INDEX(Clients!$M$6:$M$305,MATCH(C274,Clients!$B$6:$B$305,0)),""))</f>
        <v/>
      </c>
      <c r="I274" s="32" t="n"/>
      <c r="J274" s="1" t="n"/>
    </row>
    <row r="275">
      <c r="A275" s="1" t="n"/>
      <c r="B275" s="30" t="n"/>
      <c r="C275" s="32" t="n"/>
      <c r="D275" s="32" t="n"/>
      <c r="E275" s="39" t="n"/>
      <c r="F275" s="34" t="n"/>
      <c r="G275" s="33" t="n"/>
      <c r="H275" s="38">
        <f>IF(C275="","",IFERROR(INDEX(Clients!$M$6:$M$305,MATCH(C275,Clients!$B$6:$B$305,0)),""))</f>
        <v/>
      </c>
      <c r="I275" s="32" t="n"/>
      <c r="J275" s="1" t="n"/>
    </row>
    <row r="276">
      <c r="A276" s="1" t="n"/>
      <c r="B276" s="30" t="n"/>
      <c r="C276" s="32" t="n"/>
      <c r="D276" s="32" t="n"/>
      <c r="E276" s="39" t="n"/>
      <c r="F276" s="34" t="n"/>
      <c r="G276" s="33" t="n"/>
      <c r="H276" s="38">
        <f>IF(C276="","",IFERROR(INDEX(Clients!$M$6:$M$305,MATCH(C276,Clients!$B$6:$B$305,0)),""))</f>
        <v/>
      </c>
      <c r="I276" s="32" t="n"/>
      <c r="J276" s="1" t="n"/>
    </row>
    <row r="277">
      <c r="A277" s="1" t="n"/>
      <c r="B277" s="30" t="n"/>
      <c r="C277" s="32" t="n"/>
      <c r="D277" s="32" t="n"/>
      <c r="E277" s="39" t="n"/>
      <c r="F277" s="34" t="n"/>
      <c r="G277" s="33" t="n"/>
      <c r="H277" s="38">
        <f>IF(C277="","",IFERROR(INDEX(Clients!$M$6:$M$305,MATCH(C277,Clients!$B$6:$B$305,0)),""))</f>
        <v/>
      </c>
      <c r="I277" s="32" t="n"/>
      <c r="J277" s="1" t="n"/>
    </row>
    <row r="278">
      <c r="A278" s="1" t="n"/>
      <c r="B278" s="30" t="n"/>
      <c r="C278" s="32" t="n"/>
      <c r="D278" s="32" t="n"/>
      <c r="E278" s="39" t="n"/>
      <c r="F278" s="34" t="n"/>
      <c r="G278" s="33" t="n"/>
      <c r="H278" s="38">
        <f>IF(C278="","",IFERROR(INDEX(Clients!$M$6:$M$305,MATCH(C278,Clients!$B$6:$B$305,0)),""))</f>
        <v/>
      </c>
      <c r="I278" s="32" t="n"/>
      <c r="J278" s="1" t="n"/>
    </row>
    <row r="279">
      <c r="A279" s="1" t="n"/>
      <c r="B279" s="30" t="n"/>
      <c r="C279" s="32" t="n"/>
      <c r="D279" s="32" t="n"/>
      <c r="E279" s="39" t="n"/>
      <c r="F279" s="34" t="n"/>
      <c r="G279" s="33" t="n"/>
      <c r="H279" s="38">
        <f>IF(C279="","",IFERROR(INDEX(Clients!$M$6:$M$305,MATCH(C279,Clients!$B$6:$B$305,0)),""))</f>
        <v/>
      </c>
      <c r="I279" s="32" t="n"/>
      <c r="J279" s="1" t="n"/>
    </row>
    <row r="280">
      <c r="A280" s="1" t="n"/>
      <c r="B280" s="30" t="n"/>
      <c r="C280" s="32" t="n"/>
      <c r="D280" s="32" t="n"/>
      <c r="E280" s="39" t="n"/>
      <c r="F280" s="34" t="n"/>
      <c r="G280" s="33" t="n"/>
      <c r="H280" s="38">
        <f>IF(C280="","",IFERROR(INDEX(Clients!$M$6:$M$305,MATCH(C280,Clients!$B$6:$B$305,0)),""))</f>
        <v/>
      </c>
      <c r="I280" s="32" t="n"/>
      <c r="J280" s="1" t="n"/>
    </row>
    <row r="281">
      <c r="A281" s="1" t="n"/>
      <c r="B281" s="30" t="n"/>
      <c r="C281" s="32" t="n"/>
      <c r="D281" s="32" t="n"/>
      <c r="E281" s="39" t="n"/>
      <c r="F281" s="34" t="n"/>
      <c r="G281" s="33" t="n"/>
      <c r="H281" s="38">
        <f>IF(C281="","",IFERROR(INDEX(Clients!$M$6:$M$305,MATCH(C281,Clients!$B$6:$B$305,0)),""))</f>
        <v/>
      </c>
      <c r="I281" s="32" t="n"/>
      <c r="J281" s="1" t="n"/>
    </row>
    <row r="282">
      <c r="A282" s="1" t="n"/>
      <c r="B282" s="30" t="n"/>
      <c r="C282" s="32" t="n"/>
      <c r="D282" s="32" t="n"/>
      <c r="E282" s="39" t="n"/>
      <c r="F282" s="34" t="n"/>
      <c r="G282" s="33" t="n"/>
      <c r="H282" s="38">
        <f>IF(C282="","",IFERROR(INDEX(Clients!$M$6:$M$305,MATCH(C282,Clients!$B$6:$B$305,0)),""))</f>
        <v/>
      </c>
      <c r="I282" s="32" t="n"/>
      <c r="J282" s="1" t="n"/>
    </row>
    <row r="283">
      <c r="A283" s="1" t="n"/>
      <c r="B283" s="30" t="n"/>
      <c r="C283" s="32" t="n"/>
      <c r="D283" s="32" t="n"/>
      <c r="E283" s="39" t="n"/>
      <c r="F283" s="34" t="n"/>
      <c r="G283" s="33" t="n"/>
      <c r="H283" s="38">
        <f>IF(C283="","",IFERROR(INDEX(Clients!$M$6:$M$305,MATCH(C283,Clients!$B$6:$B$305,0)),""))</f>
        <v/>
      </c>
      <c r="I283" s="32" t="n"/>
      <c r="J283" s="1" t="n"/>
    </row>
    <row r="284">
      <c r="A284" s="1" t="n"/>
      <c r="B284" s="30" t="n"/>
      <c r="C284" s="32" t="n"/>
      <c r="D284" s="32" t="n"/>
      <c r="E284" s="39" t="n"/>
      <c r="F284" s="34" t="n"/>
      <c r="G284" s="33" t="n"/>
      <c r="H284" s="38">
        <f>IF(C284="","",IFERROR(INDEX(Clients!$M$6:$M$305,MATCH(C284,Clients!$B$6:$B$305,0)),""))</f>
        <v/>
      </c>
      <c r="I284" s="32" t="n"/>
      <c r="J284" s="1" t="n"/>
    </row>
    <row r="285">
      <c r="A285" s="1" t="n"/>
      <c r="B285" s="30" t="n"/>
      <c r="C285" s="32" t="n"/>
      <c r="D285" s="32" t="n"/>
      <c r="E285" s="39" t="n"/>
      <c r="F285" s="34" t="n"/>
      <c r="G285" s="33" t="n"/>
      <c r="H285" s="38">
        <f>IF(C285="","",IFERROR(INDEX(Clients!$M$6:$M$305,MATCH(C285,Clients!$B$6:$B$305,0)),""))</f>
        <v/>
      </c>
      <c r="I285" s="32" t="n"/>
      <c r="J285" s="1" t="n"/>
    </row>
    <row r="286">
      <c r="A286" s="1" t="n"/>
      <c r="B286" s="30" t="n"/>
      <c r="C286" s="32" t="n"/>
      <c r="D286" s="32" t="n"/>
      <c r="E286" s="39" t="n"/>
      <c r="F286" s="34" t="n"/>
      <c r="G286" s="33" t="n"/>
      <c r="H286" s="38">
        <f>IF(C286="","",IFERROR(INDEX(Clients!$M$6:$M$305,MATCH(C286,Clients!$B$6:$B$305,0)),""))</f>
        <v/>
      </c>
      <c r="I286" s="32" t="n"/>
      <c r="J286" s="1" t="n"/>
    </row>
    <row r="287">
      <c r="A287" s="1" t="n"/>
      <c r="B287" s="30" t="n"/>
      <c r="C287" s="32" t="n"/>
      <c r="D287" s="32" t="n"/>
      <c r="E287" s="39" t="n"/>
      <c r="F287" s="34" t="n"/>
      <c r="G287" s="33" t="n"/>
      <c r="H287" s="38">
        <f>IF(C287="","",IFERROR(INDEX(Clients!$M$6:$M$305,MATCH(C287,Clients!$B$6:$B$305,0)),""))</f>
        <v/>
      </c>
      <c r="I287" s="32" t="n"/>
      <c r="J287" s="1" t="n"/>
    </row>
    <row r="288">
      <c r="A288" s="1" t="n"/>
      <c r="B288" s="30" t="n"/>
      <c r="C288" s="32" t="n"/>
      <c r="D288" s="32" t="n"/>
      <c r="E288" s="39" t="n"/>
      <c r="F288" s="34" t="n"/>
      <c r="G288" s="33" t="n"/>
      <c r="H288" s="38">
        <f>IF(C288="","",IFERROR(INDEX(Clients!$M$6:$M$305,MATCH(C288,Clients!$B$6:$B$305,0)),""))</f>
        <v/>
      </c>
      <c r="I288" s="32" t="n"/>
      <c r="J288" s="1" t="n"/>
    </row>
    <row r="289">
      <c r="A289" s="1" t="n"/>
      <c r="B289" s="30" t="n"/>
      <c r="C289" s="32" t="n"/>
      <c r="D289" s="32" t="n"/>
      <c r="E289" s="39" t="n"/>
      <c r="F289" s="34" t="n"/>
      <c r="G289" s="33" t="n"/>
      <c r="H289" s="38">
        <f>IF(C289="","",IFERROR(INDEX(Clients!$M$6:$M$305,MATCH(C289,Clients!$B$6:$B$305,0)),""))</f>
        <v/>
      </c>
      <c r="I289" s="32" t="n"/>
      <c r="J289" s="1" t="n"/>
    </row>
    <row r="290">
      <c r="A290" s="1" t="n"/>
      <c r="B290" s="30" t="n"/>
      <c r="C290" s="32" t="n"/>
      <c r="D290" s="32" t="n"/>
      <c r="E290" s="39" t="n"/>
      <c r="F290" s="34" t="n"/>
      <c r="G290" s="33" t="n"/>
      <c r="H290" s="38">
        <f>IF(C290="","",IFERROR(INDEX(Clients!$M$6:$M$305,MATCH(C290,Clients!$B$6:$B$305,0)),""))</f>
        <v/>
      </c>
      <c r="I290" s="32" t="n"/>
      <c r="J290" s="1" t="n"/>
    </row>
    <row r="291">
      <c r="A291" s="1" t="n"/>
      <c r="B291" s="30" t="n"/>
      <c r="C291" s="32" t="n"/>
      <c r="D291" s="32" t="n"/>
      <c r="E291" s="39" t="n"/>
      <c r="F291" s="34" t="n"/>
      <c r="G291" s="33" t="n"/>
      <c r="H291" s="38">
        <f>IF(C291="","",IFERROR(INDEX(Clients!$M$6:$M$305,MATCH(C291,Clients!$B$6:$B$305,0)),""))</f>
        <v/>
      </c>
      <c r="I291" s="32" t="n"/>
      <c r="J291" s="1" t="n"/>
    </row>
    <row r="292">
      <c r="A292" s="1" t="n"/>
      <c r="B292" s="30" t="n"/>
      <c r="C292" s="32" t="n"/>
      <c r="D292" s="32" t="n"/>
      <c r="E292" s="39" t="n"/>
      <c r="F292" s="34" t="n"/>
      <c r="G292" s="33" t="n"/>
      <c r="H292" s="38">
        <f>IF(C292="","",IFERROR(INDEX(Clients!$M$6:$M$305,MATCH(C292,Clients!$B$6:$B$305,0)),""))</f>
        <v/>
      </c>
      <c r="I292" s="32" t="n"/>
      <c r="J292" s="1" t="n"/>
    </row>
    <row r="293">
      <c r="A293" s="1" t="n"/>
      <c r="B293" s="30" t="n"/>
      <c r="C293" s="32" t="n"/>
      <c r="D293" s="32" t="n"/>
      <c r="E293" s="39" t="n"/>
      <c r="F293" s="34" t="n"/>
      <c r="G293" s="33" t="n"/>
      <c r="H293" s="38">
        <f>IF(C293="","",IFERROR(INDEX(Clients!$M$6:$M$305,MATCH(C293,Clients!$B$6:$B$305,0)),""))</f>
        <v/>
      </c>
      <c r="I293" s="32" t="n"/>
      <c r="J293" s="1" t="n"/>
    </row>
    <row r="294">
      <c r="A294" s="1" t="n"/>
      <c r="B294" s="30" t="n"/>
      <c r="C294" s="32" t="n"/>
      <c r="D294" s="32" t="n"/>
      <c r="E294" s="39" t="n"/>
      <c r="F294" s="34" t="n"/>
      <c r="G294" s="33" t="n"/>
      <c r="H294" s="38">
        <f>IF(C294="","",IFERROR(INDEX(Clients!$M$6:$M$305,MATCH(C294,Clients!$B$6:$B$305,0)),""))</f>
        <v/>
      </c>
      <c r="I294" s="32" t="n"/>
      <c r="J294" s="1" t="n"/>
    </row>
    <row r="295">
      <c r="A295" s="1" t="n"/>
      <c r="B295" s="30" t="n"/>
      <c r="C295" s="32" t="n"/>
      <c r="D295" s="32" t="n"/>
      <c r="E295" s="39" t="n"/>
      <c r="F295" s="34" t="n"/>
      <c r="G295" s="33" t="n"/>
      <c r="H295" s="38">
        <f>IF(C295="","",IFERROR(INDEX(Clients!$M$6:$M$305,MATCH(C295,Clients!$B$6:$B$305,0)),""))</f>
        <v/>
      </c>
      <c r="I295" s="32" t="n"/>
      <c r="J295" s="1" t="n"/>
    </row>
    <row r="296">
      <c r="A296" s="1" t="n"/>
      <c r="B296" s="30" t="n"/>
      <c r="C296" s="32" t="n"/>
      <c r="D296" s="32" t="n"/>
      <c r="E296" s="39" t="n"/>
      <c r="F296" s="34" t="n"/>
      <c r="G296" s="33" t="n"/>
      <c r="H296" s="38">
        <f>IF(C296="","",IFERROR(INDEX(Clients!$M$6:$M$305,MATCH(C296,Clients!$B$6:$B$305,0)),""))</f>
        <v/>
      </c>
      <c r="I296" s="32" t="n"/>
      <c r="J296" s="1" t="n"/>
    </row>
    <row r="297">
      <c r="A297" s="1" t="n"/>
      <c r="B297" s="30" t="n"/>
      <c r="C297" s="32" t="n"/>
      <c r="D297" s="32" t="n"/>
      <c r="E297" s="39" t="n"/>
      <c r="F297" s="34" t="n"/>
      <c r="G297" s="33" t="n"/>
      <c r="H297" s="38">
        <f>IF(C297="","",IFERROR(INDEX(Clients!$M$6:$M$305,MATCH(C297,Clients!$B$6:$B$305,0)),""))</f>
        <v/>
      </c>
      <c r="I297" s="32" t="n"/>
      <c r="J297" s="1" t="n"/>
    </row>
    <row r="298">
      <c r="A298" s="1" t="n"/>
      <c r="B298" s="30" t="n"/>
      <c r="C298" s="32" t="n"/>
      <c r="D298" s="32" t="n"/>
      <c r="E298" s="39" t="n"/>
      <c r="F298" s="34" t="n"/>
      <c r="G298" s="33" t="n"/>
      <c r="H298" s="38">
        <f>IF(C298="","",IFERROR(INDEX(Clients!$M$6:$M$305,MATCH(C298,Clients!$B$6:$B$305,0)),""))</f>
        <v/>
      </c>
      <c r="I298" s="32" t="n"/>
      <c r="J298" s="1" t="n"/>
    </row>
    <row r="299">
      <c r="A299" s="1" t="n"/>
      <c r="B299" s="30" t="n"/>
      <c r="C299" s="32" t="n"/>
      <c r="D299" s="32" t="n"/>
      <c r="E299" s="39" t="n"/>
      <c r="F299" s="34" t="n"/>
      <c r="G299" s="33" t="n"/>
      <c r="H299" s="38">
        <f>IF(C299="","",IFERROR(INDEX(Clients!$M$6:$M$305,MATCH(C299,Clients!$B$6:$B$305,0)),""))</f>
        <v/>
      </c>
      <c r="I299" s="32" t="n"/>
      <c r="J299" s="1" t="n"/>
    </row>
    <row r="300">
      <c r="A300" s="1" t="n"/>
      <c r="B300" s="30" t="n"/>
      <c r="C300" s="32" t="n"/>
      <c r="D300" s="32" t="n"/>
      <c r="E300" s="39" t="n"/>
      <c r="F300" s="34" t="n"/>
      <c r="G300" s="33" t="n"/>
      <c r="H300" s="38">
        <f>IF(C300="","",IFERROR(INDEX(Clients!$M$6:$M$305,MATCH(C300,Clients!$B$6:$B$305,0)),""))</f>
        <v/>
      </c>
      <c r="I300" s="32" t="n"/>
      <c r="J300" s="1" t="n"/>
    </row>
    <row r="301">
      <c r="A301" s="1" t="n"/>
      <c r="B301" s="30" t="n"/>
      <c r="C301" s="32" t="n"/>
      <c r="D301" s="32" t="n"/>
      <c r="E301" s="39" t="n"/>
      <c r="F301" s="34" t="n"/>
      <c r="G301" s="33" t="n"/>
      <c r="H301" s="38">
        <f>IF(C301="","",IFERROR(INDEX(Clients!$M$6:$M$305,MATCH(C301,Clients!$B$6:$B$305,0)),""))</f>
        <v/>
      </c>
      <c r="I301" s="32" t="n"/>
      <c r="J301" s="1" t="n"/>
    </row>
    <row r="302">
      <c r="A302" s="1" t="n"/>
      <c r="B302" s="30" t="n"/>
      <c r="C302" s="32" t="n"/>
      <c r="D302" s="32" t="n"/>
      <c r="E302" s="39" t="n"/>
      <c r="F302" s="34" t="n"/>
      <c r="G302" s="33" t="n"/>
      <c r="H302" s="38">
        <f>IF(C302="","",IFERROR(INDEX(Clients!$M$6:$M$305,MATCH(C302,Clients!$B$6:$B$305,0)),""))</f>
        <v/>
      </c>
      <c r="I302" s="32" t="n"/>
      <c r="J302" s="1" t="n"/>
    </row>
    <row r="303">
      <c r="A303" s="1" t="n"/>
      <c r="B303" s="30" t="n"/>
      <c r="C303" s="32" t="n"/>
      <c r="D303" s="32" t="n"/>
      <c r="E303" s="39" t="n"/>
      <c r="F303" s="34" t="n"/>
      <c r="G303" s="33" t="n"/>
      <c r="H303" s="38">
        <f>IF(C303="","",IFERROR(INDEX(Clients!$M$6:$M$305,MATCH(C303,Clients!$B$6:$B$305,0)),""))</f>
        <v/>
      </c>
      <c r="I303" s="32" t="n"/>
      <c r="J303" s="1" t="n"/>
    </row>
    <row r="304">
      <c r="A304" s="1" t="n"/>
      <c r="B304" s="30" t="n"/>
      <c r="C304" s="32" t="n"/>
      <c r="D304" s="32" t="n"/>
      <c r="E304" s="39" t="n"/>
      <c r="F304" s="34" t="n"/>
      <c r="G304" s="33" t="n"/>
      <c r="H304" s="38">
        <f>IF(C304="","",IFERROR(INDEX(Clients!$M$6:$M$305,MATCH(C304,Clients!$B$6:$B$305,0)),""))</f>
        <v/>
      </c>
      <c r="I304" s="32" t="n"/>
      <c r="J304" s="1" t="n"/>
    </row>
    <row r="305">
      <c r="A305" s="1" t="n"/>
      <c r="B305" s="30" t="n"/>
      <c r="C305" s="32" t="n"/>
      <c r="D305" s="32" t="n"/>
      <c r="E305" s="39" t="n"/>
      <c r="F305" s="34" t="n"/>
      <c r="G305" s="33" t="n"/>
      <c r="H305" s="38">
        <f>IF(C305="","",IFERROR(INDEX(Clients!$M$6:$M$305,MATCH(C305,Clients!$B$6:$B$305,0)),""))</f>
        <v/>
      </c>
      <c r="I305" s="32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</sheetData>
  <conditionalFormatting sqref="H6:H305">
    <cfRule type="expression" priority="1" dxfId="7">
      <formula>AND($H6&lt;&gt;"",N($H6)&lt;=1)</formula>
    </cfRule>
  </conditionalFormatting>
  <dataValidations count="2">
    <dataValidation sqref="C6:C305" showDropDown="0" showInputMessage="0" showErrorMessage="1" allowBlank="1" type="list">
      <formula1>=Clients!$B$6:$B$305</formula1>
    </dataValidation>
    <dataValidation sqref="G6:G305" showDropDown="0" showInputMessage="0" showErrorMessage="1" allowBlank="1" type="list">
      <formula1>"Card,Cash,Transfer,App"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0" customWidth="1" min="4" max="4"/>
    <col width="12" customWidth="1" min="5" max="5"/>
    <col width="13" customWidth="1" min="6" max="6"/>
    <col width="4" customWidth="1" min="7" max="7"/>
    <col width="34" customWidth="1" min="8" max="8"/>
    <col width="10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Services and settings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Your services with their price and length. The appointments take the price from here.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2" t="inlineStr">
        <is>
          <t>Service</t>
        </is>
      </c>
      <c r="C5" s="12" t="inlineStr">
        <is>
          <t>Price</t>
        </is>
      </c>
      <c r="D5" s="12" t="inlineStr">
        <is>
          <t>Minutes</t>
        </is>
      </c>
      <c r="E5" s="12" t="inlineStr">
        <is>
          <t>Done this year</t>
        </is>
      </c>
      <c r="F5" s="12" t="inlineStr">
        <is>
          <t>Paid this year</t>
        </is>
      </c>
      <c r="G5" s="1" t="n"/>
      <c r="H5" s="12" t="inlineStr">
        <is>
          <t>Setting</t>
        </is>
      </c>
      <c r="I5" s="14" t="n"/>
      <c r="J5" s="1" t="n"/>
    </row>
    <row r="6">
      <c r="A6" s="1" t="n"/>
      <c r="B6" s="35" t="inlineStr">
        <is>
          <t>Women's haircut</t>
        </is>
      </c>
      <c r="C6" s="34" t="n">
        <v>55</v>
      </c>
      <c r="D6" s="39" t="n">
        <v>60</v>
      </c>
      <c r="E6" s="26">
        <f>IF(B6="","",COUNTIFS(Appointments!$E$6:$E$2005,B6,Appointments!$F$6:$F$2005,"Done",Appointments!$B$6:$B$2005,"&gt;="&amp;DATE(YEAR(TODAY()),1,1)))</f>
        <v/>
      </c>
      <c r="F6" s="27">
        <f>IF(B6="","",SUMIFS(Appointments!$I$6:$I$2005,Appointments!$E$6:$E$2005,B6,Appointments!$B$6:$B$2005,"&gt;="&amp;DATE(YEAR(TODAY()),1,1)))</f>
        <v/>
      </c>
      <c r="G6" s="1" t="n"/>
      <c r="H6" s="18" t="inlineStr">
        <is>
          <t>A no-show uses a package session</t>
        </is>
      </c>
      <c r="I6" s="40" t="inlineStr">
        <is>
          <t>Yes</t>
        </is>
      </c>
      <c r="J6" s="1" t="n"/>
    </row>
    <row r="7">
      <c r="A7" s="1" t="n"/>
      <c r="B7" s="35" t="inlineStr">
        <is>
          <t>Men's haircut</t>
        </is>
      </c>
      <c r="C7" s="34" t="n">
        <v>30</v>
      </c>
      <c r="D7" s="39" t="n">
        <v>30</v>
      </c>
      <c r="E7" s="26">
        <f>IF(B7="","",COUNTIFS(Appointments!$E$6:$E$2005,B7,Appointments!$F$6:$F$2005,"Done",Appointments!$B$6:$B$2005,"&gt;="&amp;DATE(YEAR(TODAY()),1,1)))</f>
        <v/>
      </c>
      <c r="F7" s="27">
        <f>IF(B7="","",SUMIFS(Appointments!$I$6:$I$2005,Appointments!$E$6:$E$2005,B7,Appointments!$B$6:$B$2005,"&gt;="&amp;DATE(YEAR(TODAY()),1,1)))</f>
        <v/>
      </c>
      <c r="G7" s="1" t="n"/>
      <c r="H7" s="18" t="inlineStr">
        <is>
          <t>Follow up a client after this many days</t>
        </is>
      </c>
      <c r="I7" s="24" t="n">
        <v>60</v>
      </c>
      <c r="J7" s="1" t="n"/>
    </row>
    <row r="8">
      <c r="A8" s="1" t="n"/>
      <c r="B8" s="35" t="inlineStr">
        <is>
          <t>Kids haircut</t>
        </is>
      </c>
      <c r="C8" s="34" t="n">
        <v>20</v>
      </c>
      <c r="D8" s="39" t="n">
        <v>30</v>
      </c>
      <c r="E8" s="26">
        <f>IF(B8="","",COUNTIFS(Appointments!$E$6:$E$2005,B8,Appointments!$F$6:$F$2005,"Done",Appointments!$B$6:$B$2005,"&gt;="&amp;DATE(YEAR(TODAY()),1,1)))</f>
        <v/>
      </c>
      <c r="F8" s="27">
        <f>IF(B8="","",SUMIFS(Appointments!$I$6:$I$2005,Appointments!$E$6:$E$2005,B8,Appointments!$B$6:$B$2005,"&gt;="&amp;DATE(YEAR(TODAY()),1,1)))</f>
        <v/>
      </c>
      <c r="G8" s="1" t="n"/>
      <c r="H8" s="1" t="n"/>
      <c r="I8" s="1" t="n"/>
      <c r="J8" s="1" t="n"/>
    </row>
    <row r="9">
      <c r="A9" s="1" t="n"/>
      <c r="B9" s="35" t="inlineStr">
        <is>
          <t>Blow dry</t>
        </is>
      </c>
      <c r="C9" s="34" t="n">
        <v>35</v>
      </c>
      <c r="D9" s="39" t="n">
        <v>45</v>
      </c>
      <c r="E9" s="26">
        <f>IF(B9="","",COUNTIFS(Appointments!$E$6:$E$2005,B9,Appointments!$F$6:$F$2005,"Done",Appointments!$B$6:$B$2005,"&gt;="&amp;DATE(YEAR(TODAY()),1,1)))</f>
        <v/>
      </c>
      <c r="F9" s="27">
        <f>IF(B9="","",SUMIFS(Appointments!$I$6:$I$2005,Appointments!$E$6:$E$2005,B9,Appointments!$B$6:$B$2005,"&gt;="&amp;DATE(YEAR(TODAY()),1,1)))</f>
        <v/>
      </c>
      <c r="G9" s="1" t="n"/>
      <c r="H9" s="1" t="n"/>
      <c r="I9" s="1" t="n"/>
      <c r="J9" s="1" t="n"/>
    </row>
    <row r="10">
      <c r="A10" s="1" t="n"/>
      <c r="B10" s="35" t="inlineStr">
        <is>
          <t>Colour</t>
        </is>
      </c>
      <c r="C10" s="34" t="n">
        <v>95</v>
      </c>
      <c r="D10" s="39" t="n">
        <v>120</v>
      </c>
      <c r="E10" s="26">
        <f>IF(B10="","",COUNTIFS(Appointments!$E$6:$E$2005,B10,Appointments!$F$6:$F$2005,"Done",Appointments!$B$6:$B$2005,"&gt;="&amp;DATE(YEAR(TODAY()),1,1)))</f>
        <v/>
      </c>
      <c r="F10" s="27">
        <f>IF(B10="","",SUMIFS(Appointments!$I$6:$I$2005,Appointments!$E$6:$E$2005,B10,Appointments!$B$6:$B$2005,"&gt;="&amp;DATE(YEAR(TODAY()),1,1)))</f>
        <v/>
      </c>
      <c r="G10" s="1" t="n"/>
      <c r="H10" s="1" t="n"/>
      <c r="I10" s="1" t="n"/>
      <c r="J10" s="1" t="n"/>
    </row>
    <row r="11">
      <c r="A11" s="1" t="n"/>
      <c r="B11" s="35" t="inlineStr">
        <is>
          <t>Highlights</t>
        </is>
      </c>
      <c r="C11" s="34" t="n">
        <v>140</v>
      </c>
      <c r="D11" s="39" t="n">
        <v>150</v>
      </c>
      <c r="E11" s="26">
        <f>IF(B11="","",COUNTIFS(Appointments!$E$6:$E$2005,B11,Appointments!$F$6:$F$2005,"Done",Appointments!$B$6:$B$2005,"&gt;="&amp;DATE(YEAR(TODAY()),1,1)))</f>
        <v/>
      </c>
      <c r="F11" s="27">
        <f>IF(B11="","",SUMIFS(Appointments!$I$6:$I$2005,Appointments!$E$6:$E$2005,B11,Appointments!$B$6:$B$2005,"&gt;="&amp;DATE(YEAR(TODAY()),1,1)))</f>
        <v/>
      </c>
      <c r="G11" s="1" t="n"/>
      <c r="H11" s="1" t="n"/>
      <c r="I11" s="1" t="n"/>
      <c r="J11" s="1" t="n"/>
    </row>
    <row r="12">
      <c r="A12" s="1" t="n"/>
      <c r="B12" s="35" t="inlineStr">
        <is>
          <t>Toner</t>
        </is>
      </c>
      <c r="C12" s="34" t="n">
        <v>40</v>
      </c>
      <c r="D12" s="39" t="n">
        <v>30</v>
      </c>
      <c r="E12" s="26">
        <f>IF(B12="","",COUNTIFS(Appointments!$E$6:$E$2005,B12,Appointments!$F$6:$F$2005,"Done",Appointments!$B$6:$B$2005,"&gt;="&amp;DATE(YEAR(TODAY()),1,1)))</f>
        <v/>
      </c>
      <c r="F12" s="27">
        <f>IF(B12="","",SUMIFS(Appointments!$I$6:$I$2005,Appointments!$E$6:$E$2005,B12,Appointments!$B$6:$B$2005,"&gt;="&amp;DATE(YEAR(TODAY()),1,1)))</f>
        <v/>
      </c>
      <c r="G12" s="1" t="n"/>
      <c r="H12" s="1" t="n"/>
      <c r="I12" s="1" t="n"/>
      <c r="J12" s="1" t="n"/>
    </row>
    <row r="13">
      <c r="A13" s="1" t="n"/>
      <c r="B13" s="35" t="inlineStr">
        <is>
          <t>Treatment</t>
        </is>
      </c>
      <c r="C13" s="34" t="n">
        <v>30</v>
      </c>
      <c r="D13" s="39" t="n">
        <v>30</v>
      </c>
      <c r="E13" s="26">
        <f>IF(B13="","",COUNTIFS(Appointments!$E$6:$E$2005,B13,Appointments!$F$6:$F$2005,"Done",Appointments!$B$6:$B$2005,"&gt;="&amp;DATE(YEAR(TODAY()),1,1)))</f>
        <v/>
      </c>
      <c r="F13" s="27">
        <f>IF(B13="","",SUMIFS(Appointments!$I$6:$I$2005,Appointments!$E$6:$E$2005,B13,Appointments!$B$6:$B$2005,"&gt;="&amp;DATE(YEAR(TODAY()),1,1)))</f>
        <v/>
      </c>
      <c r="G13" s="1" t="n"/>
      <c r="H13" s="1" t="n"/>
      <c r="I13" s="1" t="n"/>
      <c r="J13" s="1" t="n"/>
    </row>
    <row r="14">
      <c r="A14" s="1" t="n"/>
      <c r="B14" s="35" t="n"/>
      <c r="C14" s="34" t="n"/>
      <c r="D14" s="39" t="n"/>
      <c r="E14" s="26">
        <f>IF(B14="","",COUNTIFS(Appointments!$E$6:$E$2005,B14,Appointments!$F$6:$F$2005,"Done",Appointments!$B$6:$B$2005,"&gt;="&amp;DATE(YEAR(TODAY()),1,1)))</f>
        <v/>
      </c>
      <c r="F14" s="27">
        <f>IF(B14="","",SUMIFS(Appointments!$I$6:$I$2005,Appointments!$E$6:$E$2005,B14,Appointments!$B$6:$B$2005,"&gt;="&amp;DATE(YEAR(TODAY()),1,1)))</f>
        <v/>
      </c>
      <c r="G14" s="1" t="n"/>
      <c r="H14" s="1" t="n"/>
      <c r="I14" s="1" t="n"/>
      <c r="J14" s="1" t="n"/>
    </row>
    <row r="15">
      <c r="A15" s="1" t="n"/>
      <c r="B15" s="35" t="n"/>
      <c r="C15" s="34" t="n"/>
      <c r="D15" s="39" t="n"/>
      <c r="E15" s="26">
        <f>IF(B15="","",COUNTIFS(Appointments!$E$6:$E$2005,B15,Appointments!$F$6:$F$2005,"Done",Appointments!$B$6:$B$2005,"&gt;="&amp;DATE(YEAR(TODAY()),1,1)))</f>
        <v/>
      </c>
      <c r="F15" s="27">
        <f>IF(B15="","",SUMIFS(Appointments!$I$6:$I$2005,Appointments!$E$6:$E$2005,B15,Appointments!$B$6:$B$2005,"&gt;="&amp;DATE(YEAR(TODAY()),1,1)))</f>
        <v/>
      </c>
      <c r="G15" s="1" t="n"/>
      <c r="H15" s="1" t="n"/>
      <c r="I15" s="1" t="n"/>
      <c r="J15" s="1" t="n"/>
    </row>
    <row r="16">
      <c r="A16" s="1" t="n"/>
      <c r="B16" s="35" t="n"/>
      <c r="C16" s="34" t="n"/>
      <c r="D16" s="39" t="n"/>
      <c r="E16" s="26">
        <f>IF(B16="","",COUNTIFS(Appointments!$E$6:$E$2005,B16,Appointments!$F$6:$F$2005,"Done",Appointments!$B$6:$B$2005,"&gt;="&amp;DATE(YEAR(TODAY()),1,1)))</f>
        <v/>
      </c>
      <c r="F16" s="27">
        <f>IF(B16="","",SUMIFS(Appointments!$I$6:$I$2005,Appointments!$E$6:$E$2005,B16,Appointments!$B$6:$B$2005,"&gt;="&amp;DATE(YEAR(TODAY()),1,1)))</f>
        <v/>
      </c>
      <c r="G16" s="1" t="n"/>
      <c r="H16" s="1" t="n"/>
      <c r="I16" s="1" t="n"/>
      <c r="J16" s="1" t="n"/>
    </row>
    <row r="17">
      <c r="A17" s="1" t="n"/>
      <c r="B17" s="35" t="n"/>
      <c r="C17" s="34" t="n"/>
      <c r="D17" s="39" t="n"/>
      <c r="E17" s="26">
        <f>IF(B17="","",COUNTIFS(Appointments!$E$6:$E$2005,B17,Appointments!$F$6:$F$2005,"Done",Appointments!$B$6:$B$2005,"&gt;="&amp;DATE(YEAR(TODAY()),1,1)))</f>
        <v/>
      </c>
      <c r="F17" s="27">
        <f>IF(B17="","",SUMIFS(Appointments!$I$6:$I$2005,Appointments!$E$6:$E$2005,B17,Appointments!$B$6:$B$2005,"&gt;="&amp;DATE(YEAR(TODAY()),1,1)))</f>
        <v/>
      </c>
      <c r="G17" s="1" t="n"/>
      <c r="H17" s="1" t="n"/>
      <c r="I17" s="1" t="n"/>
      <c r="J17" s="1" t="n"/>
    </row>
    <row r="18">
      <c r="A18" s="1" t="n"/>
      <c r="B18" s="35" t="n"/>
      <c r="C18" s="34" t="n"/>
      <c r="D18" s="39" t="n"/>
      <c r="E18" s="26">
        <f>IF(B18="","",COUNTIFS(Appointments!$E$6:$E$2005,B18,Appointments!$F$6:$F$2005,"Done",Appointments!$B$6:$B$2005,"&gt;="&amp;DATE(YEAR(TODAY()),1,1)))</f>
        <v/>
      </c>
      <c r="F18" s="27">
        <f>IF(B18="","",SUMIFS(Appointments!$I$6:$I$2005,Appointments!$E$6:$E$2005,B18,Appointments!$B$6:$B$2005,"&gt;="&amp;DATE(YEAR(TODAY()),1,1)))</f>
        <v/>
      </c>
      <c r="G18" s="1" t="n"/>
      <c r="H18" s="1" t="n"/>
      <c r="I18" s="1" t="n"/>
      <c r="J18" s="1" t="n"/>
    </row>
    <row r="19">
      <c r="A19" s="1" t="n"/>
      <c r="B19" s="35" t="n"/>
      <c r="C19" s="34" t="n"/>
      <c r="D19" s="39" t="n"/>
      <c r="E19" s="26">
        <f>IF(B19="","",COUNTIFS(Appointments!$E$6:$E$2005,B19,Appointments!$F$6:$F$2005,"Done",Appointments!$B$6:$B$2005,"&gt;="&amp;DATE(YEAR(TODAY()),1,1)))</f>
        <v/>
      </c>
      <c r="F19" s="27">
        <f>IF(B19="","",SUMIFS(Appointments!$I$6:$I$2005,Appointments!$E$6:$E$2005,B19,Appointments!$B$6:$B$2005,"&gt;="&amp;DATE(YEAR(TODAY()),1,1)))</f>
        <v/>
      </c>
      <c r="G19" s="1" t="n"/>
      <c r="H19" s="1" t="n"/>
      <c r="I19" s="1" t="n"/>
      <c r="J19" s="1" t="n"/>
    </row>
    <row r="20">
      <c r="A20" s="1" t="n"/>
      <c r="B20" s="35" t="n"/>
      <c r="C20" s="34" t="n"/>
      <c r="D20" s="39" t="n"/>
      <c r="E20" s="26">
        <f>IF(B20="","",COUNTIFS(Appointments!$E$6:$E$2005,B20,Appointments!$F$6:$F$2005,"Done",Appointments!$B$6:$B$2005,"&gt;="&amp;DATE(YEAR(TODAY()),1,1)))</f>
        <v/>
      </c>
      <c r="F20" s="27">
        <f>IF(B20="","",SUMIFS(Appointments!$I$6:$I$2005,Appointments!$E$6:$E$2005,B20,Appointments!$B$6:$B$2005,"&gt;="&amp;DATE(YEAR(TODAY()),1,1)))</f>
        <v/>
      </c>
      <c r="G20" s="1" t="n"/>
      <c r="H20" s="1" t="n"/>
      <c r="I20" s="1" t="n"/>
      <c r="J20" s="1" t="n"/>
    </row>
    <row r="21">
      <c r="A21" s="1" t="n"/>
      <c r="B21" s="35" t="n"/>
      <c r="C21" s="34" t="n"/>
      <c r="D21" s="39" t="n"/>
      <c r="E21" s="26">
        <f>IF(B21="","",COUNTIFS(Appointments!$E$6:$E$2005,B21,Appointments!$F$6:$F$2005,"Done",Appointments!$B$6:$B$2005,"&gt;="&amp;DATE(YEAR(TODAY()),1,1)))</f>
        <v/>
      </c>
      <c r="F21" s="27">
        <f>IF(B21="","",SUMIFS(Appointments!$I$6:$I$2005,Appointments!$E$6:$E$2005,B21,Appointments!$B$6:$B$2005,"&gt;="&amp;DATE(YEAR(TODAY()),1,1)))</f>
        <v/>
      </c>
      <c r="G21" s="1" t="n"/>
      <c r="H21" s="1" t="n"/>
      <c r="I21" s="1" t="n"/>
      <c r="J21" s="1" t="n"/>
    </row>
    <row r="22">
      <c r="A22" s="1" t="n"/>
      <c r="B22" s="35" t="n"/>
      <c r="C22" s="34" t="n"/>
      <c r="D22" s="39" t="n"/>
      <c r="E22" s="26">
        <f>IF(B22="","",COUNTIFS(Appointments!$E$6:$E$2005,B22,Appointments!$F$6:$F$2005,"Done",Appointments!$B$6:$B$2005,"&gt;="&amp;DATE(YEAR(TODAY()),1,1)))</f>
        <v/>
      </c>
      <c r="F22" s="27">
        <f>IF(B22="","",SUMIFS(Appointments!$I$6:$I$2005,Appointments!$E$6:$E$2005,B22,Appointments!$B$6:$B$2005,"&gt;="&amp;DATE(YEAR(TODAY()),1,1)))</f>
        <v/>
      </c>
      <c r="G22" s="1" t="n"/>
      <c r="H22" s="1" t="n"/>
      <c r="I22" s="1" t="n"/>
      <c r="J22" s="1" t="n"/>
    </row>
    <row r="23">
      <c r="A23" s="1" t="n"/>
      <c r="B23" s="35" t="n"/>
      <c r="C23" s="34" t="n"/>
      <c r="D23" s="39" t="n"/>
      <c r="E23" s="26">
        <f>IF(B23="","",COUNTIFS(Appointments!$E$6:$E$2005,B23,Appointments!$F$6:$F$2005,"Done",Appointments!$B$6:$B$2005,"&gt;="&amp;DATE(YEAR(TODAY()),1,1)))</f>
        <v/>
      </c>
      <c r="F23" s="27">
        <f>IF(B23="","",SUMIFS(Appointments!$I$6:$I$2005,Appointments!$E$6:$E$2005,B23,Appointments!$B$6:$B$2005,"&gt;="&amp;DATE(YEAR(TODAY()),1,1)))</f>
        <v/>
      </c>
      <c r="G23" s="1" t="n"/>
      <c r="H23" s="1" t="n"/>
      <c r="I23" s="1" t="n"/>
      <c r="J23" s="1" t="n"/>
    </row>
    <row r="24">
      <c r="A24" s="1" t="n"/>
      <c r="B24" s="35" t="n"/>
      <c r="C24" s="34" t="n"/>
      <c r="D24" s="39" t="n"/>
      <c r="E24" s="26">
        <f>IF(B24="","",COUNTIFS(Appointments!$E$6:$E$2005,B24,Appointments!$F$6:$F$2005,"Done",Appointments!$B$6:$B$2005,"&gt;="&amp;DATE(YEAR(TODAY()),1,1)))</f>
        <v/>
      </c>
      <c r="F24" s="27">
        <f>IF(B24="","",SUMIFS(Appointments!$I$6:$I$2005,Appointments!$E$6:$E$2005,B24,Appointments!$B$6:$B$2005,"&gt;="&amp;DATE(YEAR(TODAY()),1,1)))</f>
        <v/>
      </c>
      <c r="G24" s="1" t="n"/>
      <c r="H24" s="1" t="n"/>
      <c r="I24" s="1" t="n"/>
      <c r="J24" s="1" t="n"/>
    </row>
    <row r="25">
      <c r="A25" s="1" t="n"/>
      <c r="B25" s="35" t="n"/>
      <c r="C25" s="34" t="n"/>
      <c r="D25" s="39" t="n"/>
      <c r="E25" s="26">
        <f>IF(B25="","",COUNTIFS(Appointments!$E$6:$E$2005,B25,Appointments!$F$6:$F$2005,"Done",Appointments!$B$6:$B$2005,"&gt;="&amp;DATE(YEAR(TODAY()),1,1)))</f>
        <v/>
      </c>
      <c r="F25" s="27">
        <f>IF(B25="","",SUMIFS(Appointments!$I$6:$I$2005,Appointments!$E$6:$E$2005,B25,Appointments!$B$6:$B$2005,"&gt;="&amp;DATE(YEAR(TODAY()),1,1)))</f>
        <v/>
      </c>
      <c r="G25" s="1" t="n"/>
      <c r="H25" s="1" t="n"/>
      <c r="I25" s="1" t="n"/>
      <c r="J25" s="1" t="n"/>
    </row>
    <row r="26">
      <c r="A26" s="1" t="n"/>
      <c r="B26" s="35" t="n"/>
      <c r="C26" s="34" t="n"/>
      <c r="D26" s="39" t="n"/>
      <c r="E26" s="26">
        <f>IF(B26="","",COUNTIFS(Appointments!$E$6:$E$2005,B26,Appointments!$F$6:$F$2005,"Done",Appointments!$B$6:$B$2005,"&gt;="&amp;DATE(YEAR(TODAY()),1,1)))</f>
        <v/>
      </c>
      <c r="F26" s="27">
        <f>IF(B26="","",SUMIFS(Appointments!$I$6:$I$2005,Appointments!$E$6:$E$2005,B26,Appointments!$B$6:$B$2005,"&gt;="&amp;DATE(YEAR(TODAY()),1,1)))</f>
        <v/>
      </c>
      <c r="G26" s="1" t="n"/>
      <c r="H26" s="1" t="n"/>
      <c r="I26" s="1" t="n"/>
      <c r="J26" s="1" t="n"/>
    </row>
    <row r="27">
      <c r="A27" s="1" t="n"/>
      <c r="B27" s="35" t="n"/>
      <c r="C27" s="34" t="n"/>
      <c r="D27" s="39" t="n"/>
      <c r="E27" s="26">
        <f>IF(B27="","",COUNTIFS(Appointments!$E$6:$E$2005,B27,Appointments!$F$6:$F$2005,"Done",Appointments!$B$6:$B$2005,"&gt;="&amp;DATE(YEAR(TODAY()),1,1)))</f>
        <v/>
      </c>
      <c r="F27" s="27">
        <f>IF(B27="","",SUMIFS(Appointments!$I$6:$I$2005,Appointments!$E$6:$E$2005,B27,Appointments!$B$6:$B$2005,"&gt;="&amp;DATE(YEAR(TODAY()),1,1)))</f>
        <v/>
      </c>
      <c r="G27" s="1" t="n"/>
      <c r="H27" s="1" t="n"/>
      <c r="I27" s="1" t="n"/>
      <c r="J27" s="1" t="n"/>
    </row>
    <row r="28">
      <c r="A28" s="1" t="n"/>
      <c r="B28" s="35" t="n"/>
      <c r="C28" s="34" t="n"/>
      <c r="D28" s="39" t="n"/>
      <c r="E28" s="26">
        <f>IF(B28="","",COUNTIFS(Appointments!$E$6:$E$2005,B28,Appointments!$F$6:$F$2005,"Done",Appointments!$B$6:$B$2005,"&gt;="&amp;DATE(YEAR(TODAY()),1,1)))</f>
        <v/>
      </c>
      <c r="F28" s="27">
        <f>IF(B28="","",SUMIFS(Appointments!$I$6:$I$2005,Appointments!$E$6:$E$2005,B28,Appointments!$B$6:$B$2005,"&gt;="&amp;DATE(YEAR(TODAY()),1,1)))</f>
        <v/>
      </c>
      <c r="G28" s="1" t="n"/>
      <c r="H28" s="1" t="n"/>
      <c r="I28" s="1" t="n"/>
      <c r="J28" s="1" t="n"/>
    </row>
    <row r="29">
      <c r="A29" s="1" t="n"/>
      <c r="B29" s="35" t="n"/>
      <c r="C29" s="34" t="n"/>
      <c r="D29" s="39" t="n"/>
      <c r="E29" s="26">
        <f>IF(B29="","",COUNTIFS(Appointments!$E$6:$E$2005,B29,Appointments!$F$6:$F$2005,"Done",Appointments!$B$6:$B$2005,"&gt;="&amp;DATE(YEAR(TODAY()),1,1)))</f>
        <v/>
      </c>
      <c r="F29" s="27">
        <f>IF(B29="","",SUMIFS(Appointments!$I$6:$I$2005,Appointments!$E$6:$E$2005,B29,Appointments!$B$6:$B$2005,"&gt;="&amp;DATE(YEAR(TODAY()),1,1)))</f>
        <v/>
      </c>
      <c r="G29" s="1" t="n"/>
      <c r="H29" s="1" t="n"/>
      <c r="I29" s="1" t="n"/>
      <c r="J29" s="1" t="n"/>
    </row>
    <row r="30">
      <c r="A30" s="1" t="n"/>
      <c r="B30" s="35" t="n"/>
      <c r="C30" s="34" t="n"/>
      <c r="D30" s="39" t="n"/>
      <c r="E30" s="26">
        <f>IF(B30="","",COUNTIFS(Appointments!$E$6:$E$2005,B30,Appointments!$F$6:$F$2005,"Done",Appointments!$B$6:$B$2005,"&gt;="&amp;DATE(YEAR(TODAY()),1,1)))</f>
        <v/>
      </c>
      <c r="F30" s="27">
        <f>IF(B30="","",SUMIFS(Appointments!$I$6:$I$2005,Appointments!$E$6:$E$2005,B30,Appointments!$B$6:$B$2005,"&gt;="&amp;DATE(YEAR(TODAY()),1,1)))</f>
        <v/>
      </c>
      <c r="G30" s="1" t="n"/>
      <c r="H30" s="1" t="n"/>
      <c r="I30" s="1" t="n"/>
      <c r="J30" s="1" t="n"/>
    </row>
    <row r="31">
      <c r="A31" s="1" t="n"/>
      <c r="B31" s="35" t="n"/>
      <c r="C31" s="34" t="n"/>
      <c r="D31" s="39" t="n"/>
      <c r="E31" s="26">
        <f>IF(B31="","",COUNTIFS(Appointments!$E$6:$E$2005,B31,Appointments!$F$6:$F$2005,"Done",Appointments!$B$6:$B$2005,"&gt;="&amp;DATE(YEAR(TODAY()),1,1)))</f>
        <v/>
      </c>
      <c r="F31" s="27">
        <f>IF(B31="","",SUMIFS(Appointments!$I$6:$I$2005,Appointments!$E$6:$E$2005,B31,Appointments!$B$6:$B$2005,"&gt;="&amp;DATE(YEAR(TODAY()),1,1)))</f>
        <v/>
      </c>
      <c r="G31" s="1" t="n"/>
      <c r="H31" s="1" t="n"/>
      <c r="I31" s="1" t="n"/>
      <c r="J31" s="1" t="n"/>
    </row>
    <row r="32">
      <c r="A32" s="1" t="n"/>
      <c r="B32" s="35" t="n"/>
      <c r="C32" s="34" t="n"/>
      <c r="D32" s="39" t="n"/>
      <c r="E32" s="26">
        <f>IF(B32="","",COUNTIFS(Appointments!$E$6:$E$2005,B32,Appointments!$F$6:$F$2005,"Done",Appointments!$B$6:$B$2005,"&gt;="&amp;DATE(YEAR(TODAY()),1,1)))</f>
        <v/>
      </c>
      <c r="F32" s="27">
        <f>IF(B32="","",SUMIFS(Appointments!$I$6:$I$2005,Appointments!$E$6:$E$2005,B32,Appointments!$B$6:$B$2005,"&gt;="&amp;DATE(YEAR(TODAY()),1,1)))</f>
        <v/>
      </c>
      <c r="G32" s="1" t="n"/>
      <c r="H32" s="1" t="n"/>
      <c r="I32" s="1" t="n"/>
      <c r="J32" s="1" t="n"/>
    </row>
    <row r="33">
      <c r="A33" s="1" t="n"/>
      <c r="B33" s="35" t="n"/>
      <c r="C33" s="34" t="n"/>
      <c r="D33" s="39" t="n"/>
      <c r="E33" s="26">
        <f>IF(B33="","",COUNTIFS(Appointments!$E$6:$E$2005,B33,Appointments!$F$6:$F$2005,"Done",Appointments!$B$6:$B$2005,"&gt;="&amp;DATE(YEAR(TODAY()),1,1)))</f>
        <v/>
      </c>
      <c r="F33" s="27">
        <f>IF(B33="","",SUMIFS(Appointments!$I$6:$I$2005,Appointments!$E$6:$E$2005,B33,Appointments!$B$6:$B$2005,"&gt;="&amp;DATE(YEAR(TODAY()),1,1)))</f>
        <v/>
      </c>
      <c r="G33" s="1" t="n"/>
      <c r="H33" s="1" t="n"/>
      <c r="I33" s="1" t="n"/>
      <c r="J33" s="1" t="n"/>
    </row>
    <row r="34">
      <c r="A34" s="1" t="n"/>
      <c r="B34" s="35" t="n"/>
      <c r="C34" s="34" t="n"/>
      <c r="D34" s="39" t="n"/>
      <c r="E34" s="26">
        <f>IF(B34="","",COUNTIFS(Appointments!$E$6:$E$2005,B34,Appointments!$F$6:$F$2005,"Done",Appointments!$B$6:$B$2005,"&gt;="&amp;DATE(YEAR(TODAY()),1,1)))</f>
        <v/>
      </c>
      <c r="F34" s="27">
        <f>IF(B34="","",SUMIFS(Appointments!$I$6:$I$2005,Appointments!$E$6:$E$2005,B34,Appointments!$B$6:$B$2005,"&gt;="&amp;DATE(YEAR(TODAY()),1,1)))</f>
        <v/>
      </c>
      <c r="G34" s="1" t="n"/>
      <c r="H34" s="1" t="n"/>
      <c r="I34" s="1" t="n"/>
      <c r="J34" s="1" t="n"/>
    </row>
    <row r="35">
      <c r="A35" s="1" t="n"/>
      <c r="B35" s="35" t="n"/>
      <c r="C35" s="34" t="n"/>
      <c r="D35" s="39" t="n"/>
      <c r="E35" s="26">
        <f>IF(B35="","",COUNTIFS(Appointments!$E$6:$E$2005,B35,Appointments!$F$6:$F$2005,"Done",Appointments!$B$6:$B$2005,"&gt;="&amp;DATE(YEAR(TODAY()),1,1)))</f>
        <v/>
      </c>
      <c r="F35" s="27">
        <f>IF(B35="","",SUMIFS(Appointments!$I$6:$I$2005,Appointments!$E$6:$E$2005,B35,Appointments!$B$6:$B$2005,"&gt;="&amp;DATE(YEAR(TODAY()),1,1)))</f>
        <v/>
      </c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</sheetData>
  <mergeCells count="1">
    <mergeCell ref="H5:I5"/>
  </mergeCells>
  <dataValidations count="1">
    <dataValidation sqref="I6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Week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The appointments of one week, in time order. Change the first day to see another week.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3" t="inlineStr">
        <is>
          <t>Week starting</t>
        </is>
      </c>
      <c r="C4" s="1" t="n"/>
      <c r="D4" s="41">
        <f>TODAY()-WEEKDAY(TODAY(),3)</f>
        <v/>
      </c>
      <c r="E4" s="42" t="inlineStr">
        <is>
          <t>Shows this week until you type another date.</t>
        </is>
      </c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0" customHeight="1">
      <c r="A6" s="1" t="n"/>
      <c r="B6" s="1" t="n"/>
      <c r="C6" s="43">
        <f>$D$4+0</f>
        <v/>
      </c>
      <c r="D6" s="43">
        <f>$D$4+1</f>
        <v/>
      </c>
      <c r="E6" s="43">
        <f>$D$4+2</f>
        <v/>
      </c>
      <c r="F6" s="43">
        <f>$D$4+3</f>
        <v/>
      </c>
      <c r="G6" s="43">
        <f>$D$4+4</f>
        <v/>
      </c>
      <c r="H6" s="43">
        <f>$D$4+5</f>
        <v/>
      </c>
      <c r="I6" s="43">
        <f>$D$4+6</f>
        <v/>
      </c>
      <c r="J6" s="1" t="n"/>
    </row>
    <row r="7" ht="30" customHeight="1">
      <c r="A7" s="1" t="n"/>
      <c r="B7" s="1" t="n"/>
      <c r="C7" s="44">
        <f>IF(R7="","",HOUR(R7)&amp;":"&amp;RIGHT("0"&amp;MINUTE(R7),2)&amp;"  "&amp;INDEX(Appointments!$D$6:$D$2005,MATCH(R7,Appointments!$M$6:$M$2005,0))&amp;", "&amp;INDEX(Appointments!$E$6:$E$2005,MATCH(R7,Appointments!$M$6:$M$2005,0)))</f>
        <v/>
      </c>
      <c r="D7" s="44">
        <f>IF(S7="","",HOUR(S7)&amp;":"&amp;RIGHT("0"&amp;MINUTE(S7),2)&amp;"  "&amp;INDEX(Appointments!$D$6:$D$2005,MATCH(S7,Appointments!$M$6:$M$2005,0))&amp;", "&amp;INDEX(Appointments!$E$6:$E$2005,MATCH(S7,Appointments!$M$6:$M$2005,0)))</f>
        <v/>
      </c>
      <c r="E7" s="44">
        <f>IF(T7="","",HOUR(T7)&amp;":"&amp;RIGHT("0"&amp;MINUTE(T7),2)&amp;"  "&amp;INDEX(Appointments!$D$6:$D$2005,MATCH(T7,Appointments!$M$6:$M$2005,0))&amp;", "&amp;INDEX(Appointments!$E$6:$E$2005,MATCH(T7,Appointments!$M$6:$M$2005,0)))</f>
        <v/>
      </c>
      <c r="F7" s="44">
        <f>IF(U7="","",HOUR(U7)&amp;":"&amp;RIGHT("0"&amp;MINUTE(U7),2)&amp;"  "&amp;INDEX(Appointments!$D$6:$D$2005,MATCH(U7,Appointments!$M$6:$M$2005,0))&amp;", "&amp;INDEX(Appointments!$E$6:$E$2005,MATCH(U7,Appointments!$M$6:$M$2005,0)))</f>
        <v/>
      </c>
      <c r="G7" s="44">
        <f>IF(V7="","",HOUR(V7)&amp;":"&amp;RIGHT("0"&amp;MINUTE(V7),2)&amp;"  "&amp;INDEX(Appointments!$D$6:$D$2005,MATCH(V7,Appointments!$M$6:$M$2005,0))&amp;", "&amp;INDEX(Appointments!$E$6:$E$2005,MATCH(V7,Appointments!$M$6:$M$2005,0)))</f>
        <v/>
      </c>
      <c r="H7" s="44">
        <f>IF(W7="","",HOUR(W7)&amp;":"&amp;RIGHT("0"&amp;MINUTE(W7),2)&amp;"  "&amp;INDEX(Appointments!$D$6:$D$2005,MATCH(W7,Appointments!$M$6:$M$2005,0))&amp;", "&amp;INDEX(Appointments!$E$6:$E$2005,MATCH(W7,Appointments!$M$6:$M$2005,0)))</f>
        <v/>
      </c>
      <c r="I7" s="44">
        <f>IF(X7="","",HOUR(X7)&amp;":"&amp;RIGHT("0"&amp;MINUTE(X7),2)&amp;"  "&amp;INDEX(Appointments!$D$6:$D$2005,MATCH(X7,Appointments!$M$6:$M$2005,0))&amp;", "&amp;INDEX(Appointments!$E$6:$E$2005,MATCH(X7,Appointments!$M$6:$M$2005,0)))</f>
        <v/>
      </c>
      <c r="J7" s="1" t="n"/>
      <c r="R7">
        <f>IFERROR(IF(SMALL(Appointments!$M$6:$M$2005,COUNTIF(Appointments!$M$6:$M$2005,"&lt;"&amp;C$6)+1)&lt;C$6+1,SMALL(Appointments!$M$6:$M$2005,COUNTIF(Appointments!$M$6:$M$2005,"&lt;"&amp;C$6)+1),""),"")</f>
        <v/>
      </c>
      <c r="S7">
        <f>IFERROR(IF(SMALL(Appointments!$M$6:$M$2005,COUNTIF(Appointments!$M$6:$M$2005,"&lt;"&amp;D$6)+1)&lt;D$6+1,SMALL(Appointments!$M$6:$M$2005,COUNTIF(Appointments!$M$6:$M$2005,"&lt;"&amp;D$6)+1),""),"")</f>
        <v/>
      </c>
      <c r="T7">
        <f>IFERROR(IF(SMALL(Appointments!$M$6:$M$2005,COUNTIF(Appointments!$M$6:$M$2005,"&lt;"&amp;E$6)+1)&lt;E$6+1,SMALL(Appointments!$M$6:$M$2005,COUNTIF(Appointments!$M$6:$M$2005,"&lt;"&amp;E$6)+1),""),"")</f>
        <v/>
      </c>
      <c r="U7">
        <f>IFERROR(IF(SMALL(Appointments!$M$6:$M$2005,COUNTIF(Appointments!$M$6:$M$2005,"&lt;"&amp;F$6)+1)&lt;F$6+1,SMALL(Appointments!$M$6:$M$2005,COUNTIF(Appointments!$M$6:$M$2005,"&lt;"&amp;F$6)+1),""),"")</f>
        <v/>
      </c>
      <c r="V7">
        <f>IFERROR(IF(SMALL(Appointments!$M$6:$M$2005,COUNTIF(Appointments!$M$6:$M$2005,"&lt;"&amp;G$6)+1)&lt;G$6+1,SMALL(Appointments!$M$6:$M$2005,COUNTIF(Appointments!$M$6:$M$2005,"&lt;"&amp;G$6)+1),""),"")</f>
        <v/>
      </c>
      <c r="W7">
        <f>IFERROR(IF(SMALL(Appointments!$M$6:$M$2005,COUNTIF(Appointments!$M$6:$M$2005,"&lt;"&amp;H$6)+1)&lt;H$6+1,SMALL(Appointments!$M$6:$M$2005,COUNTIF(Appointments!$M$6:$M$2005,"&lt;"&amp;H$6)+1),""),"")</f>
        <v/>
      </c>
      <c r="X7">
        <f>IFERROR(IF(SMALL(Appointments!$M$6:$M$2005,COUNTIF(Appointments!$M$6:$M$2005,"&lt;"&amp;I$6)+1)&lt;I$6+1,SMALL(Appointments!$M$6:$M$2005,COUNTIF(Appointments!$M$6:$M$2005,"&lt;"&amp;I$6)+1),""),"")</f>
        <v/>
      </c>
      <c r="Z7">
        <f>IF(R7="","",INDEX(Appointments!$F$6:$F$2005,MATCH(R7,Appointments!$M$6:$M$2005,0)))</f>
        <v/>
      </c>
      <c r="AA7">
        <f>IF(S7="","",INDEX(Appointments!$F$6:$F$2005,MATCH(S7,Appointments!$M$6:$M$2005,0)))</f>
        <v/>
      </c>
      <c r="AB7">
        <f>IF(T7="","",INDEX(Appointments!$F$6:$F$2005,MATCH(T7,Appointments!$M$6:$M$2005,0)))</f>
        <v/>
      </c>
      <c r="AC7">
        <f>IF(U7="","",INDEX(Appointments!$F$6:$F$2005,MATCH(U7,Appointments!$M$6:$M$2005,0)))</f>
        <v/>
      </c>
      <c r="AD7">
        <f>IF(V7="","",INDEX(Appointments!$F$6:$F$2005,MATCH(V7,Appointments!$M$6:$M$2005,0)))</f>
        <v/>
      </c>
      <c r="AE7">
        <f>IF(W7="","",INDEX(Appointments!$F$6:$F$2005,MATCH(W7,Appointments!$M$6:$M$2005,0)))</f>
        <v/>
      </c>
      <c r="AF7">
        <f>IF(X7="","",INDEX(Appointments!$F$6:$F$2005,MATCH(X7,Appointments!$M$6:$M$2005,0)))</f>
        <v/>
      </c>
    </row>
    <row r="8" ht="30" customHeight="1">
      <c r="A8" s="1" t="n"/>
      <c r="B8" s="1" t="n"/>
      <c r="C8" s="44">
        <f>IF(R8="","",HOUR(R8)&amp;":"&amp;RIGHT("0"&amp;MINUTE(R8),2)&amp;"  "&amp;INDEX(Appointments!$D$6:$D$2005,MATCH(R8,Appointments!$M$6:$M$2005,0))&amp;", "&amp;INDEX(Appointments!$E$6:$E$2005,MATCH(R8,Appointments!$M$6:$M$2005,0)))</f>
        <v/>
      </c>
      <c r="D8" s="44">
        <f>IF(S8="","",HOUR(S8)&amp;":"&amp;RIGHT("0"&amp;MINUTE(S8),2)&amp;"  "&amp;INDEX(Appointments!$D$6:$D$2005,MATCH(S8,Appointments!$M$6:$M$2005,0))&amp;", "&amp;INDEX(Appointments!$E$6:$E$2005,MATCH(S8,Appointments!$M$6:$M$2005,0)))</f>
        <v/>
      </c>
      <c r="E8" s="44">
        <f>IF(T8="","",HOUR(T8)&amp;":"&amp;RIGHT("0"&amp;MINUTE(T8),2)&amp;"  "&amp;INDEX(Appointments!$D$6:$D$2005,MATCH(T8,Appointments!$M$6:$M$2005,0))&amp;", "&amp;INDEX(Appointments!$E$6:$E$2005,MATCH(T8,Appointments!$M$6:$M$2005,0)))</f>
        <v/>
      </c>
      <c r="F8" s="44">
        <f>IF(U8="","",HOUR(U8)&amp;":"&amp;RIGHT("0"&amp;MINUTE(U8),2)&amp;"  "&amp;INDEX(Appointments!$D$6:$D$2005,MATCH(U8,Appointments!$M$6:$M$2005,0))&amp;", "&amp;INDEX(Appointments!$E$6:$E$2005,MATCH(U8,Appointments!$M$6:$M$2005,0)))</f>
        <v/>
      </c>
      <c r="G8" s="44">
        <f>IF(V8="","",HOUR(V8)&amp;":"&amp;RIGHT("0"&amp;MINUTE(V8),2)&amp;"  "&amp;INDEX(Appointments!$D$6:$D$2005,MATCH(V8,Appointments!$M$6:$M$2005,0))&amp;", "&amp;INDEX(Appointments!$E$6:$E$2005,MATCH(V8,Appointments!$M$6:$M$2005,0)))</f>
        <v/>
      </c>
      <c r="H8" s="44">
        <f>IF(W8="","",HOUR(W8)&amp;":"&amp;RIGHT("0"&amp;MINUTE(W8),2)&amp;"  "&amp;INDEX(Appointments!$D$6:$D$2005,MATCH(W8,Appointments!$M$6:$M$2005,0))&amp;", "&amp;INDEX(Appointments!$E$6:$E$2005,MATCH(W8,Appointments!$M$6:$M$2005,0)))</f>
        <v/>
      </c>
      <c r="I8" s="44">
        <f>IF(X8="","",HOUR(X8)&amp;":"&amp;RIGHT("0"&amp;MINUTE(X8),2)&amp;"  "&amp;INDEX(Appointments!$D$6:$D$2005,MATCH(X8,Appointments!$M$6:$M$2005,0))&amp;", "&amp;INDEX(Appointments!$E$6:$E$2005,MATCH(X8,Appointments!$M$6:$M$2005,0)))</f>
        <v/>
      </c>
      <c r="J8" s="1" t="n"/>
      <c r="R8">
        <f>IFERROR(IF(SMALL(Appointments!$M$6:$M$2005,COUNTIF(Appointments!$M$6:$M$2005,"&lt;"&amp;C$6)+2)&lt;C$6+1,SMALL(Appointments!$M$6:$M$2005,COUNTIF(Appointments!$M$6:$M$2005,"&lt;"&amp;C$6)+2),""),"")</f>
        <v/>
      </c>
      <c r="S8">
        <f>IFERROR(IF(SMALL(Appointments!$M$6:$M$2005,COUNTIF(Appointments!$M$6:$M$2005,"&lt;"&amp;D$6)+2)&lt;D$6+1,SMALL(Appointments!$M$6:$M$2005,COUNTIF(Appointments!$M$6:$M$2005,"&lt;"&amp;D$6)+2),""),"")</f>
        <v/>
      </c>
      <c r="T8">
        <f>IFERROR(IF(SMALL(Appointments!$M$6:$M$2005,COUNTIF(Appointments!$M$6:$M$2005,"&lt;"&amp;E$6)+2)&lt;E$6+1,SMALL(Appointments!$M$6:$M$2005,COUNTIF(Appointments!$M$6:$M$2005,"&lt;"&amp;E$6)+2),""),"")</f>
        <v/>
      </c>
      <c r="U8">
        <f>IFERROR(IF(SMALL(Appointments!$M$6:$M$2005,COUNTIF(Appointments!$M$6:$M$2005,"&lt;"&amp;F$6)+2)&lt;F$6+1,SMALL(Appointments!$M$6:$M$2005,COUNTIF(Appointments!$M$6:$M$2005,"&lt;"&amp;F$6)+2),""),"")</f>
        <v/>
      </c>
      <c r="V8">
        <f>IFERROR(IF(SMALL(Appointments!$M$6:$M$2005,COUNTIF(Appointments!$M$6:$M$2005,"&lt;"&amp;G$6)+2)&lt;G$6+1,SMALL(Appointments!$M$6:$M$2005,COUNTIF(Appointments!$M$6:$M$2005,"&lt;"&amp;G$6)+2),""),"")</f>
        <v/>
      </c>
      <c r="W8">
        <f>IFERROR(IF(SMALL(Appointments!$M$6:$M$2005,COUNTIF(Appointments!$M$6:$M$2005,"&lt;"&amp;H$6)+2)&lt;H$6+1,SMALL(Appointments!$M$6:$M$2005,COUNTIF(Appointments!$M$6:$M$2005,"&lt;"&amp;H$6)+2),""),"")</f>
        <v/>
      </c>
      <c r="X8">
        <f>IFERROR(IF(SMALL(Appointments!$M$6:$M$2005,COUNTIF(Appointments!$M$6:$M$2005,"&lt;"&amp;I$6)+2)&lt;I$6+1,SMALL(Appointments!$M$6:$M$2005,COUNTIF(Appointments!$M$6:$M$2005,"&lt;"&amp;I$6)+2),""),"")</f>
        <v/>
      </c>
      <c r="Z8">
        <f>IF(R8="","",INDEX(Appointments!$F$6:$F$2005,MATCH(R8,Appointments!$M$6:$M$2005,0)))</f>
        <v/>
      </c>
      <c r="AA8">
        <f>IF(S8="","",INDEX(Appointments!$F$6:$F$2005,MATCH(S8,Appointments!$M$6:$M$2005,0)))</f>
        <v/>
      </c>
      <c r="AB8">
        <f>IF(T8="","",INDEX(Appointments!$F$6:$F$2005,MATCH(T8,Appointments!$M$6:$M$2005,0)))</f>
        <v/>
      </c>
      <c r="AC8">
        <f>IF(U8="","",INDEX(Appointments!$F$6:$F$2005,MATCH(U8,Appointments!$M$6:$M$2005,0)))</f>
        <v/>
      </c>
      <c r="AD8">
        <f>IF(V8="","",INDEX(Appointments!$F$6:$F$2005,MATCH(V8,Appointments!$M$6:$M$2005,0)))</f>
        <v/>
      </c>
      <c r="AE8">
        <f>IF(W8="","",INDEX(Appointments!$F$6:$F$2005,MATCH(W8,Appointments!$M$6:$M$2005,0)))</f>
        <v/>
      </c>
      <c r="AF8">
        <f>IF(X8="","",INDEX(Appointments!$F$6:$F$2005,MATCH(X8,Appointments!$M$6:$M$2005,0)))</f>
        <v/>
      </c>
    </row>
    <row r="9" ht="30" customHeight="1">
      <c r="A9" s="1" t="n"/>
      <c r="B9" s="1" t="n"/>
      <c r="C9" s="44">
        <f>IF(R9="","",HOUR(R9)&amp;":"&amp;RIGHT("0"&amp;MINUTE(R9),2)&amp;"  "&amp;INDEX(Appointments!$D$6:$D$2005,MATCH(R9,Appointments!$M$6:$M$2005,0))&amp;", "&amp;INDEX(Appointments!$E$6:$E$2005,MATCH(R9,Appointments!$M$6:$M$2005,0)))</f>
        <v/>
      </c>
      <c r="D9" s="44">
        <f>IF(S9="","",HOUR(S9)&amp;":"&amp;RIGHT("0"&amp;MINUTE(S9),2)&amp;"  "&amp;INDEX(Appointments!$D$6:$D$2005,MATCH(S9,Appointments!$M$6:$M$2005,0))&amp;", "&amp;INDEX(Appointments!$E$6:$E$2005,MATCH(S9,Appointments!$M$6:$M$2005,0)))</f>
        <v/>
      </c>
      <c r="E9" s="44">
        <f>IF(T9="","",HOUR(T9)&amp;":"&amp;RIGHT("0"&amp;MINUTE(T9),2)&amp;"  "&amp;INDEX(Appointments!$D$6:$D$2005,MATCH(T9,Appointments!$M$6:$M$2005,0))&amp;", "&amp;INDEX(Appointments!$E$6:$E$2005,MATCH(T9,Appointments!$M$6:$M$2005,0)))</f>
        <v/>
      </c>
      <c r="F9" s="44">
        <f>IF(U9="","",HOUR(U9)&amp;":"&amp;RIGHT("0"&amp;MINUTE(U9),2)&amp;"  "&amp;INDEX(Appointments!$D$6:$D$2005,MATCH(U9,Appointments!$M$6:$M$2005,0))&amp;", "&amp;INDEX(Appointments!$E$6:$E$2005,MATCH(U9,Appointments!$M$6:$M$2005,0)))</f>
        <v/>
      </c>
      <c r="G9" s="44">
        <f>IF(V9="","",HOUR(V9)&amp;":"&amp;RIGHT("0"&amp;MINUTE(V9),2)&amp;"  "&amp;INDEX(Appointments!$D$6:$D$2005,MATCH(V9,Appointments!$M$6:$M$2005,0))&amp;", "&amp;INDEX(Appointments!$E$6:$E$2005,MATCH(V9,Appointments!$M$6:$M$2005,0)))</f>
        <v/>
      </c>
      <c r="H9" s="44">
        <f>IF(W9="","",HOUR(W9)&amp;":"&amp;RIGHT("0"&amp;MINUTE(W9),2)&amp;"  "&amp;INDEX(Appointments!$D$6:$D$2005,MATCH(W9,Appointments!$M$6:$M$2005,0))&amp;", "&amp;INDEX(Appointments!$E$6:$E$2005,MATCH(W9,Appointments!$M$6:$M$2005,0)))</f>
        <v/>
      </c>
      <c r="I9" s="44">
        <f>IF(X9="","",HOUR(X9)&amp;":"&amp;RIGHT("0"&amp;MINUTE(X9),2)&amp;"  "&amp;INDEX(Appointments!$D$6:$D$2005,MATCH(X9,Appointments!$M$6:$M$2005,0))&amp;", "&amp;INDEX(Appointments!$E$6:$E$2005,MATCH(X9,Appointments!$M$6:$M$2005,0)))</f>
        <v/>
      </c>
      <c r="J9" s="1" t="n"/>
      <c r="R9">
        <f>IFERROR(IF(SMALL(Appointments!$M$6:$M$2005,COUNTIF(Appointments!$M$6:$M$2005,"&lt;"&amp;C$6)+3)&lt;C$6+1,SMALL(Appointments!$M$6:$M$2005,COUNTIF(Appointments!$M$6:$M$2005,"&lt;"&amp;C$6)+3),""),"")</f>
        <v/>
      </c>
      <c r="S9">
        <f>IFERROR(IF(SMALL(Appointments!$M$6:$M$2005,COUNTIF(Appointments!$M$6:$M$2005,"&lt;"&amp;D$6)+3)&lt;D$6+1,SMALL(Appointments!$M$6:$M$2005,COUNTIF(Appointments!$M$6:$M$2005,"&lt;"&amp;D$6)+3),""),"")</f>
        <v/>
      </c>
      <c r="T9">
        <f>IFERROR(IF(SMALL(Appointments!$M$6:$M$2005,COUNTIF(Appointments!$M$6:$M$2005,"&lt;"&amp;E$6)+3)&lt;E$6+1,SMALL(Appointments!$M$6:$M$2005,COUNTIF(Appointments!$M$6:$M$2005,"&lt;"&amp;E$6)+3),""),"")</f>
        <v/>
      </c>
      <c r="U9">
        <f>IFERROR(IF(SMALL(Appointments!$M$6:$M$2005,COUNTIF(Appointments!$M$6:$M$2005,"&lt;"&amp;F$6)+3)&lt;F$6+1,SMALL(Appointments!$M$6:$M$2005,COUNTIF(Appointments!$M$6:$M$2005,"&lt;"&amp;F$6)+3),""),"")</f>
        <v/>
      </c>
      <c r="V9">
        <f>IFERROR(IF(SMALL(Appointments!$M$6:$M$2005,COUNTIF(Appointments!$M$6:$M$2005,"&lt;"&amp;G$6)+3)&lt;G$6+1,SMALL(Appointments!$M$6:$M$2005,COUNTIF(Appointments!$M$6:$M$2005,"&lt;"&amp;G$6)+3),""),"")</f>
        <v/>
      </c>
      <c r="W9">
        <f>IFERROR(IF(SMALL(Appointments!$M$6:$M$2005,COUNTIF(Appointments!$M$6:$M$2005,"&lt;"&amp;H$6)+3)&lt;H$6+1,SMALL(Appointments!$M$6:$M$2005,COUNTIF(Appointments!$M$6:$M$2005,"&lt;"&amp;H$6)+3),""),"")</f>
        <v/>
      </c>
      <c r="X9">
        <f>IFERROR(IF(SMALL(Appointments!$M$6:$M$2005,COUNTIF(Appointments!$M$6:$M$2005,"&lt;"&amp;I$6)+3)&lt;I$6+1,SMALL(Appointments!$M$6:$M$2005,COUNTIF(Appointments!$M$6:$M$2005,"&lt;"&amp;I$6)+3),""),"")</f>
        <v/>
      </c>
      <c r="Z9">
        <f>IF(R9="","",INDEX(Appointments!$F$6:$F$2005,MATCH(R9,Appointments!$M$6:$M$2005,0)))</f>
        <v/>
      </c>
      <c r="AA9">
        <f>IF(S9="","",INDEX(Appointments!$F$6:$F$2005,MATCH(S9,Appointments!$M$6:$M$2005,0)))</f>
        <v/>
      </c>
      <c r="AB9">
        <f>IF(T9="","",INDEX(Appointments!$F$6:$F$2005,MATCH(T9,Appointments!$M$6:$M$2005,0)))</f>
        <v/>
      </c>
      <c r="AC9">
        <f>IF(U9="","",INDEX(Appointments!$F$6:$F$2005,MATCH(U9,Appointments!$M$6:$M$2005,0)))</f>
        <v/>
      </c>
      <c r="AD9">
        <f>IF(V9="","",INDEX(Appointments!$F$6:$F$2005,MATCH(V9,Appointments!$M$6:$M$2005,0)))</f>
        <v/>
      </c>
      <c r="AE9">
        <f>IF(W9="","",INDEX(Appointments!$F$6:$F$2005,MATCH(W9,Appointments!$M$6:$M$2005,0)))</f>
        <v/>
      </c>
      <c r="AF9">
        <f>IF(X9="","",INDEX(Appointments!$F$6:$F$2005,MATCH(X9,Appointments!$M$6:$M$2005,0)))</f>
        <v/>
      </c>
    </row>
    <row r="10" ht="30" customHeight="1">
      <c r="A10" s="1" t="n"/>
      <c r="B10" s="1" t="n"/>
      <c r="C10" s="44">
        <f>IF(R10="","",HOUR(R10)&amp;":"&amp;RIGHT("0"&amp;MINUTE(R10),2)&amp;"  "&amp;INDEX(Appointments!$D$6:$D$2005,MATCH(R10,Appointments!$M$6:$M$2005,0))&amp;", "&amp;INDEX(Appointments!$E$6:$E$2005,MATCH(R10,Appointments!$M$6:$M$2005,0)))</f>
        <v/>
      </c>
      <c r="D10" s="44">
        <f>IF(S10="","",HOUR(S10)&amp;":"&amp;RIGHT("0"&amp;MINUTE(S10),2)&amp;"  "&amp;INDEX(Appointments!$D$6:$D$2005,MATCH(S10,Appointments!$M$6:$M$2005,0))&amp;", "&amp;INDEX(Appointments!$E$6:$E$2005,MATCH(S10,Appointments!$M$6:$M$2005,0)))</f>
        <v/>
      </c>
      <c r="E10" s="44">
        <f>IF(T10="","",HOUR(T10)&amp;":"&amp;RIGHT("0"&amp;MINUTE(T10),2)&amp;"  "&amp;INDEX(Appointments!$D$6:$D$2005,MATCH(T10,Appointments!$M$6:$M$2005,0))&amp;", "&amp;INDEX(Appointments!$E$6:$E$2005,MATCH(T10,Appointments!$M$6:$M$2005,0)))</f>
        <v/>
      </c>
      <c r="F10" s="44">
        <f>IF(U10="","",HOUR(U10)&amp;":"&amp;RIGHT("0"&amp;MINUTE(U10),2)&amp;"  "&amp;INDEX(Appointments!$D$6:$D$2005,MATCH(U10,Appointments!$M$6:$M$2005,0))&amp;", "&amp;INDEX(Appointments!$E$6:$E$2005,MATCH(U10,Appointments!$M$6:$M$2005,0)))</f>
        <v/>
      </c>
      <c r="G10" s="44">
        <f>IF(V10="","",HOUR(V10)&amp;":"&amp;RIGHT("0"&amp;MINUTE(V10),2)&amp;"  "&amp;INDEX(Appointments!$D$6:$D$2005,MATCH(V10,Appointments!$M$6:$M$2005,0))&amp;", "&amp;INDEX(Appointments!$E$6:$E$2005,MATCH(V10,Appointments!$M$6:$M$2005,0)))</f>
        <v/>
      </c>
      <c r="H10" s="44">
        <f>IF(W10="","",HOUR(W10)&amp;":"&amp;RIGHT("0"&amp;MINUTE(W10),2)&amp;"  "&amp;INDEX(Appointments!$D$6:$D$2005,MATCH(W10,Appointments!$M$6:$M$2005,0))&amp;", "&amp;INDEX(Appointments!$E$6:$E$2005,MATCH(W10,Appointments!$M$6:$M$2005,0)))</f>
        <v/>
      </c>
      <c r="I10" s="44">
        <f>IF(X10="","",HOUR(X10)&amp;":"&amp;RIGHT("0"&amp;MINUTE(X10),2)&amp;"  "&amp;INDEX(Appointments!$D$6:$D$2005,MATCH(X10,Appointments!$M$6:$M$2005,0))&amp;", "&amp;INDEX(Appointments!$E$6:$E$2005,MATCH(X10,Appointments!$M$6:$M$2005,0)))</f>
        <v/>
      </c>
      <c r="J10" s="1" t="n"/>
      <c r="R10">
        <f>IFERROR(IF(SMALL(Appointments!$M$6:$M$2005,COUNTIF(Appointments!$M$6:$M$2005,"&lt;"&amp;C$6)+4)&lt;C$6+1,SMALL(Appointments!$M$6:$M$2005,COUNTIF(Appointments!$M$6:$M$2005,"&lt;"&amp;C$6)+4),""),"")</f>
        <v/>
      </c>
      <c r="S10">
        <f>IFERROR(IF(SMALL(Appointments!$M$6:$M$2005,COUNTIF(Appointments!$M$6:$M$2005,"&lt;"&amp;D$6)+4)&lt;D$6+1,SMALL(Appointments!$M$6:$M$2005,COUNTIF(Appointments!$M$6:$M$2005,"&lt;"&amp;D$6)+4),""),"")</f>
        <v/>
      </c>
      <c r="T10">
        <f>IFERROR(IF(SMALL(Appointments!$M$6:$M$2005,COUNTIF(Appointments!$M$6:$M$2005,"&lt;"&amp;E$6)+4)&lt;E$6+1,SMALL(Appointments!$M$6:$M$2005,COUNTIF(Appointments!$M$6:$M$2005,"&lt;"&amp;E$6)+4),""),"")</f>
        <v/>
      </c>
      <c r="U10">
        <f>IFERROR(IF(SMALL(Appointments!$M$6:$M$2005,COUNTIF(Appointments!$M$6:$M$2005,"&lt;"&amp;F$6)+4)&lt;F$6+1,SMALL(Appointments!$M$6:$M$2005,COUNTIF(Appointments!$M$6:$M$2005,"&lt;"&amp;F$6)+4),""),"")</f>
        <v/>
      </c>
      <c r="V10">
        <f>IFERROR(IF(SMALL(Appointments!$M$6:$M$2005,COUNTIF(Appointments!$M$6:$M$2005,"&lt;"&amp;G$6)+4)&lt;G$6+1,SMALL(Appointments!$M$6:$M$2005,COUNTIF(Appointments!$M$6:$M$2005,"&lt;"&amp;G$6)+4),""),"")</f>
        <v/>
      </c>
      <c r="W10">
        <f>IFERROR(IF(SMALL(Appointments!$M$6:$M$2005,COUNTIF(Appointments!$M$6:$M$2005,"&lt;"&amp;H$6)+4)&lt;H$6+1,SMALL(Appointments!$M$6:$M$2005,COUNTIF(Appointments!$M$6:$M$2005,"&lt;"&amp;H$6)+4),""),"")</f>
        <v/>
      </c>
      <c r="X10">
        <f>IFERROR(IF(SMALL(Appointments!$M$6:$M$2005,COUNTIF(Appointments!$M$6:$M$2005,"&lt;"&amp;I$6)+4)&lt;I$6+1,SMALL(Appointments!$M$6:$M$2005,COUNTIF(Appointments!$M$6:$M$2005,"&lt;"&amp;I$6)+4),""),"")</f>
        <v/>
      </c>
      <c r="Z10">
        <f>IF(R10="","",INDEX(Appointments!$F$6:$F$2005,MATCH(R10,Appointments!$M$6:$M$2005,0)))</f>
        <v/>
      </c>
      <c r="AA10">
        <f>IF(S10="","",INDEX(Appointments!$F$6:$F$2005,MATCH(S10,Appointments!$M$6:$M$2005,0)))</f>
        <v/>
      </c>
      <c r="AB10">
        <f>IF(T10="","",INDEX(Appointments!$F$6:$F$2005,MATCH(T10,Appointments!$M$6:$M$2005,0)))</f>
        <v/>
      </c>
      <c r="AC10">
        <f>IF(U10="","",INDEX(Appointments!$F$6:$F$2005,MATCH(U10,Appointments!$M$6:$M$2005,0)))</f>
        <v/>
      </c>
      <c r="AD10">
        <f>IF(V10="","",INDEX(Appointments!$F$6:$F$2005,MATCH(V10,Appointments!$M$6:$M$2005,0)))</f>
        <v/>
      </c>
      <c r="AE10">
        <f>IF(W10="","",INDEX(Appointments!$F$6:$F$2005,MATCH(W10,Appointments!$M$6:$M$2005,0)))</f>
        <v/>
      </c>
      <c r="AF10">
        <f>IF(X10="","",INDEX(Appointments!$F$6:$F$2005,MATCH(X10,Appointments!$M$6:$M$2005,0)))</f>
        <v/>
      </c>
    </row>
    <row r="11" ht="30" customHeight="1">
      <c r="A11" s="1" t="n"/>
      <c r="B11" s="1" t="n"/>
      <c r="C11" s="44">
        <f>IF(R11="","",HOUR(R11)&amp;":"&amp;RIGHT("0"&amp;MINUTE(R11),2)&amp;"  "&amp;INDEX(Appointments!$D$6:$D$2005,MATCH(R11,Appointments!$M$6:$M$2005,0))&amp;", "&amp;INDEX(Appointments!$E$6:$E$2005,MATCH(R11,Appointments!$M$6:$M$2005,0)))</f>
        <v/>
      </c>
      <c r="D11" s="44">
        <f>IF(S11="","",HOUR(S11)&amp;":"&amp;RIGHT("0"&amp;MINUTE(S11),2)&amp;"  "&amp;INDEX(Appointments!$D$6:$D$2005,MATCH(S11,Appointments!$M$6:$M$2005,0))&amp;", "&amp;INDEX(Appointments!$E$6:$E$2005,MATCH(S11,Appointments!$M$6:$M$2005,0)))</f>
        <v/>
      </c>
      <c r="E11" s="44">
        <f>IF(T11="","",HOUR(T11)&amp;":"&amp;RIGHT("0"&amp;MINUTE(T11),2)&amp;"  "&amp;INDEX(Appointments!$D$6:$D$2005,MATCH(T11,Appointments!$M$6:$M$2005,0))&amp;", "&amp;INDEX(Appointments!$E$6:$E$2005,MATCH(T11,Appointments!$M$6:$M$2005,0)))</f>
        <v/>
      </c>
      <c r="F11" s="44">
        <f>IF(U11="","",HOUR(U11)&amp;":"&amp;RIGHT("0"&amp;MINUTE(U11),2)&amp;"  "&amp;INDEX(Appointments!$D$6:$D$2005,MATCH(U11,Appointments!$M$6:$M$2005,0))&amp;", "&amp;INDEX(Appointments!$E$6:$E$2005,MATCH(U11,Appointments!$M$6:$M$2005,0)))</f>
        <v/>
      </c>
      <c r="G11" s="44">
        <f>IF(V11="","",HOUR(V11)&amp;":"&amp;RIGHT("0"&amp;MINUTE(V11),2)&amp;"  "&amp;INDEX(Appointments!$D$6:$D$2005,MATCH(V11,Appointments!$M$6:$M$2005,0))&amp;", "&amp;INDEX(Appointments!$E$6:$E$2005,MATCH(V11,Appointments!$M$6:$M$2005,0)))</f>
        <v/>
      </c>
      <c r="H11" s="44">
        <f>IF(W11="","",HOUR(W11)&amp;":"&amp;RIGHT("0"&amp;MINUTE(W11),2)&amp;"  "&amp;INDEX(Appointments!$D$6:$D$2005,MATCH(W11,Appointments!$M$6:$M$2005,0))&amp;", "&amp;INDEX(Appointments!$E$6:$E$2005,MATCH(W11,Appointments!$M$6:$M$2005,0)))</f>
        <v/>
      </c>
      <c r="I11" s="44">
        <f>IF(X11="","",HOUR(X11)&amp;":"&amp;RIGHT("0"&amp;MINUTE(X11),2)&amp;"  "&amp;INDEX(Appointments!$D$6:$D$2005,MATCH(X11,Appointments!$M$6:$M$2005,0))&amp;", "&amp;INDEX(Appointments!$E$6:$E$2005,MATCH(X11,Appointments!$M$6:$M$2005,0)))</f>
        <v/>
      </c>
      <c r="J11" s="1" t="n"/>
      <c r="R11">
        <f>IFERROR(IF(SMALL(Appointments!$M$6:$M$2005,COUNTIF(Appointments!$M$6:$M$2005,"&lt;"&amp;C$6)+5)&lt;C$6+1,SMALL(Appointments!$M$6:$M$2005,COUNTIF(Appointments!$M$6:$M$2005,"&lt;"&amp;C$6)+5),""),"")</f>
        <v/>
      </c>
      <c r="S11">
        <f>IFERROR(IF(SMALL(Appointments!$M$6:$M$2005,COUNTIF(Appointments!$M$6:$M$2005,"&lt;"&amp;D$6)+5)&lt;D$6+1,SMALL(Appointments!$M$6:$M$2005,COUNTIF(Appointments!$M$6:$M$2005,"&lt;"&amp;D$6)+5),""),"")</f>
        <v/>
      </c>
      <c r="T11">
        <f>IFERROR(IF(SMALL(Appointments!$M$6:$M$2005,COUNTIF(Appointments!$M$6:$M$2005,"&lt;"&amp;E$6)+5)&lt;E$6+1,SMALL(Appointments!$M$6:$M$2005,COUNTIF(Appointments!$M$6:$M$2005,"&lt;"&amp;E$6)+5),""),"")</f>
        <v/>
      </c>
      <c r="U11">
        <f>IFERROR(IF(SMALL(Appointments!$M$6:$M$2005,COUNTIF(Appointments!$M$6:$M$2005,"&lt;"&amp;F$6)+5)&lt;F$6+1,SMALL(Appointments!$M$6:$M$2005,COUNTIF(Appointments!$M$6:$M$2005,"&lt;"&amp;F$6)+5),""),"")</f>
        <v/>
      </c>
      <c r="V11">
        <f>IFERROR(IF(SMALL(Appointments!$M$6:$M$2005,COUNTIF(Appointments!$M$6:$M$2005,"&lt;"&amp;G$6)+5)&lt;G$6+1,SMALL(Appointments!$M$6:$M$2005,COUNTIF(Appointments!$M$6:$M$2005,"&lt;"&amp;G$6)+5),""),"")</f>
        <v/>
      </c>
      <c r="W11">
        <f>IFERROR(IF(SMALL(Appointments!$M$6:$M$2005,COUNTIF(Appointments!$M$6:$M$2005,"&lt;"&amp;H$6)+5)&lt;H$6+1,SMALL(Appointments!$M$6:$M$2005,COUNTIF(Appointments!$M$6:$M$2005,"&lt;"&amp;H$6)+5),""),"")</f>
        <v/>
      </c>
      <c r="X11">
        <f>IFERROR(IF(SMALL(Appointments!$M$6:$M$2005,COUNTIF(Appointments!$M$6:$M$2005,"&lt;"&amp;I$6)+5)&lt;I$6+1,SMALL(Appointments!$M$6:$M$2005,COUNTIF(Appointments!$M$6:$M$2005,"&lt;"&amp;I$6)+5),""),"")</f>
        <v/>
      </c>
      <c r="Z11">
        <f>IF(R11="","",INDEX(Appointments!$F$6:$F$2005,MATCH(R11,Appointments!$M$6:$M$2005,0)))</f>
        <v/>
      </c>
      <c r="AA11">
        <f>IF(S11="","",INDEX(Appointments!$F$6:$F$2005,MATCH(S11,Appointments!$M$6:$M$2005,0)))</f>
        <v/>
      </c>
      <c r="AB11">
        <f>IF(T11="","",INDEX(Appointments!$F$6:$F$2005,MATCH(T11,Appointments!$M$6:$M$2005,0)))</f>
        <v/>
      </c>
      <c r="AC11">
        <f>IF(U11="","",INDEX(Appointments!$F$6:$F$2005,MATCH(U11,Appointments!$M$6:$M$2005,0)))</f>
        <v/>
      </c>
      <c r="AD11">
        <f>IF(V11="","",INDEX(Appointments!$F$6:$F$2005,MATCH(V11,Appointments!$M$6:$M$2005,0)))</f>
        <v/>
      </c>
      <c r="AE11">
        <f>IF(W11="","",INDEX(Appointments!$F$6:$F$2005,MATCH(W11,Appointments!$M$6:$M$2005,0)))</f>
        <v/>
      </c>
      <c r="AF11">
        <f>IF(X11="","",INDEX(Appointments!$F$6:$F$2005,MATCH(X11,Appointments!$M$6:$M$2005,0)))</f>
        <v/>
      </c>
    </row>
    <row r="12" ht="30" customHeight="1">
      <c r="A12" s="1" t="n"/>
      <c r="B12" s="1" t="n"/>
      <c r="C12" s="44">
        <f>IF(R12="","",HOUR(R12)&amp;":"&amp;RIGHT("0"&amp;MINUTE(R12),2)&amp;"  "&amp;INDEX(Appointments!$D$6:$D$2005,MATCH(R12,Appointments!$M$6:$M$2005,0))&amp;", "&amp;INDEX(Appointments!$E$6:$E$2005,MATCH(R12,Appointments!$M$6:$M$2005,0)))</f>
        <v/>
      </c>
      <c r="D12" s="44">
        <f>IF(S12="","",HOUR(S12)&amp;":"&amp;RIGHT("0"&amp;MINUTE(S12),2)&amp;"  "&amp;INDEX(Appointments!$D$6:$D$2005,MATCH(S12,Appointments!$M$6:$M$2005,0))&amp;", "&amp;INDEX(Appointments!$E$6:$E$2005,MATCH(S12,Appointments!$M$6:$M$2005,0)))</f>
        <v/>
      </c>
      <c r="E12" s="44">
        <f>IF(T12="","",HOUR(T12)&amp;":"&amp;RIGHT("0"&amp;MINUTE(T12),2)&amp;"  "&amp;INDEX(Appointments!$D$6:$D$2005,MATCH(T12,Appointments!$M$6:$M$2005,0))&amp;", "&amp;INDEX(Appointments!$E$6:$E$2005,MATCH(T12,Appointments!$M$6:$M$2005,0)))</f>
        <v/>
      </c>
      <c r="F12" s="44">
        <f>IF(U12="","",HOUR(U12)&amp;":"&amp;RIGHT("0"&amp;MINUTE(U12),2)&amp;"  "&amp;INDEX(Appointments!$D$6:$D$2005,MATCH(U12,Appointments!$M$6:$M$2005,0))&amp;", "&amp;INDEX(Appointments!$E$6:$E$2005,MATCH(U12,Appointments!$M$6:$M$2005,0)))</f>
        <v/>
      </c>
      <c r="G12" s="44">
        <f>IF(V12="","",HOUR(V12)&amp;":"&amp;RIGHT("0"&amp;MINUTE(V12),2)&amp;"  "&amp;INDEX(Appointments!$D$6:$D$2005,MATCH(V12,Appointments!$M$6:$M$2005,0))&amp;", "&amp;INDEX(Appointments!$E$6:$E$2005,MATCH(V12,Appointments!$M$6:$M$2005,0)))</f>
        <v/>
      </c>
      <c r="H12" s="44">
        <f>IF(W12="","",HOUR(W12)&amp;":"&amp;RIGHT("0"&amp;MINUTE(W12),2)&amp;"  "&amp;INDEX(Appointments!$D$6:$D$2005,MATCH(W12,Appointments!$M$6:$M$2005,0))&amp;", "&amp;INDEX(Appointments!$E$6:$E$2005,MATCH(W12,Appointments!$M$6:$M$2005,0)))</f>
        <v/>
      </c>
      <c r="I12" s="44">
        <f>IF(X12="","",HOUR(X12)&amp;":"&amp;RIGHT("0"&amp;MINUTE(X12),2)&amp;"  "&amp;INDEX(Appointments!$D$6:$D$2005,MATCH(X12,Appointments!$M$6:$M$2005,0))&amp;", "&amp;INDEX(Appointments!$E$6:$E$2005,MATCH(X12,Appointments!$M$6:$M$2005,0)))</f>
        <v/>
      </c>
      <c r="J12" s="1" t="n"/>
      <c r="R12">
        <f>IFERROR(IF(SMALL(Appointments!$M$6:$M$2005,COUNTIF(Appointments!$M$6:$M$2005,"&lt;"&amp;C$6)+6)&lt;C$6+1,SMALL(Appointments!$M$6:$M$2005,COUNTIF(Appointments!$M$6:$M$2005,"&lt;"&amp;C$6)+6),""),"")</f>
        <v/>
      </c>
      <c r="S12">
        <f>IFERROR(IF(SMALL(Appointments!$M$6:$M$2005,COUNTIF(Appointments!$M$6:$M$2005,"&lt;"&amp;D$6)+6)&lt;D$6+1,SMALL(Appointments!$M$6:$M$2005,COUNTIF(Appointments!$M$6:$M$2005,"&lt;"&amp;D$6)+6),""),"")</f>
        <v/>
      </c>
      <c r="T12">
        <f>IFERROR(IF(SMALL(Appointments!$M$6:$M$2005,COUNTIF(Appointments!$M$6:$M$2005,"&lt;"&amp;E$6)+6)&lt;E$6+1,SMALL(Appointments!$M$6:$M$2005,COUNTIF(Appointments!$M$6:$M$2005,"&lt;"&amp;E$6)+6),""),"")</f>
        <v/>
      </c>
      <c r="U12">
        <f>IFERROR(IF(SMALL(Appointments!$M$6:$M$2005,COUNTIF(Appointments!$M$6:$M$2005,"&lt;"&amp;F$6)+6)&lt;F$6+1,SMALL(Appointments!$M$6:$M$2005,COUNTIF(Appointments!$M$6:$M$2005,"&lt;"&amp;F$6)+6),""),"")</f>
        <v/>
      </c>
      <c r="V12">
        <f>IFERROR(IF(SMALL(Appointments!$M$6:$M$2005,COUNTIF(Appointments!$M$6:$M$2005,"&lt;"&amp;G$6)+6)&lt;G$6+1,SMALL(Appointments!$M$6:$M$2005,COUNTIF(Appointments!$M$6:$M$2005,"&lt;"&amp;G$6)+6),""),"")</f>
        <v/>
      </c>
      <c r="W12">
        <f>IFERROR(IF(SMALL(Appointments!$M$6:$M$2005,COUNTIF(Appointments!$M$6:$M$2005,"&lt;"&amp;H$6)+6)&lt;H$6+1,SMALL(Appointments!$M$6:$M$2005,COUNTIF(Appointments!$M$6:$M$2005,"&lt;"&amp;H$6)+6),""),"")</f>
        <v/>
      </c>
      <c r="X12">
        <f>IFERROR(IF(SMALL(Appointments!$M$6:$M$2005,COUNTIF(Appointments!$M$6:$M$2005,"&lt;"&amp;I$6)+6)&lt;I$6+1,SMALL(Appointments!$M$6:$M$2005,COUNTIF(Appointments!$M$6:$M$2005,"&lt;"&amp;I$6)+6),""),"")</f>
        <v/>
      </c>
      <c r="Z12">
        <f>IF(R12="","",INDEX(Appointments!$F$6:$F$2005,MATCH(R12,Appointments!$M$6:$M$2005,0)))</f>
        <v/>
      </c>
      <c r="AA12">
        <f>IF(S12="","",INDEX(Appointments!$F$6:$F$2005,MATCH(S12,Appointments!$M$6:$M$2005,0)))</f>
        <v/>
      </c>
      <c r="AB12">
        <f>IF(T12="","",INDEX(Appointments!$F$6:$F$2005,MATCH(T12,Appointments!$M$6:$M$2005,0)))</f>
        <v/>
      </c>
      <c r="AC12">
        <f>IF(U12="","",INDEX(Appointments!$F$6:$F$2005,MATCH(U12,Appointments!$M$6:$M$2005,0)))</f>
        <v/>
      </c>
      <c r="AD12">
        <f>IF(V12="","",INDEX(Appointments!$F$6:$F$2005,MATCH(V12,Appointments!$M$6:$M$2005,0)))</f>
        <v/>
      </c>
      <c r="AE12">
        <f>IF(W12="","",INDEX(Appointments!$F$6:$F$2005,MATCH(W12,Appointments!$M$6:$M$2005,0)))</f>
        <v/>
      </c>
      <c r="AF12">
        <f>IF(X12="","",INDEX(Appointments!$F$6:$F$2005,MATCH(X12,Appointments!$M$6:$M$2005,0)))</f>
        <v/>
      </c>
    </row>
    <row r="13" ht="30" customHeight="1">
      <c r="A13" s="1" t="n"/>
      <c r="B13" s="1" t="n"/>
      <c r="C13" s="44">
        <f>IF(R13="","",HOUR(R13)&amp;":"&amp;RIGHT("0"&amp;MINUTE(R13),2)&amp;"  "&amp;INDEX(Appointments!$D$6:$D$2005,MATCH(R13,Appointments!$M$6:$M$2005,0))&amp;", "&amp;INDEX(Appointments!$E$6:$E$2005,MATCH(R13,Appointments!$M$6:$M$2005,0)))</f>
        <v/>
      </c>
      <c r="D13" s="44">
        <f>IF(S13="","",HOUR(S13)&amp;":"&amp;RIGHT("0"&amp;MINUTE(S13),2)&amp;"  "&amp;INDEX(Appointments!$D$6:$D$2005,MATCH(S13,Appointments!$M$6:$M$2005,0))&amp;", "&amp;INDEX(Appointments!$E$6:$E$2005,MATCH(S13,Appointments!$M$6:$M$2005,0)))</f>
        <v/>
      </c>
      <c r="E13" s="44">
        <f>IF(T13="","",HOUR(T13)&amp;":"&amp;RIGHT("0"&amp;MINUTE(T13),2)&amp;"  "&amp;INDEX(Appointments!$D$6:$D$2005,MATCH(T13,Appointments!$M$6:$M$2005,0))&amp;", "&amp;INDEX(Appointments!$E$6:$E$2005,MATCH(T13,Appointments!$M$6:$M$2005,0)))</f>
        <v/>
      </c>
      <c r="F13" s="44">
        <f>IF(U13="","",HOUR(U13)&amp;":"&amp;RIGHT("0"&amp;MINUTE(U13),2)&amp;"  "&amp;INDEX(Appointments!$D$6:$D$2005,MATCH(U13,Appointments!$M$6:$M$2005,0))&amp;", "&amp;INDEX(Appointments!$E$6:$E$2005,MATCH(U13,Appointments!$M$6:$M$2005,0)))</f>
        <v/>
      </c>
      <c r="G13" s="44">
        <f>IF(V13="","",HOUR(V13)&amp;":"&amp;RIGHT("0"&amp;MINUTE(V13),2)&amp;"  "&amp;INDEX(Appointments!$D$6:$D$2005,MATCH(V13,Appointments!$M$6:$M$2005,0))&amp;", "&amp;INDEX(Appointments!$E$6:$E$2005,MATCH(V13,Appointments!$M$6:$M$2005,0)))</f>
        <v/>
      </c>
      <c r="H13" s="44">
        <f>IF(W13="","",HOUR(W13)&amp;":"&amp;RIGHT("0"&amp;MINUTE(W13),2)&amp;"  "&amp;INDEX(Appointments!$D$6:$D$2005,MATCH(W13,Appointments!$M$6:$M$2005,0))&amp;", "&amp;INDEX(Appointments!$E$6:$E$2005,MATCH(W13,Appointments!$M$6:$M$2005,0)))</f>
        <v/>
      </c>
      <c r="I13" s="44">
        <f>IF(X13="","",HOUR(X13)&amp;":"&amp;RIGHT("0"&amp;MINUTE(X13),2)&amp;"  "&amp;INDEX(Appointments!$D$6:$D$2005,MATCH(X13,Appointments!$M$6:$M$2005,0))&amp;", "&amp;INDEX(Appointments!$E$6:$E$2005,MATCH(X13,Appointments!$M$6:$M$2005,0)))</f>
        <v/>
      </c>
      <c r="J13" s="1" t="n"/>
      <c r="R13">
        <f>IFERROR(IF(SMALL(Appointments!$M$6:$M$2005,COUNTIF(Appointments!$M$6:$M$2005,"&lt;"&amp;C$6)+7)&lt;C$6+1,SMALL(Appointments!$M$6:$M$2005,COUNTIF(Appointments!$M$6:$M$2005,"&lt;"&amp;C$6)+7),""),"")</f>
        <v/>
      </c>
      <c r="S13">
        <f>IFERROR(IF(SMALL(Appointments!$M$6:$M$2005,COUNTIF(Appointments!$M$6:$M$2005,"&lt;"&amp;D$6)+7)&lt;D$6+1,SMALL(Appointments!$M$6:$M$2005,COUNTIF(Appointments!$M$6:$M$2005,"&lt;"&amp;D$6)+7),""),"")</f>
        <v/>
      </c>
      <c r="T13">
        <f>IFERROR(IF(SMALL(Appointments!$M$6:$M$2005,COUNTIF(Appointments!$M$6:$M$2005,"&lt;"&amp;E$6)+7)&lt;E$6+1,SMALL(Appointments!$M$6:$M$2005,COUNTIF(Appointments!$M$6:$M$2005,"&lt;"&amp;E$6)+7),""),"")</f>
        <v/>
      </c>
      <c r="U13">
        <f>IFERROR(IF(SMALL(Appointments!$M$6:$M$2005,COUNTIF(Appointments!$M$6:$M$2005,"&lt;"&amp;F$6)+7)&lt;F$6+1,SMALL(Appointments!$M$6:$M$2005,COUNTIF(Appointments!$M$6:$M$2005,"&lt;"&amp;F$6)+7),""),"")</f>
        <v/>
      </c>
      <c r="V13">
        <f>IFERROR(IF(SMALL(Appointments!$M$6:$M$2005,COUNTIF(Appointments!$M$6:$M$2005,"&lt;"&amp;G$6)+7)&lt;G$6+1,SMALL(Appointments!$M$6:$M$2005,COUNTIF(Appointments!$M$6:$M$2005,"&lt;"&amp;G$6)+7),""),"")</f>
        <v/>
      </c>
      <c r="W13">
        <f>IFERROR(IF(SMALL(Appointments!$M$6:$M$2005,COUNTIF(Appointments!$M$6:$M$2005,"&lt;"&amp;H$6)+7)&lt;H$6+1,SMALL(Appointments!$M$6:$M$2005,COUNTIF(Appointments!$M$6:$M$2005,"&lt;"&amp;H$6)+7),""),"")</f>
        <v/>
      </c>
      <c r="X13">
        <f>IFERROR(IF(SMALL(Appointments!$M$6:$M$2005,COUNTIF(Appointments!$M$6:$M$2005,"&lt;"&amp;I$6)+7)&lt;I$6+1,SMALL(Appointments!$M$6:$M$2005,COUNTIF(Appointments!$M$6:$M$2005,"&lt;"&amp;I$6)+7),""),"")</f>
        <v/>
      </c>
      <c r="Z13">
        <f>IF(R13="","",INDEX(Appointments!$F$6:$F$2005,MATCH(R13,Appointments!$M$6:$M$2005,0)))</f>
        <v/>
      </c>
      <c r="AA13">
        <f>IF(S13="","",INDEX(Appointments!$F$6:$F$2005,MATCH(S13,Appointments!$M$6:$M$2005,0)))</f>
        <v/>
      </c>
      <c r="AB13">
        <f>IF(T13="","",INDEX(Appointments!$F$6:$F$2005,MATCH(T13,Appointments!$M$6:$M$2005,0)))</f>
        <v/>
      </c>
      <c r="AC13">
        <f>IF(U13="","",INDEX(Appointments!$F$6:$F$2005,MATCH(U13,Appointments!$M$6:$M$2005,0)))</f>
        <v/>
      </c>
      <c r="AD13">
        <f>IF(V13="","",INDEX(Appointments!$F$6:$F$2005,MATCH(V13,Appointments!$M$6:$M$2005,0)))</f>
        <v/>
      </c>
      <c r="AE13">
        <f>IF(W13="","",INDEX(Appointments!$F$6:$F$2005,MATCH(W13,Appointments!$M$6:$M$2005,0)))</f>
        <v/>
      </c>
      <c r="AF13">
        <f>IF(X13="","",INDEX(Appointments!$F$6:$F$2005,MATCH(X13,Appointments!$M$6:$M$2005,0)))</f>
        <v/>
      </c>
    </row>
    <row r="14" ht="30" customHeight="1">
      <c r="A14" s="1" t="n"/>
      <c r="B14" s="1" t="n"/>
      <c r="C14" s="44">
        <f>IF(R14="","",HOUR(R14)&amp;":"&amp;RIGHT("0"&amp;MINUTE(R14),2)&amp;"  "&amp;INDEX(Appointments!$D$6:$D$2005,MATCH(R14,Appointments!$M$6:$M$2005,0))&amp;", "&amp;INDEX(Appointments!$E$6:$E$2005,MATCH(R14,Appointments!$M$6:$M$2005,0)))</f>
        <v/>
      </c>
      <c r="D14" s="44">
        <f>IF(S14="","",HOUR(S14)&amp;":"&amp;RIGHT("0"&amp;MINUTE(S14),2)&amp;"  "&amp;INDEX(Appointments!$D$6:$D$2005,MATCH(S14,Appointments!$M$6:$M$2005,0))&amp;", "&amp;INDEX(Appointments!$E$6:$E$2005,MATCH(S14,Appointments!$M$6:$M$2005,0)))</f>
        <v/>
      </c>
      <c r="E14" s="44">
        <f>IF(T14="","",HOUR(T14)&amp;":"&amp;RIGHT("0"&amp;MINUTE(T14),2)&amp;"  "&amp;INDEX(Appointments!$D$6:$D$2005,MATCH(T14,Appointments!$M$6:$M$2005,0))&amp;", "&amp;INDEX(Appointments!$E$6:$E$2005,MATCH(T14,Appointments!$M$6:$M$2005,0)))</f>
        <v/>
      </c>
      <c r="F14" s="44">
        <f>IF(U14="","",HOUR(U14)&amp;":"&amp;RIGHT("0"&amp;MINUTE(U14),2)&amp;"  "&amp;INDEX(Appointments!$D$6:$D$2005,MATCH(U14,Appointments!$M$6:$M$2005,0))&amp;", "&amp;INDEX(Appointments!$E$6:$E$2005,MATCH(U14,Appointments!$M$6:$M$2005,0)))</f>
        <v/>
      </c>
      <c r="G14" s="44">
        <f>IF(V14="","",HOUR(V14)&amp;":"&amp;RIGHT("0"&amp;MINUTE(V14),2)&amp;"  "&amp;INDEX(Appointments!$D$6:$D$2005,MATCH(V14,Appointments!$M$6:$M$2005,0))&amp;", "&amp;INDEX(Appointments!$E$6:$E$2005,MATCH(V14,Appointments!$M$6:$M$2005,0)))</f>
        <v/>
      </c>
      <c r="H14" s="44">
        <f>IF(W14="","",HOUR(W14)&amp;":"&amp;RIGHT("0"&amp;MINUTE(W14),2)&amp;"  "&amp;INDEX(Appointments!$D$6:$D$2005,MATCH(W14,Appointments!$M$6:$M$2005,0))&amp;", "&amp;INDEX(Appointments!$E$6:$E$2005,MATCH(W14,Appointments!$M$6:$M$2005,0)))</f>
        <v/>
      </c>
      <c r="I14" s="44">
        <f>IF(X14="","",HOUR(X14)&amp;":"&amp;RIGHT("0"&amp;MINUTE(X14),2)&amp;"  "&amp;INDEX(Appointments!$D$6:$D$2005,MATCH(X14,Appointments!$M$6:$M$2005,0))&amp;", "&amp;INDEX(Appointments!$E$6:$E$2005,MATCH(X14,Appointments!$M$6:$M$2005,0)))</f>
        <v/>
      </c>
      <c r="J14" s="1" t="n"/>
      <c r="R14">
        <f>IFERROR(IF(SMALL(Appointments!$M$6:$M$2005,COUNTIF(Appointments!$M$6:$M$2005,"&lt;"&amp;C$6)+8)&lt;C$6+1,SMALL(Appointments!$M$6:$M$2005,COUNTIF(Appointments!$M$6:$M$2005,"&lt;"&amp;C$6)+8),""),"")</f>
        <v/>
      </c>
      <c r="S14">
        <f>IFERROR(IF(SMALL(Appointments!$M$6:$M$2005,COUNTIF(Appointments!$M$6:$M$2005,"&lt;"&amp;D$6)+8)&lt;D$6+1,SMALL(Appointments!$M$6:$M$2005,COUNTIF(Appointments!$M$6:$M$2005,"&lt;"&amp;D$6)+8),""),"")</f>
        <v/>
      </c>
      <c r="T14">
        <f>IFERROR(IF(SMALL(Appointments!$M$6:$M$2005,COUNTIF(Appointments!$M$6:$M$2005,"&lt;"&amp;E$6)+8)&lt;E$6+1,SMALL(Appointments!$M$6:$M$2005,COUNTIF(Appointments!$M$6:$M$2005,"&lt;"&amp;E$6)+8),""),"")</f>
        <v/>
      </c>
      <c r="U14">
        <f>IFERROR(IF(SMALL(Appointments!$M$6:$M$2005,COUNTIF(Appointments!$M$6:$M$2005,"&lt;"&amp;F$6)+8)&lt;F$6+1,SMALL(Appointments!$M$6:$M$2005,COUNTIF(Appointments!$M$6:$M$2005,"&lt;"&amp;F$6)+8),""),"")</f>
        <v/>
      </c>
      <c r="V14">
        <f>IFERROR(IF(SMALL(Appointments!$M$6:$M$2005,COUNTIF(Appointments!$M$6:$M$2005,"&lt;"&amp;G$6)+8)&lt;G$6+1,SMALL(Appointments!$M$6:$M$2005,COUNTIF(Appointments!$M$6:$M$2005,"&lt;"&amp;G$6)+8),""),"")</f>
        <v/>
      </c>
      <c r="W14">
        <f>IFERROR(IF(SMALL(Appointments!$M$6:$M$2005,COUNTIF(Appointments!$M$6:$M$2005,"&lt;"&amp;H$6)+8)&lt;H$6+1,SMALL(Appointments!$M$6:$M$2005,COUNTIF(Appointments!$M$6:$M$2005,"&lt;"&amp;H$6)+8),""),"")</f>
        <v/>
      </c>
      <c r="X14">
        <f>IFERROR(IF(SMALL(Appointments!$M$6:$M$2005,COUNTIF(Appointments!$M$6:$M$2005,"&lt;"&amp;I$6)+8)&lt;I$6+1,SMALL(Appointments!$M$6:$M$2005,COUNTIF(Appointments!$M$6:$M$2005,"&lt;"&amp;I$6)+8),""),"")</f>
        <v/>
      </c>
      <c r="Z14">
        <f>IF(R14="","",INDEX(Appointments!$F$6:$F$2005,MATCH(R14,Appointments!$M$6:$M$2005,0)))</f>
        <v/>
      </c>
      <c r="AA14">
        <f>IF(S14="","",INDEX(Appointments!$F$6:$F$2005,MATCH(S14,Appointments!$M$6:$M$2005,0)))</f>
        <v/>
      </c>
      <c r="AB14">
        <f>IF(T14="","",INDEX(Appointments!$F$6:$F$2005,MATCH(T14,Appointments!$M$6:$M$2005,0)))</f>
        <v/>
      </c>
      <c r="AC14">
        <f>IF(U14="","",INDEX(Appointments!$F$6:$F$2005,MATCH(U14,Appointments!$M$6:$M$2005,0)))</f>
        <v/>
      </c>
      <c r="AD14">
        <f>IF(V14="","",INDEX(Appointments!$F$6:$F$2005,MATCH(V14,Appointments!$M$6:$M$2005,0)))</f>
        <v/>
      </c>
      <c r="AE14">
        <f>IF(W14="","",INDEX(Appointments!$F$6:$F$2005,MATCH(W14,Appointments!$M$6:$M$2005,0)))</f>
        <v/>
      </c>
      <c r="AF14">
        <f>IF(X14="","",INDEX(Appointments!$F$6:$F$2005,MATCH(X14,Appointments!$M$6:$M$2005,0)))</f>
        <v/>
      </c>
    </row>
    <row r="15" ht="30" customHeight="1">
      <c r="A15" s="1" t="n"/>
      <c r="B15" s="1" t="n"/>
      <c r="C15" s="44">
        <f>IF(R15="","",HOUR(R15)&amp;":"&amp;RIGHT("0"&amp;MINUTE(R15),2)&amp;"  "&amp;INDEX(Appointments!$D$6:$D$2005,MATCH(R15,Appointments!$M$6:$M$2005,0))&amp;", "&amp;INDEX(Appointments!$E$6:$E$2005,MATCH(R15,Appointments!$M$6:$M$2005,0)))</f>
        <v/>
      </c>
      <c r="D15" s="44">
        <f>IF(S15="","",HOUR(S15)&amp;":"&amp;RIGHT("0"&amp;MINUTE(S15),2)&amp;"  "&amp;INDEX(Appointments!$D$6:$D$2005,MATCH(S15,Appointments!$M$6:$M$2005,0))&amp;", "&amp;INDEX(Appointments!$E$6:$E$2005,MATCH(S15,Appointments!$M$6:$M$2005,0)))</f>
        <v/>
      </c>
      <c r="E15" s="44">
        <f>IF(T15="","",HOUR(T15)&amp;":"&amp;RIGHT("0"&amp;MINUTE(T15),2)&amp;"  "&amp;INDEX(Appointments!$D$6:$D$2005,MATCH(T15,Appointments!$M$6:$M$2005,0))&amp;", "&amp;INDEX(Appointments!$E$6:$E$2005,MATCH(T15,Appointments!$M$6:$M$2005,0)))</f>
        <v/>
      </c>
      <c r="F15" s="44">
        <f>IF(U15="","",HOUR(U15)&amp;":"&amp;RIGHT("0"&amp;MINUTE(U15),2)&amp;"  "&amp;INDEX(Appointments!$D$6:$D$2005,MATCH(U15,Appointments!$M$6:$M$2005,0))&amp;", "&amp;INDEX(Appointments!$E$6:$E$2005,MATCH(U15,Appointments!$M$6:$M$2005,0)))</f>
        <v/>
      </c>
      <c r="G15" s="44">
        <f>IF(V15="","",HOUR(V15)&amp;":"&amp;RIGHT("0"&amp;MINUTE(V15),2)&amp;"  "&amp;INDEX(Appointments!$D$6:$D$2005,MATCH(V15,Appointments!$M$6:$M$2005,0))&amp;", "&amp;INDEX(Appointments!$E$6:$E$2005,MATCH(V15,Appointments!$M$6:$M$2005,0)))</f>
        <v/>
      </c>
      <c r="H15" s="44">
        <f>IF(W15="","",HOUR(W15)&amp;":"&amp;RIGHT("0"&amp;MINUTE(W15),2)&amp;"  "&amp;INDEX(Appointments!$D$6:$D$2005,MATCH(W15,Appointments!$M$6:$M$2005,0))&amp;", "&amp;INDEX(Appointments!$E$6:$E$2005,MATCH(W15,Appointments!$M$6:$M$2005,0)))</f>
        <v/>
      </c>
      <c r="I15" s="44">
        <f>IF(X15="","",HOUR(X15)&amp;":"&amp;RIGHT("0"&amp;MINUTE(X15),2)&amp;"  "&amp;INDEX(Appointments!$D$6:$D$2005,MATCH(X15,Appointments!$M$6:$M$2005,0))&amp;", "&amp;INDEX(Appointments!$E$6:$E$2005,MATCH(X15,Appointments!$M$6:$M$2005,0)))</f>
        <v/>
      </c>
      <c r="J15" s="1" t="n"/>
      <c r="R15">
        <f>IFERROR(IF(SMALL(Appointments!$M$6:$M$2005,COUNTIF(Appointments!$M$6:$M$2005,"&lt;"&amp;C$6)+9)&lt;C$6+1,SMALL(Appointments!$M$6:$M$2005,COUNTIF(Appointments!$M$6:$M$2005,"&lt;"&amp;C$6)+9),""),"")</f>
        <v/>
      </c>
      <c r="S15">
        <f>IFERROR(IF(SMALL(Appointments!$M$6:$M$2005,COUNTIF(Appointments!$M$6:$M$2005,"&lt;"&amp;D$6)+9)&lt;D$6+1,SMALL(Appointments!$M$6:$M$2005,COUNTIF(Appointments!$M$6:$M$2005,"&lt;"&amp;D$6)+9),""),"")</f>
        <v/>
      </c>
      <c r="T15">
        <f>IFERROR(IF(SMALL(Appointments!$M$6:$M$2005,COUNTIF(Appointments!$M$6:$M$2005,"&lt;"&amp;E$6)+9)&lt;E$6+1,SMALL(Appointments!$M$6:$M$2005,COUNTIF(Appointments!$M$6:$M$2005,"&lt;"&amp;E$6)+9),""),"")</f>
        <v/>
      </c>
      <c r="U15">
        <f>IFERROR(IF(SMALL(Appointments!$M$6:$M$2005,COUNTIF(Appointments!$M$6:$M$2005,"&lt;"&amp;F$6)+9)&lt;F$6+1,SMALL(Appointments!$M$6:$M$2005,COUNTIF(Appointments!$M$6:$M$2005,"&lt;"&amp;F$6)+9),""),"")</f>
        <v/>
      </c>
      <c r="V15">
        <f>IFERROR(IF(SMALL(Appointments!$M$6:$M$2005,COUNTIF(Appointments!$M$6:$M$2005,"&lt;"&amp;G$6)+9)&lt;G$6+1,SMALL(Appointments!$M$6:$M$2005,COUNTIF(Appointments!$M$6:$M$2005,"&lt;"&amp;G$6)+9),""),"")</f>
        <v/>
      </c>
      <c r="W15">
        <f>IFERROR(IF(SMALL(Appointments!$M$6:$M$2005,COUNTIF(Appointments!$M$6:$M$2005,"&lt;"&amp;H$6)+9)&lt;H$6+1,SMALL(Appointments!$M$6:$M$2005,COUNTIF(Appointments!$M$6:$M$2005,"&lt;"&amp;H$6)+9),""),"")</f>
        <v/>
      </c>
      <c r="X15">
        <f>IFERROR(IF(SMALL(Appointments!$M$6:$M$2005,COUNTIF(Appointments!$M$6:$M$2005,"&lt;"&amp;I$6)+9)&lt;I$6+1,SMALL(Appointments!$M$6:$M$2005,COUNTIF(Appointments!$M$6:$M$2005,"&lt;"&amp;I$6)+9),""),"")</f>
        <v/>
      </c>
      <c r="Z15">
        <f>IF(R15="","",INDEX(Appointments!$F$6:$F$2005,MATCH(R15,Appointments!$M$6:$M$2005,0)))</f>
        <v/>
      </c>
      <c r="AA15">
        <f>IF(S15="","",INDEX(Appointments!$F$6:$F$2005,MATCH(S15,Appointments!$M$6:$M$2005,0)))</f>
        <v/>
      </c>
      <c r="AB15">
        <f>IF(T15="","",INDEX(Appointments!$F$6:$F$2005,MATCH(T15,Appointments!$M$6:$M$2005,0)))</f>
        <v/>
      </c>
      <c r="AC15">
        <f>IF(U15="","",INDEX(Appointments!$F$6:$F$2005,MATCH(U15,Appointments!$M$6:$M$2005,0)))</f>
        <v/>
      </c>
      <c r="AD15">
        <f>IF(V15="","",INDEX(Appointments!$F$6:$F$2005,MATCH(V15,Appointments!$M$6:$M$2005,0)))</f>
        <v/>
      </c>
      <c r="AE15">
        <f>IF(W15="","",INDEX(Appointments!$F$6:$F$2005,MATCH(W15,Appointments!$M$6:$M$2005,0)))</f>
        <v/>
      </c>
      <c r="AF15">
        <f>IF(X15="","",INDEX(Appointments!$F$6:$F$2005,MATCH(X15,Appointments!$M$6:$M$2005,0)))</f>
        <v/>
      </c>
    </row>
    <row r="16" ht="30" customHeight="1">
      <c r="A16" s="1" t="n"/>
      <c r="B16" s="1" t="n"/>
      <c r="C16" s="44">
        <f>IF(R16="","",HOUR(R16)&amp;":"&amp;RIGHT("0"&amp;MINUTE(R16),2)&amp;"  "&amp;INDEX(Appointments!$D$6:$D$2005,MATCH(R16,Appointments!$M$6:$M$2005,0))&amp;", "&amp;INDEX(Appointments!$E$6:$E$2005,MATCH(R16,Appointments!$M$6:$M$2005,0)))</f>
        <v/>
      </c>
      <c r="D16" s="44">
        <f>IF(S16="","",HOUR(S16)&amp;":"&amp;RIGHT("0"&amp;MINUTE(S16),2)&amp;"  "&amp;INDEX(Appointments!$D$6:$D$2005,MATCH(S16,Appointments!$M$6:$M$2005,0))&amp;", "&amp;INDEX(Appointments!$E$6:$E$2005,MATCH(S16,Appointments!$M$6:$M$2005,0)))</f>
        <v/>
      </c>
      <c r="E16" s="44">
        <f>IF(T16="","",HOUR(T16)&amp;":"&amp;RIGHT("0"&amp;MINUTE(T16),2)&amp;"  "&amp;INDEX(Appointments!$D$6:$D$2005,MATCH(T16,Appointments!$M$6:$M$2005,0))&amp;", "&amp;INDEX(Appointments!$E$6:$E$2005,MATCH(T16,Appointments!$M$6:$M$2005,0)))</f>
        <v/>
      </c>
      <c r="F16" s="44">
        <f>IF(U16="","",HOUR(U16)&amp;":"&amp;RIGHT("0"&amp;MINUTE(U16),2)&amp;"  "&amp;INDEX(Appointments!$D$6:$D$2005,MATCH(U16,Appointments!$M$6:$M$2005,0))&amp;", "&amp;INDEX(Appointments!$E$6:$E$2005,MATCH(U16,Appointments!$M$6:$M$2005,0)))</f>
        <v/>
      </c>
      <c r="G16" s="44">
        <f>IF(V16="","",HOUR(V16)&amp;":"&amp;RIGHT("0"&amp;MINUTE(V16),2)&amp;"  "&amp;INDEX(Appointments!$D$6:$D$2005,MATCH(V16,Appointments!$M$6:$M$2005,0))&amp;", "&amp;INDEX(Appointments!$E$6:$E$2005,MATCH(V16,Appointments!$M$6:$M$2005,0)))</f>
        <v/>
      </c>
      <c r="H16" s="44">
        <f>IF(W16="","",HOUR(W16)&amp;":"&amp;RIGHT("0"&amp;MINUTE(W16),2)&amp;"  "&amp;INDEX(Appointments!$D$6:$D$2005,MATCH(W16,Appointments!$M$6:$M$2005,0))&amp;", "&amp;INDEX(Appointments!$E$6:$E$2005,MATCH(W16,Appointments!$M$6:$M$2005,0)))</f>
        <v/>
      </c>
      <c r="I16" s="44">
        <f>IF(X16="","",HOUR(X16)&amp;":"&amp;RIGHT("0"&amp;MINUTE(X16),2)&amp;"  "&amp;INDEX(Appointments!$D$6:$D$2005,MATCH(X16,Appointments!$M$6:$M$2005,0))&amp;", "&amp;INDEX(Appointments!$E$6:$E$2005,MATCH(X16,Appointments!$M$6:$M$2005,0)))</f>
        <v/>
      </c>
      <c r="J16" s="1" t="n"/>
      <c r="R16">
        <f>IFERROR(IF(SMALL(Appointments!$M$6:$M$2005,COUNTIF(Appointments!$M$6:$M$2005,"&lt;"&amp;C$6)+10)&lt;C$6+1,SMALL(Appointments!$M$6:$M$2005,COUNTIF(Appointments!$M$6:$M$2005,"&lt;"&amp;C$6)+10),""),"")</f>
        <v/>
      </c>
      <c r="S16">
        <f>IFERROR(IF(SMALL(Appointments!$M$6:$M$2005,COUNTIF(Appointments!$M$6:$M$2005,"&lt;"&amp;D$6)+10)&lt;D$6+1,SMALL(Appointments!$M$6:$M$2005,COUNTIF(Appointments!$M$6:$M$2005,"&lt;"&amp;D$6)+10),""),"")</f>
        <v/>
      </c>
      <c r="T16">
        <f>IFERROR(IF(SMALL(Appointments!$M$6:$M$2005,COUNTIF(Appointments!$M$6:$M$2005,"&lt;"&amp;E$6)+10)&lt;E$6+1,SMALL(Appointments!$M$6:$M$2005,COUNTIF(Appointments!$M$6:$M$2005,"&lt;"&amp;E$6)+10),""),"")</f>
        <v/>
      </c>
      <c r="U16">
        <f>IFERROR(IF(SMALL(Appointments!$M$6:$M$2005,COUNTIF(Appointments!$M$6:$M$2005,"&lt;"&amp;F$6)+10)&lt;F$6+1,SMALL(Appointments!$M$6:$M$2005,COUNTIF(Appointments!$M$6:$M$2005,"&lt;"&amp;F$6)+10),""),"")</f>
        <v/>
      </c>
      <c r="V16">
        <f>IFERROR(IF(SMALL(Appointments!$M$6:$M$2005,COUNTIF(Appointments!$M$6:$M$2005,"&lt;"&amp;G$6)+10)&lt;G$6+1,SMALL(Appointments!$M$6:$M$2005,COUNTIF(Appointments!$M$6:$M$2005,"&lt;"&amp;G$6)+10),""),"")</f>
        <v/>
      </c>
      <c r="W16">
        <f>IFERROR(IF(SMALL(Appointments!$M$6:$M$2005,COUNTIF(Appointments!$M$6:$M$2005,"&lt;"&amp;H$6)+10)&lt;H$6+1,SMALL(Appointments!$M$6:$M$2005,COUNTIF(Appointments!$M$6:$M$2005,"&lt;"&amp;H$6)+10),""),"")</f>
        <v/>
      </c>
      <c r="X16">
        <f>IFERROR(IF(SMALL(Appointments!$M$6:$M$2005,COUNTIF(Appointments!$M$6:$M$2005,"&lt;"&amp;I$6)+10)&lt;I$6+1,SMALL(Appointments!$M$6:$M$2005,COUNTIF(Appointments!$M$6:$M$2005,"&lt;"&amp;I$6)+10),""),"")</f>
        <v/>
      </c>
      <c r="Z16">
        <f>IF(R16="","",INDEX(Appointments!$F$6:$F$2005,MATCH(R16,Appointments!$M$6:$M$2005,0)))</f>
        <v/>
      </c>
      <c r="AA16">
        <f>IF(S16="","",INDEX(Appointments!$F$6:$F$2005,MATCH(S16,Appointments!$M$6:$M$2005,0)))</f>
        <v/>
      </c>
      <c r="AB16">
        <f>IF(T16="","",INDEX(Appointments!$F$6:$F$2005,MATCH(T16,Appointments!$M$6:$M$2005,0)))</f>
        <v/>
      </c>
      <c r="AC16">
        <f>IF(U16="","",INDEX(Appointments!$F$6:$F$2005,MATCH(U16,Appointments!$M$6:$M$2005,0)))</f>
        <v/>
      </c>
      <c r="AD16">
        <f>IF(V16="","",INDEX(Appointments!$F$6:$F$2005,MATCH(V16,Appointments!$M$6:$M$2005,0)))</f>
        <v/>
      </c>
      <c r="AE16">
        <f>IF(W16="","",INDEX(Appointments!$F$6:$F$2005,MATCH(W16,Appointments!$M$6:$M$2005,0)))</f>
        <v/>
      </c>
      <c r="AF16">
        <f>IF(X16="","",INDEX(Appointments!$F$6:$F$2005,MATCH(X16,Appointments!$M$6:$M$2005,0)))</f>
        <v/>
      </c>
    </row>
    <row r="17">
      <c r="A17" s="1" t="n"/>
      <c r="B17" s="17" t="inlineStr">
        <is>
          <t>Appointments</t>
        </is>
      </c>
      <c r="C17" s="38">
        <f>COUNTIF(C7:C16,"?*")</f>
        <v/>
      </c>
      <c r="D17" s="38">
        <f>COUNTIF(D7:D16,"?*")</f>
        <v/>
      </c>
      <c r="E17" s="38">
        <f>COUNTIF(E7:E16,"?*")</f>
        <v/>
      </c>
      <c r="F17" s="38">
        <f>COUNTIF(F7:F16,"?*")</f>
        <v/>
      </c>
      <c r="G17" s="38">
        <f>COUNTIF(G7:G16,"?*")</f>
        <v/>
      </c>
      <c r="H17" s="38">
        <f>COUNTIF(H7:H16,"?*")</f>
        <v/>
      </c>
      <c r="I17" s="38">
        <f>COUNTIF(I7:I16,"?*")</f>
        <v/>
      </c>
      <c r="J17" s="1" t="n"/>
    </row>
    <row r="18">
      <c r="A18" s="1" t="n"/>
      <c r="B18" s="17" t="inlineStr">
        <is>
          <t>Paid</t>
        </is>
      </c>
      <c r="C18" s="45">
        <f>SUMIFS(Appointments!$I$6:$I$2005,Appointments!$B$6:$B$2005,C$6)</f>
        <v/>
      </c>
      <c r="D18" s="45">
        <f>SUMIFS(Appointments!$I$6:$I$2005,Appointments!$B$6:$B$2005,D$6)</f>
        <v/>
      </c>
      <c r="E18" s="45">
        <f>SUMIFS(Appointments!$I$6:$I$2005,Appointments!$B$6:$B$2005,E$6)</f>
        <v/>
      </c>
      <c r="F18" s="45">
        <f>SUMIFS(Appointments!$I$6:$I$2005,Appointments!$B$6:$B$2005,F$6)</f>
        <v/>
      </c>
      <c r="G18" s="45">
        <f>SUMIFS(Appointments!$I$6:$I$2005,Appointments!$B$6:$B$2005,G$6)</f>
        <v/>
      </c>
      <c r="H18" s="45">
        <f>SUMIFS(Appointments!$I$6:$I$2005,Appointments!$B$6:$B$2005,H$6)</f>
        <v/>
      </c>
      <c r="I18" s="45">
        <f>SUMIFS(Appointments!$I$6:$I$2005,Appointments!$B$6:$B$2005,I$6)</f>
        <v/>
      </c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46" t="inlineStr">
        <is>
          <t>Colours:</t>
        </is>
      </c>
      <c r="C20" s="47" t="inlineStr">
        <is>
          <t>Booked</t>
        </is>
      </c>
      <c r="D20" s="48" t="inlineStr">
        <is>
          <t>Done</t>
        </is>
      </c>
      <c r="E20" s="49" t="inlineStr">
        <is>
          <t>No-show</t>
        </is>
      </c>
      <c r="F20" s="1" t="n"/>
      <c r="G20" s="1" t="n"/>
      <c r="H20" s="1" t="n"/>
      <c r="I20" s="1" t="n"/>
      <c r="J20" s="1" t="n"/>
    </row>
    <row r="21">
      <c r="A21" s="1" t="n"/>
      <c r="B21" s="1" t="n"/>
      <c r="C21" s="42" t="inlineStr">
        <is>
          <t>Cancelled appointments are left out. A day with more than 10 appointments shows the first 10.</t>
        </is>
      </c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</sheetData>
  <conditionalFormatting sqref="C7:I16">
    <cfRule type="expression" priority="1" dxfId="0">
      <formula>Z7="Done"</formula>
    </cfRule>
    <cfRule type="expression" priority="2" dxfId="3">
      <formula>Z7="Booked"</formula>
    </cfRule>
    <cfRule type="expression" priority="3" dxfId="4">
      <formula>Z7="No-show"</formula>
    </cfRule>
  </conditionalFormatting>
  <conditionalFormatting sqref="C6:I6">
    <cfRule type="expression" priority="4" dxfId="9">
      <formula>C6=TODAY()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0" t="inlineStr">
        <is>
          <t>1</t>
        </is>
      </c>
      <c r="C5" s="51" t="inlineStr">
        <is>
          <t>Services: your services with their price and length, and the two settings on the right.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0" t="inlineStr">
        <is>
          <t>2</t>
        </is>
      </c>
      <c r="C7" s="51" t="inlineStr">
        <is>
          <t>Clients: one line per client, with the phone, birthday and notes you want to keep.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0" t="inlineStr">
        <is>
          <t>3</t>
        </is>
      </c>
      <c r="C9" s="51" t="inlineStr">
        <is>
          <t>Appointments: one line per booking. After the visit, set the status to Done and type what was paid.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0" t="inlineStr">
        <is>
          <t>4</t>
        </is>
      </c>
      <c r="C11" s="51" t="inlineStr">
        <is>
          <t>Packages: a client who prepays several sessions gets one line here. Their visits are then paid with Package.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0" t="inlineStr">
        <is>
          <t>5</t>
        </is>
      </c>
      <c r="C13" s="51" t="inlineStr">
        <is>
          <t>Dashboard and Week: what is coming up, what you earned, who owes you and who has not been back.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price of an appointment comes from Services, minus any discount you type.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An appointment whose date has passed but is still Booked turns orange, so you remember to update it.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clients and appointments show how it works. Delete them and add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2026-09-28T12:57:28Z</dcterms:created>
  <dcterms:modified xsi:type="dcterms:W3CDTF">2026-09-28T12:57:32Z</dcterms:modified>
</cp:coreProperties>
</file>